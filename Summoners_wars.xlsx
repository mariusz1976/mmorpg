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pivotTables/pivotTable6.xml" ContentType="application/vnd.openxmlformats-officedocument.spreadsheetml.pivot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2.xml" ContentType="application/vnd.openxmlformats-officedocument.spreadsheetml.pivot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PivotChartFilter="1" defaultThemeVersion="124226"/>
  <bookViews>
    <workbookView xWindow="240" yWindow="90" windowWidth="15540" windowHeight="11820" activeTab="2"/>
  </bookViews>
  <sheets>
    <sheet name="EXP lvls" sheetId="1" r:id="rId1"/>
    <sheet name="Arkusz3" sheetId="18" r:id="rId2"/>
    <sheet name="Drop analityka" sheetId="3" r:id="rId3"/>
    <sheet name="Fusion" sheetId="9" r:id="rId4"/>
    <sheet name="Location features" sheetId="4" r:id="rId5"/>
    <sheet name="TabPrz" sheetId="5" r:id="rId6"/>
    <sheet name="Arkusz1" sheetId="15" r:id="rId7"/>
    <sheet name="Runes for DPS" sheetId="6" r:id="rId8"/>
    <sheet name="Runes stats" sheetId="11" r:id="rId9"/>
    <sheet name="Runes DB" sheetId="8" r:id="rId10"/>
    <sheet name="TP_Mon.Runes" sheetId="12" r:id="rId11"/>
    <sheet name="Grind.Summary" sheetId="2" r:id="rId12"/>
    <sheet name="Runes Mon.build" sheetId="7" r:id="rId13"/>
    <sheet name="Mon.Utilities" sheetId="13" r:id="rId14"/>
    <sheet name="Crystals" sheetId="14" r:id="rId15"/>
    <sheet name="ToA auto" sheetId="16" r:id="rId16"/>
    <sheet name="Arkusz2" sheetId="17" r:id="rId17"/>
  </sheets>
  <definedNames>
    <definedName name="_xlnm._FilterDatabase" localSheetId="13" hidden="1">Mon.Utilities!$A$1:$N$1</definedName>
  </definedNames>
  <calcPr calcId="125725"/>
  <pivotCaches>
    <pivotCache cacheId="0" r:id="rId18"/>
    <pivotCache cacheId="1" r:id="rId19"/>
    <pivotCache cacheId="2" r:id="rId20"/>
  </pivotCaches>
</workbook>
</file>

<file path=xl/calcChain.xml><?xml version="1.0" encoding="utf-8"?>
<calcChain xmlns="http://schemas.openxmlformats.org/spreadsheetml/2006/main">
  <c r="D2" i="18"/>
  <c r="Q8" i="4" l="1"/>
  <c r="L8"/>
  <c r="K8"/>
  <c r="J8"/>
  <c r="O8" s="1"/>
  <c r="R8" s="1"/>
  <c r="D3" i="18"/>
  <c r="C5"/>
  <c r="C4"/>
  <c r="C2"/>
  <c r="C9" l="1"/>
  <c r="E9" s="1"/>
  <c r="C8"/>
  <c r="C3"/>
  <c r="C7" s="1"/>
  <c r="I2"/>
  <c r="D6"/>
  <c r="D7"/>
  <c r="D4"/>
  <c r="D5" l="1"/>
  <c r="I5" s="1"/>
  <c r="E2"/>
  <c r="C6"/>
  <c r="E6" s="1"/>
  <c r="F6" s="1"/>
  <c r="D8"/>
  <c r="I4"/>
  <c r="E8"/>
  <c r="E4"/>
  <c r="J55" i="6"/>
  <c r="J46"/>
  <c r="F2" i="18" l="1"/>
  <c r="H2" s="1"/>
  <c r="G2"/>
  <c r="F4"/>
  <c r="G4"/>
  <c r="E5"/>
  <c r="F8"/>
  <c r="D9"/>
  <c r="F9" s="1"/>
  <c r="I3"/>
  <c r="E7"/>
  <c r="F7" s="1"/>
  <c r="E3"/>
  <c r="Q6" i="4"/>
  <c r="L6"/>
  <c r="K6"/>
  <c r="J6"/>
  <c r="K2" i="17"/>
  <c r="J2"/>
  <c r="I2"/>
  <c r="H2"/>
  <c r="G2"/>
  <c r="H4" i="18" l="1"/>
  <c r="F5"/>
  <c r="H5" s="1"/>
  <c r="G5"/>
  <c r="F3"/>
  <c r="H3" s="1"/>
  <c r="G3"/>
  <c r="O6" i="4"/>
  <c r="R6" s="1"/>
  <c r="D3" i="17"/>
  <c r="B4"/>
  <c r="B3"/>
  <c r="D2"/>
  <c r="Q6" i="3"/>
  <c r="Q7" i="4" l="1"/>
  <c r="L7"/>
  <c r="K7"/>
  <c r="J7"/>
  <c r="R7" l="1"/>
  <c r="O7"/>
  <c r="O6" i="14"/>
  <c r="O9" s="1"/>
  <c r="P6"/>
  <c r="P9" s="1"/>
  <c r="M3" i="1"/>
  <c r="O4" s="1"/>
  <c r="Q14" i="4" l="1"/>
  <c r="L14"/>
  <c r="K14"/>
  <c r="J14"/>
  <c r="O14" l="1"/>
  <c r="R14" s="1"/>
  <c r="T88" i="9" l="1"/>
  <c r="S88"/>
  <c r="R88"/>
  <c r="Q88"/>
  <c r="P88"/>
  <c r="O88"/>
  <c r="N88"/>
  <c r="M88"/>
  <c r="L88"/>
  <c r="K88"/>
  <c r="J88"/>
  <c r="I88"/>
  <c r="H88"/>
  <c r="G88"/>
  <c r="F88"/>
  <c r="T56" l="1"/>
  <c r="T58" s="1"/>
  <c r="S56"/>
  <c r="R56"/>
  <c r="Q56"/>
  <c r="Q58" s="1"/>
  <c r="P56"/>
  <c r="P58" s="1"/>
  <c r="O56"/>
  <c r="O58" s="1"/>
  <c r="N56"/>
  <c r="N58" s="1"/>
  <c r="M56"/>
  <c r="M58" s="1"/>
  <c r="L56"/>
  <c r="L58" s="1"/>
  <c r="K56"/>
  <c r="K58" s="1"/>
  <c r="J56"/>
  <c r="J58" s="1"/>
  <c r="I56"/>
  <c r="I58" s="1"/>
  <c r="H56"/>
  <c r="H58" s="1"/>
  <c r="G56"/>
  <c r="G58" s="1"/>
  <c r="F56"/>
  <c r="T90"/>
  <c r="S90"/>
  <c r="H90"/>
  <c r="G90"/>
  <c r="F90"/>
  <c r="S58"/>
  <c r="F58"/>
  <c r="Q10" i="1"/>
  <c r="G15" i="14" l="1"/>
  <c r="G14"/>
  <c r="G13"/>
  <c r="E8"/>
  <c r="G8" s="1"/>
  <c r="E5"/>
  <c r="E4"/>
  <c r="G4" s="1"/>
  <c r="E3"/>
  <c r="G3" s="1"/>
  <c r="R2" i="6"/>
  <c r="R3"/>
  <c r="F3"/>
  <c r="G3"/>
  <c r="AM3"/>
  <c r="AM36"/>
  <c r="AM69"/>
  <c r="AM102"/>
  <c r="AM135"/>
  <c r="AM168"/>
  <c r="AM201"/>
  <c r="AM202"/>
  <c r="AM203"/>
  <c r="AM204"/>
  <c r="AM205"/>
  <c r="AM206"/>
  <c r="AM207"/>
  <c r="AM208"/>
  <c r="AM209"/>
  <c r="AM210"/>
  <c r="AM211"/>
  <c r="AM212"/>
  <c r="AM213"/>
  <c r="AM214"/>
  <c r="AM215"/>
  <c r="AM216"/>
  <c r="AM217"/>
  <c r="AM218"/>
  <c r="AM219"/>
  <c r="AM220"/>
  <c r="AM221"/>
  <c r="AM222"/>
  <c r="AM223"/>
  <c r="AM224"/>
  <c r="AM225"/>
  <c r="AM226"/>
  <c r="AM227"/>
  <c r="AM228"/>
  <c r="AM229"/>
  <c r="AM230"/>
  <c r="AM231"/>
  <c r="AM232"/>
  <c r="AM233"/>
  <c r="AM234"/>
  <c r="AM235"/>
  <c r="AM236"/>
  <c r="AM237"/>
  <c r="AM238"/>
  <c r="AM239"/>
  <c r="AM240"/>
  <c r="AM241"/>
  <c r="AM242"/>
  <c r="AM243"/>
  <c r="AM244"/>
  <c r="AM245"/>
  <c r="AM246"/>
  <c r="AM247"/>
  <c r="AM248"/>
  <c r="AM249"/>
  <c r="AM250"/>
  <c r="AM251"/>
  <c r="AM252"/>
  <c r="AM253"/>
  <c r="AM254"/>
  <c r="AM255"/>
  <c r="AM256"/>
  <c r="AM257"/>
  <c r="AM258"/>
  <c r="AM259"/>
  <c r="AM260"/>
  <c r="AM261"/>
  <c r="AM262"/>
  <c r="AM263"/>
  <c r="AM264"/>
  <c r="AM265"/>
  <c r="AM266"/>
  <c r="AM267"/>
  <c r="AM268"/>
  <c r="AM269"/>
  <c r="AM270"/>
  <c r="AM271"/>
  <c r="AM272"/>
  <c r="AM273"/>
  <c r="AM274"/>
  <c r="AM275"/>
  <c r="AM276"/>
  <c r="AM277"/>
  <c r="AM278"/>
  <c r="AM279"/>
  <c r="AM280"/>
  <c r="AM281"/>
  <c r="AM282"/>
  <c r="AM283"/>
  <c r="AM284"/>
  <c r="AM285"/>
  <c r="AM286"/>
  <c r="AM287"/>
  <c r="AM288"/>
  <c r="AM289"/>
  <c r="AM290"/>
  <c r="AM291"/>
  <c r="AM292"/>
  <c r="AM293"/>
  <c r="AM294"/>
  <c r="AM295"/>
  <c r="AM296"/>
  <c r="AM297"/>
  <c r="AM298"/>
  <c r="AM299"/>
  <c r="AM300"/>
  <c r="AM301"/>
  <c r="AM302"/>
  <c r="AM303"/>
  <c r="AM304"/>
  <c r="AM305"/>
  <c r="AM306"/>
  <c r="AM307"/>
  <c r="AM308"/>
  <c r="AM309"/>
  <c r="AM310"/>
  <c r="AM311"/>
  <c r="AM312"/>
  <c r="AM313"/>
  <c r="AM314"/>
  <c r="AM315"/>
  <c r="AM316"/>
  <c r="AM317"/>
  <c r="AM318"/>
  <c r="AM319"/>
  <c r="AM320"/>
  <c r="AM321"/>
  <c r="AM322"/>
  <c r="AM323"/>
  <c r="AM324"/>
  <c r="AM325"/>
  <c r="AM326"/>
  <c r="AM327"/>
  <c r="AM328"/>
  <c r="AM329"/>
  <c r="AM330"/>
  <c r="AM331"/>
  <c r="AM332"/>
  <c r="AM333"/>
  <c r="AM334"/>
  <c r="AM335"/>
  <c r="AM336"/>
  <c r="AM337"/>
  <c r="AM338"/>
  <c r="AM339"/>
  <c r="AM340"/>
  <c r="AM341"/>
  <c r="AM342"/>
  <c r="AM343"/>
  <c r="AM344"/>
  <c r="AM345"/>
  <c r="AM346"/>
  <c r="AM347"/>
  <c r="AM348"/>
  <c r="AM349"/>
  <c r="AM350"/>
  <c r="AM351"/>
  <c r="AM352"/>
  <c r="AM353"/>
  <c r="AM354"/>
  <c r="AM355"/>
  <c r="AM356"/>
  <c r="AM357"/>
  <c r="AM358"/>
  <c r="AM359"/>
  <c r="AM360"/>
  <c r="AM361"/>
  <c r="AM362"/>
  <c r="AM363"/>
  <c r="AM364"/>
  <c r="AM365"/>
  <c r="AM366"/>
  <c r="AM367"/>
  <c r="AM368"/>
  <c r="AM369"/>
  <c r="AM370"/>
  <c r="AM371"/>
  <c r="AM372"/>
  <c r="AM373"/>
  <c r="AM374"/>
  <c r="AM375"/>
  <c r="AM376"/>
  <c r="AM377"/>
  <c r="AM378"/>
  <c r="AM379"/>
  <c r="AM380"/>
  <c r="AM381"/>
  <c r="AM382"/>
  <c r="AM383"/>
  <c r="AM384"/>
  <c r="AM385"/>
  <c r="AM386"/>
  <c r="AM387"/>
  <c r="AM388"/>
  <c r="AM389"/>
  <c r="AM390"/>
  <c r="AM391"/>
  <c r="AM392"/>
  <c r="AM393"/>
  <c r="AM394"/>
  <c r="AM395"/>
  <c r="AM396"/>
  <c r="AM397"/>
  <c r="AM398"/>
  <c r="AM399"/>
  <c r="AM400"/>
  <c r="AM401"/>
  <c r="AM402"/>
  <c r="AM403"/>
  <c r="AM404"/>
  <c r="AM405"/>
  <c r="AM406"/>
  <c r="AM407"/>
  <c r="AM408"/>
  <c r="AM409"/>
  <c r="AM410"/>
  <c r="AM411"/>
  <c r="AM412"/>
  <c r="AM413"/>
  <c r="AM414"/>
  <c r="AM415"/>
  <c r="AM416"/>
  <c r="AM417"/>
  <c r="AM418"/>
  <c r="AM419"/>
  <c r="AM420"/>
  <c r="AM421"/>
  <c r="AM422"/>
  <c r="AM423"/>
  <c r="AM424"/>
  <c r="AM425"/>
  <c r="AM426"/>
  <c r="AM427"/>
  <c r="AM428"/>
  <c r="AM429"/>
  <c r="AM430"/>
  <c r="AM431"/>
  <c r="AM432"/>
  <c r="AM433"/>
  <c r="AM434"/>
  <c r="AM435"/>
  <c r="AM436"/>
  <c r="AM437"/>
  <c r="AM438"/>
  <c r="AM439"/>
  <c r="AM440"/>
  <c r="AM441"/>
  <c r="AM442"/>
  <c r="AM443"/>
  <c r="AM444"/>
  <c r="AM445"/>
  <c r="AM446"/>
  <c r="AM447"/>
  <c r="AM448"/>
  <c r="AM449"/>
  <c r="AM450"/>
  <c r="AM451"/>
  <c r="AM452"/>
  <c r="AM453"/>
  <c r="AM454"/>
  <c r="AM455"/>
  <c r="AM456"/>
  <c r="AM457"/>
  <c r="AM458"/>
  <c r="AM459"/>
  <c r="AM460"/>
  <c r="AM461"/>
  <c r="AM462"/>
  <c r="AM463"/>
  <c r="AM464"/>
  <c r="AM465"/>
  <c r="AM466"/>
  <c r="AM467"/>
  <c r="AM468"/>
  <c r="AM469"/>
  <c r="AM470"/>
  <c r="AM471"/>
  <c r="AM472"/>
  <c r="AM473"/>
  <c r="AM474"/>
  <c r="AM475"/>
  <c r="AM476"/>
  <c r="AM477"/>
  <c r="AM478"/>
  <c r="AM479"/>
  <c r="AM480"/>
  <c r="AM481"/>
  <c r="AM482"/>
  <c r="AM483"/>
  <c r="AM484"/>
  <c r="AM485"/>
  <c r="AM486"/>
  <c r="AM487"/>
  <c r="AM488"/>
  <c r="AM489"/>
  <c r="AM490"/>
  <c r="AM491"/>
  <c r="AM492"/>
  <c r="AM493"/>
  <c r="AM494"/>
  <c r="AM495"/>
  <c r="AM496"/>
  <c r="AM497"/>
  <c r="AM498"/>
  <c r="AM499"/>
  <c r="AM500"/>
  <c r="AM501"/>
  <c r="AM502"/>
  <c r="AM503"/>
  <c r="AM504"/>
  <c r="AM505"/>
  <c r="AM506"/>
  <c r="AM507"/>
  <c r="AM508"/>
  <c r="AM509"/>
  <c r="AM510"/>
  <c r="AM511"/>
  <c r="AM512"/>
  <c r="AM513"/>
  <c r="AM514"/>
  <c r="AM515"/>
  <c r="AM516"/>
  <c r="AM517"/>
  <c r="AM518"/>
  <c r="AM519"/>
  <c r="AM520"/>
  <c r="AM521"/>
  <c r="AM522"/>
  <c r="AM523"/>
  <c r="AM524"/>
  <c r="AM525"/>
  <c r="AM526"/>
  <c r="AM527"/>
  <c r="AM528"/>
  <c r="AM529"/>
  <c r="AM530"/>
  <c r="AM531"/>
  <c r="AM532"/>
  <c r="AM533"/>
  <c r="AM534"/>
  <c r="AM535"/>
  <c r="AM536"/>
  <c r="AM537"/>
  <c r="AM538"/>
  <c r="AM539"/>
  <c r="AM540"/>
  <c r="AM541"/>
  <c r="AM542"/>
  <c r="AM543"/>
  <c r="AM544"/>
  <c r="AM545"/>
  <c r="AM546"/>
  <c r="AM547"/>
  <c r="AM548"/>
  <c r="AM549"/>
  <c r="AM550"/>
  <c r="AM551"/>
  <c r="AM552"/>
  <c r="AM553"/>
  <c r="AM554"/>
  <c r="AM555"/>
  <c r="AM556"/>
  <c r="AM557"/>
  <c r="AM558"/>
  <c r="AM559"/>
  <c r="AM560"/>
  <c r="AM561"/>
  <c r="AM562"/>
  <c r="AM563"/>
  <c r="AM564"/>
  <c r="AM565"/>
  <c r="AM566"/>
  <c r="AM567"/>
  <c r="AM568"/>
  <c r="AM569"/>
  <c r="AM570"/>
  <c r="AM571"/>
  <c r="AM572"/>
  <c r="AM573"/>
  <c r="AM574"/>
  <c r="AM575"/>
  <c r="AM576"/>
  <c r="AM577"/>
  <c r="AM578"/>
  <c r="AM579"/>
  <c r="AM580"/>
  <c r="AM581"/>
  <c r="AM582"/>
  <c r="AM583"/>
  <c r="AM584"/>
  <c r="AM585"/>
  <c r="AM586"/>
  <c r="AM587"/>
  <c r="AM588"/>
  <c r="AM589"/>
  <c r="AM590"/>
  <c r="AM591"/>
  <c r="AM592"/>
  <c r="AM593"/>
  <c r="AM594"/>
  <c r="AM595"/>
  <c r="AM596"/>
  <c r="AM597"/>
  <c r="AM598"/>
  <c r="AM599"/>
  <c r="AM600"/>
  <c r="AM601"/>
  <c r="AM602"/>
  <c r="AM603"/>
  <c r="AM604"/>
  <c r="AM605"/>
  <c r="AM606"/>
  <c r="AM607"/>
  <c r="AM608"/>
  <c r="AM609"/>
  <c r="AM610"/>
  <c r="AM611"/>
  <c r="AM612"/>
  <c r="AM613"/>
  <c r="AM614"/>
  <c r="AM615"/>
  <c r="AM616"/>
  <c r="AM617"/>
  <c r="AM618"/>
  <c r="AM619"/>
  <c r="AM620"/>
  <c r="AM621"/>
  <c r="AM622"/>
  <c r="AM623"/>
  <c r="AM624"/>
  <c r="AM625"/>
  <c r="AM626"/>
  <c r="AM627"/>
  <c r="AM628"/>
  <c r="AM629"/>
  <c r="AM630"/>
  <c r="AM631"/>
  <c r="AM632"/>
  <c r="AM633"/>
  <c r="AM634"/>
  <c r="AM635"/>
  <c r="AM636"/>
  <c r="AM637"/>
  <c r="AM638"/>
  <c r="AM639"/>
  <c r="AM640"/>
  <c r="AM641"/>
  <c r="AM642"/>
  <c r="AM643"/>
  <c r="AM644"/>
  <c r="AM645"/>
  <c r="AM646"/>
  <c r="AM647"/>
  <c r="AM648"/>
  <c r="AM649"/>
  <c r="AM650"/>
  <c r="AM651"/>
  <c r="AM652"/>
  <c r="AM653"/>
  <c r="AM654"/>
  <c r="AM655"/>
  <c r="AM656"/>
  <c r="AM657"/>
  <c r="AM658"/>
  <c r="AM659"/>
  <c r="AM660"/>
  <c r="AM661"/>
  <c r="AM662"/>
  <c r="AM663"/>
  <c r="AM664"/>
  <c r="AM665"/>
  <c r="AM666"/>
  <c r="AM667"/>
  <c r="AM668"/>
  <c r="AM669"/>
  <c r="AM670"/>
  <c r="AM671"/>
  <c r="AM672"/>
  <c r="AM673"/>
  <c r="AM674"/>
  <c r="AM675"/>
  <c r="AM676"/>
  <c r="AM677"/>
  <c r="AM678"/>
  <c r="AM679"/>
  <c r="AM680"/>
  <c r="AM681"/>
  <c r="AM682"/>
  <c r="AM683"/>
  <c r="AM684"/>
  <c r="AM685"/>
  <c r="AM686"/>
  <c r="AM687"/>
  <c r="AM688"/>
  <c r="AM689"/>
  <c r="AM690"/>
  <c r="AM691"/>
  <c r="AM692"/>
  <c r="AM693"/>
  <c r="AM694"/>
  <c r="AM695"/>
  <c r="AM696"/>
  <c r="AM697"/>
  <c r="AM698"/>
  <c r="AM699"/>
  <c r="AM700"/>
  <c r="AM701"/>
  <c r="AM702"/>
  <c r="AM703"/>
  <c r="AM704"/>
  <c r="AM705"/>
  <c r="AM706"/>
  <c r="AM707"/>
  <c r="AM708"/>
  <c r="AM709"/>
  <c r="AM710"/>
  <c r="AM711"/>
  <c r="AM712"/>
  <c r="AM713"/>
  <c r="AM714"/>
  <c r="AM715"/>
  <c r="AM716"/>
  <c r="AM717"/>
  <c r="AM718"/>
  <c r="AM719"/>
  <c r="AM720"/>
  <c r="AM721"/>
  <c r="AM722"/>
  <c r="AM723"/>
  <c r="AM724"/>
  <c r="AM725"/>
  <c r="AM726"/>
  <c r="AM727"/>
  <c r="AM728"/>
  <c r="AM729"/>
  <c r="AM730"/>
  <c r="AM731"/>
  <c r="AM732"/>
  <c r="AM733"/>
  <c r="AM734"/>
  <c r="AM735"/>
  <c r="AM736"/>
  <c r="AM737"/>
  <c r="AM738"/>
  <c r="AM739"/>
  <c r="AM740"/>
  <c r="AM741"/>
  <c r="AM742"/>
  <c r="AM743"/>
  <c r="AM744"/>
  <c r="AM745"/>
  <c r="AM746"/>
  <c r="AM747"/>
  <c r="AM748"/>
  <c r="AM749"/>
  <c r="AM750"/>
  <c r="AM751"/>
  <c r="AM752"/>
  <c r="AM753"/>
  <c r="AM754"/>
  <c r="AM755"/>
  <c r="AM756"/>
  <c r="AM757"/>
  <c r="AM758"/>
  <c r="AM759"/>
  <c r="AM760"/>
  <c r="AM761"/>
  <c r="AM762"/>
  <c r="AM763"/>
  <c r="AM764"/>
  <c r="AM765"/>
  <c r="AM766"/>
  <c r="AM767"/>
  <c r="AM768"/>
  <c r="AM769"/>
  <c r="AM770"/>
  <c r="AM771"/>
  <c r="AM772"/>
  <c r="AM773"/>
  <c r="AM774"/>
  <c r="AM775"/>
  <c r="AM776"/>
  <c r="AM777"/>
  <c r="AM778"/>
  <c r="AM779"/>
  <c r="AM780"/>
  <c r="AM781"/>
  <c r="AM782"/>
  <c r="AM783"/>
  <c r="AM784"/>
  <c r="AM785"/>
  <c r="AM786"/>
  <c r="AM787"/>
  <c r="AM788"/>
  <c r="AM789"/>
  <c r="AM790"/>
  <c r="AM791"/>
  <c r="AM792"/>
  <c r="AM793"/>
  <c r="AM794"/>
  <c r="AM795"/>
  <c r="AM796"/>
  <c r="AM797"/>
  <c r="AM798"/>
  <c r="AM799"/>
  <c r="AM800"/>
  <c r="AM801"/>
  <c r="AM802"/>
  <c r="AM803"/>
  <c r="AM804"/>
  <c r="AM805"/>
  <c r="AM806"/>
  <c r="AM807"/>
  <c r="AM808"/>
  <c r="AM809"/>
  <c r="AM810"/>
  <c r="AM811"/>
  <c r="AM812"/>
  <c r="AM813"/>
  <c r="AM814"/>
  <c r="AM815"/>
  <c r="AM816"/>
  <c r="AM817"/>
  <c r="AM818"/>
  <c r="AM819"/>
  <c r="AM820"/>
  <c r="AM821"/>
  <c r="AM822"/>
  <c r="AM823"/>
  <c r="AM824"/>
  <c r="AM825"/>
  <c r="AM826"/>
  <c r="AM827"/>
  <c r="AM828"/>
  <c r="AM829"/>
  <c r="AM830"/>
  <c r="AM831"/>
  <c r="AM832"/>
  <c r="AM833"/>
  <c r="AM834"/>
  <c r="AM835"/>
  <c r="AM836"/>
  <c r="AM837"/>
  <c r="AM838"/>
  <c r="AM839"/>
  <c r="AM840"/>
  <c r="AM841"/>
  <c r="AM842"/>
  <c r="AM843"/>
  <c r="AM844"/>
  <c r="AM845"/>
  <c r="AM846"/>
  <c r="AM847"/>
  <c r="AM848"/>
  <c r="AM849"/>
  <c r="AM850"/>
  <c r="AM851"/>
  <c r="AM852"/>
  <c r="AM853"/>
  <c r="AM854"/>
  <c r="AM855"/>
  <c r="AM856"/>
  <c r="AM857"/>
  <c r="AM858"/>
  <c r="AM859"/>
  <c r="AM860"/>
  <c r="AM861"/>
  <c r="AM862"/>
  <c r="AM863"/>
  <c r="AM864"/>
  <c r="AM865"/>
  <c r="AM866"/>
  <c r="AM867"/>
  <c r="AM868"/>
  <c r="AM869"/>
  <c r="AM870"/>
  <c r="AM871"/>
  <c r="AM872"/>
  <c r="AM873"/>
  <c r="AM874"/>
  <c r="AM875"/>
  <c r="AM876"/>
  <c r="AM877"/>
  <c r="AM878"/>
  <c r="AM879"/>
  <c r="AM880"/>
  <c r="AM881"/>
  <c r="AM882"/>
  <c r="AM883"/>
  <c r="AM884"/>
  <c r="AM885"/>
  <c r="AM886"/>
  <c r="AM887"/>
  <c r="AM888"/>
  <c r="AM889"/>
  <c r="AM890"/>
  <c r="AM891"/>
  <c r="AM892"/>
  <c r="AM893"/>
  <c r="AM894"/>
  <c r="AM895"/>
  <c r="AM896"/>
  <c r="AM897"/>
  <c r="AM898"/>
  <c r="AM899"/>
  <c r="AM900"/>
  <c r="AM901"/>
  <c r="AM902"/>
  <c r="AM903"/>
  <c r="AM904"/>
  <c r="AM905"/>
  <c r="AM906"/>
  <c r="AM907"/>
  <c r="AM908"/>
  <c r="AM909"/>
  <c r="AM910"/>
  <c r="AM911"/>
  <c r="AM912"/>
  <c r="AM913"/>
  <c r="AM914"/>
  <c r="AM915"/>
  <c r="AM916"/>
  <c r="AM917"/>
  <c r="AM918"/>
  <c r="AM919"/>
  <c r="AM920"/>
  <c r="AM921"/>
  <c r="AM922"/>
  <c r="AM923"/>
  <c r="AM924"/>
  <c r="AM925"/>
  <c r="AM926"/>
  <c r="AM927"/>
  <c r="AM928"/>
  <c r="AM929"/>
  <c r="AM930"/>
  <c r="AM931"/>
  <c r="AM932"/>
  <c r="AM933"/>
  <c r="AM934"/>
  <c r="AM935"/>
  <c r="AM936"/>
  <c r="AM937"/>
  <c r="AM938"/>
  <c r="AM939"/>
  <c r="AM940"/>
  <c r="AM941"/>
  <c r="AM942"/>
  <c r="AM943"/>
  <c r="AM944"/>
  <c r="AM945"/>
  <c r="AM946"/>
  <c r="AM947"/>
  <c r="AM948"/>
  <c r="AM949"/>
  <c r="AM950"/>
  <c r="AM951"/>
  <c r="AM952"/>
  <c r="AM953"/>
  <c r="AM954"/>
  <c r="AM955"/>
  <c r="AM956"/>
  <c r="AM957"/>
  <c r="AM958"/>
  <c r="AM959"/>
  <c r="AM960"/>
  <c r="AM961"/>
  <c r="AM962"/>
  <c r="AM963"/>
  <c r="AM964"/>
  <c r="AM965"/>
  <c r="AM966"/>
  <c r="AM967"/>
  <c r="AM968"/>
  <c r="AM969"/>
  <c r="AM970"/>
  <c r="AM971"/>
  <c r="AM972"/>
  <c r="AM973"/>
  <c r="AM974"/>
  <c r="AM975"/>
  <c r="AM976"/>
  <c r="AM977"/>
  <c r="AM978"/>
  <c r="AM979"/>
  <c r="AM980"/>
  <c r="AM981"/>
  <c r="AM982"/>
  <c r="AM983"/>
  <c r="AM984"/>
  <c r="AM985"/>
  <c r="AM986"/>
  <c r="AM987"/>
  <c r="AM988"/>
  <c r="AM989"/>
  <c r="AM990"/>
  <c r="AM991"/>
  <c r="AM992"/>
  <c r="AM993"/>
  <c r="AM994"/>
  <c r="AM995"/>
  <c r="AM996"/>
  <c r="AM997"/>
  <c r="AM998"/>
  <c r="AM999"/>
  <c r="AM1000"/>
  <c r="AM1001"/>
  <c r="AM1002"/>
  <c r="AM1003"/>
  <c r="AM1004"/>
  <c r="AM1005"/>
  <c r="AM1006"/>
  <c r="AM1007"/>
  <c r="AM1008"/>
  <c r="AM1009"/>
  <c r="AM1010"/>
  <c r="AM1011"/>
  <c r="AM1012"/>
  <c r="AM1013"/>
  <c r="AM1014"/>
  <c r="AM1015"/>
  <c r="AM1016"/>
  <c r="AM1017"/>
  <c r="AM1018"/>
  <c r="AM1019"/>
  <c r="AM1020"/>
  <c r="AM1021"/>
  <c r="AM1022"/>
  <c r="AM1023"/>
  <c r="AM1024"/>
  <c r="AM1025"/>
  <c r="AM1026"/>
  <c r="AM1027"/>
  <c r="AM1028"/>
  <c r="AM1029"/>
  <c r="AM1030"/>
  <c r="AM1031"/>
  <c r="AM1032"/>
  <c r="AM1033"/>
  <c r="AM1034"/>
  <c r="AM1035"/>
  <c r="AM1036"/>
  <c r="AM1037"/>
  <c r="AM1038"/>
  <c r="AM1039"/>
  <c r="AM1040"/>
  <c r="AM1041"/>
  <c r="AM1042"/>
  <c r="AM1043"/>
  <c r="AM1044"/>
  <c r="AM1045"/>
  <c r="AM1046"/>
  <c r="AM1047"/>
  <c r="AM1048"/>
  <c r="AM1049"/>
  <c r="AM1050"/>
  <c r="AM1051"/>
  <c r="AM1052"/>
  <c r="AM1053"/>
  <c r="AM1054"/>
  <c r="AM1055"/>
  <c r="AM1056"/>
  <c r="AM1057"/>
  <c r="AM1058"/>
  <c r="AM1059"/>
  <c r="AM1060"/>
  <c r="AM1061"/>
  <c r="AM1062"/>
  <c r="AM1063"/>
  <c r="AM1064"/>
  <c r="AM1065"/>
  <c r="AM1066"/>
  <c r="AM1067"/>
  <c r="AM1068"/>
  <c r="AM1069"/>
  <c r="AM1070"/>
  <c r="AM1071"/>
  <c r="AM1072"/>
  <c r="AM1073"/>
  <c r="AM1074"/>
  <c r="AM1075"/>
  <c r="AM1076"/>
  <c r="AM1077"/>
  <c r="AM1078"/>
  <c r="AM1079"/>
  <c r="AM1080"/>
  <c r="AM1081"/>
  <c r="AM1082"/>
  <c r="AM1083"/>
  <c r="AM1084"/>
  <c r="AM1085"/>
  <c r="AM1086"/>
  <c r="AM1087"/>
  <c r="AM1088"/>
  <c r="AM1089"/>
  <c r="AM1090"/>
  <c r="AM1091"/>
  <c r="AM1092"/>
  <c r="AM1093"/>
  <c r="AM1094"/>
  <c r="AM1095"/>
  <c r="AM1096"/>
  <c r="AM1097"/>
  <c r="AM1098"/>
  <c r="AM1099"/>
  <c r="AM1100"/>
  <c r="AM1101"/>
  <c r="AM1102"/>
  <c r="AM1103"/>
  <c r="AM1104"/>
  <c r="AM1105"/>
  <c r="AM1106"/>
  <c r="AM1107"/>
  <c r="AM1108"/>
  <c r="AM1109"/>
  <c r="AM1110"/>
  <c r="AM1111"/>
  <c r="AM1112"/>
  <c r="AM1113"/>
  <c r="AM1114"/>
  <c r="AM1115"/>
  <c r="AM1116"/>
  <c r="AM1117"/>
  <c r="AM1118"/>
  <c r="AM1119"/>
  <c r="AM1120"/>
  <c r="AM1121"/>
  <c r="AM1122"/>
  <c r="AM1123"/>
  <c r="AM1124"/>
  <c r="AM1125"/>
  <c r="AM1126"/>
  <c r="AM1127"/>
  <c r="AM1128"/>
  <c r="AM1129"/>
  <c r="AM1130"/>
  <c r="AM1131"/>
  <c r="AM1132"/>
  <c r="AM1133"/>
  <c r="AM1134"/>
  <c r="AM1135"/>
  <c r="AM1136"/>
  <c r="AM1137"/>
  <c r="AM1138"/>
  <c r="AM1139"/>
  <c r="AM1140"/>
  <c r="AM1141"/>
  <c r="AM1142"/>
  <c r="AM1143"/>
  <c r="AM1144"/>
  <c r="AM1145"/>
  <c r="AM1146"/>
  <c r="AM1147"/>
  <c r="AM1148"/>
  <c r="AM1149"/>
  <c r="AM1150"/>
  <c r="AM1151"/>
  <c r="AM1152"/>
  <c r="AM1153"/>
  <c r="AM1154"/>
  <c r="AM1155"/>
  <c r="AM1156"/>
  <c r="AM1157"/>
  <c r="AM1158"/>
  <c r="AM1159"/>
  <c r="AM1160"/>
  <c r="AM1161"/>
  <c r="AM1162"/>
  <c r="AM1163"/>
  <c r="AM1164"/>
  <c r="AM1165"/>
  <c r="AM1166"/>
  <c r="AM1167"/>
  <c r="AM1168"/>
  <c r="AM1169"/>
  <c r="AM1170"/>
  <c r="AM1171"/>
  <c r="AM1172"/>
  <c r="AM1173"/>
  <c r="AM1174"/>
  <c r="AM1175"/>
  <c r="AM1176"/>
  <c r="AM1177"/>
  <c r="AM1178"/>
  <c r="AM1179"/>
  <c r="AM1180"/>
  <c r="AM1181"/>
  <c r="AM1182"/>
  <c r="AM1183"/>
  <c r="AM1184"/>
  <c r="AM1185"/>
  <c r="AM1186"/>
  <c r="AM1187"/>
  <c r="AM1188"/>
  <c r="AM1189"/>
  <c r="AM1190"/>
  <c r="AO169"/>
  <c r="AO170" s="1"/>
  <c r="AO171" s="1"/>
  <c r="AO172" s="1"/>
  <c r="AO173" s="1"/>
  <c r="AO174" s="1"/>
  <c r="AO175" s="1"/>
  <c r="AO176" s="1"/>
  <c r="AO177" s="1"/>
  <c r="AO178" s="1"/>
  <c r="AO179" s="1"/>
  <c r="AO180" s="1"/>
  <c r="AO181" s="1"/>
  <c r="AO182" s="1"/>
  <c r="AO183" s="1"/>
  <c r="AO184" s="1"/>
  <c r="AO185" s="1"/>
  <c r="AO186" s="1"/>
  <c r="AO187" s="1"/>
  <c r="AO188" s="1"/>
  <c r="AO189" s="1"/>
  <c r="AO190" s="1"/>
  <c r="AO191" s="1"/>
  <c r="AO192" s="1"/>
  <c r="AO193" s="1"/>
  <c r="AO194" s="1"/>
  <c r="AO195" s="1"/>
  <c r="AO196" s="1"/>
  <c r="AO197" s="1"/>
  <c r="AO198" s="1"/>
  <c r="AO199" s="1"/>
  <c r="AO200" s="1"/>
  <c r="AO136"/>
  <c r="AO137" s="1"/>
  <c r="AO138" s="1"/>
  <c r="AO139" s="1"/>
  <c r="AO140" s="1"/>
  <c r="AO141" s="1"/>
  <c r="AO142" s="1"/>
  <c r="AO143" s="1"/>
  <c r="AO144" s="1"/>
  <c r="AO145" s="1"/>
  <c r="AO146" s="1"/>
  <c r="AO147" s="1"/>
  <c r="AO148" s="1"/>
  <c r="AO149" s="1"/>
  <c r="AO150" s="1"/>
  <c r="AO151" s="1"/>
  <c r="AO152" s="1"/>
  <c r="AO153" s="1"/>
  <c r="AO154" s="1"/>
  <c r="AO155" s="1"/>
  <c r="AO156" s="1"/>
  <c r="AO157" s="1"/>
  <c r="AO158" s="1"/>
  <c r="AO159" s="1"/>
  <c r="AO160" s="1"/>
  <c r="AO161" s="1"/>
  <c r="AO162" s="1"/>
  <c r="AO163" s="1"/>
  <c r="AO164" s="1"/>
  <c r="AO165" s="1"/>
  <c r="AO166" s="1"/>
  <c r="AO167" s="1"/>
  <c r="AO103"/>
  <c r="AO104" s="1"/>
  <c r="AO105" s="1"/>
  <c r="AO106" s="1"/>
  <c r="AO107" s="1"/>
  <c r="AO108" s="1"/>
  <c r="AO109" s="1"/>
  <c r="AO110" s="1"/>
  <c r="AO111" s="1"/>
  <c r="AO112" s="1"/>
  <c r="AO113" s="1"/>
  <c r="AO114" s="1"/>
  <c r="AO115" s="1"/>
  <c r="AO116" s="1"/>
  <c r="AO117" s="1"/>
  <c r="AO118" s="1"/>
  <c r="AO119" s="1"/>
  <c r="AO120" s="1"/>
  <c r="AO121" s="1"/>
  <c r="AO122" s="1"/>
  <c r="AO123" s="1"/>
  <c r="AO124" s="1"/>
  <c r="AO125" s="1"/>
  <c r="AO126" s="1"/>
  <c r="AO127" s="1"/>
  <c r="AO128" s="1"/>
  <c r="AO129" s="1"/>
  <c r="AO130" s="1"/>
  <c r="AO131" s="1"/>
  <c r="AO132" s="1"/>
  <c r="AO133" s="1"/>
  <c r="AO134" s="1"/>
  <c r="AM134" s="1"/>
  <c r="AO70"/>
  <c r="AO71" s="1"/>
  <c r="AO72" s="1"/>
  <c r="AO73" s="1"/>
  <c r="AO74" s="1"/>
  <c r="AO75" s="1"/>
  <c r="AO76" s="1"/>
  <c r="AO77" s="1"/>
  <c r="AO78" s="1"/>
  <c r="AO79" s="1"/>
  <c r="AO80" s="1"/>
  <c r="AO81" s="1"/>
  <c r="AO82" s="1"/>
  <c r="AO83" s="1"/>
  <c r="AO84" s="1"/>
  <c r="AO85" s="1"/>
  <c r="AO86" s="1"/>
  <c r="AO87" s="1"/>
  <c r="AO88" s="1"/>
  <c r="AO89" s="1"/>
  <c r="AO90" s="1"/>
  <c r="AO91" s="1"/>
  <c r="AO92" s="1"/>
  <c r="AO93" s="1"/>
  <c r="AO94" s="1"/>
  <c r="AO95" s="1"/>
  <c r="AO96" s="1"/>
  <c r="AO97" s="1"/>
  <c r="AO98" s="1"/>
  <c r="AO99" s="1"/>
  <c r="AO100" s="1"/>
  <c r="AO101" s="1"/>
  <c r="AO37"/>
  <c r="AO38" s="1"/>
  <c r="AO39" s="1"/>
  <c r="AO40" s="1"/>
  <c r="AO41" s="1"/>
  <c r="AO42" s="1"/>
  <c r="AO43" s="1"/>
  <c r="AO44" s="1"/>
  <c r="AO45" s="1"/>
  <c r="AO46" s="1"/>
  <c r="AO47" s="1"/>
  <c r="AO48" s="1"/>
  <c r="AO49" s="1"/>
  <c r="AO50" s="1"/>
  <c r="AO51" s="1"/>
  <c r="AO52" s="1"/>
  <c r="AO53" s="1"/>
  <c r="AO54" s="1"/>
  <c r="AO55" s="1"/>
  <c r="AO56" s="1"/>
  <c r="AO57" s="1"/>
  <c r="AO58" s="1"/>
  <c r="AO59" s="1"/>
  <c r="AO60" s="1"/>
  <c r="AO61" s="1"/>
  <c r="AO62" s="1"/>
  <c r="AO63" s="1"/>
  <c r="AO64" s="1"/>
  <c r="AO65" s="1"/>
  <c r="AO66" s="1"/>
  <c r="AO67" s="1"/>
  <c r="AO68" s="1"/>
  <c r="AO4"/>
  <c r="AO5" s="1"/>
  <c r="AO6" s="1"/>
  <c r="AO7" s="1"/>
  <c r="AM7" s="1"/>
  <c r="AG3"/>
  <c r="AQ1072" s="1"/>
  <c r="G17" i="14"/>
  <c r="G16"/>
  <c r="G6"/>
  <c r="G7"/>
  <c r="G9"/>
  <c r="G10"/>
  <c r="G11"/>
  <c r="G12"/>
  <c r="G2"/>
  <c r="J4" i="6"/>
  <c r="R4" s="1"/>
  <c r="H4"/>
  <c r="F4" s="1"/>
  <c r="I4"/>
  <c r="G4" s="1"/>
  <c r="C17" i="14"/>
  <c r="C12"/>
  <c r="C16" s="1"/>
  <c r="S116" i="13"/>
  <c r="S221"/>
  <c r="S234"/>
  <c r="S35"/>
  <c r="S232"/>
  <c r="S204"/>
  <c r="S207"/>
  <c r="S135"/>
  <c r="S214"/>
  <c r="S154"/>
  <c r="S222"/>
  <c r="S235"/>
  <c r="S187"/>
  <c r="S203"/>
  <c r="S210"/>
  <c r="S226"/>
  <c r="S230"/>
  <c r="S136"/>
  <c r="S15"/>
  <c r="S228"/>
  <c r="S218"/>
  <c r="S117"/>
  <c r="S156"/>
  <c r="S212"/>
  <c r="S202"/>
  <c r="S211"/>
  <c r="S137"/>
  <c r="S215"/>
  <c r="S208"/>
  <c r="S225"/>
  <c r="S229"/>
  <c r="S205"/>
  <c r="S29"/>
  <c r="S216"/>
  <c r="S209"/>
  <c r="S219"/>
  <c r="S223"/>
  <c r="S233"/>
  <c r="S206"/>
  <c r="S155"/>
  <c r="S213"/>
  <c r="S217"/>
  <c r="S220"/>
  <c r="S224"/>
  <c r="S227"/>
  <c r="S231"/>
  <c r="S157"/>
  <c r="S94"/>
  <c r="S77"/>
  <c r="S95"/>
  <c r="S138"/>
  <c r="S16"/>
  <c r="S96"/>
  <c r="S140"/>
  <c r="S247"/>
  <c r="S252"/>
  <c r="S193"/>
  <c r="S24"/>
  <c r="S164"/>
  <c r="S167"/>
  <c r="S83"/>
  <c r="S196"/>
  <c r="S268"/>
  <c r="S38"/>
  <c r="S170"/>
  <c r="S278"/>
  <c r="S279"/>
  <c r="S282"/>
  <c r="S287"/>
  <c r="S292"/>
  <c r="S297"/>
  <c r="S300"/>
  <c r="S305"/>
  <c r="S100"/>
  <c r="S309"/>
  <c r="S174"/>
  <c r="S314"/>
  <c r="S199"/>
  <c r="S50"/>
  <c r="S23"/>
  <c r="S236"/>
  <c r="S78"/>
  <c r="S160"/>
  <c r="S79"/>
  <c r="S159"/>
  <c r="S161"/>
  <c r="S248"/>
  <c r="S253"/>
  <c r="S194"/>
  <c r="S255"/>
  <c r="S81"/>
  <c r="S258"/>
  <c r="S168"/>
  <c r="S264"/>
  <c r="S269"/>
  <c r="S273"/>
  <c r="S276"/>
  <c r="S172"/>
  <c r="S280"/>
  <c r="S283"/>
  <c r="S288"/>
  <c r="S293"/>
  <c r="S18"/>
  <c r="S301"/>
  <c r="S306"/>
  <c r="S312"/>
  <c r="S19"/>
  <c r="S188"/>
  <c r="S190"/>
  <c r="S237"/>
  <c r="S239"/>
  <c r="S139"/>
  <c r="S243"/>
  <c r="S141"/>
  <c r="S249"/>
  <c r="S43"/>
  <c r="S120"/>
  <c r="S5"/>
  <c r="S257"/>
  <c r="S259"/>
  <c r="S262"/>
  <c r="S265"/>
  <c r="S270"/>
  <c r="S274"/>
  <c r="S52"/>
  <c r="S197"/>
  <c r="S281"/>
  <c r="S284"/>
  <c r="S289"/>
  <c r="S294"/>
  <c r="S298"/>
  <c r="S302"/>
  <c r="S84"/>
  <c r="S315"/>
  <c r="S158"/>
  <c r="S36"/>
  <c r="S238"/>
  <c r="S240"/>
  <c r="S241"/>
  <c r="S244"/>
  <c r="S246"/>
  <c r="S250"/>
  <c r="S191"/>
  <c r="S162"/>
  <c r="S195"/>
  <c r="S80"/>
  <c r="S51"/>
  <c r="S165"/>
  <c r="S260"/>
  <c r="S261"/>
  <c r="S263"/>
  <c r="S266"/>
  <c r="S271"/>
  <c r="S275"/>
  <c r="S277"/>
  <c r="S99"/>
  <c r="S285"/>
  <c r="S290"/>
  <c r="S295"/>
  <c r="S299"/>
  <c r="S303"/>
  <c r="S307"/>
  <c r="S310"/>
  <c r="S53"/>
  <c r="S311"/>
  <c r="S142"/>
  <c r="S316"/>
  <c r="S189"/>
  <c r="S118"/>
  <c r="S37"/>
  <c r="S119"/>
  <c r="S242"/>
  <c r="S245"/>
  <c r="S327"/>
  <c r="S251"/>
  <c r="S192"/>
  <c r="S163"/>
  <c r="S254"/>
  <c r="S97"/>
  <c r="S67"/>
  <c r="S256"/>
  <c r="S98"/>
  <c r="S166"/>
  <c r="S82"/>
  <c r="S169"/>
  <c r="S267"/>
  <c r="S272"/>
  <c r="S2"/>
  <c r="S171"/>
  <c r="S173"/>
  <c r="S286"/>
  <c r="S291"/>
  <c r="S296"/>
  <c r="S198"/>
  <c r="S304"/>
  <c r="S308"/>
  <c r="S10"/>
  <c r="S313"/>
  <c r="S20"/>
  <c r="S54"/>
  <c r="S101"/>
  <c r="S44"/>
  <c r="S68"/>
  <c r="S21"/>
  <c r="S123"/>
  <c r="S143"/>
  <c r="S179"/>
  <c r="S319"/>
  <c r="S89"/>
  <c r="S41"/>
  <c r="S32"/>
  <c r="S59"/>
  <c r="S60"/>
  <c r="S322"/>
  <c r="S90"/>
  <c r="S62"/>
  <c r="S150"/>
  <c r="S13"/>
  <c r="S152"/>
  <c r="S66"/>
  <c r="S185"/>
  <c r="S34"/>
  <c r="S324"/>
  <c r="S153"/>
  <c r="S4"/>
  <c r="S175"/>
  <c r="S86"/>
  <c r="S8"/>
  <c r="S122"/>
  <c r="S57"/>
  <c r="S45"/>
  <c r="S124"/>
  <c r="S320"/>
  <c r="S144"/>
  <c r="S201"/>
  <c r="S58"/>
  <c r="S104"/>
  <c r="S105"/>
  <c r="S323"/>
  <c r="S22"/>
  <c r="S63"/>
  <c r="S7"/>
  <c r="S64"/>
  <c r="S183"/>
  <c r="S110"/>
  <c r="S111"/>
  <c r="S14"/>
  <c r="S112"/>
  <c r="S186"/>
  <c r="S326"/>
  <c r="S325"/>
  <c r="S121"/>
  <c r="S200"/>
  <c r="S39"/>
  <c r="S17"/>
  <c r="S25"/>
  <c r="S46"/>
  <c r="S318"/>
  <c r="S180"/>
  <c r="S145"/>
  <c r="S181"/>
  <c r="S71"/>
  <c r="S126"/>
  <c r="S61"/>
  <c r="S42"/>
  <c r="S106"/>
  <c r="S108"/>
  <c r="S151"/>
  <c r="S65"/>
  <c r="S184"/>
  <c r="S3"/>
  <c r="S92"/>
  <c r="S133"/>
  <c r="S49"/>
  <c r="S28"/>
  <c r="S115"/>
  <c r="S93"/>
  <c r="S176"/>
  <c r="S55"/>
  <c r="S30"/>
  <c r="S56"/>
  <c r="S40"/>
  <c r="S69"/>
  <c r="S9"/>
  <c r="S88"/>
  <c r="S26"/>
  <c r="S125"/>
  <c r="S31"/>
  <c r="S127"/>
  <c r="S182"/>
  <c r="S130"/>
  <c r="S72"/>
  <c r="S109"/>
  <c r="S73"/>
  <c r="S47"/>
  <c r="S132"/>
  <c r="S74"/>
  <c r="S76"/>
  <c r="S113"/>
  <c r="S85"/>
  <c r="S87"/>
  <c r="S177"/>
  <c r="S317"/>
  <c r="S12"/>
  <c r="S178"/>
  <c r="S70"/>
  <c r="S102"/>
  <c r="S321"/>
  <c r="S146"/>
  <c r="S147"/>
  <c r="S148"/>
  <c r="S103"/>
  <c r="S134"/>
  <c r="S128"/>
  <c r="S129"/>
  <c r="S149"/>
  <c r="S107"/>
  <c r="S91"/>
  <c r="S131"/>
  <c r="S33"/>
  <c r="S48"/>
  <c r="S27"/>
  <c r="S75"/>
  <c r="S11"/>
  <c r="S6"/>
  <c r="S114"/>
  <c r="R116"/>
  <c r="R221"/>
  <c r="R234"/>
  <c r="R35"/>
  <c r="R232"/>
  <c r="R204"/>
  <c r="R207"/>
  <c r="R135"/>
  <c r="R214"/>
  <c r="R154"/>
  <c r="R222"/>
  <c r="R235"/>
  <c r="R187"/>
  <c r="R203"/>
  <c r="R210"/>
  <c r="R226"/>
  <c r="R230"/>
  <c r="R136"/>
  <c r="R15"/>
  <c r="R228"/>
  <c r="R218"/>
  <c r="R117"/>
  <c r="R156"/>
  <c r="R212"/>
  <c r="R202"/>
  <c r="R211"/>
  <c r="R137"/>
  <c r="R215"/>
  <c r="R208"/>
  <c r="R225"/>
  <c r="R229"/>
  <c r="R205"/>
  <c r="R29"/>
  <c r="R216"/>
  <c r="R209"/>
  <c r="R219"/>
  <c r="R223"/>
  <c r="R233"/>
  <c r="R206"/>
  <c r="R155"/>
  <c r="R213"/>
  <c r="R217"/>
  <c r="R220"/>
  <c r="R224"/>
  <c r="R227"/>
  <c r="R231"/>
  <c r="R157"/>
  <c r="R94"/>
  <c r="R77"/>
  <c r="R95"/>
  <c r="R138"/>
  <c r="R16"/>
  <c r="R96"/>
  <c r="R140"/>
  <c r="R247"/>
  <c r="R252"/>
  <c r="R193"/>
  <c r="R24"/>
  <c r="R164"/>
  <c r="R167"/>
  <c r="R83"/>
  <c r="R196"/>
  <c r="R268"/>
  <c r="R38"/>
  <c r="R170"/>
  <c r="R278"/>
  <c r="R279"/>
  <c r="R282"/>
  <c r="R287"/>
  <c r="R292"/>
  <c r="R297"/>
  <c r="R300"/>
  <c r="R305"/>
  <c r="R100"/>
  <c r="R309"/>
  <c r="R174"/>
  <c r="R314"/>
  <c r="R199"/>
  <c r="R50"/>
  <c r="R23"/>
  <c r="R236"/>
  <c r="R78"/>
  <c r="R160"/>
  <c r="R79"/>
  <c r="R159"/>
  <c r="R161"/>
  <c r="R248"/>
  <c r="R253"/>
  <c r="R194"/>
  <c r="R255"/>
  <c r="R81"/>
  <c r="R258"/>
  <c r="R168"/>
  <c r="R264"/>
  <c r="R269"/>
  <c r="R273"/>
  <c r="R276"/>
  <c r="R172"/>
  <c r="R280"/>
  <c r="R283"/>
  <c r="R288"/>
  <c r="R293"/>
  <c r="R18"/>
  <c r="R301"/>
  <c r="R306"/>
  <c r="R312"/>
  <c r="R19"/>
  <c r="R188"/>
  <c r="R190"/>
  <c r="R237"/>
  <c r="R239"/>
  <c r="R139"/>
  <c r="R243"/>
  <c r="R141"/>
  <c r="R249"/>
  <c r="R43"/>
  <c r="R120"/>
  <c r="R5"/>
  <c r="R257"/>
  <c r="R259"/>
  <c r="R262"/>
  <c r="R265"/>
  <c r="R270"/>
  <c r="R274"/>
  <c r="R52"/>
  <c r="R197"/>
  <c r="R281"/>
  <c r="R284"/>
  <c r="R289"/>
  <c r="R294"/>
  <c r="R298"/>
  <c r="R302"/>
  <c r="R84"/>
  <c r="R315"/>
  <c r="R158"/>
  <c r="R36"/>
  <c r="R238"/>
  <c r="R240"/>
  <c r="R241"/>
  <c r="R244"/>
  <c r="R246"/>
  <c r="R250"/>
  <c r="R191"/>
  <c r="R162"/>
  <c r="R195"/>
  <c r="R80"/>
  <c r="R51"/>
  <c r="R165"/>
  <c r="R260"/>
  <c r="R261"/>
  <c r="R263"/>
  <c r="R266"/>
  <c r="R271"/>
  <c r="R275"/>
  <c r="R277"/>
  <c r="R99"/>
  <c r="R285"/>
  <c r="R290"/>
  <c r="R295"/>
  <c r="R299"/>
  <c r="R303"/>
  <c r="R307"/>
  <c r="R310"/>
  <c r="R53"/>
  <c r="R311"/>
  <c r="R142"/>
  <c r="R316"/>
  <c r="R189"/>
  <c r="R118"/>
  <c r="R37"/>
  <c r="R119"/>
  <c r="R242"/>
  <c r="R245"/>
  <c r="R327"/>
  <c r="R251"/>
  <c r="R192"/>
  <c r="R163"/>
  <c r="R254"/>
  <c r="R97"/>
  <c r="R67"/>
  <c r="R256"/>
  <c r="R98"/>
  <c r="R166"/>
  <c r="R82"/>
  <c r="R169"/>
  <c r="R267"/>
  <c r="R272"/>
  <c r="R2"/>
  <c r="R171"/>
  <c r="R173"/>
  <c r="R286"/>
  <c r="R291"/>
  <c r="R296"/>
  <c r="R198"/>
  <c r="R304"/>
  <c r="R308"/>
  <c r="R10"/>
  <c r="R313"/>
  <c r="R20"/>
  <c r="R54"/>
  <c r="R101"/>
  <c r="R44"/>
  <c r="R68"/>
  <c r="R21"/>
  <c r="R123"/>
  <c r="R143"/>
  <c r="R179"/>
  <c r="R319"/>
  <c r="R89"/>
  <c r="R41"/>
  <c r="R32"/>
  <c r="R59"/>
  <c r="R60"/>
  <c r="R322"/>
  <c r="R90"/>
  <c r="R62"/>
  <c r="R150"/>
  <c r="R13"/>
  <c r="R152"/>
  <c r="R66"/>
  <c r="R185"/>
  <c r="R34"/>
  <c r="R324"/>
  <c r="R153"/>
  <c r="R4"/>
  <c r="R175"/>
  <c r="R86"/>
  <c r="R8"/>
  <c r="R122"/>
  <c r="R57"/>
  <c r="R45"/>
  <c r="R124"/>
  <c r="R320"/>
  <c r="R144"/>
  <c r="R201"/>
  <c r="R58"/>
  <c r="R104"/>
  <c r="R105"/>
  <c r="R323"/>
  <c r="R22"/>
  <c r="R63"/>
  <c r="R7"/>
  <c r="R64"/>
  <c r="R183"/>
  <c r="R110"/>
  <c r="R111"/>
  <c r="R14"/>
  <c r="R112"/>
  <c r="R186"/>
  <c r="R326"/>
  <c r="R325"/>
  <c r="R121"/>
  <c r="R200"/>
  <c r="R39"/>
  <c r="R17"/>
  <c r="R25"/>
  <c r="R46"/>
  <c r="R318"/>
  <c r="R180"/>
  <c r="R145"/>
  <c r="R181"/>
  <c r="R71"/>
  <c r="R126"/>
  <c r="R61"/>
  <c r="R42"/>
  <c r="R106"/>
  <c r="R108"/>
  <c r="R151"/>
  <c r="R65"/>
  <c r="R184"/>
  <c r="R3"/>
  <c r="R92"/>
  <c r="R133"/>
  <c r="R49"/>
  <c r="R28"/>
  <c r="R115"/>
  <c r="R93"/>
  <c r="R176"/>
  <c r="R55"/>
  <c r="R30"/>
  <c r="R56"/>
  <c r="R40"/>
  <c r="R69"/>
  <c r="R9"/>
  <c r="R88"/>
  <c r="R26"/>
  <c r="R125"/>
  <c r="R31"/>
  <c r="R127"/>
  <c r="R182"/>
  <c r="R130"/>
  <c r="R72"/>
  <c r="R109"/>
  <c r="R73"/>
  <c r="R47"/>
  <c r="R132"/>
  <c r="R74"/>
  <c r="R76"/>
  <c r="R113"/>
  <c r="R85"/>
  <c r="R87"/>
  <c r="R177"/>
  <c r="R317"/>
  <c r="R12"/>
  <c r="R178"/>
  <c r="R70"/>
  <c r="R102"/>
  <c r="R321"/>
  <c r="R146"/>
  <c r="R147"/>
  <c r="R148"/>
  <c r="R103"/>
  <c r="R134"/>
  <c r="R128"/>
  <c r="R129"/>
  <c r="R149"/>
  <c r="R107"/>
  <c r="R91"/>
  <c r="R131"/>
  <c r="R33"/>
  <c r="R48"/>
  <c r="R27"/>
  <c r="R75"/>
  <c r="R11"/>
  <c r="R6"/>
  <c r="R114"/>
  <c r="Q116"/>
  <c r="Q221"/>
  <c r="Q234"/>
  <c r="Q35"/>
  <c r="Q232"/>
  <c r="Q204"/>
  <c r="Q207"/>
  <c r="Q135"/>
  <c r="Q214"/>
  <c r="Q154"/>
  <c r="Q222"/>
  <c r="Q235"/>
  <c r="Q187"/>
  <c r="Q203"/>
  <c r="Q210"/>
  <c r="Q226"/>
  <c r="Q230"/>
  <c r="Q136"/>
  <c r="Q15"/>
  <c r="Q228"/>
  <c r="Q218"/>
  <c r="Q117"/>
  <c r="Q156"/>
  <c r="Q212"/>
  <c r="Q202"/>
  <c r="Q211"/>
  <c r="Q137"/>
  <c r="Q215"/>
  <c r="Q208"/>
  <c r="Q225"/>
  <c r="Q229"/>
  <c r="Q205"/>
  <c r="Q29"/>
  <c r="Q216"/>
  <c r="Q209"/>
  <c r="Q219"/>
  <c r="Q223"/>
  <c r="Q233"/>
  <c r="Q206"/>
  <c r="Q155"/>
  <c r="Q213"/>
  <c r="Q217"/>
  <c r="Q220"/>
  <c r="Q224"/>
  <c r="Q227"/>
  <c r="Q231"/>
  <c r="Q157"/>
  <c r="Q94"/>
  <c r="Q77"/>
  <c r="Q95"/>
  <c r="Q138"/>
  <c r="Q16"/>
  <c r="Q96"/>
  <c r="Q140"/>
  <c r="Q247"/>
  <c r="Q252"/>
  <c r="Q193"/>
  <c r="Q24"/>
  <c r="Q164"/>
  <c r="Q167"/>
  <c r="Q83"/>
  <c r="Q196"/>
  <c r="Q268"/>
  <c r="Q38"/>
  <c r="Q170"/>
  <c r="Q278"/>
  <c r="Q279"/>
  <c r="Q282"/>
  <c r="Q287"/>
  <c r="Q292"/>
  <c r="Q297"/>
  <c r="Q300"/>
  <c r="Q305"/>
  <c r="Q100"/>
  <c r="Q309"/>
  <c r="Q174"/>
  <c r="Q314"/>
  <c r="Q199"/>
  <c r="Q50"/>
  <c r="Q23"/>
  <c r="Q236"/>
  <c r="Q78"/>
  <c r="Q160"/>
  <c r="Q79"/>
  <c r="Q159"/>
  <c r="Q161"/>
  <c r="Q248"/>
  <c r="Q253"/>
  <c r="Q194"/>
  <c r="Q255"/>
  <c r="Q81"/>
  <c r="Q258"/>
  <c r="Q168"/>
  <c r="Q264"/>
  <c r="Q269"/>
  <c r="Q273"/>
  <c r="Q276"/>
  <c r="Q172"/>
  <c r="Q280"/>
  <c r="Q283"/>
  <c r="Q288"/>
  <c r="Q293"/>
  <c r="Q18"/>
  <c r="Q301"/>
  <c r="Q306"/>
  <c r="Q312"/>
  <c r="Q19"/>
  <c r="Q188"/>
  <c r="Q190"/>
  <c r="Q237"/>
  <c r="Q239"/>
  <c r="Q139"/>
  <c r="Q243"/>
  <c r="Q141"/>
  <c r="Q249"/>
  <c r="Q43"/>
  <c r="Q120"/>
  <c r="Q5"/>
  <c r="Q257"/>
  <c r="Q259"/>
  <c r="Q262"/>
  <c r="Q265"/>
  <c r="Q270"/>
  <c r="Q274"/>
  <c r="Q52"/>
  <c r="Q197"/>
  <c r="Q281"/>
  <c r="Q284"/>
  <c r="Q289"/>
  <c r="Q294"/>
  <c r="Q298"/>
  <c r="Q302"/>
  <c r="Q84"/>
  <c r="Q315"/>
  <c r="Q158"/>
  <c r="Q36"/>
  <c r="Q238"/>
  <c r="Q240"/>
  <c r="Q241"/>
  <c r="Q244"/>
  <c r="Q246"/>
  <c r="Q250"/>
  <c r="Q191"/>
  <c r="Q162"/>
  <c r="Q195"/>
  <c r="Q80"/>
  <c r="Q51"/>
  <c r="Q165"/>
  <c r="Q260"/>
  <c r="Q261"/>
  <c r="Q263"/>
  <c r="Q266"/>
  <c r="Q271"/>
  <c r="Q275"/>
  <c r="Q277"/>
  <c r="Q99"/>
  <c r="Q285"/>
  <c r="Q290"/>
  <c r="Q295"/>
  <c r="Q299"/>
  <c r="Q303"/>
  <c r="Q307"/>
  <c r="Q310"/>
  <c r="Q53"/>
  <c r="Q311"/>
  <c r="Q142"/>
  <c r="Q316"/>
  <c r="Q189"/>
  <c r="Q118"/>
  <c r="Q37"/>
  <c r="Q119"/>
  <c r="Q242"/>
  <c r="Q245"/>
  <c r="Q327"/>
  <c r="Q251"/>
  <c r="Q192"/>
  <c r="Q163"/>
  <c r="Q254"/>
  <c r="Q97"/>
  <c r="Q67"/>
  <c r="Q256"/>
  <c r="Q98"/>
  <c r="Q166"/>
  <c r="Q82"/>
  <c r="Q169"/>
  <c r="Q267"/>
  <c r="Q272"/>
  <c r="Q2"/>
  <c r="Q171"/>
  <c r="Q173"/>
  <c r="Q286"/>
  <c r="Q291"/>
  <c r="Q296"/>
  <c r="Q198"/>
  <c r="Q304"/>
  <c r="Q308"/>
  <c r="Q10"/>
  <c r="Q313"/>
  <c r="Q20"/>
  <c r="Q54"/>
  <c r="Q101"/>
  <c r="Q44"/>
  <c r="Q68"/>
  <c r="Q21"/>
  <c r="Q123"/>
  <c r="Q143"/>
  <c r="Q179"/>
  <c r="Q319"/>
  <c r="Q89"/>
  <c r="Q41"/>
  <c r="Q32"/>
  <c r="Q59"/>
  <c r="Q60"/>
  <c r="Q322"/>
  <c r="Q90"/>
  <c r="Q62"/>
  <c r="Q150"/>
  <c r="Q13"/>
  <c r="Q152"/>
  <c r="Q66"/>
  <c r="Q185"/>
  <c r="Q34"/>
  <c r="Q324"/>
  <c r="Q153"/>
  <c r="Q4"/>
  <c r="Q175"/>
  <c r="Q86"/>
  <c r="Q8"/>
  <c r="Q122"/>
  <c r="Q57"/>
  <c r="Q45"/>
  <c r="Q124"/>
  <c r="Q320"/>
  <c r="Q144"/>
  <c r="Q201"/>
  <c r="Q58"/>
  <c r="Q104"/>
  <c r="Q105"/>
  <c r="Q323"/>
  <c r="Q22"/>
  <c r="Q63"/>
  <c r="Q7"/>
  <c r="Q64"/>
  <c r="Q183"/>
  <c r="Q110"/>
  <c r="Q111"/>
  <c r="Q14"/>
  <c r="Q112"/>
  <c r="Q186"/>
  <c r="Q326"/>
  <c r="Q325"/>
  <c r="Q121"/>
  <c r="Q200"/>
  <c r="Q39"/>
  <c r="Q17"/>
  <c r="Q25"/>
  <c r="Q46"/>
  <c r="Q318"/>
  <c r="Q180"/>
  <c r="Q145"/>
  <c r="Q181"/>
  <c r="Q71"/>
  <c r="Q126"/>
  <c r="Q61"/>
  <c r="Q42"/>
  <c r="Q106"/>
  <c r="Q108"/>
  <c r="Q151"/>
  <c r="Q65"/>
  <c r="Q184"/>
  <c r="Q3"/>
  <c r="Q92"/>
  <c r="Q133"/>
  <c r="Q49"/>
  <c r="Q28"/>
  <c r="Q115"/>
  <c r="Q93"/>
  <c r="Q176"/>
  <c r="Q55"/>
  <c r="Q30"/>
  <c r="Q56"/>
  <c r="Q40"/>
  <c r="Q69"/>
  <c r="Q9"/>
  <c r="Q88"/>
  <c r="Q26"/>
  <c r="Q125"/>
  <c r="Q31"/>
  <c r="Q127"/>
  <c r="Q182"/>
  <c r="Q130"/>
  <c r="Q72"/>
  <c r="Q109"/>
  <c r="Q73"/>
  <c r="Q47"/>
  <c r="Q132"/>
  <c r="Q74"/>
  <c r="Q76"/>
  <c r="Q113"/>
  <c r="Q85"/>
  <c r="Q87"/>
  <c r="Q177"/>
  <c r="Q317"/>
  <c r="Q12"/>
  <c r="Q178"/>
  <c r="Q70"/>
  <c r="Q102"/>
  <c r="Q321"/>
  <c r="Q146"/>
  <c r="Q147"/>
  <c r="Q148"/>
  <c r="Q103"/>
  <c r="Q134"/>
  <c r="Q128"/>
  <c r="Q129"/>
  <c r="Q149"/>
  <c r="Q107"/>
  <c r="Q91"/>
  <c r="Q131"/>
  <c r="Q33"/>
  <c r="Q48"/>
  <c r="Q27"/>
  <c r="Q75"/>
  <c r="Q11"/>
  <c r="Q6"/>
  <c r="Q114"/>
  <c r="T116"/>
  <c r="T221"/>
  <c r="T234"/>
  <c r="T35"/>
  <c r="T232"/>
  <c r="T204"/>
  <c r="T207"/>
  <c r="T135"/>
  <c r="T214"/>
  <c r="T154"/>
  <c r="T222"/>
  <c r="T235"/>
  <c r="T187"/>
  <c r="T203"/>
  <c r="T210"/>
  <c r="T226"/>
  <c r="T230"/>
  <c r="T136"/>
  <c r="T15"/>
  <c r="T228"/>
  <c r="T218"/>
  <c r="T117"/>
  <c r="T156"/>
  <c r="T212"/>
  <c r="T202"/>
  <c r="T211"/>
  <c r="T137"/>
  <c r="T215"/>
  <c r="T208"/>
  <c r="T225"/>
  <c r="T229"/>
  <c r="T205"/>
  <c r="T29"/>
  <c r="T216"/>
  <c r="T209"/>
  <c r="T219"/>
  <c r="T223"/>
  <c r="T233"/>
  <c r="T206"/>
  <c r="T155"/>
  <c r="T213"/>
  <c r="T217"/>
  <c r="T220"/>
  <c r="T224"/>
  <c r="T227"/>
  <c r="T231"/>
  <c r="T157"/>
  <c r="T94"/>
  <c r="T77"/>
  <c r="T95"/>
  <c r="T138"/>
  <c r="T16"/>
  <c r="T96"/>
  <c r="T140"/>
  <c r="T247"/>
  <c r="T252"/>
  <c r="T193"/>
  <c r="T24"/>
  <c r="T164"/>
  <c r="T167"/>
  <c r="T83"/>
  <c r="T196"/>
  <c r="T268"/>
  <c r="T38"/>
  <c r="T170"/>
  <c r="T278"/>
  <c r="T279"/>
  <c r="T282"/>
  <c r="T287"/>
  <c r="T292"/>
  <c r="T297"/>
  <c r="T300"/>
  <c r="T305"/>
  <c r="T100"/>
  <c r="T309"/>
  <c r="T174"/>
  <c r="T314"/>
  <c r="T199"/>
  <c r="T50"/>
  <c r="T23"/>
  <c r="T236"/>
  <c r="T78"/>
  <c r="T160"/>
  <c r="T79"/>
  <c r="T159"/>
  <c r="T161"/>
  <c r="T248"/>
  <c r="T253"/>
  <c r="T194"/>
  <c r="T255"/>
  <c r="T81"/>
  <c r="T258"/>
  <c r="T168"/>
  <c r="T264"/>
  <c r="T269"/>
  <c r="T273"/>
  <c r="T276"/>
  <c r="T172"/>
  <c r="T280"/>
  <c r="T283"/>
  <c r="T288"/>
  <c r="T293"/>
  <c r="T18"/>
  <c r="T301"/>
  <c r="T306"/>
  <c r="T312"/>
  <c r="T19"/>
  <c r="T188"/>
  <c r="T190"/>
  <c r="T237"/>
  <c r="T239"/>
  <c r="T139"/>
  <c r="T243"/>
  <c r="T141"/>
  <c r="T249"/>
  <c r="T43"/>
  <c r="T120"/>
  <c r="T5"/>
  <c r="T257"/>
  <c r="T259"/>
  <c r="T262"/>
  <c r="T265"/>
  <c r="T270"/>
  <c r="T274"/>
  <c r="T52"/>
  <c r="T197"/>
  <c r="T281"/>
  <c r="T284"/>
  <c r="T289"/>
  <c r="T294"/>
  <c r="T298"/>
  <c r="T302"/>
  <c r="T84"/>
  <c r="T315"/>
  <c r="T158"/>
  <c r="T36"/>
  <c r="T238"/>
  <c r="T240"/>
  <c r="T241"/>
  <c r="T244"/>
  <c r="T246"/>
  <c r="T250"/>
  <c r="T191"/>
  <c r="T162"/>
  <c r="T195"/>
  <c r="T80"/>
  <c r="T51"/>
  <c r="T165"/>
  <c r="T260"/>
  <c r="T261"/>
  <c r="T263"/>
  <c r="T266"/>
  <c r="T271"/>
  <c r="T275"/>
  <c r="T277"/>
  <c r="T99"/>
  <c r="T285"/>
  <c r="T290"/>
  <c r="T295"/>
  <c r="T299"/>
  <c r="T303"/>
  <c r="T307"/>
  <c r="T310"/>
  <c r="T53"/>
  <c r="T311"/>
  <c r="T142"/>
  <c r="T316"/>
  <c r="T189"/>
  <c r="T118"/>
  <c r="T37"/>
  <c r="T119"/>
  <c r="T242"/>
  <c r="T245"/>
  <c r="T327"/>
  <c r="T251"/>
  <c r="T192"/>
  <c r="T163"/>
  <c r="T254"/>
  <c r="T97"/>
  <c r="T67"/>
  <c r="T256"/>
  <c r="T98"/>
  <c r="T166"/>
  <c r="T82"/>
  <c r="T169"/>
  <c r="T267"/>
  <c r="T272"/>
  <c r="T2"/>
  <c r="T171"/>
  <c r="T173"/>
  <c r="T286"/>
  <c r="T291"/>
  <c r="T296"/>
  <c r="T198"/>
  <c r="T304"/>
  <c r="T308"/>
  <c r="T10"/>
  <c r="T313"/>
  <c r="T20"/>
  <c r="T54"/>
  <c r="T101"/>
  <c r="T44"/>
  <c r="T68"/>
  <c r="T21"/>
  <c r="T123"/>
  <c r="T143"/>
  <c r="T179"/>
  <c r="T319"/>
  <c r="T89"/>
  <c r="T41"/>
  <c r="T32"/>
  <c r="T59"/>
  <c r="T60"/>
  <c r="T322"/>
  <c r="T90"/>
  <c r="T62"/>
  <c r="T150"/>
  <c r="T13"/>
  <c r="T152"/>
  <c r="T66"/>
  <c r="T185"/>
  <c r="T34"/>
  <c r="T324"/>
  <c r="T153"/>
  <c r="T4"/>
  <c r="T175"/>
  <c r="T86"/>
  <c r="T8"/>
  <c r="T122"/>
  <c r="T57"/>
  <c r="T45"/>
  <c r="T124"/>
  <c r="T320"/>
  <c r="T144"/>
  <c r="T201"/>
  <c r="T58"/>
  <c r="T104"/>
  <c r="T105"/>
  <c r="T323"/>
  <c r="T22"/>
  <c r="T63"/>
  <c r="T7"/>
  <c r="T64"/>
  <c r="T183"/>
  <c r="T110"/>
  <c r="T111"/>
  <c r="T14"/>
  <c r="T112"/>
  <c r="T186"/>
  <c r="T326"/>
  <c r="T325"/>
  <c r="T121"/>
  <c r="T200"/>
  <c r="T39"/>
  <c r="T17"/>
  <c r="T25"/>
  <c r="T46"/>
  <c r="T318"/>
  <c r="T180"/>
  <c r="T145"/>
  <c r="T181"/>
  <c r="T71"/>
  <c r="T126"/>
  <c r="T61"/>
  <c r="T42"/>
  <c r="T106"/>
  <c r="T108"/>
  <c r="T151"/>
  <c r="T65"/>
  <c r="T184"/>
  <c r="T3"/>
  <c r="T92"/>
  <c r="T133"/>
  <c r="T49"/>
  <c r="T28"/>
  <c r="T115"/>
  <c r="T93"/>
  <c r="T176"/>
  <c r="T55"/>
  <c r="T30"/>
  <c r="T56"/>
  <c r="T40"/>
  <c r="T69"/>
  <c r="T9"/>
  <c r="T88"/>
  <c r="T26"/>
  <c r="T125"/>
  <c r="T31"/>
  <c r="T127"/>
  <c r="T182"/>
  <c r="T130"/>
  <c r="T72"/>
  <c r="T109"/>
  <c r="T73"/>
  <c r="T47"/>
  <c r="T132"/>
  <c r="T74"/>
  <c r="T76"/>
  <c r="T113"/>
  <c r="T85"/>
  <c r="T87"/>
  <c r="T177"/>
  <c r="T317"/>
  <c r="T12"/>
  <c r="T178"/>
  <c r="T70"/>
  <c r="T102"/>
  <c r="T321"/>
  <c r="T146"/>
  <c r="T147"/>
  <c r="T148"/>
  <c r="T103"/>
  <c r="T134"/>
  <c r="T128"/>
  <c r="T129"/>
  <c r="T149"/>
  <c r="T107"/>
  <c r="T91"/>
  <c r="T131"/>
  <c r="T33"/>
  <c r="T48"/>
  <c r="T27"/>
  <c r="T75"/>
  <c r="T11"/>
  <c r="T6"/>
  <c r="T114"/>
  <c r="AT101" i="6" l="1"/>
  <c r="AR1174"/>
  <c r="AR1182"/>
  <c r="AR1166"/>
  <c r="AQ1146"/>
  <c r="AQ1114"/>
  <c r="AQ1082"/>
  <c r="AR1190"/>
  <c r="AQ1130"/>
  <c r="AR1178"/>
  <c r="AR1162"/>
  <c r="AQ1138"/>
  <c r="AQ1106"/>
  <c r="AQ1074"/>
  <c r="AR1158"/>
  <c r="AQ1098"/>
  <c r="AQ3"/>
  <c r="AR1186"/>
  <c r="AR1170"/>
  <c r="AQ1154"/>
  <c r="AQ1122"/>
  <c r="AQ1090"/>
  <c r="AT167"/>
  <c r="AR1188"/>
  <c r="AR1184"/>
  <c r="AR1180"/>
  <c r="AR1176"/>
  <c r="AR1172"/>
  <c r="AR1168"/>
  <c r="AR1164"/>
  <c r="AR1160"/>
  <c r="AR1156"/>
  <c r="AQ1150"/>
  <c r="AQ1142"/>
  <c r="AQ1134"/>
  <c r="AQ1126"/>
  <c r="AQ1118"/>
  <c r="AQ1110"/>
  <c r="AQ1102"/>
  <c r="AQ1094"/>
  <c r="AQ1086"/>
  <c r="AQ1078"/>
  <c r="AQ1070"/>
  <c r="AQ1188"/>
  <c r="AQ1184"/>
  <c r="AQ1180"/>
  <c r="AQ1176"/>
  <c r="AQ1172"/>
  <c r="AQ1168"/>
  <c r="AQ1164"/>
  <c r="AQ1160"/>
  <c r="AQ1156"/>
  <c r="AQ1148"/>
  <c r="AQ1140"/>
  <c r="AQ1132"/>
  <c r="AQ1124"/>
  <c r="AQ1116"/>
  <c r="AQ1108"/>
  <c r="AQ1100"/>
  <c r="AQ1092"/>
  <c r="AQ1084"/>
  <c r="AQ1076"/>
  <c r="AR3"/>
  <c r="AQ1190"/>
  <c r="AQ1186"/>
  <c r="AQ1182"/>
  <c r="AQ1178"/>
  <c r="AQ1174"/>
  <c r="AQ1170"/>
  <c r="AQ1166"/>
  <c r="AQ1162"/>
  <c r="AQ1158"/>
  <c r="AQ1152"/>
  <c r="AQ1144"/>
  <c r="AQ1136"/>
  <c r="AQ1128"/>
  <c r="AQ1120"/>
  <c r="AQ1112"/>
  <c r="AQ1104"/>
  <c r="AQ1096"/>
  <c r="AQ1088"/>
  <c r="AQ1080"/>
  <c r="AT231"/>
  <c r="AT227"/>
  <c r="AT223"/>
  <c r="AT219"/>
  <c r="AT215"/>
  <c r="AT211"/>
  <c r="AT207"/>
  <c r="AT203"/>
  <c r="AU232"/>
  <c r="AU228"/>
  <c r="AU224"/>
  <c r="AU220"/>
  <c r="AU216"/>
  <c r="AU212"/>
  <c r="AU208"/>
  <c r="AU204"/>
  <c r="AU3"/>
  <c r="AU135"/>
  <c r="AU236"/>
  <c r="AU240"/>
  <c r="AU244"/>
  <c r="AU248"/>
  <c r="AU252"/>
  <c r="AU256"/>
  <c r="AU260"/>
  <c r="AU264"/>
  <c r="AU268"/>
  <c r="AU272"/>
  <c r="AU276"/>
  <c r="AU280"/>
  <c r="AU284"/>
  <c r="AU288"/>
  <c r="AU292"/>
  <c r="AU296"/>
  <c r="AU300"/>
  <c r="AU304"/>
  <c r="AU308"/>
  <c r="AU312"/>
  <c r="AU316"/>
  <c r="AU320"/>
  <c r="AU324"/>
  <c r="AU328"/>
  <c r="AU332"/>
  <c r="AU336"/>
  <c r="AU340"/>
  <c r="AU344"/>
  <c r="AU348"/>
  <c r="AU352"/>
  <c r="AU356"/>
  <c r="AU360"/>
  <c r="AU364"/>
  <c r="AU368"/>
  <c r="AU372"/>
  <c r="AU376"/>
  <c r="AU380"/>
  <c r="AU384"/>
  <c r="AU388"/>
  <c r="AU392"/>
  <c r="AU396"/>
  <c r="AU400"/>
  <c r="AU404"/>
  <c r="AU408"/>
  <c r="AU412"/>
  <c r="AT230"/>
  <c r="AT226"/>
  <c r="AT222"/>
  <c r="AT218"/>
  <c r="AT214"/>
  <c r="AT210"/>
  <c r="AT206"/>
  <c r="AT202"/>
  <c r="AT233"/>
  <c r="AT229"/>
  <c r="AT225"/>
  <c r="AT221"/>
  <c r="AT217"/>
  <c r="AT213"/>
  <c r="AT209"/>
  <c r="AT205"/>
  <c r="AT201"/>
  <c r="AU230"/>
  <c r="AU226"/>
  <c r="AU222"/>
  <c r="AU218"/>
  <c r="AU214"/>
  <c r="AU210"/>
  <c r="AU206"/>
  <c r="AU202"/>
  <c r="AU69"/>
  <c r="AU234"/>
  <c r="AU238"/>
  <c r="AU242"/>
  <c r="AU246"/>
  <c r="AU250"/>
  <c r="AU254"/>
  <c r="AU258"/>
  <c r="AU262"/>
  <c r="AU266"/>
  <c r="AU270"/>
  <c r="AU274"/>
  <c r="AU278"/>
  <c r="AU282"/>
  <c r="AU286"/>
  <c r="AU290"/>
  <c r="AU294"/>
  <c r="AU298"/>
  <c r="AU302"/>
  <c r="AU306"/>
  <c r="AU310"/>
  <c r="AU314"/>
  <c r="AU318"/>
  <c r="AU322"/>
  <c r="AU326"/>
  <c r="AU330"/>
  <c r="AU334"/>
  <c r="AU338"/>
  <c r="AU342"/>
  <c r="AU346"/>
  <c r="AU350"/>
  <c r="AU354"/>
  <c r="AU358"/>
  <c r="AU362"/>
  <c r="AU366"/>
  <c r="AU370"/>
  <c r="AU374"/>
  <c r="AU378"/>
  <c r="AU382"/>
  <c r="AU386"/>
  <c r="AU390"/>
  <c r="AU394"/>
  <c r="AU398"/>
  <c r="AU402"/>
  <c r="AU406"/>
  <c r="AU410"/>
  <c r="AT232"/>
  <c r="AT228"/>
  <c r="AT224"/>
  <c r="AT220"/>
  <c r="AT216"/>
  <c r="AT212"/>
  <c r="AT208"/>
  <c r="AT204"/>
  <c r="AU233"/>
  <c r="AU229"/>
  <c r="AU225"/>
  <c r="AU221"/>
  <c r="AU217"/>
  <c r="AU213"/>
  <c r="AU209"/>
  <c r="AU205"/>
  <c r="AU201"/>
  <c r="AU231"/>
  <c r="AU215"/>
  <c r="AU36"/>
  <c r="AU237"/>
  <c r="AU245"/>
  <c r="AU253"/>
  <c r="AU261"/>
  <c r="AU269"/>
  <c r="AU277"/>
  <c r="AU285"/>
  <c r="AU293"/>
  <c r="AU301"/>
  <c r="AU309"/>
  <c r="AU317"/>
  <c r="AU325"/>
  <c r="AU333"/>
  <c r="AU341"/>
  <c r="AU349"/>
  <c r="AU357"/>
  <c r="AU365"/>
  <c r="AU373"/>
  <c r="AU381"/>
  <c r="AU389"/>
  <c r="AU397"/>
  <c r="AU405"/>
  <c r="AU413"/>
  <c r="AU417"/>
  <c r="AU421"/>
  <c r="AU425"/>
  <c r="AU429"/>
  <c r="AU433"/>
  <c r="AU437"/>
  <c r="AU441"/>
  <c r="AU445"/>
  <c r="AU449"/>
  <c r="AU453"/>
  <c r="AU457"/>
  <c r="AU461"/>
  <c r="AU465"/>
  <c r="AU469"/>
  <c r="AU473"/>
  <c r="AU477"/>
  <c r="AU481"/>
  <c r="AU485"/>
  <c r="AU489"/>
  <c r="AU493"/>
  <c r="AU497"/>
  <c r="AU501"/>
  <c r="AU505"/>
  <c r="AU509"/>
  <c r="AU513"/>
  <c r="AU517"/>
  <c r="AU521"/>
  <c r="AU525"/>
  <c r="AU529"/>
  <c r="AU533"/>
  <c r="AU537"/>
  <c r="AU541"/>
  <c r="AU545"/>
  <c r="AU549"/>
  <c r="AU553"/>
  <c r="AU557"/>
  <c r="AU561"/>
  <c r="AU565"/>
  <c r="AU569"/>
  <c r="AU573"/>
  <c r="AU577"/>
  <c r="AU581"/>
  <c r="AU585"/>
  <c r="AU589"/>
  <c r="AU593"/>
  <c r="AU597"/>
  <c r="AU601"/>
  <c r="AU605"/>
  <c r="AU609"/>
  <c r="AU613"/>
  <c r="AU617"/>
  <c r="AU621"/>
  <c r="AU625"/>
  <c r="AU629"/>
  <c r="AU633"/>
  <c r="AU637"/>
  <c r="AU641"/>
  <c r="AU645"/>
  <c r="AU227"/>
  <c r="AU211"/>
  <c r="AU102"/>
  <c r="AU239"/>
  <c r="AU247"/>
  <c r="AU255"/>
  <c r="AU263"/>
  <c r="AU271"/>
  <c r="AU279"/>
  <c r="AU287"/>
  <c r="AU295"/>
  <c r="AU303"/>
  <c r="AU311"/>
  <c r="AU319"/>
  <c r="AU327"/>
  <c r="AU335"/>
  <c r="AU343"/>
  <c r="AU351"/>
  <c r="AU359"/>
  <c r="AU367"/>
  <c r="AU375"/>
  <c r="AU383"/>
  <c r="AU391"/>
  <c r="AU399"/>
  <c r="AU407"/>
  <c r="AU414"/>
  <c r="AU418"/>
  <c r="AU422"/>
  <c r="AU426"/>
  <c r="AU430"/>
  <c r="AU434"/>
  <c r="AU438"/>
  <c r="AU442"/>
  <c r="AU446"/>
  <c r="AU450"/>
  <c r="AU454"/>
  <c r="AU458"/>
  <c r="AU462"/>
  <c r="AU466"/>
  <c r="AU470"/>
  <c r="AU474"/>
  <c r="AU478"/>
  <c r="AU482"/>
  <c r="AU486"/>
  <c r="AU490"/>
  <c r="AU494"/>
  <c r="AU498"/>
  <c r="AU502"/>
  <c r="AU506"/>
  <c r="AU510"/>
  <c r="AU514"/>
  <c r="AU518"/>
  <c r="AU522"/>
  <c r="AU526"/>
  <c r="AU530"/>
  <c r="AU534"/>
  <c r="AU538"/>
  <c r="AU542"/>
  <c r="AU546"/>
  <c r="AU550"/>
  <c r="AU554"/>
  <c r="AU558"/>
  <c r="AU562"/>
  <c r="AU566"/>
  <c r="AU570"/>
  <c r="AU574"/>
  <c r="AU578"/>
  <c r="AU582"/>
  <c r="AU586"/>
  <c r="AU590"/>
  <c r="AU594"/>
  <c r="AU223"/>
  <c r="AU207"/>
  <c r="AU168"/>
  <c r="AU241"/>
  <c r="AU249"/>
  <c r="AU257"/>
  <c r="AU265"/>
  <c r="AU273"/>
  <c r="AU281"/>
  <c r="AU289"/>
  <c r="AU297"/>
  <c r="AU305"/>
  <c r="AU313"/>
  <c r="AU321"/>
  <c r="AU329"/>
  <c r="AU337"/>
  <c r="AU345"/>
  <c r="AU353"/>
  <c r="AU361"/>
  <c r="AU369"/>
  <c r="AU377"/>
  <c r="AU385"/>
  <c r="AU393"/>
  <c r="AU401"/>
  <c r="AU409"/>
  <c r="AU415"/>
  <c r="AU419"/>
  <c r="AU423"/>
  <c r="AU427"/>
  <c r="AU431"/>
  <c r="AU435"/>
  <c r="AU439"/>
  <c r="AU443"/>
  <c r="AU447"/>
  <c r="AU451"/>
  <c r="AU455"/>
  <c r="AU459"/>
  <c r="AU463"/>
  <c r="AU467"/>
  <c r="AU471"/>
  <c r="AU475"/>
  <c r="AU479"/>
  <c r="AU483"/>
  <c r="AU487"/>
  <c r="AU491"/>
  <c r="AU495"/>
  <c r="AU499"/>
  <c r="AU503"/>
  <c r="AU507"/>
  <c r="AU511"/>
  <c r="AU515"/>
  <c r="AU519"/>
  <c r="AU523"/>
  <c r="AU527"/>
  <c r="AU531"/>
  <c r="AU535"/>
  <c r="AU539"/>
  <c r="AU543"/>
  <c r="AU547"/>
  <c r="AU551"/>
  <c r="AU555"/>
  <c r="AU559"/>
  <c r="AU563"/>
  <c r="AU567"/>
  <c r="AU571"/>
  <c r="AU575"/>
  <c r="AU579"/>
  <c r="AU583"/>
  <c r="AU587"/>
  <c r="AU591"/>
  <c r="AU595"/>
  <c r="AU599"/>
  <c r="AU603"/>
  <c r="AU607"/>
  <c r="AU611"/>
  <c r="AU615"/>
  <c r="AU619"/>
  <c r="AU623"/>
  <c r="AU627"/>
  <c r="AU631"/>
  <c r="AU635"/>
  <c r="AU639"/>
  <c r="AU219"/>
  <c r="AU203"/>
  <c r="AU235"/>
  <c r="AU243"/>
  <c r="AU251"/>
  <c r="AU259"/>
  <c r="AU267"/>
  <c r="AU275"/>
  <c r="AU283"/>
  <c r="AU291"/>
  <c r="AU299"/>
  <c r="AU307"/>
  <c r="AU315"/>
  <c r="AU323"/>
  <c r="AU331"/>
  <c r="AU339"/>
  <c r="AU347"/>
  <c r="AU355"/>
  <c r="AU363"/>
  <c r="AU371"/>
  <c r="AU379"/>
  <c r="AU387"/>
  <c r="AU395"/>
  <c r="AU403"/>
  <c r="AU411"/>
  <c r="AU416"/>
  <c r="AU420"/>
  <c r="AU424"/>
  <c r="AU428"/>
  <c r="AU432"/>
  <c r="AU436"/>
  <c r="AU440"/>
  <c r="AU444"/>
  <c r="AU448"/>
  <c r="AU452"/>
  <c r="AU456"/>
  <c r="AU460"/>
  <c r="AU464"/>
  <c r="AU468"/>
  <c r="AU472"/>
  <c r="AU476"/>
  <c r="AU480"/>
  <c r="AU484"/>
  <c r="AU488"/>
  <c r="AU492"/>
  <c r="AU496"/>
  <c r="AU500"/>
  <c r="AU504"/>
  <c r="AU508"/>
  <c r="AU512"/>
  <c r="AU516"/>
  <c r="AU520"/>
  <c r="AU524"/>
  <c r="AU528"/>
  <c r="AU532"/>
  <c r="AU536"/>
  <c r="AU540"/>
  <c r="AU544"/>
  <c r="AU548"/>
  <c r="AU552"/>
  <c r="AU556"/>
  <c r="AU560"/>
  <c r="AU564"/>
  <c r="AU568"/>
  <c r="AU572"/>
  <c r="AU576"/>
  <c r="AU580"/>
  <c r="AU584"/>
  <c r="AU588"/>
  <c r="AU592"/>
  <c r="AU596"/>
  <c r="AU600"/>
  <c r="AU604"/>
  <c r="AU608"/>
  <c r="AU612"/>
  <c r="AU616"/>
  <c r="AU620"/>
  <c r="AU624"/>
  <c r="AU628"/>
  <c r="AU632"/>
  <c r="AU636"/>
  <c r="AU640"/>
  <c r="AU644"/>
  <c r="AU648"/>
  <c r="AU652"/>
  <c r="AU598"/>
  <c r="AU614"/>
  <c r="AU630"/>
  <c r="AU643"/>
  <c r="AU650"/>
  <c r="AU655"/>
  <c r="AU659"/>
  <c r="AU663"/>
  <c r="AU667"/>
  <c r="AU671"/>
  <c r="AU675"/>
  <c r="AU679"/>
  <c r="AU683"/>
  <c r="AU687"/>
  <c r="AU691"/>
  <c r="AU695"/>
  <c r="AU699"/>
  <c r="AU703"/>
  <c r="AU707"/>
  <c r="AU711"/>
  <c r="AU715"/>
  <c r="AU719"/>
  <c r="AU723"/>
  <c r="AU727"/>
  <c r="AU731"/>
  <c r="AU735"/>
  <c r="AU739"/>
  <c r="AU743"/>
  <c r="AU747"/>
  <c r="AU751"/>
  <c r="AU755"/>
  <c r="AU759"/>
  <c r="AU763"/>
  <c r="AU767"/>
  <c r="AU771"/>
  <c r="AU775"/>
  <c r="AU779"/>
  <c r="AU783"/>
  <c r="AU787"/>
  <c r="AU791"/>
  <c r="AU795"/>
  <c r="AU799"/>
  <c r="AU803"/>
  <c r="AU807"/>
  <c r="AU811"/>
  <c r="AU815"/>
  <c r="AU819"/>
  <c r="AU823"/>
  <c r="AU827"/>
  <c r="AU831"/>
  <c r="AU835"/>
  <c r="AU839"/>
  <c r="AU843"/>
  <c r="AU847"/>
  <c r="AU851"/>
  <c r="AU855"/>
  <c r="AU859"/>
  <c r="AU863"/>
  <c r="AU867"/>
  <c r="AU871"/>
  <c r="AU875"/>
  <c r="AU879"/>
  <c r="AU883"/>
  <c r="AU887"/>
  <c r="AU891"/>
  <c r="AU895"/>
  <c r="AU899"/>
  <c r="AU903"/>
  <c r="AU907"/>
  <c r="AU911"/>
  <c r="AU915"/>
  <c r="AU919"/>
  <c r="AU923"/>
  <c r="AU927"/>
  <c r="AU931"/>
  <c r="AU935"/>
  <c r="AU939"/>
  <c r="AU943"/>
  <c r="AU947"/>
  <c r="AU951"/>
  <c r="AU955"/>
  <c r="AU959"/>
  <c r="AU963"/>
  <c r="AU967"/>
  <c r="AU971"/>
  <c r="AU975"/>
  <c r="AU979"/>
  <c r="AU983"/>
  <c r="AU987"/>
  <c r="AU991"/>
  <c r="AU995"/>
  <c r="AU999"/>
  <c r="AU1003"/>
  <c r="AU1007"/>
  <c r="AU1011"/>
  <c r="AU1015"/>
  <c r="AU1019"/>
  <c r="AU1023"/>
  <c r="AU1027"/>
  <c r="AU1031"/>
  <c r="AU602"/>
  <c r="AU618"/>
  <c r="AU634"/>
  <c r="AU646"/>
  <c r="AU651"/>
  <c r="AU656"/>
  <c r="AU660"/>
  <c r="AU664"/>
  <c r="AU668"/>
  <c r="AU672"/>
  <c r="AU676"/>
  <c r="AU680"/>
  <c r="AU684"/>
  <c r="AU688"/>
  <c r="AU692"/>
  <c r="AU696"/>
  <c r="AU700"/>
  <c r="AU704"/>
  <c r="AU708"/>
  <c r="AU712"/>
  <c r="AU716"/>
  <c r="AU720"/>
  <c r="AU724"/>
  <c r="AU728"/>
  <c r="AU732"/>
  <c r="AU736"/>
  <c r="AU740"/>
  <c r="AU744"/>
  <c r="AU748"/>
  <c r="AU752"/>
  <c r="AU756"/>
  <c r="AU760"/>
  <c r="AU764"/>
  <c r="AU768"/>
  <c r="AU772"/>
  <c r="AU776"/>
  <c r="AU780"/>
  <c r="AU784"/>
  <c r="AU788"/>
  <c r="AU792"/>
  <c r="AU796"/>
  <c r="AU800"/>
  <c r="AU804"/>
  <c r="AU808"/>
  <c r="AU812"/>
  <c r="AU816"/>
  <c r="AU820"/>
  <c r="AU824"/>
  <c r="AU828"/>
  <c r="AU832"/>
  <c r="AU836"/>
  <c r="AU840"/>
  <c r="AU844"/>
  <c r="AU848"/>
  <c r="AU852"/>
  <c r="AU856"/>
  <c r="AU860"/>
  <c r="AU864"/>
  <c r="AU868"/>
  <c r="AU872"/>
  <c r="AU876"/>
  <c r="AU880"/>
  <c r="AU884"/>
  <c r="AU888"/>
  <c r="AU892"/>
  <c r="AU896"/>
  <c r="AU900"/>
  <c r="AU904"/>
  <c r="AU908"/>
  <c r="AU912"/>
  <c r="AU916"/>
  <c r="AU920"/>
  <c r="AU924"/>
  <c r="AU928"/>
  <c r="AU932"/>
  <c r="AU936"/>
  <c r="AU606"/>
  <c r="AU622"/>
  <c r="AU638"/>
  <c r="AU647"/>
  <c r="AU653"/>
  <c r="AU657"/>
  <c r="AU661"/>
  <c r="AU665"/>
  <c r="AU669"/>
  <c r="AU673"/>
  <c r="AU677"/>
  <c r="AU681"/>
  <c r="AU685"/>
  <c r="AU689"/>
  <c r="AU693"/>
  <c r="AU697"/>
  <c r="AU701"/>
  <c r="AU705"/>
  <c r="AU709"/>
  <c r="AU713"/>
  <c r="AU717"/>
  <c r="AU721"/>
  <c r="AU725"/>
  <c r="AU729"/>
  <c r="AU733"/>
  <c r="AU737"/>
  <c r="AU741"/>
  <c r="AU745"/>
  <c r="AU749"/>
  <c r="AU753"/>
  <c r="AU757"/>
  <c r="AU761"/>
  <c r="AU765"/>
  <c r="AU769"/>
  <c r="AU773"/>
  <c r="AU777"/>
  <c r="AU781"/>
  <c r="AU785"/>
  <c r="AU789"/>
  <c r="AU793"/>
  <c r="AU797"/>
  <c r="AU801"/>
  <c r="AU805"/>
  <c r="AU809"/>
  <c r="AU813"/>
  <c r="AU817"/>
  <c r="AU821"/>
  <c r="AU825"/>
  <c r="AU829"/>
  <c r="AU833"/>
  <c r="AU837"/>
  <c r="AU841"/>
  <c r="AU845"/>
  <c r="AU849"/>
  <c r="AU853"/>
  <c r="AU857"/>
  <c r="AU861"/>
  <c r="AU865"/>
  <c r="AU869"/>
  <c r="AU873"/>
  <c r="AU877"/>
  <c r="AU881"/>
  <c r="AU885"/>
  <c r="AU889"/>
  <c r="AU893"/>
  <c r="AU897"/>
  <c r="AU901"/>
  <c r="AU905"/>
  <c r="AU909"/>
  <c r="AU913"/>
  <c r="AU917"/>
  <c r="AU921"/>
  <c r="AU925"/>
  <c r="AU929"/>
  <c r="AU933"/>
  <c r="AU937"/>
  <c r="AU941"/>
  <c r="AU945"/>
  <c r="AU949"/>
  <c r="AU953"/>
  <c r="AU957"/>
  <c r="AU961"/>
  <c r="AU965"/>
  <c r="AU969"/>
  <c r="AU973"/>
  <c r="AU610"/>
  <c r="AU626"/>
  <c r="AU642"/>
  <c r="AU649"/>
  <c r="AU654"/>
  <c r="AU658"/>
  <c r="AU662"/>
  <c r="AU666"/>
  <c r="AU670"/>
  <c r="AU674"/>
  <c r="AU678"/>
  <c r="AU682"/>
  <c r="AU686"/>
  <c r="AU690"/>
  <c r="AU694"/>
  <c r="AU698"/>
  <c r="AU702"/>
  <c r="AU706"/>
  <c r="AU710"/>
  <c r="AU714"/>
  <c r="AU718"/>
  <c r="AU722"/>
  <c r="AU726"/>
  <c r="AU730"/>
  <c r="AU734"/>
  <c r="AU738"/>
  <c r="AU742"/>
  <c r="AU746"/>
  <c r="AU750"/>
  <c r="AU754"/>
  <c r="AU758"/>
  <c r="AU762"/>
  <c r="AU766"/>
  <c r="AU770"/>
  <c r="AU774"/>
  <c r="AU778"/>
  <c r="AU782"/>
  <c r="AU786"/>
  <c r="AU790"/>
  <c r="AU794"/>
  <c r="AU798"/>
  <c r="AU802"/>
  <c r="AU806"/>
  <c r="AU810"/>
  <c r="AU814"/>
  <c r="AU818"/>
  <c r="AU822"/>
  <c r="AU826"/>
  <c r="AU830"/>
  <c r="AU834"/>
  <c r="AU838"/>
  <c r="AU842"/>
  <c r="AU846"/>
  <c r="AU850"/>
  <c r="AU854"/>
  <c r="AU858"/>
  <c r="AU862"/>
  <c r="AU866"/>
  <c r="AU870"/>
  <c r="AU874"/>
  <c r="AU878"/>
  <c r="AU882"/>
  <c r="AU886"/>
  <c r="AU890"/>
  <c r="AU894"/>
  <c r="AU898"/>
  <c r="AU902"/>
  <c r="AU906"/>
  <c r="AU910"/>
  <c r="AU914"/>
  <c r="AU918"/>
  <c r="AU922"/>
  <c r="AU926"/>
  <c r="AU930"/>
  <c r="AU934"/>
  <c r="AU938"/>
  <c r="AU942"/>
  <c r="AU946"/>
  <c r="AU950"/>
  <c r="AU954"/>
  <c r="AU958"/>
  <c r="AU962"/>
  <c r="AU966"/>
  <c r="AU970"/>
  <c r="AU974"/>
  <c r="AU978"/>
  <c r="AU982"/>
  <c r="AU986"/>
  <c r="AU990"/>
  <c r="AU994"/>
  <c r="AU998"/>
  <c r="AU1002"/>
  <c r="AU1006"/>
  <c r="AU1010"/>
  <c r="AU1014"/>
  <c r="AU1018"/>
  <c r="AU1022"/>
  <c r="AU1026"/>
  <c r="AU1030"/>
  <c r="AU1034"/>
  <c r="AU1038"/>
  <c r="AU1042"/>
  <c r="AU1046"/>
  <c r="AU940"/>
  <c r="AU956"/>
  <c r="AU972"/>
  <c r="AU981"/>
  <c r="AU989"/>
  <c r="AU997"/>
  <c r="AU1005"/>
  <c r="AU1013"/>
  <c r="AU1021"/>
  <c r="AU1029"/>
  <c r="AU1036"/>
  <c r="AU1041"/>
  <c r="AU1047"/>
  <c r="AU1051"/>
  <c r="AU1055"/>
  <c r="AU1059"/>
  <c r="AU1063"/>
  <c r="AU1067"/>
  <c r="AU1071"/>
  <c r="AU1075"/>
  <c r="AU1079"/>
  <c r="AU1083"/>
  <c r="AU1087"/>
  <c r="AU1091"/>
  <c r="AU1095"/>
  <c r="AU1099"/>
  <c r="AU1103"/>
  <c r="AU1107"/>
  <c r="AU1111"/>
  <c r="AU1115"/>
  <c r="AU1119"/>
  <c r="AU1123"/>
  <c r="AU1127"/>
  <c r="AU1131"/>
  <c r="AU1135"/>
  <c r="AU1139"/>
  <c r="AU1143"/>
  <c r="AU1147"/>
  <c r="AU1151"/>
  <c r="AU1155"/>
  <c r="AU1159"/>
  <c r="AU1163"/>
  <c r="AU1167"/>
  <c r="AU1171"/>
  <c r="AU1175"/>
  <c r="AU1179"/>
  <c r="AU1183"/>
  <c r="AU1187"/>
  <c r="AT36"/>
  <c r="AT168"/>
  <c r="AT237"/>
  <c r="AT241"/>
  <c r="AT245"/>
  <c r="AT249"/>
  <c r="AT253"/>
  <c r="AT257"/>
  <c r="AT261"/>
  <c r="AT265"/>
  <c r="AT269"/>
  <c r="AT273"/>
  <c r="AT277"/>
  <c r="AT281"/>
  <c r="AT285"/>
  <c r="AT289"/>
  <c r="AT293"/>
  <c r="AT297"/>
  <c r="AT301"/>
  <c r="AT305"/>
  <c r="AT309"/>
  <c r="AT313"/>
  <c r="AT317"/>
  <c r="AT321"/>
  <c r="AT325"/>
  <c r="AT329"/>
  <c r="AT333"/>
  <c r="AT337"/>
  <c r="AT341"/>
  <c r="AT345"/>
  <c r="AT349"/>
  <c r="AT353"/>
  <c r="AT357"/>
  <c r="AT361"/>
  <c r="AT365"/>
  <c r="AT369"/>
  <c r="AT373"/>
  <c r="AT377"/>
  <c r="AT381"/>
  <c r="AT385"/>
  <c r="AT389"/>
  <c r="AT393"/>
  <c r="AT397"/>
  <c r="AT401"/>
  <c r="AT405"/>
  <c r="AT409"/>
  <c r="AT413"/>
  <c r="AT417"/>
  <c r="AT421"/>
  <c r="AT425"/>
  <c r="AT429"/>
  <c r="AT433"/>
  <c r="AT437"/>
  <c r="AT441"/>
  <c r="AT445"/>
  <c r="AT449"/>
  <c r="AT453"/>
  <c r="AT457"/>
  <c r="AT461"/>
  <c r="AT465"/>
  <c r="AT469"/>
  <c r="AT473"/>
  <c r="AU944"/>
  <c r="AU960"/>
  <c r="AU976"/>
  <c r="AU984"/>
  <c r="AU992"/>
  <c r="AU1000"/>
  <c r="AU1008"/>
  <c r="AU1016"/>
  <c r="AU1024"/>
  <c r="AU1032"/>
  <c r="AU1037"/>
  <c r="AU1043"/>
  <c r="AU1048"/>
  <c r="AU1052"/>
  <c r="AU1056"/>
  <c r="AU1060"/>
  <c r="AU1064"/>
  <c r="AU1068"/>
  <c r="AU1072"/>
  <c r="AU1076"/>
  <c r="AU1080"/>
  <c r="AU1084"/>
  <c r="AU1088"/>
  <c r="AU1092"/>
  <c r="AU1096"/>
  <c r="AU1100"/>
  <c r="AU1104"/>
  <c r="AU1108"/>
  <c r="AU1112"/>
  <c r="AU1116"/>
  <c r="AU1120"/>
  <c r="AU1124"/>
  <c r="AU1128"/>
  <c r="AU1132"/>
  <c r="AU1136"/>
  <c r="AU1140"/>
  <c r="AU1144"/>
  <c r="AU1148"/>
  <c r="AU1152"/>
  <c r="AU1156"/>
  <c r="AU1160"/>
  <c r="AU1164"/>
  <c r="AU1168"/>
  <c r="AU1172"/>
  <c r="AU1176"/>
  <c r="AU1180"/>
  <c r="AU1184"/>
  <c r="AU1188"/>
  <c r="AT69"/>
  <c r="AT234"/>
  <c r="AT238"/>
  <c r="AT242"/>
  <c r="AT246"/>
  <c r="AT250"/>
  <c r="AT254"/>
  <c r="AT258"/>
  <c r="AT262"/>
  <c r="AT266"/>
  <c r="AT270"/>
  <c r="AT274"/>
  <c r="AT278"/>
  <c r="AT282"/>
  <c r="AT286"/>
  <c r="AT290"/>
  <c r="AT294"/>
  <c r="AT298"/>
  <c r="AT302"/>
  <c r="AT306"/>
  <c r="AT310"/>
  <c r="AT314"/>
  <c r="AT318"/>
  <c r="AT322"/>
  <c r="AT326"/>
  <c r="AT330"/>
  <c r="AT334"/>
  <c r="AT338"/>
  <c r="AT342"/>
  <c r="AT346"/>
  <c r="AT350"/>
  <c r="AT354"/>
  <c r="AT358"/>
  <c r="AT362"/>
  <c r="AT366"/>
  <c r="AT370"/>
  <c r="AT374"/>
  <c r="AU948"/>
  <c r="AU964"/>
  <c r="AU977"/>
  <c r="AU985"/>
  <c r="AU993"/>
  <c r="AU1001"/>
  <c r="AU1009"/>
  <c r="AU1017"/>
  <c r="AU1025"/>
  <c r="AU1033"/>
  <c r="AU1039"/>
  <c r="AU1044"/>
  <c r="AU1049"/>
  <c r="AU1053"/>
  <c r="AU1057"/>
  <c r="AU1061"/>
  <c r="AU1065"/>
  <c r="AU1069"/>
  <c r="AU1073"/>
  <c r="AU1077"/>
  <c r="AU1081"/>
  <c r="AU1085"/>
  <c r="AU1089"/>
  <c r="AU1093"/>
  <c r="AU1097"/>
  <c r="AU1101"/>
  <c r="AU1105"/>
  <c r="AU1109"/>
  <c r="AU1113"/>
  <c r="AU1117"/>
  <c r="AU1121"/>
  <c r="AU1125"/>
  <c r="AU1129"/>
  <c r="AU1133"/>
  <c r="AU1137"/>
  <c r="AU1141"/>
  <c r="AU1145"/>
  <c r="AU1149"/>
  <c r="AU1153"/>
  <c r="AU1157"/>
  <c r="AU1161"/>
  <c r="AU1165"/>
  <c r="AU1169"/>
  <c r="AU1173"/>
  <c r="AU1177"/>
  <c r="AU1181"/>
  <c r="AU1185"/>
  <c r="AU1189"/>
  <c r="AT102"/>
  <c r="AT235"/>
  <c r="AT239"/>
  <c r="AT243"/>
  <c r="AT247"/>
  <c r="AT251"/>
  <c r="AT255"/>
  <c r="AT259"/>
  <c r="AT263"/>
  <c r="AT267"/>
  <c r="AT271"/>
  <c r="AT275"/>
  <c r="AT279"/>
  <c r="AT283"/>
  <c r="AT287"/>
  <c r="AT291"/>
  <c r="AT295"/>
  <c r="AT299"/>
  <c r="AT303"/>
  <c r="AT307"/>
  <c r="AT311"/>
  <c r="AT315"/>
  <c r="AT319"/>
  <c r="AT323"/>
  <c r="AT327"/>
  <c r="AT331"/>
  <c r="AT335"/>
  <c r="AT339"/>
  <c r="AT343"/>
  <c r="AT347"/>
  <c r="AT351"/>
  <c r="AT355"/>
  <c r="AT359"/>
  <c r="AT363"/>
  <c r="AT367"/>
  <c r="AT371"/>
  <c r="AT375"/>
  <c r="AT379"/>
  <c r="AT383"/>
  <c r="AT387"/>
  <c r="AT391"/>
  <c r="AT395"/>
  <c r="AT399"/>
  <c r="AT403"/>
  <c r="AT407"/>
  <c r="AT411"/>
  <c r="AT415"/>
  <c r="AT419"/>
  <c r="AT423"/>
  <c r="AT427"/>
  <c r="AT431"/>
  <c r="AT435"/>
  <c r="AT439"/>
  <c r="AU952"/>
  <c r="AU968"/>
  <c r="AU980"/>
  <c r="AU988"/>
  <c r="AU996"/>
  <c r="AU1004"/>
  <c r="AU1012"/>
  <c r="AU1020"/>
  <c r="AU1028"/>
  <c r="AU1035"/>
  <c r="AU1040"/>
  <c r="AU1045"/>
  <c r="AU1050"/>
  <c r="AU1054"/>
  <c r="AU1058"/>
  <c r="AU1062"/>
  <c r="AU1066"/>
  <c r="AU1070"/>
  <c r="AU1074"/>
  <c r="AU1078"/>
  <c r="AU1082"/>
  <c r="AU1086"/>
  <c r="AU1090"/>
  <c r="AU1094"/>
  <c r="AU1098"/>
  <c r="AU1102"/>
  <c r="AU1106"/>
  <c r="AU1110"/>
  <c r="AU1114"/>
  <c r="AU1118"/>
  <c r="AU1122"/>
  <c r="AU1126"/>
  <c r="AU1130"/>
  <c r="AU1134"/>
  <c r="AU1138"/>
  <c r="AU1142"/>
  <c r="AU1146"/>
  <c r="AU1150"/>
  <c r="AU1154"/>
  <c r="AU1158"/>
  <c r="AU1162"/>
  <c r="AU1166"/>
  <c r="AU1170"/>
  <c r="AU1174"/>
  <c r="AU1178"/>
  <c r="AU1182"/>
  <c r="AU1186"/>
  <c r="AU1190"/>
  <c r="AT135"/>
  <c r="AT236"/>
  <c r="AT240"/>
  <c r="AT244"/>
  <c r="AT248"/>
  <c r="AT252"/>
  <c r="AT256"/>
  <c r="AT260"/>
  <c r="AT264"/>
  <c r="AT268"/>
  <c r="AT272"/>
  <c r="AT276"/>
  <c r="AT280"/>
  <c r="AT284"/>
  <c r="AT288"/>
  <c r="AT292"/>
  <c r="AT296"/>
  <c r="AT300"/>
  <c r="AT304"/>
  <c r="AT308"/>
  <c r="AT312"/>
  <c r="AT316"/>
  <c r="AT320"/>
  <c r="AT324"/>
  <c r="AT328"/>
  <c r="AT332"/>
  <c r="AT336"/>
  <c r="AT340"/>
  <c r="AT344"/>
  <c r="AT348"/>
  <c r="AT352"/>
  <c r="AT356"/>
  <c r="AT360"/>
  <c r="AT364"/>
  <c r="AT368"/>
  <c r="AT372"/>
  <c r="AT376"/>
  <c r="AT380"/>
  <c r="AT384"/>
  <c r="AT388"/>
  <c r="AT392"/>
  <c r="AT396"/>
  <c r="AT400"/>
  <c r="AT404"/>
  <c r="AT408"/>
  <c r="AT412"/>
  <c r="AT416"/>
  <c r="AT420"/>
  <c r="AT424"/>
  <c r="AT428"/>
  <c r="AT432"/>
  <c r="AT436"/>
  <c r="AT440"/>
  <c r="AT444"/>
  <c r="AT448"/>
  <c r="AT452"/>
  <c r="AT456"/>
  <c r="AT460"/>
  <c r="AT464"/>
  <c r="AT468"/>
  <c r="AT472"/>
  <c r="AT476"/>
  <c r="AT480"/>
  <c r="AT484"/>
  <c r="AT488"/>
  <c r="AT492"/>
  <c r="AT496"/>
  <c r="AT500"/>
  <c r="AT504"/>
  <c r="AT508"/>
  <c r="AT378"/>
  <c r="AT394"/>
  <c r="AT410"/>
  <c r="AT426"/>
  <c r="AT442"/>
  <c r="AT450"/>
  <c r="AT458"/>
  <c r="AT466"/>
  <c r="AT474"/>
  <c r="AT479"/>
  <c r="AT485"/>
  <c r="AT490"/>
  <c r="AT495"/>
  <c r="AT501"/>
  <c r="AT506"/>
  <c r="AT511"/>
  <c r="AT515"/>
  <c r="AT519"/>
  <c r="AT523"/>
  <c r="AT527"/>
  <c r="AT531"/>
  <c r="AT535"/>
  <c r="AT539"/>
  <c r="AT543"/>
  <c r="AT547"/>
  <c r="AT551"/>
  <c r="AT555"/>
  <c r="AT559"/>
  <c r="AT563"/>
  <c r="AT567"/>
  <c r="AT571"/>
  <c r="AT575"/>
  <c r="AT579"/>
  <c r="AT583"/>
  <c r="AT587"/>
  <c r="AT591"/>
  <c r="AT595"/>
  <c r="AT599"/>
  <c r="AT603"/>
  <c r="AT607"/>
  <c r="AT611"/>
  <c r="AT615"/>
  <c r="AT619"/>
  <c r="AT623"/>
  <c r="AT627"/>
  <c r="AT631"/>
  <c r="AT635"/>
  <c r="AT639"/>
  <c r="AT643"/>
  <c r="AT647"/>
  <c r="AT651"/>
  <c r="AT655"/>
  <c r="AT659"/>
  <c r="AT663"/>
  <c r="AT667"/>
  <c r="AT671"/>
  <c r="AT675"/>
  <c r="AT679"/>
  <c r="AT683"/>
  <c r="AT687"/>
  <c r="AT691"/>
  <c r="AT695"/>
  <c r="AT699"/>
  <c r="AT703"/>
  <c r="AT707"/>
  <c r="AT711"/>
  <c r="AT715"/>
  <c r="AT719"/>
  <c r="AT723"/>
  <c r="AT727"/>
  <c r="AT731"/>
  <c r="AT735"/>
  <c r="AT739"/>
  <c r="AT743"/>
  <c r="AT747"/>
  <c r="AT751"/>
  <c r="AT755"/>
  <c r="AT759"/>
  <c r="AT763"/>
  <c r="AT767"/>
  <c r="AT771"/>
  <c r="AT775"/>
  <c r="AT779"/>
  <c r="AT783"/>
  <c r="AT787"/>
  <c r="AT791"/>
  <c r="AT795"/>
  <c r="AT799"/>
  <c r="AT803"/>
  <c r="AT807"/>
  <c r="AT811"/>
  <c r="AT815"/>
  <c r="AT819"/>
  <c r="AT823"/>
  <c r="AT827"/>
  <c r="AT831"/>
  <c r="AT835"/>
  <c r="AT839"/>
  <c r="AT843"/>
  <c r="AT847"/>
  <c r="AT851"/>
  <c r="AT855"/>
  <c r="AT859"/>
  <c r="AT863"/>
  <c r="AT867"/>
  <c r="AT871"/>
  <c r="AT875"/>
  <c r="AT879"/>
  <c r="AT883"/>
  <c r="AT887"/>
  <c r="AT891"/>
  <c r="AT895"/>
  <c r="AT899"/>
  <c r="AT903"/>
  <c r="AT907"/>
  <c r="AT911"/>
  <c r="AT915"/>
  <c r="AT919"/>
  <c r="AT923"/>
  <c r="AT927"/>
  <c r="AT931"/>
  <c r="AT935"/>
  <c r="AT939"/>
  <c r="AT943"/>
  <c r="AT947"/>
  <c r="AT951"/>
  <c r="AT955"/>
  <c r="AT959"/>
  <c r="AT963"/>
  <c r="AT967"/>
  <c r="AT971"/>
  <c r="AT975"/>
  <c r="AT979"/>
  <c r="AT983"/>
  <c r="AT987"/>
  <c r="AT991"/>
  <c r="AT995"/>
  <c r="AT999"/>
  <c r="AT1003"/>
  <c r="AT1007"/>
  <c r="AT382"/>
  <c r="AT398"/>
  <c r="AT414"/>
  <c r="AT430"/>
  <c r="AT443"/>
  <c r="AT451"/>
  <c r="AT459"/>
  <c r="AT467"/>
  <c r="AT475"/>
  <c r="AT481"/>
  <c r="AT486"/>
  <c r="AT491"/>
  <c r="AT497"/>
  <c r="AT502"/>
  <c r="AT507"/>
  <c r="AT512"/>
  <c r="AT516"/>
  <c r="AT520"/>
  <c r="AT524"/>
  <c r="AT528"/>
  <c r="AT532"/>
  <c r="AT536"/>
  <c r="AT540"/>
  <c r="AT544"/>
  <c r="AT548"/>
  <c r="AT552"/>
  <c r="AT556"/>
  <c r="AT560"/>
  <c r="AT564"/>
  <c r="AT568"/>
  <c r="AT572"/>
  <c r="AT576"/>
  <c r="AT580"/>
  <c r="AT584"/>
  <c r="AT588"/>
  <c r="AT592"/>
  <c r="AT596"/>
  <c r="AT600"/>
  <c r="AT604"/>
  <c r="AT608"/>
  <c r="AT612"/>
  <c r="AT616"/>
  <c r="AT620"/>
  <c r="AT624"/>
  <c r="AT628"/>
  <c r="AT632"/>
  <c r="AT636"/>
  <c r="AT640"/>
  <c r="AT644"/>
  <c r="AT648"/>
  <c r="AT652"/>
  <c r="AT656"/>
  <c r="AT660"/>
  <c r="AT664"/>
  <c r="AT668"/>
  <c r="AT672"/>
  <c r="AT676"/>
  <c r="AT680"/>
  <c r="AT684"/>
  <c r="AT688"/>
  <c r="AT692"/>
  <c r="AT696"/>
  <c r="AT700"/>
  <c r="AT704"/>
  <c r="AT708"/>
  <c r="AT712"/>
  <c r="AT716"/>
  <c r="AT720"/>
  <c r="AT724"/>
  <c r="AT728"/>
  <c r="AT732"/>
  <c r="AT736"/>
  <c r="AT740"/>
  <c r="AT744"/>
  <c r="AT748"/>
  <c r="AT752"/>
  <c r="AT756"/>
  <c r="AT760"/>
  <c r="AT764"/>
  <c r="AT768"/>
  <c r="AT772"/>
  <c r="AT776"/>
  <c r="AT780"/>
  <c r="AT784"/>
  <c r="AT788"/>
  <c r="AT792"/>
  <c r="AT796"/>
  <c r="AT800"/>
  <c r="AT804"/>
  <c r="AT808"/>
  <c r="AT812"/>
  <c r="AT816"/>
  <c r="AT820"/>
  <c r="AT824"/>
  <c r="AT828"/>
  <c r="AT832"/>
  <c r="AT836"/>
  <c r="AT840"/>
  <c r="AT844"/>
  <c r="AT848"/>
  <c r="AT852"/>
  <c r="AT856"/>
  <c r="AT860"/>
  <c r="AT864"/>
  <c r="AT868"/>
  <c r="AT872"/>
  <c r="AT876"/>
  <c r="AT386"/>
  <c r="AT402"/>
  <c r="AT418"/>
  <c r="AT434"/>
  <c r="AT446"/>
  <c r="AT454"/>
  <c r="AT462"/>
  <c r="AT470"/>
  <c r="AT477"/>
  <c r="AT482"/>
  <c r="AT487"/>
  <c r="AT493"/>
  <c r="AT498"/>
  <c r="AT503"/>
  <c r="AT509"/>
  <c r="AT513"/>
  <c r="AT517"/>
  <c r="AT521"/>
  <c r="AT525"/>
  <c r="AT529"/>
  <c r="AT533"/>
  <c r="AT537"/>
  <c r="AT541"/>
  <c r="AT545"/>
  <c r="AT549"/>
  <c r="AT553"/>
  <c r="AT557"/>
  <c r="AT561"/>
  <c r="AT565"/>
  <c r="AT569"/>
  <c r="AT573"/>
  <c r="AT577"/>
  <c r="AT581"/>
  <c r="AT585"/>
  <c r="AT589"/>
  <c r="AT593"/>
  <c r="AT597"/>
  <c r="AT601"/>
  <c r="AT605"/>
  <c r="AT609"/>
  <c r="AT613"/>
  <c r="AT617"/>
  <c r="AT621"/>
  <c r="AT625"/>
  <c r="AT629"/>
  <c r="AT633"/>
  <c r="AT637"/>
  <c r="AT641"/>
  <c r="AT645"/>
  <c r="AT649"/>
  <c r="AT653"/>
  <c r="AT657"/>
  <c r="AT661"/>
  <c r="AT665"/>
  <c r="AT669"/>
  <c r="AT673"/>
  <c r="AT677"/>
  <c r="AT681"/>
  <c r="AT685"/>
  <c r="AT689"/>
  <c r="AT693"/>
  <c r="AT697"/>
  <c r="AT701"/>
  <c r="AT705"/>
  <c r="AT709"/>
  <c r="AT713"/>
  <c r="AT717"/>
  <c r="AT721"/>
  <c r="AT725"/>
  <c r="AT729"/>
  <c r="AT733"/>
  <c r="AT737"/>
  <c r="AT741"/>
  <c r="AT745"/>
  <c r="AT749"/>
  <c r="AT753"/>
  <c r="AT757"/>
  <c r="AT761"/>
  <c r="AT765"/>
  <c r="AT769"/>
  <c r="AT773"/>
  <c r="AT777"/>
  <c r="AT781"/>
  <c r="AT785"/>
  <c r="AT789"/>
  <c r="AT793"/>
  <c r="AT797"/>
  <c r="AT801"/>
  <c r="AT805"/>
  <c r="AT809"/>
  <c r="AT813"/>
  <c r="AT817"/>
  <c r="AT821"/>
  <c r="AT825"/>
  <c r="AT829"/>
  <c r="AT833"/>
  <c r="AT837"/>
  <c r="AT841"/>
  <c r="AT845"/>
  <c r="AT849"/>
  <c r="AT853"/>
  <c r="AT857"/>
  <c r="AT861"/>
  <c r="AT865"/>
  <c r="AT869"/>
  <c r="AT873"/>
  <c r="AT877"/>
  <c r="AT881"/>
  <c r="AT885"/>
  <c r="AT889"/>
  <c r="AT893"/>
  <c r="AT897"/>
  <c r="AT901"/>
  <c r="AT905"/>
  <c r="AT909"/>
  <c r="AT913"/>
  <c r="AT917"/>
  <c r="AT921"/>
  <c r="AT925"/>
  <c r="AT929"/>
  <c r="AT933"/>
  <c r="AT937"/>
  <c r="AT941"/>
  <c r="AT945"/>
  <c r="AT949"/>
  <c r="AT953"/>
  <c r="AT957"/>
  <c r="AT961"/>
  <c r="AT965"/>
  <c r="AT969"/>
  <c r="AT973"/>
  <c r="AT977"/>
  <c r="AT981"/>
  <c r="AT390"/>
  <c r="AT406"/>
  <c r="AT422"/>
  <c r="AT438"/>
  <c r="AT447"/>
  <c r="AT455"/>
  <c r="AT463"/>
  <c r="AT471"/>
  <c r="AT478"/>
  <c r="AT483"/>
  <c r="AT489"/>
  <c r="AT494"/>
  <c r="AT499"/>
  <c r="AT505"/>
  <c r="AT510"/>
  <c r="AT514"/>
  <c r="AT518"/>
  <c r="AT522"/>
  <c r="AT526"/>
  <c r="AT530"/>
  <c r="AT534"/>
  <c r="AT538"/>
  <c r="AT542"/>
  <c r="AT546"/>
  <c r="AT550"/>
  <c r="AT554"/>
  <c r="AT558"/>
  <c r="AT562"/>
  <c r="AT566"/>
  <c r="AT570"/>
  <c r="AT574"/>
  <c r="AT578"/>
  <c r="AT582"/>
  <c r="AT586"/>
  <c r="AT590"/>
  <c r="AT594"/>
  <c r="AT598"/>
  <c r="AT602"/>
  <c r="AT606"/>
  <c r="AT610"/>
  <c r="AT614"/>
  <c r="AT618"/>
  <c r="AT622"/>
  <c r="AT626"/>
  <c r="AT630"/>
  <c r="AT634"/>
  <c r="AT638"/>
  <c r="AT642"/>
  <c r="AT646"/>
  <c r="AT650"/>
  <c r="AT654"/>
  <c r="AT658"/>
  <c r="AT662"/>
  <c r="AT666"/>
  <c r="AT670"/>
  <c r="AT674"/>
  <c r="AT678"/>
  <c r="AT682"/>
  <c r="AT686"/>
  <c r="AT690"/>
  <c r="AT694"/>
  <c r="AT698"/>
  <c r="AT702"/>
  <c r="AT706"/>
  <c r="AT710"/>
  <c r="AT714"/>
  <c r="AT718"/>
  <c r="AT722"/>
  <c r="AT726"/>
  <c r="AT730"/>
  <c r="AT734"/>
  <c r="AT738"/>
  <c r="AT742"/>
  <c r="AT746"/>
  <c r="AT750"/>
  <c r="AT754"/>
  <c r="AT758"/>
  <c r="AT762"/>
  <c r="AT766"/>
  <c r="AT770"/>
  <c r="AT774"/>
  <c r="AT778"/>
  <c r="AT782"/>
  <c r="AT786"/>
  <c r="AT790"/>
  <c r="AT794"/>
  <c r="AT798"/>
  <c r="AT802"/>
  <c r="AT806"/>
  <c r="AT810"/>
  <c r="AT814"/>
  <c r="AT818"/>
  <c r="AT822"/>
  <c r="AT826"/>
  <c r="AT830"/>
  <c r="AT834"/>
  <c r="AT838"/>
  <c r="AT842"/>
  <c r="AT846"/>
  <c r="AT850"/>
  <c r="AT854"/>
  <c r="AT858"/>
  <c r="AT862"/>
  <c r="AT866"/>
  <c r="AT870"/>
  <c r="AT874"/>
  <c r="AT878"/>
  <c r="AT882"/>
  <c r="AT886"/>
  <c r="AT890"/>
  <c r="AT894"/>
  <c r="AT898"/>
  <c r="AT902"/>
  <c r="AT906"/>
  <c r="AT910"/>
  <c r="AT914"/>
  <c r="AT918"/>
  <c r="AT922"/>
  <c r="AT926"/>
  <c r="AT930"/>
  <c r="AT934"/>
  <c r="AT938"/>
  <c r="AT942"/>
  <c r="AT946"/>
  <c r="AT950"/>
  <c r="AT954"/>
  <c r="AT958"/>
  <c r="AT962"/>
  <c r="AT966"/>
  <c r="AT970"/>
  <c r="AT974"/>
  <c r="AT978"/>
  <c r="AT982"/>
  <c r="AT986"/>
  <c r="AT990"/>
  <c r="AT994"/>
  <c r="AT998"/>
  <c r="AT1002"/>
  <c r="AT1006"/>
  <c r="AT1010"/>
  <c r="AT1014"/>
  <c r="AT1018"/>
  <c r="AT1022"/>
  <c r="AT1026"/>
  <c r="AT1030"/>
  <c r="AT1034"/>
  <c r="AT1038"/>
  <c r="AT1042"/>
  <c r="AT1046"/>
  <c r="AT1050"/>
  <c r="AT1054"/>
  <c r="AT1058"/>
  <c r="AT1062"/>
  <c r="AT1066"/>
  <c r="AT1070"/>
  <c r="AT1074"/>
  <c r="AT1078"/>
  <c r="AT1082"/>
  <c r="AT1086"/>
  <c r="AT1090"/>
  <c r="AT1094"/>
  <c r="AT1098"/>
  <c r="AT1102"/>
  <c r="AT1106"/>
  <c r="AT1110"/>
  <c r="AT1114"/>
  <c r="AT1118"/>
  <c r="AT1122"/>
  <c r="AT1126"/>
  <c r="AT1130"/>
  <c r="AT880"/>
  <c r="AT896"/>
  <c r="AT912"/>
  <c r="AT928"/>
  <c r="AT944"/>
  <c r="AT960"/>
  <c r="AT976"/>
  <c r="AT988"/>
  <c r="AT996"/>
  <c r="AT1004"/>
  <c r="AT1011"/>
  <c r="AT1016"/>
  <c r="AT1021"/>
  <c r="AT1027"/>
  <c r="AT1032"/>
  <c r="AT1037"/>
  <c r="AT1043"/>
  <c r="AT1048"/>
  <c r="AT1053"/>
  <c r="AT1059"/>
  <c r="AT1064"/>
  <c r="AT1069"/>
  <c r="AT1075"/>
  <c r="AT1080"/>
  <c r="AT1085"/>
  <c r="AT1091"/>
  <c r="AT1096"/>
  <c r="AT1101"/>
  <c r="AT1107"/>
  <c r="AT1112"/>
  <c r="AT1117"/>
  <c r="AT1123"/>
  <c r="AT1128"/>
  <c r="AT1133"/>
  <c r="AT1137"/>
  <c r="AT1141"/>
  <c r="AT1145"/>
  <c r="AT1149"/>
  <c r="AT1153"/>
  <c r="AT1157"/>
  <c r="AT1161"/>
  <c r="AT1165"/>
  <c r="AT1169"/>
  <c r="AT1173"/>
  <c r="AT1177"/>
  <c r="AT1181"/>
  <c r="AT1185"/>
  <c r="AT1189"/>
  <c r="AS69"/>
  <c r="AS201"/>
  <c r="AS205"/>
  <c r="AS209"/>
  <c r="AS213"/>
  <c r="AS217"/>
  <c r="AS221"/>
  <c r="AS225"/>
  <c r="AS229"/>
  <c r="AS233"/>
  <c r="AS237"/>
  <c r="AS241"/>
  <c r="AS245"/>
  <c r="AS249"/>
  <c r="AS253"/>
  <c r="AS257"/>
  <c r="AS261"/>
  <c r="AS265"/>
  <c r="AS269"/>
  <c r="AS273"/>
  <c r="AS277"/>
  <c r="AS281"/>
  <c r="AS285"/>
  <c r="AS289"/>
  <c r="AS293"/>
  <c r="AS297"/>
  <c r="AS301"/>
  <c r="AS305"/>
  <c r="AS309"/>
  <c r="AS313"/>
  <c r="AS317"/>
  <c r="AS321"/>
  <c r="AS325"/>
  <c r="AS329"/>
  <c r="AS333"/>
  <c r="AS337"/>
  <c r="AS341"/>
  <c r="AS345"/>
  <c r="AS349"/>
  <c r="AS353"/>
  <c r="AS357"/>
  <c r="AS361"/>
  <c r="AS365"/>
  <c r="AS369"/>
  <c r="AS373"/>
  <c r="AS377"/>
  <c r="AS381"/>
  <c r="AS385"/>
  <c r="AS389"/>
  <c r="AS393"/>
  <c r="AS397"/>
  <c r="AS401"/>
  <c r="AS405"/>
  <c r="AS409"/>
  <c r="AS413"/>
  <c r="AS417"/>
  <c r="AS421"/>
  <c r="AS425"/>
  <c r="AS429"/>
  <c r="AS433"/>
  <c r="AS437"/>
  <c r="AS441"/>
  <c r="AS445"/>
  <c r="AS449"/>
  <c r="AS453"/>
  <c r="AS457"/>
  <c r="AS461"/>
  <c r="AS465"/>
  <c r="AS469"/>
  <c r="AS473"/>
  <c r="AS477"/>
  <c r="AS481"/>
  <c r="AS485"/>
  <c r="AS489"/>
  <c r="AS493"/>
  <c r="AS497"/>
  <c r="AS501"/>
  <c r="AS505"/>
  <c r="AS509"/>
  <c r="AS513"/>
  <c r="AS517"/>
  <c r="AS521"/>
  <c r="AS525"/>
  <c r="AS529"/>
  <c r="AS533"/>
  <c r="AS537"/>
  <c r="AS541"/>
  <c r="AS545"/>
  <c r="AS549"/>
  <c r="AS553"/>
  <c r="AS557"/>
  <c r="AS561"/>
  <c r="AS565"/>
  <c r="AS569"/>
  <c r="AS573"/>
  <c r="AS577"/>
  <c r="AS581"/>
  <c r="AS585"/>
  <c r="AS589"/>
  <c r="AS593"/>
  <c r="AS597"/>
  <c r="AS601"/>
  <c r="AS605"/>
  <c r="AS609"/>
  <c r="AS613"/>
  <c r="AS617"/>
  <c r="AS621"/>
  <c r="AS625"/>
  <c r="AS629"/>
  <c r="AS633"/>
  <c r="AS637"/>
  <c r="AS641"/>
  <c r="AS645"/>
  <c r="AS649"/>
  <c r="AS653"/>
  <c r="AS657"/>
  <c r="AS661"/>
  <c r="AS665"/>
  <c r="AS669"/>
  <c r="AS673"/>
  <c r="AS677"/>
  <c r="AS681"/>
  <c r="AT884"/>
  <c r="AT900"/>
  <c r="AT916"/>
  <c r="AT932"/>
  <c r="AT948"/>
  <c r="AT964"/>
  <c r="AT980"/>
  <c r="AT989"/>
  <c r="AT997"/>
  <c r="AT1005"/>
  <c r="AT1012"/>
  <c r="AT1017"/>
  <c r="AT1023"/>
  <c r="AT1028"/>
  <c r="AT1033"/>
  <c r="AT1039"/>
  <c r="AT1044"/>
  <c r="AT1049"/>
  <c r="AT1055"/>
  <c r="AT1060"/>
  <c r="AT1065"/>
  <c r="AT1071"/>
  <c r="AT1076"/>
  <c r="AT1081"/>
  <c r="AT1087"/>
  <c r="AT1092"/>
  <c r="AT1097"/>
  <c r="AT1103"/>
  <c r="AT1108"/>
  <c r="AT1113"/>
  <c r="AT1119"/>
  <c r="AT1124"/>
  <c r="AT1129"/>
  <c r="AT1134"/>
  <c r="AT1138"/>
  <c r="AT1142"/>
  <c r="AT1146"/>
  <c r="AT1150"/>
  <c r="AT1154"/>
  <c r="AT1158"/>
  <c r="AT1162"/>
  <c r="AT1166"/>
  <c r="AT1170"/>
  <c r="AT1174"/>
  <c r="AT1178"/>
  <c r="AT1182"/>
  <c r="AT1186"/>
  <c r="AT1190"/>
  <c r="AS102"/>
  <c r="AS202"/>
  <c r="AS206"/>
  <c r="AS210"/>
  <c r="AS214"/>
  <c r="AS218"/>
  <c r="AS222"/>
  <c r="AS226"/>
  <c r="AS230"/>
  <c r="AS234"/>
  <c r="AS238"/>
  <c r="AS242"/>
  <c r="AS246"/>
  <c r="AS250"/>
  <c r="AS254"/>
  <c r="AS258"/>
  <c r="AS262"/>
  <c r="AS266"/>
  <c r="AS270"/>
  <c r="AS274"/>
  <c r="AS278"/>
  <c r="AS282"/>
  <c r="AS286"/>
  <c r="AS290"/>
  <c r="AS294"/>
  <c r="AS298"/>
  <c r="AS302"/>
  <c r="AS306"/>
  <c r="AS310"/>
  <c r="AS314"/>
  <c r="AS318"/>
  <c r="AS322"/>
  <c r="AS326"/>
  <c r="AS330"/>
  <c r="AS334"/>
  <c r="AS338"/>
  <c r="AS342"/>
  <c r="AS346"/>
  <c r="AS350"/>
  <c r="AS354"/>
  <c r="AS358"/>
  <c r="AS362"/>
  <c r="AS366"/>
  <c r="AS370"/>
  <c r="AS374"/>
  <c r="AS378"/>
  <c r="AS382"/>
  <c r="AS386"/>
  <c r="AS390"/>
  <c r="AS394"/>
  <c r="AS398"/>
  <c r="AS402"/>
  <c r="AS406"/>
  <c r="AS410"/>
  <c r="AS414"/>
  <c r="AS418"/>
  <c r="AS422"/>
  <c r="AS426"/>
  <c r="AS430"/>
  <c r="AS434"/>
  <c r="AS438"/>
  <c r="AS442"/>
  <c r="AS446"/>
  <c r="AS450"/>
  <c r="AS454"/>
  <c r="AS458"/>
  <c r="AS462"/>
  <c r="AS466"/>
  <c r="AS470"/>
  <c r="AS474"/>
  <c r="AS478"/>
  <c r="AS482"/>
  <c r="AS486"/>
  <c r="AS490"/>
  <c r="AS494"/>
  <c r="AS498"/>
  <c r="AS502"/>
  <c r="AS506"/>
  <c r="AS510"/>
  <c r="AS514"/>
  <c r="AS518"/>
  <c r="AS522"/>
  <c r="AS526"/>
  <c r="AS530"/>
  <c r="AS534"/>
  <c r="AT888"/>
  <c r="AT904"/>
  <c r="AT920"/>
  <c r="AT936"/>
  <c r="AT952"/>
  <c r="AT968"/>
  <c r="AT984"/>
  <c r="AT992"/>
  <c r="AT1000"/>
  <c r="AT1008"/>
  <c r="AT1013"/>
  <c r="AT1019"/>
  <c r="AT1024"/>
  <c r="AT1029"/>
  <c r="AT1035"/>
  <c r="AT1040"/>
  <c r="AT1045"/>
  <c r="AT1051"/>
  <c r="AT1056"/>
  <c r="AT1061"/>
  <c r="AT1067"/>
  <c r="AT1072"/>
  <c r="AT1077"/>
  <c r="AT1083"/>
  <c r="AT1088"/>
  <c r="AT1093"/>
  <c r="AT1099"/>
  <c r="AT1104"/>
  <c r="AT1109"/>
  <c r="AT1115"/>
  <c r="AT1120"/>
  <c r="AT1125"/>
  <c r="AT1131"/>
  <c r="AT1135"/>
  <c r="AT1139"/>
  <c r="AT1143"/>
  <c r="AT1147"/>
  <c r="AT1151"/>
  <c r="AT1155"/>
  <c r="AT1159"/>
  <c r="AT1163"/>
  <c r="AT1167"/>
  <c r="AT1171"/>
  <c r="AT1175"/>
  <c r="AT1179"/>
  <c r="AT1183"/>
  <c r="AT1187"/>
  <c r="AS3"/>
  <c r="AS135"/>
  <c r="AS203"/>
  <c r="AS207"/>
  <c r="AS211"/>
  <c r="AS215"/>
  <c r="AS219"/>
  <c r="AS223"/>
  <c r="AS227"/>
  <c r="AS231"/>
  <c r="AS235"/>
  <c r="AS239"/>
  <c r="AS243"/>
  <c r="AS247"/>
  <c r="AS251"/>
  <c r="AS255"/>
  <c r="AS259"/>
  <c r="AS263"/>
  <c r="AS267"/>
  <c r="AS271"/>
  <c r="AS275"/>
  <c r="AS279"/>
  <c r="AS283"/>
  <c r="AS287"/>
  <c r="AS291"/>
  <c r="AS295"/>
  <c r="AS299"/>
  <c r="AS303"/>
  <c r="AS307"/>
  <c r="AS311"/>
  <c r="AS315"/>
  <c r="AS319"/>
  <c r="AS323"/>
  <c r="AS327"/>
  <c r="AS331"/>
  <c r="AS335"/>
  <c r="AS339"/>
  <c r="AS343"/>
  <c r="AS347"/>
  <c r="AS351"/>
  <c r="AS355"/>
  <c r="AS359"/>
  <c r="AS363"/>
  <c r="AS367"/>
  <c r="AS371"/>
  <c r="AS375"/>
  <c r="AS379"/>
  <c r="AS383"/>
  <c r="AS387"/>
  <c r="AS391"/>
  <c r="AS395"/>
  <c r="AS399"/>
  <c r="AS403"/>
  <c r="AS407"/>
  <c r="AS411"/>
  <c r="AS415"/>
  <c r="AS419"/>
  <c r="AS423"/>
  <c r="AS427"/>
  <c r="AS431"/>
  <c r="AS435"/>
  <c r="AS439"/>
  <c r="AS443"/>
  <c r="AS447"/>
  <c r="AS451"/>
  <c r="AS455"/>
  <c r="AS459"/>
  <c r="AS463"/>
  <c r="AS467"/>
  <c r="AS471"/>
  <c r="AS475"/>
  <c r="AS479"/>
  <c r="AS483"/>
  <c r="AS487"/>
  <c r="AS491"/>
  <c r="AS495"/>
  <c r="AS499"/>
  <c r="AS503"/>
  <c r="AS507"/>
  <c r="AS511"/>
  <c r="AS515"/>
  <c r="AS519"/>
  <c r="AS523"/>
  <c r="AS527"/>
  <c r="AS531"/>
  <c r="AS535"/>
  <c r="AS539"/>
  <c r="AS543"/>
  <c r="AS547"/>
  <c r="AS551"/>
  <c r="AS555"/>
  <c r="AS559"/>
  <c r="AS563"/>
  <c r="AS567"/>
  <c r="AS571"/>
  <c r="AS575"/>
  <c r="AS579"/>
  <c r="AS583"/>
  <c r="AS587"/>
  <c r="AS591"/>
  <c r="AS595"/>
  <c r="AS599"/>
  <c r="AS603"/>
  <c r="AS607"/>
  <c r="AS611"/>
  <c r="AS615"/>
  <c r="AS619"/>
  <c r="AS623"/>
  <c r="AS627"/>
  <c r="AS631"/>
  <c r="AS635"/>
  <c r="AS639"/>
  <c r="AS643"/>
  <c r="AS647"/>
  <c r="AS651"/>
  <c r="AS655"/>
  <c r="AS659"/>
  <c r="AS663"/>
  <c r="AS667"/>
  <c r="AS671"/>
  <c r="AS675"/>
  <c r="AT892"/>
  <c r="AT908"/>
  <c r="AT924"/>
  <c r="AT940"/>
  <c r="AT956"/>
  <c r="AT972"/>
  <c r="AT985"/>
  <c r="AT993"/>
  <c r="AT1001"/>
  <c r="AT1009"/>
  <c r="AT1015"/>
  <c r="AT1020"/>
  <c r="AT1025"/>
  <c r="AT1031"/>
  <c r="AT1036"/>
  <c r="AT1041"/>
  <c r="AT1047"/>
  <c r="AT1052"/>
  <c r="AT1057"/>
  <c r="AT1063"/>
  <c r="AT1068"/>
  <c r="AT1073"/>
  <c r="AT1079"/>
  <c r="AT1084"/>
  <c r="AT1089"/>
  <c r="AT1095"/>
  <c r="AT1100"/>
  <c r="AT1105"/>
  <c r="AT1111"/>
  <c r="AT1116"/>
  <c r="AT1121"/>
  <c r="AT1127"/>
  <c r="AT1132"/>
  <c r="AT1136"/>
  <c r="AT1140"/>
  <c r="AT1144"/>
  <c r="AT1148"/>
  <c r="AT1152"/>
  <c r="AT1156"/>
  <c r="AT1160"/>
  <c r="AT1164"/>
  <c r="AT1168"/>
  <c r="AT1172"/>
  <c r="AT1176"/>
  <c r="AT1180"/>
  <c r="AT1184"/>
  <c r="AT1188"/>
  <c r="AS36"/>
  <c r="AS168"/>
  <c r="AS204"/>
  <c r="AS208"/>
  <c r="AS212"/>
  <c r="AS216"/>
  <c r="AS220"/>
  <c r="AS224"/>
  <c r="AS228"/>
  <c r="AS232"/>
  <c r="AS236"/>
  <c r="AS240"/>
  <c r="AS244"/>
  <c r="AS248"/>
  <c r="AS252"/>
  <c r="AS256"/>
  <c r="AS260"/>
  <c r="AS264"/>
  <c r="AS268"/>
  <c r="AS272"/>
  <c r="AS276"/>
  <c r="AS280"/>
  <c r="AS284"/>
  <c r="AS288"/>
  <c r="AS292"/>
  <c r="AS296"/>
  <c r="AS300"/>
  <c r="AS304"/>
  <c r="AS308"/>
  <c r="AS312"/>
  <c r="AS316"/>
  <c r="AS320"/>
  <c r="AS324"/>
  <c r="AS328"/>
  <c r="AS332"/>
  <c r="AS336"/>
  <c r="AS340"/>
  <c r="AS344"/>
  <c r="AS348"/>
  <c r="AS352"/>
  <c r="AS356"/>
  <c r="AS360"/>
  <c r="AS364"/>
  <c r="AS368"/>
  <c r="AS372"/>
  <c r="AS376"/>
  <c r="AS380"/>
  <c r="AS384"/>
  <c r="AS388"/>
  <c r="AS392"/>
  <c r="AS396"/>
  <c r="AS400"/>
  <c r="AS404"/>
  <c r="AS408"/>
  <c r="AS412"/>
  <c r="AS416"/>
  <c r="AS420"/>
  <c r="AS424"/>
  <c r="AS428"/>
  <c r="AS432"/>
  <c r="AS436"/>
  <c r="AS440"/>
  <c r="AS444"/>
  <c r="AS448"/>
  <c r="AS452"/>
  <c r="AS456"/>
  <c r="AS460"/>
  <c r="AS464"/>
  <c r="AS468"/>
  <c r="AS472"/>
  <c r="AS476"/>
  <c r="AS480"/>
  <c r="AS484"/>
  <c r="AS488"/>
  <c r="AS492"/>
  <c r="AS496"/>
  <c r="AS500"/>
  <c r="AS504"/>
  <c r="AS508"/>
  <c r="AS512"/>
  <c r="AS516"/>
  <c r="AS520"/>
  <c r="AS524"/>
  <c r="AS528"/>
  <c r="AS532"/>
  <c r="AS536"/>
  <c r="AS540"/>
  <c r="AS544"/>
  <c r="AS548"/>
  <c r="AS552"/>
  <c r="AS556"/>
  <c r="AS560"/>
  <c r="AS564"/>
  <c r="AS568"/>
  <c r="AS572"/>
  <c r="AS576"/>
  <c r="AS580"/>
  <c r="AS584"/>
  <c r="AS588"/>
  <c r="AS592"/>
  <c r="AS596"/>
  <c r="AS600"/>
  <c r="AS604"/>
  <c r="AS608"/>
  <c r="AS612"/>
  <c r="AS616"/>
  <c r="AS620"/>
  <c r="AS624"/>
  <c r="AS628"/>
  <c r="AS632"/>
  <c r="AS636"/>
  <c r="AS640"/>
  <c r="AS644"/>
  <c r="AS648"/>
  <c r="AS652"/>
  <c r="AS656"/>
  <c r="AS660"/>
  <c r="AS664"/>
  <c r="AS668"/>
  <c r="AS672"/>
  <c r="AS676"/>
  <c r="AS680"/>
  <c r="AS684"/>
  <c r="AS688"/>
  <c r="AS692"/>
  <c r="AS696"/>
  <c r="AS700"/>
  <c r="AS704"/>
  <c r="AS708"/>
  <c r="AS712"/>
  <c r="AS716"/>
  <c r="AS720"/>
  <c r="AS724"/>
  <c r="AS728"/>
  <c r="AS732"/>
  <c r="AS736"/>
  <c r="AS740"/>
  <c r="AS744"/>
  <c r="AS748"/>
  <c r="AS752"/>
  <c r="AS756"/>
  <c r="AS760"/>
  <c r="AS764"/>
  <c r="AS768"/>
  <c r="AS772"/>
  <c r="AS776"/>
  <c r="AS780"/>
  <c r="AS784"/>
  <c r="AS788"/>
  <c r="AS792"/>
  <c r="AS796"/>
  <c r="AS800"/>
  <c r="AS804"/>
  <c r="AS808"/>
  <c r="AS812"/>
  <c r="AS816"/>
  <c r="AS820"/>
  <c r="AS824"/>
  <c r="AS828"/>
  <c r="AS832"/>
  <c r="AS836"/>
  <c r="AS840"/>
  <c r="AS844"/>
  <c r="AS848"/>
  <c r="AS852"/>
  <c r="AS856"/>
  <c r="AS538"/>
  <c r="AS554"/>
  <c r="AS570"/>
  <c r="AS586"/>
  <c r="AS602"/>
  <c r="AS618"/>
  <c r="AS634"/>
  <c r="AS650"/>
  <c r="AS666"/>
  <c r="AS679"/>
  <c r="AS686"/>
  <c r="AS691"/>
  <c r="AS697"/>
  <c r="AS702"/>
  <c r="AS707"/>
  <c r="AS713"/>
  <c r="AS718"/>
  <c r="AS723"/>
  <c r="AS729"/>
  <c r="AS734"/>
  <c r="AS739"/>
  <c r="AS745"/>
  <c r="AS750"/>
  <c r="AS755"/>
  <c r="AS761"/>
  <c r="AS766"/>
  <c r="AS771"/>
  <c r="AS777"/>
  <c r="AS782"/>
  <c r="AS787"/>
  <c r="AS793"/>
  <c r="AS798"/>
  <c r="AS803"/>
  <c r="AS809"/>
  <c r="AS814"/>
  <c r="AS819"/>
  <c r="AS825"/>
  <c r="AS830"/>
  <c r="AS835"/>
  <c r="AS841"/>
  <c r="AS846"/>
  <c r="AS851"/>
  <c r="AS857"/>
  <c r="AS861"/>
  <c r="AS865"/>
  <c r="AS869"/>
  <c r="AS873"/>
  <c r="AS877"/>
  <c r="AS881"/>
  <c r="AS885"/>
  <c r="AS889"/>
  <c r="AS893"/>
  <c r="AS897"/>
  <c r="AS901"/>
  <c r="AS905"/>
  <c r="AS909"/>
  <c r="AS913"/>
  <c r="AS917"/>
  <c r="AS921"/>
  <c r="AS925"/>
  <c r="AS929"/>
  <c r="AS933"/>
  <c r="AS937"/>
  <c r="AS941"/>
  <c r="AS945"/>
  <c r="AS949"/>
  <c r="AS953"/>
  <c r="AS957"/>
  <c r="AS961"/>
  <c r="AS965"/>
  <c r="AS969"/>
  <c r="AS973"/>
  <c r="AS977"/>
  <c r="AS981"/>
  <c r="AS985"/>
  <c r="AS989"/>
  <c r="AS993"/>
  <c r="AS997"/>
  <c r="AS1001"/>
  <c r="AS1005"/>
  <c r="AS1009"/>
  <c r="AS1013"/>
  <c r="AS1017"/>
  <c r="AS1021"/>
  <c r="AS1025"/>
  <c r="AS1029"/>
  <c r="AS1033"/>
  <c r="AS1037"/>
  <c r="AS1041"/>
  <c r="AS1045"/>
  <c r="AS1049"/>
  <c r="AS1053"/>
  <c r="AS1057"/>
  <c r="AS1061"/>
  <c r="AS1065"/>
  <c r="AS1069"/>
  <c r="AS1073"/>
  <c r="AS1077"/>
  <c r="AS1081"/>
  <c r="AS1085"/>
  <c r="AS1089"/>
  <c r="AS1093"/>
  <c r="AS1097"/>
  <c r="AS1101"/>
  <c r="AS1105"/>
  <c r="AS1109"/>
  <c r="AS1113"/>
  <c r="AS1117"/>
  <c r="AS1121"/>
  <c r="AS1125"/>
  <c r="AS1129"/>
  <c r="AS1133"/>
  <c r="AS1137"/>
  <c r="AS1141"/>
  <c r="AS1145"/>
  <c r="AS1149"/>
  <c r="AS1153"/>
  <c r="AS1157"/>
  <c r="AS1161"/>
  <c r="AS1165"/>
  <c r="AS1169"/>
  <c r="AS1173"/>
  <c r="AS1177"/>
  <c r="AS1181"/>
  <c r="AS1185"/>
  <c r="AS1189"/>
  <c r="AR36"/>
  <c r="AR102"/>
  <c r="AQ201"/>
  <c r="AQ203"/>
  <c r="AQ205"/>
  <c r="AQ207"/>
  <c r="AQ209"/>
  <c r="AQ211"/>
  <c r="AQ213"/>
  <c r="AQ215"/>
  <c r="AQ217"/>
  <c r="AQ219"/>
  <c r="AQ221"/>
  <c r="AQ223"/>
  <c r="AQ225"/>
  <c r="AQ227"/>
  <c r="AQ229"/>
  <c r="AQ231"/>
  <c r="AQ233"/>
  <c r="AQ235"/>
  <c r="AQ237"/>
  <c r="AQ239"/>
  <c r="AQ241"/>
  <c r="AQ243"/>
  <c r="AQ245"/>
  <c r="AQ247"/>
  <c r="AQ249"/>
  <c r="AQ251"/>
  <c r="AQ253"/>
  <c r="AQ255"/>
  <c r="AQ257"/>
  <c r="AQ259"/>
  <c r="AQ261"/>
  <c r="AQ263"/>
  <c r="AQ265"/>
  <c r="AQ267"/>
  <c r="AQ269"/>
  <c r="AQ271"/>
  <c r="AQ273"/>
  <c r="AQ275"/>
  <c r="AQ277"/>
  <c r="AQ279"/>
  <c r="AQ281"/>
  <c r="AQ283"/>
  <c r="AQ285"/>
  <c r="AQ287"/>
  <c r="AQ289"/>
  <c r="AQ291"/>
  <c r="AQ293"/>
  <c r="AQ295"/>
  <c r="AQ297"/>
  <c r="AQ299"/>
  <c r="AQ301"/>
  <c r="AQ303"/>
  <c r="AQ305"/>
  <c r="AQ307"/>
  <c r="AQ309"/>
  <c r="AQ311"/>
  <c r="AQ313"/>
  <c r="AQ315"/>
  <c r="AQ317"/>
  <c r="AQ319"/>
  <c r="AQ321"/>
  <c r="AQ323"/>
  <c r="AQ325"/>
  <c r="AQ327"/>
  <c r="AQ329"/>
  <c r="AQ331"/>
  <c r="AQ333"/>
  <c r="AQ335"/>
  <c r="AQ337"/>
  <c r="AQ339"/>
  <c r="AQ341"/>
  <c r="AQ343"/>
  <c r="AQ345"/>
  <c r="AQ347"/>
  <c r="AQ349"/>
  <c r="AQ351"/>
  <c r="AQ353"/>
  <c r="AQ355"/>
  <c r="AQ357"/>
  <c r="AQ359"/>
  <c r="AQ361"/>
  <c r="AQ363"/>
  <c r="AQ365"/>
  <c r="AQ367"/>
  <c r="AQ369"/>
  <c r="AQ371"/>
  <c r="AQ373"/>
  <c r="AQ375"/>
  <c r="AQ377"/>
  <c r="AQ379"/>
  <c r="AQ381"/>
  <c r="AQ383"/>
  <c r="AQ385"/>
  <c r="AQ387"/>
  <c r="AQ389"/>
  <c r="AQ391"/>
  <c r="AS542"/>
  <c r="AS558"/>
  <c r="AS574"/>
  <c r="AS590"/>
  <c r="AS606"/>
  <c r="AS622"/>
  <c r="AS638"/>
  <c r="AS654"/>
  <c r="AS670"/>
  <c r="AS682"/>
  <c r="AS687"/>
  <c r="AS693"/>
  <c r="AS698"/>
  <c r="AS703"/>
  <c r="AS709"/>
  <c r="AS714"/>
  <c r="AS719"/>
  <c r="AS725"/>
  <c r="AS730"/>
  <c r="AS735"/>
  <c r="AS741"/>
  <c r="AS746"/>
  <c r="AS751"/>
  <c r="AS757"/>
  <c r="AS762"/>
  <c r="AS767"/>
  <c r="AS773"/>
  <c r="AS778"/>
  <c r="AS783"/>
  <c r="AS789"/>
  <c r="AS794"/>
  <c r="AS799"/>
  <c r="AS805"/>
  <c r="AS810"/>
  <c r="AS815"/>
  <c r="AS821"/>
  <c r="AS826"/>
  <c r="AS831"/>
  <c r="AS837"/>
  <c r="AS842"/>
  <c r="AS847"/>
  <c r="AS853"/>
  <c r="AS858"/>
  <c r="AS862"/>
  <c r="AS866"/>
  <c r="AS870"/>
  <c r="AS874"/>
  <c r="AS878"/>
  <c r="AS882"/>
  <c r="AS886"/>
  <c r="AS890"/>
  <c r="AS894"/>
  <c r="AS898"/>
  <c r="AS902"/>
  <c r="AS906"/>
  <c r="AS910"/>
  <c r="AS914"/>
  <c r="AS918"/>
  <c r="AS922"/>
  <c r="AS926"/>
  <c r="AS930"/>
  <c r="AS934"/>
  <c r="AS938"/>
  <c r="AS942"/>
  <c r="AS946"/>
  <c r="AS950"/>
  <c r="AS954"/>
  <c r="AS958"/>
  <c r="AS962"/>
  <c r="AS966"/>
  <c r="AS970"/>
  <c r="AS974"/>
  <c r="AS978"/>
  <c r="AS982"/>
  <c r="AS986"/>
  <c r="AS990"/>
  <c r="AS994"/>
  <c r="AS998"/>
  <c r="AS1002"/>
  <c r="AS1006"/>
  <c r="AS1010"/>
  <c r="AS1014"/>
  <c r="AS1018"/>
  <c r="AS1022"/>
  <c r="AS1026"/>
  <c r="AS1030"/>
  <c r="AS1034"/>
  <c r="AS1038"/>
  <c r="AS1042"/>
  <c r="AS1046"/>
  <c r="AS1050"/>
  <c r="AS1054"/>
  <c r="AS1058"/>
  <c r="AS1062"/>
  <c r="AS1066"/>
  <c r="AS1070"/>
  <c r="AS1074"/>
  <c r="AS1078"/>
  <c r="AS1082"/>
  <c r="AS1086"/>
  <c r="AS1090"/>
  <c r="AS1094"/>
  <c r="AS1098"/>
  <c r="AS1102"/>
  <c r="AS1106"/>
  <c r="AS1110"/>
  <c r="AS1114"/>
  <c r="AS1118"/>
  <c r="AS1122"/>
  <c r="AS1126"/>
  <c r="AS1130"/>
  <c r="AS1134"/>
  <c r="AS1138"/>
  <c r="AS1142"/>
  <c r="AS1146"/>
  <c r="AS1150"/>
  <c r="AS1154"/>
  <c r="AS1158"/>
  <c r="AS1162"/>
  <c r="AS1166"/>
  <c r="AS1170"/>
  <c r="AS1174"/>
  <c r="AS1178"/>
  <c r="AS1182"/>
  <c r="AS1186"/>
  <c r="AS1190"/>
  <c r="AQ69"/>
  <c r="AR135"/>
  <c r="AR201"/>
  <c r="AR203"/>
  <c r="AR205"/>
  <c r="AR207"/>
  <c r="AR209"/>
  <c r="AR211"/>
  <c r="AR213"/>
  <c r="AR215"/>
  <c r="AR217"/>
  <c r="AR219"/>
  <c r="AR221"/>
  <c r="AR223"/>
  <c r="AR225"/>
  <c r="AR227"/>
  <c r="AR229"/>
  <c r="AR231"/>
  <c r="AR233"/>
  <c r="AR235"/>
  <c r="AR237"/>
  <c r="AR239"/>
  <c r="AR241"/>
  <c r="AR243"/>
  <c r="AR245"/>
  <c r="AR247"/>
  <c r="AR249"/>
  <c r="AR251"/>
  <c r="AR253"/>
  <c r="AR255"/>
  <c r="AR257"/>
  <c r="AR259"/>
  <c r="AR261"/>
  <c r="AR263"/>
  <c r="AS546"/>
  <c r="AS562"/>
  <c r="AS578"/>
  <c r="AS594"/>
  <c r="AS610"/>
  <c r="AS626"/>
  <c r="AS642"/>
  <c r="AS658"/>
  <c r="AS674"/>
  <c r="AS683"/>
  <c r="AS689"/>
  <c r="AS694"/>
  <c r="AS699"/>
  <c r="AS705"/>
  <c r="AS710"/>
  <c r="AS715"/>
  <c r="AS721"/>
  <c r="AS726"/>
  <c r="AS731"/>
  <c r="AS737"/>
  <c r="AS742"/>
  <c r="AS747"/>
  <c r="AS753"/>
  <c r="AS758"/>
  <c r="AS763"/>
  <c r="AS769"/>
  <c r="AS774"/>
  <c r="AS779"/>
  <c r="AS785"/>
  <c r="AS790"/>
  <c r="AS795"/>
  <c r="AS801"/>
  <c r="AS806"/>
  <c r="AS811"/>
  <c r="AS817"/>
  <c r="AS822"/>
  <c r="AS827"/>
  <c r="AS833"/>
  <c r="AS838"/>
  <c r="AS843"/>
  <c r="AS849"/>
  <c r="AS854"/>
  <c r="AS859"/>
  <c r="AS863"/>
  <c r="AS867"/>
  <c r="AS871"/>
  <c r="AS875"/>
  <c r="AS879"/>
  <c r="AS883"/>
  <c r="AS887"/>
  <c r="AS891"/>
  <c r="AS895"/>
  <c r="AS899"/>
  <c r="AS903"/>
  <c r="AS907"/>
  <c r="AS911"/>
  <c r="AS915"/>
  <c r="AS919"/>
  <c r="AS923"/>
  <c r="AS927"/>
  <c r="AS931"/>
  <c r="AS935"/>
  <c r="AS939"/>
  <c r="AS943"/>
  <c r="AS947"/>
  <c r="AS951"/>
  <c r="AS955"/>
  <c r="AS959"/>
  <c r="AS963"/>
  <c r="AS967"/>
  <c r="AS971"/>
  <c r="AS975"/>
  <c r="AS979"/>
  <c r="AS983"/>
  <c r="AS987"/>
  <c r="AS991"/>
  <c r="AS995"/>
  <c r="AS999"/>
  <c r="AS1003"/>
  <c r="AS1007"/>
  <c r="AS1011"/>
  <c r="AS1015"/>
  <c r="AS1019"/>
  <c r="AS1023"/>
  <c r="AS1027"/>
  <c r="AS1031"/>
  <c r="AS1035"/>
  <c r="AS1039"/>
  <c r="AS1043"/>
  <c r="AS1047"/>
  <c r="AS1051"/>
  <c r="AS1055"/>
  <c r="AS1059"/>
  <c r="AS1063"/>
  <c r="AS1067"/>
  <c r="AS1071"/>
  <c r="AS1075"/>
  <c r="AS1079"/>
  <c r="AS1083"/>
  <c r="AS1087"/>
  <c r="AS1091"/>
  <c r="AS1095"/>
  <c r="AS1099"/>
  <c r="AS1103"/>
  <c r="AS1107"/>
  <c r="AS1111"/>
  <c r="AS1115"/>
  <c r="AS1119"/>
  <c r="AS1123"/>
  <c r="AS1127"/>
  <c r="AS1131"/>
  <c r="AS1135"/>
  <c r="AS1139"/>
  <c r="AS1143"/>
  <c r="AS1147"/>
  <c r="AS1151"/>
  <c r="AS1155"/>
  <c r="AS1159"/>
  <c r="AS1163"/>
  <c r="AS1167"/>
  <c r="AS1171"/>
  <c r="AS1175"/>
  <c r="AS1179"/>
  <c r="AS1183"/>
  <c r="AS1187"/>
  <c r="AQ135"/>
  <c r="AR69"/>
  <c r="AQ168"/>
  <c r="AQ202"/>
  <c r="AQ204"/>
  <c r="AQ206"/>
  <c r="AQ208"/>
  <c r="AQ210"/>
  <c r="AQ212"/>
  <c r="AQ214"/>
  <c r="AQ216"/>
  <c r="AQ218"/>
  <c r="AQ220"/>
  <c r="AQ222"/>
  <c r="AQ224"/>
  <c r="AQ226"/>
  <c r="AQ228"/>
  <c r="AQ230"/>
  <c r="AQ232"/>
  <c r="AQ234"/>
  <c r="AQ236"/>
  <c r="AQ238"/>
  <c r="AQ240"/>
  <c r="AQ242"/>
  <c r="AQ244"/>
  <c r="AQ246"/>
  <c r="AQ248"/>
  <c r="AQ250"/>
  <c r="AQ252"/>
  <c r="AQ254"/>
  <c r="AQ256"/>
  <c r="AQ258"/>
  <c r="AQ260"/>
  <c r="AQ262"/>
  <c r="AQ264"/>
  <c r="AQ266"/>
  <c r="AQ268"/>
  <c r="AQ270"/>
  <c r="AQ272"/>
  <c r="AQ274"/>
  <c r="AQ276"/>
  <c r="AQ278"/>
  <c r="AQ280"/>
  <c r="AQ282"/>
  <c r="AQ284"/>
  <c r="AS550"/>
  <c r="AS566"/>
  <c r="AS582"/>
  <c r="AS598"/>
  <c r="AS614"/>
  <c r="AS630"/>
  <c r="AS646"/>
  <c r="AS662"/>
  <c r="AS678"/>
  <c r="AS685"/>
  <c r="AS690"/>
  <c r="AS695"/>
  <c r="AS701"/>
  <c r="AS706"/>
  <c r="AS711"/>
  <c r="AS717"/>
  <c r="AS722"/>
  <c r="AS727"/>
  <c r="AS733"/>
  <c r="AS738"/>
  <c r="AS743"/>
  <c r="AS749"/>
  <c r="AS754"/>
  <c r="AS759"/>
  <c r="AS765"/>
  <c r="AS770"/>
  <c r="AS775"/>
  <c r="AS781"/>
  <c r="AS786"/>
  <c r="AS791"/>
  <c r="AS797"/>
  <c r="AS802"/>
  <c r="AS807"/>
  <c r="AS813"/>
  <c r="AS818"/>
  <c r="AS823"/>
  <c r="AS829"/>
  <c r="AS834"/>
  <c r="AS839"/>
  <c r="AS845"/>
  <c r="AS850"/>
  <c r="AS855"/>
  <c r="AS860"/>
  <c r="AS864"/>
  <c r="AS868"/>
  <c r="AS872"/>
  <c r="AS876"/>
  <c r="AS880"/>
  <c r="AS884"/>
  <c r="AS888"/>
  <c r="AS892"/>
  <c r="AS896"/>
  <c r="AS900"/>
  <c r="AS904"/>
  <c r="AS908"/>
  <c r="AS912"/>
  <c r="AS916"/>
  <c r="AS920"/>
  <c r="AS924"/>
  <c r="AS928"/>
  <c r="AS932"/>
  <c r="AS936"/>
  <c r="AS940"/>
  <c r="AS944"/>
  <c r="AS948"/>
  <c r="AS952"/>
  <c r="AS956"/>
  <c r="AS960"/>
  <c r="AS964"/>
  <c r="AS968"/>
  <c r="AS972"/>
  <c r="AS976"/>
  <c r="AS980"/>
  <c r="AS984"/>
  <c r="AS988"/>
  <c r="AS992"/>
  <c r="AS996"/>
  <c r="AS1000"/>
  <c r="AS1004"/>
  <c r="AS1008"/>
  <c r="AS1012"/>
  <c r="AS1016"/>
  <c r="AS1020"/>
  <c r="AS1024"/>
  <c r="AS1028"/>
  <c r="AS1032"/>
  <c r="AS1036"/>
  <c r="AS1040"/>
  <c r="AS1044"/>
  <c r="AS1048"/>
  <c r="AS1052"/>
  <c r="AS1056"/>
  <c r="AS1060"/>
  <c r="AS1064"/>
  <c r="AS1068"/>
  <c r="AS1072"/>
  <c r="AS1076"/>
  <c r="AS1080"/>
  <c r="AS1084"/>
  <c r="AS1088"/>
  <c r="AS1092"/>
  <c r="AS1096"/>
  <c r="AS1100"/>
  <c r="AS1104"/>
  <c r="AS1108"/>
  <c r="AS1112"/>
  <c r="AS1116"/>
  <c r="AS1120"/>
  <c r="AS1124"/>
  <c r="AS1128"/>
  <c r="AS1132"/>
  <c r="AS1136"/>
  <c r="AS1140"/>
  <c r="AS1144"/>
  <c r="AS1148"/>
  <c r="AS1152"/>
  <c r="AS1156"/>
  <c r="AS1160"/>
  <c r="AS1164"/>
  <c r="AS1168"/>
  <c r="AS1172"/>
  <c r="AS1176"/>
  <c r="AS1180"/>
  <c r="AS1184"/>
  <c r="AS1188"/>
  <c r="AQ36"/>
  <c r="AQ102"/>
  <c r="AR168"/>
  <c r="AR202"/>
  <c r="AR204"/>
  <c r="AR206"/>
  <c r="AR208"/>
  <c r="AR210"/>
  <c r="AR212"/>
  <c r="AR214"/>
  <c r="AR216"/>
  <c r="AR218"/>
  <c r="AR220"/>
  <c r="AR222"/>
  <c r="AR224"/>
  <c r="AR226"/>
  <c r="AR228"/>
  <c r="AR230"/>
  <c r="AR232"/>
  <c r="AR234"/>
  <c r="AR236"/>
  <c r="AR238"/>
  <c r="AR240"/>
  <c r="AR242"/>
  <c r="AR244"/>
  <c r="AR246"/>
  <c r="AR248"/>
  <c r="AR250"/>
  <c r="AR252"/>
  <c r="AR254"/>
  <c r="AR256"/>
  <c r="AR258"/>
  <c r="AR260"/>
  <c r="AR262"/>
  <c r="AR264"/>
  <c r="AR266"/>
  <c r="AR268"/>
  <c r="AR270"/>
  <c r="AR272"/>
  <c r="AR274"/>
  <c r="AR276"/>
  <c r="AR278"/>
  <c r="AR280"/>
  <c r="AR282"/>
  <c r="AR284"/>
  <c r="AR286"/>
  <c r="AR288"/>
  <c r="AR290"/>
  <c r="AR292"/>
  <c r="AR294"/>
  <c r="AR296"/>
  <c r="AR298"/>
  <c r="AR300"/>
  <c r="AR302"/>
  <c r="AR304"/>
  <c r="AR306"/>
  <c r="AR308"/>
  <c r="AR310"/>
  <c r="AR312"/>
  <c r="AR314"/>
  <c r="AR316"/>
  <c r="AR318"/>
  <c r="AR320"/>
  <c r="AR322"/>
  <c r="AR324"/>
  <c r="AR326"/>
  <c r="AR328"/>
  <c r="AR330"/>
  <c r="AR332"/>
  <c r="AR334"/>
  <c r="AR336"/>
  <c r="AR338"/>
  <c r="AR340"/>
  <c r="AR342"/>
  <c r="AR344"/>
  <c r="AR346"/>
  <c r="AR348"/>
  <c r="AR350"/>
  <c r="AR352"/>
  <c r="AR354"/>
  <c r="AR356"/>
  <c r="AR358"/>
  <c r="AR360"/>
  <c r="AR362"/>
  <c r="AR364"/>
  <c r="AR366"/>
  <c r="AR368"/>
  <c r="AR370"/>
  <c r="AR372"/>
  <c r="AR374"/>
  <c r="AR376"/>
  <c r="AR378"/>
  <c r="AR380"/>
  <c r="AR382"/>
  <c r="AR384"/>
  <c r="AR386"/>
  <c r="AR388"/>
  <c r="AR390"/>
  <c r="AR392"/>
  <c r="AR394"/>
  <c r="AR396"/>
  <c r="AR398"/>
  <c r="AR400"/>
  <c r="AR402"/>
  <c r="AR404"/>
  <c r="AR406"/>
  <c r="AR408"/>
  <c r="AR410"/>
  <c r="AR412"/>
  <c r="AR414"/>
  <c r="AR416"/>
  <c r="AR418"/>
  <c r="AR420"/>
  <c r="AR422"/>
  <c r="AR424"/>
  <c r="AR426"/>
  <c r="AR428"/>
  <c r="AR430"/>
  <c r="AR432"/>
  <c r="AR434"/>
  <c r="AR436"/>
  <c r="AR438"/>
  <c r="AR440"/>
  <c r="AR442"/>
  <c r="AR444"/>
  <c r="AR446"/>
  <c r="AR448"/>
  <c r="AR450"/>
  <c r="AR452"/>
  <c r="AR454"/>
  <c r="AR456"/>
  <c r="AR458"/>
  <c r="AR460"/>
  <c r="AR462"/>
  <c r="AR464"/>
  <c r="AR466"/>
  <c r="AR468"/>
  <c r="AR470"/>
  <c r="AR472"/>
  <c r="AR474"/>
  <c r="AR476"/>
  <c r="AR478"/>
  <c r="AR265"/>
  <c r="AR273"/>
  <c r="AR281"/>
  <c r="AR287"/>
  <c r="AR291"/>
  <c r="AR295"/>
  <c r="AR299"/>
  <c r="AR303"/>
  <c r="AR307"/>
  <c r="AR311"/>
  <c r="AR315"/>
  <c r="AR319"/>
  <c r="AR323"/>
  <c r="AR327"/>
  <c r="AR331"/>
  <c r="AR335"/>
  <c r="AR339"/>
  <c r="AR343"/>
  <c r="AR347"/>
  <c r="AR351"/>
  <c r="AR355"/>
  <c r="AR359"/>
  <c r="AR363"/>
  <c r="AR367"/>
  <c r="AR371"/>
  <c r="AR375"/>
  <c r="AR379"/>
  <c r="AR383"/>
  <c r="AR387"/>
  <c r="AR391"/>
  <c r="AQ394"/>
  <c r="AQ397"/>
  <c r="AR399"/>
  <c r="AQ402"/>
  <c r="AQ405"/>
  <c r="AR407"/>
  <c r="AQ410"/>
  <c r="AQ413"/>
  <c r="AR415"/>
  <c r="AQ418"/>
  <c r="AQ421"/>
  <c r="AR423"/>
  <c r="AQ426"/>
  <c r="AQ429"/>
  <c r="AR431"/>
  <c r="AQ434"/>
  <c r="AQ437"/>
  <c r="AR439"/>
  <c r="AQ442"/>
  <c r="AQ445"/>
  <c r="AR447"/>
  <c r="AQ450"/>
  <c r="AQ453"/>
  <c r="AR455"/>
  <c r="AQ458"/>
  <c r="AQ461"/>
  <c r="AR463"/>
  <c r="AQ466"/>
  <c r="AQ469"/>
  <c r="AR471"/>
  <c r="AQ474"/>
  <c r="AQ477"/>
  <c r="AR479"/>
  <c r="AR481"/>
  <c r="AR483"/>
  <c r="AR485"/>
  <c r="AR487"/>
  <c r="AR489"/>
  <c r="AR491"/>
  <c r="AR493"/>
  <c r="AR495"/>
  <c r="AR497"/>
  <c r="AR499"/>
  <c r="AR501"/>
  <c r="AR503"/>
  <c r="AR505"/>
  <c r="AR507"/>
  <c r="AR509"/>
  <c r="AR511"/>
  <c r="AR513"/>
  <c r="AR515"/>
  <c r="AR517"/>
  <c r="AR519"/>
  <c r="AR521"/>
  <c r="AR523"/>
  <c r="AR525"/>
  <c r="AR527"/>
  <c r="AR529"/>
  <c r="AR531"/>
  <c r="AR533"/>
  <c r="AR535"/>
  <c r="AR537"/>
  <c r="AR539"/>
  <c r="AR541"/>
  <c r="AR543"/>
  <c r="AR545"/>
  <c r="AR547"/>
  <c r="AR549"/>
  <c r="AR551"/>
  <c r="AR553"/>
  <c r="AR555"/>
  <c r="AR557"/>
  <c r="AR559"/>
  <c r="AR561"/>
  <c r="AR563"/>
  <c r="AR565"/>
  <c r="AR567"/>
  <c r="AR569"/>
  <c r="AR571"/>
  <c r="AR573"/>
  <c r="AR575"/>
  <c r="AR577"/>
  <c r="AR579"/>
  <c r="AR581"/>
  <c r="AR583"/>
  <c r="AR585"/>
  <c r="AR587"/>
  <c r="AR589"/>
  <c r="AR591"/>
  <c r="AR593"/>
  <c r="AR595"/>
  <c r="AR597"/>
  <c r="AR599"/>
  <c r="AR601"/>
  <c r="AR603"/>
  <c r="AR605"/>
  <c r="AR607"/>
  <c r="AR609"/>
  <c r="AR611"/>
  <c r="AR613"/>
  <c r="AR615"/>
  <c r="AR617"/>
  <c r="AR619"/>
  <c r="AR621"/>
  <c r="AR623"/>
  <c r="AR625"/>
  <c r="AR627"/>
  <c r="AR629"/>
  <c r="AR631"/>
  <c r="AR633"/>
  <c r="AR635"/>
  <c r="AR637"/>
  <c r="AR639"/>
  <c r="AR641"/>
  <c r="AR643"/>
  <c r="AR645"/>
  <c r="AR647"/>
  <c r="AR649"/>
  <c r="AR651"/>
  <c r="AR653"/>
  <c r="AR655"/>
  <c r="AR657"/>
  <c r="AR659"/>
  <c r="AR661"/>
  <c r="AR663"/>
  <c r="AR665"/>
  <c r="AR667"/>
  <c r="AR669"/>
  <c r="AR671"/>
  <c r="AR673"/>
  <c r="AR675"/>
  <c r="AR677"/>
  <c r="AR679"/>
  <c r="AR681"/>
  <c r="AR683"/>
  <c r="AR685"/>
  <c r="AR687"/>
  <c r="AR689"/>
  <c r="AR691"/>
  <c r="AR693"/>
  <c r="AR695"/>
  <c r="AR697"/>
  <c r="AR699"/>
  <c r="AR701"/>
  <c r="AR703"/>
  <c r="AR705"/>
  <c r="AR707"/>
  <c r="AR709"/>
  <c r="AR711"/>
  <c r="AR713"/>
  <c r="AR715"/>
  <c r="AR717"/>
  <c r="AR719"/>
  <c r="AR721"/>
  <c r="AR723"/>
  <c r="AR725"/>
  <c r="AR727"/>
  <c r="AR729"/>
  <c r="AR731"/>
  <c r="AR733"/>
  <c r="AR735"/>
  <c r="AR737"/>
  <c r="AR739"/>
  <c r="AR741"/>
  <c r="AR743"/>
  <c r="AR745"/>
  <c r="AR747"/>
  <c r="AR749"/>
  <c r="AR751"/>
  <c r="AR753"/>
  <c r="AR755"/>
  <c r="AR757"/>
  <c r="AR759"/>
  <c r="AR761"/>
  <c r="AR763"/>
  <c r="AR765"/>
  <c r="AR767"/>
  <c r="AR769"/>
  <c r="AR771"/>
  <c r="AR773"/>
  <c r="AR775"/>
  <c r="AR777"/>
  <c r="AR779"/>
  <c r="AR781"/>
  <c r="AR783"/>
  <c r="AR785"/>
  <c r="AR787"/>
  <c r="AR789"/>
  <c r="AR791"/>
  <c r="AR793"/>
  <c r="AR795"/>
  <c r="AR797"/>
  <c r="AR799"/>
  <c r="AR801"/>
  <c r="AR803"/>
  <c r="AR805"/>
  <c r="AR807"/>
  <c r="AR809"/>
  <c r="AR811"/>
  <c r="AR813"/>
  <c r="AR815"/>
  <c r="AR817"/>
  <c r="AR819"/>
  <c r="AR821"/>
  <c r="AR823"/>
  <c r="AR825"/>
  <c r="AR827"/>
  <c r="AR829"/>
  <c r="AR831"/>
  <c r="AR833"/>
  <c r="AR835"/>
  <c r="AR837"/>
  <c r="AR839"/>
  <c r="AR841"/>
  <c r="AR843"/>
  <c r="AR845"/>
  <c r="AR847"/>
  <c r="AR849"/>
  <c r="AR851"/>
  <c r="AR267"/>
  <c r="AR275"/>
  <c r="AR283"/>
  <c r="AQ288"/>
  <c r="AQ292"/>
  <c r="AQ296"/>
  <c r="AQ300"/>
  <c r="AQ304"/>
  <c r="AQ308"/>
  <c r="AQ312"/>
  <c r="AQ316"/>
  <c r="AQ320"/>
  <c r="AQ324"/>
  <c r="AQ328"/>
  <c r="AQ332"/>
  <c r="AQ336"/>
  <c r="AQ340"/>
  <c r="AQ344"/>
  <c r="AQ348"/>
  <c r="AQ352"/>
  <c r="AQ356"/>
  <c r="AQ360"/>
  <c r="AQ364"/>
  <c r="AQ368"/>
  <c r="AQ372"/>
  <c r="AQ376"/>
  <c r="AQ380"/>
  <c r="AQ384"/>
  <c r="AQ388"/>
  <c r="AQ392"/>
  <c r="AQ395"/>
  <c r="AR397"/>
  <c r="AQ400"/>
  <c r="AQ403"/>
  <c r="AR405"/>
  <c r="AQ408"/>
  <c r="AQ411"/>
  <c r="AR413"/>
  <c r="AQ416"/>
  <c r="AQ419"/>
  <c r="AR421"/>
  <c r="AQ424"/>
  <c r="AQ427"/>
  <c r="AR429"/>
  <c r="AQ432"/>
  <c r="AQ435"/>
  <c r="AR437"/>
  <c r="AQ440"/>
  <c r="AQ443"/>
  <c r="AR445"/>
  <c r="AQ448"/>
  <c r="AQ451"/>
  <c r="AR453"/>
  <c r="AQ456"/>
  <c r="AQ459"/>
  <c r="AR461"/>
  <c r="AQ464"/>
  <c r="AQ467"/>
  <c r="AR469"/>
  <c r="AQ472"/>
  <c r="AQ475"/>
  <c r="AR477"/>
  <c r="AQ480"/>
  <c r="AQ482"/>
  <c r="AQ484"/>
  <c r="AQ486"/>
  <c r="AQ488"/>
  <c r="AQ490"/>
  <c r="AQ492"/>
  <c r="AQ494"/>
  <c r="AQ496"/>
  <c r="AQ498"/>
  <c r="AQ500"/>
  <c r="AQ502"/>
  <c r="AQ504"/>
  <c r="AQ506"/>
  <c r="AQ508"/>
  <c r="AQ510"/>
  <c r="AQ512"/>
  <c r="AQ514"/>
  <c r="AQ516"/>
  <c r="AQ518"/>
  <c r="AQ520"/>
  <c r="AQ522"/>
  <c r="AQ524"/>
  <c r="AQ526"/>
  <c r="AQ528"/>
  <c r="AQ530"/>
  <c r="AQ532"/>
  <c r="AQ534"/>
  <c r="AQ536"/>
  <c r="AQ538"/>
  <c r="AQ540"/>
  <c r="AQ542"/>
  <c r="AQ544"/>
  <c r="AQ546"/>
  <c r="AQ548"/>
  <c r="AQ550"/>
  <c r="AQ552"/>
  <c r="AQ554"/>
  <c r="AQ556"/>
  <c r="AQ558"/>
  <c r="AQ560"/>
  <c r="AQ562"/>
  <c r="AQ564"/>
  <c r="AQ566"/>
  <c r="AQ568"/>
  <c r="AQ570"/>
  <c r="AQ572"/>
  <c r="AQ574"/>
  <c r="AQ576"/>
  <c r="AQ578"/>
  <c r="AQ580"/>
  <c r="AQ582"/>
  <c r="AQ584"/>
  <c r="AQ586"/>
  <c r="AQ588"/>
  <c r="AQ590"/>
  <c r="AQ592"/>
  <c r="AQ594"/>
  <c r="AQ596"/>
  <c r="AQ598"/>
  <c r="AQ600"/>
  <c r="AQ602"/>
  <c r="AQ604"/>
  <c r="AQ606"/>
  <c r="AQ608"/>
  <c r="AQ610"/>
  <c r="AQ612"/>
  <c r="AQ614"/>
  <c r="AQ616"/>
  <c r="AQ618"/>
  <c r="AQ620"/>
  <c r="AQ622"/>
  <c r="AQ624"/>
  <c r="AQ626"/>
  <c r="AQ628"/>
  <c r="AQ630"/>
  <c r="AQ632"/>
  <c r="AQ634"/>
  <c r="AQ636"/>
  <c r="AQ638"/>
  <c r="AQ640"/>
  <c r="AQ642"/>
  <c r="AQ644"/>
  <c r="AQ646"/>
  <c r="AQ648"/>
  <c r="AQ650"/>
  <c r="AQ652"/>
  <c r="AQ654"/>
  <c r="AQ656"/>
  <c r="AQ658"/>
  <c r="AQ660"/>
  <c r="AQ662"/>
  <c r="AQ664"/>
  <c r="AQ666"/>
  <c r="AQ668"/>
  <c r="AQ670"/>
  <c r="AQ672"/>
  <c r="AQ674"/>
  <c r="AQ676"/>
  <c r="AQ678"/>
  <c r="AQ680"/>
  <c r="AQ682"/>
  <c r="AQ684"/>
  <c r="AQ686"/>
  <c r="AQ688"/>
  <c r="AQ690"/>
  <c r="AQ692"/>
  <c r="AQ694"/>
  <c r="AR269"/>
  <c r="AR277"/>
  <c r="AR285"/>
  <c r="AR289"/>
  <c r="AR293"/>
  <c r="AR297"/>
  <c r="AR301"/>
  <c r="AR305"/>
  <c r="AR309"/>
  <c r="AR313"/>
  <c r="AR317"/>
  <c r="AR321"/>
  <c r="AR325"/>
  <c r="AR329"/>
  <c r="AR333"/>
  <c r="AR337"/>
  <c r="AR341"/>
  <c r="AR345"/>
  <c r="AR349"/>
  <c r="AR353"/>
  <c r="AR357"/>
  <c r="AR361"/>
  <c r="AR365"/>
  <c r="AR369"/>
  <c r="AR373"/>
  <c r="AR377"/>
  <c r="AR381"/>
  <c r="AR385"/>
  <c r="AR389"/>
  <c r="AQ393"/>
  <c r="AR395"/>
  <c r="AQ398"/>
  <c r="AQ401"/>
  <c r="AR403"/>
  <c r="AQ406"/>
  <c r="AQ409"/>
  <c r="AR411"/>
  <c r="AQ414"/>
  <c r="AQ417"/>
  <c r="AR419"/>
  <c r="AQ422"/>
  <c r="AQ425"/>
  <c r="AR427"/>
  <c r="AQ430"/>
  <c r="AQ433"/>
  <c r="AR435"/>
  <c r="AQ438"/>
  <c r="AQ441"/>
  <c r="AR443"/>
  <c r="AQ446"/>
  <c r="AQ449"/>
  <c r="AR451"/>
  <c r="AQ454"/>
  <c r="AQ457"/>
  <c r="AR459"/>
  <c r="AQ462"/>
  <c r="AQ465"/>
  <c r="AR467"/>
  <c r="AQ470"/>
  <c r="AQ473"/>
  <c r="AR475"/>
  <c r="AQ478"/>
  <c r="AR480"/>
  <c r="AR482"/>
  <c r="AR484"/>
  <c r="AR486"/>
  <c r="AR488"/>
  <c r="AR490"/>
  <c r="AR492"/>
  <c r="AR494"/>
  <c r="AR496"/>
  <c r="AR498"/>
  <c r="AR500"/>
  <c r="AR502"/>
  <c r="AR504"/>
  <c r="AR506"/>
  <c r="AR508"/>
  <c r="AR510"/>
  <c r="AR512"/>
  <c r="AR514"/>
  <c r="AR516"/>
  <c r="AR518"/>
  <c r="AR520"/>
  <c r="AR522"/>
  <c r="AR524"/>
  <c r="AR526"/>
  <c r="AR528"/>
  <c r="AR530"/>
  <c r="AR532"/>
  <c r="AR534"/>
  <c r="AR536"/>
  <c r="AR538"/>
  <c r="AR540"/>
  <c r="AR542"/>
  <c r="AR544"/>
  <c r="AR546"/>
  <c r="AR548"/>
  <c r="AR550"/>
  <c r="AR552"/>
  <c r="AR554"/>
  <c r="AR556"/>
  <c r="AR558"/>
  <c r="AR560"/>
  <c r="AR562"/>
  <c r="AR564"/>
  <c r="AR566"/>
  <c r="AR568"/>
  <c r="AR570"/>
  <c r="AR572"/>
  <c r="AR574"/>
  <c r="AR576"/>
  <c r="AR578"/>
  <c r="AR580"/>
  <c r="AR582"/>
  <c r="AR584"/>
  <c r="AR586"/>
  <c r="AR588"/>
  <c r="AR590"/>
  <c r="AR592"/>
  <c r="AR594"/>
  <c r="AR596"/>
  <c r="AR598"/>
  <c r="AR600"/>
  <c r="AR602"/>
  <c r="AR604"/>
  <c r="AR606"/>
  <c r="AR608"/>
  <c r="AR610"/>
  <c r="AR612"/>
  <c r="AR614"/>
  <c r="AR616"/>
  <c r="AR618"/>
  <c r="AR620"/>
  <c r="AR622"/>
  <c r="AR624"/>
  <c r="AR626"/>
  <c r="AR628"/>
  <c r="AR630"/>
  <c r="AR632"/>
  <c r="AR634"/>
  <c r="AR636"/>
  <c r="AR638"/>
  <c r="AR640"/>
  <c r="AR642"/>
  <c r="AR644"/>
  <c r="AR646"/>
  <c r="AR648"/>
  <c r="AR650"/>
  <c r="AR652"/>
  <c r="AR654"/>
  <c r="AR656"/>
  <c r="AR658"/>
  <c r="AR660"/>
  <c r="AR662"/>
  <c r="AR664"/>
  <c r="AR666"/>
  <c r="AR668"/>
  <c r="AR670"/>
  <c r="AR672"/>
  <c r="AR674"/>
  <c r="AR676"/>
  <c r="AR678"/>
  <c r="AR680"/>
  <c r="AR682"/>
  <c r="AR684"/>
  <c r="AR686"/>
  <c r="AR688"/>
  <c r="AR690"/>
  <c r="AR692"/>
  <c r="AR694"/>
  <c r="AR696"/>
  <c r="AR698"/>
  <c r="AR700"/>
  <c r="AR702"/>
  <c r="AR704"/>
  <c r="AR706"/>
  <c r="AR708"/>
  <c r="AR710"/>
  <c r="AR712"/>
  <c r="AR714"/>
  <c r="AR716"/>
  <c r="AR718"/>
  <c r="AR720"/>
  <c r="AR722"/>
  <c r="AR724"/>
  <c r="AR726"/>
  <c r="AR728"/>
  <c r="AR730"/>
  <c r="AR732"/>
  <c r="AR734"/>
  <c r="AR736"/>
  <c r="AR738"/>
  <c r="AR740"/>
  <c r="AR742"/>
  <c r="AR744"/>
  <c r="AR746"/>
  <c r="AR748"/>
  <c r="AR750"/>
  <c r="AR752"/>
  <c r="AR754"/>
  <c r="AR756"/>
  <c r="AR758"/>
  <c r="AR760"/>
  <c r="AR762"/>
  <c r="AR764"/>
  <c r="AR766"/>
  <c r="AR768"/>
  <c r="AR770"/>
  <c r="AR772"/>
  <c r="AR774"/>
  <c r="AR776"/>
  <c r="AR778"/>
  <c r="AR780"/>
  <c r="AR782"/>
  <c r="AR784"/>
  <c r="AR786"/>
  <c r="AR788"/>
  <c r="AR790"/>
  <c r="AR792"/>
  <c r="AR794"/>
  <c r="AR796"/>
  <c r="AR798"/>
  <c r="AR271"/>
  <c r="AR279"/>
  <c r="AQ286"/>
  <c r="AQ290"/>
  <c r="AQ294"/>
  <c r="AQ298"/>
  <c r="AQ302"/>
  <c r="AQ306"/>
  <c r="AQ310"/>
  <c r="AQ314"/>
  <c r="AQ318"/>
  <c r="AQ322"/>
  <c r="AQ326"/>
  <c r="AQ330"/>
  <c r="AQ334"/>
  <c r="AQ338"/>
  <c r="AQ342"/>
  <c r="AQ346"/>
  <c r="AQ350"/>
  <c r="AQ354"/>
  <c r="AQ358"/>
  <c r="AQ362"/>
  <c r="AQ366"/>
  <c r="AQ370"/>
  <c r="AQ374"/>
  <c r="AQ378"/>
  <c r="AQ382"/>
  <c r="AQ386"/>
  <c r="AQ390"/>
  <c r="AR393"/>
  <c r="AQ396"/>
  <c r="AQ399"/>
  <c r="AR401"/>
  <c r="AQ404"/>
  <c r="AQ407"/>
  <c r="AR409"/>
  <c r="AQ412"/>
  <c r="AQ415"/>
  <c r="AR417"/>
  <c r="AQ420"/>
  <c r="AQ423"/>
  <c r="AR425"/>
  <c r="AQ428"/>
  <c r="AQ431"/>
  <c r="AR433"/>
  <c r="AQ436"/>
  <c r="AQ439"/>
  <c r="AR441"/>
  <c r="AQ444"/>
  <c r="AQ447"/>
  <c r="AR449"/>
  <c r="AQ452"/>
  <c r="AQ455"/>
  <c r="AR457"/>
  <c r="AQ460"/>
  <c r="AQ463"/>
  <c r="AR465"/>
  <c r="AQ468"/>
  <c r="AQ471"/>
  <c r="AR473"/>
  <c r="AQ476"/>
  <c r="AQ479"/>
  <c r="AQ481"/>
  <c r="AQ483"/>
  <c r="AQ485"/>
  <c r="AQ487"/>
  <c r="AQ489"/>
  <c r="AQ491"/>
  <c r="AQ493"/>
  <c r="AQ495"/>
  <c r="AQ497"/>
  <c r="AQ499"/>
  <c r="AQ501"/>
  <c r="AQ503"/>
  <c r="AQ505"/>
  <c r="AQ507"/>
  <c r="AQ509"/>
  <c r="AQ511"/>
  <c r="AQ513"/>
  <c r="AQ515"/>
  <c r="AQ517"/>
  <c r="AQ519"/>
  <c r="AQ521"/>
  <c r="AQ523"/>
  <c r="AQ525"/>
  <c r="AQ527"/>
  <c r="AQ529"/>
  <c r="AQ531"/>
  <c r="AQ533"/>
  <c r="AQ535"/>
  <c r="AQ537"/>
  <c r="AQ539"/>
  <c r="AQ541"/>
  <c r="AQ543"/>
  <c r="AQ545"/>
  <c r="AQ547"/>
  <c r="AQ549"/>
  <c r="AQ551"/>
  <c r="AQ553"/>
  <c r="AQ555"/>
  <c r="AQ557"/>
  <c r="AQ559"/>
  <c r="AQ561"/>
  <c r="AQ563"/>
  <c r="AQ565"/>
  <c r="AQ567"/>
  <c r="AQ569"/>
  <c r="AQ571"/>
  <c r="AQ573"/>
  <c r="AQ575"/>
  <c r="AQ577"/>
  <c r="AQ579"/>
  <c r="AQ581"/>
  <c r="AQ583"/>
  <c r="AQ585"/>
  <c r="AQ587"/>
  <c r="AQ589"/>
  <c r="AQ591"/>
  <c r="AQ593"/>
  <c r="AQ595"/>
  <c r="AQ597"/>
  <c r="AQ599"/>
  <c r="AQ601"/>
  <c r="AQ603"/>
  <c r="AQ605"/>
  <c r="AQ607"/>
  <c r="AQ609"/>
  <c r="AQ611"/>
  <c r="AQ613"/>
  <c r="AQ615"/>
  <c r="AQ617"/>
  <c r="AQ619"/>
  <c r="AQ621"/>
  <c r="AQ623"/>
  <c r="AQ625"/>
  <c r="AQ627"/>
  <c r="AQ629"/>
  <c r="AQ631"/>
  <c r="AQ633"/>
  <c r="AQ635"/>
  <c r="AQ637"/>
  <c r="AQ639"/>
  <c r="AQ641"/>
  <c r="AQ643"/>
  <c r="AQ645"/>
  <c r="AQ647"/>
  <c r="AQ649"/>
  <c r="AQ651"/>
  <c r="AQ653"/>
  <c r="AQ655"/>
  <c r="AQ657"/>
  <c r="AQ659"/>
  <c r="AQ661"/>
  <c r="AQ663"/>
  <c r="AQ665"/>
  <c r="AQ667"/>
  <c r="AQ669"/>
  <c r="AQ671"/>
  <c r="AQ673"/>
  <c r="AQ675"/>
  <c r="AQ677"/>
  <c r="AQ679"/>
  <c r="AQ681"/>
  <c r="AQ683"/>
  <c r="AQ685"/>
  <c r="AQ687"/>
  <c r="AQ689"/>
  <c r="AQ691"/>
  <c r="AQ693"/>
  <c r="AQ695"/>
  <c r="AQ697"/>
  <c r="AQ699"/>
  <c r="AQ701"/>
  <c r="AQ703"/>
  <c r="AQ705"/>
  <c r="AQ707"/>
  <c r="AQ709"/>
  <c r="AQ711"/>
  <c r="AQ713"/>
  <c r="AQ715"/>
  <c r="AQ717"/>
  <c r="AQ719"/>
  <c r="AQ721"/>
  <c r="AQ723"/>
  <c r="AQ725"/>
  <c r="AQ727"/>
  <c r="AQ729"/>
  <c r="AQ731"/>
  <c r="AQ733"/>
  <c r="AQ735"/>
  <c r="AQ737"/>
  <c r="AQ739"/>
  <c r="AQ741"/>
  <c r="AQ743"/>
  <c r="AQ745"/>
  <c r="AQ747"/>
  <c r="AQ749"/>
  <c r="AQ751"/>
  <c r="AQ753"/>
  <c r="AQ755"/>
  <c r="AQ757"/>
  <c r="AQ759"/>
  <c r="AQ761"/>
  <c r="AQ763"/>
  <c r="AQ765"/>
  <c r="AQ767"/>
  <c r="AQ769"/>
  <c r="AQ771"/>
  <c r="AQ773"/>
  <c r="AQ775"/>
  <c r="AQ777"/>
  <c r="AQ779"/>
  <c r="AQ781"/>
  <c r="AQ783"/>
  <c r="AQ785"/>
  <c r="AQ787"/>
  <c r="AQ789"/>
  <c r="AQ791"/>
  <c r="AQ793"/>
  <c r="AQ795"/>
  <c r="AQ797"/>
  <c r="AQ799"/>
  <c r="AQ801"/>
  <c r="AQ803"/>
  <c r="AQ805"/>
  <c r="AQ807"/>
  <c r="AQ809"/>
  <c r="AQ811"/>
  <c r="AQ813"/>
  <c r="AQ815"/>
  <c r="AQ817"/>
  <c r="AQ819"/>
  <c r="AQ821"/>
  <c r="AQ823"/>
  <c r="AQ825"/>
  <c r="AQ827"/>
  <c r="AQ829"/>
  <c r="AQ831"/>
  <c r="AQ833"/>
  <c r="AQ835"/>
  <c r="AQ837"/>
  <c r="AQ839"/>
  <c r="AQ841"/>
  <c r="AQ843"/>
  <c r="AQ845"/>
  <c r="AQ847"/>
  <c r="AQ849"/>
  <c r="AQ851"/>
  <c r="AQ853"/>
  <c r="AQ855"/>
  <c r="AQ857"/>
  <c r="AQ859"/>
  <c r="AQ861"/>
  <c r="AQ863"/>
  <c r="AQ865"/>
  <c r="AQ867"/>
  <c r="AQ869"/>
  <c r="AQ871"/>
  <c r="AQ873"/>
  <c r="AQ875"/>
  <c r="AQ877"/>
  <c r="AQ879"/>
  <c r="AQ881"/>
  <c r="AQ883"/>
  <c r="AQ885"/>
  <c r="AQ887"/>
  <c r="AQ889"/>
  <c r="AQ891"/>
  <c r="AQ893"/>
  <c r="AQ895"/>
  <c r="AQ897"/>
  <c r="AQ899"/>
  <c r="AQ901"/>
  <c r="AQ903"/>
  <c r="AQ905"/>
  <c r="AQ907"/>
  <c r="AQ909"/>
  <c r="AQ911"/>
  <c r="AQ913"/>
  <c r="AQ915"/>
  <c r="AQ917"/>
  <c r="AQ919"/>
  <c r="AQ921"/>
  <c r="AQ923"/>
  <c r="AQ925"/>
  <c r="AQ927"/>
  <c r="AQ929"/>
  <c r="AQ931"/>
  <c r="AQ933"/>
  <c r="AQ935"/>
  <c r="AQ937"/>
  <c r="AQ939"/>
  <c r="AQ941"/>
  <c r="AQ943"/>
  <c r="AQ945"/>
  <c r="AQ947"/>
  <c r="AQ949"/>
  <c r="AQ951"/>
  <c r="AQ953"/>
  <c r="AQ955"/>
  <c r="AQ957"/>
  <c r="AQ959"/>
  <c r="AQ961"/>
  <c r="AQ963"/>
  <c r="AQ965"/>
  <c r="AQ967"/>
  <c r="AQ969"/>
  <c r="AQ971"/>
  <c r="AQ973"/>
  <c r="AQ975"/>
  <c r="AQ977"/>
  <c r="AQ979"/>
  <c r="AQ981"/>
  <c r="AQ983"/>
  <c r="AQ985"/>
  <c r="AU68"/>
  <c r="AT200"/>
  <c r="AQ1189"/>
  <c r="AQ1187"/>
  <c r="AQ1185"/>
  <c r="AQ1183"/>
  <c r="AQ1181"/>
  <c r="AQ1179"/>
  <c r="AQ1177"/>
  <c r="AQ1175"/>
  <c r="AQ1173"/>
  <c r="AQ1171"/>
  <c r="AQ1169"/>
  <c r="AQ1167"/>
  <c r="AQ1165"/>
  <c r="AQ1163"/>
  <c r="AQ1161"/>
  <c r="AQ1159"/>
  <c r="AQ1157"/>
  <c r="AQ1155"/>
  <c r="AQ1153"/>
  <c r="AQ1151"/>
  <c r="AQ1149"/>
  <c r="AQ1147"/>
  <c r="AQ1145"/>
  <c r="AQ1143"/>
  <c r="AQ1141"/>
  <c r="AQ1139"/>
  <c r="AQ1137"/>
  <c r="AQ1135"/>
  <c r="AQ1133"/>
  <c r="AQ1131"/>
  <c r="AQ1129"/>
  <c r="AQ1127"/>
  <c r="AQ1125"/>
  <c r="AQ1123"/>
  <c r="AQ1121"/>
  <c r="AQ1119"/>
  <c r="AQ1117"/>
  <c r="AQ1115"/>
  <c r="AQ1113"/>
  <c r="AQ1111"/>
  <c r="AQ1109"/>
  <c r="AQ1107"/>
  <c r="AQ1105"/>
  <c r="AQ1103"/>
  <c r="AQ1101"/>
  <c r="AQ1099"/>
  <c r="AQ1097"/>
  <c r="AQ1095"/>
  <c r="AQ1093"/>
  <c r="AQ1091"/>
  <c r="AQ1089"/>
  <c r="AQ1087"/>
  <c r="AQ1085"/>
  <c r="AQ1083"/>
  <c r="AQ1081"/>
  <c r="AQ1079"/>
  <c r="AQ1077"/>
  <c r="AQ1075"/>
  <c r="AQ1073"/>
  <c r="AQ1071"/>
  <c r="AQ1069"/>
  <c r="AQ1067"/>
  <c r="AQ1065"/>
  <c r="AQ1063"/>
  <c r="AQ1061"/>
  <c r="AQ1059"/>
  <c r="AQ1057"/>
  <c r="AQ1055"/>
  <c r="AQ1053"/>
  <c r="AQ1051"/>
  <c r="AQ1049"/>
  <c r="AQ1047"/>
  <c r="AQ1045"/>
  <c r="AQ1043"/>
  <c r="AQ1041"/>
  <c r="AQ1039"/>
  <c r="AQ1037"/>
  <c r="AQ1035"/>
  <c r="AQ1033"/>
  <c r="AQ1031"/>
  <c r="AQ1029"/>
  <c r="AQ1027"/>
  <c r="AQ1025"/>
  <c r="AQ1023"/>
  <c r="AQ1021"/>
  <c r="AQ1019"/>
  <c r="AQ1017"/>
  <c r="AQ1015"/>
  <c r="AQ1013"/>
  <c r="AQ1011"/>
  <c r="AQ1009"/>
  <c r="AQ1007"/>
  <c r="AQ1005"/>
  <c r="AQ1003"/>
  <c r="AQ1001"/>
  <c r="AQ999"/>
  <c r="AQ997"/>
  <c r="AQ995"/>
  <c r="AQ993"/>
  <c r="AQ991"/>
  <c r="AQ989"/>
  <c r="AQ987"/>
  <c r="AR984"/>
  <c r="AQ982"/>
  <c r="AR979"/>
  <c r="AR976"/>
  <c r="AQ974"/>
  <c r="AR971"/>
  <c r="AR968"/>
  <c r="AQ966"/>
  <c r="AR963"/>
  <c r="AR960"/>
  <c r="AQ958"/>
  <c r="AR955"/>
  <c r="AR952"/>
  <c r="AQ950"/>
  <c r="AR947"/>
  <c r="AR944"/>
  <c r="AQ942"/>
  <c r="AR939"/>
  <c r="AR936"/>
  <c r="AQ934"/>
  <c r="AR931"/>
  <c r="AR928"/>
  <c r="AQ926"/>
  <c r="AR923"/>
  <c r="AR920"/>
  <c r="AQ918"/>
  <c r="AR915"/>
  <c r="AR912"/>
  <c r="AQ910"/>
  <c r="AR907"/>
  <c r="AR904"/>
  <c r="AQ902"/>
  <c r="AR899"/>
  <c r="AR896"/>
  <c r="AQ894"/>
  <c r="AR891"/>
  <c r="AR888"/>
  <c r="AQ886"/>
  <c r="AR883"/>
  <c r="AR880"/>
  <c r="AQ878"/>
  <c r="AR875"/>
  <c r="AR872"/>
  <c r="AQ870"/>
  <c r="AR867"/>
  <c r="AR864"/>
  <c r="AQ862"/>
  <c r="AR859"/>
  <c r="AR856"/>
  <c r="AQ854"/>
  <c r="AR850"/>
  <c r="AR846"/>
  <c r="AR842"/>
  <c r="AR838"/>
  <c r="AR834"/>
  <c r="AR830"/>
  <c r="AR826"/>
  <c r="AR822"/>
  <c r="AR818"/>
  <c r="AR814"/>
  <c r="AR810"/>
  <c r="AR806"/>
  <c r="AR802"/>
  <c r="AQ798"/>
  <c r="AQ790"/>
  <c r="AQ782"/>
  <c r="AQ774"/>
  <c r="AQ766"/>
  <c r="AQ758"/>
  <c r="AQ750"/>
  <c r="AQ742"/>
  <c r="AQ734"/>
  <c r="AQ726"/>
  <c r="AQ718"/>
  <c r="AQ710"/>
  <c r="AQ702"/>
  <c r="AR1154"/>
  <c r="AR1152"/>
  <c r="AR1150"/>
  <c r="AR1148"/>
  <c r="AR1146"/>
  <c r="AR1144"/>
  <c r="AR1142"/>
  <c r="AR1140"/>
  <c r="AR1138"/>
  <c r="AR1136"/>
  <c r="AR1134"/>
  <c r="AR1132"/>
  <c r="AR1130"/>
  <c r="AR1128"/>
  <c r="AR1126"/>
  <c r="AR1124"/>
  <c r="AR1122"/>
  <c r="AR1120"/>
  <c r="AR1118"/>
  <c r="AR1116"/>
  <c r="AR1114"/>
  <c r="AR1112"/>
  <c r="AR1110"/>
  <c r="AR1108"/>
  <c r="AR1106"/>
  <c r="AR1104"/>
  <c r="AR1102"/>
  <c r="AR1100"/>
  <c r="AR1098"/>
  <c r="AR1096"/>
  <c r="AR1094"/>
  <c r="AR1092"/>
  <c r="AR1090"/>
  <c r="AR1088"/>
  <c r="AR1086"/>
  <c r="AR1084"/>
  <c r="AR1082"/>
  <c r="AR1080"/>
  <c r="AR1078"/>
  <c r="AR1076"/>
  <c r="AR1074"/>
  <c r="AR1072"/>
  <c r="AR1070"/>
  <c r="AR1068"/>
  <c r="AR1066"/>
  <c r="AR1064"/>
  <c r="AR1062"/>
  <c r="AR1060"/>
  <c r="AR1058"/>
  <c r="AR1056"/>
  <c r="AR1054"/>
  <c r="AR1052"/>
  <c r="AR1050"/>
  <c r="AR1048"/>
  <c r="AR1046"/>
  <c r="AR1044"/>
  <c r="AR1042"/>
  <c r="AR1040"/>
  <c r="AR1038"/>
  <c r="AR1036"/>
  <c r="AR1034"/>
  <c r="AR1032"/>
  <c r="AR1030"/>
  <c r="AR1028"/>
  <c r="AR1026"/>
  <c r="AR1024"/>
  <c r="AR1022"/>
  <c r="AR1020"/>
  <c r="AR1018"/>
  <c r="AR1016"/>
  <c r="AR1014"/>
  <c r="AR1012"/>
  <c r="AR1010"/>
  <c r="AR1008"/>
  <c r="AR1006"/>
  <c r="AR1004"/>
  <c r="AR1002"/>
  <c r="AR1000"/>
  <c r="AR998"/>
  <c r="AR996"/>
  <c r="AR994"/>
  <c r="AR992"/>
  <c r="AR990"/>
  <c r="AR988"/>
  <c r="AR986"/>
  <c r="AQ984"/>
  <c r="AR981"/>
  <c r="AR978"/>
  <c r="AQ976"/>
  <c r="AR973"/>
  <c r="AR970"/>
  <c r="AQ968"/>
  <c r="AR965"/>
  <c r="AR962"/>
  <c r="AQ960"/>
  <c r="AR957"/>
  <c r="AR954"/>
  <c r="AQ952"/>
  <c r="AR949"/>
  <c r="AR946"/>
  <c r="AQ944"/>
  <c r="AR941"/>
  <c r="AR938"/>
  <c r="AQ936"/>
  <c r="AR933"/>
  <c r="AR930"/>
  <c r="AQ928"/>
  <c r="AR925"/>
  <c r="AR922"/>
  <c r="AQ920"/>
  <c r="AR917"/>
  <c r="AR914"/>
  <c r="AQ912"/>
  <c r="AR909"/>
  <c r="AR906"/>
  <c r="AQ904"/>
  <c r="AR901"/>
  <c r="AR898"/>
  <c r="AQ896"/>
  <c r="AR893"/>
  <c r="AR890"/>
  <c r="AQ888"/>
  <c r="AR885"/>
  <c r="AR882"/>
  <c r="AQ880"/>
  <c r="AR877"/>
  <c r="AR874"/>
  <c r="AQ872"/>
  <c r="AR869"/>
  <c r="AR866"/>
  <c r="AQ864"/>
  <c r="AR861"/>
  <c r="AR858"/>
  <c r="AQ856"/>
  <c r="AR853"/>
  <c r="AQ850"/>
  <c r="AQ846"/>
  <c r="AQ842"/>
  <c r="AQ838"/>
  <c r="AQ834"/>
  <c r="AQ830"/>
  <c r="AQ826"/>
  <c r="AQ822"/>
  <c r="AQ818"/>
  <c r="AQ814"/>
  <c r="AQ810"/>
  <c r="AQ806"/>
  <c r="AQ802"/>
  <c r="AQ796"/>
  <c r="AQ788"/>
  <c r="AQ780"/>
  <c r="AQ772"/>
  <c r="AQ764"/>
  <c r="AQ756"/>
  <c r="AQ748"/>
  <c r="AQ740"/>
  <c r="AQ732"/>
  <c r="AQ724"/>
  <c r="AQ716"/>
  <c r="AQ708"/>
  <c r="AQ700"/>
  <c r="AQ1068"/>
  <c r="AQ1066"/>
  <c r="AQ1064"/>
  <c r="AQ1062"/>
  <c r="AQ1060"/>
  <c r="AQ1058"/>
  <c r="AQ1056"/>
  <c r="AQ1054"/>
  <c r="AQ1052"/>
  <c r="AQ1050"/>
  <c r="AQ1048"/>
  <c r="AQ1046"/>
  <c r="AQ1044"/>
  <c r="AQ1042"/>
  <c r="AQ1040"/>
  <c r="AQ1038"/>
  <c r="AQ1036"/>
  <c r="AQ1034"/>
  <c r="AQ1032"/>
  <c r="AQ1030"/>
  <c r="AQ1028"/>
  <c r="AQ1026"/>
  <c r="AQ1024"/>
  <c r="AQ1022"/>
  <c r="AQ1020"/>
  <c r="AQ1018"/>
  <c r="AQ1016"/>
  <c r="AQ1014"/>
  <c r="AQ1012"/>
  <c r="AQ1010"/>
  <c r="AQ1008"/>
  <c r="AQ1006"/>
  <c r="AQ1004"/>
  <c r="AQ1002"/>
  <c r="AQ1000"/>
  <c r="AQ998"/>
  <c r="AQ996"/>
  <c r="AQ994"/>
  <c r="AQ992"/>
  <c r="AQ990"/>
  <c r="AQ988"/>
  <c r="AQ986"/>
  <c r="AR983"/>
  <c r="AR980"/>
  <c r="AQ978"/>
  <c r="AR975"/>
  <c r="AR972"/>
  <c r="AQ970"/>
  <c r="AR967"/>
  <c r="AR964"/>
  <c r="AQ962"/>
  <c r="AR959"/>
  <c r="AR956"/>
  <c r="AQ954"/>
  <c r="AR951"/>
  <c r="AR948"/>
  <c r="AQ946"/>
  <c r="AR943"/>
  <c r="AR940"/>
  <c r="AQ938"/>
  <c r="AR935"/>
  <c r="AR932"/>
  <c r="AQ930"/>
  <c r="AR927"/>
  <c r="AR924"/>
  <c r="AQ922"/>
  <c r="AR919"/>
  <c r="AR916"/>
  <c r="AQ914"/>
  <c r="AR911"/>
  <c r="AR908"/>
  <c r="AQ906"/>
  <c r="AR903"/>
  <c r="AR900"/>
  <c r="AQ898"/>
  <c r="AR895"/>
  <c r="AR892"/>
  <c r="AQ890"/>
  <c r="AR887"/>
  <c r="AR884"/>
  <c r="AQ882"/>
  <c r="AR879"/>
  <c r="AR876"/>
  <c r="AQ874"/>
  <c r="AR871"/>
  <c r="AR868"/>
  <c r="AQ866"/>
  <c r="AR863"/>
  <c r="AR860"/>
  <c r="AQ858"/>
  <c r="AR855"/>
  <c r="AR852"/>
  <c r="AR848"/>
  <c r="AR844"/>
  <c r="AR840"/>
  <c r="AR836"/>
  <c r="AR832"/>
  <c r="AR828"/>
  <c r="AR824"/>
  <c r="AR820"/>
  <c r="AR816"/>
  <c r="AR812"/>
  <c r="AR808"/>
  <c r="AR804"/>
  <c r="AR800"/>
  <c r="AQ794"/>
  <c r="AQ786"/>
  <c r="AQ778"/>
  <c r="AQ770"/>
  <c r="AQ762"/>
  <c r="AQ754"/>
  <c r="AQ746"/>
  <c r="AQ738"/>
  <c r="AQ730"/>
  <c r="AQ722"/>
  <c r="AQ714"/>
  <c r="AQ706"/>
  <c r="AQ698"/>
  <c r="AR1189"/>
  <c r="AR1187"/>
  <c r="AR1185"/>
  <c r="AR1183"/>
  <c r="AR1181"/>
  <c r="AR1179"/>
  <c r="AR1177"/>
  <c r="AR1175"/>
  <c r="AR1173"/>
  <c r="AR1171"/>
  <c r="AR1169"/>
  <c r="AR1167"/>
  <c r="AR1165"/>
  <c r="AR1163"/>
  <c r="AR1161"/>
  <c r="AR1159"/>
  <c r="AR1157"/>
  <c r="AR1155"/>
  <c r="AR1153"/>
  <c r="AR1151"/>
  <c r="AR1149"/>
  <c r="AR1147"/>
  <c r="AR1145"/>
  <c r="AR1143"/>
  <c r="AR1141"/>
  <c r="AR1139"/>
  <c r="AR1137"/>
  <c r="AR1135"/>
  <c r="AR1133"/>
  <c r="AR1131"/>
  <c r="AR1129"/>
  <c r="AR1127"/>
  <c r="AR1125"/>
  <c r="AR1123"/>
  <c r="AR1121"/>
  <c r="AR1119"/>
  <c r="AR1117"/>
  <c r="AR1115"/>
  <c r="AR1113"/>
  <c r="AR1111"/>
  <c r="AR1109"/>
  <c r="AR1107"/>
  <c r="AR1105"/>
  <c r="AR1103"/>
  <c r="AR1101"/>
  <c r="AR1099"/>
  <c r="AR1097"/>
  <c r="AR1095"/>
  <c r="AR1093"/>
  <c r="AR1091"/>
  <c r="AR1089"/>
  <c r="AR1087"/>
  <c r="AR1085"/>
  <c r="AR1083"/>
  <c r="AR1081"/>
  <c r="AR1079"/>
  <c r="AR1077"/>
  <c r="AR1075"/>
  <c r="AR1073"/>
  <c r="AR1071"/>
  <c r="AR1069"/>
  <c r="AR1067"/>
  <c r="AR1065"/>
  <c r="AR1063"/>
  <c r="AR1061"/>
  <c r="AR1059"/>
  <c r="AR1057"/>
  <c r="AR1055"/>
  <c r="AR1053"/>
  <c r="AR1051"/>
  <c r="AR1049"/>
  <c r="AR1047"/>
  <c r="AR1045"/>
  <c r="AR1043"/>
  <c r="AR1041"/>
  <c r="AR1039"/>
  <c r="AR1037"/>
  <c r="AR1035"/>
  <c r="AR1033"/>
  <c r="AR1031"/>
  <c r="AR1029"/>
  <c r="AR1027"/>
  <c r="AR1025"/>
  <c r="AR1023"/>
  <c r="AR1021"/>
  <c r="AR1019"/>
  <c r="AR1017"/>
  <c r="AR1015"/>
  <c r="AR1013"/>
  <c r="AR1011"/>
  <c r="AR1009"/>
  <c r="AR1007"/>
  <c r="AR1005"/>
  <c r="AR1003"/>
  <c r="AR1001"/>
  <c r="AR999"/>
  <c r="AR997"/>
  <c r="AR995"/>
  <c r="AR993"/>
  <c r="AR991"/>
  <c r="AR989"/>
  <c r="AR987"/>
  <c r="AR985"/>
  <c r="AR982"/>
  <c r="AQ980"/>
  <c r="AR977"/>
  <c r="AR974"/>
  <c r="AQ972"/>
  <c r="AR969"/>
  <c r="AR966"/>
  <c r="AQ964"/>
  <c r="AR961"/>
  <c r="AR958"/>
  <c r="AQ956"/>
  <c r="AR953"/>
  <c r="AR950"/>
  <c r="AQ948"/>
  <c r="AR945"/>
  <c r="AR942"/>
  <c r="AQ940"/>
  <c r="AR937"/>
  <c r="AR934"/>
  <c r="AQ932"/>
  <c r="AR929"/>
  <c r="AR926"/>
  <c r="AQ924"/>
  <c r="AR921"/>
  <c r="AR918"/>
  <c r="AQ916"/>
  <c r="AR913"/>
  <c r="AR910"/>
  <c r="AQ908"/>
  <c r="AR905"/>
  <c r="AR902"/>
  <c r="AQ900"/>
  <c r="AR897"/>
  <c r="AR894"/>
  <c r="AQ892"/>
  <c r="AR889"/>
  <c r="AR886"/>
  <c r="AQ884"/>
  <c r="AR881"/>
  <c r="AR878"/>
  <c r="AQ876"/>
  <c r="AR873"/>
  <c r="AR870"/>
  <c r="AQ868"/>
  <c r="AR865"/>
  <c r="AR862"/>
  <c r="AQ860"/>
  <c r="AR857"/>
  <c r="AR854"/>
  <c r="AQ852"/>
  <c r="AQ848"/>
  <c r="AQ844"/>
  <c r="AQ840"/>
  <c r="AQ836"/>
  <c r="AQ832"/>
  <c r="AQ828"/>
  <c r="AQ824"/>
  <c r="AQ820"/>
  <c r="AQ816"/>
  <c r="AQ812"/>
  <c r="AQ808"/>
  <c r="AQ804"/>
  <c r="AQ800"/>
  <c r="AQ792"/>
  <c r="AQ784"/>
  <c r="AQ776"/>
  <c r="AQ768"/>
  <c r="AQ760"/>
  <c r="AQ752"/>
  <c r="AQ744"/>
  <c r="AQ736"/>
  <c r="AQ728"/>
  <c r="AQ720"/>
  <c r="AQ712"/>
  <c r="AQ704"/>
  <c r="AQ696"/>
  <c r="G5" i="14"/>
  <c r="G19" s="1"/>
  <c r="K3" s="1"/>
  <c r="AU197" i="6"/>
  <c r="AU193"/>
  <c r="AU189"/>
  <c r="AU185"/>
  <c r="AU181"/>
  <c r="AU177"/>
  <c r="AU173"/>
  <c r="AU169"/>
  <c r="AU165"/>
  <c r="AU161"/>
  <c r="AU157"/>
  <c r="AU153"/>
  <c r="AU149"/>
  <c r="AU145"/>
  <c r="AU141"/>
  <c r="AU137"/>
  <c r="AU133"/>
  <c r="AU129"/>
  <c r="AU125"/>
  <c r="AU121"/>
  <c r="AU117"/>
  <c r="AU113"/>
  <c r="AU109"/>
  <c r="AU105"/>
  <c r="AU101"/>
  <c r="AU97"/>
  <c r="AU93"/>
  <c r="AU89"/>
  <c r="AU85"/>
  <c r="AU81"/>
  <c r="AU77"/>
  <c r="AU73"/>
  <c r="AU5"/>
  <c r="AU38"/>
  <c r="AU42"/>
  <c r="AU46"/>
  <c r="AU50"/>
  <c r="AU54"/>
  <c r="AU58"/>
  <c r="AU62"/>
  <c r="AU66"/>
  <c r="AT37"/>
  <c r="AT41"/>
  <c r="AT45"/>
  <c r="AT49"/>
  <c r="AT53"/>
  <c r="AT57"/>
  <c r="AT61"/>
  <c r="AT65"/>
  <c r="AU198"/>
  <c r="AU194"/>
  <c r="AU190"/>
  <c r="AU186"/>
  <c r="AU182"/>
  <c r="AU178"/>
  <c r="AU174"/>
  <c r="AU170"/>
  <c r="AU166"/>
  <c r="AU162"/>
  <c r="AU158"/>
  <c r="AU154"/>
  <c r="AU150"/>
  <c r="AU146"/>
  <c r="AU142"/>
  <c r="AU138"/>
  <c r="AU134"/>
  <c r="AU130"/>
  <c r="AU126"/>
  <c r="AU122"/>
  <c r="AU118"/>
  <c r="AU114"/>
  <c r="AU110"/>
  <c r="AU106"/>
  <c r="AU98"/>
  <c r="AU94"/>
  <c r="AU90"/>
  <c r="AU86"/>
  <c r="AU82"/>
  <c r="AU78"/>
  <c r="AU74"/>
  <c r="AU70"/>
  <c r="AU6"/>
  <c r="AU37"/>
  <c r="AU41"/>
  <c r="AU45"/>
  <c r="AU49"/>
  <c r="AU53"/>
  <c r="AU57"/>
  <c r="AU61"/>
  <c r="AU65"/>
  <c r="AT40"/>
  <c r="AT44"/>
  <c r="AT48"/>
  <c r="AT52"/>
  <c r="AT56"/>
  <c r="AT60"/>
  <c r="AT64"/>
  <c r="AT68"/>
  <c r="AU199"/>
  <c r="AU195"/>
  <c r="AU191"/>
  <c r="AU187"/>
  <c r="AU183"/>
  <c r="AU179"/>
  <c r="AU175"/>
  <c r="AU171"/>
  <c r="AU167"/>
  <c r="AU163"/>
  <c r="AU159"/>
  <c r="AU155"/>
  <c r="AU151"/>
  <c r="AU147"/>
  <c r="AU143"/>
  <c r="AU139"/>
  <c r="AU131"/>
  <c r="AU127"/>
  <c r="AU123"/>
  <c r="AU119"/>
  <c r="AU115"/>
  <c r="AU111"/>
  <c r="AU107"/>
  <c r="AU103"/>
  <c r="AU99"/>
  <c r="AU95"/>
  <c r="AU91"/>
  <c r="AU87"/>
  <c r="AU83"/>
  <c r="AU79"/>
  <c r="AU75"/>
  <c r="AU71"/>
  <c r="AU7"/>
  <c r="AU40"/>
  <c r="AU44"/>
  <c r="AU48"/>
  <c r="AU52"/>
  <c r="AU56"/>
  <c r="AU60"/>
  <c r="AU64"/>
  <c r="AT39"/>
  <c r="AT43"/>
  <c r="AT47"/>
  <c r="AT51"/>
  <c r="AT55"/>
  <c r="AT59"/>
  <c r="AT63"/>
  <c r="AT67"/>
  <c r="AU200"/>
  <c r="AU196"/>
  <c r="AU192"/>
  <c r="AU188"/>
  <c r="AU184"/>
  <c r="AU180"/>
  <c r="AU176"/>
  <c r="AU172"/>
  <c r="AU164"/>
  <c r="AU160"/>
  <c r="AU156"/>
  <c r="AU152"/>
  <c r="AU148"/>
  <c r="AU144"/>
  <c r="AU140"/>
  <c r="AU136"/>
  <c r="AU132"/>
  <c r="AU128"/>
  <c r="AU124"/>
  <c r="AU120"/>
  <c r="AU116"/>
  <c r="AU112"/>
  <c r="AU108"/>
  <c r="AU104"/>
  <c r="AU100"/>
  <c r="AU96"/>
  <c r="AU92"/>
  <c r="AU88"/>
  <c r="AU84"/>
  <c r="AU80"/>
  <c r="AU76"/>
  <c r="AU72"/>
  <c r="AU4"/>
  <c r="AU39"/>
  <c r="AU43"/>
  <c r="AU47"/>
  <c r="AU51"/>
  <c r="AU55"/>
  <c r="AU59"/>
  <c r="AU63"/>
  <c r="AU67"/>
  <c r="AT38"/>
  <c r="AT42"/>
  <c r="AT46"/>
  <c r="AT50"/>
  <c r="AT54"/>
  <c r="AT58"/>
  <c r="AT62"/>
  <c r="AT66"/>
  <c r="AS199"/>
  <c r="AS195"/>
  <c r="AS191"/>
  <c r="AS187"/>
  <c r="AS183"/>
  <c r="AS179"/>
  <c r="AS175"/>
  <c r="AS171"/>
  <c r="AS167"/>
  <c r="AS163"/>
  <c r="AS159"/>
  <c r="AS155"/>
  <c r="AS151"/>
  <c r="AS147"/>
  <c r="AS143"/>
  <c r="AS139"/>
  <c r="AS131"/>
  <c r="AS127"/>
  <c r="AS123"/>
  <c r="AS119"/>
  <c r="AS115"/>
  <c r="AS111"/>
  <c r="AS107"/>
  <c r="AS103"/>
  <c r="AS99"/>
  <c r="AS95"/>
  <c r="AS91"/>
  <c r="AS87"/>
  <c r="AS83"/>
  <c r="AS79"/>
  <c r="AS75"/>
  <c r="AS71"/>
  <c r="AS67"/>
  <c r="AS63"/>
  <c r="AS59"/>
  <c r="AS55"/>
  <c r="AS51"/>
  <c r="AS47"/>
  <c r="AS43"/>
  <c r="AS39"/>
  <c r="AS7"/>
  <c r="AT199"/>
  <c r="AT195"/>
  <c r="AT191"/>
  <c r="AT187"/>
  <c r="AT183"/>
  <c r="AT179"/>
  <c r="AT175"/>
  <c r="AT171"/>
  <c r="AT163"/>
  <c r="AT159"/>
  <c r="AT155"/>
  <c r="AT151"/>
  <c r="AT147"/>
  <c r="AT143"/>
  <c r="AT139"/>
  <c r="AT131"/>
  <c r="AT127"/>
  <c r="AT123"/>
  <c r="AT119"/>
  <c r="AT115"/>
  <c r="AT111"/>
  <c r="AT107"/>
  <c r="AT103"/>
  <c r="AT99"/>
  <c r="AT95"/>
  <c r="AT91"/>
  <c r="AT87"/>
  <c r="AT83"/>
  <c r="AT79"/>
  <c r="AT75"/>
  <c r="AT71"/>
  <c r="AT7"/>
  <c r="AS200"/>
  <c r="AS196"/>
  <c r="AS192"/>
  <c r="AS188"/>
  <c r="AS184"/>
  <c r="AS180"/>
  <c r="AS176"/>
  <c r="AS172"/>
  <c r="AS164"/>
  <c r="AS160"/>
  <c r="AS156"/>
  <c r="AS152"/>
  <c r="AS148"/>
  <c r="AS144"/>
  <c r="AS140"/>
  <c r="AS136"/>
  <c r="AS132"/>
  <c r="AS128"/>
  <c r="AS124"/>
  <c r="AS120"/>
  <c r="AS116"/>
  <c r="AS112"/>
  <c r="AS108"/>
  <c r="AS104"/>
  <c r="AS100"/>
  <c r="AS96"/>
  <c r="AS92"/>
  <c r="AS88"/>
  <c r="AS84"/>
  <c r="AS80"/>
  <c r="AS76"/>
  <c r="AS72"/>
  <c r="AS68"/>
  <c r="AS64"/>
  <c r="AS60"/>
  <c r="AS56"/>
  <c r="AS52"/>
  <c r="AS48"/>
  <c r="AS44"/>
  <c r="AS40"/>
  <c r="AS4"/>
  <c r="AT196"/>
  <c r="AT192"/>
  <c r="AT188"/>
  <c r="AT184"/>
  <c r="AT180"/>
  <c r="AT176"/>
  <c r="AT172"/>
  <c r="AT164"/>
  <c r="AT160"/>
  <c r="AT156"/>
  <c r="AT152"/>
  <c r="AT148"/>
  <c r="AT144"/>
  <c r="AT140"/>
  <c r="AT136"/>
  <c r="AT132"/>
  <c r="AT128"/>
  <c r="AT124"/>
  <c r="AT120"/>
  <c r="AT116"/>
  <c r="AT112"/>
  <c r="AT108"/>
  <c r="AT104"/>
  <c r="AT100"/>
  <c r="AT96"/>
  <c r="AT92"/>
  <c r="AT88"/>
  <c r="AT84"/>
  <c r="AT80"/>
  <c r="AT76"/>
  <c r="AT72"/>
  <c r="AT4"/>
  <c r="AS197"/>
  <c r="AS193"/>
  <c r="AS189"/>
  <c r="AS185"/>
  <c r="AS181"/>
  <c r="AS177"/>
  <c r="AS173"/>
  <c r="AS169"/>
  <c r="AS165"/>
  <c r="AS161"/>
  <c r="AS157"/>
  <c r="AS153"/>
  <c r="AS149"/>
  <c r="AS145"/>
  <c r="AS141"/>
  <c r="AS137"/>
  <c r="AS133"/>
  <c r="AS129"/>
  <c r="AS125"/>
  <c r="AS121"/>
  <c r="AS117"/>
  <c r="AS113"/>
  <c r="AS109"/>
  <c r="AS105"/>
  <c r="AS101"/>
  <c r="AS97"/>
  <c r="AS93"/>
  <c r="AS89"/>
  <c r="AS85"/>
  <c r="AS81"/>
  <c r="AS77"/>
  <c r="AS73"/>
  <c r="AS65"/>
  <c r="AS61"/>
  <c r="AS57"/>
  <c r="AS53"/>
  <c r="AS49"/>
  <c r="AS45"/>
  <c r="AS41"/>
  <c r="AS37"/>
  <c r="AS5"/>
  <c r="AT197"/>
  <c r="AT193"/>
  <c r="AT189"/>
  <c r="AT185"/>
  <c r="AT181"/>
  <c r="AT177"/>
  <c r="AT173"/>
  <c r="AT169"/>
  <c r="AT165"/>
  <c r="AT161"/>
  <c r="AT157"/>
  <c r="AT153"/>
  <c r="AT149"/>
  <c r="AT145"/>
  <c r="AT141"/>
  <c r="AT137"/>
  <c r="AT133"/>
  <c r="AT129"/>
  <c r="AT125"/>
  <c r="AT121"/>
  <c r="AT117"/>
  <c r="AT113"/>
  <c r="AT109"/>
  <c r="AT105"/>
  <c r="AT97"/>
  <c r="AT93"/>
  <c r="AT89"/>
  <c r="AT85"/>
  <c r="AT81"/>
  <c r="AT77"/>
  <c r="AT73"/>
  <c r="AT5"/>
  <c r="AS198"/>
  <c r="AS194"/>
  <c r="AS190"/>
  <c r="AS186"/>
  <c r="AS182"/>
  <c r="AS178"/>
  <c r="AS174"/>
  <c r="AS170"/>
  <c r="AS166"/>
  <c r="AS162"/>
  <c r="AS158"/>
  <c r="AS154"/>
  <c r="AS150"/>
  <c r="AS146"/>
  <c r="AS142"/>
  <c r="AS138"/>
  <c r="AS134"/>
  <c r="AS130"/>
  <c r="AS126"/>
  <c r="AS122"/>
  <c r="AS118"/>
  <c r="AS114"/>
  <c r="AS110"/>
  <c r="AS106"/>
  <c r="AS98"/>
  <c r="AS94"/>
  <c r="AS90"/>
  <c r="AS86"/>
  <c r="AS82"/>
  <c r="AS78"/>
  <c r="AS74"/>
  <c r="AS70"/>
  <c r="AS66"/>
  <c r="AS62"/>
  <c r="AS58"/>
  <c r="AS54"/>
  <c r="AS50"/>
  <c r="AS46"/>
  <c r="AS42"/>
  <c r="AS38"/>
  <c r="AS6"/>
  <c r="AT198"/>
  <c r="AT194"/>
  <c r="AT190"/>
  <c r="AT186"/>
  <c r="AT182"/>
  <c r="AT178"/>
  <c r="AT174"/>
  <c r="AT170"/>
  <c r="AT166"/>
  <c r="AT162"/>
  <c r="AT158"/>
  <c r="AT154"/>
  <c r="AT150"/>
  <c r="AT146"/>
  <c r="AT142"/>
  <c r="AT138"/>
  <c r="AT134"/>
  <c r="AT130"/>
  <c r="AT126"/>
  <c r="AT122"/>
  <c r="AT118"/>
  <c r="AT114"/>
  <c r="AT110"/>
  <c r="AT106"/>
  <c r="AT98"/>
  <c r="AT94"/>
  <c r="AT90"/>
  <c r="AT86"/>
  <c r="AT82"/>
  <c r="AT78"/>
  <c r="AT74"/>
  <c r="AT70"/>
  <c r="AT6"/>
  <c r="AQ200"/>
  <c r="AQ199"/>
  <c r="AQ198"/>
  <c r="AQ197"/>
  <c r="AQ196"/>
  <c r="AQ195"/>
  <c r="AQ194"/>
  <c r="AQ193"/>
  <c r="AQ192"/>
  <c r="AQ191"/>
  <c r="AQ190"/>
  <c r="AQ189"/>
  <c r="AQ188"/>
  <c r="AQ187"/>
  <c r="AQ186"/>
  <c r="AQ185"/>
  <c r="AQ184"/>
  <c r="AQ183"/>
  <c r="AQ182"/>
  <c r="AQ181"/>
  <c r="AQ180"/>
  <c r="AQ179"/>
  <c r="AQ178"/>
  <c r="AQ177"/>
  <c r="AQ176"/>
  <c r="AQ175"/>
  <c r="AQ174"/>
  <c r="AQ173"/>
  <c r="AQ172"/>
  <c r="AQ171"/>
  <c r="AQ170"/>
  <c r="AQ169"/>
  <c r="AQ167"/>
  <c r="AQ166"/>
  <c r="AQ165"/>
  <c r="AQ164"/>
  <c r="AQ163"/>
  <c r="AQ162"/>
  <c r="AQ161"/>
  <c r="AQ160"/>
  <c r="AQ159"/>
  <c r="AQ158"/>
  <c r="AQ157"/>
  <c r="AQ156"/>
  <c r="AQ155"/>
  <c r="AQ154"/>
  <c r="AQ153"/>
  <c r="AQ152"/>
  <c r="AQ151"/>
  <c r="AQ150"/>
  <c r="AQ149"/>
  <c r="AQ148"/>
  <c r="AQ147"/>
  <c r="AQ146"/>
  <c r="AQ145"/>
  <c r="AQ144"/>
  <c r="AQ143"/>
  <c r="AQ142"/>
  <c r="AQ141"/>
  <c r="AQ140"/>
  <c r="AQ139"/>
  <c r="AQ138"/>
  <c r="AQ137"/>
  <c r="AQ136"/>
  <c r="AQ134"/>
  <c r="AQ133"/>
  <c r="AQ132"/>
  <c r="AQ131"/>
  <c r="AQ130"/>
  <c r="AQ129"/>
  <c r="AQ128"/>
  <c r="AQ127"/>
  <c r="AQ126"/>
  <c r="AQ125"/>
  <c r="AQ124"/>
  <c r="AQ123"/>
  <c r="AQ122"/>
  <c r="AQ121"/>
  <c r="AQ120"/>
  <c r="AQ119"/>
  <c r="AQ118"/>
  <c r="AQ117"/>
  <c r="AQ116"/>
  <c r="AQ115"/>
  <c r="AQ114"/>
  <c r="AQ113"/>
  <c r="AQ112"/>
  <c r="AQ111"/>
  <c r="AQ110"/>
  <c r="AQ109"/>
  <c r="AQ108"/>
  <c r="AQ107"/>
  <c r="AQ106"/>
  <c r="AQ105"/>
  <c r="AQ104"/>
  <c r="AQ103"/>
  <c r="AQ101"/>
  <c r="AQ100"/>
  <c r="AQ99"/>
  <c r="AQ98"/>
  <c r="AQ97"/>
  <c r="AQ96"/>
  <c r="AQ95"/>
  <c r="AQ94"/>
  <c r="AQ93"/>
  <c r="AQ92"/>
  <c r="AQ91"/>
  <c r="AQ90"/>
  <c r="AQ89"/>
  <c r="AQ88"/>
  <c r="AQ87"/>
  <c r="AQ86"/>
  <c r="AQ85"/>
  <c r="AQ84"/>
  <c r="AQ83"/>
  <c r="AQ82"/>
  <c r="AQ81"/>
  <c r="AQ80"/>
  <c r="AQ79"/>
  <c r="AQ78"/>
  <c r="AQ77"/>
  <c r="AQ76"/>
  <c r="AQ75"/>
  <c r="AQ74"/>
  <c r="AQ73"/>
  <c r="AQ72"/>
  <c r="AQ71"/>
  <c r="AQ70"/>
  <c r="AQ68"/>
  <c r="AQ67"/>
  <c r="AQ66"/>
  <c r="AQ65"/>
  <c r="AQ64"/>
  <c r="AQ63"/>
  <c r="AQ62"/>
  <c r="AQ61"/>
  <c r="AQ60"/>
  <c r="AQ59"/>
  <c r="AQ58"/>
  <c r="AQ57"/>
  <c r="AQ56"/>
  <c r="AQ55"/>
  <c r="AQ54"/>
  <c r="AQ53"/>
  <c r="AQ52"/>
  <c r="AQ51"/>
  <c r="AQ50"/>
  <c r="AQ49"/>
  <c r="AQ48"/>
  <c r="AQ47"/>
  <c r="AQ46"/>
  <c r="AQ45"/>
  <c r="AQ44"/>
  <c r="AQ43"/>
  <c r="AQ42"/>
  <c r="AQ41"/>
  <c r="AQ40"/>
  <c r="AQ39"/>
  <c r="AQ38"/>
  <c r="AQ37"/>
  <c r="AM199"/>
  <c r="AM195"/>
  <c r="AM191"/>
  <c r="AM187"/>
  <c r="AM183"/>
  <c r="AM179"/>
  <c r="AM175"/>
  <c r="AM171"/>
  <c r="AM167"/>
  <c r="AM163"/>
  <c r="AM159"/>
  <c r="AM155"/>
  <c r="AM151"/>
  <c r="AM147"/>
  <c r="AM143"/>
  <c r="AM139"/>
  <c r="AM131"/>
  <c r="AM127"/>
  <c r="AM123"/>
  <c r="AM119"/>
  <c r="AM115"/>
  <c r="AM111"/>
  <c r="AM107"/>
  <c r="AM103"/>
  <c r="AM99"/>
  <c r="AM95"/>
  <c r="AM91"/>
  <c r="AM87"/>
  <c r="AM83"/>
  <c r="AM79"/>
  <c r="AM75"/>
  <c r="AM71"/>
  <c r="AM67"/>
  <c r="AM63"/>
  <c r="AM59"/>
  <c r="AM55"/>
  <c r="AM51"/>
  <c r="AM47"/>
  <c r="AM43"/>
  <c r="AM39"/>
  <c r="AR200"/>
  <c r="AR199"/>
  <c r="AR198"/>
  <c r="AR197"/>
  <c r="AR196"/>
  <c r="AR195"/>
  <c r="AR194"/>
  <c r="AR193"/>
  <c r="AR192"/>
  <c r="AR191"/>
  <c r="AR190"/>
  <c r="AR189"/>
  <c r="AR188"/>
  <c r="AR187"/>
  <c r="AR186"/>
  <c r="AR185"/>
  <c r="AR184"/>
  <c r="AR183"/>
  <c r="AR182"/>
  <c r="AR181"/>
  <c r="AR180"/>
  <c r="AR179"/>
  <c r="AR178"/>
  <c r="AR177"/>
  <c r="AR176"/>
  <c r="AR175"/>
  <c r="AR174"/>
  <c r="AR173"/>
  <c r="AR172"/>
  <c r="AR171"/>
  <c r="AR170"/>
  <c r="AR169"/>
  <c r="AR167"/>
  <c r="AR166"/>
  <c r="AR165"/>
  <c r="AR164"/>
  <c r="AR163"/>
  <c r="AR162"/>
  <c r="AR161"/>
  <c r="AR160"/>
  <c r="AR159"/>
  <c r="AR158"/>
  <c r="AR157"/>
  <c r="AR156"/>
  <c r="AR155"/>
  <c r="AR154"/>
  <c r="AR153"/>
  <c r="AR152"/>
  <c r="AR151"/>
  <c r="AR150"/>
  <c r="AR149"/>
  <c r="AR148"/>
  <c r="AR147"/>
  <c r="AR146"/>
  <c r="AR145"/>
  <c r="AR144"/>
  <c r="AR143"/>
  <c r="AR142"/>
  <c r="AR141"/>
  <c r="AR140"/>
  <c r="AR139"/>
  <c r="AR138"/>
  <c r="AR137"/>
  <c r="AR136"/>
  <c r="AR134"/>
  <c r="AR133"/>
  <c r="AR132"/>
  <c r="AR131"/>
  <c r="AR130"/>
  <c r="AR129"/>
  <c r="AR128"/>
  <c r="AR127"/>
  <c r="AR126"/>
  <c r="AR125"/>
  <c r="AR124"/>
  <c r="AR123"/>
  <c r="AR122"/>
  <c r="AR121"/>
  <c r="AR120"/>
  <c r="AR119"/>
  <c r="AR118"/>
  <c r="AR117"/>
  <c r="AR116"/>
  <c r="AR115"/>
  <c r="AR114"/>
  <c r="AR113"/>
  <c r="AR112"/>
  <c r="AR111"/>
  <c r="AR110"/>
  <c r="AR109"/>
  <c r="AR108"/>
  <c r="AR107"/>
  <c r="AR106"/>
  <c r="AR105"/>
  <c r="AR104"/>
  <c r="AR103"/>
  <c r="AR101"/>
  <c r="AR100"/>
  <c r="AR99"/>
  <c r="AR98"/>
  <c r="AR97"/>
  <c r="AR96"/>
  <c r="AR95"/>
  <c r="AR94"/>
  <c r="AR93"/>
  <c r="AR92"/>
  <c r="AR91"/>
  <c r="AR90"/>
  <c r="AR89"/>
  <c r="AR88"/>
  <c r="AR87"/>
  <c r="AR86"/>
  <c r="AR85"/>
  <c r="AR84"/>
  <c r="AR83"/>
  <c r="AR82"/>
  <c r="AR81"/>
  <c r="AR80"/>
  <c r="AR79"/>
  <c r="AR78"/>
  <c r="AR77"/>
  <c r="AR76"/>
  <c r="AR75"/>
  <c r="AR74"/>
  <c r="AR73"/>
  <c r="AR72"/>
  <c r="AR71"/>
  <c r="AR70"/>
  <c r="AR68"/>
  <c r="AR67"/>
  <c r="AR66"/>
  <c r="AR65"/>
  <c r="AR64"/>
  <c r="AR63"/>
  <c r="AR62"/>
  <c r="AR61"/>
  <c r="AR60"/>
  <c r="AR59"/>
  <c r="AR58"/>
  <c r="AR57"/>
  <c r="AR56"/>
  <c r="AR55"/>
  <c r="AR54"/>
  <c r="AR53"/>
  <c r="AR52"/>
  <c r="AR51"/>
  <c r="AR50"/>
  <c r="AR49"/>
  <c r="AR48"/>
  <c r="AR47"/>
  <c r="AR46"/>
  <c r="AR45"/>
  <c r="AR44"/>
  <c r="AR43"/>
  <c r="AR42"/>
  <c r="AR41"/>
  <c r="AR40"/>
  <c r="AR39"/>
  <c r="AR38"/>
  <c r="AR37"/>
  <c r="AM200"/>
  <c r="AM196"/>
  <c r="AM192"/>
  <c r="AM188"/>
  <c r="AM184"/>
  <c r="AM180"/>
  <c r="AM176"/>
  <c r="AM172"/>
  <c r="AM164"/>
  <c r="AM160"/>
  <c r="AM156"/>
  <c r="AM152"/>
  <c r="AM148"/>
  <c r="AM144"/>
  <c r="AM140"/>
  <c r="AM136"/>
  <c r="AM132"/>
  <c r="AM128"/>
  <c r="AM124"/>
  <c r="AM120"/>
  <c r="AM116"/>
  <c r="AM112"/>
  <c r="AM108"/>
  <c r="AM104"/>
  <c r="AM100"/>
  <c r="AM96"/>
  <c r="AM92"/>
  <c r="AM88"/>
  <c r="AM84"/>
  <c r="AM80"/>
  <c r="AM76"/>
  <c r="AM72"/>
  <c r="AM68"/>
  <c r="AM64"/>
  <c r="AM60"/>
  <c r="AM56"/>
  <c r="AM52"/>
  <c r="AM48"/>
  <c r="AM44"/>
  <c r="AM40"/>
  <c r="AM4"/>
  <c r="AM197"/>
  <c r="AM193"/>
  <c r="AM189"/>
  <c r="AM185"/>
  <c r="AM181"/>
  <c r="AM177"/>
  <c r="AM173"/>
  <c r="AM169"/>
  <c r="AM165"/>
  <c r="AM161"/>
  <c r="AM157"/>
  <c r="AM153"/>
  <c r="AM149"/>
  <c r="AM145"/>
  <c r="AM141"/>
  <c r="AM137"/>
  <c r="AM133"/>
  <c r="AM129"/>
  <c r="AM125"/>
  <c r="AM121"/>
  <c r="AM117"/>
  <c r="AM113"/>
  <c r="AM109"/>
  <c r="AM105"/>
  <c r="AM101"/>
  <c r="AM97"/>
  <c r="AM93"/>
  <c r="AM89"/>
  <c r="AM85"/>
  <c r="AM81"/>
  <c r="AM77"/>
  <c r="AM73"/>
  <c r="AM65"/>
  <c r="AM61"/>
  <c r="AM57"/>
  <c r="AM53"/>
  <c r="AM49"/>
  <c r="AM45"/>
  <c r="AM41"/>
  <c r="AM37"/>
  <c r="AM5"/>
  <c r="AM198"/>
  <c r="AM194"/>
  <c r="AM190"/>
  <c r="AM186"/>
  <c r="AM182"/>
  <c r="AM178"/>
  <c r="AM174"/>
  <c r="AM170"/>
  <c r="AM166"/>
  <c r="AM162"/>
  <c r="AM158"/>
  <c r="AM154"/>
  <c r="AM150"/>
  <c r="AM146"/>
  <c r="AM142"/>
  <c r="AM138"/>
  <c r="AM130"/>
  <c r="AM126"/>
  <c r="AM122"/>
  <c r="AM118"/>
  <c r="AM114"/>
  <c r="AM110"/>
  <c r="AM106"/>
  <c r="AM98"/>
  <c r="AM94"/>
  <c r="AM90"/>
  <c r="AM86"/>
  <c r="AM82"/>
  <c r="AM78"/>
  <c r="AM74"/>
  <c r="AM70"/>
  <c r="AM66"/>
  <c r="AM62"/>
  <c r="AM58"/>
  <c r="AM54"/>
  <c r="AM50"/>
  <c r="AM46"/>
  <c r="AM42"/>
  <c r="AM38"/>
  <c r="AM6"/>
  <c r="AO8"/>
  <c r="AU8" s="1"/>
  <c r="AQ4"/>
  <c r="AR4"/>
  <c r="Q3" i="1"/>
  <c r="K2" i="14" l="1"/>
  <c r="L3" s="1"/>
  <c r="AT8" i="6"/>
  <c r="AS8"/>
  <c r="AO9"/>
  <c r="AU9" s="1"/>
  <c r="AM8"/>
  <c r="AR5"/>
  <c r="AQ5"/>
  <c r="R55"/>
  <c r="I55"/>
  <c r="G55" s="1"/>
  <c r="H55"/>
  <c r="R46"/>
  <c r="I46"/>
  <c r="G46" s="1"/>
  <c r="H46"/>
  <c r="AT9" l="1"/>
  <c r="AS9"/>
  <c r="AO10"/>
  <c r="AU10" s="1"/>
  <c r="AM9"/>
  <c r="AR6"/>
  <c r="AQ6"/>
  <c r="L21" i="11"/>
  <c r="L20"/>
  <c r="L19"/>
  <c r="L15"/>
  <c r="L14"/>
  <c r="L10"/>
  <c r="L9"/>
  <c r="L6"/>
  <c r="L5"/>
  <c r="L4"/>
  <c r="K15"/>
  <c r="K14"/>
  <c r="K10"/>
  <c r="K9"/>
  <c r="K6"/>
  <c r="K5"/>
  <c r="K4"/>
  <c r="J16"/>
  <c r="J15"/>
  <c r="J14"/>
  <c r="J11"/>
  <c r="J10"/>
  <c r="J9"/>
  <c r="J6"/>
  <c r="J5"/>
  <c r="J4"/>
  <c r="I11"/>
  <c r="H11"/>
  <c r="G11"/>
  <c r="F11"/>
  <c r="C11"/>
  <c r="I16"/>
  <c r="H16"/>
  <c r="G16"/>
  <c r="F16"/>
  <c r="E16"/>
  <c r="D16"/>
  <c r="C16"/>
  <c r="I21"/>
  <c r="H21"/>
  <c r="G21"/>
  <c r="F21"/>
  <c r="E21"/>
  <c r="D21"/>
  <c r="C21"/>
  <c r="H20"/>
  <c r="H19"/>
  <c r="H15"/>
  <c r="H14"/>
  <c r="H10"/>
  <c r="H9"/>
  <c r="H6"/>
  <c r="H5"/>
  <c r="H4"/>
  <c r="I20"/>
  <c r="I19"/>
  <c r="I15"/>
  <c r="I14"/>
  <c r="I10"/>
  <c r="I9"/>
  <c r="I6"/>
  <c r="I5"/>
  <c r="I4"/>
  <c r="G20"/>
  <c r="G19"/>
  <c r="G15"/>
  <c r="G14"/>
  <c r="G10"/>
  <c r="G9"/>
  <c r="G6"/>
  <c r="G5"/>
  <c r="G4"/>
  <c r="E15"/>
  <c r="D15"/>
  <c r="C15"/>
  <c r="E14"/>
  <c r="D14"/>
  <c r="C14"/>
  <c r="E20"/>
  <c r="E19"/>
  <c r="D20"/>
  <c r="D19"/>
  <c r="C20"/>
  <c r="C19"/>
  <c r="F20"/>
  <c r="F19"/>
  <c r="F15"/>
  <c r="F14"/>
  <c r="E10"/>
  <c r="D10"/>
  <c r="C10"/>
  <c r="E9"/>
  <c r="D9"/>
  <c r="C9"/>
  <c r="F10"/>
  <c r="F9"/>
  <c r="E6"/>
  <c r="C6"/>
  <c r="E5"/>
  <c r="D5"/>
  <c r="C5"/>
  <c r="E4"/>
  <c r="D4"/>
  <c r="C4"/>
  <c r="F6"/>
  <c r="F5"/>
  <c r="F4"/>
  <c r="AT10" i="6" l="1"/>
  <c r="AS10"/>
  <c r="AO11"/>
  <c r="AU11" s="1"/>
  <c r="AM10"/>
  <c r="AQ7"/>
  <c r="AR7"/>
  <c r="M28" i="1"/>
  <c r="AT11" i="6" l="1"/>
  <c r="AS11"/>
  <c r="AO12"/>
  <c r="AU12" s="1"/>
  <c r="AM11"/>
  <c r="AQ8"/>
  <c r="AR8"/>
  <c r="M29" i="1"/>
  <c r="O28"/>
  <c r="AT12" i="6" l="1"/>
  <c r="AS12"/>
  <c r="AO13"/>
  <c r="AU13" s="1"/>
  <c r="AM12"/>
  <c r="AR9"/>
  <c r="AQ9"/>
  <c r="R35" i="2"/>
  <c r="G38"/>
  <c r="G36"/>
  <c r="F37"/>
  <c r="K14"/>
  <c r="K7"/>
  <c r="J7"/>
  <c r="I8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J35" s="1"/>
  <c r="R37"/>
  <c r="Q32" i="4"/>
  <c r="J32"/>
  <c r="E32"/>
  <c r="L32" s="1"/>
  <c r="AT13" i="6" l="1"/>
  <c r="AS13"/>
  <c r="AO14"/>
  <c r="AU14" s="1"/>
  <c r="AM13"/>
  <c r="AR10"/>
  <c r="AQ10"/>
  <c r="K32" i="4"/>
  <c r="K16" i="2"/>
  <c r="K8"/>
  <c r="K12"/>
  <c r="K24"/>
  <c r="K32"/>
  <c r="K22"/>
  <c r="K30"/>
  <c r="K20"/>
  <c r="K28"/>
  <c r="K10"/>
  <c r="K18"/>
  <c r="K26"/>
  <c r="K34"/>
  <c r="J9"/>
  <c r="J11"/>
  <c r="J13"/>
  <c r="J15"/>
  <c r="J17"/>
  <c r="J19"/>
  <c r="J21"/>
  <c r="J23"/>
  <c r="J25"/>
  <c r="J27"/>
  <c r="J29"/>
  <c r="J31"/>
  <c r="J33"/>
  <c r="I36"/>
  <c r="J8"/>
  <c r="J10"/>
  <c r="J12"/>
  <c r="J14"/>
  <c r="J16"/>
  <c r="J18"/>
  <c r="J20"/>
  <c r="J22"/>
  <c r="J24"/>
  <c r="J26"/>
  <c r="J28"/>
  <c r="J30"/>
  <c r="J32"/>
  <c r="J34"/>
  <c r="K9"/>
  <c r="K11"/>
  <c r="K13"/>
  <c r="K15"/>
  <c r="K17"/>
  <c r="K19"/>
  <c r="K21"/>
  <c r="K23"/>
  <c r="K25"/>
  <c r="K27"/>
  <c r="K29"/>
  <c r="K31"/>
  <c r="K33"/>
  <c r="K35"/>
  <c r="O32" i="4"/>
  <c r="R32" s="1"/>
  <c r="AT14" i="6" l="1"/>
  <c r="AS14"/>
  <c r="AO15"/>
  <c r="AU15" s="1"/>
  <c r="AM14"/>
  <c r="AR11"/>
  <c r="AQ11"/>
  <c r="I37" i="2"/>
  <c r="J36"/>
  <c r="K36"/>
  <c r="J5" i="6"/>
  <c r="H5"/>
  <c r="F5" s="1"/>
  <c r="P2"/>
  <c r="Q6" i="5"/>
  <c r="Q13" i="4"/>
  <c r="L13"/>
  <c r="K13"/>
  <c r="J13"/>
  <c r="V6" i="5"/>
  <c r="U6"/>
  <c r="T6"/>
  <c r="S6"/>
  <c r="R6"/>
  <c r="W6"/>
  <c r="AT15" i="6" l="1"/>
  <c r="AS15"/>
  <c r="AO16"/>
  <c r="AU16" s="1"/>
  <c r="AM15"/>
  <c r="AQ12"/>
  <c r="AR12"/>
  <c r="I38" i="2"/>
  <c r="J37"/>
  <c r="K37"/>
  <c r="O13" i="4"/>
  <c r="R13" s="1"/>
  <c r="Q22"/>
  <c r="L22"/>
  <c r="K22"/>
  <c r="J22"/>
  <c r="K17"/>
  <c r="K16"/>
  <c r="K20"/>
  <c r="K15"/>
  <c r="K21"/>
  <c r="S3" i="3"/>
  <c r="S4" s="1"/>
  <c r="S5" s="1"/>
  <c r="L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M27" i="4" s="1"/>
  <c r="L59" i="3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M24" i="4" s="1"/>
  <c r="L179" i="3"/>
  <c r="L180"/>
  <c r="L181"/>
  <c r="L182"/>
  <c r="L183"/>
  <c r="L184"/>
  <c r="L185"/>
  <c r="L186"/>
  <c r="L187"/>
  <c r="L188"/>
  <c r="L189"/>
  <c r="M4" i="4" s="1"/>
  <c r="L190" i="3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7"/>
  <c r="L858"/>
  <c r="L859"/>
  <c r="L860"/>
  <c r="L861"/>
  <c r="L862"/>
  <c r="L863"/>
  <c r="L864"/>
  <c r="L865"/>
  <c r="L866"/>
  <c r="L867"/>
  <c r="L868"/>
  <c r="L869"/>
  <c r="L870"/>
  <c r="L871"/>
  <c r="L872"/>
  <c r="L881"/>
  <c r="L882"/>
  <c r="L883"/>
  <c r="L884"/>
  <c r="L885"/>
  <c r="L886"/>
  <c r="L887"/>
  <c r="L888"/>
  <c r="L889"/>
  <c r="L890"/>
  <c r="L892"/>
  <c r="L893"/>
  <c r="L894"/>
  <c r="L895"/>
  <c r="L896"/>
  <c r="L897"/>
  <c r="L898"/>
  <c r="L899"/>
  <c r="L900"/>
  <c r="L901"/>
  <c r="L902"/>
  <c r="L903"/>
  <c r="L904"/>
  <c r="L905"/>
  <c r="L906"/>
  <c r="L908"/>
  <c r="L909"/>
  <c r="L910"/>
  <c r="L912"/>
  <c r="L913"/>
  <c r="L914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4"/>
  <c r="L1225"/>
  <c r="L1226"/>
  <c r="L1227"/>
  <c r="L1228"/>
  <c r="L1229"/>
  <c r="L1230"/>
  <c r="L1232"/>
  <c r="L1233"/>
  <c r="L1234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7"/>
  <c r="K858"/>
  <c r="K859"/>
  <c r="K860"/>
  <c r="K861"/>
  <c r="K862"/>
  <c r="K863"/>
  <c r="K864"/>
  <c r="K865"/>
  <c r="K866"/>
  <c r="K867"/>
  <c r="K868"/>
  <c r="K869"/>
  <c r="K870"/>
  <c r="K871"/>
  <c r="K872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4"/>
  <c r="K1225"/>
  <c r="K1226"/>
  <c r="K1227"/>
  <c r="K1228"/>
  <c r="K1229"/>
  <c r="K1230"/>
  <c r="K1231"/>
  <c r="K1232"/>
  <c r="K1233"/>
  <c r="K1234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2"/>
  <c r="R8"/>
  <c r="K295" s="1"/>
  <c r="T8"/>
  <c r="L295" s="1"/>
  <c r="T5"/>
  <c r="L891" s="1"/>
  <c r="L1370" l="1"/>
  <c r="L1346"/>
  <c r="M7" i="4" s="1"/>
  <c r="P7" s="1"/>
  <c r="K1370" i="3"/>
  <c r="K1346"/>
  <c r="I8" i="4"/>
  <c r="N8" s="1"/>
  <c r="L1327" i="3"/>
  <c r="M8" i="4" s="1"/>
  <c r="P8" s="1"/>
  <c r="K1327" i="3"/>
  <c r="L1231"/>
  <c r="M6" i="4"/>
  <c r="P6" s="1"/>
  <c r="I6"/>
  <c r="N6" s="1"/>
  <c r="K1235" i="3"/>
  <c r="K1223"/>
  <c r="L1235"/>
  <c r="L1223"/>
  <c r="I7" i="4"/>
  <c r="N7" s="1"/>
  <c r="L1114" i="3"/>
  <c r="I14" i="4"/>
  <c r="N14" s="1"/>
  <c r="AT16" i="6"/>
  <c r="AS16"/>
  <c r="AO17"/>
  <c r="AU17" s="1"/>
  <c r="AM16"/>
  <c r="AR13"/>
  <c r="AQ13"/>
  <c r="I32" i="4"/>
  <c r="N32" s="1"/>
  <c r="M32"/>
  <c r="P32" s="1"/>
  <c r="K38" i="2"/>
  <c r="J38"/>
  <c r="M23" i="4"/>
  <c r="K1016" i="3"/>
  <c r="L1016"/>
  <c r="M30" i="4"/>
  <c r="M31"/>
  <c r="M12"/>
  <c r="M15"/>
  <c r="M19"/>
  <c r="M10"/>
  <c r="M9"/>
  <c r="M3"/>
  <c r="M17"/>
  <c r="M11"/>
  <c r="M13"/>
  <c r="P13" s="1"/>
  <c r="M18"/>
  <c r="M29"/>
  <c r="M20"/>
  <c r="M5"/>
  <c r="M28"/>
  <c r="M16"/>
  <c r="M26"/>
  <c r="I13"/>
  <c r="N13" s="1"/>
  <c r="I22"/>
  <c r="N22" s="1"/>
  <c r="O22"/>
  <c r="R22" s="1"/>
  <c r="K878" i="3"/>
  <c r="K874"/>
  <c r="K538"/>
  <c r="L880"/>
  <c r="L876"/>
  <c r="L856"/>
  <c r="M21" i="4" s="1"/>
  <c r="K879" i="3"/>
  <c r="K875"/>
  <c r="L877"/>
  <c r="L873"/>
  <c r="K880"/>
  <c r="K876"/>
  <c r="K856"/>
  <c r="L878"/>
  <c r="L874"/>
  <c r="L538"/>
  <c r="K877"/>
  <c r="K873"/>
  <c r="L879"/>
  <c r="L875"/>
  <c r="L915"/>
  <c r="L911"/>
  <c r="L907"/>
  <c r="Q23" i="4"/>
  <c r="J23"/>
  <c r="L23"/>
  <c r="M14" l="1"/>
  <c r="P14" s="1"/>
  <c r="AT17" i="6"/>
  <c r="AS17"/>
  <c r="AO18"/>
  <c r="AU18" s="1"/>
  <c r="AM17"/>
  <c r="AR14"/>
  <c r="AQ14"/>
  <c r="M22" i="4"/>
  <c r="P22" s="1"/>
  <c r="M25"/>
  <c r="K23"/>
  <c r="O23"/>
  <c r="R23" s="1"/>
  <c r="P23"/>
  <c r="Q25"/>
  <c r="L25"/>
  <c r="K25"/>
  <c r="J25"/>
  <c r="Q15"/>
  <c r="L15"/>
  <c r="J15"/>
  <c r="Q21"/>
  <c r="L21"/>
  <c r="J21"/>
  <c r="Q20"/>
  <c r="L20"/>
  <c r="J20"/>
  <c r="Q17"/>
  <c r="L17"/>
  <c r="J17"/>
  <c r="S5" i="5"/>
  <c r="T5"/>
  <c r="R5"/>
  <c r="V5"/>
  <c r="V4"/>
  <c r="U4"/>
  <c r="W5"/>
  <c r="U5"/>
  <c r="S4"/>
  <c r="T4"/>
  <c r="W4"/>
  <c r="AT18" i="6" l="1"/>
  <c r="AS18"/>
  <c r="AO19"/>
  <c r="AU19" s="1"/>
  <c r="AM18"/>
  <c r="AR15"/>
  <c r="AQ15"/>
  <c r="P25" i="4"/>
  <c r="O25"/>
  <c r="R25" s="1"/>
  <c r="O15"/>
  <c r="R15" s="1"/>
  <c r="O20"/>
  <c r="O17"/>
  <c r="R17" s="1"/>
  <c r="O21"/>
  <c r="R21" s="1"/>
  <c r="R20"/>
  <c r="Q5" i="5"/>
  <c r="Q4"/>
  <c r="R4"/>
  <c r="F66" i="9" l="1"/>
  <c r="G65"/>
  <c r="G60"/>
  <c r="K66"/>
  <c r="O65"/>
  <c r="O60"/>
  <c r="J60"/>
  <c r="N66"/>
  <c r="N65"/>
  <c r="I62"/>
  <c r="I61"/>
  <c r="M67"/>
  <c r="Q62"/>
  <c r="Q61"/>
  <c r="S66"/>
  <c r="H60"/>
  <c r="H66"/>
  <c r="L65"/>
  <c r="P60"/>
  <c r="P66"/>
  <c r="T65"/>
  <c r="F60"/>
  <c r="F62"/>
  <c r="G61"/>
  <c r="K67"/>
  <c r="K62"/>
  <c r="O61"/>
  <c r="J61"/>
  <c r="J67"/>
  <c r="N62"/>
  <c r="I60"/>
  <c r="M66"/>
  <c r="M65"/>
  <c r="Q60"/>
  <c r="S67"/>
  <c r="S62"/>
  <c r="H67"/>
  <c r="L62"/>
  <c r="L61"/>
  <c r="P67"/>
  <c r="T62"/>
  <c r="T61"/>
  <c r="F65"/>
  <c r="F67"/>
  <c r="G66"/>
  <c r="K65"/>
  <c r="K60"/>
  <c r="O66"/>
  <c r="J66"/>
  <c r="J65"/>
  <c r="N60"/>
  <c r="I67"/>
  <c r="M62"/>
  <c r="M61"/>
  <c r="Q67"/>
  <c r="S65"/>
  <c r="S60"/>
  <c r="H65"/>
  <c r="L60"/>
  <c r="L66"/>
  <c r="P65"/>
  <c r="T60"/>
  <c r="T66"/>
  <c r="F61"/>
  <c r="G67"/>
  <c r="G62"/>
  <c r="K61"/>
  <c r="O67"/>
  <c r="O62"/>
  <c r="J62"/>
  <c r="N61"/>
  <c r="N67"/>
  <c r="I66"/>
  <c r="I65"/>
  <c r="M60"/>
  <c r="Q66"/>
  <c r="Q65"/>
  <c r="S61"/>
  <c r="H62"/>
  <c r="H61"/>
  <c r="L67"/>
  <c r="P62"/>
  <c r="P61"/>
  <c r="T67"/>
  <c r="H94"/>
  <c r="H97"/>
  <c r="H98"/>
  <c r="H92"/>
  <c r="H99"/>
  <c r="H93"/>
  <c r="G98"/>
  <c r="F93"/>
  <c r="F94"/>
  <c r="T92"/>
  <c r="S99"/>
  <c r="S94"/>
  <c r="G94"/>
  <c r="F97"/>
  <c r="F92"/>
  <c r="T97"/>
  <c r="S93"/>
  <c r="S97"/>
  <c r="G99"/>
  <c r="G93"/>
  <c r="F99"/>
  <c r="T98"/>
  <c r="T94"/>
  <c r="S98"/>
  <c r="G97"/>
  <c r="G92"/>
  <c r="F98"/>
  <c r="T99"/>
  <c r="T93"/>
  <c r="S92"/>
  <c r="AT19" i="6"/>
  <c r="AS19"/>
  <c r="AO20"/>
  <c r="AU20" s="1"/>
  <c r="AM19"/>
  <c r="AQ16"/>
  <c r="AR16"/>
  <c r="I23" i="4"/>
  <c r="N23" s="1"/>
  <c r="Q19"/>
  <c r="L19"/>
  <c r="K19"/>
  <c r="J19"/>
  <c r="J2"/>
  <c r="AT20" i="6" l="1"/>
  <c r="AS20"/>
  <c r="AO21"/>
  <c r="AU21" s="1"/>
  <c r="AM20"/>
  <c r="AR17"/>
  <c r="AQ17"/>
  <c r="I25" i="4"/>
  <c r="N25" s="1"/>
  <c r="P21"/>
  <c r="I21"/>
  <c r="N21" s="1"/>
  <c r="I15"/>
  <c r="N15" s="1"/>
  <c r="P15"/>
  <c r="O19"/>
  <c r="R19" s="1"/>
  <c r="AT21" i="6" l="1"/>
  <c r="AS21"/>
  <c r="AO22"/>
  <c r="AU22" s="1"/>
  <c r="AM21"/>
  <c r="AR18"/>
  <c r="AQ18"/>
  <c r="K2" i="4"/>
  <c r="Q2"/>
  <c r="L2"/>
  <c r="AT22" i="6" l="1"/>
  <c r="AS22"/>
  <c r="AO23"/>
  <c r="AU23" s="1"/>
  <c r="AM22"/>
  <c r="AR19"/>
  <c r="AQ19"/>
  <c r="O2" i="4"/>
  <c r="R2" s="1"/>
  <c r="T24" i="9"/>
  <c r="T26" s="1"/>
  <c r="S24"/>
  <c r="S26" s="1"/>
  <c r="R24"/>
  <c r="Q24"/>
  <c r="P24"/>
  <c r="O24"/>
  <c r="N24"/>
  <c r="M24"/>
  <c r="L24"/>
  <c r="K24"/>
  <c r="J24"/>
  <c r="I24"/>
  <c r="H24"/>
  <c r="H26" s="1"/>
  <c r="G24"/>
  <c r="G26" s="1"/>
  <c r="F24"/>
  <c r="F26" s="1"/>
  <c r="R89" l="1"/>
  <c r="R90" s="1"/>
  <c r="R58"/>
  <c r="R26"/>
  <c r="R29" s="1"/>
  <c r="L26"/>
  <c r="L30" s="1"/>
  <c r="L90"/>
  <c r="P26"/>
  <c r="P29" s="1"/>
  <c r="P90"/>
  <c r="I26"/>
  <c r="I29" s="1"/>
  <c r="I90"/>
  <c r="M26"/>
  <c r="M34" s="1"/>
  <c r="M90"/>
  <c r="Q26"/>
  <c r="Q29" s="1"/>
  <c r="Q90"/>
  <c r="J26"/>
  <c r="J30" s="1"/>
  <c r="J90"/>
  <c r="N26"/>
  <c r="N28" s="1"/>
  <c r="N90"/>
  <c r="K26"/>
  <c r="K35" s="1"/>
  <c r="K90"/>
  <c r="O26"/>
  <c r="O28" s="1"/>
  <c r="O90"/>
  <c r="AT23" i="6"/>
  <c r="AS23"/>
  <c r="AO24"/>
  <c r="AU24" s="1"/>
  <c r="AM23"/>
  <c r="AQ20"/>
  <c r="AR20"/>
  <c r="M33" i="9"/>
  <c r="L34"/>
  <c r="T35"/>
  <c r="T28"/>
  <c r="T33"/>
  <c r="T29"/>
  <c r="T34"/>
  <c r="T30"/>
  <c r="J28"/>
  <c r="N34"/>
  <c r="N29"/>
  <c r="N35"/>
  <c r="N30"/>
  <c r="R35"/>
  <c r="R28"/>
  <c r="R34"/>
  <c r="R30"/>
  <c r="P34"/>
  <c r="P35"/>
  <c r="P30"/>
  <c r="P33"/>
  <c r="K29"/>
  <c r="O34"/>
  <c r="S33"/>
  <c r="S29"/>
  <c r="S30"/>
  <c r="S34"/>
  <c r="S35"/>
  <c r="S28"/>
  <c r="H35"/>
  <c r="H33"/>
  <c r="H30"/>
  <c r="H28"/>
  <c r="H34"/>
  <c r="H29"/>
  <c r="G34"/>
  <c r="G28"/>
  <c r="G30"/>
  <c r="G35"/>
  <c r="G33"/>
  <c r="G29"/>
  <c r="F33"/>
  <c r="F29"/>
  <c r="F35"/>
  <c r="F28"/>
  <c r="F34"/>
  <c r="F30"/>
  <c r="Q29" i="4"/>
  <c r="L29"/>
  <c r="K29"/>
  <c r="J29"/>
  <c r="K33" i="9" l="1"/>
  <c r="J34"/>
  <c r="M28"/>
  <c r="R60"/>
  <c r="R61"/>
  <c r="R67"/>
  <c r="U67" s="1"/>
  <c r="R66"/>
  <c r="U66" s="1"/>
  <c r="R65"/>
  <c r="U65" s="1"/>
  <c r="R62"/>
  <c r="N33"/>
  <c r="J33"/>
  <c r="M29"/>
  <c r="R33"/>
  <c r="K34"/>
  <c r="K28"/>
  <c r="K30"/>
  <c r="J35"/>
  <c r="J29"/>
  <c r="I33"/>
  <c r="I28"/>
  <c r="I30"/>
  <c r="I35"/>
  <c r="I34"/>
  <c r="M35"/>
  <c r="M30"/>
  <c r="L28"/>
  <c r="L35"/>
  <c r="L33"/>
  <c r="L29"/>
  <c r="Q35"/>
  <c r="Q30"/>
  <c r="Q33"/>
  <c r="Q34"/>
  <c r="Q28"/>
  <c r="P28"/>
  <c r="O33"/>
  <c r="O35"/>
  <c r="O30"/>
  <c r="O29"/>
  <c r="R98"/>
  <c r="R99"/>
  <c r="R92"/>
  <c r="R97"/>
  <c r="R93"/>
  <c r="R94"/>
  <c r="K97"/>
  <c r="K92"/>
  <c r="K98"/>
  <c r="K93"/>
  <c r="K99"/>
  <c r="K94"/>
  <c r="J99"/>
  <c r="J97"/>
  <c r="J92"/>
  <c r="J94"/>
  <c r="J98"/>
  <c r="J93"/>
  <c r="M98"/>
  <c r="M99"/>
  <c r="M94"/>
  <c r="M92"/>
  <c r="M93"/>
  <c r="M97"/>
  <c r="P97"/>
  <c r="P98"/>
  <c r="P93"/>
  <c r="P99"/>
  <c r="P94"/>
  <c r="P92"/>
  <c r="O97"/>
  <c r="O98"/>
  <c r="O93"/>
  <c r="O94"/>
  <c r="O92"/>
  <c r="O99"/>
  <c r="N99"/>
  <c r="N94"/>
  <c r="N97"/>
  <c r="N92"/>
  <c r="N93"/>
  <c r="N98"/>
  <c r="Q98"/>
  <c r="Q99"/>
  <c r="Q94"/>
  <c r="Q92"/>
  <c r="Q93"/>
  <c r="Q97"/>
  <c r="I98"/>
  <c r="I99"/>
  <c r="I94"/>
  <c r="I97"/>
  <c r="I92"/>
  <c r="I93"/>
  <c r="L97"/>
  <c r="L98"/>
  <c r="L93"/>
  <c r="L99"/>
  <c r="L94"/>
  <c r="L92"/>
  <c r="AT24" i="6"/>
  <c r="AS24"/>
  <c r="AO25"/>
  <c r="AU25" s="1"/>
  <c r="AM24"/>
  <c r="AR21"/>
  <c r="AQ21"/>
  <c r="O29" i="4"/>
  <c r="R29" s="1"/>
  <c r="Q28"/>
  <c r="Q10"/>
  <c r="Q9"/>
  <c r="Q3"/>
  <c r="Q24"/>
  <c r="Q11"/>
  <c r="Q26"/>
  <c r="Q30"/>
  <c r="Q27"/>
  <c r="Q5"/>
  <c r="Q4"/>
  <c r="Q12"/>
  <c r="Q16"/>
  <c r="Q31"/>
  <c r="Q18"/>
  <c r="O29" i="1"/>
  <c r="M17"/>
  <c r="M18" s="1"/>
  <c r="J9" i="4"/>
  <c r="J28"/>
  <c r="J10"/>
  <c r="J5"/>
  <c r="J11"/>
  <c r="J24"/>
  <c r="J26"/>
  <c r="J30"/>
  <c r="J4"/>
  <c r="J3"/>
  <c r="J12"/>
  <c r="J16"/>
  <c r="J31"/>
  <c r="J27"/>
  <c r="J18"/>
  <c r="L9"/>
  <c r="L28"/>
  <c r="L10"/>
  <c r="L5"/>
  <c r="L11"/>
  <c r="L24"/>
  <c r="L26"/>
  <c r="L30"/>
  <c r="L4"/>
  <c r="L3"/>
  <c r="L12"/>
  <c r="L16"/>
  <c r="L31"/>
  <c r="L27"/>
  <c r="L18"/>
  <c r="U34" i="9" l="1"/>
  <c r="U35"/>
  <c r="U33"/>
  <c r="U97"/>
  <c r="U99"/>
  <c r="U98"/>
  <c r="AT25" i="6"/>
  <c r="AS25"/>
  <c r="AO26"/>
  <c r="AU26" s="1"/>
  <c r="AM25"/>
  <c r="AQ22"/>
  <c r="AR22"/>
  <c r="Q35" i="2"/>
  <c r="Q37"/>
  <c r="O37"/>
  <c r="O35"/>
  <c r="O9" i="4"/>
  <c r="R9" s="1"/>
  <c r="O4"/>
  <c r="R4" s="1"/>
  <c r="O11"/>
  <c r="R11" s="1"/>
  <c r="O18"/>
  <c r="R18" s="1"/>
  <c r="O24"/>
  <c r="R24" s="1"/>
  <c r="O28"/>
  <c r="R28" s="1"/>
  <c r="O3"/>
  <c r="R3" s="1"/>
  <c r="O31"/>
  <c r="R31" s="1"/>
  <c r="O12"/>
  <c r="R12" s="1"/>
  <c r="O26"/>
  <c r="R26" s="1"/>
  <c r="O10"/>
  <c r="R10" s="1"/>
  <c r="O27"/>
  <c r="R27" s="1"/>
  <c r="O16"/>
  <c r="R16" s="1"/>
  <c r="O30"/>
  <c r="R30" s="1"/>
  <c r="O5"/>
  <c r="R5" s="1"/>
  <c r="K10"/>
  <c r="AT26" i="6" l="1"/>
  <c r="AS26"/>
  <c r="AO27"/>
  <c r="AU27" s="1"/>
  <c r="AM26"/>
  <c r="AR23"/>
  <c r="AQ23"/>
  <c r="B35" i="2"/>
  <c r="K18" i="4"/>
  <c r="AT27" i="6" l="1"/>
  <c r="AS27"/>
  <c r="AO28"/>
  <c r="AU28" s="1"/>
  <c r="AM27"/>
  <c r="AQ24"/>
  <c r="AR24"/>
  <c r="O35" i="1"/>
  <c r="AT28" i="6" l="1"/>
  <c r="AS28"/>
  <c r="AO29"/>
  <c r="AU29" s="1"/>
  <c r="AM28"/>
  <c r="AQ25"/>
  <c r="AR25"/>
  <c r="M36" i="1"/>
  <c r="K12" i="4"/>
  <c r="AT29" i="6" l="1"/>
  <c r="AS29"/>
  <c r="AO30"/>
  <c r="AU30" s="1"/>
  <c r="AM29"/>
  <c r="AR26"/>
  <c r="AQ26"/>
  <c r="I24" i="4"/>
  <c r="N24" s="1"/>
  <c r="I4"/>
  <c r="N4" s="1"/>
  <c r="P27"/>
  <c r="P24"/>
  <c r="P4"/>
  <c r="P20"/>
  <c r="AT30" i="6" l="1"/>
  <c r="AS30"/>
  <c r="AO31"/>
  <c r="AU31" s="1"/>
  <c r="AM30"/>
  <c r="AR27"/>
  <c r="AQ27"/>
  <c r="P17" i="4"/>
  <c r="M2"/>
  <c r="P2" s="1"/>
  <c r="I5"/>
  <c r="N5" s="1"/>
  <c r="P19"/>
  <c r="P10"/>
  <c r="P30"/>
  <c r="P31"/>
  <c r="P5"/>
  <c r="P26"/>
  <c r="P18"/>
  <c r="P28"/>
  <c r="P16"/>
  <c r="P12"/>
  <c r="P9"/>
  <c r="P29"/>
  <c r="P3"/>
  <c r="P11"/>
  <c r="I27"/>
  <c r="N27" s="1"/>
  <c r="I17"/>
  <c r="N17" s="1"/>
  <c r="M16" i="1"/>
  <c r="M19" s="1"/>
  <c r="AT31" i="6" l="1"/>
  <c r="AS31"/>
  <c r="AO32"/>
  <c r="AU32" s="1"/>
  <c r="AM31"/>
  <c r="AQ28"/>
  <c r="AR28"/>
  <c r="I20" i="4"/>
  <c r="N20" s="1"/>
  <c r="I2"/>
  <c r="N2" s="1"/>
  <c r="I19"/>
  <c r="N19" s="1"/>
  <c r="I16"/>
  <c r="N16" s="1"/>
  <c r="I12"/>
  <c r="N12" s="1"/>
  <c r="I29"/>
  <c r="N29" s="1"/>
  <c r="I31"/>
  <c r="N31" s="1"/>
  <c r="I30"/>
  <c r="N30" s="1"/>
  <c r="I18"/>
  <c r="N18" s="1"/>
  <c r="I10"/>
  <c r="I26"/>
  <c r="N26" s="1"/>
  <c r="I9"/>
  <c r="N9" s="1"/>
  <c r="I28"/>
  <c r="N28" s="1"/>
  <c r="I11"/>
  <c r="N11" s="1"/>
  <c r="I3"/>
  <c r="N3" s="1"/>
  <c r="O16" i="1"/>
  <c r="M20"/>
  <c r="O18"/>
  <c r="AT32" i="6" l="1"/>
  <c r="AS32"/>
  <c r="AO33"/>
  <c r="AU33" s="1"/>
  <c r="AM32"/>
  <c r="AR29"/>
  <c r="AQ29"/>
  <c r="N10" i="4"/>
  <c r="P35" i="2"/>
  <c r="C35" s="1"/>
  <c r="P37"/>
  <c r="M21" i="1"/>
  <c r="O20"/>
  <c r="W4"/>
  <c r="X4" s="1"/>
  <c r="W5"/>
  <c r="X5" s="1"/>
  <c r="W6"/>
  <c r="X6" s="1"/>
  <c r="W7"/>
  <c r="X7" s="1"/>
  <c r="K30" i="4"/>
  <c r="K31"/>
  <c r="K26"/>
  <c r="K11"/>
  <c r="K27"/>
  <c r="K28"/>
  <c r="K24"/>
  <c r="K3"/>
  <c r="K4"/>
  <c r="K5"/>
  <c r="K9"/>
  <c r="W8" i="1" l="1"/>
  <c r="X8" s="1"/>
  <c r="AT33" i="6"/>
  <c r="AS33"/>
  <c r="AO34"/>
  <c r="AU34" s="1"/>
  <c r="AM33"/>
  <c r="AR30"/>
  <c r="AQ30"/>
  <c r="AA7" i="1"/>
  <c r="AA6"/>
  <c r="AA5"/>
  <c r="AA4"/>
  <c r="Z4"/>
  <c r="Z7"/>
  <c r="Z6"/>
  <c r="Z5"/>
  <c r="Z8" l="1"/>
  <c r="AA8"/>
  <c r="AT34" i="6"/>
  <c r="AS34"/>
  <c r="AO35"/>
  <c r="AU35" s="1"/>
  <c r="AM34"/>
  <c r="AR31"/>
  <c r="AQ31"/>
  <c r="O22" i="1"/>
  <c r="O24" s="1"/>
  <c r="R38" i="2"/>
  <c r="R36"/>
  <c r="R30"/>
  <c r="R34"/>
  <c r="P34"/>
  <c r="R33"/>
  <c r="P33"/>
  <c r="R32"/>
  <c r="R31"/>
  <c r="R29"/>
  <c r="R28"/>
  <c r="AM35" i="6" l="1"/>
  <c r="AT35"/>
  <c r="AS35"/>
  <c r="AQ32"/>
  <c r="AR32"/>
  <c r="M5" i="1"/>
  <c r="Q5" s="1"/>
  <c r="M4"/>
  <c r="S2" i="6"/>
  <c r="U2" s="1"/>
  <c r="J6"/>
  <c r="J7" s="1"/>
  <c r="J8" s="1"/>
  <c r="J9" s="1"/>
  <c r="Q5"/>
  <c r="W3" i="1"/>
  <c r="X3" s="1"/>
  <c r="W2"/>
  <c r="Q4" l="1"/>
  <c r="O5"/>
  <c r="M6" s="1"/>
  <c r="Q6" s="1"/>
  <c r="Q7" i="6"/>
  <c r="R7" s="1"/>
  <c r="R5"/>
  <c r="AQ33"/>
  <c r="AR33"/>
  <c r="F55"/>
  <c r="O55" s="1"/>
  <c r="P55" s="1"/>
  <c r="S55" s="1"/>
  <c r="F46"/>
  <c r="N3"/>
  <c r="J10"/>
  <c r="N4"/>
  <c r="P4" i="1"/>
  <c r="AA2"/>
  <c r="X2"/>
  <c r="O33" i="2"/>
  <c r="O34"/>
  <c r="Z2" i="1"/>
  <c r="Q8" i="6"/>
  <c r="Q6"/>
  <c r="R6" s="1"/>
  <c r="I5"/>
  <c r="G5" s="1"/>
  <c r="H6"/>
  <c r="F6" s="1"/>
  <c r="N5"/>
  <c r="AA3" i="1"/>
  <c r="Z3"/>
  <c r="R27" i="2"/>
  <c r="R26"/>
  <c r="R25"/>
  <c r="R24"/>
  <c r="R23"/>
  <c r="R22"/>
  <c r="R21"/>
  <c r="R20"/>
  <c r="R19"/>
  <c r="R18"/>
  <c r="R17"/>
  <c r="R16"/>
  <c r="R15"/>
  <c r="O7" i="1" l="1"/>
  <c r="M7"/>
  <c r="O6"/>
  <c r="N31" s="1"/>
  <c r="Q9" i="6"/>
  <c r="R8"/>
  <c r="AR34"/>
  <c r="AQ34"/>
  <c r="N55"/>
  <c r="U55"/>
  <c r="O46"/>
  <c r="N46"/>
  <c r="H7"/>
  <c r="N6"/>
  <c r="O3"/>
  <c r="P3" s="1"/>
  <c r="S3" s="1"/>
  <c r="U3" s="1"/>
  <c r="J11"/>
  <c r="Q24" i="2"/>
  <c r="P6" i="1"/>
  <c r="Q19" i="2"/>
  <c r="Q31"/>
  <c r="Q32"/>
  <c r="I6" i="6"/>
  <c r="G6" s="1"/>
  <c r="O5"/>
  <c r="P5" s="1"/>
  <c r="S5" s="1"/>
  <c r="U5" s="1"/>
  <c r="O4"/>
  <c r="P4" s="1"/>
  <c r="S4" s="1"/>
  <c r="U4" s="1"/>
  <c r="Q21" i="2"/>
  <c r="Q15"/>
  <c r="Q18"/>
  <c r="Q20"/>
  <c r="Q16"/>
  <c r="Q17"/>
  <c r="Q23"/>
  <c r="Q22"/>
  <c r="Q7" i="1" l="1"/>
  <c r="N32"/>
  <c r="M32" s="1"/>
  <c r="M31"/>
  <c r="O8"/>
  <c r="M9"/>
  <c r="Q9" s="1"/>
  <c r="M8"/>
  <c r="O9" s="1"/>
  <c r="P46" i="6"/>
  <c r="S46" s="1"/>
  <c r="U46" s="1"/>
  <c r="F7"/>
  <c r="N7" s="1"/>
  <c r="Q10"/>
  <c r="R9"/>
  <c r="AQ35"/>
  <c r="AR35"/>
  <c r="H8"/>
  <c r="I7"/>
  <c r="G7" s="1"/>
  <c r="J12"/>
  <c r="M11" i="1"/>
  <c r="Q11" s="1"/>
  <c r="O6" i="6"/>
  <c r="O24" i="2"/>
  <c r="O22"/>
  <c r="O23"/>
  <c r="P23"/>
  <c r="P24"/>
  <c r="P22"/>
  <c r="O7" i="6" l="1"/>
  <c r="O31" i="1"/>
  <c r="N33"/>
  <c r="O33" s="1"/>
  <c r="Q8"/>
  <c r="Q12" s="1"/>
  <c r="P8"/>
  <c r="F8" i="6"/>
  <c r="N8" s="1"/>
  <c r="Q11"/>
  <c r="R10"/>
  <c r="H9"/>
  <c r="F9" s="1"/>
  <c r="I8"/>
  <c r="G8" s="1"/>
  <c r="J13"/>
  <c r="P7"/>
  <c r="S7" s="1"/>
  <c r="U7" s="1"/>
  <c r="P6"/>
  <c r="S6" s="1"/>
  <c r="U6" s="1"/>
  <c r="P10" i="1"/>
  <c r="O32" i="2"/>
  <c r="O31"/>
  <c r="P32"/>
  <c r="P31"/>
  <c r="O8" i="6"/>
  <c r="O21" i="2"/>
  <c r="B21" s="1"/>
  <c r="O15"/>
  <c r="O20"/>
  <c r="B20" s="1"/>
  <c r="O18"/>
  <c r="O19"/>
  <c r="B19" s="1"/>
  <c r="O17"/>
  <c r="O16"/>
  <c r="B22"/>
  <c r="P20"/>
  <c r="C20" s="1"/>
  <c r="P19"/>
  <c r="C19" s="1"/>
  <c r="P16"/>
  <c r="P15"/>
  <c r="P18"/>
  <c r="P17"/>
  <c r="P21"/>
  <c r="C21" s="1"/>
  <c r="R14"/>
  <c r="C43"/>
  <c r="B43"/>
  <c r="C42"/>
  <c r="B42"/>
  <c r="R10"/>
  <c r="R9"/>
  <c r="R13"/>
  <c r="O37" i="1" l="1"/>
  <c r="P12"/>
  <c r="N34"/>
  <c r="M34" s="1"/>
  <c r="Q12" i="6"/>
  <c r="R11"/>
  <c r="H10"/>
  <c r="F10" s="1"/>
  <c r="I9"/>
  <c r="G9" s="1"/>
  <c r="P8"/>
  <c r="S8" s="1"/>
  <c r="U8" s="1"/>
  <c r="J14"/>
  <c r="O36" i="2"/>
  <c r="O38"/>
  <c r="Q36"/>
  <c r="Q38"/>
  <c r="Q29"/>
  <c r="Q30"/>
  <c r="Q28"/>
  <c r="O30"/>
  <c r="O29"/>
  <c r="O28"/>
  <c r="O27"/>
  <c r="O26"/>
  <c r="O25"/>
  <c r="C22"/>
  <c r="Q27"/>
  <c r="Q26"/>
  <c r="Q25"/>
  <c r="Q14"/>
  <c r="R12"/>
  <c r="R11"/>
  <c r="R8"/>
  <c r="R7"/>
  <c r="Q13" i="6" l="1"/>
  <c r="R12"/>
  <c r="H11"/>
  <c r="F11" s="1"/>
  <c r="I10"/>
  <c r="G10" s="1"/>
  <c r="J15"/>
  <c r="N9"/>
  <c r="Q34" i="2"/>
  <c r="Q33"/>
  <c r="B24"/>
  <c r="C24"/>
  <c r="B23"/>
  <c r="C23"/>
  <c r="O14"/>
  <c r="A3"/>
  <c r="B3" s="1"/>
  <c r="Q14" i="6" l="1"/>
  <c r="R13"/>
  <c r="N11"/>
  <c r="H12"/>
  <c r="F12" s="1"/>
  <c r="I11"/>
  <c r="G11" s="1"/>
  <c r="B37" i="2"/>
  <c r="C37"/>
  <c r="J16" i="6"/>
  <c r="P38" i="2"/>
  <c r="P36"/>
  <c r="C33"/>
  <c r="B30"/>
  <c r="P30"/>
  <c r="P29"/>
  <c r="P28"/>
  <c r="O9" i="6"/>
  <c r="P26" i="2"/>
  <c r="P25"/>
  <c r="C25" s="1"/>
  <c r="P27"/>
  <c r="B25"/>
  <c r="P14"/>
  <c r="O10"/>
  <c r="O9"/>
  <c r="O7"/>
  <c r="O8"/>
  <c r="O13"/>
  <c r="O11"/>
  <c r="O12"/>
  <c r="P9"/>
  <c r="P10"/>
  <c r="Q13"/>
  <c r="Q11"/>
  <c r="Q12"/>
  <c r="P13"/>
  <c r="P11"/>
  <c r="P12"/>
  <c r="Q9"/>
  <c r="Q10"/>
  <c r="Q7"/>
  <c r="Q8"/>
  <c r="P7"/>
  <c r="P8"/>
  <c r="Q15" i="6" l="1"/>
  <c r="R14"/>
  <c r="N12"/>
  <c r="H13"/>
  <c r="F13" s="1"/>
  <c r="I12"/>
  <c r="G12" s="1"/>
  <c r="J17"/>
  <c r="P9"/>
  <c r="O10"/>
  <c r="P10" s="1"/>
  <c r="N10"/>
  <c r="C3" i="2"/>
  <c r="D3" s="1"/>
  <c r="C30"/>
  <c r="B33"/>
  <c r="B31"/>
  <c r="C31"/>
  <c r="B28"/>
  <c r="C28"/>
  <c r="C29"/>
  <c r="B29"/>
  <c r="B32"/>
  <c r="C32"/>
  <c r="O11" i="6"/>
  <c r="B26" i="2"/>
  <c r="C26"/>
  <c r="B27"/>
  <c r="C27"/>
  <c r="E42"/>
  <c r="F42" s="1"/>
  <c r="Q16" i="6" l="1"/>
  <c r="R15"/>
  <c r="O12"/>
  <c r="N13"/>
  <c r="H14"/>
  <c r="F14" s="1"/>
  <c r="I13"/>
  <c r="G13" s="1"/>
  <c r="J18"/>
  <c r="S10"/>
  <c r="U10" s="1"/>
  <c r="S9"/>
  <c r="U9" s="1"/>
  <c r="C34" i="2"/>
  <c r="B34"/>
  <c r="P11" i="6"/>
  <c r="B17" i="2"/>
  <c r="C17"/>
  <c r="C16"/>
  <c r="B16"/>
  <c r="C15"/>
  <c r="B15"/>
  <c r="B18"/>
  <c r="C18"/>
  <c r="B7"/>
  <c r="C7"/>
  <c r="C8"/>
  <c r="B8"/>
  <c r="B10"/>
  <c r="C10"/>
  <c r="B9"/>
  <c r="C9"/>
  <c r="B14"/>
  <c r="C14"/>
  <c r="C11"/>
  <c r="B11"/>
  <c r="C13"/>
  <c r="B13"/>
  <c r="E43"/>
  <c r="F43" s="1"/>
  <c r="B12"/>
  <c r="C12"/>
  <c r="Q17" i="6" l="1"/>
  <c r="R16"/>
  <c r="H15"/>
  <c r="F15" s="1"/>
  <c r="O13"/>
  <c r="I14"/>
  <c r="G14" s="1"/>
  <c r="J19"/>
  <c r="S11"/>
  <c r="U11" s="1"/>
  <c r="Q18" l="1"/>
  <c r="R17"/>
  <c r="H16"/>
  <c r="F16" s="1"/>
  <c r="N14"/>
  <c r="O14"/>
  <c r="I15"/>
  <c r="G15" s="1"/>
  <c r="J20"/>
  <c r="B36" i="2"/>
  <c r="C36"/>
  <c r="B38"/>
  <c r="C38"/>
  <c r="Q19" i="6" l="1"/>
  <c r="R18"/>
  <c r="N15"/>
  <c r="O15"/>
  <c r="H17"/>
  <c r="F17" s="1"/>
  <c r="I16"/>
  <c r="G16" s="1"/>
  <c r="J21"/>
  <c r="P12"/>
  <c r="Q20" l="1"/>
  <c r="R19"/>
  <c r="N16"/>
  <c r="O16"/>
  <c r="H18"/>
  <c r="F18" s="1"/>
  <c r="I17"/>
  <c r="G17" s="1"/>
  <c r="J22"/>
  <c r="S12"/>
  <c r="U12" s="1"/>
  <c r="P13"/>
  <c r="Q21" l="1"/>
  <c r="R20"/>
  <c r="N17"/>
  <c r="O17"/>
  <c r="H19"/>
  <c r="F19" s="1"/>
  <c r="I18"/>
  <c r="G18" s="1"/>
  <c r="J23"/>
  <c r="S13"/>
  <c r="U13" s="1"/>
  <c r="P14"/>
  <c r="Q22" l="1"/>
  <c r="R21"/>
  <c r="H20"/>
  <c r="F20" s="1"/>
  <c r="N18"/>
  <c r="O18"/>
  <c r="P18" s="1"/>
  <c r="S18" s="1"/>
  <c r="U18" s="1"/>
  <c r="I19"/>
  <c r="G19" s="1"/>
  <c r="J24"/>
  <c r="S14"/>
  <c r="U14" s="1"/>
  <c r="P15"/>
  <c r="Q23" l="1"/>
  <c r="R22"/>
  <c r="H21"/>
  <c r="F21" s="1"/>
  <c r="N19"/>
  <c r="O19"/>
  <c r="P19" s="1"/>
  <c r="S19" s="1"/>
  <c r="U19" s="1"/>
  <c r="I20"/>
  <c r="G20" s="1"/>
  <c r="J25"/>
  <c r="S15"/>
  <c r="U15" s="1"/>
  <c r="P16"/>
  <c r="Q24" l="1"/>
  <c r="R23"/>
  <c r="H22"/>
  <c r="F22" s="1"/>
  <c r="N20"/>
  <c r="O20"/>
  <c r="I21"/>
  <c r="G21" s="1"/>
  <c r="P20"/>
  <c r="S20" s="1"/>
  <c r="U20" s="1"/>
  <c r="J26"/>
  <c r="S16"/>
  <c r="U16" s="1"/>
  <c r="P17"/>
  <c r="Q25" l="1"/>
  <c r="R24"/>
  <c r="O21"/>
  <c r="N21"/>
  <c r="H23"/>
  <c r="F23" s="1"/>
  <c r="I22"/>
  <c r="G22" s="1"/>
  <c r="J27"/>
  <c r="S17"/>
  <c r="U17" s="1"/>
  <c r="J20" i="11"/>
  <c r="J19"/>
  <c r="J21"/>
  <c r="K20"/>
  <c r="K21"/>
  <c r="K19"/>
  <c r="Q26" i="6" l="1"/>
  <c r="R25"/>
  <c r="H24"/>
  <c r="F24" s="1"/>
  <c r="N22"/>
  <c r="O22"/>
  <c r="P22" s="1"/>
  <c r="S22" s="1"/>
  <c r="U22" s="1"/>
  <c r="P21"/>
  <c r="S21" s="1"/>
  <c r="U21" s="1"/>
  <c r="I23"/>
  <c r="G23" s="1"/>
  <c r="J28"/>
  <c r="Q27" l="1"/>
  <c r="R26"/>
  <c r="N23"/>
  <c r="O23"/>
  <c r="H25"/>
  <c r="F25" s="1"/>
  <c r="I24"/>
  <c r="G24" s="1"/>
  <c r="Q28" l="1"/>
  <c r="R28" s="1"/>
  <c r="R27"/>
  <c r="H26"/>
  <c r="F26" s="1"/>
  <c r="N24"/>
  <c r="O24"/>
  <c r="P24" s="1"/>
  <c r="S24" s="1"/>
  <c r="U24" s="1"/>
  <c r="P23"/>
  <c r="S23" s="1"/>
  <c r="U23" s="1"/>
  <c r="I25"/>
  <c r="G25" s="1"/>
  <c r="N25" l="1"/>
  <c r="O25"/>
  <c r="H27"/>
  <c r="F27" s="1"/>
  <c r="I26"/>
  <c r="G26" s="1"/>
  <c r="O26" l="1"/>
  <c r="P26" s="1"/>
  <c r="S26" s="1"/>
  <c r="U26" s="1"/>
  <c r="N26"/>
  <c r="H28"/>
  <c r="F28" s="1"/>
  <c r="P25"/>
  <c r="S25" s="1"/>
  <c r="U25" s="1"/>
  <c r="I27"/>
  <c r="G27" s="1"/>
  <c r="N27" l="1"/>
  <c r="O27"/>
  <c r="P27" s="1"/>
  <c r="S27" s="1"/>
  <c r="U27" s="1"/>
  <c r="O28"/>
  <c r="N28"/>
  <c r="I28"/>
  <c r="G28" l="1"/>
  <c r="P28" s="1"/>
  <c r="S28" s="1"/>
  <c r="U28" s="1"/>
</calcChain>
</file>

<file path=xl/sharedStrings.xml><?xml version="1.0" encoding="utf-8"?>
<sst xmlns="http://schemas.openxmlformats.org/spreadsheetml/2006/main" count="7504" uniqueCount="874">
  <si>
    <t>Star</t>
  </si>
  <si>
    <t>EXP to TOP lvl</t>
  </si>
  <si>
    <t>Gold</t>
  </si>
  <si>
    <t>XP</t>
  </si>
  <si>
    <t>Energy refill</t>
  </si>
  <si>
    <t>LVL</t>
  </si>
  <si>
    <t>Stage</t>
  </si>
  <si>
    <t>Location</t>
  </si>
  <si>
    <t>Tamor Desert</t>
  </si>
  <si>
    <t>Normal</t>
  </si>
  <si>
    <t>Uwagi</t>
  </si>
  <si>
    <t>Drop</t>
  </si>
  <si>
    <t>2*</t>
  </si>
  <si>
    <t>Mana drop</t>
  </si>
  <si>
    <t>XP Gain</t>
  </si>
  <si>
    <t>XP Gain per member</t>
  </si>
  <si>
    <t>Energy Drop</t>
  </si>
  <si>
    <t>1*</t>
  </si>
  <si>
    <t>Fire</t>
  </si>
  <si>
    <t>Mon nbr</t>
  </si>
  <si>
    <t>Soloable</t>
  </si>
  <si>
    <t>Y - fast</t>
  </si>
  <si>
    <t>Energy gain</t>
  </si>
  <si>
    <t>E. Cost</t>
  </si>
  <si>
    <t>XP/Energy</t>
  </si>
  <si>
    <t> Level</t>
  </si>
  <si>
    <t>3*</t>
  </si>
  <si>
    <t>4*</t>
  </si>
  <si>
    <t>5*</t>
  </si>
  <si>
    <t>6*</t>
  </si>
  <si>
    <t>Hard</t>
  </si>
  <si>
    <t>Faimon</t>
  </si>
  <si>
    <t>Hell</t>
  </si>
  <si>
    <t>Kolumna1</t>
  </si>
  <si>
    <t>Scroll</t>
  </si>
  <si>
    <t>Kolumna2</t>
  </si>
  <si>
    <t>HoMagic</t>
  </si>
  <si>
    <t>Energy pool</t>
  </si>
  <si>
    <t>Boost cost</t>
  </si>
  <si>
    <t>Mana Gain</t>
  </si>
  <si>
    <t>Energy Gain</t>
  </si>
  <si>
    <t>Energy Cost</t>
  </si>
  <si>
    <t>xp boost 1 day</t>
  </si>
  <si>
    <t>save min</t>
  </si>
  <si>
    <t>save max</t>
  </si>
  <si>
    <t>save avg</t>
  </si>
  <si>
    <t>energy per day</t>
  </si>
  <si>
    <t>total E on XP boost</t>
  </si>
  <si>
    <t>xp boost 3 day</t>
  </si>
  <si>
    <t>XB boost 3D</t>
  </si>
  <si>
    <t>XB boost 1D</t>
  </si>
  <si>
    <t>Ene on boost</t>
  </si>
  <si>
    <t>Ene normal</t>
  </si>
  <si>
    <t>XP boost 3D + refill</t>
  </si>
  <si>
    <t>XP Train Gain</t>
  </si>
  <si>
    <t>XP Total Gain</t>
  </si>
  <si>
    <t>Quality/Quantity</t>
  </si>
  <si>
    <t>Fod</t>
  </si>
  <si>
    <t>Rainb</t>
  </si>
  <si>
    <t>Mt White</t>
  </si>
  <si>
    <t>Aiden</t>
  </si>
  <si>
    <t>1D on boost</t>
  </si>
  <si>
    <t>12h on boost</t>
  </si>
  <si>
    <t>3D on boost</t>
  </si>
  <si>
    <t>Etykiety wierszy</t>
  </si>
  <si>
    <t>(puste)</t>
  </si>
  <si>
    <t>Suma końcowa</t>
  </si>
  <si>
    <t>Średnia z Mana drop</t>
  </si>
  <si>
    <t>Wartości</t>
  </si>
  <si>
    <t>Średnia z Sell drop</t>
  </si>
  <si>
    <t>Średnia z Energy Drop</t>
  </si>
  <si>
    <t>Buffed</t>
  </si>
  <si>
    <t>Cost</t>
  </si>
  <si>
    <t>Burned</t>
  </si>
  <si>
    <t>Xp/Mana</t>
  </si>
  <si>
    <t>Cost to max</t>
  </si>
  <si>
    <t>Nbr needed</t>
  </si>
  <si>
    <t>trojek full</t>
  </si>
  <si>
    <t>trojek 1</t>
  </si>
  <si>
    <t>czworek 1</t>
  </si>
  <si>
    <t>czworki full</t>
  </si>
  <si>
    <t xml:space="preserve">Atk </t>
  </si>
  <si>
    <t>Crit D</t>
  </si>
  <si>
    <t>Crit C</t>
  </si>
  <si>
    <t>Blade</t>
  </si>
  <si>
    <t>Rage</t>
  </si>
  <si>
    <t>Fatal</t>
  </si>
  <si>
    <t>Fatal+Blade</t>
  </si>
  <si>
    <t>3xBlade</t>
  </si>
  <si>
    <t>Crit D%</t>
  </si>
  <si>
    <t>Crit C%</t>
  </si>
  <si>
    <t>Atk%</t>
  </si>
  <si>
    <t>Crit C % lvl</t>
  </si>
  <si>
    <t>Atk % &gt; Crit C% &gt; Crit D%</t>
  </si>
  <si>
    <t>Status</t>
  </si>
  <si>
    <t>Base</t>
  </si>
  <si>
    <t>% change to basic</t>
  </si>
  <si>
    <t>AvgDmg Basic</t>
  </si>
  <si>
    <t>AvgDmg</t>
  </si>
  <si>
    <t>Crit Chance Basic</t>
  </si>
  <si>
    <t>DmgC</t>
  </si>
  <si>
    <t>Dmg</t>
  </si>
  <si>
    <t>Atk</t>
  </si>
  <si>
    <t>Nbr of Crit C rune</t>
  </si>
  <si>
    <t>Nbr of Crit D rune</t>
  </si>
  <si>
    <t>Nbr of Atk rune</t>
  </si>
  <si>
    <t>% of Crit C from subs</t>
  </si>
  <si>
    <t>Crit D % from subs</t>
  </si>
  <si>
    <t>Atk % from subs</t>
  </si>
  <si>
    <t>CritD</t>
  </si>
  <si>
    <t>Atk Mult</t>
  </si>
  <si>
    <t>Runes</t>
  </si>
  <si>
    <t>Set</t>
  </si>
  <si>
    <t>Rage+Blade</t>
  </si>
  <si>
    <t>Rune</t>
  </si>
  <si>
    <t>3*/9</t>
  </si>
  <si>
    <t>Missing</t>
  </si>
  <si>
    <t>Done</t>
  </si>
  <si>
    <t>piątki 1</t>
  </si>
  <si>
    <t>dwójek full</t>
  </si>
  <si>
    <t>XP to gain</t>
  </si>
  <si>
    <t>Total XP to gain</t>
  </si>
  <si>
    <t>dwójek 1</t>
  </si>
  <si>
    <t>Energy/Day</t>
  </si>
  <si>
    <t>XP/day</t>
  </si>
  <si>
    <t>Days to Finish</t>
  </si>
  <si>
    <t>Licznik z Drop</t>
  </si>
  <si>
    <t>Normal day</t>
  </si>
  <si>
    <t>Energy refill (on double XP event 1h)</t>
  </si>
  <si>
    <t>SetToComplete</t>
  </si>
  <si>
    <t>TimeToComplete Sek</t>
  </si>
  <si>
    <t>Comb/hour</t>
  </si>
  <si>
    <t>TimeToComplete Sek2</t>
  </si>
  <si>
    <t>SetToComplete2</t>
  </si>
  <si>
    <t>Ramagos</t>
  </si>
  <si>
    <t>XP/hour</t>
  </si>
  <si>
    <t>Energy spend</t>
  </si>
  <si>
    <t>Comb2/hour</t>
  </si>
  <si>
    <t>XP2/hour</t>
  </si>
  <si>
    <t>HoLight</t>
  </si>
  <si>
    <t>SD(sala)</t>
  </si>
  <si>
    <t>Evolve</t>
  </si>
  <si>
    <t>Etykiety kolumn</t>
  </si>
  <si>
    <t>SweetCookie</t>
  </si>
  <si>
    <t>Belladeon</t>
  </si>
  <si>
    <t>Darion</t>
  </si>
  <si>
    <t>Konamiya</t>
  </si>
  <si>
    <t>Energy</t>
  </si>
  <si>
    <t>Swift</t>
  </si>
  <si>
    <t>Bernard</t>
  </si>
  <si>
    <t>Shannon</t>
  </si>
  <si>
    <t>Despair</t>
  </si>
  <si>
    <t>Energy/Focus</t>
  </si>
  <si>
    <t>Violent</t>
  </si>
  <si>
    <t>Name</t>
  </si>
  <si>
    <t>Set 1</t>
  </si>
  <si>
    <t>Set 2</t>
  </si>
  <si>
    <t>Substats</t>
  </si>
  <si>
    <t>HP/Acc</t>
  </si>
  <si>
    <t>SPD</t>
  </si>
  <si>
    <t xml:space="preserve">Slots 2/4/6 </t>
  </si>
  <si>
    <t>jedynek full</t>
  </si>
  <si>
    <t>jedynek 1</t>
  </si>
  <si>
    <t>HP/HP/Acc</t>
  </si>
  <si>
    <t>Focus/Energy</t>
  </si>
  <si>
    <t>SPD/Acc</t>
  </si>
  <si>
    <t>HP/HP/HP</t>
  </si>
  <si>
    <t>HP/CP/Acc</t>
  </si>
  <si>
    <t>Energy/Revenge</t>
  </si>
  <si>
    <t>SPD/HP/HP</t>
  </si>
  <si>
    <t>Acc/SPD</t>
  </si>
  <si>
    <t>SPD/HP</t>
  </si>
  <si>
    <t>Giants</t>
  </si>
  <si>
    <t>HoDark</t>
  </si>
  <si>
    <t>Drop Worth</t>
  </si>
  <si>
    <t>Sell Drop</t>
  </si>
  <si>
    <t>Drop worth gain</t>
  </si>
  <si>
    <t>DropWorthGain/Energy</t>
  </si>
  <si>
    <t>Dragon</t>
  </si>
  <si>
    <t>Exp Gain</t>
  </si>
  <si>
    <t>XP drop</t>
  </si>
  <si>
    <t>Fod Worth</t>
  </si>
  <si>
    <t>XP train/energy</t>
  </si>
  <si>
    <t>SPD/HP &amp; DEF/Acc</t>
  </si>
  <si>
    <t>Vampire</t>
  </si>
  <si>
    <t>Nemezis/Guard</t>
  </si>
  <si>
    <t>Ahman</t>
  </si>
  <si>
    <t>HP/CR/HP</t>
  </si>
  <si>
    <t>Violent/Swift</t>
  </si>
  <si>
    <t>Berreta</t>
  </si>
  <si>
    <t>Focus</t>
  </si>
  <si>
    <t>B10 Giant</t>
  </si>
  <si>
    <t>B10 Giant/B9 Dragon</t>
  </si>
  <si>
    <t>Type</t>
  </si>
  <si>
    <t>Slot</t>
  </si>
  <si>
    <t>HP%</t>
  </si>
  <si>
    <t>HP</t>
  </si>
  <si>
    <t>Acc%</t>
  </si>
  <si>
    <t>Crit Rate%</t>
  </si>
  <si>
    <t>Crit DMG%</t>
  </si>
  <si>
    <t>Att%</t>
  </si>
  <si>
    <t>Def%</t>
  </si>
  <si>
    <t>Grade</t>
  </si>
  <si>
    <t>Res%</t>
  </si>
  <si>
    <t>Y</t>
  </si>
  <si>
    <t>SumStone</t>
  </si>
  <si>
    <t>Angelmon</t>
  </si>
  <si>
    <t>HoWater</t>
  </si>
  <si>
    <t>Raoq</t>
  </si>
  <si>
    <t>Sieq</t>
  </si>
  <si>
    <t>Joker</t>
  </si>
  <si>
    <t>Golem(water)</t>
  </si>
  <si>
    <t>M.Archer(fire)</t>
  </si>
  <si>
    <t>Werewolf(fire)</t>
  </si>
  <si>
    <t>Howl(wind)</t>
  </si>
  <si>
    <t>Ninja</t>
  </si>
  <si>
    <t>Inugami(water)</t>
  </si>
  <si>
    <t>Griffon(water)</t>
  </si>
  <si>
    <t>Bearman(wind)</t>
  </si>
  <si>
    <t>Yeti(fire)</t>
  </si>
  <si>
    <t>Harpy(wind)</t>
  </si>
  <si>
    <t>Amazon(wind)</t>
  </si>
  <si>
    <t>Garuda(water)</t>
  </si>
  <si>
    <t>SD</t>
  </si>
  <si>
    <t>Veromos</t>
  </si>
  <si>
    <t>Sylph</t>
  </si>
  <si>
    <t>Undine</t>
  </si>
  <si>
    <t>Succubus</t>
  </si>
  <si>
    <t>Bearman(water)</t>
  </si>
  <si>
    <t>G.reapen(water)</t>
  </si>
  <si>
    <t>Inferno(wind)</t>
  </si>
  <si>
    <t>Imp(fire)</t>
  </si>
  <si>
    <t>Beast Hunter(fire)</t>
  </si>
  <si>
    <t>Salamander(fire)</t>
  </si>
  <si>
    <t>Harpy(water)</t>
  </si>
  <si>
    <t>Harpu(wind)</t>
  </si>
  <si>
    <t>Lizardman(wind)</t>
  </si>
  <si>
    <t>Minotaur(wind)</t>
  </si>
  <si>
    <t>L.Armor(fire)</t>
  </si>
  <si>
    <t>Pixie(water)</t>
  </si>
  <si>
    <t>Yeti(dark)</t>
  </si>
  <si>
    <t>Serpent(fire)</t>
  </si>
  <si>
    <t>M.Cat(fire)</t>
  </si>
  <si>
    <t>M.Archer(water)</t>
  </si>
  <si>
    <t>Salamander(wind)</t>
  </si>
  <si>
    <t>Próbka</t>
  </si>
  <si>
    <t>Lapis</t>
  </si>
  <si>
    <t>GOT</t>
  </si>
  <si>
    <t>VEROMOS</t>
  </si>
  <si>
    <t>Water</t>
  </si>
  <si>
    <t>Wind</t>
  </si>
  <si>
    <t>Dark</t>
  </si>
  <si>
    <t>Magic</t>
  </si>
  <si>
    <t>Low</t>
  </si>
  <si>
    <t>High</t>
  </si>
  <si>
    <t>Tot. Need</t>
  </si>
  <si>
    <t>Tot.got</t>
  </si>
  <si>
    <t>Pure Cash to XP + XP Train/Energy</t>
  </si>
  <si>
    <t>Blue</t>
  </si>
  <si>
    <t>Suma z Quality/Quantity</t>
  </si>
  <si>
    <t>Licznik z LVL</t>
  </si>
  <si>
    <t>Fail</t>
  </si>
  <si>
    <t>HoFire</t>
  </si>
  <si>
    <t>EoFire(low)</t>
  </si>
  <si>
    <t>Candy</t>
  </si>
  <si>
    <t>blue</t>
  </si>
  <si>
    <t>Pink</t>
  </si>
  <si>
    <t>Vagabond</t>
  </si>
  <si>
    <t>Pixie</t>
  </si>
  <si>
    <t>(Wiele elementów)</t>
  </si>
  <si>
    <t>low</t>
  </si>
  <si>
    <t>high</t>
  </si>
  <si>
    <t>Light</t>
  </si>
  <si>
    <t>Średni drop</t>
  </si>
  <si>
    <t>4</t>
  </si>
  <si>
    <t>5</t>
  </si>
  <si>
    <t>7</t>
  </si>
  <si>
    <t>8</t>
  </si>
  <si>
    <t>9</t>
  </si>
  <si>
    <t>10</t>
  </si>
  <si>
    <t>Energy cost</t>
  </si>
  <si>
    <t>Runs number to finish</t>
  </si>
  <si>
    <t>Total Energy Req</t>
  </si>
  <si>
    <t>Golem</t>
  </si>
  <si>
    <t>Serpent</t>
  </si>
  <si>
    <t>HoWind</t>
  </si>
  <si>
    <t>Hydeni</t>
  </si>
  <si>
    <t>Yeti</t>
  </si>
  <si>
    <t>MystScroll</t>
  </si>
  <si>
    <t>Exp Gain only 2*+</t>
  </si>
  <si>
    <t>Bearman</t>
  </si>
  <si>
    <t>Violet</t>
  </si>
  <si>
    <t>mid</t>
  </si>
  <si>
    <t>Mid</t>
  </si>
  <si>
    <t>Attack</t>
  </si>
  <si>
    <t>Crit.Dmg</t>
  </si>
  <si>
    <t>Crit.Cha</t>
  </si>
  <si>
    <t>Set Name</t>
  </si>
  <si>
    <t>start</t>
  </si>
  <si>
    <t>step incre</t>
  </si>
  <si>
    <t>Fatal Nbr</t>
  </si>
  <si>
    <t>Rage Nbr</t>
  </si>
  <si>
    <t>Blade Nbr</t>
  </si>
  <si>
    <t>Final Crit Chance</t>
  </si>
  <si>
    <t>Att</t>
  </si>
  <si>
    <t>&lt;20%</t>
  </si>
  <si>
    <t>&lt;30%</t>
  </si>
  <si>
    <t>&gt;30%</t>
  </si>
  <si>
    <t>Set1</t>
  </si>
  <si>
    <t>Set2</t>
  </si>
  <si>
    <t>Rune1</t>
  </si>
  <si>
    <t>NBR R1</t>
  </si>
  <si>
    <t>Rune2</t>
  </si>
  <si>
    <t>NBR R2</t>
  </si>
  <si>
    <t>DPS Rank</t>
  </si>
  <si>
    <t>Substats bonuses best sets</t>
  </si>
  <si>
    <t>&lt;40%</t>
  </si>
  <si>
    <t>&gt;40%</t>
  </si>
  <si>
    <t>Orange</t>
  </si>
  <si>
    <t>Vrofagul</t>
  </si>
  <si>
    <t xml:space="preserve">Normal 3D XP </t>
  </si>
  <si>
    <t>Normal 1D XP</t>
  </si>
  <si>
    <t>Ener refill no XP</t>
  </si>
  <si>
    <t>Ene refill to XP</t>
  </si>
  <si>
    <t>Ene to XP</t>
  </si>
  <si>
    <t>Ene no XP</t>
  </si>
  <si>
    <t>Scenario</t>
  </si>
  <si>
    <t>4* 30</t>
  </si>
  <si>
    <t>Zapas</t>
  </si>
  <si>
    <t>piątki full</t>
  </si>
  <si>
    <t>5* 35</t>
  </si>
  <si>
    <t>Def</t>
  </si>
  <si>
    <t>Monster</t>
  </si>
  <si>
    <t>Revenge</t>
  </si>
  <si>
    <t>Enchant</t>
  </si>
  <si>
    <t>Laetys</t>
  </si>
  <si>
    <t>Crit D %</t>
  </si>
  <si>
    <t>Crit C %</t>
  </si>
  <si>
    <t>HP %</t>
  </si>
  <si>
    <t>Def %</t>
  </si>
  <si>
    <t>Att %</t>
  </si>
  <si>
    <t>Acc %</t>
  </si>
  <si>
    <t>Speed</t>
  </si>
  <si>
    <t>Baretta</t>
  </si>
  <si>
    <t>Phantom Thief</t>
  </si>
  <si>
    <t>Konamiya.1</t>
  </si>
  <si>
    <t>Konamiya.2</t>
  </si>
  <si>
    <t>Suma z HP%</t>
  </si>
  <si>
    <t>Suma z Acc%</t>
  </si>
  <si>
    <t>Suma z SPD</t>
  </si>
  <si>
    <t>Suma z Crit Rate%</t>
  </si>
  <si>
    <t>Suma z Crit DMG%</t>
  </si>
  <si>
    <t>Suma z Att%</t>
  </si>
  <si>
    <t>Suma z Def%</t>
  </si>
  <si>
    <t>Suma z Def</t>
  </si>
  <si>
    <t>Suma z Res%</t>
  </si>
  <si>
    <t>Orochi</t>
  </si>
  <si>
    <t>Death Knight</t>
  </si>
  <si>
    <t>Inugami</t>
  </si>
  <si>
    <t>B10 Giant/B9,10 Dragon</t>
  </si>
  <si>
    <t>Enchant2</t>
  </si>
  <si>
    <t xml:space="preserve">GO to </t>
  </si>
  <si>
    <t>Monst. Alter</t>
  </si>
  <si>
    <t>can to Darion</t>
  </si>
  <si>
    <t>can to Ahman</t>
  </si>
  <si>
    <t>D</t>
  </si>
  <si>
    <t>S1</t>
  </si>
  <si>
    <t>Sets</t>
  </si>
  <si>
    <t>S2</t>
  </si>
  <si>
    <t>S3</t>
  </si>
  <si>
    <t>S4</t>
  </si>
  <si>
    <t>S5</t>
  </si>
  <si>
    <t>S6</t>
  </si>
  <si>
    <t>Fat</t>
  </si>
  <si>
    <t>Bla</t>
  </si>
  <si>
    <t>Icasha</t>
  </si>
  <si>
    <t>Taoist</t>
  </si>
  <si>
    <t>Hwadam</t>
  </si>
  <si>
    <t>Sylphid</t>
  </si>
  <si>
    <t>Mihael</t>
  </si>
  <si>
    <t>Eredas</t>
  </si>
  <si>
    <t>Aria</t>
  </si>
  <si>
    <t>Samurai</t>
  </si>
  <si>
    <t>Tosi</t>
  </si>
  <si>
    <t>Rakshasa</t>
  </si>
  <si>
    <t>Pang</t>
  </si>
  <si>
    <t>Pirate Captain</t>
  </si>
  <si>
    <t>Brig</t>
  </si>
  <si>
    <t>Pierret</t>
  </si>
  <si>
    <t>Eva</t>
  </si>
  <si>
    <t>Louis</t>
  </si>
  <si>
    <t>Gin</t>
  </si>
  <si>
    <t>Nine-tailed Fox</t>
  </si>
  <si>
    <t>Chamie</t>
  </si>
  <si>
    <t>Neostone Fighter</t>
  </si>
  <si>
    <t>Lucas</t>
  </si>
  <si>
    <t>Neostone Agent</t>
  </si>
  <si>
    <t>Illiana</t>
  </si>
  <si>
    <t>Mermaid</t>
  </si>
  <si>
    <t>Molly</t>
  </si>
  <si>
    <t>Magical Archer</t>
  </si>
  <si>
    <t>Fami</t>
  </si>
  <si>
    <t>Chris</t>
  </si>
  <si>
    <t>Magic Knight</t>
  </si>
  <si>
    <t>Iris</t>
  </si>
  <si>
    <t>Lich</t>
  </si>
  <si>
    <t>Halphas</t>
  </si>
  <si>
    <t>Kung Fu Girl</t>
  </si>
  <si>
    <t>Liu Mei</t>
  </si>
  <si>
    <t>Kobold Bomber</t>
  </si>
  <si>
    <t>Dover</t>
  </si>
  <si>
    <t>Figaro</t>
  </si>
  <si>
    <t>Epikion Priest</t>
  </si>
  <si>
    <t>Iona</t>
  </si>
  <si>
    <t>Conrad</t>
  </si>
  <si>
    <t>Brownie Magician</t>
  </si>
  <si>
    <t>Gemini</t>
  </si>
  <si>
    <t>BarBaric King</t>
  </si>
  <si>
    <t>Mimirr</t>
  </si>
  <si>
    <t>Assassin</t>
  </si>
  <si>
    <t>Natalie</t>
  </si>
  <si>
    <t>Tilasha</t>
  </si>
  <si>
    <t>Icares</t>
  </si>
  <si>
    <t>Aschubel</t>
  </si>
  <si>
    <t>Isael</t>
  </si>
  <si>
    <t>Sige</t>
  </si>
  <si>
    <t>Ran</t>
  </si>
  <si>
    <t>Frigate</t>
  </si>
  <si>
    <t>Luna</t>
  </si>
  <si>
    <t>Guillaume</t>
  </si>
  <si>
    <t>Kamiya</t>
  </si>
  <si>
    <t>Karl</t>
  </si>
  <si>
    <t>Betta</t>
  </si>
  <si>
    <t>Bethony</t>
  </si>
  <si>
    <t>Lanett</t>
  </si>
  <si>
    <t>Grego</t>
  </si>
  <si>
    <t>Fei</t>
  </si>
  <si>
    <t>Bering</t>
  </si>
  <si>
    <t>Liebli</t>
  </si>
  <si>
    <t>Dias</t>
  </si>
  <si>
    <t>Korona</t>
  </si>
  <si>
    <t>Barbaric King</t>
  </si>
  <si>
    <t>Hrungnir</t>
  </si>
  <si>
    <t>Isabelle</t>
  </si>
  <si>
    <t>Woochi</t>
  </si>
  <si>
    <t>X</t>
  </si>
  <si>
    <t>Argen</t>
  </si>
  <si>
    <t>Delphoi</t>
  </si>
  <si>
    <t>Acasis</t>
  </si>
  <si>
    <t>Shimitae</t>
  </si>
  <si>
    <t>Selena</t>
  </si>
  <si>
    <t>Sky Dancer</t>
  </si>
  <si>
    <t>Chasun</t>
  </si>
  <si>
    <t>Kaito</t>
  </si>
  <si>
    <t>Yen</t>
  </si>
  <si>
    <t>Barque</t>
  </si>
  <si>
    <t>Sophia</t>
  </si>
  <si>
    <t>Julien</t>
  </si>
  <si>
    <t>Arang</t>
  </si>
  <si>
    <t>Logan</t>
  </si>
  <si>
    <t>Olivia</t>
  </si>
  <si>
    <t>Cichlid</t>
  </si>
  <si>
    <t>Lupinus</t>
  </si>
  <si>
    <t>Fuco</t>
  </si>
  <si>
    <t>Ling Ling</t>
  </si>
  <si>
    <t>Taurus</t>
  </si>
  <si>
    <t>Lushen</t>
  </si>
  <si>
    <t>Briand</t>
  </si>
  <si>
    <t>Aquila</t>
  </si>
  <si>
    <t>Hraesvelg</t>
  </si>
  <si>
    <t>Tanya</t>
  </si>
  <si>
    <t>Gildong</t>
  </si>
  <si>
    <t>Liesel</t>
  </si>
  <si>
    <t>Mikene</t>
  </si>
  <si>
    <t>Lumirecia</t>
  </si>
  <si>
    <t>Tyron</t>
  </si>
  <si>
    <t>Izaria</t>
  </si>
  <si>
    <t>Mihyang</t>
  </si>
  <si>
    <t>Kaz</t>
  </si>
  <si>
    <t>Su</t>
  </si>
  <si>
    <t>Galleon</t>
  </si>
  <si>
    <t>Julie</t>
  </si>
  <si>
    <t>Luer</t>
  </si>
  <si>
    <t>Susano</t>
  </si>
  <si>
    <t>Soha</t>
  </si>
  <si>
    <t>Ryan</t>
  </si>
  <si>
    <t>Emma</t>
  </si>
  <si>
    <t>Tetra</t>
  </si>
  <si>
    <t>Rigel</t>
  </si>
  <si>
    <t>Xiao Lin</t>
  </si>
  <si>
    <t>Malaka</t>
  </si>
  <si>
    <t>Sian</t>
  </si>
  <si>
    <t>Fedora</t>
  </si>
  <si>
    <t>Orion</t>
  </si>
  <si>
    <t>Aegir</t>
  </si>
  <si>
    <t>Stella</t>
  </si>
  <si>
    <t>Verdehile</t>
  </si>
  <si>
    <t>Atenai</t>
  </si>
  <si>
    <t>Fria</t>
  </si>
  <si>
    <t>Akia</t>
  </si>
  <si>
    <t>Hwahee</t>
  </si>
  <si>
    <t>Jun</t>
  </si>
  <si>
    <t>Hwa</t>
  </si>
  <si>
    <t>Carrack</t>
  </si>
  <si>
    <t>Clara</t>
  </si>
  <si>
    <t>Jean</t>
  </si>
  <si>
    <t>Garo</t>
  </si>
  <si>
    <t>Shihwa</t>
  </si>
  <si>
    <t>Trevor</t>
  </si>
  <si>
    <t>Lisa</t>
  </si>
  <si>
    <t>Platy</t>
  </si>
  <si>
    <t>Astar</t>
  </si>
  <si>
    <t>Antares</t>
  </si>
  <si>
    <t>Hong Hua</t>
  </si>
  <si>
    <t>Zibrolta</t>
  </si>
  <si>
    <t>Jojo</t>
  </si>
  <si>
    <t>Chloe</t>
  </si>
  <si>
    <t>Arnold</t>
  </si>
  <si>
    <t>Draco</t>
  </si>
  <si>
    <t>Surtr</t>
  </si>
  <si>
    <t>Lexy</t>
  </si>
  <si>
    <t>Werewolf</t>
  </si>
  <si>
    <t>Eshir</t>
  </si>
  <si>
    <t>Warbear</t>
  </si>
  <si>
    <t>Lusha</t>
  </si>
  <si>
    <t>Elpuria</t>
  </si>
  <si>
    <t>Penguin Knight</t>
  </si>
  <si>
    <t>Dona</t>
  </si>
  <si>
    <t>Mystic Witch</t>
  </si>
  <si>
    <t>Linda</t>
  </si>
  <si>
    <t>Minotauros</t>
  </si>
  <si>
    <t>Grotau</t>
  </si>
  <si>
    <t>Martial Cat</t>
  </si>
  <si>
    <t>Xiao Ling</t>
  </si>
  <si>
    <t>Martial Artist</t>
  </si>
  <si>
    <t>Hiro</t>
  </si>
  <si>
    <t>Lizardman</t>
  </si>
  <si>
    <t>Glinodon</t>
  </si>
  <si>
    <t>Living Armor</t>
  </si>
  <si>
    <t>Silver</t>
  </si>
  <si>
    <t>Inferno</t>
  </si>
  <si>
    <t>Eludain</t>
  </si>
  <si>
    <t>Imp Champion</t>
  </si>
  <si>
    <t>Shaffron</t>
  </si>
  <si>
    <t>High Elemental</t>
  </si>
  <si>
    <t>Shren</t>
  </si>
  <si>
    <t>Harpy</t>
  </si>
  <si>
    <t>Kabilla</t>
  </si>
  <si>
    <t>Harpu</t>
  </si>
  <si>
    <t>Sia</t>
  </si>
  <si>
    <t>Grim Reaper</t>
  </si>
  <si>
    <t>Prom</t>
  </si>
  <si>
    <t>Griffon</t>
  </si>
  <si>
    <t>Shamann</t>
  </si>
  <si>
    <t>Groggo</t>
  </si>
  <si>
    <t>Garuda</t>
  </si>
  <si>
    <t>Teon</t>
  </si>
  <si>
    <t>Fairy Queen</t>
  </si>
  <si>
    <t>Fran</t>
  </si>
  <si>
    <t>Fairy</t>
  </si>
  <si>
    <t>Neal</t>
  </si>
  <si>
    <t>Elemental</t>
  </si>
  <si>
    <t>Priz</t>
  </si>
  <si>
    <t>Drunken Master</t>
  </si>
  <si>
    <t>Tien Qin</t>
  </si>
  <si>
    <t>Cow Girl</t>
  </si>
  <si>
    <t>Charger Shark</t>
  </si>
  <si>
    <t>Rumicus</t>
  </si>
  <si>
    <t>Bounty Hunter</t>
  </si>
  <si>
    <t>Walkers</t>
  </si>
  <si>
    <t>Beast Hunter</t>
  </si>
  <si>
    <t>Baekdu</t>
  </si>
  <si>
    <t>Battle Mammoth</t>
  </si>
  <si>
    <t>Marble</t>
  </si>
  <si>
    <t>Amazon</t>
  </si>
  <si>
    <t>Lyn</t>
  </si>
  <si>
    <t>Kumae</t>
  </si>
  <si>
    <t>Jultan</t>
  </si>
  <si>
    <t>Viking</t>
  </si>
  <si>
    <t>Janssen</t>
  </si>
  <si>
    <t>Jubelle</t>
  </si>
  <si>
    <t>Woonhak</t>
  </si>
  <si>
    <t>Mantura</t>
  </si>
  <si>
    <t>Kuna</t>
  </si>
  <si>
    <t>Gina</t>
  </si>
  <si>
    <t>Kamatau</t>
  </si>
  <si>
    <t>Miho</t>
  </si>
  <si>
    <t>Jackie</t>
  </si>
  <si>
    <t>Devinodon</t>
  </si>
  <si>
    <t>Zinc</t>
  </si>
  <si>
    <t>Kro</t>
  </si>
  <si>
    <t>Drogan</t>
  </si>
  <si>
    <t>Loque</t>
  </si>
  <si>
    <t>Jumaline</t>
  </si>
  <si>
    <t>hellhound</t>
  </si>
  <si>
    <t>Shumar</t>
  </si>
  <si>
    <t>Hellea</t>
  </si>
  <si>
    <t>Seren</t>
  </si>
  <si>
    <t>Thrain</t>
  </si>
  <si>
    <t>Varus</t>
  </si>
  <si>
    <t>Maggi</t>
  </si>
  <si>
    <t>Rasheed</t>
  </si>
  <si>
    <t>Camules</t>
  </si>
  <si>
    <t>Wei Shin</t>
  </si>
  <si>
    <t>Cassie</t>
  </si>
  <si>
    <t>Calicus</t>
  </si>
  <si>
    <t>Jamie</t>
  </si>
  <si>
    <t>Hannam</t>
  </si>
  <si>
    <t>Haken</t>
  </si>
  <si>
    <t>Basalt</t>
  </si>
  <si>
    <t>Mara</t>
  </si>
  <si>
    <t>Shakan</t>
  </si>
  <si>
    <t>Ermeda</t>
  </si>
  <si>
    <t>Mav</t>
  </si>
  <si>
    <t>Silia</t>
  </si>
  <si>
    <t>Eintau</t>
  </si>
  <si>
    <t>Naomi</t>
  </si>
  <si>
    <t>Lo</t>
  </si>
  <si>
    <t>Ardella</t>
  </si>
  <si>
    <t>Velfinodon</t>
  </si>
  <si>
    <t>Copper</t>
  </si>
  <si>
    <t>Ramahan</t>
  </si>
  <si>
    <t>Anduril</t>
  </si>
  <si>
    <t>Pigma</t>
  </si>
  <si>
    <t>Moria</t>
  </si>
  <si>
    <t>Prilea</t>
  </si>
  <si>
    <t>Hiva</t>
  </si>
  <si>
    <t>Ragion</t>
  </si>
  <si>
    <t>Michelle</t>
  </si>
  <si>
    <t>Huan</t>
  </si>
  <si>
    <t>Hannah</t>
  </si>
  <si>
    <t>Zephicus</t>
  </si>
  <si>
    <t>Roger</t>
  </si>
  <si>
    <t>Suri</t>
  </si>
  <si>
    <t>Dagorr</t>
  </si>
  <si>
    <t>Olivine</t>
  </si>
  <si>
    <t>Hina</t>
  </si>
  <si>
    <t>Vigor</t>
  </si>
  <si>
    <t>Dagora</t>
  </si>
  <si>
    <t>Shailoq</t>
  </si>
  <si>
    <t>Toma</t>
  </si>
  <si>
    <t>Megan</t>
  </si>
  <si>
    <t>Urtau</t>
  </si>
  <si>
    <t>Mina</t>
  </si>
  <si>
    <t>Luan</t>
  </si>
  <si>
    <t>Sharron</t>
  </si>
  <si>
    <t>Kernodon</t>
  </si>
  <si>
    <t>Nickel</t>
  </si>
  <si>
    <t>Icaru</t>
  </si>
  <si>
    <t>Purian</t>
  </si>
  <si>
    <t>Yaku</t>
  </si>
  <si>
    <t>Ellena</t>
  </si>
  <si>
    <t>Ramira</t>
  </si>
  <si>
    <t>Hemos</t>
  </si>
  <si>
    <t>Kahn</t>
  </si>
  <si>
    <t>Kuhn</t>
  </si>
  <si>
    <t>Elucia</t>
  </si>
  <si>
    <t>Mao</t>
  </si>
  <si>
    <t>Rina</t>
  </si>
  <si>
    <t>Gangchun</t>
  </si>
  <si>
    <t>Sera</t>
  </si>
  <si>
    <t>Aqcus</t>
  </si>
  <si>
    <t>Wayne</t>
  </si>
  <si>
    <t>Gruda</t>
  </si>
  <si>
    <t>Talc</t>
  </si>
  <si>
    <t>Ellin</t>
  </si>
  <si>
    <t>Geoffrey</t>
  </si>
  <si>
    <t>Garoche</t>
  </si>
  <si>
    <t>Kai'en</t>
  </si>
  <si>
    <t>Gunpyeong</t>
  </si>
  <si>
    <t>Fao</t>
  </si>
  <si>
    <t>Salamander</t>
  </si>
  <si>
    <t>Krakdon</t>
  </si>
  <si>
    <t>Naki</t>
  </si>
  <si>
    <t>Rebecca</t>
  </si>
  <si>
    <t>Burentau</t>
  </si>
  <si>
    <t>Mei</t>
  </si>
  <si>
    <t>Sin</t>
  </si>
  <si>
    <t>M Archer</t>
  </si>
  <si>
    <t>Cassandra</t>
  </si>
  <si>
    <t>Lizerdman</t>
  </si>
  <si>
    <t>Igmanodon</t>
  </si>
  <si>
    <t>Iron</t>
  </si>
  <si>
    <t>Tagaros</t>
  </si>
  <si>
    <t>Fairo</t>
  </si>
  <si>
    <t>High Elmential</t>
  </si>
  <si>
    <t>Kahli</t>
  </si>
  <si>
    <t>Lucasha</t>
  </si>
  <si>
    <t>Grim reaper</t>
  </si>
  <si>
    <t>Sath</t>
  </si>
  <si>
    <t>Griffion</t>
  </si>
  <si>
    <t>Spectra</t>
  </si>
  <si>
    <t>Kugo</t>
  </si>
  <si>
    <t>fairy</t>
  </si>
  <si>
    <t>Iselia</t>
  </si>
  <si>
    <t>druken master</t>
  </si>
  <si>
    <t>Xiao Chun</t>
  </si>
  <si>
    <t>Anne</t>
  </si>
  <si>
    <t>Ignicus</t>
  </si>
  <si>
    <t>Randy</t>
  </si>
  <si>
    <t>Nangrim</t>
  </si>
  <si>
    <t>bearman</t>
  </si>
  <si>
    <t>Kungen</t>
  </si>
  <si>
    <t>Granite</t>
  </si>
  <si>
    <t>amazon</t>
  </si>
  <si>
    <t>Ceres</t>
  </si>
  <si>
    <t>yeti</t>
  </si>
  <si>
    <t>Arkajan</t>
  </si>
  <si>
    <t>viking</t>
  </si>
  <si>
    <t>Jansson</t>
  </si>
  <si>
    <t>salmander</t>
  </si>
  <si>
    <t>Sharman</t>
  </si>
  <si>
    <t>pixie</t>
  </si>
  <si>
    <t>Cheryl</t>
  </si>
  <si>
    <t>imp</t>
  </si>
  <si>
    <t>Taru</t>
  </si>
  <si>
    <t>howl</t>
  </si>
  <si>
    <t>Shushu</t>
  </si>
  <si>
    <t>Shamar</t>
  </si>
  <si>
    <t>Decamaron</t>
  </si>
  <si>
    <t>Sorin</t>
  </si>
  <si>
    <t>warbear</t>
  </si>
  <si>
    <t>Gorgo</t>
  </si>
  <si>
    <t>Camaryn</t>
  </si>
  <si>
    <t>Garok</t>
  </si>
  <si>
    <t>garuda</t>
  </si>
  <si>
    <t>Rizak</t>
  </si>
  <si>
    <t>Chacha</t>
  </si>
  <si>
    <t>Aeilene</t>
  </si>
  <si>
    <t>vegabond</t>
  </si>
  <si>
    <t>Roid</t>
  </si>
  <si>
    <t>Lukan</t>
  </si>
  <si>
    <t>Lindermen</t>
  </si>
  <si>
    <t>Chichi</t>
  </si>
  <si>
    <t>Walter</t>
  </si>
  <si>
    <t>harpu</t>
  </si>
  <si>
    <t>Seal</t>
  </si>
  <si>
    <t>elemetial</t>
  </si>
  <si>
    <t>Taharus</t>
  </si>
  <si>
    <t>Gamir</t>
  </si>
  <si>
    <t>Rakaja</t>
  </si>
  <si>
    <t>Ralph</t>
  </si>
  <si>
    <t>Allen</t>
  </si>
  <si>
    <t>Lulu</t>
  </si>
  <si>
    <t>Huga</t>
  </si>
  <si>
    <t>Kaimann</t>
  </si>
  <si>
    <t>Sisroo</t>
  </si>
  <si>
    <t>elemntial</t>
  </si>
  <si>
    <t>Daharenos</t>
  </si>
  <si>
    <t>Tarq</t>
  </si>
  <si>
    <t>Kunda</t>
  </si>
  <si>
    <t>Kacey</t>
  </si>
  <si>
    <t>Fynn</t>
  </si>
  <si>
    <t>Howl</t>
  </si>
  <si>
    <t>Lala</t>
  </si>
  <si>
    <t>Colleen</t>
  </si>
  <si>
    <t>Cahule</t>
  </si>
  <si>
    <t>elemtial</t>
  </si>
  <si>
    <t>Bremis</t>
  </si>
  <si>
    <t>Ursha</t>
  </si>
  <si>
    <t>Hellhound</t>
  </si>
  <si>
    <t>Tantra</t>
  </si>
  <si>
    <t>Tatu</t>
  </si>
  <si>
    <t>Imp</t>
  </si>
  <si>
    <t>Cogma</t>
  </si>
  <si>
    <t>Fusion</t>
  </si>
  <si>
    <t>GWD</t>
  </si>
  <si>
    <t>GWO</t>
  </si>
  <si>
    <t>HM</t>
  </si>
  <si>
    <t>AD</t>
  </si>
  <si>
    <t>AO</t>
  </si>
  <si>
    <t>N</t>
  </si>
  <si>
    <t>G</t>
  </si>
  <si>
    <t>Attribute</t>
  </si>
  <si>
    <t>Stars</t>
  </si>
  <si>
    <t>Cryst</t>
  </si>
  <si>
    <t>Possesion</t>
  </si>
  <si>
    <t>LP</t>
  </si>
  <si>
    <t>Awakened2</t>
  </si>
  <si>
    <t>Suma ALL</t>
  </si>
  <si>
    <t>Suma PVE</t>
  </si>
  <si>
    <t>Suma PVP</t>
  </si>
  <si>
    <t>Suma GW</t>
  </si>
  <si>
    <t>Y/N</t>
  </si>
  <si>
    <t>Daily quest</t>
  </si>
  <si>
    <t>CD h.</t>
  </si>
  <si>
    <t>ToA</t>
  </si>
  <si>
    <t>Login rewards</t>
  </si>
  <si>
    <t>PVP</t>
  </si>
  <si>
    <t>Cryst/Day</t>
  </si>
  <si>
    <t>Cryst/Month</t>
  </si>
  <si>
    <t>Daily Arena</t>
  </si>
  <si>
    <t>Frequency/Month</t>
  </si>
  <si>
    <t>Sum total</t>
  </si>
  <si>
    <t>Energy max</t>
  </si>
  <si>
    <t>Att subs</t>
  </si>
  <si>
    <t>Crit D subs</t>
  </si>
  <si>
    <t>Crit C subs</t>
  </si>
  <si>
    <t>Fatal + Blade</t>
  </si>
  <si>
    <t>Rage + Blade</t>
  </si>
  <si>
    <t>3x Blade</t>
  </si>
  <si>
    <t>Att stones</t>
  </si>
  <si>
    <t>Crid D stone</t>
  </si>
  <si>
    <t>Crit C stone</t>
  </si>
  <si>
    <t>Base Att</t>
  </si>
  <si>
    <t>Base Crit C</t>
  </si>
  <si>
    <t>Base Crit D</t>
  </si>
  <si>
    <t>Maksimum z Fatal + Blade</t>
  </si>
  <si>
    <t>Maksimum z Rage + Blade</t>
  </si>
  <si>
    <t>Maksimum z Fatal + Blade, Razem</t>
  </si>
  <si>
    <t>Maksimum z Rage + Blade, Razem</t>
  </si>
  <si>
    <t>2 Maksimum z Fatal + Blade</t>
  </si>
  <si>
    <t>2 Maksimum z Rage + Blade</t>
  </si>
  <si>
    <t>1 Maksimum z Fatal + Blade</t>
  </si>
  <si>
    <t>1 Maksimum z Rage + Blade</t>
  </si>
  <si>
    <t>0% Maksimum z Fatal + Blade</t>
  </si>
  <si>
    <t>0% Maksimum z Rage + Blade</t>
  </si>
  <si>
    <t>20% Maksimum z Fatal + Blade</t>
  </si>
  <si>
    <t>20% Maksimum z Rage + Blade</t>
  </si>
  <si>
    <t>DobSk Fatal+balde</t>
  </si>
  <si>
    <t>DobSk Fatal+balde2</t>
  </si>
  <si>
    <t>ToA each 10 stages</t>
  </si>
  <si>
    <t>Barretta</t>
  </si>
  <si>
    <t>ToA NM Auto</t>
  </si>
  <si>
    <t>ToA HM Auto</t>
  </si>
  <si>
    <t>ToA HM Manu</t>
  </si>
  <si>
    <t>Mana Cost</t>
  </si>
  <si>
    <t>5*35</t>
  </si>
  <si>
    <t>SIGMARUS</t>
  </si>
  <si>
    <t>Joker(fire)</t>
  </si>
  <si>
    <t>Ninja(water)</t>
  </si>
  <si>
    <t>M.Cat(water)</t>
  </si>
  <si>
    <t>Sigmarus</t>
  </si>
  <si>
    <t>9-tailed fox(wind)</t>
  </si>
  <si>
    <t>High.elem(fire)</t>
  </si>
  <si>
    <t>Grade/lvl</t>
  </si>
  <si>
    <t>Catarina</t>
  </si>
  <si>
    <t>CATARINA</t>
  </si>
  <si>
    <t>Werewolf(wind)</t>
  </si>
  <si>
    <t>Sylph(fire)</t>
  </si>
  <si>
    <t>Undine(water)</t>
  </si>
  <si>
    <t>G.Reaper(water)</t>
  </si>
  <si>
    <t>1+1SD</t>
  </si>
  <si>
    <t>Succubus(fire)</t>
  </si>
  <si>
    <t>Vampire(wind)</t>
  </si>
  <si>
    <t>6* 39</t>
  </si>
  <si>
    <t>Leader</t>
  </si>
  <si>
    <t>Crystal</t>
  </si>
  <si>
    <t>Mana</t>
  </si>
  <si>
    <t>Energy cryst worth</t>
  </si>
  <si>
    <t>Price</t>
  </si>
  <si>
    <t>Days</t>
  </si>
  <si>
    <t>Cryst gain/zl</t>
  </si>
  <si>
    <t>Try to Get</t>
  </si>
  <si>
    <t>1r</t>
  </si>
  <si>
    <t>2r</t>
  </si>
  <si>
    <t>3r</t>
  </si>
  <si>
    <t>Spd +</t>
  </si>
  <si>
    <t>Fatal/Att</t>
  </si>
  <si>
    <t>Fatal/Spd</t>
  </si>
  <si>
    <t>Spd/Att</t>
  </si>
  <si>
    <t>Spd/Spd</t>
  </si>
  <si>
    <t>Skill</t>
  </si>
  <si>
    <t>Att % rune</t>
  </si>
  <si>
    <t>nuke % dmg 1st skill</t>
  </si>
  <si>
    <t>DPS % 1ST skill</t>
  </si>
  <si>
    <t>Speed buff</t>
  </si>
  <si>
    <t>Rune Set</t>
  </si>
  <si>
    <t>Att % basic</t>
  </si>
  <si>
    <t xml:space="preserve">SPD </t>
  </si>
  <si>
    <t>Basic spd</t>
  </si>
  <si>
    <t>Nuke 2 turns</t>
  </si>
  <si>
    <t>DPS 2 turns</t>
  </si>
  <si>
    <t>Speed staat +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</si>
</sst>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5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zcionka tekstu podstawowego"/>
      <family val="2"/>
      <charset val="238"/>
    </font>
    <font>
      <sz val="11"/>
      <color rgb="FF222222"/>
      <name val="Arial"/>
      <family val="2"/>
      <charset val="238"/>
    </font>
    <font>
      <b/>
      <sz val="11"/>
      <color theme="1"/>
      <name val="Czcionka tekstu podstawowego"/>
      <charset val="238"/>
    </font>
    <font>
      <sz val="11"/>
      <color rgb="FF222222"/>
      <name val="Arial"/>
      <family val="2"/>
      <charset val="238"/>
    </font>
    <font>
      <sz val="11"/>
      <color theme="1"/>
      <name val="Czcionka tekstu podstawowego"/>
      <charset val="238"/>
    </font>
    <font>
      <sz val="11"/>
      <color theme="1"/>
      <name val="Czcionka tekstu podstawowego"/>
      <family val="2"/>
      <charset val="238"/>
    </font>
    <font>
      <sz val="11"/>
      <color rgb="FF222222"/>
      <name val="Arial"/>
    </font>
    <font>
      <sz val="11"/>
      <color rgb="FFFF0000"/>
      <name val="Calibri"/>
      <family val="2"/>
      <charset val="238"/>
      <scheme val="minor"/>
    </font>
    <font>
      <sz val="11"/>
      <color rgb="FF800080"/>
      <name val="Calibri"/>
      <family val="2"/>
      <charset val="238"/>
      <scheme val="minor"/>
    </font>
    <font>
      <sz val="11"/>
      <color rgb="FFDAA520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1BFBF"/>
      </left>
      <right style="medium">
        <color rgb="FFC1BFBF"/>
      </right>
      <top style="medium">
        <color rgb="FFC1BFBF"/>
      </top>
      <bottom style="medium">
        <color rgb="FFC1BFB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1BFBF"/>
      </left>
      <right style="medium">
        <color rgb="FFC1BFB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1BFBF"/>
      </right>
      <top style="medium">
        <color rgb="FFC1BFBF"/>
      </top>
      <bottom style="medium">
        <color rgb="FFC1BFBF"/>
      </bottom>
      <diagonal/>
    </border>
    <border>
      <left/>
      <right style="medium">
        <color rgb="FFC1BFBF"/>
      </right>
      <top style="medium">
        <color rgb="FFC1BFBF"/>
      </top>
      <bottom/>
      <diagonal/>
    </border>
    <border>
      <left style="medium">
        <color rgb="FFC1BFBF"/>
      </left>
      <right style="medium">
        <color rgb="FFC1BFBF"/>
      </right>
      <top style="medium">
        <color rgb="FFC1BFBF"/>
      </top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3" fillId="0" borderId="0"/>
  </cellStyleXfs>
  <cellXfs count="219">
    <xf numFmtId="0" fontId="0" fillId="0" borderId="0" xfId="0"/>
    <xf numFmtId="4" fontId="0" fillId="0" borderId="0" xfId="0" applyNumberFormat="1"/>
    <xf numFmtId="0" fontId="0" fillId="2" borderId="0" xfId="0" applyFill="1"/>
    <xf numFmtId="0" fontId="4" fillId="3" borderId="1" xfId="0" applyFont="1" applyFill="1" applyBorder="1"/>
    <xf numFmtId="0" fontId="4" fillId="3" borderId="0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0" fillId="0" borderId="0" xfId="0" applyNumberFormat="1"/>
    <xf numFmtId="2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5" fillId="0" borderId="10" xfId="0" applyNumberFormat="1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left" wrapText="1"/>
    </xf>
    <xf numFmtId="3" fontId="5" fillId="0" borderId="10" xfId="0" applyNumberFormat="1" applyFont="1" applyFill="1" applyBorder="1" applyAlignment="1">
      <alignment horizontal="left" wrapText="1"/>
    </xf>
    <xf numFmtId="9" fontId="0" fillId="0" borderId="9" xfId="0" applyNumberFormat="1" applyBorder="1"/>
    <xf numFmtId="9" fontId="0" fillId="0" borderId="8" xfId="0" applyNumberFormat="1" applyBorder="1"/>
    <xf numFmtId="9" fontId="0" fillId="0" borderId="7" xfId="0" applyNumberFormat="1" applyBorder="1"/>
    <xf numFmtId="165" fontId="0" fillId="0" borderId="11" xfId="0" applyNumberFormat="1" applyBorder="1"/>
    <xf numFmtId="9" fontId="0" fillId="0" borderId="12" xfId="0" applyNumberFormat="1" applyBorder="1"/>
    <xf numFmtId="9" fontId="0" fillId="0" borderId="0" xfId="0" applyNumberFormat="1" applyBorder="1"/>
    <xf numFmtId="9" fontId="0" fillId="0" borderId="6" xfId="0" applyNumberFormat="1" applyBorder="1"/>
    <xf numFmtId="165" fontId="0" fillId="0" borderId="13" xfId="0" applyNumberFormat="1" applyBorder="1"/>
    <xf numFmtId="165" fontId="6" fillId="0" borderId="5" xfId="0" applyNumberFormat="1" applyFont="1" applyBorder="1"/>
    <xf numFmtId="0" fontId="6" fillId="0" borderId="4" xfId="0" applyFont="1" applyBorder="1"/>
    <xf numFmtId="0" fontId="6" fillId="0" borderId="3" xfId="0" applyFont="1" applyBorder="1"/>
    <xf numFmtId="165" fontId="6" fillId="0" borderId="14" xfId="0" applyNumberFormat="1" applyFont="1" applyBorder="1"/>
    <xf numFmtId="0" fontId="7" fillId="4" borderId="0" xfId="0" applyFont="1" applyFill="1" applyBorder="1" applyAlignment="1">
      <alignment horizontal="left" vertical="center" wrapText="1"/>
    </xf>
    <xf numFmtId="0" fontId="6" fillId="0" borderId="0" xfId="0" applyFont="1"/>
    <xf numFmtId="4" fontId="5" fillId="0" borderId="10" xfId="0" applyNumberFormat="1" applyFont="1" applyFill="1" applyBorder="1" applyAlignment="1">
      <alignment horizontal="left" wrapText="1"/>
    </xf>
    <xf numFmtId="4" fontId="6" fillId="0" borderId="0" xfId="0" applyNumberFormat="1" applyFont="1"/>
    <xf numFmtId="4" fontId="0" fillId="0" borderId="0" xfId="0" applyNumberForma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NumberFormat="1"/>
    <xf numFmtId="0" fontId="0" fillId="0" borderId="2" xfId="0" applyFont="1" applyFill="1" applyBorder="1"/>
    <xf numFmtId="0" fontId="0" fillId="0" borderId="2" xfId="0" applyFill="1" applyBorder="1"/>
    <xf numFmtId="4" fontId="8" fillId="0" borderId="0" xfId="0" applyNumberFormat="1" applyFont="1"/>
    <xf numFmtId="0" fontId="0" fillId="0" borderId="0" xfId="0" applyNumberFormat="1" applyFill="1"/>
    <xf numFmtId="1" fontId="0" fillId="0" borderId="0" xfId="0" applyNumberFormat="1"/>
    <xf numFmtId="1" fontId="0" fillId="0" borderId="0" xfId="0" applyNumberFormat="1" applyFill="1"/>
    <xf numFmtId="3" fontId="0" fillId="0" borderId="0" xfId="0" applyNumberFormat="1"/>
    <xf numFmtId="0" fontId="0" fillId="0" borderId="4" xfId="0" applyBorder="1"/>
    <xf numFmtId="0" fontId="6" fillId="0" borderId="5" xfId="0" applyFont="1" applyBorder="1"/>
    <xf numFmtId="0" fontId="0" fillId="0" borderId="12" xfId="0" applyBorder="1"/>
    <xf numFmtId="0" fontId="0" fillId="0" borderId="0" xfId="0" applyFill="1" applyBorder="1"/>
    <xf numFmtId="0" fontId="0" fillId="2" borderId="0" xfId="0" applyFill="1" applyBorder="1"/>
    <xf numFmtId="0" fontId="0" fillId="2" borderId="6" xfId="0" applyFill="1" applyBorder="1"/>
    <xf numFmtId="0" fontId="0" fillId="5" borderId="0" xfId="0" applyFill="1" applyBorder="1"/>
    <xf numFmtId="0" fontId="0" fillId="0" borderId="14" xfId="0" applyBorder="1"/>
    <xf numFmtId="0" fontId="0" fillId="0" borderId="13" xfId="0" applyBorder="1"/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6" fillId="0" borderId="3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6" fillId="0" borderId="16" xfId="0" applyFont="1" applyFill="1" applyBorder="1"/>
    <xf numFmtId="0" fontId="0" fillId="0" borderId="0" xfId="0" applyAlignment="1">
      <alignment wrapText="1"/>
    </xf>
    <xf numFmtId="0" fontId="6" fillId="0" borderId="11" xfId="0" applyFont="1" applyBorder="1"/>
    <xf numFmtId="0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2" fontId="0" fillId="0" borderId="6" xfId="0" applyNumberFormat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12" xfId="0" applyFill="1" applyBorder="1"/>
    <xf numFmtId="0" fontId="0" fillId="6" borderId="4" xfId="0" applyFill="1" applyBorder="1"/>
    <xf numFmtId="0" fontId="6" fillId="6" borderId="8" xfId="0" applyFon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6" xfId="0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4" xfId="0" applyFill="1" applyBorder="1"/>
    <xf numFmtId="0" fontId="6" fillId="7" borderId="8" xfId="0" applyFont="1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6" xfId="0" applyFill="1" applyBorder="1"/>
    <xf numFmtId="0" fontId="0" fillId="8" borderId="0" xfId="0" applyFill="1" applyBorder="1"/>
    <xf numFmtId="0" fontId="0" fillId="8" borderId="12" xfId="0" applyFill="1" applyBorder="1"/>
    <xf numFmtId="0" fontId="0" fillId="8" borderId="4" xfId="0" applyFill="1" applyBorder="1"/>
    <xf numFmtId="0" fontId="6" fillId="8" borderId="8" xfId="0" applyFont="1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6" xfId="0" applyFill="1" applyBorder="1"/>
    <xf numFmtId="0" fontId="0" fillId="9" borderId="0" xfId="0" applyFill="1" applyBorder="1"/>
    <xf numFmtId="0" fontId="0" fillId="9" borderId="12" xfId="0" applyFill="1" applyBorder="1"/>
    <xf numFmtId="0" fontId="0" fillId="9" borderId="4" xfId="0" applyFill="1" applyBorder="1"/>
    <xf numFmtId="0" fontId="6" fillId="9" borderId="8" xfId="0" applyFont="1" applyFill="1" applyBorder="1"/>
    <xf numFmtId="0" fontId="0" fillId="9" borderId="5" xfId="0" applyFill="1" applyBorder="1"/>
    <xf numFmtId="0" fontId="6" fillId="9" borderId="9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6" xfId="0" applyFill="1" applyBorder="1"/>
    <xf numFmtId="0" fontId="0" fillId="10" borderId="0" xfId="0" applyFill="1" applyBorder="1"/>
    <xf numFmtId="0" fontId="0" fillId="10" borderId="12" xfId="0" applyFill="1" applyBorder="1"/>
    <xf numFmtId="0" fontId="0" fillId="10" borderId="4" xfId="0" applyFill="1" applyBorder="1"/>
    <xf numFmtId="0" fontId="6" fillId="10" borderId="8" xfId="0" applyFont="1" applyFill="1" applyBorder="1"/>
    <xf numFmtId="0" fontId="0" fillId="0" borderId="7" xfId="0" applyBorder="1" applyAlignment="1"/>
    <xf numFmtId="0" fontId="0" fillId="0" borderId="8" xfId="0" applyBorder="1" applyAlignment="1"/>
    <xf numFmtId="0" fontId="0" fillId="0" borderId="8" xfId="0" applyFill="1" applyBorder="1" applyAlignment="1"/>
    <xf numFmtId="1" fontId="0" fillId="0" borderId="0" xfId="0" applyNumberFormat="1" applyBorder="1"/>
    <xf numFmtId="1" fontId="0" fillId="0" borderId="12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6" fillId="0" borderId="19" xfId="0" applyFont="1" applyBorder="1"/>
    <xf numFmtId="3" fontId="0" fillId="0" borderId="14" xfId="0" applyNumberFormat="1" applyBorder="1"/>
    <xf numFmtId="3" fontId="0" fillId="0" borderId="13" xfId="0" applyNumberFormat="1" applyBorder="1"/>
    <xf numFmtId="3" fontId="0" fillId="0" borderId="11" xfId="0" applyNumberFormat="1" applyBorder="1"/>
    <xf numFmtId="3" fontId="0" fillId="0" borderId="0" xfId="0" applyNumberFormat="1" applyBorder="1"/>
    <xf numFmtId="3" fontId="0" fillId="0" borderId="12" xfId="0" applyNumberFormat="1" applyBorder="1"/>
    <xf numFmtId="3" fontId="0" fillId="0" borderId="8" xfId="0" applyNumberFormat="1" applyBorder="1"/>
    <xf numFmtId="3" fontId="0" fillId="0" borderId="9" xfId="0" applyNumberFormat="1" applyBorder="1"/>
    <xf numFmtId="0" fontId="5" fillId="4" borderId="0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wrapText="1"/>
    </xf>
    <xf numFmtId="165" fontId="0" fillId="0" borderId="0" xfId="0" applyNumberFormat="1" applyBorder="1"/>
    <xf numFmtId="0" fontId="7" fillId="0" borderId="2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6" fillId="0" borderId="0" xfId="0" applyFont="1" applyFill="1"/>
    <xf numFmtId="2" fontId="0" fillId="0" borderId="0" xfId="0" applyNumberFormat="1" applyFill="1"/>
    <xf numFmtId="165" fontId="0" fillId="0" borderId="0" xfId="0" applyNumberFormat="1" applyFill="1"/>
    <xf numFmtId="0" fontId="10" fillId="4" borderId="0" xfId="0" applyFont="1" applyFill="1" applyBorder="1" applyAlignment="1">
      <alignment horizontal="left" vertical="center" wrapText="1"/>
    </xf>
    <xf numFmtId="9" fontId="0" fillId="0" borderId="0" xfId="1" applyFont="1"/>
    <xf numFmtId="0" fontId="0" fillId="11" borderId="0" xfId="0" applyFill="1"/>
    <xf numFmtId="9" fontId="0" fillId="11" borderId="0" xfId="0" applyNumberFormat="1" applyFill="1"/>
    <xf numFmtId="9" fontId="0" fillId="2" borderId="0" xfId="0" applyNumberFormat="1" applyFill="1"/>
    <xf numFmtId="9" fontId="0" fillId="2" borderId="0" xfId="1" applyFont="1" applyFill="1"/>
    <xf numFmtId="0" fontId="0" fillId="5" borderId="0" xfId="0" applyFill="1"/>
    <xf numFmtId="9" fontId="0" fillId="5" borderId="0" xfId="0" applyNumberFormat="1" applyFill="1"/>
    <xf numFmtId="9" fontId="0" fillId="5" borderId="0" xfId="1" applyFont="1" applyFill="1"/>
    <xf numFmtId="0" fontId="0" fillId="12" borderId="0" xfId="0" applyFill="1"/>
    <xf numFmtId="9" fontId="0" fillId="12" borderId="0" xfId="0" applyNumberFormat="1" applyFill="1"/>
    <xf numFmtId="9" fontId="0" fillId="12" borderId="0" xfId="1" applyFont="1" applyFill="1"/>
    <xf numFmtId="0" fontId="0" fillId="12" borderId="0" xfId="0" applyFill="1" applyBorder="1"/>
    <xf numFmtId="9" fontId="0" fillId="11" borderId="0" xfId="1" applyFont="1" applyFill="1"/>
    <xf numFmtId="0" fontId="0" fillId="11" borderId="0" xfId="0" applyFill="1" applyBorder="1"/>
    <xf numFmtId="9" fontId="0" fillId="0" borderId="0" xfId="0" applyNumberFormat="1" applyFill="1"/>
    <xf numFmtId="9" fontId="0" fillId="0" borderId="0" xfId="1" applyFont="1" applyFill="1"/>
    <xf numFmtId="0" fontId="10" fillId="0" borderId="20" xfId="0" applyFont="1" applyFill="1" applyBorder="1" applyAlignment="1">
      <alignment horizontal="left" wrapText="1"/>
    </xf>
    <xf numFmtId="0" fontId="10" fillId="0" borderId="10" xfId="0" applyFont="1" applyFill="1" applyBorder="1" applyAlignment="1">
      <alignment horizontal="left" wrapText="1"/>
    </xf>
    <xf numFmtId="9" fontId="10" fillId="0" borderId="10" xfId="0" applyNumberFormat="1" applyFont="1" applyFill="1" applyBorder="1" applyAlignment="1">
      <alignment horizontal="left" wrapText="1"/>
    </xf>
    <xf numFmtId="3" fontId="10" fillId="0" borderId="10" xfId="0" applyNumberFormat="1" applyFont="1" applyFill="1" applyBorder="1" applyAlignment="1">
      <alignment horizontal="left" wrapText="1"/>
    </xf>
    <xf numFmtId="4" fontId="10" fillId="0" borderId="10" xfId="0" applyNumberFormat="1" applyFont="1" applyFill="1" applyBorder="1" applyAlignment="1">
      <alignment horizontal="left" wrapText="1"/>
    </xf>
    <xf numFmtId="0" fontId="10" fillId="0" borderId="21" xfId="0" applyFont="1" applyFill="1" applyBorder="1" applyAlignment="1">
      <alignment horizontal="left" wrapText="1"/>
    </xf>
    <xf numFmtId="0" fontId="10" fillId="0" borderId="22" xfId="0" applyFont="1" applyFill="1" applyBorder="1" applyAlignment="1">
      <alignment horizontal="left" wrapText="1"/>
    </xf>
    <xf numFmtId="9" fontId="10" fillId="0" borderId="22" xfId="0" applyNumberFormat="1" applyFont="1" applyFill="1" applyBorder="1" applyAlignment="1">
      <alignment horizontal="left" wrapText="1"/>
    </xf>
    <xf numFmtId="3" fontId="10" fillId="0" borderId="22" xfId="0" applyNumberFormat="1" applyFont="1" applyFill="1" applyBorder="1" applyAlignment="1">
      <alignment horizontal="left" wrapText="1"/>
    </xf>
    <xf numFmtId="4" fontId="10" fillId="0" borderId="22" xfId="0" applyNumberFormat="1" applyFont="1" applyFill="1" applyBorder="1" applyAlignment="1">
      <alignment horizontal="left" wrapText="1"/>
    </xf>
    <xf numFmtId="2" fontId="0" fillId="0" borderId="0" xfId="0" applyNumberFormat="1" applyFill="1" applyBorder="1"/>
    <xf numFmtId="165" fontId="0" fillId="0" borderId="0" xfId="0" applyNumberFormat="1" applyFill="1" applyBorder="1"/>
    <xf numFmtId="0" fontId="3" fillId="0" borderId="0" xfId="2"/>
    <xf numFmtId="0" fontId="3" fillId="0" borderId="0" xfId="2" applyAlignment="1">
      <alignment vertical="center" wrapText="1"/>
    </xf>
    <xf numFmtId="0" fontId="12" fillId="0" borderId="0" xfId="2" applyFont="1" applyAlignment="1">
      <alignment vertical="center" wrapText="1"/>
    </xf>
    <xf numFmtId="0" fontId="13" fillId="0" borderId="0" xfId="2" applyFont="1" applyAlignment="1">
      <alignment vertical="center" wrapText="1"/>
    </xf>
    <xf numFmtId="0" fontId="3" fillId="13" borderId="0" xfId="2" applyFill="1" applyAlignment="1">
      <alignment vertical="center" wrapText="1"/>
    </xf>
    <xf numFmtId="0" fontId="14" fillId="0" borderId="0" xfId="2" applyFont="1" applyAlignment="1">
      <alignment vertical="center" wrapText="1"/>
    </xf>
    <xf numFmtId="0" fontId="11" fillId="0" borderId="0" xfId="2" applyFont="1" applyAlignment="1">
      <alignment vertical="center" wrapText="1"/>
    </xf>
    <xf numFmtId="0" fontId="11" fillId="13" borderId="0" xfId="2" applyFont="1" applyFill="1" applyAlignment="1">
      <alignment vertical="center" wrapText="1"/>
    </xf>
    <xf numFmtId="0" fontId="3" fillId="5" borderId="0" xfId="2" applyFill="1" applyAlignment="1">
      <alignment vertical="center" wrapText="1"/>
    </xf>
    <xf numFmtId="0" fontId="13" fillId="4" borderId="0" xfId="2" applyFont="1" applyFill="1" applyAlignment="1">
      <alignment vertical="center" wrapText="1"/>
    </xf>
    <xf numFmtId="0" fontId="14" fillId="13" borderId="0" xfId="2" applyFont="1" applyFill="1" applyAlignment="1">
      <alignment vertical="center" wrapText="1"/>
    </xf>
    <xf numFmtId="0" fontId="3" fillId="0" borderId="0" xfId="2" applyNumberFormat="1" applyAlignment="1">
      <alignment vertical="center" wrapText="1"/>
    </xf>
    <xf numFmtId="0" fontId="3" fillId="13" borderId="0" xfId="2" applyNumberFormat="1" applyFill="1" applyAlignment="1">
      <alignment vertical="center" wrapText="1"/>
    </xf>
    <xf numFmtId="0" fontId="3" fillId="5" borderId="0" xfId="2" applyNumberFormat="1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11" fillId="0" borderId="0" xfId="2" applyNumberFormat="1" applyFont="1" applyAlignment="1">
      <alignment vertical="center" wrapText="1"/>
    </xf>
    <xf numFmtId="0" fontId="14" fillId="0" borderId="0" xfId="2" applyNumberFormat="1" applyFont="1" applyAlignment="1">
      <alignment vertical="center" wrapText="1"/>
    </xf>
    <xf numFmtId="0" fontId="13" fillId="0" borderId="0" xfId="2" applyNumberFormat="1" applyFont="1" applyAlignment="1">
      <alignment vertical="center" wrapText="1"/>
    </xf>
    <xf numFmtId="0" fontId="12" fillId="0" borderId="0" xfId="2" applyNumberFormat="1" applyFont="1" applyAlignment="1">
      <alignment vertical="center" wrapText="1"/>
    </xf>
    <xf numFmtId="9" fontId="0" fillId="0" borderId="0" xfId="0" applyNumberFormat="1" applyAlignment="1">
      <alignment horizontal="left"/>
    </xf>
    <xf numFmtId="3" fontId="0" fillId="0" borderId="0" xfId="0" applyNumberFormat="1" applyFill="1"/>
    <xf numFmtId="0" fontId="6" fillId="0" borderId="7" xfId="0" applyFont="1" applyFill="1" applyBorder="1"/>
    <xf numFmtId="0" fontId="2" fillId="0" borderId="0" xfId="2" applyFont="1" applyAlignment="1">
      <alignment vertical="center" wrapText="1"/>
    </xf>
    <xf numFmtId="0" fontId="0" fillId="2" borderId="3" xfId="0" applyFill="1" applyBorder="1"/>
    <xf numFmtId="0" fontId="0" fillId="2" borderId="7" xfId="0" applyFill="1" applyBorder="1"/>
    <xf numFmtId="0" fontId="1" fillId="0" borderId="0" xfId="2" applyFont="1" applyAlignment="1">
      <alignment vertical="center" wrapText="1"/>
    </xf>
    <xf numFmtId="2" fontId="0" fillId="2" borderId="0" xfId="0" applyNumberFormat="1" applyFill="1"/>
    <xf numFmtId="164" fontId="0" fillId="2" borderId="0" xfId="0" applyNumberFormat="1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Normalny" xfId="0" builtinId="0"/>
    <cellStyle name="Normalny 2" xfId="2"/>
    <cellStyle name="Procentowy" xfId="1" builtinId="5"/>
  </cellStyles>
  <dxfs count="121">
    <dxf>
      <numFmt numFmtId="0" formatCode="General"/>
      <alignment horizontal="general" vertical="center" textRotation="0" wrapText="1" indent="0" relativeIndent="255" justifyLastLine="0" shrinkToFit="0" readingOrder="0"/>
    </dxf>
    <dxf>
      <numFmt numFmtId="0" formatCode="General"/>
      <alignment horizontal="general" vertical="center" textRotation="0" wrapText="1" indent="0" relativeIndent="0" justifyLastLine="0" shrinkToFit="0" readingOrder="0"/>
    </dxf>
    <dxf>
      <numFmt numFmtId="0" formatCode="General"/>
      <alignment horizontal="general" vertical="center" textRotation="0" wrapText="1" indent="0" relativeIndent="0" justifyLastLine="0" shrinkToFit="0" readingOrder="0"/>
    </dxf>
    <dxf>
      <numFmt numFmtId="0" formatCode="General"/>
      <alignment horizontal="general" vertical="center" textRotation="0" wrapText="1" indent="0" relativeIndent="0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zcionka tekstu podstawowego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zcionka tekstu podstawowego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" formatCode="0"/>
    </dxf>
    <dxf>
      <numFmt numFmtId="1" formatCode="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zcionka tekstu podstawowego"/>
        <scheme val="none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>
        <left/>
        <right style="medium">
          <color rgb="FFC1BFBF"/>
        </right>
        <top style="medium">
          <color rgb="FFC1BFBF"/>
        </top>
        <bottom style="medium">
          <color rgb="FFC1BFBF"/>
        </bottom>
      </border>
    </dxf>
    <dxf>
      <border outline="0">
        <left style="medium">
          <color rgb="FFC1BFB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0" justifyLastLine="0" shrinkToFit="0" readingOrder="0"/>
      <border diagonalUp="0" diagonalDown="0" outline="0">
        <left style="medium">
          <color rgb="FFC1BFBF"/>
        </left>
        <right style="medium">
          <color rgb="FFC1BFBF"/>
        </right>
        <top/>
        <bottom/>
      </border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relativeIndent="0" justifyLastLine="0" shrinkToFit="0" readingOrder="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bottom" textRotation="0" wrapText="0" indent="0" relativeIndent="0" justifyLastLine="0" shrinkToFit="0" readingOrder="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[Summoners_wars.xlsx]Arkusz1!Tabela przestawna1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  <c:pivotFmt>
        <c:idx val="120"/>
        <c:marker>
          <c:symbol val="none"/>
        </c:marker>
      </c:pivotFmt>
      <c:pivotFmt>
        <c:idx val="121"/>
        <c:marker>
          <c:symbol val="none"/>
        </c:marker>
      </c:pivotFmt>
      <c:pivotFmt>
        <c:idx val="122"/>
        <c:marker>
          <c:symbol val="none"/>
        </c:marker>
      </c:pivotFmt>
      <c:pivotFmt>
        <c:idx val="123"/>
        <c:marker>
          <c:symbol val="none"/>
        </c:marker>
      </c:pivotFmt>
      <c:pivotFmt>
        <c:idx val="124"/>
        <c:marker>
          <c:symbol val="none"/>
        </c:marker>
      </c:pivotFmt>
      <c:pivotFmt>
        <c:idx val="125"/>
        <c:marker>
          <c:symbol val="none"/>
        </c:marker>
      </c:pivotFmt>
      <c:pivotFmt>
        <c:idx val="126"/>
        <c:marker>
          <c:symbol val="none"/>
        </c:marker>
      </c:pivotFmt>
      <c:pivotFmt>
        <c:idx val="127"/>
        <c:marker>
          <c:symbol val="none"/>
        </c:marker>
      </c:pivotFmt>
      <c:pivotFmt>
        <c:idx val="128"/>
        <c:marker>
          <c:symbol val="none"/>
        </c:marker>
      </c:pivotFmt>
      <c:pivotFmt>
        <c:idx val="129"/>
        <c:marker>
          <c:symbol val="none"/>
        </c:marker>
      </c:pivotFmt>
      <c:pivotFmt>
        <c:idx val="130"/>
        <c:marker>
          <c:symbol val="none"/>
        </c:marker>
      </c:pivotFmt>
      <c:pivotFmt>
        <c:idx val="131"/>
        <c:marker>
          <c:symbol val="none"/>
        </c:marker>
      </c:pivotFmt>
      <c:pivotFmt>
        <c:idx val="132"/>
        <c:marker>
          <c:symbol val="none"/>
        </c:marker>
      </c:pivotFmt>
      <c:pivotFmt>
        <c:idx val="133"/>
        <c:marker>
          <c:symbol val="none"/>
        </c:marker>
      </c:pivotFmt>
      <c:pivotFmt>
        <c:idx val="134"/>
        <c:marker>
          <c:symbol val="none"/>
        </c:marker>
      </c:pivotFmt>
      <c:pivotFmt>
        <c:idx val="135"/>
        <c:marker>
          <c:symbol val="none"/>
        </c:marker>
      </c:pivotFmt>
      <c:pivotFmt>
        <c:idx val="136"/>
        <c:marker>
          <c:symbol val="none"/>
        </c:marker>
      </c:pivotFmt>
      <c:pivotFmt>
        <c:idx val="137"/>
        <c:marker>
          <c:symbol val="none"/>
        </c:marker>
      </c:pivotFmt>
      <c:pivotFmt>
        <c:idx val="138"/>
        <c:marker>
          <c:symbol val="none"/>
        </c:marker>
      </c:pivotFmt>
      <c:pivotFmt>
        <c:idx val="139"/>
        <c:marker>
          <c:symbol val="none"/>
        </c:marker>
      </c:pivotFmt>
      <c:pivotFmt>
        <c:idx val="140"/>
        <c:marker>
          <c:symbol val="none"/>
        </c:marker>
      </c:pivotFmt>
      <c:pivotFmt>
        <c:idx val="141"/>
        <c:marker>
          <c:symbol val="none"/>
        </c:marker>
      </c:pivotFmt>
      <c:pivotFmt>
        <c:idx val="142"/>
        <c:marker>
          <c:symbol val="none"/>
        </c:marker>
      </c:pivotFmt>
      <c:pivotFmt>
        <c:idx val="143"/>
        <c:marker>
          <c:symbol val="none"/>
        </c:marker>
      </c:pivotFmt>
      <c:pivotFmt>
        <c:idx val="144"/>
        <c:marker>
          <c:symbol val="none"/>
        </c:marker>
      </c:pivotFmt>
      <c:pivotFmt>
        <c:idx val="145"/>
        <c:marker>
          <c:symbol val="none"/>
        </c:marker>
      </c:pivotFmt>
      <c:pivotFmt>
        <c:idx val="146"/>
        <c:marker>
          <c:symbol val="none"/>
        </c:marker>
      </c:pivotFmt>
      <c:pivotFmt>
        <c:idx val="147"/>
        <c:marker>
          <c:symbol val="none"/>
        </c:marker>
      </c:pivotFmt>
      <c:pivotFmt>
        <c:idx val="148"/>
        <c:marker>
          <c:symbol val="none"/>
        </c:marker>
      </c:pivotFmt>
      <c:pivotFmt>
        <c:idx val="149"/>
        <c:marker>
          <c:symbol val="none"/>
        </c:marker>
      </c:pivotFmt>
      <c:pivotFmt>
        <c:idx val="150"/>
        <c:marker>
          <c:symbol val="none"/>
        </c:marker>
      </c:pivotFmt>
      <c:pivotFmt>
        <c:idx val="151"/>
        <c:marker>
          <c:symbol val="none"/>
        </c:marker>
      </c:pivotFmt>
      <c:pivotFmt>
        <c:idx val="152"/>
        <c:marker>
          <c:symbol val="none"/>
        </c:marker>
      </c:pivotFmt>
      <c:pivotFmt>
        <c:idx val="153"/>
        <c:marker>
          <c:symbol val="none"/>
        </c:marker>
      </c:pivotFmt>
      <c:pivotFmt>
        <c:idx val="154"/>
        <c:marker>
          <c:symbol val="none"/>
        </c:marker>
      </c:pivotFmt>
      <c:pivotFmt>
        <c:idx val="155"/>
        <c:marker>
          <c:symbol val="none"/>
        </c:marker>
      </c:pivotFmt>
      <c:pivotFmt>
        <c:idx val="156"/>
        <c:marker>
          <c:symbol val="none"/>
        </c:marker>
      </c:pivotFmt>
      <c:pivotFmt>
        <c:idx val="157"/>
        <c:marker>
          <c:symbol val="none"/>
        </c:marker>
      </c:pivotFmt>
      <c:pivotFmt>
        <c:idx val="158"/>
        <c:marker>
          <c:symbol val="none"/>
        </c:marker>
      </c:pivotFmt>
      <c:pivotFmt>
        <c:idx val="159"/>
        <c:marker>
          <c:symbol val="none"/>
        </c:marker>
      </c:pivotFmt>
      <c:pivotFmt>
        <c:idx val="160"/>
        <c:marker>
          <c:symbol val="none"/>
        </c:marker>
      </c:pivotFmt>
      <c:pivotFmt>
        <c:idx val="161"/>
        <c:marker>
          <c:symbol val="none"/>
        </c:marker>
      </c:pivotFmt>
      <c:pivotFmt>
        <c:idx val="162"/>
        <c:marker>
          <c:symbol val="none"/>
        </c:marker>
      </c:pivotFmt>
      <c:pivotFmt>
        <c:idx val="163"/>
        <c:marker>
          <c:symbol val="none"/>
        </c:marker>
      </c:pivotFmt>
      <c:pivotFmt>
        <c:idx val="164"/>
        <c:marker>
          <c:symbol val="none"/>
        </c:marker>
      </c:pivotFmt>
      <c:pivotFmt>
        <c:idx val="165"/>
        <c:marker>
          <c:symbol val="none"/>
        </c:marker>
      </c:pivotFmt>
      <c:pivotFmt>
        <c:idx val="166"/>
        <c:marker>
          <c:symbol val="none"/>
        </c:marker>
      </c:pivotFmt>
      <c:pivotFmt>
        <c:idx val="167"/>
        <c:marker>
          <c:symbol val="none"/>
        </c:marker>
      </c:pivotFmt>
      <c:pivotFmt>
        <c:idx val="168"/>
        <c:marker>
          <c:symbol val="none"/>
        </c:marker>
      </c:pivotFmt>
      <c:pivotFmt>
        <c:idx val="169"/>
        <c:marker>
          <c:symbol val="none"/>
        </c:marker>
      </c:pivotFmt>
      <c:pivotFmt>
        <c:idx val="170"/>
        <c:marker>
          <c:symbol val="none"/>
        </c:marker>
      </c:pivotFmt>
      <c:pivotFmt>
        <c:idx val="171"/>
        <c:marker>
          <c:symbol val="none"/>
        </c:marker>
      </c:pivotFmt>
      <c:pivotFmt>
        <c:idx val="172"/>
        <c:marker>
          <c:symbol val="none"/>
        </c:marker>
      </c:pivotFmt>
      <c:pivotFmt>
        <c:idx val="173"/>
        <c:marker>
          <c:symbol val="none"/>
        </c:marker>
      </c:pivotFmt>
      <c:pivotFmt>
        <c:idx val="174"/>
        <c:marker>
          <c:symbol val="none"/>
        </c:marker>
      </c:pivotFmt>
      <c:pivotFmt>
        <c:idx val="175"/>
        <c:marker>
          <c:symbol val="none"/>
        </c:marker>
      </c:pivotFmt>
      <c:pivotFmt>
        <c:idx val="176"/>
        <c:marker>
          <c:symbol val="none"/>
        </c:marker>
      </c:pivotFmt>
      <c:pivotFmt>
        <c:idx val="177"/>
        <c:marker>
          <c:symbol val="none"/>
        </c:marker>
      </c:pivotFmt>
      <c:pivotFmt>
        <c:idx val="178"/>
        <c:marker>
          <c:symbol val="none"/>
        </c:marker>
      </c:pivotFmt>
      <c:pivotFmt>
        <c:idx val="179"/>
        <c:marker>
          <c:symbol val="none"/>
        </c:marker>
      </c:pivotFmt>
      <c:pivotFmt>
        <c:idx val="180"/>
        <c:marker>
          <c:symbol val="none"/>
        </c:marker>
      </c:pivotFmt>
      <c:pivotFmt>
        <c:idx val="181"/>
        <c:marker>
          <c:symbol val="none"/>
        </c:marker>
      </c:pivotFmt>
      <c:pivotFmt>
        <c:idx val="182"/>
        <c:marker>
          <c:symbol val="none"/>
        </c:marker>
      </c:pivotFmt>
      <c:pivotFmt>
        <c:idx val="183"/>
        <c:marker>
          <c:symbol val="none"/>
        </c:marker>
      </c:pivotFmt>
      <c:pivotFmt>
        <c:idx val="184"/>
        <c:marker>
          <c:symbol val="none"/>
        </c:marker>
      </c:pivotFmt>
      <c:pivotFmt>
        <c:idx val="185"/>
        <c:marker>
          <c:symbol val="none"/>
        </c:marker>
      </c:pivotFmt>
      <c:pivotFmt>
        <c:idx val="186"/>
        <c:marker>
          <c:symbol val="none"/>
        </c:marker>
      </c:pivotFmt>
      <c:pivotFmt>
        <c:idx val="187"/>
        <c:marker>
          <c:symbol val="none"/>
        </c:marker>
      </c:pivotFmt>
      <c:pivotFmt>
        <c:idx val="188"/>
        <c:marker>
          <c:symbol val="none"/>
        </c:marker>
      </c:pivotFmt>
      <c:pivotFmt>
        <c:idx val="189"/>
        <c:marker>
          <c:symbol val="none"/>
        </c:marker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  <c:dLbl>
          <c:idx val="0"/>
          <c:delete val="1"/>
        </c:dLbl>
      </c:pivotFmt>
      <c:pivotFmt>
        <c:idx val="205"/>
        <c:dLbl>
          <c:idx val="0"/>
          <c:delete val="1"/>
        </c:dLbl>
      </c:pivotFmt>
    </c:pivotFmts>
    <c:plotArea>
      <c:layout>
        <c:manualLayout>
          <c:layoutTarget val="inner"/>
          <c:xMode val="edge"/>
          <c:yMode val="edge"/>
          <c:x val="3.6984885398702316E-2"/>
          <c:y val="4.855955254412752E-2"/>
          <c:w val="0.72971464242649275"/>
          <c:h val="0.89097169207608606"/>
        </c:manualLayout>
      </c:layout>
      <c:lineChart>
        <c:grouping val="standard"/>
        <c:ser>
          <c:idx val="0"/>
          <c:order val="0"/>
          <c:tx>
            <c:strRef>
              <c:f>Arkusz1!$B$5:$B$11</c:f>
              <c:strCache>
                <c:ptCount val="1"/>
                <c:pt idx="0">
                  <c:v>0% - 20% - 2 - 1 - 0 - Maksimum z Fatal + Blade</c:v>
                </c:pt>
              </c:strCache>
            </c:strRef>
          </c:tx>
          <c:cat>
            <c:strRef>
              <c:f>Arkusz1!$A$12:$A$23</c:f>
              <c:strCache>
                <c:ptCount val="11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  <c:pt idx="5">
                  <c:v>50%</c:v>
                </c:pt>
                <c:pt idx="6">
                  <c:v>60%</c:v>
                </c:pt>
                <c:pt idx="7">
                  <c:v>70%</c:v>
                </c:pt>
                <c:pt idx="8">
                  <c:v>80%</c:v>
                </c:pt>
                <c:pt idx="9">
                  <c:v>90%</c:v>
                </c:pt>
                <c:pt idx="10">
                  <c:v>100%</c:v>
                </c:pt>
              </c:strCache>
            </c:strRef>
          </c:cat>
          <c:val>
            <c:numRef>
              <c:f>Arkusz1!$B$12:$B$23</c:f>
              <c:numCache>
                <c:formatCode>General</c:formatCode>
                <c:ptCount val="11"/>
                <c:pt idx="0">
                  <c:v>2750.2310000000002</c:v>
                </c:pt>
                <c:pt idx="1">
                  <c:v>2994.761</c:v>
                </c:pt>
                <c:pt idx="2">
                  <c:v>3239.2909999999993</c:v>
                </c:pt>
                <c:pt idx="3">
                  <c:v>3483.8209999999999</c:v>
                </c:pt>
                <c:pt idx="4">
                  <c:v>3728.3510000000001</c:v>
                </c:pt>
                <c:pt idx="5">
                  <c:v>3972.8809999999999</c:v>
                </c:pt>
                <c:pt idx="6">
                  <c:v>4217.4110000000001</c:v>
                </c:pt>
                <c:pt idx="7">
                  <c:v>4461.9409999999998</c:v>
                </c:pt>
                <c:pt idx="8">
                  <c:v>4535.3</c:v>
                </c:pt>
                <c:pt idx="9">
                  <c:v>4535.3</c:v>
                </c:pt>
                <c:pt idx="10">
                  <c:v>4535.3</c:v>
                </c:pt>
              </c:numCache>
            </c:numRef>
          </c:val>
        </c:ser>
        <c:ser>
          <c:idx val="1"/>
          <c:order val="1"/>
          <c:tx>
            <c:strRef>
              <c:f>Arkusz1!$C$5:$C$11</c:f>
              <c:strCache>
                <c:ptCount val="1"/>
                <c:pt idx="0">
                  <c:v>0% - 20% - 2 - 1 - 0 - Maksimum z Rage + Blade</c:v>
                </c:pt>
              </c:strCache>
            </c:strRef>
          </c:tx>
          <c:cat>
            <c:strRef>
              <c:f>Arkusz1!$A$12:$A$23</c:f>
              <c:strCache>
                <c:ptCount val="11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  <c:pt idx="5">
                  <c:v>50%</c:v>
                </c:pt>
                <c:pt idx="6">
                  <c:v>60%</c:v>
                </c:pt>
                <c:pt idx="7">
                  <c:v>70%</c:v>
                </c:pt>
                <c:pt idx="8">
                  <c:v>80%</c:v>
                </c:pt>
                <c:pt idx="9">
                  <c:v>90%</c:v>
                </c:pt>
                <c:pt idx="10">
                  <c:v>100%</c:v>
                </c:pt>
              </c:strCache>
            </c:strRef>
          </c:cat>
          <c:val>
            <c:numRef>
              <c:f>Arkusz1!$C$12:$C$23</c:f>
              <c:numCache>
                <c:formatCode>General</c:formatCode>
                <c:ptCount val="11"/>
                <c:pt idx="0">
                  <c:v>2477.5859999999998</c:v>
                </c:pt>
                <c:pt idx="1">
                  <c:v>2750.7660000000001</c:v>
                </c:pt>
                <c:pt idx="2">
                  <c:v>3023.9459999999995</c:v>
                </c:pt>
                <c:pt idx="3">
                  <c:v>3297.1259999999997</c:v>
                </c:pt>
                <c:pt idx="4">
                  <c:v>3570.3059999999996</c:v>
                </c:pt>
                <c:pt idx="5">
                  <c:v>3843.4859999999999</c:v>
                </c:pt>
                <c:pt idx="6">
                  <c:v>4116.6660000000002</c:v>
                </c:pt>
                <c:pt idx="7">
                  <c:v>4389.8459999999995</c:v>
                </c:pt>
                <c:pt idx="8">
                  <c:v>4471.7999999999993</c:v>
                </c:pt>
                <c:pt idx="9">
                  <c:v>4471.7999999999993</c:v>
                </c:pt>
                <c:pt idx="10">
                  <c:v>4471.7999999999993</c:v>
                </c:pt>
              </c:numCache>
            </c:numRef>
          </c:val>
        </c:ser>
        <c:ser>
          <c:idx val="2"/>
          <c:order val="2"/>
          <c:tx>
            <c:strRef>
              <c:f>Arkusz1!$L$5:$L$11</c:f>
              <c:strCache>
                <c:ptCount val="1"/>
                <c:pt idx="0">
                  <c:v>20% - 0% - 2 - 1 - 0 - Maksimum z Fatal + Blade</c:v>
                </c:pt>
              </c:strCache>
            </c:strRef>
          </c:tx>
          <c:cat>
            <c:strRef>
              <c:f>Arkusz1!$A$12:$A$23</c:f>
              <c:strCache>
                <c:ptCount val="11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  <c:pt idx="5">
                  <c:v>50%</c:v>
                </c:pt>
                <c:pt idx="6">
                  <c:v>60%</c:v>
                </c:pt>
                <c:pt idx="7">
                  <c:v>70%</c:v>
                </c:pt>
                <c:pt idx="8">
                  <c:v>80%</c:v>
                </c:pt>
                <c:pt idx="9">
                  <c:v>90%</c:v>
                </c:pt>
                <c:pt idx="10">
                  <c:v>100%</c:v>
                </c:pt>
              </c:strCache>
            </c:strRef>
          </c:cat>
          <c:val>
            <c:numRef>
              <c:f>Arkusz1!$L$12:$L$23</c:f>
              <c:numCache>
                <c:formatCode>General</c:formatCode>
                <c:ptCount val="11"/>
                <c:pt idx="0">
                  <c:v>2889.7510000000002</c:v>
                </c:pt>
                <c:pt idx="1">
                  <c:v>3111.8809999999999</c:v>
                </c:pt>
                <c:pt idx="2">
                  <c:v>3334.0109999999995</c:v>
                </c:pt>
                <c:pt idx="3">
                  <c:v>3556.1409999999992</c:v>
                </c:pt>
                <c:pt idx="4">
                  <c:v>3778.2710000000002</c:v>
                </c:pt>
                <c:pt idx="5">
                  <c:v>4000.4009999999998</c:v>
                </c:pt>
                <c:pt idx="6">
                  <c:v>4222.5309999999999</c:v>
                </c:pt>
                <c:pt idx="7">
                  <c:v>4444.6610000000001</c:v>
                </c:pt>
                <c:pt idx="8">
                  <c:v>4511.3</c:v>
                </c:pt>
                <c:pt idx="9">
                  <c:v>4511.3</c:v>
                </c:pt>
                <c:pt idx="10">
                  <c:v>4511.3</c:v>
                </c:pt>
              </c:numCache>
            </c:numRef>
          </c:val>
        </c:ser>
        <c:ser>
          <c:idx val="3"/>
          <c:order val="3"/>
          <c:tx>
            <c:strRef>
              <c:f>Arkusz1!$M$5:$M$11</c:f>
              <c:strCache>
                <c:ptCount val="1"/>
                <c:pt idx="0">
                  <c:v>20% - 0% - 2 - 1 - 0 - Maksimum z Rage + Blade</c:v>
                </c:pt>
              </c:strCache>
            </c:strRef>
          </c:tx>
          <c:cat>
            <c:strRef>
              <c:f>Arkusz1!$A$12:$A$23</c:f>
              <c:strCache>
                <c:ptCount val="11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  <c:pt idx="5">
                  <c:v>50%</c:v>
                </c:pt>
                <c:pt idx="6">
                  <c:v>60%</c:v>
                </c:pt>
                <c:pt idx="7">
                  <c:v>70%</c:v>
                </c:pt>
                <c:pt idx="8">
                  <c:v>80%</c:v>
                </c:pt>
                <c:pt idx="9">
                  <c:v>90%</c:v>
                </c:pt>
                <c:pt idx="10">
                  <c:v>100%</c:v>
                </c:pt>
              </c:strCache>
            </c:strRef>
          </c:cat>
          <c:val>
            <c:numRef>
              <c:f>Arkusz1!$M$12:$M$23</c:f>
              <c:numCache>
                <c:formatCode>General</c:formatCode>
                <c:ptCount val="11"/>
                <c:pt idx="0">
                  <c:v>2657.6059999999998</c:v>
                </c:pt>
                <c:pt idx="1">
                  <c:v>2923.386</c:v>
                </c:pt>
                <c:pt idx="2">
                  <c:v>3189.1659999999997</c:v>
                </c:pt>
                <c:pt idx="3">
                  <c:v>3454.9459999999999</c:v>
                </c:pt>
                <c:pt idx="4">
                  <c:v>3720.7259999999997</c:v>
                </c:pt>
                <c:pt idx="5">
                  <c:v>3986.5059999999999</c:v>
                </c:pt>
                <c:pt idx="6">
                  <c:v>4252.2860000000001</c:v>
                </c:pt>
                <c:pt idx="7">
                  <c:v>4518.0659999999998</c:v>
                </c:pt>
                <c:pt idx="8">
                  <c:v>4597.8</c:v>
                </c:pt>
                <c:pt idx="9">
                  <c:v>4597.8</c:v>
                </c:pt>
                <c:pt idx="10">
                  <c:v>4597.8</c:v>
                </c:pt>
              </c:numCache>
            </c:numRef>
          </c:val>
        </c:ser>
        <c:marker val="1"/>
        <c:axId val="113710592"/>
        <c:axId val="113712128"/>
      </c:lineChart>
      <c:catAx>
        <c:axId val="113710592"/>
        <c:scaling>
          <c:orientation val="minMax"/>
        </c:scaling>
        <c:axPos val="b"/>
        <c:tickLblPos val="nextTo"/>
        <c:crossAx val="113712128"/>
        <c:crosses val="autoZero"/>
        <c:auto val="1"/>
        <c:lblAlgn val="ctr"/>
        <c:lblOffset val="100"/>
      </c:catAx>
      <c:valAx>
        <c:axId val="113712128"/>
        <c:scaling>
          <c:orientation val="minMax"/>
        </c:scaling>
        <c:axPos val="l"/>
        <c:majorGridlines/>
        <c:numFmt formatCode="General" sourceLinked="1"/>
        <c:tickLblPos val="nextTo"/>
        <c:crossAx val="113710592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14</xdr:row>
      <xdr:rowOff>104773</xdr:rowOff>
    </xdr:from>
    <xdr:to>
      <xdr:col>5</xdr:col>
      <xdr:colOff>352424</xdr:colOff>
      <xdr:row>38</xdr:row>
      <xdr:rowOff>9524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zacharuk" refreshedDate="42313.674479976849" createdVersion="3" refreshedVersion="3" minRefreshableVersion="3" recordCount="291">
  <cacheSource type="worksheet">
    <worksheetSource name="Tabela8"/>
  </cacheSource>
  <cacheFields count="19">
    <cacheField name="Monster" numFmtId="0">
      <sharedItems containsBlank="1" count="15">
        <s v="Laetys"/>
        <s v="Baretta"/>
        <s v="Phantom Thief"/>
        <s v="Shannon"/>
        <s v="Ahman"/>
        <s v="Belladeon"/>
        <s v="Konamiya.1"/>
        <s v="Konamiya.2"/>
        <s v="Ramagos"/>
        <s v="Bernard"/>
        <s v="Darion"/>
        <s v="Orochi"/>
        <s v="Death Knight"/>
        <s v="Inugami"/>
        <m/>
      </sharedItems>
    </cacheField>
    <cacheField name="Monst. Alter" numFmtId="0">
      <sharedItems containsBlank="1" count="15">
        <s v="Laetys"/>
        <s v="Baretta"/>
        <s v="Phantom Thief"/>
        <s v="Shannon"/>
        <m/>
        <s v="Ahman"/>
        <s v="Belladeon"/>
        <s v="Konamiya.1"/>
        <s v="Konamiya.2"/>
        <s v="Ramagos"/>
        <s v="Bernard"/>
        <s v="Darion"/>
        <s v="Orochi"/>
        <s v="Death Knight"/>
        <s v="Inugami"/>
      </sharedItems>
    </cacheField>
    <cacheField name="Type" numFmtId="0">
      <sharedItems containsBlank="1" count="10">
        <s v="Revenge"/>
        <s v="Vampire"/>
        <s v="Violent"/>
        <s v="Focus"/>
        <s v="Fatal"/>
        <s v="Blade"/>
        <s v="Despair"/>
        <s v="Energy"/>
        <s v="Swift"/>
        <m/>
      </sharedItems>
    </cacheField>
    <cacheField name="Slot" numFmtId="0">
      <sharedItems containsString="0" containsBlank="1" containsNumber="1" containsInteger="1" minValue="1" maxValue="6"/>
    </cacheField>
    <cacheField name="Enchant" numFmtId="0">
      <sharedItems containsString="0" containsBlank="1" containsNumber="1" containsInteger="1" minValue="0" maxValue="15"/>
    </cacheField>
    <cacheField name="Grade" numFmtId="0">
      <sharedItems containsBlank="1"/>
    </cacheField>
    <cacheField name="HP%" numFmtId="9">
      <sharedItems containsString="0" containsBlank="1" containsNumber="1" minValue="0.03" maxValue="0.63"/>
    </cacheField>
    <cacheField name="HP" numFmtId="0">
      <sharedItems containsString="0" containsBlank="1" containsNumber="1" containsInteger="1" minValue="84" maxValue="1800"/>
    </cacheField>
    <cacheField name="Acc%" numFmtId="0">
      <sharedItems containsString="0" containsBlank="1" containsNumber="1" minValue="0.02" maxValue="12"/>
    </cacheField>
    <cacheField name="SPD" numFmtId="0">
      <sharedItems containsString="0" containsBlank="1" containsNumber="1" containsInteger="1" minValue="1" maxValue="39"/>
    </cacheField>
    <cacheField name="Crit Rate%" numFmtId="9">
      <sharedItems containsString="0" containsBlank="1" containsNumber="1" minValue="0.01" maxValue="0.57999999999999996"/>
    </cacheField>
    <cacheField name="Crit DMG%" numFmtId="9">
      <sharedItems containsString="0" containsBlank="1" containsNumber="1" minValue="0.02" maxValue="0.18"/>
    </cacheField>
    <cacheField name="Att%" numFmtId="9">
      <sharedItems containsString="0" containsBlank="1" containsNumber="1" minValue="0.03" maxValue="0.32"/>
    </cacheField>
    <cacheField name="Att" numFmtId="0">
      <sharedItems containsString="0" containsBlank="1" containsNumber="1" containsInteger="1" minValue="3" maxValue="99"/>
    </cacheField>
    <cacheField name="Def%" numFmtId="9">
      <sharedItems containsString="0" containsBlank="1" containsNumber="1" minValue="0.02" maxValue="0.24"/>
    </cacheField>
    <cacheField name="Def" numFmtId="0">
      <sharedItems containsString="0" containsBlank="1" containsNumber="1" containsInteger="1" minValue="3" maxValue="99"/>
    </cacheField>
    <cacheField name="Res%" numFmtId="9">
      <sharedItems containsString="0" containsBlank="1" containsNumber="1" minValue="0.02" maxValue="0.14000000000000001"/>
    </cacheField>
    <cacheField name="Enchant2" numFmtId="0">
      <sharedItems containsBlank="1"/>
    </cacheField>
    <cacheField name="GO 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zacharuk" refreshedDate="42318.603851504631" createdVersion="3" refreshedVersion="3" minRefreshableVersion="3" recordCount="1188">
  <cacheSource type="worksheet">
    <worksheetSource name="Tabela21"/>
  </cacheSource>
  <cacheFields count="11">
    <cacheField name="Att stones" numFmtId="3">
      <sharedItems containsSemiMixedTypes="0" containsString="0" containsNumber="1" containsInteger="1" minValue="2" maxValue="3" count="2">
        <n v="2"/>
        <n v="3"/>
      </sharedItems>
    </cacheField>
    <cacheField name="Crid D stone" numFmtId="3">
      <sharedItems containsSemiMixedTypes="0" containsString="0" containsNumber="1" containsInteger="1" minValue="0" maxValue="1" count="2">
        <n v="1"/>
        <n v="0"/>
      </sharedItems>
    </cacheField>
    <cacheField name="Crit C stone" numFmtId="3">
      <sharedItems containsSemiMixedTypes="0" containsString="0" containsNumber="1" containsInteger="1" minValue="0" maxValue="1" count="2">
        <n v="0"/>
        <n v="1"/>
      </sharedItems>
    </cacheField>
    <cacheField name="Kolumna1" numFmtId="9">
      <sharedItems containsSemiMixedTypes="0" containsString="0" containsNumber="1" minValue="0" maxValue="2" count="13">
        <n v="0"/>
        <n v="0.2"/>
        <n v="0.4"/>
        <n v="0.6"/>
        <n v="0.8"/>
        <n v="1"/>
        <n v="0.60000000000000009"/>
        <n v="1.2"/>
        <n v="1.2000000000000002"/>
        <n v="1.4"/>
        <n v="1.6"/>
        <n v="1.8"/>
        <n v="2"/>
      </sharedItems>
    </cacheField>
    <cacheField name="Att subs" numFmtId="9">
      <sharedItems containsSemiMixedTypes="0" containsString="0" containsNumber="1" minValue="0" maxValue="1" count="6">
        <n v="0"/>
        <n v="0.2"/>
        <n v="0.4"/>
        <n v="0.6"/>
        <n v="0.8"/>
        <n v="1"/>
      </sharedItems>
    </cacheField>
    <cacheField name="Crit D subs" numFmtId="9">
      <sharedItems containsSemiMixedTypes="0" containsString="0" containsNumber="1" minValue="0" maxValue="1" count="6">
        <n v="0"/>
        <n v="0.2"/>
        <n v="0.4"/>
        <n v="0.6"/>
        <n v="0.8"/>
        <n v="1"/>
      </sharedItems>
    </cacheField>
    <cacheField name="Crit C subs" numFmtId="9">
      <sharedItems containsSemiMixedTypes="0" containsString="0" containsNumber="1" minValue="0" maxValue="1" count="11">
        <n v="0"/>
        <n v="0.1"/>
        <n v="0.2"/>
        <n v="0.3"/>
        <n v="0.4"/>
        <n v="0.5"/>
        <n v="0.6"/>
        <n v="0.7"/>
        <n v="0.8"/>
        <n v="0.9"/>
        <n v="1"/>
      </sharedItems>
    </cacheField>
    <cacheField name="Fatal + Blade" numFmtId="0">
      <sharedItems containsSemiMixedTypes="0" containsString="0" containsNumber="1" minValue="2637.3710000000001" maxValue="9177.3000000000011"/>
    </cacheField>
    <cacheField name="Rage + Blade" numFmtId="0">
      <sharedItems containsSemiMixedTypes="0" containsString="0" containsNumber="1" minValue="2383.6259999999997" maxValue="9233.7999999999993"/>
    </cacheField>
    <cacheField name="2x Blade" numFmtId="0">
      <sharedItems containsSemiMixedTypes="0" containsString="0" containsNumber="1" minValue="2383.7999999999997" maxValue="8137.7999999999993"/>
    </cacheField>
    <cacheField name="3x Blade" numFmtId="0">
      <sharedItems containsSemiMixedTypes="0" containsString="0" containsNumber="1" minValue="2488.2000000000003" maxValue="8137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zacharuk" refreshedDate="42346.654743865744" createdVersion="3" refreshedVersion="3" minRefreshableVersion="3" recordCount="1996">
  <cacheSource type="worksheet">
    <worksheetSource name="DropAnalityka"/>
  </cacheSource>
  <cacheFields count="13">
    <cacheField name="Location" numFmtId="0">
      <sharedItems containsBlank="1" count="17">
        <s v="Tamor Desert"/>
        <s v="Faimon"/>
        <s v="Giants"/>
        <s v="HoMagic"/>
        <s v="Mt White"/>
        <s v="Aiden"/>
        <s v="HoLight"/>
        <s v="HoDark"/>
        <s v="HoWater"/>
        <s v="HoFire"/>
        <s v="SD"/>
        <s v="HoWind"/>
        <s v="Hydeni"/>
        <s v="Vrofagul"/>
        <s v="Dragon"/>
        <m/>
        <s v="Giant" u="1"/>
      </sharedItems>
    </cacheField>
    <cacheField name="LVL" numFmtId="0">
      <sharedItems containsBlank="1" count="4">
        <s v="Normal"/>
        <s v="Hard"/>
        <s v="Hell"/>
        <m/>
      </sharedItems>
    </cacheField>
    <cacheField name="Stage" numFmtId="0">
      <sharedItems containsBlank="1" containsMixedTypes="1" containsNumber="1" containsInteger="1" minValue="1" maxValue="13" count="14">
        <n v="1"/>
        <n v="3"/>
        <n v="6"/>
        <n v="5"/>
        <n v="4"/>
        <n v="2"/>
        <n v="7"/>
        <n v="8"/>
        <n v="11"/>
        <n v="13"/>
        <n v="9"/>
        <n v="10"/>
        <s v="3*"/>
        <m/>
      </sharedItems>
    </cacheField>
    <cacheField name="Mana drop" numFmtId="0">
      <sharedItems containsString="0" containsBlank="1" containsNumber="1" containsInteger="1" minValue="0" maxValue="6071"/>
    </cacheField>
    <cacheField name="Energy Drop" numFmtId="0">
      <sharedItems containsString="0" containsBlank="1" containsNumber="1" containsInteger="1" minValue="0" maxValue="4"/>
    </cacheField>
    <cacheField name="Drop" numFmtId="0">
      <sharedItems containsBlank="1" containsMixedTypes="1" containsNumber="1" containsInteger="1" minValue="0" maxValue="0"/>
    </cacheField>
    <cacheField name="Quality/Quantity" numFmtId="0">
      <sharedItems containsBlank="1" containsMixedTypes="1" containsNumber="1" containsInteger="1" minValue="0" maxValue="5"/>
    </cacheField>
    <cacheField name="Grade" numFmtId="0">
      <sharedItems containsBlank="1" containsMixedTypes="1" containsNumber="1" containsInteger="1" minValue="0" maxValue="1" count="12">
        <m/>
        <s v="2*"/>
        <s v="1*"/>
        <s v="low"/>
        <s v="mid"/>
        <s v="3*"/>
        <s v="high"/>
        <s v="4*"/>
        <s v="5*"/>
        <s v="6*"/>
        <n v="0"/>
        <n v="1" u="1"/>
      </sharedItems>
    </cacheField>
    <cacheField name="Sell Drop" numFmtId="0">
      <sharedItems containsString="0" containsBlank="1" containsNumber="1" containsInteger="1" minValue="0" maxValue="27103"/>
    </cacheField>
    <cacheField name="Drop Worth" numFmtId="0">
      <sharedItems containsSemiMixedTypes="0" containsString="0" containsNumber="1" containsInteger="1" minValue="0" maxValue="120000"/>
    </cacheField>
    <cacheField name="Fod Worth" numFmtId="0">
      <sharedItems containsSemiMixedTypes="0" containsString="0" containsNumber="1" minValue="0" maxValue="34500"/>
    </cacheField>
    <cacheField name="Exp Gain" numFmtId="0">
      <sharedItems containsSemiMixedTypes="0" containsString="0" containsNumber="1" minValue="0" maxValue="118004"/>
    </cacheField>
    <cacheField name="Fail" numFmtId="0">
      <sharedItems containsDate="1" containsBlank="1" containsMixedTypes="1" minDate="1899-12-30T07:56:20" maxDate="1899-12-31T01:28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1">
  <r>
    <x v="0"/>
    <x v="0"/>
    <x v="0"/>
    <n v="1"/>
    <n v="9"/>
    <s v="3*"/>
    <m/>
    <n v="119"/>
    <m/>
    <n v="3"/>
    <n v="0.05"/>
    <m/>
    <n v="0.1"/>
    <n v="52"/>
    <m/>
    <m/>
    <m/>
    <m/>
    <m/>
  </r>
  <r>
    <x v="0"/>
    <x v="0"/>
    <x v="1"/>
    <n v="2"/>
    <n v="12"/>
    <s v="4*"/>
    <n v="0.03"/>
    <m/>
    <m/>
    <n v="22"/>
    <n v="0.04"/>
    <n v="0.03"/>
    <n v="0.03"/>
    <m/>
    <n v="0.09"/>
    <m/>
    <m/>
    <m/>
    <m/>
  </r>
  <r>
    <x v="0"/>
    <x v="0"/>
    <x v="1"/>
    <n v="3"/>
    <n v="12"/>
    <s v="4*"/>
    <n v="0.05"/>
    <n v="416"/>
    <n v="0.03"/>
    <n v="8"/>
    <m/>
    <m/>
    <m/>
    <m/>
    <n v="0.1"/>
    <n v="64"/>
    <m/>
    <m/>
    <m/>
  </r>
  <r>
    <x v="0"/>
    <x v="0"/>
    <x v="1"/>
    <n v="4"/>
    <n v="12"/>
    <s v="4*"/>
    <m/>
    <m/>
    <m/>
    <n v="6"/>
    <n v="0.06"/>
    <m/>
    <n v="0.31"/>
    <n v="10"/>
    <m/>
    <m/>
    <n v="0.03"/>
    <m/>
    <m/>
  </r>
  <r>
    <x v="0"/>
    <x v="0"/>
    <x v="0"/>
    <n v="5"/>
    <n v="12"/>
    <s v="4*"/>
    <n v="0.1"/>
    <n v="970"/>
    <m/>
    <n v="3"/>
    <m/>
    <m/>
    <n v="0.03"/>
    <m/>
    <n v="0.08"/>
    <m/>
    <m/>
    <m/>
    <m/>
  </r>
  <r>
    <x v="0"/>
    <x v="0"/>
    <x v="1"/>
    <n v="6"/>
    <n v="9"/>
    <s v="3*"/>
    <n v="0.04"/>
    <m/>
    <m/>
    <m/>
    <n v="0.08"/>
    <m/>
    <n v="0.22"/>
    <m/>
    <n v="7.0000000000000007E-2"/>
    <n v="8"/>
    <m/>
    <m/>
    <m/>
  </r>
  <r>
    <x v="1"/>
    <x v="1"/>
    <x v="2"/>
    <n v="1"/>
    <n v="12"/>
    <s v="4*"/>
    <n v="0.13"/>
    <m/>
    <n v="7.0000000000000007E-2"/>
    <n v="3"/>
    <n v="0.03"/>
    <m/>
    <m/>
    <n v="82"/>
    <m/>
    <m/>
    <n v="0.1"/>
    <m/>
    <m/>
  </r>
  <r>
    <x v="1"/>
    <x v="1"/>
    <x v="3"/>
    <n v="2"/>
    <n v="15"/>
    <s v="5*"/>
    <n v="7.0000000000000007E-2"/>
    <m/>
    <m/>
    <n v="39"/>
    <m/>
    <n v="0.04"/>
    <n v="0.11"/>
    <n v="11"/>
    <m/>
    <m/>
    <m/>
    <m/>
    <m/>
  </r>
  <r>
    <x v="1"/>
    <x v="1"/>
    <x v="2"/>
    <n v="3"/>
    <n v="12"/>
    <s v="5*"/>
    <m/>
    <m/>
    <n v="0.15"/>
    <n v="4"/>
    <m/>
    <m/>
    <m/>
    <m/>
    <n v="0.06"/>
    <n v="99"/>
    <n v="0.04"/>
    <m/>
    <m/>
  </r>
  <r>
    <x v="1"/>
    <x v="1"/>
    <x v="2"/>
    <n v="4"/>
    <n v="12"/>
    <s v="4*"/>
    <n v="0.31"/>
    <m/>
    <n v="0.06"/>
    <m/>
    <n v="0.04"/>
    <m/>
    <m/>
    <n v="17"/>
    <m/>
    <m/>
    <n v="0.1"/>
    <m/>
    <m/>
  </r>
  <r>
    <x v="1"/>
    <x v="1"/>
    <x v="3"/>
    <n v="5"/>
    <n v="9"/>
    <s v="4*"/>
    <n v="0.1"/>
    <n v="970"/>
    <m/>
    <n v="8"/>
    <m/>
    <n v="0.02"/>
    <m/>
    <n v="5"/>
    <m/>
    <m/>
    <m/>
    <m/>
    <m/>
  </r>
  <r>
    <x v="1"/>
    <x v="1"/>
    <x v="2"/>
    <n v="6"/>
    <n v="12"/>
    <s v="4*"/>
    <m/>
    <m/>
    <n v="0.32"/>
    <n v="2"/>
    <m/>
    <m/>
    <n v="0.09"/>
    <n v="19"/>
    <m/>
    <n v="10"/>
    <m/>
    <m/>
    <m/>
  </r>
  <r>
    <x v="2"/>
    <x v="2"/>
    <x v="4"/>
    <n v="1"/>
    <n v="9"/>
    <s v="4*"/>
    <m/>
    <m/>
    <n v="0.03"/>
    <m/>
    <m/>
    <m/>
    <n v="0.12"/>
    <n v="64"/>
    <m/>
    <m/>
    <n v="0.03"/>
    <m/>
    <m/>
  </r>
  <r>
    <x v="2"/>
    <x v="2"/>
    <x v="4"/>
    <n v="2"/>
    <n v="9"/>
    <s v="4*"/>
    <m/>
    <m/>
    <m/>
    <n v="5"/>
    <n v="0.09"/>
    <n v="0.03"/>
    <n v="0.24"/>
    <m/>
    <m/>
    <m/>
    <n v="0.05"/>
    <m/>
    <m/>
  </r>
  <r>
    <x v="2"/>
    <x v="2"/>
    <x v="4"/>
    <n v="3"/>
    <n v="9"/>
    <s v="4*"/>
    <m/>
    <m/>
    <n v="0.05"/>
    <m/>
    <m/>
    <n v="0.02"/>
    <m/>
    <m/>
    <n v="0.16"/>
    <n v="64"/>
    <n v="0.02"/>
    <m/>
    <m/>
  </r>
  <r>
    <x v="2"/>
    <x v="2"/>
    <x v="4"/>
    <n v="4"/>
    <n v="14"/>
    <s v="4*"/>
    <m/>
    <m/>
    <m/>
    <n v="2"/>
    <n v="0.04"/>
    <n v="0.05"/>
    <n v="0.32"/>
    <n v="3"/>
    <m/>
    <m/>
    <m/>
    <m/>
    <m/>
  </r>
  <r>
    <x v="2"/>
    <x v="2"/>
    <x v="5"/>
    <n v="5"/>
    <n v="9"/>
    <s v="4*"/>
    <n v="0.05"/>
    <n v="970"/>
    <n v="0.03"/>
    <m/>
    <m/>
    <m/>
    <n v="0.12"/>
    <m/>
    <n v="0.09"/>
    <m/>
    <m/>
    <m/>
    <m/>
  </r>
  <r>
    <x v="2"/>
    <x v="2"/>
    <x v="5"/>
    <n v="6"/>
    <n v="9"/>
    <s v="5*"/>
    <m/>
    <n v="260"/>
    <n v="0.06"/>
    <m/>
    <m/>
    <n v="0.03"/>
    <n v="0.28999999999999998"/>
    <m/>
    <m/>
    <n v="40"/>
    <m/>
    <m/>
    <m/>
  </r>
  <r>
    <x v="3"/>
    <x v="3"/>
    <x v="6"/>
    <n v="1"/>
    <n v="12"/>
    <s v="5*"/>
    <m/>
    <m/>
    <m/>
    <n v="13"/>
    <m/>
    <n v="0.04"/>
    <n v="0.05"/>
    <n v="99"/>
    <n v="7.0000000000000007E-2"/>
    <m/>
    <m/>
    <m/>
    <m/>
  </r>
  <r>
    <x v="3"/>
    <x v="3"/>
    <x v="3"/>
    <n v="2"/>
    <n v="12"/>
    <s v="5*"/>
    <n v="0.37"/>
    <n v="279"/>
    <n v="0.05"/>
    <m/>
    <n v="0.09"/>
    <m/>
    <m/>
    <n v="15"/>
    <m/>
    <m/>
    <m/>
    <m/>
    <m/>
  </r>
  <r>
    <x v="3"/>
    <x v="3"/>
    <x v="6"/>
    <n v="3"/>
    <n v="12"/>
    <s v="4*"/>
    <n v="0.06"/>
    <m/>
    <n v="0.06"/>
    <n v="7"/>
    <m/>
    <n v="0.04"/>
    <m/>
    <m/>
    <m/>
    <n v="82"/>
    <m/>
    <m/>
    <m/>
  </r>
  <r>
    <x v="3"/>
    <x v="3"/>
    <x v="3"/>
    <n v="4"/>
    <n v="12"/>
    <s v="4*"/>
    <n v="0.31"/>
    <m/>
    <n v="0.05"/>
    <m/>
    <m/>
    <m/>
    <n v="0.06"/>
    <n v="6"/>
    <m/>
    <n v="7"/>
    <n v="0.11"/>
    <m/>
    <m/>
  </r>
  <r>
    <x v="3"/>
    <x v="3"/>
    <x v="6"/>
    <n v="5"/>
    <n v="12"/>
    <s v="4*"/>
    <n v="0.05"/>
    <n v="1240"/>
    <n v="7.0000000000000007E-2"/>
    <n v="2"/>
    <n v="0.06"/>
    <n v="0.05"/>
    <m/>
    <m/>
    <m/>
    <m/>
    <m/>
    <m/>
    <m/>
  </r>
  <r>
    <x v="3"/>
    <x v="3"/>
    <x v="6"/>
    <n v="6"/>
    <n v="12"/>
    <s v="5*"/>
    <n v="0.37"/>
    <n v="181"/>
    <n v="0.13"/>
    <n v="4"/>
    <m/>
    <m/>
    <n v="0.06"/>
    <m/>
    <m/>
    <n v="11"/>
    <m/>
    <m/>
    <m/>
  </r>
  <r>
    <x v="4"/>
    <x v="4"/>
    <x v="5"/>
    <n v="1"/>
    <n v="12"/>
    <s v="5*"/>
    <n v="0.09"/>
    <n v="110"/>
    <n v="0.06"/>
    <m/>
    <n v="0.1"/>
    <n v="0.04"/>
    <m/>
    <n v="99"/>
    <m/>
    <m/>
    <m/>
    <m/>
    <m/>
  </r>
  <r>
    <x v="4"/>
    <x v="5"/>
    <x v="7"/>
    <n v="2"/>
    <n v="15"/>
    <s v="6*"/>
    <n v="0.63"/>
    <n v="135"/>
    <m/>
    <n v="11"/>
    <n v="0.06"/>
    <m/>
    <m/>
    <n v="10"/>
    <m/>
    <m/>
    <m/>
    <m/>
    <m/>
  </r>
  <r>
    <x v="4"/>
    <x v="5"/>
    <x v="6"/>
    <n v="3"/>
    <n v="12"/>
    <s v="4*"/>
    <n v="0.15"/>
    <m/>
    <m/>
    <m/>
    <m/>
    <n v="0.02"/>
    <m/>
    <m/>
    <n v="0.04"/>
    <n v="82"/>
    <n v="7.0000000000000007E-2"/>
    <m/>
    <m/>
  </r>
  <r>
    <x v="4"/>
    <x v="5"/>
    <x v="3"/>
    <n v="4"/>
    <n v="15"/>
    <s v="6*"/>
    <n v="0.08"/>
    <n v="334"/>
    <m/>
    <m/>
    <n v="0.57999999999999996"/>
    <m/>
    <n v="7.0000000000000007E-2"/>
    <m/>
    <n v="0.06"/>
    <m/>
    <m/>
    <m/>
    <m/>
  </r>
  <r>
    <x v="4"/>
    <x v="5"/>
    <x v="5"/>
    <n v="5"/>
    <n v="12"/>
    <s v="6*"/>
    <m/>
    <n v="1800"/>
    <n v="0.06"/>
    <m/>
    <n v="0.1"/>
    <m/>
    <m/>
    <m/>
    <n v="0.12"/>
    <n v="42"/>
    <m/>
    <m/>
    <m/>
  </r>
  <r>
    <x v="4"/>
    <x v="4"/>
    <x v="7"/>
    <n v="6"/>
    <n v="9"/>
    <s v="3*"/>
    <n v="0.22"/>
    <m/>
    <n v="7.0000000000000007E-2"/>
    <n v="1"/>
    <n v="0.01"/>
    <m/>
    <m/>
    <m/>
    <m/>
    <m/>
    <m/>
    <m/>
    <m/>
  </r>
  <r>
    <x v="5"/>
    <x v="6"/>
    <x v="8"/>
    <n v="1"/>
    <n v="12"/>
    <s v="4*"/>
    <n v="0.06"/>
    <m/>
    <n v="0.15"/>
    <n v="3"/>
    <m/>
    <m/>
    <m/>
    <n v="82"/>
    <m/>
    <m/>
    <n v="7.0000000000000007E-2"/>
    <m/>
    <m/>
  </r>
  <r>
    <x v="5"/>
    <x v="6"/>
    <x v="3"/>
    <n v="2"/>
    <n v="15"/>
    <s v="5*"/>
    <n v="0.05"/>
    <m/>
    <m/>
    <n v="39"/>
    <n v="0.04"/>
    <m/>
    <n v="0.1"/>
    <m/>
    <n v="0.06"/>
    <m/>
    <n v="0.06"/>
    <m/>
    <m/>
  </r>
  <r>
    <x v="5"/>
    <x v="6"/>
    <x v="3"/>
    <n v="3"/>
    <n v="12"/>
    <s v="4*"/>
    <n v="0.04"/>
    <m/>
    <n v="0.03"/>
    <m/>
    <m/>
    <n v="0.03"/>
    <m/>
    <m/>
    <n v="0.1"/>
    <n v="64"/>
    <m/>
    <m/>
    <m/>
  </r>
  <r>
    <x v="5"/>
    <x v="6"/>
    <x v="8"/>
    <n v="4"/>
    <n v="12"/>
    <s v="4*"/>
    <n v="0.31"/>
    <m/>
    <n v="7.0000000000000007E-2"/>
    <m/>
    <n v="0.11"/>
    <m/>
    <m/>
    <m/>
    <n v="0.05"/>
    <n v="5"/>
    <m/>
    <m/>
    <m/>
  </r>
  <r>
    <x v="5"/>
    <x v="6"/>
    <x v="8"/>
    <n v="5"/>
    <n v="12"/>
    <s v="6*"/>
    <m/>
    <n v="1800"/>
    <n v="0.08"/>
    <n v="8"/>
    <n v="0.06"/>
    <m/>
    <m/>
    <m/>
    <n v="0.14000000000000001"/>
    <m/>
    <m/>
    <m/>
    <m/>
  </r>
  <r>
    <x v="5"/>
    <x v="6"/>
    <x v="8"/>
    <n v="6"/>
    <n v="9"/>
    <s v="3*"/>
    <n v="0.12"/>
    <m/>
    <n v="0.22"/>
    <n v="1"/>
    <n v="0.01"/>
    <m/>
    <m/>
    <n v="8"/>
    <m/>
    <m/>
    <m/>
    <m/>
    <m/>
  </r>
  <r>
    <x v="6"/>
    <x v="7"/>
    <x v="8"/>
    <n v="1"/>
    <n v="12"/>
    <s v="4*"/>
    <n v="0.06"/>
    <m/>
    <m/>
    <n v="7"/>
    <n v="0.02"/>
    <m/>
    <n v="0.06"/>
    <n v="64"/>
    <m/>
    <m/>
    <m/>
    <m/>
    <m/>
  </r>
  <r>
    <x v="6"/>
    <x v="7"/>
    <x v="8"/>
    <n v="2"/>
    <n v="9"/>
    <s v="3*"/>
    <n v="0.22"/>
    <n v="160"/>
    <n v="0.04"/>
    <n v="4"/>
    <m/>
    <m/>
    <m/>
    <m/>
    <n v="0.09"/>
    <m/>
    <m/>
    <m/>
    <m/>
  </r>
  <r>
    <x v="6"/>
    <x v="7"/>
    <x v="8"/>
    <n v="3"/>
    <n v="12"/>
    <s v="4*"/>
    <n v="0.1"/>
    <m/>
    <n v="0.05"/>
    <n v="8"/>
    <n v="0.03"/>
    <n v="0.02"/>
    <m/>
    <m/>
    <m/>
    <n v="82"/>
    <m/>
    <m/>
    <m/>
  </r>
  <r>
    <x v="6"/>
    <x v="7"/>
    <x v="7"/>
    <n v="4"/>
    <n v="12"/>
    <s v="4*"/>
    <n v="0.31"/>
    <m/>
    <m/>
    <n v="8"/>
    <n v="0.06"/>
    <m/>
    <m/>
    <m/>
    <m/>
    <n v="11"/>
    <n v="0.05"/>
    <m/>
    <m/>
  </r>
  <r>
    <x v="6"/>
    <x v="7"/>
    <x v="8"/>
    <n v="5"/>
    <n v="12"/>
    <s v="5*"/>
    <m/>
    <n v="1215"/>
    <n v="0.05"/>
    <m/>
    <m/>
    <n v="0.05"/>
    <m/>
    <m/>
    <n v="0.06"/>
    <n v="39"/>
    <m/>
    <m/>
    <m/>
  </r>
  <r>
    <x v="6"/>
    <x v="5"/>
    <x v="7"/>
    <n v="6"/>
    <n v="12"/>
    <s v="5*"/>
    <n v="0.37"/>
    <m/>
    <n v="0.04"/>
    <n v="12"/>
    <m/>
    <n v="0.04"/>
    <n v="7.0000000000000007E-2"/>
    <m/>
    <m/>
    <m/>
    <n v="0.13"/>
    <m/>
    <s v="Konamiya.2"/>
  </r>
  <r>
    <x v="7"/>
    <x v="8"/>
    <x v="2"/>
    <n v="1"/>
    <n v="12"/>
    <s v="4*"/>
    <n v="0.11"/>
    <m/>
    <m/>
    <n v="4"/>
    <n v="0.04"/>
    <m/>
    <m/>
    <n v="64"/>
    <m/>
    <m/>
    <m/>
    <m/>
    <m/>
  </r>
  <r>
    <x v="7"/>
    <x v="8"/>
    <x v="2"/>
    <n v="2"/>
    <n v="9"/>
    <s v="4*"/>
    <n v="0.24"/>
    <m/>
    <m/>
    <m/>
    <n v="0.03"/>
    <m/>
    <m/>
    <m/>
    <n v="0.09"/>
    <m/>
    <n v="0.04"/>
    <m/>
    <m/>
  </r>
  <r>
    <x v="7"/>
    <x v="8"/>
    <x v="2"/>
    <n v="3"/>
    <n v="9"/>
    <s v="4*"/>
    <n v="0.05"/>
    <m/>
    <n v="0.11"/>
    <m/>
    <m/>
    <m/>
    <m/>
    <m/>
    <m/>
    <n v="64"/>
    <n v="0.03"/>
    <m/>
    <m/>
  </r>
  <r>
    <x v="7"/>
    <x v="8"/>
    <x v="7"/>
    <n v="4"/>
    <n v="9"/>
    <s v="5*"/>
    <n v="0.28999999999999998"/>
    <m/>
    <m/>
    <m/>
    <n v="0.03"/>
    <m/>
    <m/>
    <m/>
    <n v="0.18"/>
    <m/>
    <n v="7.0000000000000007E-2"/>
    <s v="Y"/>
    <m/>
  </r>
  <r>
    <x v="7"/>
    <x v="8"/>
    <x v="2"/>
    <n v="5"/>
    <n v="9"/>
    <s v="5*"/>
    <m/>
    <n v="1215"/>
    <m/>
    <m/>
    <m/>
    <n v="0.05"/>
    <m/>
    <n v="11"/>
    <n v="0.16"/>
    <m/>
    <m/>
    <m/>
    <m/>
  </r>
  <r>
    <x v="7"/>
    <x v="4"/>
    <x v="7"/>
    <n v="6"/>
    <n v="9"/>
    <s v="5*"/>
    <n v="0.37"/>
    <m/>
    <m/>
    <n v="8"/>
    <m/>
    <m/>
    <n v="0.11"/>
    <m/>
    <m/>
    <m/>
    <n v="7.0000000000000007E-2"/>
    <s v="Y"/>
    <s v="Ahman"/>
  </r>
  <r>
    <x v="8"/>
    <x v="9"/>
    <x v="7"/>
    <n v="1"/>
    <n v="9"/>
    <s v="4*"/>
    <n v="0.11"/>
    <m/>
    <n v="0.09"/>
    <n v="3"/>
    <n v="0.03"/>
    <m/>
    <m/>
    <n v="64"/>
    <m/>
    <m/>
    <m/>
    <m/>
    <m/>
  </r>
  <r>
    <x v="8"/>
    <x v="9"/>
    <x v="7"/>
    <n v="2"/>
    <n v="9"/>
    <s v="4*"/>
    <n v="0.18"/>
    <m/>
    <m/>
    <m/>
    <m/>
    <n v="0.04"/>
    <n v="0.24"/>
    <m/>
    <m/>
    <m/>
    <n v="0.05"/>
    <m/>
    <m/>
  </r>
  <r>
    <x v="8"/>
    <x v="9"/>
    <x v="7"/>
    <n v="3"/>
    <n v="9"/>
    <s v="4*"/>
    <n v="0.04"/>
    <n v="125"/>
    <n v="0.08"/>
    <m/>
    <m/>
    <m/>
    <m/>
    <m/>
    <n v="0.08"/>
    <n v="64"/>
    <m/>
    <m/>
    <m/>
  </r>
  <r>
    <x v="8"/>
    <x v="9"/>
    <x v="6"/>
    <n v="4"/>
    <n v="9"/>
    <s v="4*"/>
    <n v="0.24"/>
    <m/>
    <m/>
    <m/>
    <m/>
    <n v="0.02"/>
    <n v="0.04"/>
    <m/>
    <m/>
    <n v="26"/>
    <n v="0.02"/>
    <m/>
    <m/>
  </r>
  <r>
    <x v="8"/>
    <x v="9"/>
    <x v="7"/>
    <n v="5"/>
    <n v="9"/>
    <s v="3*"/>
    <n v="0.13"/>
    <n v="774"/>
    <m/>
    <m/>
    <n v="0.02"/>
    <m/>
    <m/>
    <m/>
    <m/>
    <n v="3"/>
    <m/>
    <m/>
    <m/>
  </r>
  <r>
    <x v="8"/>
    <x v="9"/>
    <x v="3"/>
    <n v="6"/>
    <n v="9"/>
    <s v="4*"/>
    <n v="0.12"/>
    <m/>
    <n v="0.03"/>
    <m/>
    <n v="0.03"/>
    <n v="0.04"/>
    <m/>
    <m/>
    <n v="0.24"/>
    <m/>
    <m/>
    <m/>
    <m/>
  </r>
  <r>
    <x v="9"/>
    <x v="10"/>
    <x v="8"/>
    <n v="1"/>
    <n v="12"/>
    <s v="5*"/>
    <m/>
    <m/>
    <n v="0.03"/>
    <n v="11"/>
    <n v="0.03"/>
    <m/>
    <n v="0.05"/>
    <n v="99"/>
    <m/>
    <m/>
    <n v="7.0000000000000007E-2"/>
    <m/>
    <m/>
  </r>
  <r>
    <x v="9"/>
    <x v="10"/>
    <x v="8"/>
    <n v="2"/>
    <n v="15"/>
    <s v="5*"/>
    <m/>
    <m/>
    <m/>
    <n v="39"/>
    <n v="0.05"/>
    <n v="0.05"/>
    <n v="0.13"/>
    <m/>
    <n v="0.06"/>
    <n v="30"/>
    <m/>
    <m/>
    <m/>
  </r>
  <r>
    <x v="9"/>
    <x v="10"/>
    <x v="3"/>
    <n v="3"/>
    <n v="12"/>
    <s v="5*"/>
    <m/>
    <n v="194"/>
    <n v="0.11"/>
    <n v="4"/>
    <m/>
    <n v="0.03"/>
    <m/>
    <m/>
    <m/>
    <n v="99"/>
    <m/>
    <m/>
    <m/>
  </r>
  <r>
    <x v="9"/>
    <x v="10"/>
    <x v="8"/>
    <n v="4"/>
    <n v="15"/>
    <s v="6*"/>
    <n v="0.63"/>
    <m/>
    <m/>
    <m/>
    <m/>
    <n v="0.04"/>
    <n v="0.2"/>
    <n v="17"/>
    <n v="0.15"/>
    <n v="12"/>
    <m/>
    <m/>
    <m/>
  </r>
  <r>
    <x v="9"/>
    <x v="10"/>
    <x v="8"/>
    <n v="5"/>
    <n v="9"/>
    <s v="5*"/>
    <m/>
    <n v="1215"/>
    <m/>
    <m/>
    <m/>
    <n v="0.11"/>
    <m/>
    <m/>
    <n v="0.06"/>
    <m/>
    <n v="7.0000000000000007E-2"/>
    <m/>
    <m/>
  </r>
  <r>
    <x v="9"/>
    <x v="10"/>
    <x v="3"/>
    <n v="6"/>
    <n v="9"/>
    <s v="3*"/>
    <m/>
    <m/>
    <n v="0.22"/>
    <n v="6"/>
    <m/>
    <m/>
    <m/>
    <m/>
    <n v="0.02"/>
    <m/>
    <n v="0.05"/>
    <m/>
    <m/>
  </r>
  <r>
    <x v="10"/>
    <x v="11"/>
    <x v="5"/>
    <n v="1"/>
    <n v="12"/>
    <s v="5*"/>
    <n v="0.05"/>
    <m/>
    <n v="0.12"/>
    <n v="5"/>
    <m/>
    <n v="0.03"/>
    <m/>
    <n v="99"/>
    <m/>
    <m/>
    <n v="0.14000000000000001"/>
    <m/>
    <m/>
  </r>
  <r>
    <x v="10"/>
    <x v="11"/>
    <x v="5"/>
    <n v="2"/>
    <n v="12"/>
    <s v="4*"/>
    <n v="0.31"/>
    <m/>
    <m/>
    <m/>
    <m/>
    <m/>
    <m/>
    <n v="10"/>
    <n v="0.1"/>
    <n v="18"/>
    <n v="0.05"/>
    <m/>
    <m/>
  </r>
  <r>
    <x v="10"/>
    <x v="11"/>
    <x v="7"/>
    <n v="3"/>
    <n v="12"/>
    <s v="5*"/>
    <n v="0.05"/>
    <n v="623"/>
    <n v="0.05"/>
    <m/>
    <m/>
    <m/>
    <m/>
    <m/>
    <n v="0.06"/>
    <n v="99"/>
    <m/>
    <m/>
    <m/>
  </r>
  <r>
    <x v="10"/>
    <x v="11"/>
    <x v="3"/>
    <n v="4"/>
    <n v="12"/>
    <s v="4*"/>
    <n v="0.31"/>
    <m/>
    <n v="0.04"/>
    <m/>
    <m/>
    <m/>
    <m/>
    <n v="4"/>
    <n v="0.05"/>
    <m/>
    <n v="0.12"/>
    <m/>
    <m/>
  </r>
  <r>
    <x v="10"/>
    <x v="11"/>
    <x v="3"/>
    <n v="5"/>
    <n v="12"/>
    <s v="6*"/>
    <m/>
    <n v="1800"/>
    <n v="0.16"/>
    <m/>
    <n v="0.04"/>
    <n v="0.18"/>
    <n v="0.05"/>
    <m/>
    <m/>
    <m/>
    <m/>
    <m/>
    <m/>
  </r>
  <r>
    <x v="10"/>
    <x v="11"/>
    <x v="7"/>
    <n v="6"/>
    <n v="15"/>
    <s v="6*"/>
    <n v="0.63"/>
    <m/>
    <m/>
    <n v="6"/>
    <m/>
    <m/>
    <n v="0.28000000000000003"/>
    <n v="26"/>
    <m/>
    <n v="18"/>
    <m/>
    <m/>
    <m/>
  </r>
  <r>
    <x v="11"/>
    <x v="12"/>
    <x v="5"/>
    <n v="1"/>
    <n v="9"/>
    <s v="4*"/>
    <m/>
    <n v="126"/>
    <n v="0.09"/>
    <n v="3"/>
    <m/>
    <m/>
    <m/>
    <n v="64"/>
    <m/>
    <m/>
    <n v="0.1"/>
    <m/>
    <m/>
  </r>
  <r>
    <x v="11"/>
    <x v="12"/>
    <x v="5"/>
    <n v="2"/>
    <n v="9"/>
    <s v="3*"/>
    <m/>
    <m/>
    <n v="0.06"/>
    <n v="1"/>
    <n v="0.03"/>
    <m/>
    <n v="0.22"/>
    <m/>
    <m/>
    <n v="7"/>
    <m/>
    <m/>
    <m/>
  </r>
  <r>
    <x v="11"/>
    <x v="12"/>
    <x v="5"/>
    <n v="3"/>
    <n v="9"/>
    <s v="3*"/>
    <n v="0.03"/>
    <m/>
    <n v="0.1"/>
    <m/>
    <n v="0.03"/>
    <n v="0.04"/>
    <m/>
    <m/>
    <m/>
    <n v="52"/>
    <m/>
    <m/>
    <m/>
  </r>
  <r>
    <x v="11"/>
    <x v="12"/>
    <x v="5"/>
    <n v="4"/>
    <n v="9"/>
    <s v="4*"/>
    <n v="0.05"/>
    <m/>
    <n v="0.13"/>
    <m/>
    <n v="0.24"/>
    <m/>
    <m/>
    <n v="9"/>
    <m/>
    <m/>
    <m/>
    <m/>
    <m/>
  </r>
  <r>
    <x v="11"/>
    <x v="12"/>
    <x v="5"/>
    <n v="5"/>
    <n v="9"/>
    <s v="4*"/>
    <m/>
    <n v="970"/>
    <m/>
    <n v="5"/>
    <n v="0.04"/>
    <m/>
    <n v="0.09"/>
    <n v="6"/>
    <m/>
    <m/>
    <m/>
    <m/>
    <m/>
  </r>
  <r>
    <x v="11"/>
    <x v="12"/>
    <x v="5"/>
    <n v="6"/>
    <n v="6"/>
    <s v="5*"/>
    <m/>
    <m/>
    <m/>
    <m/>
    <m/>
    <m/>
    <n v="0.22"/>
    <n v="31"/>
    <m/>
    <m/>
    <n v="7.0000000000000007E-2"/>
    <m/>
    <m/>
  </r>
  <r>
    <x v="12"/>
    <x v="13"/>
    <x v="7"/>
    <n v="1"/>
    <n v="9"/>
    <s v="4*"/>
    <n v="0.12"/>
    <n v="84"/>
    <m/>
    <n v="4"/>
    <m/>
    <n v="0.02"/>
    <m/>
    <n v="64"/>
    <m/>
    <m/>
    <m/>
    <m/>
    <m/>
  </r>
  <r>
    <x v="12"/>
    <x v="13"/>
    <x v="7"/>
    <n v="2"/>
    <n v="9"/>
    <s v="4*"/>
    <n v="0.24"/>
    <n v="221"/>
    <m/>
    <m/>
    <m/>
    <m/>
    <m/>
    <n v="7"/>
    <n v="0.05"/>
    <m/>
    <m/>
    <m/>
    <m/>
  </r>
  <r>
    <x v="12"/>
    <x v="13"/>
    <x v="7"/>
    <n v="3"/>
    <n v="9"/>
    <s v="4*"/>
    <m/>
    <n v="302"/>
    <m/>
    <n v="2"/>
    <n v="0.08"/>
    <m/>
    <m/>
    <m/>
    <n v="0.06"/>
    <n v="64"/>
    <m/>
    <m/>
    <m/>
  </r>
  <r>
    <x v="12"/>
    <x v="13"/>
    <x v="7"/>
    <n v="4"/>
    <n v="9"/>
    <s v="4*"/>
    <n v="0.04"/>
    <m/>
    <n v="0.04"/>
    <n v="12"/>
    <n v="0.04"/>
    <m/>
    <m/>
    <m/>
    <n v="0.24"/>
    <m/>
    <m/>
    <m/>
    <m/>
  </r>
  <r>
    <x v="12"/>
    <x v="13"/>
    <x v="7"/>
    <n v="5"/>
    <n v="12"/>
    <s v="4*"/>
    <n v="0.12"/>
    <n v="970"/>
    <m/>
    <n v="3"/>
    <n v="7.0000000000000007E-2"/>
    <m/>
    <m/>
    <m/>
    <m/>
    <m/>
    <m/>
    <m/>
    <m/>
  </r>
  <r>
    <x v="12"/>
    <x v="13"/>
    <x v="7"/>
    <n v="6"/>
    <n v="12"/>
    <s v="5*"/>
    <n v="0.37"/>
    <m/>
    <n v="0.12"/>
    <m/>
    <m/>
    <n v="0.09"/>
    <m/>
    <n v="8"/>
    <m/>
    <n v="25"/>
    <m/>
    <m/>
    <m/>
  </r>
  <r>
    <x v="13"/>
    <x v="14"/>
    <x v="4"/>
    <n v="1"/>
    <n v="6"/>
    <s v="5*"/>
    <m/>
    <m/>
    <n v="0.1"/>
    <m/>
    <n v="0.04"/>
    <m/>
    <n v="0.05"/>
    <m/>
    <m/>
    <m/>
    <m/>
    <m/>
    <m/>
  </r>
  <r>
    <x v="13"/>
    <x v="14"/>
    <x v="4"/>
    <n v="2"/>
    <n v="0"/>
    <s v="4*"/>
    <n v="0.04"/>
    <m/>
    <m/>
    <m/>
    <m/>
    <n v="0.04"/>
    <n v="0.05"/>
    <m/>
    <m/>
    <m/>
    <m/>
    <m/>
    <m/>
  </r>
  <r>
    <x v="13"/>
    <x v="14"/>
    <x v="4"/>
    <n v="3"/>
    <n v="6"/>
    <s v="3*"/>
    <m/>
    <m/>
    <n v="0.03"/>
    <n v="4"/>
    <n v="0.04"/>
    <m/>
    <m/>
    <m/>
    <m/>
    <n v="37"/>
    <m/>
    <m/>
    <m/>
  </r>
  <r>
    <x v="13"/>
    <x v="14"/>
    <x v="5"/>
    <n v="4"/>
    <n v="9"/>
    <s v="4*"/>
    <m/>
    <m/>
    <n v="0.03"/>
    <n v="2"/>
    <n v="0.08"/>
    <m/>
    <n v="0.24"/>
    <m/>
    <m/>
    <m/>
    <m/>
    <m/>
    <m/>
  </r>
  <r>
    <x v="13"/>
    <x v="14"/>
    <x v="5"/>
    <n v="5"/>
    <n v="12"/>
    <s v="4*"/>
    <m/>
    <n v="970"/>
    <m/>
    <m/>
    <m/>
    <m/>
    <n v="0.16"/>
    <m/>
    <m/>
    <n v="12"/>
    <n v="0.03"/>
    <m/>
    <m/>
  </r>
  <r>
    <x v="13"/>
    <x v="14"/>
    <x v="4"/>
    <n v="6"/>
    <n v="0"/>
    <s v="4*"/>
    <m/>
    <m/>
    <n v="0.06"/>
    <m/>
    <m/>
    <m/>
    <n v="0.06"/>
    <m/>
    <n v="0.06"/>
    <n v="5"/>
    <m/>
    <m/>
    <m/>
  </r>
  <r>
    <x v="14"/>
    <x v="4"/>
    <x v="7"/>
    <n v="6"/>
    <n v="9"/>
    <s v="3*"/>
    <n v="0.04"/>
    <n v="141"/>
    <n v="0.22"/>
    <m/>
    <n v="0.01"/>
    <m/>
    <m/>
    <m/>
    <n v="0.1"/>
    <m/>
    <m/>
    <m/>
    <m/>
  </r>
  <r>
    <x v="14"/>
    <x v="4"/>
    <x v="7"/>
    <n v="1"/>
    <n v="0"/>
    <s v="4*"/>
    <m/>
    <n v="97"/>
    <m/>
    <n v="2"/>
    <m/>
    <n v="0.04"/>
    <n v="0.03"/>
    <n v="10"/>
    <m/>
    <m/>
    <m/>
    <m/>
    <m/>
  </r>
  <r>
    <x v="14"/>
    <x v="4"/>
    <x v="7"/>
    <n v="1"/>
    <n v="0"/>
    <s v="4*"/>
    <n v="0.05"/>
    <m/>
    <n v="0.04"/>
    <n v="6"/>
    <m/>
    <m/>
    <n v="0.05"/>
    <n v="10"/>
    <m/>
    <m/>
    <n v="0.03"/>
    <m/>
    <m/>
  </r>
  <r>
    <x v="14"/>
    <x v="4"/>
    <x v="7"/>
    <n v="1"/>
    <n v="6"/>
    <s v="4*"/>
    <m/>
    <m/>
    <m/>
    <m/>
    <m/>
    <m/>
    <m/>
    <n v="46"/>
    <m/>
    <m/>
    <m/>
    <m/>
    <m/>
  </r>
  <r>
    <x v="14"/>
    <x v="4"/>
    <x v="7"/>
    <n v="1"/>
    <n v="0"/>
    <s v="4*"/>
    <n v="0.06"/>
    <m/>
    <m/>
    <m/>
    <m/>
    <n v="0.02"/>
    <n v="0.05"/>
    <n v="10"/>
    <m/>
    <m/>
    <m/>
    <m/>
    <m/>
  </r>
  <r>
    <x v="14"/>
    <x v="5"/>
    <x v="7"/>
    <n v="1"/>
    <n v="9"/>
    <s v="5*"/>
    <n v="0.06"/>
    <n v="105"/>
    <m/>
    <n v="4"/>
    <n v="0.14000000000000001"/>
    <m/>
    <m/>
    <n v="78"/>
    <m/>
    <m/>
    <m/>
    <s v="Y"/>
    <m/>
  </r>
  <r>
    <x v="14"/>
    <x v="4"/>
    <x v="7"/>
    <n v="1"/>
    <n v="0"/>
    <s v="5*"/>
    <n v="0.05"/>
    <m/>
    <m/>
    <m/>
    <m/>
    <m/>
    <n v="0.05"/>
    <n v="15"/>
    <m/>
    <m/>
    <n v="0.05"/>
    <m/>
    <m/>
  </r>
  <r>
    <x v="14"/>
    <x v="4"/>
    <x v="7"/>
    <n v="1"/>
    <n v="9"/>
    <s v="5*"/>
    <n v="0.09"/>
    <m/>
    <m/>
    <m/>
    <n v="7.0000000000000007E-2"/>
    <n v="0.04"/>
    <m/>
    <n v="78"/>
    <m/>
    <m/>
    <n v="0.13"/>
    <s v="Y"/>
    <m/>
  </r>
  <r>
    <x v="14"/>
    <x v="4"/>
    <x v="7"/>
    <n v="1"/>
    <n v="0"/>
    <s v="4*"/>
    <n v="0.05"/>
    <m/>
    <m/>
    <m/>
    <m/>
    <m/>
    <n v="0.05"/>
    <n v="10"/>
    <m/>
    <m/>
    <m/>
    <m/>
    <m/>
  </r>
  <r>
    <x v="14"/>
    <x v="4"/>
    <x v="7"/>
    <n v="1"/>
    <n v="9"/>
    <s v="5*"/>
    <n v="0.05"/>
    <m/>
    <m/>
    <m/>
    <m/>
    <n v="0.12"/>
    <n v="0.1"/>
    <n v="15"/>
    <m/>
    <m/>
    <m/>
    <m/>
    <m/>
  </r>
  <r>
    <x v="14"/>
    <x v="4"/>
    <x v="7"/>
    <n v="1"/>
    <n v="0"/>
    <s v="5*"/>
    <m/>
    <m/>
    <m/>
    <n v="3"/>
    <n v="0.04"/>
    <m/>
    <m/>
    <n v="15"/>
    <m/>
    <m/>
    <m/>
    <m/>
    <m/>
  </r>
  <r>
    <x v="14"/>
    <x v="4"/>
    <x v="7"/>
    <n v="1"/>
    <n v="0"/>
    <s v="4*"/>
    <m/>
    <m/>
    <m/>
    <n v="3"/>
    <m/>
    <n v="0.03"/>
    <n v="0.06"/>
    <n v="10"/>
    <m/>
    <m/>
    <n v="0.05"/>
    <m/>
    <m/>
  </r>
  <r>
    <x v="14"/>
    <x v="4"/>
    <x v="7"/>
    <n v="2"/>
    <n v="0"/>
    <s v="4*"/>
    <m/>
    <m/>
    <n v="0.05"/>
    <m/>
    <m/>
    <n v="0.03"/>
    <n v="0.05"/>
    <m/>
    <n v="0.03"/>
    <m/>
    <m/>
    <m/>
    <m/>
  </r>
  <r>
    <x v="14"/>
    <x v="4"/>
    <x v="7"/>
    <n v="2"/>
    <n v="0"/>
    <s v="5*"/>
    <n v="0.08"/>
    <m/>
    <m/>
    <m/>
    <n v="0.04"/>
    <n v="0.05"/>
    <m/>
    <m/>
    <m/>
    <m/>
    <n v="0.04"/>
    <m/>
    <m/>
  </r>
  <r>
    <x v="14"/>
    <x v="4"/>
    <x v="7"/>
    <n v="2"/>
    <n v="9"/>
    <s v="3*"/>
    <n v="0.22"/>
    <m/>
    <n v="0.06"/>
    <m/>
    <m/>
    <n v="0.06"/>
    <m/>
    <n v="7"/>
    <m/>
    <m/>
    <n v="0.04"/>
    <m/>
    <m/>
  </r>
  <r>
    <x v="14"/>
    <x v="4"/>
    <x v="7"/>
    <n v="2"/>
    <n v="0"/>
    <s v="4*"/>
    <n v="0.05"/>
    <n v="221"/>
    <m/>
    <m/>
    <m/>
    <n v="0.02"/>
    <n v="0.05"/>
    <n v="6"/>
    <m/>
    <m/>
    <m/>
    <m/>
    <m/>
  </r>
  <r>
    <x v="14"/>
    <x v="4"/>
    <x v="7"/>
    <n v="2"/>
    <n v="0"/>
    <s v="4*"/>
    <n v="0.04"/>
    <n v="107"/>
    <m/>
    <m/>
    <m/>
    <m/>
    <m/>
    <m/>
    <n v="0.05"/>
    <m/>
    <n v="0.03"/>
    <m/>
    <m/>
  </r>
  <r>
    <x v="14"/>
    <x v="4"/>
    <x v="7"/>
    <n v="3"/>
    <n v="0"/>
    <s v="4*"/>
    <m/>
    <m/>
    <n v="0.04"/>
    <m/>
    <m/>
    <n v="0.03"/>
    <m/>
    <m/>
    <m/>
    <n v="10"/>
    <n v="0.02"/>
    <m/>
    <m/>
  </r>
  <r>
    <x v="14"/>
    <x v="4"/>
    <x v="7"/>
    <n v="3"/>
    <n v="3"/>
    <s v="4*"/>
    <n v="0.03"/>
    <n v="300"/>
    <m/>
    <m/>
    <m/>
    <m/>
    <m/>
    <m/>
    <m/>
    <n v="28"/>
    <n v="0.03"/>
    <m/>
    <m/>
  </r>
  <r>
    <x v="14"/>
    <x v="4"/>
    <x v="7"/>
    <n v="3"/>
    <n v="3"/>
    <s v="4*"/>
    <n v="0.06"/>
    <m/>
    <m/>
    <m/>
    <m/>
    <n v="0.09"/>
    <m/>
    <m/>
    <m/>
    <n v="28"/>
    <n v="0.04"/>
    <m/>
    <m/>
  </r>
  <r>
    <x v="14"/>
    <x v="4"/>
    <x v="7"/>
    <n v="3"/>
    <n v="0"/>
    <s v="4*"/>
    <m/>
    <n v="194"/>
    <m/>
    <n v="3"/>
    <m/>
    <m/>
    <m/>
    <m/>
    <n v="0.05"/>
    <m/>
    <m/>
    <m/>
    <m/>
  </r>
  <r>
    <x v="14"/>
    <x v="4"/>
    <x v="7"/>
    <n v="4"/>
    <n v="0"/>
    <s v="4*"/>
    <m/>
    <m/>
    <m/>
    <m/>
    <m/>
    <n v="0.05"/>
    <n v="0.06"/>
    <m/>
    <n v="0.05"/>
    <m/>
    <m/>
    <m/>
    <m/>
  </r>
  <r>
    <x v="14"/>
    <x v="4"/>
    <x v="7"/>
    <n v="4"/>
    <n v="0"/>
    <s v="4*"/>
    <m/>
    <m/>
    <n v="0.04"/>
    <m/>
    <m/>
    <n v="0.04"/>
    <m/>
    <n v="5"/>
    <n v="0.05"/>
    <n v="4"/>
    <m/>
    <m/>
    <m/>
  </r>
  <r>
    <x v="14"/>
    <x v="4"/>
    <x v="7"/>
    <n v="4"/>
    <n v="9"/>
    <s v="4*"/>
    <m/>
    <m/>
    <n v="0.04"/>
    <n v="7"/>
    <n v="0.02"/>
    <m/>
    <m/>
    <m/>
    <n v="0.24"/>
    <m/>
    <n v="0.03"/>
    <m/>
    <m/>
  </r>
  <r>
    <x v="14"/>
    <x v="4"/>
    <x v="7"/>
    <n v="4"/>
    <n v="0"/>
    <s v="4*"/>
    <n v="0.05"/>
    <m/>
    <m/>
    <m/>
    <m/>
    <n v="0.05"/>
    <m/>
    <n v="8"/>
    <n v="0.06"/>
    <m/>
    <m/>
    <m/>
    <m/>
  </r>
  <r>
    <x v="14"/>
    <x v="4"/>
    <x v="7"/>
    <n v="5"/>
    <n v="6"/>
    <s v="4*"/>
    <n v="0.05"/>
    <n v="700"/>
    <m/>
    <n v="9"/>
    <m/>
    <m/>
    <m/>
    <n v="6"/>
    <m/>
    <m/>
    <m/>
    <m/>
    <m/>
  </r>
  <r>
    <x v="14"/>
    <x v="4"/>
    <x v="7"/>
    <n v="5"/>
    <n v="9"/>
    <s v="5*"/>
    <m/>
    <n v="1215"/>
    <n v="0.09"/>
    <m/>
    <m/>
    <m/>
    <n v="7.0000000000000007E-2"/>
    <n v="38"/>
    <m/>
    <n v="14"/>
    <m/>
    <m/>
    <m/>
  </r>
  <r>
    <x v="14"/>
    <x v="4"/>
    <x v="7"/>
    <n v="5"/>
    <n v="0"/>
    <s v="5*"/>
    <m/>
    <n v="270"/>
    <n v="0.05"/>
    <m/>
    <n v="0.05"/>
    <m/>
    <m/>
    <m/>
    <m/>
    <m/>
    <m/>
    <m/>
    <m/>
  </r>
  <r>
    <x v="14"/>
    <x v="4"/>
    <x v="7"/>
    <n v="5"/>
    <n v="6"/>
    <s v="4*"/>
    <m/>
    <n v="160"/>
    <m/>
    <n v="10"/>
    <m/>
    <m/>
    <m/>
    <m/>
    <n v="0.03"/>
    <m/>
    <m/>
    <m/>
    <m/>
  </r>
  <r>
    <x v="14"/>
    <x v="4"/>
    <x v="7"/>
    <n v="5"/>
    <n v="0"/>
    <s v="4*"/>
    <n v="0.06"/>
    <n v="160"/>
    <m/>
    <m/>
    <n v="0.02"/>
    <m/>
    <m/>
    <m/>
    <m/>
    <m/>
    <m/>
    <m/>
    <m/>
  </r>
  <r>
    <x v="14"/>
    <x v="4"/>
    <x v="7"/>
    <n v="5"/>
    <n v="0"/>
    <s v="4*"/>
    <m/>
    <n v="160"/>
    <n v="0.02"/>
    <n v="2"/>
    <n v="0.04"/>
    <m/>
    <m/>
    <m/>
    <m/>
    <n v="4"/>
    <m/>
    <m/>
    <m/>
  </r>
  <r>
    <x v="14"/>
    <x v="4"/>
    <x v="7"/>
    <n v="5"/>
    <n v="0"/>
    <s v="5*"/>
    <m/>
    <n v="270"/>
    <m/>
    <m/>
    <n v="0.03"/>
    <n v="0.03"/>
    <m/>
    <m/>
    <n v="0.04"/>
    <m/>
    <m/>
    <m/>
    <m/>
  </r>
  <r>
    <x v="14"/>
    <x v="4"/>
    <x v="7"/>
    <n v="5"/>
    <n v="0"/>
    <s v="5*"/>
    <m/>
    <n v="270"/>
    <n v="0.03"/>
    <m/>
    <n v="0.03"/>
    <m/>
    <m/>
    <m/>
    <m/>
    <m/>
    <m/>
    <m/>
    <m/>
  </r>
  <r>
    <x v="14"/>
    <x v="4"/>
    <x v="7"/>
    <n v="5"/>
    <n v="0"/>
    <s v="4*"/>
    <m/>
    <m/>
    <m/>
    <n v="4"/>
    <m/>
    <m/>
    <n v="0.05"/>
    <m/>
    <n v="0.03"/>
    <m/>
    <n v="0.02"/>
    <m/>
    <m/>
  </r>
  <r>
    <x v="14"/>
    <x v="4"/>
    <x v="5"/>
    <n v="6"/>
    <n v="0"/>
    <s v="5*"/>
    <m/>
    <m/>
    <m/>
    <n v="4"/>
    <n v="0.03"/>
    <m/>
    <m/>
    <m/>
    <n v="0.08"/>
    <m/>
    <m/>
    <m/>
    <m/>
  </r>
  <r>
    <x v="14"/>
    <x v="4"/>
    <x v="5"/>
    <n v="6"/>
    <n v="0"/>
    <s v="5*"/>
    <m/>
    <m/>
    <n v="7.0000000000000007E-2"/>
    <m/>
    <m/>
    <n v="0.05"/>
    <m/>
    <n v="7"/>
    <n v="0.08"/>
    <m/>
    <n v="7.0000000000000007E-2"/>
    <m/>
    <m/>
  </r>
  <r>
    <x v="14"/>
    <x v="4"/>
    <x v="5"/>
    <n v="1"/>
    <n v="6"/>
    <s v="5*"/>
    <n v="0.04"/>
    <m/>
    <m/>
    <n v="9"/>
    <m/>
    <m/>
    <m/>
    <n v="57"/>
    <m/>
    <m/>
    <n v="7.0000000000000007E-2"/>
    <m/>
    <m/>
  </r>
  <r>
    <x v="14"/>
    <x v="4"/>
    <x v="5"/>
    <n v="1"/>
    <n v="6"/>
    <s v="5*"/>
    <n v="0.04"/>
    <m/>
    <m/>
    <n v="11"/>
    <m/>
    <m/>
    <n v="0.04"/>
    <n v="57"/>
    <m/>
    <m/>
    <m/>
    <m/>
    <m/>
  </r>
  <r>
    <x v="14"/>
    <x v="4"/>
    <x v="5"/>
    <n v="2"/>
    <n v="0"/>
    <s v="4*"/>
    <n v="0.06"/>
    <m/>
    <m/>
    <m/>
    <m/>
    <m/>
    <n v="0.05"/>
    <m/>
    <m/>
    <n v="5"/>
    <n v="0.03"/>
    <m/>
    <m/>
  </r>
  <r>
    <x v="14"/>
    <x v="4"/>
    <x v="5"/>
    <n v="2"/>
    <n v="9"/>
    <s v="4*"/>
    <n v="0.24"/>
    <m/>
    <m/>
    <m/>
    <m/>
    <m/>
    <n v="7.0000000000000007E-2"/>
    <n v="9"/>
    <n v="0.11"/>
    <m/>
    <m/>
    <m/>
    <m/>
  </r>
  <r>
    <x v="14"/>
    <x v="4"/>
    <x v="5"/>
    <n v="3"/>
    <n v="6"/>
    <s v="4*"/>
    <n v="0.09"/>
    <m/>
    <m/>
    <m/>
    <n v="0.03"/>
    <m/>
    <m/>
    <m/>
    <m/>
    <m/>
    <n v="0.06"/>
    <m/>
    <m/>
  </r>
  <r>
    <x v="14"/>
    <x v="4"/>
    <x v="5"/>
    <n v="3"/>
    <n v="9"/>
    <s v="4*"/>
    <n v="0.17"/>
    <m/>
    <m/>
    <m/>
    <n v="0.02"/>
    <n v="0.05"/>
    <m/>
    <m/>
    <n v="0.06"/>
    <n v="64"/>
    <m/>
    <m/>
    <m/>
  </r>
  <r>
    <x v="14"/>
    <x v="4"/>
    <x v="5"/>
    <n v="3"/>
    <n v="6"/>
    <s v="5*"/>
    <m/>
    <n v="204"/>
    <n v="0.09"/>
    <m/>
    <m/>
    <m/>
    <m/>
    <m/>
    <n v="0.13"/>
    <n v="57"/>
    <m/>
    <m/>
    <m/>
  </r>
  <r>
    <x v="14"/>
    <x v="4"/>
    <x v="5"/>
    <n v="3"/>
    <n v="6"/>
    <s v="5*"/>
    <m/>
    <m/>
    <m/>
    <n v="3"/>
    <n v="0.14000000000000001"/>
    <m/>
    <m/>
    <m/>
    <m/>
    <n v="57"/>
    <m/>
    <m/>
    <m/>
  </r>
  <r>
    <x v="14"/>
    <x v="4"/>
    <x v="5"/>
    <n v="3"/>
    <n v="6"/>
    <s v="4*"/>
    <n v="0.06"/>
    <m/>
    <m/>
    <n v="2"/>
    <n v="0.04"/>
    <m/>
    <m/>
    <m/>
    <m/>
    <n v="46"/>
    <n v="0.09"/>
    <m/>
    <m/>
  </r>
  <r>
    <x v="14"/>
    <x v="4"/>
    <x v="5"/>
    <n v="4"/>
    <n v="6"/>
    <s v="5*"/>
    <n v="0.24"/>
    <m/>
    <m/>
    <n v="3"/>
    <n v="0.05"/>
    <n v="0.06"/>
    <m/>
    <m/>
    <m/>
    <m/>
    <n v="0.08"/>
    <m/>
    <m/>
  </r>
  <r>
    <x v="14"/>
    <x v="4"/>
    <x v="5"/>
    <n v="4"/>
    <n v="6"/>
    <s v="5*"/>
    <n v="0.24"/>
    <m/>
    <n v="0.03"/>
    <m/>
    <n v="0.03"/>
    <m/>
    <m/>
    <m/>
    <n v="0.11"/>
    <m/>
    <m/>
    <m/>
    <m/>
  </r>
  <r>
    <x v="14"/>
    <x v="4"/>
    <x v="5"/>
    <n v="4"/>
    <n v="0"/>
    <s v="6*"/>
    <m/>
    <n v="200"/>
    <m/>
    <n v="5"/>
    <m/>
    <m/>
    <m/>
    <m/>
    <n v="0.11"/>
    <n v="17"/>
    <m/>
    <m/>
    <m/>
  </r>
  <r>
    <x v="14"/>
    <x v="4"/>
    <x v="5"/>
    <n v="5"/>
    <n v="6"/>
    <s v="4*"/>
    <m/>
    <n v="700"/>
    <m/>
    <n v="9"/>
    <n v="0.04"/>
    <m/>
    <m/>
    <m/>
    <m/>
    <m/>
    <m/>
    <m/>
    <m/>
  </r>
  <r>
    <x v="14"/>
    <x v="4"/>
    <x v="5"/>
    <n v="5"/>
    <n v="6"/>
    <s v="4*"/>
    <n v="0.09"/>
    <n v="700"/>
    <n v="0.08"/>
    <m/>
    <m/>
    <m/>
    <m/>
    <m/>
    <n v="0.04"/>
    <m/>
    <m/>
    <m/>
    <m/>
  </r>
  <r>
    <x v="14"/>
    <x v="4"/>
    <x v="5"/>
    <n v="5"/>
    <n v="0"/>
    <s v="5*"/>
    <n v="7.0000000000000007E-2"/>
    <m/>
    <m/>
    <m/>
    <m/>
    <n v="0.05"/>
    <m/>
    <n v="12"/>
    <m/>
    <n v="9"/>
    <m/>
    <m/>
    <m/>
  </r>
  <r>
    <x v="14"/>
    <x v="4"/>
    <x v="5"/>
    <n v="5"/>
    <n v="6"/>
    <s v="5*"/>
    <n v="0.17"/>
    <m/>
    <m/>
    <m/>
    <n v="0.05"/>
    <n v="0.04"/>
    <m/>
    <n v="13"/>
    <m/>
    <m/>
    <m/>
    <s v="Y"/>
    <m/>
  </r>
  <r>
    <x v="14"/>
    <x v="4"/>
    <x v="5"/>
    <n v="5"/>
    <n v="0"/>
    <s v="5*"/>
    <n v="7.0000000000000007E-2"/>
    <m/>
    <m/>
    <m/>
    <m/>
    <m/>
    <m/>
    <n v="12"/>
    <m/>
    <m/>
    <m/>
    <m/>
    <m/>
  </r>
  <r>
    <x v="14"/>
    <x v="4"/>
    <x v="8"/>
    <n v="6"/>
    <n v="0"/>
    <s v="5*"/>
    <n v="7.0000000000000007E-2"/>
    <m/>
    <m/>
    <m/>
    <m/>
    <n v="0.05"/>
    <n v="0.08"/>
    <n v="11"/>
    <m/>
    <n v="13"/>
    <m/>
    <m/>
    <m/>
  </r>
  <r>
    <x v="14"/>
    <x v="4"/>
    <x v="8"/>
    <n v="6"/>
    <n v="0"/>
    <s v="4*"/>
    <m/>
    <n v="93"/>
    <m/>
    <m/>
    <n v="0.04"/>
    <n v="0.02"/>
    <n v="0.05"/>
    <m/>
    <m/>
    <m/>
    <n v="0.05"/>
    <m/>
    <m/>
  </r>
  <r>
    <x v="14"/>
    <x v="4"/>
    <x v="8"/>
    <n v="1"/>
    <n v="0"/>
    <s v="4*"/>
    <m/>
    <m/>
    <n v="0.02"/>
    <n v="4"/>
    <n v="0.02"/>
    <m/>
    <n v="0.05"/>
    <m/>
    <m/>
    <m/>
    <n v="0.05"/>
    <m/>
    <m/>
  </r>
  <r>
    <x v="14"/>
    <x v="4"/>
    <x v="8"/>
    <n v="1"/>
    <n v="9"/>
    <s v="4*"/>
    <n v="0.12"/>
    <n v="159"/>
    <m/>
    <n v="2"/>
    <m/>
    <m/>
    <m/>
    <n v="64"/>
    <m/>
    <m/>
    <n v="0.03"/>
    <m/>
    <m/>
  </r>
  <r>
    <x v="14"/>
    <x v="4"/>
    <x v="8"/>
    <n v="1"/>
    <n v="6"/>
    <s v="5*"/>
    <m/>
    <m/>
    <n v="0.14000000000000001"/>
    <n v="4"/>
    <n v="0.08"/>
    <m/>
    <m/>
    <m/>
    <m/>
    <m/>
    <m/>
    <s v="Y"/>
    <s v="Bernard"/>
  </r>
  <r>
    <x v="14"/>
    <x v="4"/>
    <x v="8"/>
    <n v="1"/>
    <n v="0"/>
    <s v="4*"/>
    <m/>
    <m/>
    <n v="0.03"/>
    <n v="2"/>
    <n v="0.03"/>
    <m/>
    <m/>
    <m/>
    <m/>
    <m/>
    <m/>
    <m/>
    <m/>
  </r>
  <r>
    <x v="14"/>
    <x v="4"/>
    <x v="8"/>
    <n v="1"/>
    <n v="6"/>
    <s v="5*"/>
    <m/>
    <m/>
    <n v="0.11"/>
    <m/>
    <n v="0.03"/>
    <n v="0.06"/>
    <m/>
    <m/>
    <m/>
    <m/>
    <m/>
    <s v="Y"/>
    <m/>
  </r>
  <r>
    <x v="14"/>
    <x v="4"/>
    <x v="8"/>
    <n v="1"/>
    <n v="6"/>
    <s v="4*"/>
    <n v="0.14000000000000001"/>
    <m/>
    <m/>
    <n v="4"/>
    <m/>
    <n v="0.04"/>
    <m/>
    <m/>
    <m/>
    <m/>
    <m/>
    <m/>
    <m/>
  </r>
  <r>
    <x v="14"/>
    <x v="4"/>
    <x v="8"/>
    <n v="2"/>
    <n v="6"/>
    <s v="4*"/>
    <m/>
    <m/>
    <m/>
    <n v="4"/>
    <m/>
    <n v="0.03"/>
    <n v="0.05"/>
    <m/>
    <m/>
    <m/>
    <m/>
    <m/>
    <m/>
  </r>
  <r>
    <x v="14"/>
    <x v="4"/>
    <x v="8"/>
    <n v="2"/>
    <n v="6"/>
    <s v="4*"/>
    <n v="0.05"/>
    <m/>
    <m/>
    <n v="2"/>
    <m/>
    <m/>
    <m/>
    <m/>
    <n v="0.04"/>
    <m/>
    <m/>
    <m/>
    <m/>
  </r>
  <r>
    <x v="14"/>
    <x v="4"/>
    <x v="8"/>
    <n v="3"/>
    <n v="0"/>
    <s v="5*"/>
    <n v="0.04"/>
    <m/>
    <m/>
    <n v="5"/>
    <m/>
    <m/>
    <m/>
    <m/>
    <m/>
    <m/>
    <m/>
    <m/>
    <m/>
  </r>
  <r>
    <x v="14"/>
    <x v="4"/>
    <x v="8"/>
    <n v="3"/>
    <n v="0"/>
    <s v="5*"/>
    <m/>
    <m/>
    <m/>
    <m/>
    <n v="0.04"/>
    <n v="0.05"/>
    <m/>
    <m/>
    <m/>
    <m/>
    <m/>
    <m/>
    <m/>
  </r>
  <r>
    <x v="14"/>
    <x v="4"/>
    <x v="8"/>
    <n v="3"/>
    <n v="9"/>
    <s v="4*"/>
    <m/>
    <n v="225"/>
    <n v="12"/>
    <m/>
    <m/>
    <n v="0.03"/>
    <m/>
    <m/>
    <m/>
    <m/>
    <m/>
    <m/>
    <m/>
  </r>
  <r>
    <x v="14"/>
    <x v="4"/>
    <x v="8"/>
    <n v="3"/>
    <n v="6"/>
    <s v="4*"/>
    <n v="0.14000000000000001"/>
    <n v="92"/>
    <m/>
    <m/>
    <m/>
    <n v="0.05"/>
    <m/>
    <m/>
    <m/>
    <m/>
    <m/>
    <m/>
    <m/>
  </r>
  <r>
    <x v="14"/>
    <x v="4"/>
    <x v="8"/>
    <n v="3"/>
    <n v="0"/>
    <s v="4*"/>
    <m/>
    <m/>
    <m/>
    <n v="3"/>
    <n v="0.03"/>
    <m/>
    <m/>
    <m/>
    <n v="0.03"/>
    <m/>
    <n v="0.05"/>
    <m/>
    <m/>
  </r>
  <r>
    <x v="14"/>
    <x v="4"/>
    <x v="8"/>
    <n v="3"/>
    <n v="0"/>
    <s v="4*"/>
    <m/>
    <m/>
    <n v="5"/>
    <n v="2"/>
    <m/>
    <n v="0.05"/>
    <m/>
    <m/>
    <m/>
    <m/>
    <n v="0.02"/>
    <m/>
    <m/>
  </r>
  <r>
    <x v="14"/>
    <x v="4"/>
    <x v="8"/>
    <n v="3"/>
    <n v="0"/>
    <s v="5*"/>
    <n v="7.0000000000000007E-2"/>
    <m/>
    <m/>
    <m/>
    <n v="0.03"/>
    <m/>
    <m/>
    <m/>
    <m/>
    <m/>
    <n v="0.04"/>
    <m/>
    <m/>
  </r>
  <r>
    <x v="14"/>
    <x v="4"/>
    <x v="8"/>
    <n v="3"/>
    <n v="0"/>
    <s v="4*"/>
    <m/>
    <m/>
    <n v="4"/>
    <n v="4"/>
    <m/>
    <n v="0.03"/>
    <m/>
    <m/>
    <m/>
    <m/>
    <n v="0.05"/>
    <m/>
    <m/>
  </r>
  <r>
    <x v="14"/>
    <x v="4"/>
    <x v="8"/>
    <n v="4"/>
    <n v="0"/>
    <s v="5*"/>
    <m/>
    <m/>
    <m/>
    <m/>
    <n v="0.04"/>
    <m/>
    <n v="0.08"/>
    <m/>
    <n v="0.05"/>
    <m/>
    <m/>
    <m/>
    <m/>
  </r>
  <r>
    <x v="14"/>
    <x v="4"/>
    <x v="8"/>
    <n v="4"/>
    <n v="0"/>
    <s v="5*"/>
    <m/>
    <m/>
    <m/>
    <n v="4"/>
    <m/>
    <m/>
    <n v="0.08"/>
    <m/>
    <m/>
    <n v="10"/>
    <m/>
    <m/>
    <m/>
  </r>
  <r>
    <x v="14"/>
    <x v="4"/>
    <x v="8"/>
    <n v="4"/>
    <n v="0"/>
    <s v="6*"/>
    <m/>
    <n v="140"/>
    <m/>
    <m/>
    <m/>
    <m/>
    <n v="7.0000000000000007E-2"/>
    <m/>
    <n v="0.11"/>
    <m/>
    <m/>
    <m/>
    <m/>
  </r>
  <r>
    <x v="14"/>
    <x v="4"/>
    <x v="8"/>
    <n v="5"/>
    <n v="6"/>
    <s v="4*"/>
    <m/>
    <n v="700"/>
    <n v="3"/>
    <m/>
    <n v="0.05"/>
    <n v="0.1"/>
    <m/>
    <m/>
    <m/>
    <m/>
    <m/>
    <m/>
    <m/>
  </r>
  <r>
    <x v="14"/>
    <x v="4"/>
    <x v="8"/>
    <n v="5"/>
    <n v="9"/>
    <s v="4*"/>
    <m/>
    <n v="970"/>
    <m/>
    <n v="4"/>
    <n v="7.0000000000000007E-2"/>
    <m/>
    <n v="0.04"/>
    <m/>
    <m/>
    <m/>
    <m/>
    <m/>
    <m/>
  </r>
  <r>
    <x v="14"/>
    <x v="4"/>
    <x v="8"/>
    <n v="5"/>
    <n v="0"/>
    <s v="5*"/>
    <m/>
    <n v="270"/>
    <m/>
    <n v="4"/>
    <m/>
    <m/>
    <m/>
    <m/>
    <m/>
    <n v="8"/>
    <m/>
    <m/>
    <m/>
  </r>
  <r>
    <x v="14"/>
    <x v="4"/>
    <x v="8"/>
    <n v="5"/>
    <n v="6"/>
    <s v="5*"/>
    <m/>
    <n v="270"/>
    <m/>
    <n v="8"/>
    <m/>
    <m/>
    <m/>
    <m/>
    <n v="0.1"/>
    <m/>
    <m/>
    <m/>
    <m/>
  </r>
  <r>
    <x v="14"/>
    <x v="4"/>
    <x v="8"/>
    <n v="5"/>
    <n v="0"/>
    <s v="5*"/>
    <n v="0.05"/>
    <n v="270"/>
    <m/>
    <m/>
    <m/>
    <m/>
    <n v="7.0000000000000007E-2"/>
    <m/>
    <m/>
    <n v="9"/>
    <n v="0.06"/>
    <m/>
    <m/>
  </r>
  <r>
    <x v="14"/>
    <x v="4"/>
    <x v="8"/>
    <n v="5"/>
    <n v="0"/>
    <s v="4*"/>
    <m/>
    <n v="160"/>
    <m/>
    <m/>
    <n v="0.04"/>
    <m/>
    <n v="0.04"/>
    <m/>
    <m/>
    <m/>
    <n v="0.04"/>
    <m/>
    <m/>
  </r>
  <r>
    <x v="14"/>
    <x v="4"/>
    <x v="8"/>
    <n v="5"/>
    <n v="12"/>
    <s v="6*"/>
    <m/>
    <n v="1800"/>
    <m/>
    <m/>
    <n v="0.15"/>
    <n v="0.1"/>
    <m/>
    <n v="15"/>
    <n v="0.12"/>
    <m/>
    <n v="0.11"/>
    <m/>
    <m/>
  </r>
  <r>
    <x v="14"/>
    <x v="4"/>
    <x v="3"/>
    <n v="6"/>
    <n v="6"/>
    <s v="4*"/>
    <m/>
    <m/>
    <m/>
    <m/>
    <n v="7.0000000000000007E-2"/>
    <m/>
    <n v="0.05"/>
    <m/>
    <n v="0.18"/>
    <n v="15"/>
    <m/>
    <m/>
    <m/>
  </r>
  <r>
    <x v="14"/>
    <x v="4"/>
    <x v="3"/>
    <n v="6"/>
    <n v="0"/>
    <s v="4*"/>
    <n v="0.05"/>
    <m/>
    <m/>
    <n v="4"/>
    <m/>
    <m/>
    <m/>
    <n v="10"/>
    <m/>
    <m/>
    <m/>
    <m/>
    <m/>
  </r>
  <r>
    <x v="14"/>
    <x v="4"/>
    <x v="3"/>
    <n v="1"/>
    <n v="6"/>
    <s v="5*"/>
    <m/>
    <m/>
    <n v="4"/>
    <m/>
    <n v="0.03"/>
    <n v="0.12"/>
    <m/>
    <n v="57"/>
    <m/>
    <m/>
    <m/>
    <m/>
    <m/>
  </r>
  <r>
    <x v="14"/>
    <x v="4"/>
    <x v="3"/>
    <n v="1"/>
    <n v="12"/>
    <s v="5*"/>
    <n v="7.0000000000000007E-2"/>
    <n v="292"/>
    <n v="5"/>
    <m/>
    <n v="0.11"/>
    <m/>
    <m/>
    <n v="78"/>
    <m/>
    <m/>
    <m/>
    <m/>
    <m/>
  </r>
  <r>
    <x v="14"/>
    <x v="4"/>
    <x v="3"/>
    <n v="1"/>
    <n v="9"/>
    <s v="5*"/>
    <m/>
    <n v="194"/>
    <m/>
    <n v="10"/>
    <n v="0.04"/>
    <n v="0.09"/>
    <m/>
    <n v="78"/>
    <m/>
    <m/>
    <m/>
    <m/>
    <m/>
  </r>
  <r>
    <x v="14"/>
    <x v="4"/>
    <x v="3"/>
    <n v="4"/>
    <n v="9"/>
    <s v="5*"/>
    <n v="0.28999999999999998"/>
    <n v="237"/>
    <m/>
    <m/>
    <n v="0.05"/>
    <m/>
    <m/>
    <n v="18"/>
    <m/>
    <n v="40"/>
    <m/>
    <m/>
    <m/>
  </r>
  <r>
    <x v="14"/>
    <x v="4"/>
    <x v="3"/>
    <n v="5"/>
    <n v="0"/>
    <s v="5*"/>
    <m/>
    <n v="270"/>
    <m/>
    <m/>
    <m/>
    <n v="0.05"/>
    <n v="0.06"/>
    <m/>
    <m/>
    <m/>
    <n v="7.0000000000000007E-2"/>
    <m/>
    <m/>
  </r>
  <r>
    <x v="14"/>
    <x v="4"/>
    <x v="3"/>
    <n v="5"/>
    <n v="9"/>
    <s v="4*"/>
    <n v="0.03"/>
    <m/>
    <m/>
    <n v="3"/>
    <n v="0.08"/>
    <m/>
    <m/>
    <n v="5"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  <r>
    <x v="14"/>
    <x v="4"/>
    <x v="9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88">
  <r>
    <x v="0"/>
    <x v="0"/>
    <x v="0"/>
    <x v="0"/>
    <x v="0"/>
    <x v="0"/>
    <x v="0"/>
    <n v="2637.3710000000001"/>
    <n v="2383.6259999999997"/>
    <n v="2398.2419999999997"/>
    <n v="2600.7779999999998"/>
  </r>
  <r>
    <x v="0"/>
    <x v="0"/>
    <x v="0"/>
    <x v="0"/>
    <x v="0"/>
    <x v="0"/>
    <x v="1"/>
    <n v="2840.1010000000001"/>
    <n v="2622.0059999999999"/>
    <n v="2567.0219999999999"/>
    <n v="2769.558"/>
  </r>
  <r>
    <x v="0"/>
    <x v="0"/>
    <x v="0"/>
    <x v="0"/>
    <x v="0"/>
    <x v="0"/>
    <x v="2"/>
    <n v="3042.8309999999997"/>
    <n v="2860.386"/>
    <n v="2735.8019999999997"/>
    <n v="2938.3379999999997"/>
  </r>
  <r>
    <x v="0"/>
    <x v="0"/>
    <x v="0"/>
    <x v="0"/>
    <x v="0"/>
    <x v="0"/>
    <x v="3"/>
    <n v="3245.5609999999992"/>
    <n v="3098.7660000000001"/>
    <n v="2904.5819999999999"/>
    <n v="3107.1179999999999"/>
  </r>
  <r>
    <x v="0"/>
    <x v="0"/>
    <x v="0"/>
    <x v="0"/>
    <x v="0"/>
    <x v="0"/>
    <x v="4"/>
    <n v="3448.2910000000002"/>
    <n v="3337.1459999999997"/>
    <n v="3073.3620000000001"/>
    <n v="3275.8979999999997"/>
  </r>
  <r>
    <x v="0"/>
    <x v="0"/>
    <x v="0"/>
    <x v="0"/>
    <x v="0"/>
    <x v="0"/>
    <x v="5"/>
    <n v="3651.0209999999997"/>
    <n v="3575.5259999999998"/>
    <n v="3242.1420000000003"/>
    <n v="3427.7999999999997"/>
  </r>
  <r>
    <x v="0"/>
    <x v="0"/>
    <x v="0"/>
    <x v="0"/>
    <x v="0"/>
    <x v="0"/>
    <x v="6"/>
    <n v="3853.7510000000002"/>
    <n v="3813.9059999999999"/>
    <n v="3410.922"/>
    <n v="3427.7999999999997"/>
  </r>
  <r>
    <x v="0"/>
    <x v="0"/>
    <x v="0"/>
    <x v="0"/>
    <x v="0"/>
    <x v="0"/>
    <x v="7"/>
    <n v="4056.4809999999998"/>
    <n v="4052.2860000000001"/>
    <n v="3427.7999999999997"/>
    <n v="3427.7999999999997"/>
  </r>
  <r>
    <x v="0"/>
    <x v="0"/>
    <x v="0"/>
    <x v="0"/>
    <x v="0"/>
    <x v="0"/>
    <x v="8"/>
    <n v="4117.3"/>
    <n v="4123.8"/>
    <n v="3427.7999999999997"/>
    <n v="3427.7999999999997"/>
  </r>
  <r>
    <x v="0"/>
    <x v="0"/>
    <x v="0"/>
    <x v="0"/>
    <x v="0"/>
    <x v="0"/>
    <x v="9"/>
    <n v="4117.3"/>
    <n v="4123.8"/>
    <n v="3427.7999999999997"/>
    <n v="3427.7999999999997"/>
  </r>
  <r>
    <x v="0"/>
    <x v="0"/>
    <x v="0"/>
    <x v="0"/>
    <x v="0"/>
    <x v="0"/>
    <x v="10"/>
    <n v="4117.3"/>
    <n v="4123.8"/>
    <n v="3427.7999999999997"/>
    <n v="3427.7999999999997"/>
  </r>
  <r>
    <x v="0"/>
    <x v="1"/>
    <x v="1"/>
    <x v="0"/>
    <x v="0"/>
    <x v="0"/>
    <x v="0"/>
    <n v="2737.9"/>
    <n v="2710.9199999999996"/>
    <n v="2383.7999999999997"/>
    <n v="2488.2000000000003"/>
  </r>
  <r>
    <x v="0"/>
    <x v="1"/>
    <x v="1"/>
    <x v="0"/>
    <x v="0"/>
    <x v="0"/>
    <x v="1"/>
    <n v="2842.4"/>
    <n v="2867.52"/>
    <n v="2470.7999999999997"/>
    <n v="2575.1999999999998"/>
  </r>
  <r>
    <x v="0"/>
    <x v="1"/>
    <x v="1"/>
    <x v="0"/>
    <x v="0"/>
    <x v="0"/>
    <x v="2"/>
    <n v="2946.8999999999996"/>
    <n v="3024.1199999999994"/>
    <n v="2557.7999999999997"/>
    <n v="2610"/>
  </r>
  <r>
    <x v="0"/>
    <x v="1"/>
    <x v="1"/>
    <x v="0"/>
    <x v="0"/>
    <x v="0"/>
    <x v="3"/>
    <n v="3051.4000000000005"/>
    <n v="3180.7200000000003"/>
    <n v="2610"/>
    <n v="2610"/>
  </r>
  <r>
    <x v="0"/>
    <x v="1"/>
    <x v="1"/>
    <x v="0"/>
    <x v="0"/>
    <x v="0"/>
    <x v="4"/>
    <n v="3135"/>
    <n v="3306"/>
    <n v="2610"/>
    <n v="2610"/>
  </r>
  <r>
    <x v="0"/>
    <x v="1"/>
    <x v="1"/>
    <x v="0"/>
    <x v="0"/>
    <x v="0"/>
    <x v="5"/>
    <n v="3135"/>
    <n v="3306"/>
    <n v="2610"/>
    <n v="2610"/>
  </r>
  <r>
    <x v="0"/>
    <x v="1"/>
    <x v="1"/>
    <x v="0"/>
    <x v="0"/>
    <x v="0"/>
    <x v="6"/>
    <n v="3135"/>
    <n v="3306"/>
    <n v="2610"/>
    <n v="2610"/>
  </r>
  <r>
    <x v="0"/>
    <x v="1"/>
    <x v="1"/>
    <x v="0"/>
    <x v="0"/>
    <x v="0"/>
    <x v="7"/>
    <n v="3135"/>
    <n v="3306"/>
    <n v="2610"/>
    <n v="2610"/>
  </r>
  <r>
    <x v="0"/>
    <x v="1"/>
    <x v="1"/>
    <x v="0"/>
    <x v="0"/>
    <x v="0"/>
    <x v="8"/>
    <n v="3135"/>
    <n v="3306"/>
    <n v="2610"/>
    <n v="2610"/>
  </r>
  <r>
    <x v="0"/>
    <x v="1"/>
    <x v="1"/>
    <x v="0"/>
    <x v="0"/>
    <x v="0"/>
    <x v="9"/>
    <n v="3135"/>
    <n v="3306"/>
    <n v="2610"/>
    <n v="2610"/>
  </r>
  <r>
    <x v="0"/>
    <x v="1"/>
    <x v="1"/>
    <x v="0"/>
    <x v="0"/>
    <x v="0"/>
    <x v="10"/>
    <n v="3135"/>
    <n v="3306"/>
    <n v="2610"/>
    <n v="2610"/>
  </r>
  <r>
    <x v="1"/>
    <x v="1"/>
    <x v="0"/>
    <x v="0"/>
    <x v="0"/>
    <x v="0"/>
    <x v="0"/>
    <n v="2792.1"/>
    <n v="2622.7299999999996"/>
    <n v="2521.4499999999998"/>
    <n v="2648.0499999999997"/>
  </r>
  <r>
    <x v="1"/>
    <x v="1"/>
    <x v="0"/>
    <x v="0"/>
    <x v="0"/>
    <x v="0"/>
    <x v="1"/>
    <n v="2915.1"/>
    <n v="2812.63"/>
    <n v="2626.9500000000003"/>
    <n v="2753.55"/>
  </r>
  <r>
    <x v="1"/>
    <x v="1"/>
    <x v="0"/>
    <x v="0"/>
    <x v="0"/>
    <x v="0"/>
    <x v="2"/>
    <n v="3038.1"/>
    <n v="3002.5299999999997"/>
    <n v="2732.45"/>
    <n v="2859.05"/>
  </r>
  <r>
    <x v="1"/>
    <x v="1"/>
    <x v="0"/>
    <x v="0"/>
    <x v="0"/>
    <x v="0"/>
    <x v="3"/>
    <n v="3161.1000000000004"/>
    <n v="3192.43"/>
    <n v="2837.95"/>
    <n v="2964.5499999999997"/>
  </r>
  <r>
    <x v="1"/>
    <x v="1"/>
    <x v="0"/>
    <x v="0"/>
    <x v="0"/>
    <x v="0"/>
    <x v="4"/>
    <n v="3284.1"/>
    <n v="3382.3299999999995"/>
    <n v="2943.45"/>
    <n v="3070.05"/>
  </r>
  <r>
    <x v="1"/>
    <x v="1"/>
    <x v="0"/>
    <x v="0"/>
    <x v="0"/>
    <x v="0"/>
    <x v="5"/>
    <n v="3407.1"/>
    <n v="3572.2299999999996"/>
    <n v="3048.95"/>
    <n v="3165"/>
  </r>
  <r>
    <x v="1"/>
    <x v="1"/>
    <x v="0"/>
    <x v="0"/>
    <x v="0"/>
    <x v="0"/>
    <x v="6"/>
    <n v="3530.1"/>
    <n v="3762.1299999999997"/>
    <n v="3154.45"/>
    <n v="3165"/>
  </r>
  <r>
    <x v="1"/>
    <x v="1"/>
    <x v="0"/>
    <x v="0"/>
    <x v="0"/>
    <x v="0"/>
    <x v="7"/>
    <n v="3653.1000000000004"/>
    <n v="3952.03"/>
    <n v="3165"/>
    <n v="3165"/>
  </r>
  <r>
    <x v="1"/>
    <x v="1"/>
    <x v="0"/>
    <x v="0"/>
    <x v="0"/>
    <x v="0"/>
    <x v="8"/>
    <n v="3690"/>
    <n v="4009"/>
    <n v="3165"/>
    <n v="3165"/>
  </r>
  <r>
    <x v="1"/>
    <x v="1"/>
    <x v="0"/>
    <x v="0"/>
    <x v="0"/>
    <x v="0"/>
    <x v="9"/>
    <n v="3690"/>
    <n v="4009"/>
    <n v="3165"/>
    <n v="3165"/>
  </r>
  <r>
    <x v="1"/>
    <x v="1"/>
    <x v="0"/>
    <x v="0"/>
    <x v="0"/>
    <x v="0"/>
    <x v="10"/>
    <n v="3690"/>
    <n v="4009"/>
    <n v="3165"/>
    <n v="3165"/>
  </r>
  <r>
    <x v="0"/>
    <x v="0"/>
    <x v="0"/>
    <x v="1"/>
    <x v="1"/>
    <x v="0"/>
    <x v="0"/>
    <n v="2889.7510000000002"/>
    <n v="2657.6059999999998"/>
    <n v="2673.9019999999996"/>
    <n v="2899.7179999999998"/>
  </r>
  <r>
    <x v="0"/>
    <x v="0"/>
    <x v="0"/>
    <x v="1"/>
    <x v="1"/>
    <x v="0"/>
    <x v="1"/>
    <n v="3111.8809999999999"/>
    <n v="2923.386"/>
    <n v="2862.0819999999999"/>
    <n v="3087.8979999999997"/>
  </r>
  <r>
    <x v="0"/>
    <x v="0"/>
    <x v="0"/>
    <x v="1"/>
    <x v="1"/>
    <x v="0"/>
    <x v="2"/>
    <n v="3334.0109999999995"/>
    <n v="3189.1659999999997"/>
    <n v="3050.2619999999997"/>
    <n v="3276.0779999999995"/>
  </r>
  <r>
    <x v="0"/>
    <x v="0"/>
    <x v="0"/>
    <x v="1"/>
    <x v="1"/>
    <x v="0"/>
    <x v="3"/>
    <n v="3556.1409999999992"/>
    <n v="3454.9459999999999"/>
    <n v="3238.442"/>
    <n v="3464.2579999999998"/>
  </r>
  <r>
    <x v="0"/>
    <x v="0"/>
    <x v="0"/>
    <x v="1"/>
    <x v="1"/>
    <x v="0"/>
    <x v="4"/>
    <n v="3778.2710000000002"/>
    <n v="3720.7259999999997"/>
    <n v="3426.6219999999998"/>
    <n v="3652.4379999999996"/>
  </r>
  <r>
    <x v="0"/>
    <x v="0"/>
    <x v="0"/>
    <x v="1"/>
    <x v="1"/>
    <x v="0"/>
    <x v="5"/>
    <n v="4000.4009999999998"/>
    <n v="3986.5059999999999"/>
    <n v="3614.8020000000001"/>
    <n v="3821.7999999999997"/>
  </r>
  <r>
    <x v="0"/>
    <x v="0"/>
    <x v="0"/>
    <x v="1"/>
    <x v="1"/>
    <x v="0"/>
    <x v="6"/>
    <n v="4222.5309999999999"/>
    <n v="4252.2860000000001"/>
    <n v="3802.982"/>
    <n v="3821.7999999999997"/>
  </r>
  <r>
    <x v="0"/>
    <x v="0"/>
    <x v="0"/>
    <x v="1"/>
    <x v="1"/>
    <x v="0"/>
    <x v="7"/>
    <n v="4444.6610000000001"/>
    <n v="4518.0659999999998"/>
    <n v="3821.7999999999997"/>
    <n v="3821.7999999999997"/>
  </r>
  <r>
    <x v="0"/>
    <x v="0"/>
    <x v="0"/>
    <x v="1"/>
    <x v="1"/>
    <x v="0"/>
    <x v="8"/>
    <n v="4511.3"/>
    <n v="4597.8"/>
    <n v="3821.7999999999997"/>
    <n v="3821.7999999999997"/>
  </r>
  <r>
    <x v="0"/>
    <x v="0"/>
    <x v="0"/>
    <x v="1"/>
    <x v="1"/>
    <x v="0"/>
    <x v="9"/>
    <n v="4511.3"/>
    <n v="4597.8"/>
    <n v="3821.7999999999997"/>
    <n v="3821.7999999999997"/>
  </r>
  <r>
    <x v="0"/>
    <x v="0"/>
    <x v="0"/>
    <x v="1"/>
    <x v="1"/>
    <x v="0"/>
    <x v="10"/>
    <n v="4511.3"/>
    <n v="4597.8"/>
    <n v="3821.7999999999997"/>
    <n v="3821.7999999999997"/>
  </r>
  <r>
    <x v="0"/>
    <x v="1"/>
    <x v="1"/>
    <x v="1"/>
    <x v="1"/>
    <x v="0"/>
    <x v="0"/>
    <n v="2999.9"/>
    <n v="3022.5199999999995"/>
    <n v="2657.7999999999997"/>
    <n v="2774.2000000000003"/>
  </r>
  <r>
    <x v="0"/>
    <x v="1"/>
    <x v="1"/>
    <x v="1"/>
    <x v="1"/>
    <x v="0"/>
    <x v="1"/>
    <n v="3114.4"/>
    <n v="3197.12"/>
    <n v="2754.7999999999997"/>
    <n v="2871.2"/>
  </r>
  <r>
    <x v="0"/>
    <x v="1"/>
    <x v="1"/>
    <x v="1"/>
    <x v="1"/>
    <x v="0"/>
    <x v="2"/>
    <n v="3228.8999999999996"/>
    <n v="3371.7199999999993"/>
    <n v="2851.7999999999997"/>
    <n v="2910"/>
  </r>
  <r>
    <x v="0"/>
    <x v="1"/>
    <x v="1"/>
    <x v="1"/>
    <x v="1"/>
    <x v="0"/>
    <x v="3"/>
    <n v="3343.4000000000005"/>
    <n v="3546.32"/>
    <n v="2910"/>
    <n v="2910"/>
  </r>
  <r>
    <x v="0"/>
    <x v="1"/>
    <x v="1"/>
    <x v="1"/>
    <x v="1"/>
    <x v="0"/>
    <x v="4"/>
    <n v="3435"/>
    <n v="3686"/>
    <n v="2910"/>
    <n v="2910"/>
  </r>
  <r>
    <x v="0"/>
    <x v="1"/>
    <x v="1"/>
    <x v="1"/>
    <x v="1"/>
    <x v="0"/>
    <x v="5"/>
    <n v="3435"/>
    <n v="3686"/>
    <n v="2910"/>
    <n v="2910"/>
  </r>
  <r>
    <x v="0"/>
    <x v="1"/>
    <x v="1"/>
    <x v="1"/>
    <x v="1"/>
    <x v="0"/>
    <x v="6"/>
    <n v="3435"/>
    <n v="3686"/>
    <n v="2910"/>
    <n v="2910"/>
  </r>
  <r>
    <x v="0"/>
    <x v="1"/>
    <x v="1"/>
    <x v="1"/>
    <x v="1"/>
    <x v="0"/>
    <x v="7"/>
    <n v="3435"/>
    <n v="3686"/>
    <n v="2910"/>
    <n v="2910"/>
  </r>
  <r>
    <x v="0"/>
    <x v="1"/>
    <x v="1"/>
    <x v="1"/>
    <x v="1"/>
    <x v="0"/>
    <x v="8"/>
    <n v="3435"/>
    <n v="3686"/>
    <n v="2910"/>
    <n v="2910"/>
  </r>
  <r>
    <x v="0"/>
    <x v="1"/>
    <x v="1"/>
    <x v="1"/>
    <x v="1"/>
    <x v="0"/>
    <x v="9"/>
    <n v="3435"/>
    <n v="3686"/>
    <n v="2910"/>
    <n v="2910"/>
  </r>
  <r>
    <x v="0"/>
    <x v="1"/>
    <x v="1"/>
    <x v="1"/>
    <x v="1"/>
    <x v="0"/>
    <x v="10"/>
    <n v="3435"/>
    <n v="3686"/>
    <n v="2910"/>
    <n v="2910"/>
  </r>
  <r>
    <x v="1"/>
    <x v="1"/>
    <x v="0"/>
    <x v="1"/>
    <x v="1"/>
    <x v="0"/>
    <x v="0"/>
    <n v="3019.1"/>
    <n v="2871.33"/>
    <n v="2760.45"/>
    <n v="2899.0499999999997"/>
  </r>
  <r>
    <x v="1"/>
    <x v="1"/>
    <x v="0"/>
    <x v="1"/>
    <x v="1"/>
    <x v="0"/>
    <x v="1"/>
    <n v="3152.1000000000004"/>
    <n v="3079.23"/>
    <n v="2875.9500000000003"/>
    <n v="3014.55"/>
  </r>
  <r>
    <x v="1"/>
    <x v="1"/>
    <x v="0"/>
    <x v="1"/>
    <x v="1"/>
    <x v="0"/>
    <x v="2"/>
    <n v="3285.0999999999995"/>
    <n v="3287.1299999999997"/>
    <n v="2991.45"/>
    <n v="3130.05"/>
  </r>
  <r>
    <x v="1"/>
    <x v="1"/>
    <x v="0"/>
    <x v="1"/>
    <x v="1"/>
    <x v="0"/>
    <x v="3"/>
    <n v="3418.1000000000004"/>
    <n v="3495.0299999999997"/>
    <n v="3106.95"/>
    <n v="3245.5499999999997"/>
  </r>
  <r>
    <x v="1"/>
    <x v="1"/>
    <x v="0"/>
    <x v="1"/>
    <x v="1"/>
    <x v="0"/>
    <x v="4"/>
    <n v="3551.1"/>
    <n v="3702.9299999999994"/>
    <n v="3222.45"/>
    <n v="3361.05"/>
  </r>
  <r>
    <x v="1"/>
    <x v="1"/>
    <x v="0"/>
    <x v="1"/>
    <x v="1"/>
    <x v="0"/>
    <x v="5"/>
    <n v="3684.1"/>
    <n v="3910.8299999999995"/>
    <n v="3337.95"/>
    <n v="3465"/>
  </r>
  <r>
    <x v="1"/>
    <x v="1"/>
    <x v="0"/>
    <x v="1"/>
    <x v="1"/>
    <x v="0"/>
    <x v="6"/>
    <n v="3817.1000000000004"/>
    <n v="4118.7299999999996"/>
    <n v="3453.45"/>
    <n v="3465"/>
  </r>
  <r>
    <x v="1"/>
    <x v="1"/>
    <x v="0"/>
    <x v="1"/>
    <x v="1"/>
    <x v="0"/>
    <x v="7"/>
    <n v="3950.1000000000004"/>
    <n v="4326.63"/>
    <n v="3465"/>
    <n v="3465"/>
  </r>
  <r>
    <x v="1"/>
    <x v="1"/>
    <x v="0"/>
    <x v="1"/>
    <x v="1"/>
    <x v="0"/>
    <x v="8"/>
    <n v="3990"/>
    <n v="4389"/>
    <n v="3465"/>
    <n v="3465"/>
  </r>
  <r>
    <x v="1"/>
    <x v="1"/>
    <x v="0"/>
    <x v="1"/>
    <x v="1"/>
    <x v="0"/>
    <x v="9"/>
    <n v="3990"/>
    <n v="4389"/>
    <n v="3465"/>
    <n v="3465"/>
  </r>
  <r>
    <x v="1"/>
    <x v="1"/>
    <x v="0"/>
    <x v="1"/>
    <x v="1"/>
    <x v="0"/>
    <x v="10"/>
    <n v="3990"/>
    <n v="4389"/>
    <n v="3465"/>
    <n v="3465"/>
  </r>
  <r>
    <x v="0"/>
    <x v="0"/>
    <x v="0"/>
    <x v="2"/>
    <x v="2"/>
    <x v="0"/>
    <x v="0"/>
    <n v="3142.1309999999999"/>
    <n v="2931.5859999999998"/>
    <n v="2949.5619999999999"/>
    <n v="3198.6579999999999"/>
  </r>
  <r>
    <x v="0"/>
    <x v="0"/>
    <x v="0"/>
    <x v="2"/>
    <x v="2"/>
    <x v="0"/>
    <x v="1"/>
    <n v="3383.6610000000001"/>
    <n v="3224.7659999999996"/>
    <n v="3157.1419999999998"/>
    <n v="3406.2379999999998"/>
  </r>
  <r>
    <x v="0"/>
    <x v="0"/>
    <x v="0"/>
    <x v="2"/>
    <x v="2"/>
    <x v="0"/>
    <x v="2"/>
    <n v="3625.1909999999993"/>
    <n v="3517.9459999999999"/>
    <n v="3364.7219999999998"/>
    <n v="3613.8179999999998"/>
  </r>
  <r>
    <x v="0"/>
    <x v="0"/>
    <x v="0"/>
    <x v="2"/>
    <x v="2"/>
    <x v="0"/>
    <x v="3"/>
    <n v="3866.7209999999991"/>
    <n v="3811.1259999999997"/>
    <n v="3572.3020000000001"/>
    <n v="3821.3979999999997"/>
  </r>
  <r>
    <x v="0"/>
    <x v="0"/>
    <x v="0"/>
    <x v="2"/>
    <x v="2"/>
    <x v="0"/>
    <x v="4"/>
    <n v="4108.2510000000002"/>
    <n v="4104.3059999999996"/>
    <n v="3779.8820000000001"/>
    <n v="4028.9779999999996"/>
  </r>
  <r>
    <x v="0"/>
    <x v="0"/>
    <x v="0"/>
    <x v="2"/>
    <x v="2"/>
    <x v="0"/>
    <x v="5"/>
    <n v="4349.7809999999999"/>
    <n v="4397.4859999999999"/>
    <n v="3987.4620000000004"/>
    <n v="4215.8"/>
  </r>
  <r>
    <x v="0"/>
    <x v="0"/>
    <x v="0"/>
    <x v="2"/>
    <x v="2"/>
    <x v="0"/>
    <x v="6"/>
    <n v="4591.3110000000006"/>
    <n v="4690.6660000000002"/>
    <n v="4195.0419999999995"/>
    <n v="4215.8"/>
  </r>
  <r>
    <x v="0"/>
    <x v="0"/>
    <x v="0"/>
    <x v="2"/>
    <x v="2"/>
    <x v="0"/>
    <x v="7"/>
    <n v="4832.8409999999994"/>
    <n v="4983.8459999999995"/>
    <n v="4215.8"/>
    <n v="4215.8"/>
  </r>
  <r>
    <x v="0"/>
    <x v="0"/>
    <x v="0"/>
    <x v="2"/>
    <x v="2"/>
    <x v="0"/>
    <x v="8"/>
    <n v="4905.3"/>
    <n v="5071.8"/>
    <n v="4215.8"/>
    <n v="4215.8"/>
  </r>
  <r>
    <x v="0"/>
    <x v="0"/>
    <x v="0"/>
    <x v="2"/>
    <x v="2"/>
    <x v="0"/>
    <x v="9"/>
    <n v="4905.3"/>
    <n v="5071.8"/>
    <n v="4215.8"/>
    <n v="4215.8"/>
  </r>
  <r>
    <x v="0"/>
    <x v="0"/>
    <x v="0"/>
    <x v="2"/>
    <x v="2"/>
    <x v="0"/>
    <x v="10"/>
    <n v="4905.3"/>
    <n v="5071.8"/>
    <n v="4215.8"/>
    <n v="4215.8"/>
  </r>
  <r>
    <x v="0"/>
    <x v="1"/>
    <x v="1"/>
    <x v="2"/>
    <x v="2"/>
    <x v="0"/>
    <x v="0"/>
    <n v="3261.9"/>
    <n v="3334.1199999999994"/>
    <n v="2931.7999999999997"/>
    <n v="3060.2000000000003"/>
  </r>
  <r>
    <x v="0"/>
    <x v="1"/>
    <x v="1"/>
    <x v="2"/>
    <x v="2"/>
    <x v="0"/>
    <x v="1"/>
    <n v="3386.4"/>
    <n v="3526.72"/>
    <n v="3038.7999999999997"/>
    <n v="3167.2"/>
  </r>
  <r>
    <x v="0"/>
    <x v="1"/>
    <x v="1"/>
    <x v="2"/>
    <x v="2"/>
    <x v="0"/>
    <x v="2"/>
    <n v="3510.8999999999996"/>
    <n v="3719.3199999999997"/>
    <n v="3145.7999999999997"/>
    <n v="3210"/>
  </r>
  <r>
    <x v="0"/>
    <x v="1"/>
    <x v="1"/>
    <x v="2"/>
    <x v="2"/>
    <x v="0"/>
    <x v="3"/>
    <n v="3635.4000000000005"/>
    <n v="3911.92"/>
    <n v="3210"/>
    <n v="3210"/>
  </r>
  <r>
    <x v="0"/>
    <x v="1"/>
    <x v="1"/>
    <x v="2"/>
    <x v="2"/>
    <x v="0"/>
    <x v="4"/>
    <n v="3735"/>
    <n v="4066"/>
    <n v="3210"/>
    <n v="3210"/>
  </r>
  <r>
    <x v="0"/>
    <x v="1"/>
    <x v="1"/>
    <x v="2"/>
    <x v="2"/>
    <x v="0"/>
    <x v="5"/>
    <n v="3735"/>
    <n v="4066"/>
    <n v="3210"/>
    <n v="3210"/>
  </r>
  <r>
    <x v="0"/>
    <x v="1"/>
    <x v="1"/>
    <x v="2"/>
    <x v="2"/>
    <x v="0"/>
    <x v="6"/>
    <n v="3735"/>
    <n v="4066"/>
    <n v="3210"/>
    <n v="3210"/>
  </r>
  <r>
    <x v="0"/>
    <x v="1"/>
    <x v="1"/>
    <x v="2"/>
    <x v="2"/>
    <x v="0"/>
    <x v="7"/>
    <n v="3735"/>
    <n v="4066"/>
    <n v="3210"/>
    <n v="3210"/>
  </r>
  <r>
    <x v="0"/>
    <x v="1"/>
    <x v="1"/>
    <x v="2"/>
    <x v="2"/>
    <x v="0"/>
    <x v="8"/>
    <n v="3735"/>
    <n v="4066"/>
    <n v="3210"/>
    <n v="3210"/>
  </r>
  <r>
    <x v="0"/>
    <x v="1"/>
    <x v="1"/>
    <x v="2"/>
    <x v="2"/>
    <x v="0"/>
    <x v="9"/>
    <n v="3735"/>
    <n v="4066"/>
    <n v="3210"/>
    <n v="3210"/>
  </r>
  <r>
    <x v="0"/>
    <x v="1"/>
    <x v="1"/>
    <x v="2"/>
    <x v="2"/>
    <x v="0"/>
    <x v="10"/>
    <n v="3735"/>
    <n v="4066"/>
    <n v="3210"/>
    <n v="3210"/>
  </r>
  <r>
    <x v="1"/>
    <x v="1"/>
    <x v="0"/>
    <x v="2"/>
    <x v="2"/>
    <x v="0"/>
    <x v="0"/>
    <n v="3246.1"/>
    <n v="3119.93"/>
    <n v="2999.45"/>
    <n v="3150.0499999999997"/>
  </r>
  <r>
    <x v="1"/>
    <x v="1"/>
    <x v="0"/>
    <x v="2"/>
    <x v="2"/>
    <x v="0"/>
    <x v="1"/>
    <n v="3389.1000000000004"/>
    <n v="3345.83"/>
    <n v="3124.9500000000003"/>
    <n v="3275.55"/>
  </r>
  <r>
    <x v="1"/>
    <x v="1"/>
    <x v="0"/>
    <x v="2"/>
    <x v="2"/>
    <x v="0"/>
    <x v="2"/>
    <n v="3532.0999999999995"/>
    <n v="3571.7299999999996"/>
    <n v="3250.45"/>
    <n v="3401.05"/>
  </r>
  <r>
    <x v="1"/>
    <x v="1"/>
    <x v="0"/>
    <x v="2"/>
    <x v="2"/>
    <x v="0"/>
    <x v="3"/>
    <n v="3675.1000000000004"/>
    <n v="3797.6299999999997"/>
    <n v="3375.95"/>
    <n v="3526.5499999999997"/>
  </r>
  <r>
    <x v="1"/>
    <x v="1"/>
    <x v="0"/>
    <x v="2"/>
    <x v="2"/>
    <x v="0"/>
    <x v="4"/>
    <n v="3818.1"/>
    <n v="4023.5299999999993"/>
    <n v="3501.45"/>
    <n v="3652.05"/>
  </r>
  <r>
    <x v="1"/>
    <x v="1"/>
    <x v="0"/>
    <x v="2"/>
    <x v="2"/>
    <x v="0"/>
    <x v="5"/>
    <n v="3961.1"/>
    <n v="4249.4299999999994"/>
    <n v="3626.95"/>
    <n v="3765"/>
  </r>
  <r>
    <x v="1"/>
    <x v="1"/>
    <x v="0"/>
    <x v="2"/>
    <x v="2"/>
    <x v="0"/>
    <x v="6"/>
    <n v="4104.1000000000004"/>
    <n v="4475.33"/>
    <n v="3752.45"/>
    <n v="3765"/>
  </r>
  <r>
    <x v="1"/>
    <x v="1"/>
    <x v="0"/>
    <x v="2"/>
    <x v="2"/>
    <x v="0"/>
    <x v="7"/>
    <n v="4247.1000000000004"/>
    <n v="4701.2299999999996"/>
    <n v="3765"/>
    <n v="3765"/>
  </r>
  <r>
    <x v="1"/>
    <x v="1"/>
    <x v="0"/>
    <x v="2"/>
    <x v="2"/>
    <x v="0"/>
    <x v="8"/>
    <n v="4290"/>
    <n v="4769"/>
    <n v="3765"/>
    <n v="3765"/>
  </r>
  <r>
    <x v="1"/>
    <x v="1"/>
    <x v="0"/>
    <x v="2"/>
    <x v="2"/>
    <x v="0"/>
    <x v="9"/>
    <n v="4290"/>
    <n v="4769"/>
    <n v="3765"/>
    <n v="3765"/>
  </r>
  <r>
    <x v="1"/>
    <x v="1"/>
    <x v="0"/>
    <x v="2"/>
    <x v="2"/>
    <x v="0"/>
    <x v="10"/>
    <n v="4290"/>
    <n v="4769"/>
    <n v="3765"/>
    <n v="3765"/>
  </r>
  <r>
    <x v="0"/>
    <x v="0"/>
    <x v="0"/>
    <x v="3"/>
    <x v="3"/>
    <x v="0"/>
    <x v="0"/>
    <n v="3394.511"/>
    <n v="3205.5659999999998"/>
    <n v="3225.2219999999998"/>
    <n v="3497.598"/>
  </r>
  <r>
    <x v="0"/>
    <x v="0"/>
    <x v="0"/>
    <x v="3"/>
    <x v="3"/>
    <x v="0"/>
    <x v="1"/>
    <n v="3655.4409999999998"/>
    <n v="3526.1459999999997"/>
    <n v="3452.2019999999998"/>
    <n v="3724.578"/>
  </r>
  <r>
    <x v="0"/>
    <x v="0"/>
    <x v="0"/>
    <x v="3"/>
    <x v="3"/>
    <x v="0"/>
    <x v="2"/>
    <n v="3916.3709999999992"/>
    <n v="3846.7259999999997"/>
    <n v="3679.1819999999993"/>
    <n v="3951.5579999999995"/>
  </r>
  <r>
    <x v="0"/>
    <x v="0"/>
    <x v="0"/>
    <x v="3"/>
    <x v="3"/>
    <x v="0"/>
    <x v="3"/>
    <n v="4177.3009999999995"/>
    <n v="4167.3059999999996"/>
    <n v="3906.1619999999998"/>
    <n v="4178.5379999999996"/>
  </r>
  <r>
    <x v="0"/>
    <x v="0"/>
    <x v="0"/>
    <x v="3"/>
    <x v="3"/>
    <x v="0"/>
    <x v="4"/>
    <n v="4438.2310000000007"/>
    <n v="4487.8859999999995"/>
    <n v="4133.1419999999998"/>
    <n v="4405.518"/>
  </r>
  <r>
    <x v="0"/>
    <x v="0"/>
    <x v="0"/>
    <x v="3"/>
    <x v="3"/>
    <x v="0"/>
    <x v="5"/>
    <n v="4699.1610000000001"/>
    <n v="4808.4659999999994"/>
    <n v="4360.1220000000003"/>
    <n v="4609.8"/>
  </r>
  <r>
    <x v="0"/>
    <x v="0"/>
    <x v="0"/>
    <x v="3"/>
    <x v="3"/>
    <x v="0"/>
    <x v="6"/>
    <n v="4960.0910000000003"/>
    <n v="5129.0460000000003"/>
    <n v="4587.1019999999999"/>
    <n v="4609.8"/>
  </r>
  <r>
    <x v="0"/>
    <x v="0"/>
    <x v="0"/>
    <x v="3"/>
    <x v="3"/>
    <x v="0"/>
    <x v="7"/>
    <n v="5221.0209999999997"/>
    <n v="5449.6260000000002"/>
    <n v="4609.8"/>
    <n v="4609.8"/>
  </r>
  <r>
    <x v="0"/>
    <x v="0"/>
    <x v="0"/>
    <x v="3"/>
    <x v="3"/>
    <x v="0"/>
    <x v="8"/>
    <n v="5299.3"/>
    <n v="5545.8"/>
    <n v="4609.8"/>
    <n v="4609.8"/>
  </r>
  <r>
    <x v="0"/>
    <x v="0"/>
    <x v="0"/>
    <x v="3"/>
    <x v="3"/>
    <x v="0"/>
    <x v="9"/>
    <n v="5299.3"/>
    <n v="5545.8"/>
    <n v="4609.8"/>
    <n v="4609.8"/>
  </r>
  <r>
    <x v="0"/>
    <x v="0"/>
    <x v="0"/>
    <x v="3"/>
    <x v="3"/>
    <x v="0"/>
    <x v="10"/>
    <n v="5299.3"/>
    <n v="5545.8"/>
    <n v="4609.8"/>
    <n v="4609.8"/>
  </r>
  <r>
    <x v="0"/>
    <x v="1"/>
    <x v="1"/>
    <x v="3"/>
    <x v="3"/>
    <x v="0"/>
    <x v="0"/>
    <n v="3523.9"/>
    <n v="3645.72"/>
    <n v="3205.7999999999997"/>
    <n v="3346.2000000000003"/>
  </r>
  <r>
    <x v="0"/>
    <x v="1"/>
    <x v="1"/>
    <x v="3"/>
    <x v="3"/>
    <x v="0"/>
    <x v="1"/>
    <n v="3658.4"/>
    <n v="3856.3199999999997"/>
    <n v="3322.7999999999997"/>
    <n v="3463.2"/>
  </r>
  <r>
    <x v="0"/>
    <x v="1"/>
    <x v="1"/>
    <x v="3"/>
    <x v="3"/>
    <x v="0"/>
    <x v="2"/>
    <n v="3792.8999999999996"/>
    <n v="4066.9199999999996"/>
    <n v="3439.7999999999997"/>
    <n v="3510"/>
  </r>
  <r>
    <x v="0"/>
    <x v="1"/>
    <x v="1"/>
    <x v="3"/>
    <x v="3"/>
    <x v="0"/>
    <x v="3"/>
    <n v="3927.4000000000005"/>
    <n v="4277.5200000000004"/>
    <n v="3510"/>
    <n v="3510"/>
  </r>
  <r>
    <x v="0"/>
    <x v="1"/>
    <x v="1"/>
    <x v="3"/>
    <x v="3"/>
    <x v="0"/>
    <x v="4"/>
    <n v="4035"/>
    <n v="4446"/>
    <n v="3510"/>
    <n v="3510"/>
  </r>
  <r>
    <x v="0"/>
    <x v="1"/>
    <x v="1"/>
    <x v="3"/>
    <x v="3"/>
    <x v="0"/>
    <x v="5"/>
    <n v="4035"/>
    <n v="4446"/>
    <n v="3510"/>
    <n v="3510"/>
  </r>
  <r>
    <x v="0"/>
    <x v="1"/>
    <x v="1"/>
    <x v="3"/>
    <x v="3"/>
    <x v="0"/>
    <x v="6"/>
    <n v="4035"/>
    <n v="4446"/>
    <n v="3510"/>
    <n v="3510"/>
  </r>
  <r>
    <x v="0"/>
    <x v="1"/>
    <x v="1"/>
    <x v="3"/>
    <x v="3"/>
    <x v="0"/>
    <x v="7"/>
    <n v="4035"/>
    <n v="4446"/>
    <n v="3510"/>
    <n v="3510"/>
  </r>
  <r>
    <x v="0"/>
    <x v="1"/>
    <x v="1"/>
    <x v="3"/>
    <x v="3"/>
    <x v="0"/>
    <x v="8"/>
    <n v="4035"/>
    <n v="4446"/>
    <n v="3510"/>
    <n v="3510"/>
  </r>
  <r>
    <x v="0"/>
    <x v="1"/>
    <x v="1"/>
    <x v="3"/>
    <x v="3"/>
    <x v="0"/>
    <x v="9"/>
    <n v="4035"/>
    <n v="4446"/>
    <n v="3510"/>
    <n v="3510"/>
  </r>
  <r>
    <x v="0"/>
    <x v="1"/>
    <x v="1"/>
    <x v="3"/>
    <x v="3"/>
    <x v="0"/>
    <x v="10"/>
    <n v="4035"/>
    <n v="4446"/>
    <n v="3510"/>
    <n v="3510"/>
  </r>
  <r>
    <x v="1"/>
    <x v="1"/>
    <x v="0"/>
    <x v="3"/>
    <x v="3"/>
    <x v="0"/>
    <x v="0"/>
    <n v="3473.1"/>
    <n v="3368.5299999999997"/>
    <n v="3238.4499999999994"/>
    <n v="3401.0499999999997"/>
  </r>
  <r>
    <x v="1"/>
    <x v="1"/>
    <x v="0"/>
    <x v="3"/>
    <x v="3"/>
    <x v="0"/>
    <x v="1"/>
    <n v="3626.1000000000004"/>
    <n v="3612.43"/>
    <n v="3373.9500000000003"/>
    <n v="3536.5500000000006"/>
  </r>
  <r>
    <x v="1"/>
    <x v="1"/>
    <x v="0"/>
    <x v="3"/>
    <x v="3"/>
    <x v="0"/>
    <x v="2"/>
    <n v="3779.0999999999995"/>
    <n v="3856.3299999999995"/>
    <n v="3509.45"/>
    <n v="3672.0499999999997"/>
  </r>
  <r>
    <x v="1"/>
    <x v="1"/>
    <x v="0"/>
    <x v="3"/>
    <x v="3"/>
    <x v="0"/>
    <x v="3"/>
    <n v="3932.1000000000004"/>
    <n v="4100.2299999999996"/>
    <n v="3644.95"/>
    <n v="3807.5499999999993"/>
  </r>
  <r>
    <x v="1"/>
    <x v="1"/>
    <x v="0"/>
    <x v="3"/>
    <x v="3"/>
    <x v="0"/>
    <x v="4"/>
    <n v="4085.1"/>
    <n v="4344.1299999999992"/>
    <n v="3780.4500000000003"/>
    <n v="3943.05"/>
  </r>
  <r>
    <x v="1"/>
    <x v="1"/>
    <x v="0"/>
    <x v="3"/>
    <x v="3"/>
    <x v="0"/>
    <x v="5"/>
    <n v="4238.1000000000004"/>
    <n v="4588.03"/>
    <n v="3915.9499999999994"/>
    <n v="4065"/>
  </r>
  <r>
    <x v="1"/>
    <x v="1"/>
    <x v="0"/>
    <x v="3"/>
    <x v="3"/>
    <x v="0"/>
    <x v="6"/>
    <n v="4391.1000000000004"/>
    <n v="4831.9299999999994"/>
    <n v="4051.45"/>
    <n v="4065"/>
  </r>
  <r>
    <x v="1"/>
    <x v="1"/>
    <x v="0"/>
    <x v="3"/>
    <x v="3"/>
    <x v="0"/>
    <x v="7"/>
    <n v="4544.1000000000004"/>
    <n v="5075.83"/>
    <n v="4065"/>
    <n v="4065"/>
  </r>
  <r>
    <x v="1"/>
    <x v="1"/>
    <x v="0"/>
    <x v="3"/>
    <x v="3"/>
    <x v="0"/>
    <x v="8"/>
    <n v="4590"/>
    <n v="5149"/>
    <n v="4065"/>
    <n v="4065"/>
  </r>
  <r>
    <x v="1"/>
    <x v="1"/>
    <x v="0"/>
    <x v="3"/>
    <x v="3"/>
    <x v="0"/>
    <x v="9"/>
    <n v="4590"/>
    <n v="5149"/>
    <n v="4065"/>
    <n v="4065"/>
  </r>
  <r>
    <x v="1"/>
    <x v="1"/>
    <x v="0"/>
    <x v="3"/>
    <x v="3"/>
    <x v="0"/>
    <x v="10"/>
    <n v="4590"/>
    <n v="5149"/>
    <n v="4065"/>
    <n v="4065"/>
  </r>
  <r>
    <x v="0"/>
    <x v="0"/>
    <x v="0"/>
    <x v="4"/>
    <x v="4"/>
    <x v="0"/>
    <x v="0"/>
    <n v="3646.8910000000001"/>
    <n v="3479.5459999999998"/>
    <n v="3500.8819999999996"/>
    <n v="3796.538"/>
  </r>
  <r>
    <x v="0"/>
    <x v="0"/>
    <x v="0"/>
    <x v="4"/>
    <x v="4"/>
    <x v="0"/>
    <x v="1"/>
    <n v="3927.221"/>
    <n v="3827.5259999999998"/>
    <n v="3747.2619999999997"/>
    <n v="4042.9179999999997"/>
  </r>
  <r>
    <x v="0"/>
    <x v="0"/>
    <x v="0"/>
    <x v="4"/>
    <x v="4"/>
    <x v="0"/>
    <x v="2"/>
    <n v="4207.5509999999995"/>
    <n v="4175.5059999999994"/>
    <n v="3993.6419999999994"/>
    <n v="4289.2979999999998"/>
  </r>
  <r>
    <x v="0"/>
    <x v="0"/>
    <x v="0"/>
    <x v="4"/>
    <x v="4"/>
    <x v="0"/>
    <x v="3"/>
    <n v="4487.8809999999994"/>
    <n v="4523.4859999999999"/>
    <n v="4240.0219999999999"/>
    <n v="4535.6779999999999"/>
  </r>
  <r>
    <x v="0"/>
    <x v="0"/>
    <x v="0"/>
    <x v="4"/>
    <x v="4"/>
    <x v="0"/>
    <x v="4"/>
    <n v="4768.2110000000002"/>
    <n v="4871.4659999999994"/>
    <n v="4486.402"/>
    <n v="4782.0579999999991"/>
  </r>
  <r>
    <x v="0"/>
    <x v="0"/>
    <x v="0"/>
    <x v="4"/>
    <x v="4"/>
    <x v="0"/>
    <x v="5"/>
    <n v="5048.5409999999993"/>
    <n v="5219.4459999999999"/>
    <n v="4732.7820000000002"/>
    <n v="5003.8"/>
  </r>
  <r>
    <x v="0"/>
    <x v="0"/>
    <x v="0"/>
    <x v="4"/>
    <x v="4"/>
    <x v="0"/>
    <x v="6"/>
    <n v="5328.8710000000001"/>
    <n v="5567.4259999999995"/>
    <n v="4979.1620000000003"/>
    <n v="5003.8"/>
  </r>
  <r>
    <x v="0"/>
    <x v="0"/>
    <x v="0"/>
    <x v="4"/>
    <x v="4"/>
    <x v="0"/>
    <x v="7"/>
    <n v="5609.2009999999991"/>
    <n v="5915.4059999999999"/>
    <n v="5003.8"/>
    <n v="5003.8"/>
  </r>
  <r>
    <x v="0"/>
    <x v="0"/>
    <x v="0"/>
    <x v="4"/>
    <x v="4"/>
    <x v="0"/>
    <x v="8"/>
    <n v="5693.3"/>
    <n v="6019.8"/>
    <n v="5003.8"/>
    <n v="5003.8"/>
  </r>
  <r>
    <x v="0"/>
    <x v="0"/>
    <x v="0"/>
    <x v="4"/>
    <x v="4"/>
    <x v="0"/>
    <x v="9"/>
    <n v="5693.3"/>
    <n v="6019.8"/>
    <n v="5003.8"/>
    <n v="5003.8"/>
  </r>
  <r>
    <x v="0"/>
    <x v="0"/>
    <x v="0"/>
    <x v="4"/>
    <x v="4"/>
    <x v="0"/>
    <x v="10"/>
    <n v="5693.3"/>
    <n v="6019.8"/>
    <n v="5003.8"/>
    <n v="5003.8"/>
  </r>
  <r>
    <x v="0"/>
    <x v="1"/>
    <x v="1"/>
    <x v="4"/>
    <x v="4"/>
    <x v="0"/>
    <x v="0"/>
    <n v="3785.9"/>
    <n v="3957.3199999999997"/>
    <n v="3479.7999999999997"/>
    <n v="3632.2000000000003"/>
  </r>
  <r>
    <x v="0"/>
    <x v="1"/>
    <x v="1"/>
    <x v="4"/>
    <x v="4"/>
    <x v="0"/>
    <x v="1"/>
    <n v="3930.4"/>
    <n v="4185.92"/>
    <n v="3606.7999999999997"/>
    <n v="3759.2"/>
  </r>
  <r>
    <x v="0"/>
    <x v="1"/>
    <x v="1"/>
    <x v="4"/>
    <x v="4"/>
    <x v="0"/>
    <x v="2"/>
    <n v="4074.8999999999996"/>
    <n v="4414.5199999999995"/>
    <n v="3733.7999999999997"/>
    <n v="3810"/>
  </r>
  <r>
    <x v="0"/>
    <x v="1"/>
    <x v="1"/>
    <x v="4"/>
    <x v="4"/>
    <x v="0"/>
    <x v="3"/>
    <n v="4219.4000000000005"/>
    <n v="4643.12"/>
    <n v="3810"/>
    <n v="3810"/>
  </r>
  <r>
    <x v="0"/>
    <x v="1"/>
    <x v="1"/>
    <x v="4"/>
    <x v="4"/>
    <x v="0"/>
    <x v="4"/>
    <n v="4335"/>
    <n v="4826"/>
    <n v="3810"/>
    <n v="3810"/>
  </r>
  <r>
    <x v="0"/>
    <x v="1"/>
    <x v="1"/>
    <x v="4"/>
    <x v="4"/>
    <x v="0"/>
    <x v="5"/>
    <n v="4335"/>
    <n v="4826"/>
    <n v="3810"/>
    <n v="3810"/>
  </r>
  <r>
    <x v="0"/>
    <x v="1"/>
    <x v="1"/>
    <x v="4"/>
    <x v="4"/>
    <x v="0"/>
    <x v="6"/>
    <n v="4335"/>
    <n v="4826"/>
    <n v="3810"/>
    <n v="3810"/>
  </r>
  <r>
    <x v="0"/>
    <x v="1"/>
    <x v="1"/>
    <x v="4"/>
    <x v="4"/>
    <x v="0"/>
    <x v="7"/>
    <n v="4335"/>
    <n v="4826"/>
    <n v="3810"/>
    <n v="3810"/>
  </r>
  <r>
    <x v="0"/>
    <x v="1"/>
    <x v="1"/>
    <x v="4"/>
    <x v="4"/>
    <x v="0"/>
    <x v="8"/>
    <n v="4335"/>
    <n v="4826"/>
    <n v="3810"/>
    <n v="3810"/>
  </r>
  <r>
    <x v="0"/>
    <x v="1"/>
    <x v="1"/>
    <x v="4"/>
    <x v="4"/>
    <x v="0"/>
    <x v="9"/>
    <n v="4335"/>
    <n v="4826"/>
    <n v="3810"/>
    <n v="3810"/>
  </r>
  <r>
    <x v="0"/>
    <x v="1"/>
    <x v="1"/>
    <x v="4"/>
    <x v="4"/>
    <x v="0"/>
    <x v="10"/>
    <n v="4335"/>
    <n v="4826"/>
    <n v="3810"/>
    <n v="3810"/>
  </r>
  <r>
    <x v="1"/>
    <x v="1"/>
    <x v="0"/>
    <x v="4"/>
    <x v="4"/>
    <x v="0"/>
    <x v="0"/>
    <n v="3700.1000000000004"/>
    <n v="3617.1299999999997"/>
    <n v="3477.4499999999994"/>
    <n v="3652.0499999999997"/>
  </r>
  <r>
    <x v="1"/>
    <x v="1"/>
    <x v="0"/>
    <x v="4"/>
    <x v="4"/>
    <x v="0"/>
    <x v="1"/>
    <n v="3863.1000000000008"/>
    <n v="3879.0299999999997"/>
    <n v="3622.9500000000003"/>
    <n v="3797.5500000000006"/>
  </r>
  <r>
    <x v="1"/>
    <x v="1"/>
    <x v="0"/>
    <x v="4"/>
    <x v="4"/>
    <x v="0"/>
    <x v="2"/>
    <n v="4026.1000000000004"/>
    <n v="4140.9299999999994"/>
    <n v="3768.45"/>
    <n v="3943.0499999999997"/>
  </r>
  <r>
    <x v="1"/>
    <x v="1"/>
    <x v="0"/>
    <x v="4"/>
    <x v="4"/>
    <x v="0"/>
    <x v="3"/>
    <n v="4189.1000000000013"/>
    <n v="4402.83"/>
    <n v="3913.95"/>
    <n v="4088.5499999999993"/>
  </r>
  <r>
    <x v="1"/>
    <x v="1"/>
    <x v="0"/>
    <x v="4"/>
    <x v="4"/>
    <x v="0"/>
    <x v="4"/>
    <n v="4352.1000000000004"/>
    <n v="4664.7299999999996"/>
    <n v="4059.4500000000003"/>
    <n v="4234.05"/>
  </r>
  <r>
    <x v="1"/>
    <x v="1"/>
    <x v="0"/>
    <x v="4"/>
    <x v="4"/>
    <x v="0"/>
    <x v="5"/>
    <n v="4515.1000000000004"/>
    <n v="4926.6299999999992"/>
    <n v="4204.95"/>
    <n v="4365"/>
  </r>
  <r>
    <x v="1"/>
    <x v="1"/>
    <x v="0"/>
    <x v="4"/>
    <x v="4"/>
    <x v="0"/>
    <x v="6"/>
    <n v="4678.1000000000013"/>
    <n v="5188.53"/>
    <n v="4350.45"/>
    <n v="4365"/>
  </r>
  <r>
    <x v="1"/>
    <x v="1"/>
    <x v="0"/>
    <x v="4"/>
    <x v="4"/>
    <x v="0"/>
    <x v="7"/>
    <n v="4841.1000000000013"/>
    <n v="5450.43"/>
    <n v="4365"/>
    <n v="4365"/>
  </r>
  <r>
    <x v="1"/>
    <x v="1"/>
    <x v="0"/>
    <x v="4"/>
    <x v="4"/>
    <x v="0"/>
    <x v="8"/>
    <n v="4890.0000000000009"/>
    <n v="5529"/>
    <n v="4365"/>
    <n v="4365"/>
  </r>
  <r>
    <x v="1"/>
    <x v="1"/>
    <x v="0"/>
    <x v="4"/>
    <x v="4"/>
    <x v="0"/>
    <x v="9"/>
    <n v="4890.0000000000009"/>
    <n v="5529"/>
    <n v="4365"/>
    <n v="4365"/>
  </r>
  <r>
    <x v="1"/>
    <x v="1"/>
    <x v="0"/>
    <x v="4"/>
    <x v="4"/>
    <x v="0"/>
    <x v="10"/>
    <n v="4890.0000000000009"/>
    <n v="5529"/>
    <n v="4365"/>
    <n v="4365"/>
  </r>
  <r>
    <x v="0"/>
    <x v="0"/>
    <x v="0"/>
    <x v="5"/>
    <x v="5"/>
    <x v="0"/>
    <x v="0"/>
    <n v="3899.2710000000006"/>
    <n v="3753.5259999999998"/>
    <n v="3776.5419999999995"/>
    <n v="4095.4779999999996"/>
  </r>
  <r>
    <x v="0"/>
    <x v="0"/>
    <x v="0"/>
    <x v="5"/>
    <x v="5"/>
    <x v="0"/>
    <x v="1"/>
    <n v="4199.0010000000002"/>
    <n v="4128.9059999999999"/>
    <n v="4042.3219999999997"/>
    <n v="4361.2579999999998"/>
  </r>
  <r>
    <x v="0"/>
    <x v="0"/>
    <x v="0"/>
    <x v="5"/>
    <x v="5"/>
    <x v="0"/>
    <x v="2"/>
    <n v="4498.7309999999998"/>
    <n v="4504.2860000000001"/>
    <n v="4308.1019999999999"/>
    <n v="4627.0379999999996"/>
  </r>
  <r>
    <x v="0"/>
    <x v="0"/>
    <x v="0"/>
    <x v="5"/>
    <x v="5"/>
    <x v="0"/>
    <x v="3"/>
    <n v="4798.4610000000002"/>
    <n v="4879.6660000000002"/>
    <n v="4573.8819999999996"/>
    <n v="4892.8179999999993"/>
  </r>
  <r>
    <x v="0"/>
    <x v="0"/>
    <x v="0"/>
    <x v="5"/>
    <x v="5"/>
    <x v="0"/>
    <x v="4"/>
    <n v="5098.1910000000016"/>
    <n v="5255.0460000000003"/>
    <n v="4839.6620000000003"/>
    <n v="5158.598"/>
  </r>
  <r>
    <x v="0"/>
    <x v="0"/>
    <x v="0"/>
    <x v="5"/>
    <x v="5"/>
    <x v="0"/>
    <x v="5"/>
    <n v="5397.9210000000003"/>
    <n v="5630.4259999999995"/>
    <n v="5105.4420000000009"/>
    <n v="5397.8"/>
  </r>
  <r>
    <x v="0"/>
    <x v="0"/>
    <x v="0"/>
    <x v="5"/>
    <x v="5"/>
    <x v="0"/>
    <x v="6"/>
    <n v="5697.6510000000007"/>
    <n v="6005.8059999999996"/>
    <n v="5371.2219999999998"/>
    <n v="5397.8"/>
  </r>
  <r>
    <x v="0"/>
    <x v="0"/>
    <x v="0"/>
    <x v="5"/>
    <x v="5"/>
    <x v="0"/>
    <x v="7"/>
    <n v="5997.3810000000003"/>
    <n v="6381.1859999999997"/>
    <n v="5397.8"/>
    <n v="5397.8"/>
  </r>
  <r>
    <x v="0"/>
    <x v="0"/>
    <x v="0"/>
    <x v="5"/>
    <x v="5"/>
    <x v="0"/>
    <x v="8"/>
    <n v="6087.3000000000011"/>
    <n v="6493.8"/>
    <n v="5397.8"/>
    <n v="5397.8"/>
  </r>
  <r>
    <x v="0"/>
    <x v="0"/>
    <x v="0"/>
    <x v="5"/>
    <x v="5"/>
    <x v="0"/>
    <x v="9"/>
    <n v="6087.3000000000011"/>
    <n v="6493.8"/>
    <n v="5397.8"/>
    <n v="5397.8"/>
  </r>
  <r>
    <x v="0"/>
    <x v="0"/>
    <x v="0"/>
    <x v="5"/>
    <x v="5"/>
    <x v="0"/>
    <x v="10"/>
    <n v="6087.3000000000011"/>
    <n v="6493.8"/>
    <n v="5397.8"/>
    <n v="5397.8"/>
  </r>
  <r>
    <x v="0"/>
    <x v="1"/>
    <x v="1"/>
    <x v="5"/>
    <x v="5"/>
    <x v="0"/>
    <x v="0"/>
    <n v="4047.9000000000005"/>
    <n v="4268.9199999999992"/>
    <n v="3753.7999999999997"/>
    <n v="3918.2000000000003"/>
  </r>
  <r>
    <x v="0"/>
    <x v="1"/>
    <x v="1"/>
    <x v="5"/>
    <x v="5"/>
    <x v="0"/>
    <x v="1"/>
    <n v="4202.4000000000005"/>
    <n v="4515.5199999999995"/>
    <n v="3890.7999999999997"/>
    <n v="4055.2"/>
  </r>
  <r>
    <x v="0"/>
    <x v="1"/>
    <x v="1"/>
    <x v="5"/>
    <x v="5"/>
    <x v="0"/>
    <x v="2"/>
    <n v="4356.9000000000005"/>
    <n v="4762.119999999999"/>
    <n v="4027.7999999999997"/>
    <n v="4110"/>
  </r>
  <r>
    <x v="0"/>
    <x v="1"/>
    <x v="1"/>
    <x v="5"/>
    <x v="5"/>
    <x v="0"/>
    <x v="3"/>
    <n v="4511.4000000000015"/>
    <n v="5008.72"/>
    <n v="4110"/>
    <n v="4110"/>
  </r>
  <r>
    <x v="0"/>
    <x v="1"/>
    <x v="1"/>
    <x v="5"/>
    <x v="5"/>
    <x v="0"/>
    <x v="4"/>
    <n v="4635.0000000000009"/>
    <n v="5206"/>
    <n v="4110"/>
    <n v="4110"/>
  </r>
  <r>
    <x v="0"/>
    <x v="1"/>
    <x v="1"/>
    <x v="5"/>
    <x v="5"/>
    <x v="0"/>
    <x v="5"/>
    <n v="4635.0000000000009"/>
    <n v="5206"/>
    <n v="4110"/>
    <n v="4110"/>
  </r>
  <r>
    <x v="0"/>
    <x v="1"/>
    <x v="1"/>
    <x v="5"/>
    <x v="5"/>
    <x v="0"/>
    <x v="6"/>
    <n v="4635.0000000000009"/>
    <n v="5206"/>
    <n v="4110"/>
    <n v="4110"/>
  </r>
  <r>
    <x v="0"/>
    <x v="1"/>
    <x v="1"/>
    <x v="5"/>
    <x v="5"/>
    <x v="0"/>
    <x v="7"/>
    <n v="4635.0000000000009"/>
    <n v="5206"/>
    <n v="4110"/>
    <n v="4110"/>
  </r>
  <r>
    <x v="0"/>
    <x v="1"/>
    <x v="1"/>
    <x v="5"/>
    <x v="5"/>
    <x v="0"/>
    <x v="8"/>
    <n v="4635.0000000000009"/>
    <n v="5206"/>
    <n v="4110"/>
    <n v="4110"/>
  </r>
  <r>
    <x v="0"/>
    <x v="1"/>
    <x v="1"/>
    <x v="5"/>
    <x v="5"/>
    <x v="0"/>
    <x v="9"/>
    <n v="4635.0000000000009"/>
    <n v="5206"/>
    <n v="4110"/>
    <n v="4110"/>
  </r>
  <r>
    <x v="0"/>
    <x v="1"/>
    <x v="1"/>
    <x v="5"/>
    <x v="5"/>
    <x v="0"/>
    <x v="10"/>
    <n v="4635.0000000000009"/>
    <n v="5206"/>
    <n v="4110"/>
    <n v="4110"/>
  </r>
  <r>
    <x v="1"/>
    <x v="1"/>
    <x v="0"/>
    <x v="5"/>
    <x v="5"/>
    <x v="0"/>
    <x v="0"/>
    <n v="3927.1"/>
    <n v="3865.7299999999996"/>
    <n v="3716.4499999999994"/>
    <n v="3903.0499999999997"/>
  </r>
  <r>
    <x v="1"/>
    <x v="1"/>
    <x v="0"/>
    <x v="5"/>
    <x v="5"/>
    <x v="0"/>
    <x v="1"/>
    <n v="4100.1000000000004"/>
    <n v="4145.63"/>
    <n v="3871.9500000000003"/>
    <n v="4058.5500000000006"/>
  </r>
  <r>
    <x v="1"/>
    <x v="1"/>
    <x v="0"/>
    <x v="5"/>
    <x v="5"/>
    <x v="0"/>
    <x v="2"/>
    <n v="4273.0999999999995"/>
    <n v="4425.53"/>
    <n v="4027.45"/>
    <n v="4214.05"/>
  </r>
  <r>
    <x v="1"/>
    <x v="1"/>
    <x v="0"/>
    <x v="5"/>
    <x v="5"/>
    <x v="0"/>
    <x v="3"/>
    <n v="4446.1000000000004"/>
    <n v="4705.4299999999994"/>
    <n v="4182.95"/>
    <n v="4369.5499999999993"/>
  </r>
  <r>
    <x v="1"/>
    <x v="1"/>
    <x v="0"/>
    <x v="5"/>
    <x v="5"/>
    <x v="0"/>
    <x v="4"/>
    <n v="4619.0999999999995"/>
    <n v="4985.329999999999"/>
    <n v="4338.45"/>
    <n v="4525.05"/>
  </r>
  <r>
    <x v="1"/>
    <x v="1"/>
    <x v="0"/>
    <x v="5"/>
    <x v="5"/>
    <x v="0"/>
    <x v="5"/>
    <n v="4792.1000000000004"/>
    <n v="5265.23"/>
    <n v="4493.95"/>
    <n v="4665"/>
  </r>
  <r>
    <x v="1"/>
    <x v="1"/>
    <x v="0"/>
    <x v="5"/>
    <x v="5"/>
    <x v="0"/>
    <x v="6"/>
    <n v="4965.1000000000004"/>
    <n v="5545.13"/>
    <n v="4649.45"/>
    <n v="4665"/>
  </r>
  <r>
    <x v="1"/>
    <x v="1"/>
    <x v="0"/>
    <x v="5"/>
    <x v="5"/>
    <x v="0"/>
    <x v="7"/>
    <n v="5138.1000000000004"/>
    <n v="5825.03"/>
    <n v="4665"/>
    <n v="4665"/>
  </r>
  <r>
    <x v="1"/>
    <x v="1"/>
    <x v="0"/>
    <x v="5"/>
    <x v="5"/>
    <x v="0"/>
    <x v="8"/>
    <n v="5190"/>
    <n v="5909"/>
    <n v="4665"/>
    <n v="4665"/>
  </r>
  <r>
    <x v="1"/>
    <x v="1"/>
    <x v="0"/>
    <x v="5"/>
    <x v="5"/>
    <x v="0"/>
    <x v="9"/>
    <n v="5190"/>
    <n v="5909"/>
    <n v="4665"/>
    <n v="4665"/>
  </r>
  <r>
    <x v="1"/>
    <x v="1"/>
    <x v="0"/>
    <x v="5"/>
    <x v="5"/>
    <x v="0"/>
    <x v="10"/>
    <n v="5190"/>
    <n v="5909"/>
    <n v="4665"/>
    <n v="4665"/>
  </r>
  <r>
    <x v="0"/>
    <x v="0"/>
    <x v="0"/>
    <x v="1"/>
    <x v="0"/>
    <x v="1"/>
    <x v="0"/>
    <n v="2750.2310000000002"/>
    <n v="2477.5859999999998"/>
    <n v="2533.9620000000004"/>
    <n v="2778.2579999999998"/>
  </r>
  <r>
    <x v="0"/>
    <x v="0"/>
    <x v="0"/>
    <x v="1"/>
    <x v="0"/>
    <x v="1"/>
    <x v="1"/>
    <n v="2994.761"/>
    <n v="2750.7660000000001"/>
    <n v="2737.5419999999999"/>
    <n v="2981.8379999999997"/>
  </r>
  <r>
    <x v="0"/>
    <x v="0"/>
    <x v="0"/>
    <x v="1"/>
    <x v="0"/>
    <x v="1"/>
    <x v="2"/>
    <n v="3239.2909999999993"/>
    <n v="3023.9459999999995"/>
    <n v="2941.1219999999998"/>
    <n v="3185.4179999999997"/>
  </r>
  <r>
    <x v="0"/>
    <x v="0"/>
    <x v="0"/>
    <x v="1"/>
    <x v="0"/>
    <x v="1"/>
    <x v="3"/>
    <n v="3483.8209999999999"/>
    <n v="3297.1259999999997"/>
    <n v="3144.7019999999998"/>
    <n v="3388.9979999999996"/>
  </r>
  <r>
    <x v="0"/>
    <x v="0"/>
    <x v="0"/>
    <x v="1"/>
    <x v="0"/>
    <x v="1"/>
    <x v="4"/>
    <n v="3728.3510000000001"/>
    <n v="3570.3059999999996"/>
    <n v="3348.2819999999997"/>
    <n v="3592.5779999999995"/>
  </r>
  <r>
    <x v="0"/>
    <x v="0"/>
    <x v="0"/>
    <x v="1"/>
    <x v="0"/>
    <x v="1"/>
    <x v="5"/>
    <n v="3972.8809999999999"/>
    <n v="3843.4859999999999"/>
    <n v="3551.8620000000001"/>
    <n v="3775.7999999999997"/>
  </r>
  <r>
    <x v="0"/>
    <x v="0"/>
    <x v="0"/>
    <x v="1"/>
    <x v="0"/>
    <x v="1"/>
    <x v="6"/>
    <n v="4217.4110000000001"/>
    <n v="4116.6660000000002"/>
    <n v="3755.4419999999996"/>
    <n v="3775.7999999999997"/>
  </r>
  <r>
    <x v="0"/>
    <x v="0"/>
    <x v="0"/>
    <x v="1"/>
    <x v="0"/>
    <x v="1"/>
    <x v="7"/>
    <n v="4461.9409999999998"/>
    <n v="4389.8459999999995"/>
    <n v="3775.7999999999997"/>
    <n v="3775.7999999999997"/>
  </r>
  <r>
    <x v="0"/>
    <x v="0"/>
    <x v="0"/>
    <x v="1"/>
    <x v="0"/>
    <x v="1"/>
    <x v="8"/>
    <n v="4535.3"/>
    <n v="4471.7999999999993"/>
    <n v="3775.7999999999997"/>
    <n v="3775.7999999999997"/>
  </r>
  <r>
    <x v="0"/>
    <x v="0"/>
    <x v="0"/>
    <x v="1"/>
    <x v="0"/>
    <x v="1"/>
    <x v="9"/>
    <n v="4535.3"/>
    <n v="4471.7999999999993"/>
    <n v="3775.7999999999997"/>
    <n v="3775.7999999999997"/>
  </r>
  <r>
    <x v="0"/>
    <x v="0"/>
    <x v="0"/>
    <x v="1"/>
    <x v="0"/>
    <x v="1"/>
    <x v="10"/>
    <n v="4535.3"/>
    <n v="4471.7999999999993"/>
    <n v="3775.7999999999997"/>
    <n v="3775.7999999999997"/>
  </r>
  <r>
    <x v="0"/>
    <x v="1"/>
    <x v="1"/>
    <x v="1"/>
    <x v="0"/>
    <x v="1"/>
    <x v="0"/>
    <n v="2997.0600000000004"/>
    <n v="2926.68"/>
    <n v="2641.32"/>
    <n v="2787.4799999999996"/>
  </r>
  <r>
    <x v="0"/>
    <x v="1"/>
    <x v="1"/>
    <x v="1"/>
    <x v="0"/>
    <x v="1"/>
    <x v="1"/>
    <n v="3143.36"/>
    <n v="3118.08"/>
    <n v="2763.1200000000003"/>
    <n v="2909.2799999999997"/>
  </r>
  <r>
    <x v="0"/>
    <x v="1"/>
    <x v="1"/>
    <x v="1"/>
    <x v="0"/>
    <x v="1"/>
    <x v="2"/>
    <n v="3289.66"/>
    <n v="3309.48"/>
    <n v="2884.92"/>
    <n v="2958"/>
  </r>
  <r>
    <x v="0"/>
    <x v="1"/>
    <x v="1"/>
    <x v="1"/>
    <x v="0"/>
    <x v="1"/>
    <x v="3"/>
    <n v="3435.9600000000005"/>
    <n v="3500.88"/>
    <n v="2958"/>
    <n v="2958"/>
  </r>
  <r>
    <x v="0"/>
    <x v="1"/>
    <x v="1"/>
    <x v="1"/>
    <x v="0"/>
    <x v="1"/>
    <x v="4"/>
    <n v="3553"/>
    <n v="3654"/>
    <n v="2958"/>
    <n v="2958"/>
  </r>
  <r>
    <x v="0"/>
    <x v="1"/>
    <x v="1"/>
    <x v="1"/>
    <x v="0"/>
    <x v="1"/>
    <x v="5"/>
    <n v="3553"/>
    <n v="3654"/>
    <n v="2958"/>
    <n v="2958"/>
  </r>
  <r>
    <x v="0"/>
    <x v="1"/>
    <x v="1"/>
    <x v="1"/>
    <x v="0"/>
    <x v="1"/>
    <x v="6"/>
    <n v="3553"/>
    <n v="3654"/>
    <n v="2958"/>
    <n v="2958"/>
  </r>
  <r>
    <x v="0"/>
    <x v="1"/>
    <x v="1"/>
    <x v="1"/>
    <x v="0"/>
    <x v="1"/>
    <x v="7"/>
    <n v="3553"/>
    <n v="3654"/>
    <n v="2958"/>
    <n v="2958"/>
  </r>
  <r>
    <x v="0"/>
    <x v="1"/>
    <x v="1"/>
    <x v="1"/>
    <x v="0"/>
    <x v="1"/>
    <x v="8"/>
    <n v="3553"/>
    <n v="3654"/>
    <n v="2958"/>
    <n v="2958"/>
  </r>
  <r>
    <x v="0"/>
    <x v="1"/>
    <x v="1"/>
    <x v="1"/>
    <x v="0"/>
    <x v="1"/>
    <x v="9"/>
    <n v="3553"/>
    <n v="3654"/>
    <n v="2958"/>
    <n v="2958"/>
  </r>
  <r>
    <x v="0"/>
    <x v="1"/>
    <x v="1"/>
    <x v="1"/>
    <x v="0"/>
    <x v="1"/>
    <x v="10"/>
    <n v="3553"/>
    <n v="3654"/>
    <n v="2958"/>
    <n v="2958"/>
  </r>
  <r>
    <x v="1"/>
    <x v="1"/>
    <x v="0"/>
    <x v="1"/>
    <x v="0"/>
    <x v="1"/>
    <x v="0"/>
    <n v="2924.94"/>
    <n v="2736.6700000000005"/>
    <n v="2686.03"/>
    <n v="2863.27"/>
  </r>
  <r>
    <x v="1"/>
    <x v="1"/>
    <x v="0"/>
    <x v="1"/>
    <x v="0"/>
    <x v="1"/>
    <x v="1"/>
    <n v="3097.14"/>
    <n v="2968.77"/>
    <n v="2833.73"/>
    <n v="3010.9700000000003"/>
  </r>
  <r>
    <x v="1"/>
    <x v="1"/>
    <x v="0"/>
    <x v="1"/>
    <x v="0"/>
    <x v="1"/>
    <x v="2"/>
    <n v="3269.3399999999992"/>
    <n v="3200.87"/>
    <n v="2981.4299999999994"/>
    <n v="3158.6699999999996"/>
  </r>
  <r>
    <x v="1"/>
    <x v="1"/>
    <x v="0"/>
    <x v="1"/>
    <x v="0"/>
    <x v="1"/>
    <x v="3"/>
    <n v="3441.54"/>
    <n v="3432.9699999999993"/>
    <n v="3129.1299999999997"/>
    <n v="3306.3699999999994"/>
  </r>
  <r>
    <x v="1"/>
    <x v="1"/>
    <x v="0"/>
    <x v="1"/>
    <x v="0"/>
    <x v="1"/>
    <x v="4"/>
    <n v="3613.74"/>
    <n v="3665.07"/>
    <n v="3276.83"/>
    <n v="3454.07"/>
  </r>
  <r>
    <x v="1"/>
    <x v="1"/>
    <x v="0"/>
    <x v="1"/>
    <x v="0"/>
    <x v="1"/>
    <x v="5"/>
    <n v="3785.9399999999996"/>
    <n v="3897.1700000000005"/>
    <n v="3424.5299999999997"/>
    <n v="3587"/>
  </r>
  <r>
    <x v="1"/>
    <x v="1"/>
    <x v="0"/>
    <x v="1"/>
    <x v="0"/>
    <x v="1"/>
    <x v="6"/>
    <n v="3958.14"/>
    <n v="4129.2699999999995"/>
    <n v="3572.23"/>
    <n v="3587"/>
  </r>
  <r>
    <x v="1"/>
    <x v="1"/>
    <x v="0"/>
    <x v="1"/>
    <x v="0"/>
    <x v="1"/>
    <x v="7"/>
    <n v="4130.34"/>
    <n v="4361.3700000000008"/>
    <n v="3587"/>
    <n v="3587"/>
  </r>
  <r>
    <x v="1"/>
    <x v="1"/>
    <x v="0"/>
    <x v="1"/>
    <x v="0"/>
    <x v="1"/>
    <x v="8"/>
    <n v="4182"/>
    <n v="4431"/>
    <n v="3587"/>
    <n v="3587"/>
  </r>
  <r>
    <x v="1"/>
    <x v="1"/>
    <x v="0"/>
    <x v="1"/>
    <x v="0"/>
    <x v="1"/>
    <x v="9"/>
    <n v="4182"/>
    <n v="4431"/>
    <n v="3587"/>
    <n v="3587"/>
  </r>
  <r>
    <x v="1"/>
    <x v="1"/>
    <x v="0"/>
    <x v="1"/>
    <x v="0"/>
    <x v="1"/>
    <x v="10"/>
    <n v="4182"/>
    <n v="4431"/>
    <n v="3587"/>
    <n v="3587"/>
  </r>
  <r>
    <x v="0"/>
    <x v="0"/>
    <x v="0"/>
    <x v="2"/>
    <x v="1"/>
    <x v="1"/>
    <x v="0"/>
    <n v="3013.4110000000001"/>
    <n v="2762.366"/>
    <n v="2825.2220000000002"/>
    <n v="3097.598"/>
  </r>
  <r>
    <x v="0"/>
    <x v="0"/>
    <x v="0"/>
    <x v="2"/>
    <x v="1"/>
    <x v="1"/>
    <x v="1"/>
    <n v="3281.3410000000003"/>
    <n v="3066.9459999999999"/>
    <n v="3052.2019999999998"/>
    <n v="3324.5779999999995"/>
  </r>
  <r>
    <x v="0"/>
    <x v="0"/>
    <x v="0"/>
    <x v="2"/>
    <x v="1"/>
    <x v="1"/>
    <x v="2"/>
    <n v="3549.2709999999993"/>
    <n v="3371.5259999999994"/>
    <n v="3279.1819999999998"/>
    <n v="3551.5579999999995"/>
  </r>
  <r>
    <x v="0"/>
    <x v="0"/>
    <x v="0"/>
    <x v="2"/>
    <x v="1"/>
    <x v="1"/>
    <x v="3"/>
    <n v="3817.201"/>
    <n v="3676.1059999999998"/>
    <n v="3506.1619999999998"/>
    <n v="3778.5379999999996"/>
  </r>
  <r>
    <x v="0"/>
    <x v="0"/>
    <x v="0"/>
    <x v="2"/>
    <x v="1"/>
    <x v="1"/>
    <x v="4"/>
    <n v="4085.1310000000003"/>
    <n v="3980.6859999999997"/>
    <n v="3733.1419999999998"/>
    <n v="4005.5179999999996"/>
  </r>
  <r>
    <x v="0"/>
    <x v="0"/>
    <x v="0"/>
    <x v="2"/>
    <x v="1"/>
    <x v="1"/>
    <x v="5"/>
    <n v="4353.0609999999997"/>
    <n v="4285.2659999999996"/>
    <n v="3960.1220000000003"/>
    <n v="4209.8"/>
  </r>
  <r>
    <x v="0"/>
    <x v="0"/>
    <x v="0"/>
    <x v="2"/>
    <x v="1"/>
    <x v="1"/>
    <x v="6"/>
    <n v="4620.991"/>
    <n v="4589.8459999999995"/>
    <n v="4187.101999999999"/>
    <n v="4209.8"/>
  </r>
  <r>
    <x v="0"/>
    <x v="0"/>
    <x v="0"/>
    <x v="2"/>
    <x v="1"/>
    <x v="1"/>
    <x v="7"/>
    <n v="4888.9210000000003"/>
    <n v="4894.4259999999995"/>
    <n v="4209.8"/>
    <n v="4209.8"/>
  </r>
  <r>
    <x v="0"/>
    <x v="0"/>
    <x v="0"/>
    <x v="2"/>
    <x v="1"/>
    <x v="1"/>
    <x v="8"/>
    <n v="4969.3"/>
    <n v="4985.7999999999993"/>
    <n v="4209.8"/>
    <n v="4209.8"/>
  </r>
  <r>
    <x v="0"/>
    <x v="0"/>
    <x v="0"/>
    <x v="2"/>
    <x v="1"/>
    <x v="1"/>
    <x v="9"/>
    <n v="4969.3"/>
    <n v="4985.7999999999993"/>
    <n v="4209.8"/>
    <n v="4209.8"/>
  </r>
  <r>
    <x v="0"/>
    <x v="0"/>
    <x v="0"/>
    <x v="2"/>
    <x v="1"/>
    <x v="1"/>
    <x v="10"/>
    <n v="4969.3"/>
    <n v="4985.7999999999993"/>
    <n v="4209.8"/>
    <n v="4209.8"/>
  </r>
  <r>
    <x v="0"/>
    <x v="1"/>
    <x v="1"/>
    <x v="2"/>
    <x v="1"/>
    <x v="1"/>
    <x v="0"/>
    <n v="3283.8600000000006"/>
    <n v="3263.08"/>
    <n v="2944.92"/>
    <n v="3107.8799999999997"/>
  </r>
  <r>
    <x v="0"/>
    <x v="1"/>
    <x v="1"/>
    <x v="2"/>
    <x v="1"/>
    <x v="1"/>
    <x v="1"/>
    <n v="3444.16"/>
    <n v="3476.48"/>
    <n v="3080.7200000000003"/>
    <n v="3243.68"/>
  </r>
  <r>
    <x v="0"/>
    <x v="1"/>
    <x v="1"/>
    <x v="2"/>
    <x v="1"/>
    <x v="1"/>
    <x v="2"/>
    <n v="3604.4599999999996"/>
    <n v="3689.8799999999997"/>
    <n v="3216.52"/>
    <n v="3298"/>
  </r>
  <r>
    <x v="0"/>
    <x v="1"/>
    <x v="1"/>
    <x v="2"/>
    <x v="1"/>
    <x v="1"/>
    <x v="3"/>
    <n v="3764.76"/>
    <n v="3903.28"/>
    <n v="3298"/>
    <n v="3298"/>
  </r>
  <r>
    <x v="0"/>
    <x v="1"/>
    <x v="1"/>
    <x v="2"/>
    <x v="1"/>
    <x v="1"/>
    <x v="4"/>
    <n v="3893"/>
    <n v="4074"/>
    <n v="3298"/>
    <n v="3298"/>
  </r>
  <r>
    <x v="0"/>
    <x v="1"/>
    <x v="1"/>
    <x v="2"/>
    <x v="1"/>
    <x v="1"/>
    <x v="5"/>
    <n v="3893"/>
    <n v="4074"/>
    <n v="3298"/>
    <n v="3298"/>
  </r>
  <r>
    <x v="0"/>
    <x v="1"/>
    <x v="1"/>
    <x v="2"/>
    <x v="1"/>
    <x v="1"/>
    <x v="6"/>
    <n v="3893"/>
    <n v="4074"/>
    <n v="3298"/>
    <n v="3298"/>
  </r>
  <r>
    <x v="0"/>
    <x v="1"/>
    <x v="1"/>
    <x v="2"/>
    <x v="1"/>
    <x v="1"/>
    <x v="7"/>
    <n v="3893"/>
    <n v="4074"/>
    <n v="3298"/>
    <n v="3298"/>
  </r>
  <r>
    <x v="0"/>
    <x v="1"/>
    <x v="1"/>
    <x v="2"/>
    <x v="1"/>
    <x v="1"/>
    <x v="8"/>
    <n v="3893"/>
    <n v="4074"/>
    <n v="3298"/>
    <n v="3298"/>
  </r>
  <r>
    <x v="0"/>
    <x v="1"/>
    <x v="1"/>
    <x v="2"/>
    <x v="1"/>
    <x v="1"/>
    <x v="9"/>
    <n v="3893"/>
    <n v="4074"/>
    <n v="3298"/>
    <n v="3298"/>
  </r>
  <r>
    <x v="0"/>
    <x v="1"/>
    <x v="1"/>
    <x v="2"/>
    <x v="1"/>
    <x v="1"/>
    <x v="10"/>
    <n v="3893"/>
    <n v="4074"/>
    <n v="3298"/>
    <n v="3298"/>
  </r>
  <r>
    <x v="1"/>
    <x v="1"/>
    <x v="0"/>
    <x v="2"/>
    <x v="1"/>
    <x v="1"/>
    <x v="0"/>
    <n v="3162.7400000000002"/>
    <n v="2996.07"/>
    <n v="2940.63"/>
    <n v="3134.67"/>
  </r>
  <r>
    <x v="1"/>
    <x v="1"/>
    <x v="0"/>
    <x v="2"/>
    <x v="1"/>
    <x v="1"/>
    <x v="1"/>
    <n v="3348.9399999999996"/>
    <n v="3250.17"/>
    <n v="3102.33"/>
    <n v="3296.37"/>
  </r>
  <r>
    <x v="1"/>
    <x v="1"/>
    <x v="0"/>
    <x v="2"/>
    <x v="1"/>
    <x v="1"/>
    <x v="2"/>
    <n v="3535.1399999999994"/>
    <n v="3504.27"/>
    <n v="3264.0299999999997"/>
    <n v="3458.0699999999997"/>
  </r>
  <r>
    <x v="1"/>
    <x v="1"/>
    <x v="0"/>
    <x v="2"/>
    <x v="1"/>
    <x v="1"/>
    <x v="3"/>
    <n v="3721.34"/>
    <n v="3758.3699999999994"/>
    <n v="3425.7299999999996"/>
    <n v="3619.7699999999995"/>
  </r>
  <r>
    <x v="1"/>
    <x v="1"/>
    <x v="0"/>
    <x v="2"/>
    <x v="1"/>
    <x v="1"/>
    <x v="4"/>
    <n v="3907.5399999999995"/>
    <n v="4012.4700000000003"/>
    <n v="3587.43"/>
    <n v="3781.47"/>
  </r>
  <r>
    <x v="1"/>
    <x v="1"/>
    <x v="0"/>
    <x v="2"/>
    <x v="1"/>
    <x v="1"/>
    <x v="5"/>
    <n v="4093.74"/>
    <n v="4266.5700000000006"/>
    <n v="3749.1299999999997"/>
    <n v="3927"/>
  </r>
  <r>
    <x v="1"/>
    <x v="1"/>
    <x v="0"/>
    <x v="2"/>
    <x v="1"/>
    <x v="1"/>
    <x v="6"/>
    <n v="4279.9399999999996"/>
    <n v="4520.67"/>
    <n v="3910.83"/>
    <n v="3927"/>
  </r>
  <r>
    <x v="1"/>
    <x v="1"/>
    <x v="0"/>
    <x v="2"/>
    <x v="1"/>
    <x v="1"/>
    <x v="7"/>
    <n v="4466.1400000000003"/>
    <n v="4774.7700000000004"/>
    <n v="3927"/>
    <n v="3927"/>
  </r>
  <r>
    <x v="1"/>
    <x v="1"/>
    <x v="0"/>
    <x v="2"/>
    <x v="1"/>
    <x v="1"/>
    <x v="8"/>
    <n v="4522"/>
    <n v="4851"/>
    <n v="3927"/>
    <n v="3927"/>
  </r>
  <r>
    <x v="1"/>
    <x v="1"/>
    <x v="0"/>
    <x v="2"/>
    <x v="1"/>
    <x v="1"/>
    <x v="9"/>
    <n v="4522"/>
    <n v="4851"/>
    <n v="3927"/>
    <n v="3927"/>
  </r>
  <r>
    <x v="1"/>
    <x v="1"/>
    <x v="0"/>
    <x v="2"/>
    <x v="1"/>
    <x v="1"/>
    <x v="10"/>
    <n v="4522"/>
    <n v="4851"/>
    <n v="3927"/>
    <n v="3927"/>
  </r>
  <r>
    <x v="0"/>
    <x v="0"/>
    <x v="0"/>
    <x v="6"/>
    <x v="2"/>
    <x v="1"/>
    <x v="0"/>
    <n v="3276.5910000000003"/>
    <n v="3047.1459999999997"/>
    <n v="3116.4820000000004"/>
    <n v="3416.9380000000001"/>
  </r>
  <r>
    <x v="0"/>
    <x v="0"/>
    <x v="0"/>
    <x v="6"/>
    <x v="2"/>
    <x v="1"/>
    <x v="1"/>
    <n v="3567.9210000000003"/>
    <n v="3383.1259999999997"/>
    <n v="3366.8619999999996"/>
    <n v="3667.3179999999993"/>
  </r>
  <r>
    <x v="0"/>
    <x v="0"/>
    <x v="0"/>
    <x v="6"/>
    <x v="2"/>
    <x v="1"/>
    <x v="2"/>
    <n v="3859.2509999999988"/>
    <n v="3719.1059999999993"/>
    <n v="3617.2419999999997"/>
    <n v="3917.6979999999994"/>
  </r>
  <r>
    <x v="0"/>
    <x v="0"/>
    <x v="0"/>
    <x v="6"/>
    <x v="2"/>
    <x v="1"/>
    <x v="3"/>
    <n v="4150.5810000000001"/>
    <n v="4055.0859999999998"/>
    <n v="3867.6219999999998"/>
    <n v="4168.0779999999995"/>
  </r>
  <r>
    <x v="0"/>
    <x v="0"/>
    <x v="0"/>
    <x v="6"/>
    <x v="2"/>
    <x v="1"/>
    <x v="4"/>
    <n v="4441.9110000000001"/>
    <n v="4391.0659999999998"/>
    <n v="4118.0019999999995"/>
    <n v="4418.4579999999996"/>
  </r>
  <r>
    <x v="0"/>
    <x v="0"/>
    <x v="0"/>
    <x v="6"/>
    <x v="2"/>
    <x v="1"/>
    <x v="5"/>
    <n v="4733.241"/>
    <n v="4727.0459999999994"/>
    <n v="4368.3820000000005"/>
    <n v="4643.8"/>
  </r>
  <r>
    <x v="0"/>
    <x v="0"/>
    <x v="0"/>
    <x v="6"/>
    <x v="2"/>
    <x v="1"/>
    <x v="6"/>
    <n v="5024.5709999999999"/>
    <n v="5063.0259999999998"/>
    <n v="4618.7619999999997"/>
    <n v="4643.8"/>
  </r>
  <r>
    <x v="0"/>
    <x v="0"/>
    <x v="0"/>
    <x v="6"/>
    <x v="2"/>
    <x v="1"/>
    <x v="7"/>
    <n v="5315.9009999999998"/>
    <n v="5399.0059999999994"/>
    <n v="4643.8"/>
    <n v="4643.8"/>
  </r>
  <r>
    <x v="0"/>
    <x v="0"/>
    <x v="0"/>
    <x v="6"/>
    <x v="2"/>
    <x v="1"/>
    <x v="8"/>
    <n v="5403.3"/>
    <n v="5499.7999999999993"/>
    <n v="4643.8"/>
    <n v="4643.8"/>
  </r>
  <r>
    <x v="0"/>
    <x v="0"/>
    <x v="0"/>
    <x v="6"/>
    <x v="2"/>
    <x v="1"/>
    <x v="9"/>
    <n v="5403.3"/>
    <n v="5499.7999999999993"/>
    <n v="4643.8"/>
    <n v="4643.8"/>
  </r>
  <r>
    <x v="0"/>
    <x v="0"/>
    <x v="0"/>
    <x v="6"/>
    <x v="2"/>
    <x v="1"/>
    <x v="10"/>
    <n v="5403.3"/>
    <n v="5499.7999999999993"/>
    <n v="4643.8"/>
    <n v="4643.8"/>
  </r>
  <r>
    <x v="0"/>
    <x v="1"/>
    <x v="1"/>
    <x v="6"/>
    <x v="2"/>
    <x v="1"/>
    <x v="0"/>
    <n v="3570.6600000000003"/>
    <n v="3599.48"/>
    <n v="3248.52"/>
    <n v="3428.2799999999997"/>
  </r>
  <r>
    <x v="0"/>
    <x v="1"/>
    <x v="1"/>
    <x v="6"/>
    <x v="2"/>
    <x v="1"/>
    <x v="1"/>
    <n v="3744.96"/>
    <n v="3834.88"/>
    <n v="3398.32"/>
    <n v="3578.08"/>
  </r>
  <r>
    <x v="0"/>
    <x v="1"/>
    <x v="1"/>
    <x v="6"/>
    <x v="2"/>
    <x v="1"/>
    <x v="2"/>
    <n v="3919.2599999999998"/>
    <n v="4070.2799999999997"/>
    <n v="3548.12"/>
    <n v="3638"/>
  </r>
  <r>
    <x v="0"/>
    <x v="1"/>
    <x v="1"/>
    <x v="6"/>
    <x v="2"/>
    <x v="1"/>
    <x v="3"/>
    <n v="4093.5600000000004"/>
    <n v="4305.68"/>
    <n v="3638"/>
    <n v="3638"/>
  </r>
  <r>
    <x v="0"/>
    <x v="1"/>
    <x v="1"/>
    <x v="6"/>
    <x v="2"/>
    <x v="1"/>
    <x v="4"/>
    <n v="4233"/>
    <n v="4494"/>
    <n v="3638"/>
    <n v="3638"/>
  </r>
  <r>
    <x v="0"/>
    <x v="1"/>
    <x v="1"/>
    <x v="6"/>
    <x v="2"/>
    <x v="1"/>
    <x v="5"/>
    <n v="4233"/>
    <n v="4494"/>
    <n v="3638"/>
    <n v="3638"/>
  </r>
  <r>
    <x v="0"/>
    <x v="1"/>
    <x v="1"/>
    <x v="6"/>
    <x v="2"/>
    <x v="1"/>
    <x v="6"/>
    <n v="4233"/>
    <n v="4494"/>
    <n v="3638"/>
    <n v="3638"/>
  </r>
  <r>
    <x v="0"/>
    <x v="1"/>
    <x v="1"/>
    <x v="6"/>
    <x v="2"/>
    <x v="1"/>
    <x v="7"/>
    <n v="4233"/>
    <n v="4494"/>
    <n v="3638"/>
    <n v="3638"/>
  </r>
  <r>
    <x v="0"/>
    <x v="1"/>
    <x v="1"/>
    <x v="6"/>
    <x v="2"/>
    <x v="1"/>
    <x v="8"/>
    <n v="4233"/>
    <n v="4494"/>
    <n v="3638"/>
    <n v="3638"/>
  </r>
  <r>
    <x v="0"/>
    <x v="1"/>
    <x v="1"/>
    <x v="6"/>
    <x v="2"/>
    <x v="1"/>
    <x v="9"/>
    <n v="4233"/>
    <n v="4494"/>
    <n v="3638"/>
    <n v="3638"/>
  </r>
  <r>
    <x v="0"/>
    <x v="1"/>
    <x v="1"/>
    <x v="6"/>
    <x v="2"/>
    <x v="1"/>
    <x v="10"/>
    <n v="4233"/>
    <n v="4494"/>
    <n v="3638"/>
    <n v="3638"/>
  </r>
  <r>
    <x v="1"/>
    <x v="1"/>
    <x v="0"/>
    <x v="6"/>
    <x v="2"/>
    <x v="1"/>
    <x v="0"/>
    <n v="3400.54"/>
    <n v="3255.4700000000003"/>
    <n v="3195.2300000000005"/>
    <n v="3406.07"/>
  </r>
  <r>
    <x v="1"/>
    <x v="1"/>
    <x v="0"/>
    <x v="6"/>
    <x v="2"/>
    <x v="1"/>
    <x v="1"/>
    <n v="3600.74"/>
    <n v="3531.57"/>
    <n v="3370.93"/>
    <n v="3581.77"/>
  </r>
  <r>
    <x v="1"/>
    <x v="1"/>
    <x v="0"/>
    <x v="6"/>
    <x v="2"/>
    <x v="1"/>
    <x v="2"/>
    <n v="3800.9399999999991"/>
    <n v="3807.6699999999996"/>
    <n v="3546.6299999999997"/>
    <n v="3757.47"/>
  </r>
  <r>
    <x v="1"/>
    <x v="1"/>
    <x v="0"/>
    <x v="6"/>
    <x v="2"/>
    <x v="1"/>
    <x v="3"/>
    <n v="4001.14"/>
    <n v="4083.7699999999995"/>
    <n v="3722.3299999999995"/>
    <n v="3933.1699999999992"/>
  </r>
  <r>
    <x v="1"/>
    <x v="1"/>
    <x v="0"/>
    <x v="6"/>
    <x v="2"/>
    <x v="1"/>
    <x v="4"/>
    <n v="4201.3399999999992"/>
    <n v="4359.87"/>
    <n v="3898.0299999999997"/>
    <n v="4108.87"/>
  </r>
  <r>
    <x v="1"/>
    <x v="1"/>
    <x v="0"/>
    <x v="6"/>
    <x v="2"/>
    <x v="1"/>
    <x v="5"/>
    <n v="4401.54"/>
    <n v="4635.97"/>
    <n v="4073.7299999999996"/>
    <n v="4267"/>
  </r>
  <r>
    <x v="1"/>
    <x v="1"/>
    <x v="0"/>
    <x v="6"/>
    <x v="2"/>
    <x v="1"/>
    <x v="6"/>
    <n v="4601.74"/>
    <n v="4912.07"/>
    <n v="4249.43"/>
    <n v="4267"/>
  </r>
  <r>
    <x v="1"/>
    <x v="1"/>
    <x v="0"/>
    <x v="6"/>
    <x v="2"/>
    <x v="1"/>
    <x v="7"/>
    <n v="4801.9400000000005"/>
    <n v="5188.17"/>
    <n v="4267"/>
    <n v="4267"/>
  </r>
  <r>
    <x v="1"/>
    <x v="1"/>
    <x v="0"/>
    <x v="6"/>
    <x v="2"/>
    <x v="1"/>
    <x v="8"/>
    <n v="4862"/>
    <n v="5271"/>
    <n v="4267"/>
    <n v="4267"/>
  </r>
  <r>
    <x v="1"/>
    <x v="1"/>
    <x v="0"/>
    <x v="6"/>
    <x v="2"/>
    <x v="1"/>
    <x v="9"/>
    <n v="4862"/>
    <n v="5271"/>
    <n v="4267"/>
    <n v="4267"/>
  </r>
  <r>
    <x v="1"/>
    <x v="1"/>
    <x v="0"/>
    <x v="6"/>
    <x v="2"/>
    <x v="1"/>
    <x v="10"/>
    <n v="4862"/>
    <n v="5271"/>
    <n v="4267"/>
    <n v="4267"/>
  </r>
  <r>
    <x v="0"/>
    <x v="0"/>
    <x v="0"/>
    <x v="4"/>
    <x v="3"/>
    <x v="1"/>
    <x v="0"/>
    <n v="3539.7710000000002"/>
    <n v="3331.9259999999999"/>
    <n v="3407.7420000000002"/>
    <n v="3736.2779999999998"/>
  </r>
  <r>
    <x v="0"/>
    <x v="0"/>
    <x v="0"/>
    <x v="4"/>
    <x v="3"/>
    <x v="1"/>
    <x v="1"/>
    <n v="3854.5010000000002"/>
    <n v="3699.306"/>
    <n v="3681.5219999999999"/>
    <n v="4010.0579999999995"/>
  </r>
  <r>
    <x v="0"/>
    <x v="0"/>
    <x v="0"/>
    <x v="4"/>
    <x v="3"/>
    <x v="1"/>
    <x v="2"/>
    <n v="4169.2309999999989"/>
    <n v="4066.6859999999997"/>
    <n v="3955.3019999999997"/>
    <n v="4283.8379999999997"/>
  </r>
  <r>
    <x v="0"/>
    <x v="0"/>
    <x v="0"/>
    <x v="4"/>
    <x v="3"/>
    <x v="1"/>
    <x v="3"/>
    <n v="4483.9610000000002"/>
    <n v="4434.0659999999998"/>
    <n v="4229.0819999999994"/>
    <n v="4557.6179999999995"/>
  </r>
  <r>
    <x v="0"/>
    <x v="0"/>
    <x v="0"/>
    <x v="4"/>
    <x v="3"/>
    <x v="1"/>
    <x v="4"/>
    <n v="4798.6909999999998"/>
    <n v="4801.4459999999999"/>
    <n v="4502.8620000000001"/>
    <n v="4831.3979999999992"/>
  </r>
  <r>
    <x v="0"/>
    <x v="0"/>
    <x v="0"/>
    <x v="4"/>
    <x v="3"/>
    <x v="1"/>
    <x v="5"/>
    <n v="5113.4210000000003"/>
    <n v="5168.826"/>
    <n v="4776.6419999999998"/>
    <n v="5077.8"/>
  </r>
  <r>
    <x v="0"/>
    <x v="0"/>
    <x v="0"/>
    <x v="4"/>
    <x v="3"/>
    <x v="1"/>
    <x v="6"/>
    <n v="5428.1509999999998"/>
    <n v="5536.2060000000001"/>
    <n v="5050.4219999999996"/>
    <n v="5077.8"/>
  </r>
  <r>
    <x v="0"/>
    <x v="0"/>
    <x v="0"/>
    <x v="4"/>
    <x v="3"/>
    <x v="1"/>
    <x v="7"/>
    <n v="5742.8810000000003"/>
    <n v="5903.5860000000002"/>
    <n v="5077.8"/>
    <n v="5077.8"/>
  </r>
  <r>
    <x v="0"/>
    <x v="0"/>
    <x v="0"/>
    <x v="4"/>
    <x v="3"/>
    <x v="1"/>
    <x v="8"/>
    <n v="5837.3"/>
    <n v="6013.7999999999993"/>
    <n v="5077.8"/>
    <n v="5077.8"/>
  </r>
  <r>
    <x v="0"/>
    <x v="0"/>
    <x v="0"/>
    <x v="4"/>
    <x v="3"/>
    <x v="1"/>
    <x v="9"/>
    <n v="5837.3"/>
    <n v="6013.7999999999993"/>
    <n v="5077.8"/>
    <n v="5077.8"/>
  </r>
  <r>
    <x v="0"/>
    <x v="0"/>
    <x v="0"/>
    <x v="4"/>
    <x v="3"/>
    <x v="1"/>
    <x v="10"/>
    <n v="5837.3"/>
    <n v="6013.7999999999993"/>
    <n v="5077.8"/>
    <n v="5077.8"/>
  </r>
  <r>
    <x v="0"/>
    <x v="1"/>
    <x v="1"/>
    <x v="4"/>
    <x v="3"/>
    <x v="1"/>
    <x v="0"/>
    <n v="3857.4600000000005"/>
    <n v="3935.8799999999997"/>
    <n v="3552.12"/>
    <n v="3748.68"/>
  </r>
  <r>
    <x v="0"/>
    <x v="1"/>
    <x v="1"/>
    <x v="4"/>
    <x v="3"/>
    <x v="1"/>
    <x v="1"/>
    <n v="4045.76"/>
    <n v="4193.28"/>
    <n v="3715.92"/>
    <n v="3912.48"/>
  </r>
  <r>
    <x v="0"/>
    <x v="1"/>
    <x v="1"/>
    <x v="4"/>
    <x v="3"/>
    <x v="1"/>
    <x v="2"/>
    <n v="4234.0599999999995"/>
    <n v="4450.6799999999994"/>
    <n v="3879.72"/>
    <n v="3978"/>
  </r>
  <r>
    <x v="0"/>
    <x v="1"/>
    <x v="1"/>
    <x v="4"/>
    <x v="3"/>
    <x v="1"/>
    <x v="3"/>
    <n v="4422.3600000000006"/>
    <n v="4708.08"/>
    <n v="3978"/>
    <n v="3978"/>
  </r>
  <r>
    <x v="0"/>
    <x v="1"/>
    <x v="1"/>
    <x v="4"/>
    <x v="3"/>
    <x v="1"/>
    <x v="4"/>
    <n v="4573"/>
    <n v="4914"/>
    <n v="3978"/>
    <n v="3978"/>
  </r>
  <r>
    <x v="0"/>
    <x v="1"/>
    <x v="1"/>
    <x v="4"/>
    <x v="3"/>
    <x v="1"/>
    <x v="5"/>
    <n v="4573"/>
    <n v="4914"/>
    <n v="3978"/>
    <n v="3978"/>
  </r>
  <r>
    <x v="0"/>
    <x v="1"/>
    <x v="1"/>
    <x v="4"/>
    <x v="3"/>
    <x v="1"/>
    <x v="6"/>
    <n v="4573"/>
    <n v="4914"/>
    <n v="3978"/>
    <n v="3978"/>
  </r>
  <r>
    <x v="0"/>
    <x v="1"/>
    <x v="1"/>
    <x v="4"/>
    <x v="3"/>
    <x v="1"/>
    <x v="7"/>
    <n v="4573"/>
    <n v="4914"/>
    <n v="3978"/>
    <n v="3978"/>
  </r>
  <r>
    <x v="0"/>
    <x v="1"/>
    <x v="1"/>
    <x v="4"/>
    <x v="3"/>
    <x v="1"/>
    <x v="8"/>
    <n v="4573"/>
    <n v="4914"/>
    <n v="3978"/>
    <n v="3978"/>
  </r>
  <r>
    <x v="0"/>
    <x v="1"/>
    <x v="1"/>
    <x v="4"/>
    <x v="3"/>
    <x v="1"/>
    <x v="9"/>
    <n v="4573"/>
    <n v="4914"/>
    <n v="3978"/>
    <n v="3978"/>
  </r>
  <r>
    <x v="0"/>
    <x v="1"/>
    <x v="1"/>
    <x v="4"/>
    <x v="3"/>
    <x v="1"/>
    <x v="10"/>
    <n v="4573"/>
    <n v="4914"/>
    <n v="3978"/>
    <n v="3978"/>
  </r>
  <r>
    <x v="1"/>
    <x v="1"/>
    <x v="0"/>
    <x v="4"/>
    <x v="3"/>
    <x v="1"/>
    <x v="0"/>
    <n v="3638.34"/>
    <n v="3514.8700000000003"/>
    <n v="3449.8300000000004"/>
    <n v="3677.47"/>
  </r>
  <r>
    <x v="1"/>
    <x v="1"/>
    <x v="0"/>
    <x v="4"/>
    <x v="3"/>
    <x v="1"/>
    <x v="1"/>
    <n v="3852.5399999999995"/>
    <n v="3812.9700000000003"/>
    <n v="3639.5299999999997"/>
    <n v="3867.17"/>
  </r>
  <r>
    <x v="1"/>
    <x v="1"/>
    <x v="0"/>
    <x v="4"/>
    <x v="3"/>
    <x v="1"/>
    <x v="2"/>
    <n v="4066.7399999999993"/>
    <n v="4111.07"/>
    <n v="3829.2299999999996"/>
    <n v="4056.87"/>
  </r>
  <r>
    <x v="1"/>
    <x v="1"/>
    <x v="0"/>
    <x v="4"/>
    <x v="3"/>
    <x v="1"/>
    <x v="3"/>
    <n v="4280.9400000000005"/>
    <n v="4409.1699999999992"/>
    <n v="4018.93"/>
    <n v="4246.57"/>
  </r>
  <r>
    <x v="1"/>
    <x v="1"/>
    <x v="0"/>
    <x v="4"/>
    <x v="3"/>
    <x v="1"/>
    <x v="4"/>
    <n v="4495.1399999999994"/>
    <n v="4707.2700000000004"/>
    <n v="4208.63"/>
    <n v="4436.2700000000004"/>
  </r>
  <r>
    <x v="1"/>
    <x v="1"/>
    <x v="0"/>
    <x v="4"/>
    <x v="3"/>
    <x v="1"/>
    <x v="5"/>
    <n v="4709.34"/>
    <n v="5005.3700000000008"/>
    <n v="4398.329999999999"/>
    <n v="4607"/>
  </r>
  <r>
    <x v="1"/>
    <x v="1"/>
    <x v="0"/>
    <x v="4"/>
    <x v="3"/>
    <x v="1"/>
    <x v="6"/>
    <n v="4923.54"/>
    <n v="5303.4699999999993"/>
    <n v="4588.03"/>
    <n v="4607"/>
  </r>
  <r>
    <x v="1"/>
    <x v="1"/>
    <x v="0"/>
    <x v="4"/>
    <x v="3"/>
    <x v="1"/>
    <x v="7"/>
    <n v="5137.74"/>
    <n v="5601.5700000000006"/>
    <n v="4607"/>
    <n v="4607"/>
  </r>
  <r>
    <x v="1"/>
    <x v="1"/>
    <x v="0"/>
    <x v="4"/>
    <x v="3"/>
    <x v="1"/>
    <x v="8"/>
    <n v="5202"/>
    <n v="5691"/>
    <n v="4607"/>
    <n v="4607"/>
  </r>
  <r>
    <x v="1"/>
    <x v="1"/>
    <x v="0"/>
    <x v="4"/>
    <x v="3"/>
    <x v="1"/>
    <x v="9"/>
    <n v="5202"/>
    <n v="5691"/>
    <n v="4607"/>
    <n v="4607"/>
  </r>
  <r>
    <x v="1"/>
    <x v="1"/>
    <x v="0"/>
    <x v="4"/>
    <x v="3"/>
    <x v="1"/>
    <x v="10"/>
    <n v="5202"/>
    <n v="5691"/>
    <n v="4607"/>
    <n v="4607"/>
  </r>
  <r>
    <x v="0"/>
    <x v="0"/>
    <x v="0"/>
    <x v="5"/>
    <x v="4"/>
    <x v="1"/>
    <x v="0"/>
    <n v="3802.951"/>
    <n v="3616.7059999999997"/>
    <n v="3699.0020000000004"/>
    <n v="4055.6179999999999"/>
  </r>
  <r>
    <x v="0"/>
    <x v="0"/>
    <x v="0"/>
    <x v="5"/>
    <x v="4"/>
    <x v="1"/>
    <x v="1"/>
    <n v="4141.0810000000001"/>
    <n v="4015.4859999999999"/>
    <n v="3996.1819999999998"/>
    <n v="4352.7979999999998"/>
  </r>
  <r>
    <x v="0"/>
    <x v="0"/>
    <x v="0"/>
    <x v="5"/>
    <x v="4"/>
    <x v="1"/>
    <x v="2"/>
    <n v="4479.2109999999993"/>
    <n v="4414.2659999999996"/>
    <n v="4293.3620000000001"/>
    <n v="4649.9779999999992"/>
  </r>
  <r>
    <x v="0"/>
    <x v="0"/>
    <x v="0"/>
    <x v="5"/>
    <x v="4"/>
    <x v="1"/>
    <x v="3"/>
    <n v="4817.3410000000003"/>
    <n v="4813.0459999999994"/>
    <n v="4590.5419999999995"/>
    <n v="4947.1579999999994"/>
  </r>
  <r>
    <x v="0"/>
    <x v="0"/>
    <x v="0"/>
    <x v="5"/>
    <x v="4"/>
    <x v="1"/>
    <x v="4"/>
    <n v="5155.4710000000005"/>
    <n v="5211.826"/>
    <n v="4887.7219999999998"/>
    <n v="5244.3379999999997"/>
  </r>
  <r>
    <x v="0"/>
    <x v="0"/>
    <x v="0"/>
    <x v="5"/>
    <x v="4"/>
    <x v="1"/>
    <x v="5"/>
    <n v="5493.6009999999997"/>
    <n v="5610.6059999999998"/>
    <n v="5184.902"/>
    <n v="5511.8"/>
  </r>
  <r>
    <x v="0"/>
    <x v="0"/>
    <x v="0"/>
    <x v="5"/>
    <x v="4"/>
    <x v="1"/>
    <x v="6"/>
    <n v="5831.7309999999998"/>
    <n v="6009.3859999999995"/>
    <n v="5482.0819999999994"/>
    <n v="5511.8"/>
  </r>
  <r>
    <x v="0"/>
    <x v="0"/>
    <x v="0"/>
    <x v="5"/>
    <x v="4"/>
    <x v="1"/>
    <x v="7"/>
    <n v="6169.8609999999999"/>
    <n v="6408.1660000000002"/>
    <n v="5511.8"/>
    <n v="5511.8"/>
  </r>
  <r>
    <x v="0"/>
    <x v="0"/>
    <x v="0"/>
    <x v="5"/>
    <x v="4"/>
    <x v="1"/>
    <x v="8"/>
    <n v="6271.3"/>
    <n v="6527.7999999999993"/>
    <n v="5511.8"/>
    <n v="5511.8"/>
  </r>
  <r>
    <x v="0"/>
    <x v="0"/>
    <x v="0"/>
    <x v="5"/>
    <x v="4"/>
    <x v="1"/>
    <x v="9"/>
    <n v="6271.3"/>
    <n v="6527.7999999999993"/>
    <n v="5511.8"/>
    <n v="5511.8"/>
  </r>
  <r>
    <x v="0"/>
    <x v="0"/>
    <x v="0"/>
    <x v="5"/>
    <x v="4"/>
    <x v="1"/>
    <x v="10"/>
    <n v="6271.3"/>
    <n v="6527.7999999999993"/>
    <n v="5511.8"/>
    <n v="5511.8"/>
  </r>
  <r>
    <x v="0"/>
    <x v="1"/>
    <x v="1"/>
    <x v="5"/>
    <x v="4"/>
    <x v="1"/>
    <x v="0"/>
    <n v="4144.26"/>
    <n v="4272.28"/>
    <n v="3855.7200000000003"/>
    <n v="4069.0799999999995"/>
  </r>
  <r>
    <x v="0"/>
    <x v="1"/>
    <x v="1"/>
    <x v="5"/>
    <x v="4"/>
    <x v="1"/>
    <x v="1"/>
    <n v="4346.5600000000004"/>
    <n v="4551.68"/>
    <n v="4033.52"/>
    <n v="4246.88"/>
  </r>
  <r>
    <x v="0"/>
    <x v="1"/>
    <x v="1"/>
    <x v="5"/>
    <x v="4"/>
    <x v="1"/>
    <x v="2"/>
    <n v="4548.8599999999997"/>
    <n v="4831.08"/>
    <n v="4211.32"/>
    <n v="4318"/>
  </r>
  <r>
    <x v="0"/>
    <x v="1"/>
    <x v="1"/>
    <x v="5"/>
    <x v="4"/>
    <x v="1"/>
    <x v="3"/>
    <n v="4751.1600000000008"/>
    <n v="5110.4800000000005"/>
    <n v="4318"/>
    <n v="4318"/>
  </r>
  <r>
    <x v="0"/>
    <x v="1"/>
    <x v="1"/>
    <x v="5"/>
    <x v="4"/>
    <x v="1"/>
    <x v="4"/>
    <n v="4913"/>
    <n v="5334"/>
    <n v="4318"/>
    <n v="4318"/>
  </r>
  <r>
    <x v="0"/>
    <x v="1"/>
    <x v="1"/>
    <x v="5"/>
    <x v="4"/>
    <x v="1"/>
    <x v="5"/>
    <n v="4913"/>
    <n v="5334"/>
    <n v="4318"/>
    <n v="4318"/>
  </r>
  <r>
    <x v="0"/>
    <x v="1"/>
    <x v="1"/>
    <x v="5"/>
    <x v="4"/>
    <x v="1"/>
    <x v="6"/>
    <n v="4913"/>
    <n v="5334"/>
    <n v="4318"/>
    <n v="4318"/>
  </r>
  <r>
    <x v="0"/>
    <x v="1"/>
    <x v="1"/>
    <x v="5"/>
    <x v="4"/>
    <x v="1"/>
    <x v="7"/>
    <n v="4913"/>
    <n v="5334"/>
    <n v="4318"/>
    <n v="4318"/>
  </r>
  <r>
    <x v="0"/>
    <x v="1"/>
    <x v="1"/>
    <x v="5"/>
    <x v="4"/>
    <x v="1"/>
    <x v="8"/>
    <n v="4913"/>
    <n v="5334"/>
    <n v="4318"/>
    <n v="4318"/>
  </r>
  <r>
    <x v="0"/>
    <x v="1"/>
    <x v="1"/>
    <x v="5"/>
    <x v="4"/>
    <x v="1"/>
    <x v="9"/>
    <n v="4913"/>
    <n v="5334"/>
    <n v="4318"/>
    <n v="4318"/>
  </r>
  <r>
    <x v="0"/>
    <x v="1"/>
    <x v="1"/>
    <x v="5"/>
    <x v="4"/>
    <x v="1"/>
    <x v="10"/>
    <n v="4913"/>
    <n v="5334"/>
    <n v="4318"/>
    <n v="4318"/>
  </r>
  <r>
    <x v="1"/>
    <x v="1"/>
    <x v="0"/>
    <x v="5"/>
    <x v="4"/>
    <x v="1"/>
    <x v="0"/>
    <n v="3876.1400000000008"/>
    <n v="3774.2700000000004"/>
    <n v="3704.4300000000003"/>
    <n v="3948.87"/>
  </r>
  <r>
    <x v="1"/>
    <x v="1"/>
    <x v="0"/>
    <x v="5"/>
    <x v="4"/>
    <x v="1"/>
    <x v="1"/>
    <n v="4104.34"/>
    <n v="4094.37"/>
    <n v="3908.13"/>
    <n v="4152.57"/>
  </r>
  <r>
    <x v="1"/>
    <x v="1"/>
    <x v="0"/>
    <x v="5"/>
    <x v="4"/>
    <x v="1"/>
    <x v="2"/>
    <n v="4332.54"/>
    <n v="4414.4699999999993"/>
    <n v="4111.829999999999"/>
    <n v="4356.2699999999995"/>
  </r>
  <r>
    <x v="1"/>
    <x v="1"/>
    <x v="0"/>
    <x v="5"/>
    <x v="4"/>
    <x v="1"/>
    <x v="3"/>
    <n v="4560.7400000000007"/>
    <n v="4734.57"/>
    <n v="4315.53"/>
    <n v="4559.9699999999993"/>
  </r>
  <r>
    <x v="1"/>
    <x v="1"/>
    <x v="0"/>
    <x v="5"/>
    <x v="4"/>
    <x v="1"/>
    <x v="4"/>
    <n v="4788.9400000000005"/>
    <n v="5054.67"/>
    <n v="4519.2299999999996"/>
    <n v="4763.67"/>
  </r>
  <r>
    <x v="1"/>
    <x v="1"/>
    <x v="0"/>
    <x v="5"/>
    <x v="4"/>
    <x v="1"/>
    <x v="5"/>
    <n v="5017.1400000000003"/>
    <n v="5374.77"/>
    <n v="4722.9299999999994"/>
    <n v="4947"/>
  </r>
  <r>
    <x v="1"/>
    <x v="1"/>
    <x v="0"/>
    <x v="5"/>
    <x v="4"/>
    <x v="1"/>
    <x v="6"/>
    <n v="5245.3400000000011"/>
    <n v="5694.87"/>
    <n v="4926.63"/>
    <n v="4947"/>
  </r>
  <r>
    <x v="1"/>
    <x v="1"/>
    <x v="0"/>
    <x v="5"/>
    <x v="4"/>
    <x v="1"/>
    <x v="7"/>
    <n v="5473.5400000000009"/>
    <n v="6014.97"/>
    <n v="4947"/>
    <n v="4947"/>
  </r>
  <r>
    <x v="1"/>
    <x v="1"/>
    <x v="0"/>
    <x v="5"/>
    <x v="4"/>
    <x v="1"/>
    <x v="8"/>
    <n v="5542.0000000000009"/>
    <n v="6111"/>
    <n v="4947"/>
    <n v="4947"/>
  </r>
  <r>
    <x v="1"/>
    <x v="1"/>
    <x v="0"/>
    <x v="5"/>
    <x v="4"/>
    <x v="1"/>
    <x v="9"/>
    <n v="5542.0000000000009"/>
    <n v="6111"/>
    <n v="4947"/>
    <n v="4947"/>
  </r>
  <r>
    <x v="1"/>
    <x v="1"/>
    <x v="0"/>
    <x v="5"/>
    <x v="4"/>
    <x v="1"/>
    <x v="10"/>
    <n v="5542.0000000000009"/>
    <n v="6111"/>
    <n v="4947"/>
    <n v="4947"/>
  </r>
  <r>
    <x v="0"/>
    <x v="0"/>
    <x v="0"/>
    <x v="7"/>
    <x v="5"/>
    <x v="1"/>
    <x v="0"/>
    <n v="4066.1310000000008"/>
    <n v="3901.4859999999999"/>
    <n v="3990.2620000000006"/>
    <n v="4374.9579999999996"/>
  </r>
  <r>
    <x v="0"/>
    <x v="0"/>
    <x v="0"/>
    <x v="7"/>
    <x v="5"/>
    <x v="1"/>
    <x v="1"/>
    <n v="4427.661000000001"/>
    <n v="4331.6660000000002"/>
    <n v="4310.8419999999996"/>
    <n v="4695.5379999999996"/>
  </r>
  <r>
    <x v="0"/>
    <x v="0"/>
    <x v="0"/>
    <x v="7"/>
    <x v="5"/>
    <x v="1"/>
    <x v="2"/>
    <n v="4789.1909999999998"/>
    <n v="4761.8459999999995"/>
    <n v="4631.4219999999996"/>
    <n v="5016.1179999999995"/>
  </r>
  <r>
    <x v="0"/>
    <x v="0"/>
    <x v="0"/>
    <x v="7"/>
    <x v="5"/>
    <x v="1"/>
    <x v="3"/>
    <n v="5150.7210000000005"/>
    <n v="5192.0259999999998"/>
    <n v="4952.0019999999995"/>
    <n v="5336.6979999999994"/>
  </r>
  <r>
    <x v="0"/>
    <x v="0"/>
    <x v="0"/>
    <x v="7"/>
    <x v="5"/>
    <x v="1"/>
    <x v="4"/>
    <n v="5512.2510000000011"/>
    <n v="5622.2059999999992"/>
    <n v="5272.5819999999994"/>
    <n v="5657.2779999999993"/>
  </r>
  <r>
    <x v="0"/>
    <x v="0"/>
    <x v="0"/>
    <x v="7"/>
    <x v="5"/>
    <x v="1"/>
    <x v="5"/>
    <n v="5873.7810000000009"/>
    <n v="6052.3859999999995"/>
    <n v="5593.1620000000003"/>
    <n v="5945.8"/>
  </r>
  <r>
    <x v="0"/>
    <x v="0"/>
    <x v="0"/>
    <x v="7"/>
    <x v="5"/>
    <x v="1"/>
    <x v="6"/>
    <n v="6235.3110000000006"/>
    <n v="6482.5659999999998"/>
    <n v="5913.7419999999993"/>
    <n v="5945.8"/>
  </r>
  <r>
    <x v="0"/>
    <x v="0"/>
    <x v="0"/>
    <x v="7"/>
    <x v="5"/>
    <x v="1"/>
    <x v="7"/>
    <n v="6596.8410000000013"/>
    <n v="6912.7460000000001"/>
    <n v="5945.8"/>
    <n v="5945.8"/>
  </r>
  <r>
    <x v="0"/>
    <x v="0"/>
    <x v="0"/>
    <x v="7"/>
    <x v="5"/>
    <x v="1"/>
    <x v="8"/>
    <n v="6705.3000000000011"/>
    <n v="7041.7999999999993"/>
    <n v="5945.8"/>
    <n v="5945.8"/>
  </r>
  <r>
    <x v="0"/>
    <x v="0"/>
    <x v="0"/>
    <x v="7"/>
    <x v="5"/>
    <x v="1"/>
    <x v="9"/>
    <n v="6705.3000000000011"/>
    <n v="7041.7999999999993"/>
    <n v="5945.8"/>
    <n v="5945.8"/>
  </r>
  <r>
    <x v="0"/>
    <x v="0"/>
    <x v="0"/>
    <x v="7"/>
    <x v="5"/>
    <x v="1"/>
    <x v="10"/>
    <n v="6705.3000000000011"/>
    <n v="7041.7999999999993"/>
    <n v="5945.8"/>
    <n v="5945.8"/>
  </r>
  <r>
    <x v="0"/>
    <x v="1"/>
    <x v="1"/>
    <x v="7"/>
    <x v="5"/>
    <x v="1"/>
    <x v="0"/>
    <n v="4431.0600000000013"/>
    <n v="4608.6799999999994"/>
    <n v="4159.32"/>
    <n v="4389.4799999999996"/>
  </r>
  <r>
    <x v="0"/>
    <x v="1"/>
    <x v="1"/>
    <x v="7"/>
    <x v="5"/>
    <x v="1"/>
    <x v="1"/>
    <n v="4647.3600000000006"/>
    <n v="4910.08"/>
    <n v="4351.12"/>
    <n v="4581.28"/>
  </r>
  <r>
    <x v="0"/>
    <x v="1"/>
    <x v="1"/>
    <x v="7"/>
    <x v="5"/>
    <x v="1"/>
    <x v="2"/>
    <n v="4863.66"/>
    <n v="5211.4799999999996"/>
    <n v="4542.92"/>
    <n v="4658"/>
  </r>
  <r>
    <x v="0"/>
    <x v="1"/>
    <x v="1"/>
    <x v="7"/>
    <x v="5"/>
    <x v="1"/>
    <x v="3"/>
    <n v="5079.9600000000009"/>
    <n v="5512.88"/>
    <n v="4658"/>
    <n v="4658"/>
  </r>
  <r>
    <x v="0"/>
    <x v="1"/>
    <x v="1"/>
    <x v="7"/>
    <x v="5"/>
    <x v="1"/>
    <x v="4"/>
    <n v="5253.0000000000009"/>
    <n v="5754"/>
    <n v="4658"/>
    <n v="4658"/>
  </r>
  <r>
    <x v="0"/>
    <x v="1"/>
    <x v="1"/>
    <x v="7"/>
    <x v="5"/>
    <x v="1"/>
    <x v="5"/>
    <n v="5253.0000000000009"/>
    <n v="5754"/>
    <n v="4658"/>
    <n v="4658"/>
  </r>
  <r>
    <x v="0"/>
    <x v="1"/>
    <x v="1"/>
    <x v="7"/>
    <x v="5"/>
    <x v="1"/>
    <x v="6"/>
    <n v="5253.0000000000009"/>
    <n v="5754"/>
    <n v="4658"/>
    <n v="4658"/>
  </r>
  <r>
    <x v="0"/>
    <x v="1"/>
    <x v="1"/>
    <x v="7"/>
    <x v="5"/>
    <x v="1"/>
    <x v="7"/>
    <n v="5253.0000000000009"/>
    <n v="5754"/>
    <n v="4658"/>
    <n v="4658"/>
  </r>
  <r>
    <x v="0"/>
    <x v="1"/>
    <x v="1"/>
    <x v="7"/>
    <x v="5"/>
    <x v="1"/>
    <x v="8"/>
    <n v="5253.0000000000009"/>
    <n v="5754"/>
    <n v="4658"/>
    <n v="4658"/>
  </r>
  <r>
    <x v="0"/>
    <x v="1"/>
    <x v="1"/>
    <x v="7"/>
    <x v="5"/>
    <x v="1"/>
    <x v="9"/>
    <n v="5253.0000000000009"/>
    <n v="5754"/>
    <n v="4658"/>
    <n v="4658"/>
  </r>
  <r>
    <x v="0"/>
    <x v="1"/>
    <x v="1"/>
    <x v="7"/>
    <x v="5"/>
    <x v="1"/>
    <x v="10"/>
    <n v="5253.0000000000009"/>
    <n v="5754"/>
    <n v="4658"/>
    <n v="4658"/>
  </r>
  <r>
    <x v="1"/>
    <x v="1"/>
    <x v="0"/>
    <x v="7"/>
    <x v="5"/>
    <x v="1"/>
    <x v="0"/>
    <n v="4113.9400000000005"/>
    <n v="4033.6700000000005"/>
    <n v="3959.03"/>
    <n v="4220.2699999999995"/>
  </r>
  <r>
    <x v="1"/>
    <x v="1"/>
    <x v="0"/>
    <x v="7"/>
    <x v="5"/>
    <x v="1"/>
    <x v="1"/>
    <n v="4356.1399999999994"/>
    <n v="4375.7700000000004"/>
    <n v="4176.7299999999996"/>
    <n v="4437.97"/>
  </r>
  <r>
    <x v="1"/>
    <x v="1"/>
    <x v="0"/>
    <x v="7"/>
    <x v="5"/>
    <x v="1"/>
    <x v="2"/>
    <n v="4598.3399999999992"/>
    <n v="4717.87"/>
    <n v="4394.4299999999994"/>
    <n v="4655.67"/>
  </r>
  <r>
    <x v="1"/>
    <x v="1"/>
    <x v="0"/>
    <x v="7"/>
    <x v="5"/>
    <x v="1"/>
    <x v="3"/>
    <n v="4840.54"/>
    <n v="5059.9699999999993"/>
    <n v="4612.1299999999992"/>
    <n v="4873.369999999999"/>
  </r>
  <r>
    <x v="1"/>
    <x v="1"/>
    <x v="0"/>
    <x v="7"/>
    <x v="5"/>
    <x v="1"/>
    <x v="4"/>
    <n v="5082.74"/>
    <n v="5402.0700000000006"/>
    <n v="4829.83"/>
    <n v="5091.07"/>
  </r>
  <r>
    <x v="1"/>
    <x v="1"/>
    <x v="0"/>
    <x v="7"/>
    <x v="5"/>
    <x v="1"/>
    <x v="5"/>
    <n v="5324.94"/>
    <n v="5744.170000000001"/>
    <n v="5047.53"/>
    <n v="5287"/>
  </r>
  <r>
    <x v="1"/>
    <x v="1"/>
    <x v="0"/>
    <x v="7"/>
    <x v="5"/>
    <x v="1"/>
    <x v="6"/>
    <n v="5567.14"/>
    <n v="6086.2699999999995"/>
    <n v="5265.2300000000005"/>
    <n v="5287"/>
  </r>
  <r>
    <x v="1"/>
    <x v="1"/>
    <x v="0"/>
    <x v="7"/>
    <x v="5"/>
    <x v="1"/>
    <x v="7"/>
    <n v="5809.34"/>
    <n v="6428.3700000000008"/>
    <n v="5287"/>
    <n v="5287"/>
  </r>
  <r>
    <x v="1"/>
    <x v="1"/>
    <x v="0"/>
    <x v="7"/>
    <x v="5"/>
    <x v="1"/>
    <x v="8"/>
    <n v="5882"/>
    <n v="6531"/>
    <n v="5287"/>
    <n v="5287"/>
  </r>
  <r>
    <x v="1"/>
    <x v="1"/>
    <x v="0"/>
    <x v="7"/>
    <x v="5"/>
    <x v="1"/>
    <x v="9"/>
    <n v="5882"/>
    <n v="6531"/>
    <n v="5287"/>
    <n v="5287"/>
  </r>
  <r>
    <x v="1"/>
    <x v="1"/>
    <x v="0"/>
    <x v="7"/>
    <x v="5"/>
    <x v="1"/>
    <x v="10"/>
    <n v="5882"/>
    <n v="6531"/>
    <n v="5287"/>
    <n v="5287"/>
  </r>
  <r>
    <x v="0"/>
    <x v="0"/>
    <x v="0"/>
    <x v="2"/>
    <x v="0"/>
    <x v="2"/>
    <x v="0"/>
    <n v="2863.0909999999999"/>
    <n v="2571.5459999999998"/>
    <n v="2669.6819999999998"/>
    <n v="2955.7380000000003"/>
  </r>
  <r>
    <x v="0"/>
    <x v="0"/>
    <x v="0"/>
    <x v="2"/>
    <x v="0"/>
    <x v="2"/>
    <x v="1"/>
    <n v="3149.4209999999998"/>
    <n v="2879.5259999999998"/>
    <n v="2908.0619999999999"/>
    <n v="3194.1180000000004"/>
  </r>
  <r>
    <x v="0"/>
    <x v="0"/>
    <x v="0"/>
    <x v="2"/>
    <x v="0"/>
    <x v="2"/>
    <x v="2"/>
    <n v="3435.7509999999997"/>
    <n v="3187.5059999999994"/>
    <n v="3146.442"/>
    <n v="3432.498"/>
  </r>
  <r>
    <x v="0"/>
    <x v="0"/>
    <x v="0"/>
    <x v="2"/>
    <x v="0"/>
    <x v="2"/>
    <x v="3"/>
    <n v="3722.0809999999997"/>
    <n v="3495.4860000000003"/>
    <n v="3384.8220000000001"/>
    <n v="3670.8780000000002"/>
  </r>
  <r>
    <x v="0"/>
    <x v="0"/>
    <x v="0"/>
    <x v="2"/>
    <x v="0"/>
    <x v="2"/>
    <x v="4"/>
    <n v="4008.4110000000001"/>
    <n v="3803.4660000000003"/>
    <n v="3623.2020000000002"/>
    <n v="3909.2580000000003"/>
  </r>
  <r>
    <x v="0"/>
    <x v="0"/>
    <x v="0"/>
    <x v="2"/>
    <x v="0"/>
    <x v="2"/>
    <x v="5"/>
    <n v="4294.741"/>
    <n v="4111.4460000000008"/>
    <n v="3861.5819999999999"/>
    <n v="4123.8"/>
  </r>
  <r>
    <x v="0"/>
    <x v="0"/>
    <x v="0"/>
    <x v="2"/>
    <x v="0"/>
    <x v="2"/>
    <x v="6"/>
    <n v="4581.0709999999999"/>
    <n v="4419.4259999999995"/>
    <n v="4099.9620000000004"/>
    <n v="4123.8"/>
  </r>
  <r>
    <x v="0"/>
    <x v="0"/>
    <x v="0"/>
    <x v="2"/>
    <x v="0"/>
    <x v="2"/>
    <x v="7"/>
    <n v="4867.4009999999998"/>
    <n v="4727.4059999999999"/>
    <n v="4123.8"/>
    <n v="4123.8"/>
  </r>
  <r>
    <x v="0"/>
    <x v="0"/>
    <x v="0"/>
    <x v="2"/>
    <x v="0"/>
    <x v="2"/>
    <x v="8"/>
    <n v="4953.3"/>
    <n v="4819.8"/>
    <n v="4123.8"/>
    <n v="4123.8"/>
  </r>
  <r>
    <x v="0"/>
    <x v="0"/>
    <x v="0"/>
    <x v="2"/>
    <x v="0"/>
    <x v="2"/>
    <x v="9"/>
    <n v="4953.3"/>
    <n v="4819.8"/>
    <n v="4123.8"/>
    <n v="4123.8"/>
  </r>
  <r>
    <x v="0"/>
    <x v="0"/>
    <x v="0"/>
    <x v="2"/>
    <x v="0"/>
    <x v="2"/>
    <x v="10"/>
    <n v="4953.3"/>
    <n v="4819.8"/>
    <n v="4123.8"/>
    <n v="4123.8"/>
  </r>
  <r>
    <x v="0"/>
    <x v="1"/>
    <x v="1"/>
    <x v="2"/>
    <x v="0"/>
    <x v="2"/>
    <x v="0"/>
    <n v="3256.22"/>
    <n v="3142.44"/>
    <n v="2898.8399999999997"/>
    <n v="3086.76"/>
  </r>
  <r>
    <x v="0"/>
    <x v="1"/>
    <x v="1"/>
    <x v="2"/>
    <x v="0"/>
    <x v="2"/>
    <x v="1"/>
    <n v="3444.3199999999997"/>
    <n v="3368.64"/>
    <n v="3055.4399999999996"/>
    <n v="3243.3599999999997"/>
  </r>
  <r>
    <x v="0"/>
    <x v="1"/>
    <x v="1"/>
    <x v="2"/>
    <x v="0"/>
    <x v="2"/>
    <x v="2"/>
    <n v="3632.4199999999996"/>
    <n v="3594.8399999999997"/>
    <n v="3212.04"/>
    <n v="3306"/>
  </r>
  <r>
    <x v="0"/>
    <x v="1"/>
    <x v="1"/>
    <x v="2"/>
    <x v="0"/>
    <x v="2"/>
    <x v="3"/>
    <n v="3820.52"/>
    <n v="3821.0400000000004"/>
    <n v="3306"/>
    <n v="3306"/>
  </r>
  <r>
    <x v="0"/>
    <x v="1"/>
    <x v="1"/>
    <x v="2"/>
    <x v="0"/>
    <x v="2"/>
    <x v="4"/>
    <n v="3971"/>
    <n v="4001.9999999999995"/>
    <n v="3306"/>
    <n v="3306"/>
  </r>
  <r>
    <x v="0"/>
    <x v="1"/>
    <x v="1"/>
    <x v="2"/>
    <x v="0"/>
    <x v="2"/>
    <x v="5"/>
    <n v="3971"/>
    <n v="4001.9999999999995"/>
    <n v="3306"/>
    <n v="3306"/>
  </r>
  <r>
    <x v="0"/>
    <x v="1"/>
    <x v="1"/>
    <x v="2"/>
    <x v="0"/>
    <x v="2"/>
    <x v="6"/>
    <n v="3971"/>
    <n v="4001.9999999999995"/>
    <n v="3306"/>
    <n v="3306"/>
  </r>
  <r>
    <x v="0"/>
    <x v="1"/>
    <x v="1"/>
    <x v="2"/>
    <x v="0"/>
    <x v="2"/>
    <x v="7"/>
    <n v="3971"/>
    <n v="4001.9999999999995"/>
    <n v="3306"/>
    <n v="3306"/>
  </r>
  <r>
    <x v="0"/>
    <x v="1"/>
    <x v="1"/>
    <x v="2"/>
    <x v="0"/>
    <x v="2"/>
    <x v="8"/>
    <n v="3971"/>
    <n v="4001.9999999999995"/>
    <n v="3306"/>
    <n v="3306"/>
  </r>
  <r>
    <x v="0"/>
    <x v="1"/>
    <x v="1"/>
    <x v="2"/>
    <x v="0"/>
    <x v="2"/>
    <x v="9"/>
    <n v="3971"/>
    <n v="4001.9999999999995"/>
    <n v="3306"/>
    <n v="3306"/>
  </r>
  <r>
    <x v="0"/>
    <x v="1"/>
    <x v="1"/>
    <x v="2"/>
    <x v="0"/>
    <x v="2"/>
    <x v="10"/>
    <n v="3971"/>
    <n v="4001.9999999999995"/>
    <n v="3306"/>
    <n v="3306"/>
  </r>
  <r>
    <x v="1"/>
    <x v="1"/>
    <x v="0"/>
    <x v="2"/>
    <x v="0"/>
    <x v="2"/>
    <x v="0"/>
    <n v="3057.7799999999997"/>
    <n v="2850.61"/>
    <n v="2850.61"/>
    <n v="3078.4900000000002"/>
  </r>
  <r>
    <x v="1"/>
    <x v="1"/>
    <x v="0"/>
    <x v="2"/>
    <x v="0"/>
    <x v="2"/>
    <x v="1"/>
    <n v="3279.18"/>
    <n v="3124.91"/>
    <n v="3040.5099999999998"/>
    <n v="3268.39"/>
  </r>
  <r>
    <x v="1"/>
    <x v="1"/>
    <x v="0"/>
    <x v="2"/>
    <x v="0"/>
    <x v="2"/>
    <x v="2"/>
    <n v="3500.5799999999995"/>
    <n v="3399.2099999999996"/>
    <n v="3230.41"/>
    <n v="3458.2899999999995"/>
  </r>
  <r>
    <x v="1"/>
    <x v="1"/>
    <x v="0"/>
    <x v="2"/>
    <x v="0"/>
    <x v="2"/>
    <x v="3"/>
    <n v="3721.9799999999996"/>
    <n v="3673.5099999999993"/>
    <n v="3420.31"/>
    <n v="3648.19"/>
  </r>
  <r>
    <x v="1"/>
    <x v="1"/>
    <x v="0"/>
    <x v="2"/>
    <x v="0"/>
    <x v="2"/>
    <x v="4"/>
    <n v="3943.3799999999992"/>
    <n v="3947.81"/>
    <n v="3610.2099999999996"/>
    <n v="3838.0899999999997"/>
  </r>
  <r>
    <x v="1"/>
    <x v="1"/>
    <x v="0"/>
    <x v="2"/>
    <x v="0"/>
    <x v="2"/>
    <x v="5"/>
    <n v="4164.78"/>
    <n v="4222.1099999999997"/>
    <n v="3800.1099999999992"/>
    <n v="4009"/>
  </r>
  <r>
    <x v="1"/>
    <x v="1"/>
    <x v="0"/>
    <x v="2"/>
    <x v="0"/>
    <x v="2"/>
    <x v="6"/>
    <n v="4386.1799999999994"/>
    <n v="4496.41"/>
    <n v="3990.01"/>
    <n v="4009"/>
  </r>
  <r>
    <x v="1"/>
    <x v="1"/>
    <x v="0"/>
    <x v="2"/>
    <x v="0"/>
    <x v="2"/>
    <x v="7"/>
    <n v="4607.58"/>
    <n v="4770.71"/>
    <n v="4009"/>
    <n v="4009"/>
  </r>
  <r>
    <x v="1"/>
    <x v="1"/>
    <x v="0"/>
    <x v="2"/>
    <x v="0"/>
    <x v="2"/>
    <x v="8"/>
    <n v="4674"/>
    <n v="4853"/>
    <n v="4009"/>
    <n v="4009"/>
  </r>
  <r>
    <x v="1"/>
    <x v="1"/>
    <x v="0"/>
    <x v="2"/>
    <x v="0"/>
    <x v="2"/>
    <x v="9"/>
    <n v="4674"/>
    <n v="4853"/>
    <n v="4009"/>
    <n v="4009"/>
  </r>
  <r>
    <x v="1"/>
    <x v="1"/>
    <x v="0"/>
    <x v="2"/>
    <x v="0"/>
    <x v="2"/>
    <x v="10"/>
    <n v="4674"/>
    <n v="4853"/>
    <n v="4009"/>
    <n v="4009"/>
  </r>
  <r>
    <x v="0"/>
    <x v="0"/>
    <x v="0"/>
    <x v="6"/>
    <x v="1"/>
    <x v="2"/>
    <x v="0"/>
    <n v="3137.0709999999999"/>
    <n v="2867.1260000000002"/>
    <n v="2976.5419999999999"/>
    <n v="3295.4780000000001"/>
  </r>
  <r>
    <x v="0"/>
    <x v="0"/>
    <x v="0"/>
    <x v="6"/>
    <x v="1"/>
    <x v="2"/>
    <x v="1"/>
    <n v="3450.8009999999999"/>
    <n v="3210.5059999999999"/>
    <n v="3242.3220000000001"/>
    <n v="3561.2580000000003"/>
  </r>
  <r>
    <x v="0"/>
    <x v="0"/>
    <x v="0"/>
    <x v="6"/>
    <x v="1"/>
    <x v="2"/>
    <x v="2"/>
    <n v="3764.5309999999999"/>
    <n v="3553.8859999999995"/>
    <n v="3508.1019999999999"/>
    <n v="3827.038"/>
  </r>
  <r>
    <x v="0"/>
    <x v="0"/>
    <x v="0"/>
    <x v="6"/>
    <x v="1"/>
    <x v="2"/>
    <x v="3"/>
    <n v="4078.261"/>
    <n v="3897.2660000000001"/>
    <n v="3773.8820000000001"/>
    <n v="4092.8180000000002"/>
  </r>
  <r>
    <x v="0"/>
    <x v="0"/>
    <x v="0"/>
    <x v="6"/>
    <x v="1"/>
    <x v="2"/>
    <x v="4"/>
    <n v="4391.991"/>
    <n v="4240.6460000000006"/>
    <n v="4039.6620000000003"/>
    <n v="4358.598"/>
  </r>
  <r>
    <x v="0"/>
    <x v="0"/>
    <x v="0"/>
    <x v="6"/>
    <x v="1"/>
    <x v="2"/>
    <x v="5"/>
    <n v="4705.7209999999995"/>
    <n v="4584.0260000000007"/>
    <n v="4305.442"/>
    <n v="4597.8"/>
  </r>
  <r>
    <x v="0"/>
    <x v="0"/>
    <x v="0"/>
    <x v="6"/>
    <x v="1"/>
    <x v="2"/>
    <x v="6"/>
    <n v="5019.451"/>
    <n v="4927.4059999999999"/>
    <n v="4571.2219999999998"/>
    <n v="4597.8"/>
  </r>
  <r>
    <x v="0"/>
    <x v="0"/>
    <x v="0"/>
    <x v="6"/>
    <x v="1"/>
    <x v="2"/>
    <x v="7"/>
    <n v="5333.1809999999996"/>
    <n v="5270.7860000000001"/>
    <n v="4597.8"/>
    <n v="4597.8"/>
  </r>
  <r>
    <x v="0"/>
    <x v="0"/>
    <x v="0"/>
    <x v="6"/>
    <x v="1"/>
    <x v="2"/>
    <x v="8"/>
    <n v="5427.3"/>
    <n v="5373.8"/>
    <n v="4597.8"/>
    <n v="4597.8"/>
  </r>
  <r>
    <x v="0"/>
    <x v="0"/>
    <x v="0"/>
    <x v="6"/>
    <x v="1"/>
    <x v="2"/>
    <x v="9"/>
    <n v="5427.3"/>
    <n v="5373.8"/>
    <n v="4597.8"/>
    <n v="4597.8"/>
  </r>
  <r>
    <x v="0"/>
    <x v="0"/>
    <x v="0"/>
    <x v="6"/>
    <x v="1"/>
    <x v="2"/>
    <x v="10"/>
    <n v="5427.3"/>
    <n v="5373.8"/>
    <n v="4597.8"/>
    <n v="4597.8"/>
  </r>
  <r>
    <x v="0"/>
    <x v="1"/>
    <x v="1"/>
    <x v="6"/>
    <x v="1"/>
    <x v="2"/>
    <x v="0"/>
    <n v="3567.8199999999997"/>
    <n v="3503.64"/>
    <n v="3232.04"/>
    <n v="3441.56"/>
  </r>
  <r>
    <x v="0"/>
    <x v="1"/>
    <x v="1"/>
    <x v="6"/>
    <x v="1"/>
    <x v="2"/>
    <x v="1"/>
    <n v="3773.9199999999996"/>
    <n v="3755.8399999999997"/>
    <n v="3406.6399999999994"/>
    <n v="3616.16"/>
  </r>
  <r>
    <x v="0"/>
    <x v="1"/>
    <x v="1"/>
    <x v="6"/>
    <x v="1"/>
    <x v="2"/>
    <x v="2"/>
    <n v="3980.0199999999995"/>
    <n v="4008.0399999999995"/>
    <n v="3581.24"/>
    <n v="3686"/>
  </r>
  <r>
    <x v="0"/>
    <x v="1"/>
    <x v="1"/>
    <x v="6"/>
    <x v="1"/>
    <x v="2"/>
    <x v="3"/>
    <n v="4186.12"/>
    <n v="4260.2400000000007"/>
    <n v="3686"/>
    <n v="3686"/>
  </r>
  <r>
    <x v="0"/>
    <x v="1"/>
    <x v="1"/>
    <x v="6"/>
    <x v="1"/>
    <x v="2"/>
    <x v="4"/>
    <n v="4351"/>
    <n v="4462"/>
    <n v="3686"/>
    <n v="3686"/>
  </r>
  <r>
    <x v="0"/>
    <x v="1"/>
    <x v="1"/>
    <x v="6"/>
    <x v="1"/>
    <x v="2"/>
    <x v="5"/>
    <n v="4351"/>
    <n v="4462"/>
    <n v="3686"/>
    <n v="3686"/>
  </r>
  <r>
    <x v="0"/>
    <x v="1"/>
    <x v="1"/>
    <x v="6"/>
    <x v="1"/>
    <x v="2"/>
    <x v="6"/>
    <n v="4351"/>
    <n v="4462"/>
    <n v="3686"/>
    <n v="3686"/>
  </r>
  <r>
    <x v="0"/>
    <x v="1"/>
    <x v="1"/>
    <x v="6"/>
    <x v="1"/>
    <x v="2"/>
    <x v="7"/>
    <n v="4351"/>
    <n v="4462"/>
    <n v="3686"/>
    <n v="3686"/>
  </r>
  <r>
    <x v="0"/>
    <x v="1"/>
    <x v="1"/>
    <x v="6"/>
    <x v="1"/>
    <x v="2"/>
    <x v="8"/>
    <n v="4351"/>
    <n v="4462"/>
    <n v="3686"/>
    <n v="3686"/>
  </r>
  <r>
    <x v="0"/>
    <x v="1"/>
    <x v="1"/>
    <x v="6"/>
    <x v="1"/>
    <x v="2"/>
    <x v="9"/>
    <n v="4351"/>
    <n v="4462"/>
    <n v="3686"/>
    <n v="3686"/>
  </r>
  <r>
    <x v="0"/>
    <x v="1"/>
    <x v="1"/>
    <x v="6"/>
    <x v="1"/>
    <x v="2"/>
    <x v="10"/>
    <n v="4351"/>
    <n v="4462"/>
    <n v="3686"/>
    <n v="3686"/>
  </r>
  <r>
    <x v="1"/>
    <x v="1"/>
    <x v="0"/>
    <x v="6"/>
    <x v="1"/>
    <x v="2"/>
    <x v="0"/>
    <n v="3306.3799999999997"/>
    <n v="3120.81"/>
    <n v="3120.81"/>
    <n v="3370.29"/>
  </r>
  <r>
    <x v="1"/>
    <x v="1"/>
    <x v="0"/>
    <x v="6"/>
    <x v="1"/>
    <x v="2"/>
    <x v="1"/>
    <n v="3545.7799999999997"/>
    <n v="3421.1099999999997"/>
    <n v="3328.7099999999996"/>
    <n v="3578.19"/>
  </r>
  <r>
    <x v="1"/>
    <x v="1"/>
    <x v="0"/>
    <x v="6"/>
    <x v="1"/>
    <x v="2"/>
    <x v="2"/>
    <n v="3785.1799999999994"/>
    <n v="3721.4099999999994"/>
    <n v="3536.6099999999997"/>
    <n v="3786.0899999999997"/>
  </r>
  <r>
    <x v="1"/>
    <x v="1"/>
    <x v="0"/>
    <x v="6"/>
    <x v="1"/>
    <x v="2"/>
    <x v="3"/>
    <n v="4024.58"/>
    <n v="4021.7099999999991"/>
    <n v="3744.51"/>
    <n v="3993.9900000000002"/>
  </r>
  <r>
    <x v="1"/>
    <x v="1"/>
    <x v="0"/>
    <x v="6"/>
    <x v="1"/>
    <x v="2"/>
    <x v="4"/>
    <n v="4263.9799999999996"/>
    <n v="4322.01"/>
    <n v="3952.41"/>
    <n v="4201.8900000000003"/>
  </r>
  <r>
    <x v="1"/>
    <x v="1"/>
    <x v="0"/>
    <x v="6"/>
    <x v="1"/>
    <x v="2"/>
    <x v="5"/>
    <n v="4503.3799999999992"/>
    <n v="4622.3099999999995"/>
    <n v="4160.3099999999995"/>
    <n v="4389"/>
  </r>
  <r>
    <x v="1"/>
    <x v="1"/>
    <x v="0"/>
    <x v="6"/>
    <x v="1"/>
    <x v="2"/>
    <x v="6"/>
    <n v="4742.78"/>
    <n v="4922.6099999999997"/>
    <n v="4368.21"/>
    <n v="4389"/>
  </r>
  <r>
    <x v="1"/>
    <x v="1"/>
    <x v="0"/>
    <x v="6"/>
    <x v="1"/>
    <x v="2"/>
    <x v="7"/>
    <n v="4982.18"/>
    <n v="5222.91"/>
    <n v="4389"/>
    <n v="4389"/>
  </r>
  <r>
    <x v="1"/>
    <x v="1"/>
    <x v="0"/>
    <x v="6"/>
    <x v="1"/>
    <x v="2"/>
    <x v="8"/>
    <n v="5054"/>
    <n v="5313"/>
    <n v="4389"/>
    <n v="4389"/>
  </r>
  <r>
    <x v="1"/>
    <x v="1"/>
    <x v="0"/>
    <x v="6"/>
    <x v="1"/>
    <x v="2"/>
    <x v="9"/>
    <n v="5054"/>
    <n v="5313"/>
    <n v="4389"/>
    <n v="4389"/>
  </r>
  <r>
    <x v="1"/>
    <x v="1"/>
    <x v="0"/>
    <x v="6"/>
    <x v="1"/>
    <x v="2"/>
    <x v="10"/>
    <n v="5054"/>
    <n v="5313"/>
    <n v="4389"/>
    <n v="4389"/>
  </r>
  <r>
    <x v="0"/>
    <x v="0"/>
    <x v="0"/>
    <x v="4"/>
    <x v="2"/>
    <x v="2"/>
    <x v="0"/>
    <n v="3411.0509999999999"/>
    <n v="3162.7060000000001"/>
    <n v="3283.402"/>
    <n v="3635.2180000000003"/>
  </r>
  <r>
    <x v="0"/>
    <x v="0"/>
    <x v="0"/>
    <x v="4"/>
    <x v="2"/>
    <x v="2"/>
    <x v="1"/>
    <n v="3752.1809999999996"/>
    <n v="3541.4859999999999"/>
    <n v="3576.5819999999999"/>
    <n v="3928.3980000000001"/>
  </r>
  <r>
    <x v="0"/>
    <x v="0"/>
    <x v="0"/>
    <x v="4"/>
    <x v="2"/>
    <x v="2"/>
    <x v="2"/>
    <n v="4093.3109999999997"/>
    <n v="3920.2659999999992"/>
    <n v="3869.7620000000002"/>
    <n v="4221.5780000000004"/>
  </r>
  <r>
    <x v="0"/>
    <x v="0"/>
    <x v="0"/>
    <x v="4"/>
    <x v="2"/>
    <x v="2"/>
    <x v="3"/>
    <n v="4434.4409999999998"/>
    <n v="4299.0460000000003"/>
    <n v="4162.942"/>
    <n v="4514.7580000000007"/>
  </r>
  <r>
    <x v="0"/>
    <x v="0"/>
    <x v="0"/>
    <x v="4"/>
    <x v="2"/>
    <x v="2"/>
    <x v="4"/>
    <n v="4775.5709999999999"/>
    <n v="4677.826"/>
    <n v="4456.1220000000003"/>
    <n v="4807.9380000000001"/>
  </r>
  <r>
    <x v="0"/>
    <x v="0"/>
    <x v="0"/>
    <x v="4"/>
    <x v="2"/>
    <x v="2"/>
    <x v="5"/>
    <n v="5116.701"/>
    <n v="5056.6060000000007"/>
    <n v="4749.3019999999997"/>
    <n v="5071.8"/>
  </r>
  <r>
    <x v="0"/>
    <x v="0"/>
    <x v="0"/>
    <x v="4"/>
    <x v="2"/>
    <x v="2"/>
    <x v="6"/>
    <n v="5457.8310000000001"/>
    <n v="5435.3859999999995"/>
    <n v="5042.482"/>
    <n v="5071.8"/>
  </r>
  <r>
    <x v="0"/>
    <x v="0"/>
    <x v="0"/>
    <x v="4"/>
    <x v="2"/>
    <x v="2"/>
    <x v="7"/>
    <n v="5798.9610000000002"/>
    <n v="5814.1660000000002"/>
    <n v="5071.8"/>
    <n v="5071.8"/>
  </r>
  <r>
    <x v="0"/>
    <x v="0"/>
    <x v="0"/>
    <x v="4"/>
    <x v="2"/>
    <x v="2"/>
    <x v="8"/>
    <n v="5901.3"/>
    <n v="5927.8"/>
    <n v="5071.8"/>
    <n v="5071.8"/>
  </r>
  <r>
    <x v="0"/>
    <x v="0"/>
    <x v="0"/>
    <x v="4"/>
    <x v="2"/>
    <x v="2"/>
    <x v="9"/>
    <n v="5901.3"/>
    <n v="5927.8"/>
    <n v="5071.8"/>
    <n v="5071.8"/>
  </r>
  <r>
    <x v="0"/>
    <x v="0"/>
    <x v="0"/>
    <x v="4"/>
    <x v="2"/>
    <x v="2"/>
    <x v="10"/>
    <n v="5901.3"/>
    <n v="5927.8"/>
    <n v="5071.8"/>
    <n v="5071.8"/>
  </r>
  <r>
    <x v="0"/>
    <x v="1"/>
    <x v="1"/>
    <x v="4"/>
    <x v="2"/>
    <x v="2"/>
    <x v="0"/>
    <n v="3879.4199999999996"/>
    <n v="3864.84"/>
    <n v="3565.24"/>
    <n v="3796.36"/>
  </r>
  <r>
    <x v="0"/>
    <x v="1"/>
    <x v="1"/>
    <x v="4"/>
    <x v="2"/>
    <x v="2"/>
    <x v="1"/>
    <n v="4103.5199999999995"/>
    <n v="4143.04"/>
    <n v="3757.8399999999997"/>
    <n v="3988.9599999999996"/>
  </r>
  <r>
    <x v="0"/>
    <x v="1"/>
    <x v="1"/>
    <x v="4"/>
    <x v="2"/>
    <x v="2"/>
    <x v="2"/>
    <n v="4327.619999999999"/>
    <n v="4421.24"/>
    <n v="3950.4399999999996"/>
    <n v="4066"/>
  </r>
  <r>
    <x v="0"/>
    <x v="1"/>
    <x v="1"/>
    <x v="4"/>
    <x v="2"/>
    <x v="2"/>
    <x v="3"/>
    <n v="4551.72"/>
    <n v="4699.4400000000005"/>
    <n v="4066"/>
    <n v="4066"/>
  </r>
  <r>
    <x v="0"/>
    <x v="1"/>
    <x v="1"/>
    <x v="4"/>
    <x v="2"/>
    <x v="2"/>
    <x v="4"/>
    <n v="4731"/>
    <n v="4922"/>
    <n v="4066"/>
    <n v="4066"/>
  </r>
  <r>
    <x v="0"/>
    <x v="1"/>
    <x v="1"/>
    <x v="4"/>
    <x v="2"/>
    <x v="2"/>
    <x v="5"/>
    <n v="4731"/>
    <n v="4922"/>
    <n v="4066"/>
    <n v="4066"/>
  </r>
  <r>
    <x v="0"/>
    <x v="1"/>
    <x v="1"/>
    <x v="4"/>
    <x v="2"/>
    <x v="2"/>
    <x v="6"/>
    <n v="4731"/>
    <n v="4922"/>
    <n v="4066"/>
    <n v="4066"/>
  </r>
  <r>
    <x v="0"/>
    <x v="1"/>
    <x v="1"/>
    <x v="4"/>
    <x v="2"/>
    <x v="2"/>
    <x v="7"/>
    <n v="4731"/>
    <n v="4922"/>
    <n v="4066"/>
    <n v="4066"/>
  </r>
  <r>
    <x v="0"/>
    <x v="1"/>
    <x v="1"/>
    <x v="4"/>
    <x v="2"/>
    <x v="2"/>
    <x v="8"/>
    <n v="4731"/>
    <n v="4922"/>
    <n v="4066"/>
    <n v="4066"/>
  </r>
  <r>
    <x v="0"/>
    <x v="1"/>
    <x v="1"/>
    <x v="4"/>
    <x v="2"/>
    <x v="2"/>
    <x v="9"/>
    <n v="4731"/>
    <n v="4922"/>
    <n v="4066"/>
    <n v="4066"/>
  </r>
  <r>
    <x v="0"/>
    <x v="1"/>
    <x v="1"/>
    <x v="4"/>
    <x v="2"/>
    <x v="2"/>
    <x v="10"/>
    <n v="4731"/>
    <n v="4922"/>
    <n v="4066"/>
    <n v="4066"/>
  </r>
  <r>
    <x v="1"/>
    <x v="1"/>
    <x v="0"/>
    <x v="4"/>
    <x v="2"/>
    <x v="2"/>
    <x v="0"/>
    <n v="3554.9799999999996"/>
    <n v="3391.0099999999998"/>
    <n v="3391.0099999999998"/>
    <n v="3662.09"/>
  </r>
  <r>
    <x v="1"/>
    <x v="1"/>
    <x v="0"/>
    <x v="4"/>
    <x v="2"/>
    <x v="2"/>
    <x v="1"/>
    <n v="3812.38"/>
    <n v="3717.3099999999995"/>
    <n v="3616.9099999999994"/>
    <n v="3887.99"/>
  </r>
  <r>
    <x v="1"/>
    <x v="1"/>
    <x v="0"/>
    <x v="4"/>
    <x v="2"/>
    <x v="2"/>
    <x v="2"/>
    <n v="4069.7799999999993"/>
    <n v="4043.6099999999992"/>
    <n v="3842.81"/>
    <n v="4113.8899999999994"/>
  </r>
  <r>
    <x v="1"/>
    <x v="1"/>
    <x v="0"/>
    <x v="4"/>
    <x v="2"/>
    <x v="2"/>
    <x v="3"/>
    <n v="4327.1799999999994"/>
    <n v="4369.9099999999989"/>
    <n v="4068.71"/>
    <n v="4339.79"/>
  </r>
  <r>
    <x v="1"/>
    <x v="1"/>
    <x v="0"/>
    <x v="4"/>
    <x v="2"/>
    <x v="2"/>
    <x v="4"/>
    <n v="4584.579999999999"/>
    <n v="4696.21"/>
    <n v="4294.6099999999997"/>
    <n v="4565.6899999999996"/>
  </r>
  <r>
    <x v="1"/>
    <x v="1"/>
    <x v="0"/>
    <x v="4"/>
    <x v="2"/>
    <x v="2"/>
    <x v="5"/>
    <n v="4841.9799999999996"/>
    <n v="5022.5099999999993"/>
    <n v="4520.5099999999993"/>
    <n v="4769"/>
  </r>
  <r>
    <x v="1"/>
    <x v="1"/>
    <x v="0"/>
    <x v="4"/>
    <x v="2"/>
    <x v="2"/>
    <x v="6"/>
    <n v="5099.38"/>
    <n v="5348.8099999999995"/>
    <n v="4746.41"/>
    <n v="4769"/>
  </r>
  <r>
    <x v="1"/>
    <x v="1"/>
    <x v="0"/>
    <x v="4"/>
    <x v="2"/>
    <x v="2"/>
    <x v="7"/>
    <n v="5356.78"/>
    <n v="5675.1100000000006"/>
    <n v="4769"/>
    <n v="4769"/>
  </r>
  <r>
    <x v="1"/>
    <x v="1"/>
    <x v="0"/>
    <x v="4"/>
    <x v="2"/>
    <x v="2"/>
    <x v="8"/>
    <n v="5434"/>
    <n v="5773"/>
    <n v="4769"/>
    <n v="4769"/>
  </r>
  <r>
    <x v="1"/>
    <x v="1"/>
    <x v="0"/>
    <x v="4"/>
    <x v="2"/>
    <x v="2"/>
    <x v="9"/>
    <n v="5434"/>
    <n v="5773"/>
    <n v="4769"/>
    <n v="4769"/>
  </r>
  <r>
    <x v="1"/>
    <x v="1"/>
    <x v="0"/>
    <x v="4"/>
    <x v="2"/>
    <x v="2"/>
    <x v="10"/>
    <n v="5434"/>
    <n v="5773"/>
    <n v="4769"/>
    <n v="4769"/>
  </r>
  <r>
    <x v="0"/>
    <x v="0"/>
    <x v="0"/>
    <x v="5"/>
    <x v="3"/>
    <x v="2"/>
    <x v="0"/>
    <n v="3685.0309999999995"/>
    <n v="3458.2860000000001"/>
    <n v="3590.2620000000002"/>
    <n v="3974.9580000000001"/>
  </r>
  <r>
    <x v="0"/>
    <x v="0"/>
    <x v="0"/>
    <x v="5"/>
    <x v="3"/>
    <x v="2"/>
    <x v="1"/>
    <n v="4053.5609999999997"/>
    <n v="3872.4659999999999"/>
    <n v="3910.8420000000001"/>
    <n v="4295.5380000000005"/>
  </r>
  <r>
    <x v="0"/>
    <x v="0"/>
    <x v="0"/>
    <x v="5"/>
    <x v="3"/>
    <x v="2"/>
    <x v="2"/>
    <n v="4422.0909999999994"/>
    <n v="4286.6459999999988"/>
    <n v="4231.4220000000005"/>
    <n v="4616.1180000000004"/>
  </r>
  <r>
    <x v="0"/>
    <x v="0"/>
    <x v="0"/>
    <x v="5"/>
    <x v="3"/>
    <x v="2"/>
    <x v="3"/>
    <n v="4790.6210000000001"/>
    <n v="4700.826"/>
    <n v="4552.0020000000004"/>
    <n v="4936.6980000000003"/>
  </r>
  <r>
    <x v="0"/>
    <x v="0"/>
    <x v="0"/>
    <x v="5"/>
    <x v="3"/>
    <x v="2"/>
    <x v="4"/>
    <n v="5159.1509999999998"/>
    <n v="5115.0060000000003"/>
    <n v="4872.5820000000003"/>
    <n v="5257.2780000000002"/>
  </r>
  <r>
    <x v="0"/>
    <x v="0"/>
    <x v="0"/>
    <x v="5"/>
    <x v="3"/>
    <x v="2"/>
    <x v="5"/>
    <n v="5527.6809999999996"/>
    <n v="5529.1860000000006"/>
    <n v="5193.1620000000003"/>
    <n v="5545.8"/>
  </r>
  <r>
    <x v="0"/>
    <x v="0"/>
    <x v="0"/>
    <x v="5"/>
    <x v="3"/>
    <x v="2"/>
    <x v="6"/>
    <n v="5896.2110000000002"/>
    <n v="5943.366"/>
    <n v="5513.7420000000002"/>
    <n v="5545.8"/>
  </r>
  <r>
    <x v="0"/>
    <x v="0"/>
    <x v="0"/>
    <x v="5"/>
    <x v="3"/>
    <x v="2"/>
    <x v="7"/>
    <n v="6264.741"/>
    <n v="6357.5459999999994"/>
    <n v="5545.8"/>
    <n v="5545.8"/>
  </r>
  <r>
    <x v="0"/>
    <x v="0"/>
    <x v="0"/>
    <x v="5"/>
    <x v="3"/>
    <x v="2"/>
    <x v="8"/>
    <n v="6375.3"/>
    <n v="6481.8"/>
    <n v="5545.8"/>
    <n v="5545.8"/>
  </r>
  <r>
    <x v="0"/>
    <x v="0"/>
    <x v="0"/>
    <x v="5"/>
    <x v="3"/>
    <x v="2"/>
    <x v="9"/>
    <n v="6375.3"/>
    <n v="6481.8"/>
    <n v="5545.8"/>
    <n v="5545.8"/>
  </r>
  <r>
    <x v="0"/>
    <x v="0"/>
    <x v="0"/>
    <x v="5"/>
    <x v="3"/>
    <x v="2"/>
    <x v="10"/>
    <n v="6375.3"/>
    <n v="6481.8"/>
    <n v="5545.8"/>
    <n v="5545.8"/>
  </r>
  <r>
    <x v="0"/>
    <x v="1"/>
    <x v="1"/>
    <x v="5"/>
    <x v="3"/>
    <x v="2"/>
    <x v="0"/>
    <n v="4191.0199999999995"/>
    <n v="4226.04"/>
    <n v="3898.4399999999996"/>
    <n v="4151.16"/>
  </r>
  <r>
    <x v="0"/>
    <x v="1"/>
    <x v="1"/>
    <x v="5"/>
    <x v="3"/>
    <x v="2"/>
    <x v="1"/>
    <n v="4433.12"/>
    <n v="4530.24"/>
    <n v="4109.0399999999991"/>
    <n v="4361.7599999999993"/>
  </r>
  <r>
    <x v="0"/>
    <x v="1"/>
    <x v="1"/>
    <x v="5"/>
    <x v="3"/>
    <x v="2"/>
    <x v="2"/>
    <n v="4675.2199999999993"/>
    <n v="4834.4399999999996"/>
    <n v="4319.6399999999994"/>
    <n v="4446"/>
  </r>
  <r>
    <x v="0"/>
    <x v="1"/>
    <x v="1"/>
    <x v="5"/>
    <x v="3"/>
    <x v="2"/>
    <x v="3"/>
    <n v="4917.3200000000006"/>
    <n v="5138.6400000000003"/>
    <n v="4446"/>
    <n v="4446"/>
  </r>
  <r>
    <x v="0"/>
    <x v="1"/>
    <x v="1"/>
    <x v="5"/>
    <x v="3"/>
    <x v="2"/>
    <x v="4"/>
    <n v="5111"/>
    <n v="5382"/>
    <n v="4446"/>
    <n v="4446"/>
  </r>
  <r>
    <x v="0"/>
    <x v="1"/>
    <x v="1"/>
    <x v="5"/>
    <x v="3"/>
    <x v="2"/>
    <x v="5"/>
    <n v="5111"/>
    <n v="5382"/>
    <n v="4446"/>
    <n v="4446"/>
  </r>
  <r>
    <x v="0"/>
    <x v="1"/>
    <x v="1"/>
    <x v="5"/>
    <x v="3"/>
    <x v="2"/>
    <x v="6"/>
    <n v="5111"/>
    <n v="5382"/>
    <n v="4446"/>
    <n v="4446"/>
  </r>
  <r>
    <x v="0"/>
    <x v="1"/>
    <x v="1"/>
    <x v="5"/>
    <x v="3"/>
    <x v="2"/>
    <x v="7"/>
    <n v="5111"/>
    <n v="5382"/>
    <n v="4446"/>
    <n v="4446"/>
  </r>
  <r>
    <x v="0"/>
    <x v="1"/>
    <x v="1"/>
    <x v="5"/>
    <x v="3"/>
    <x v="2"/>
    <x v="8"/>
    <n v="5111"/>
    <n v="5382"/>
    <n v="4446"/>
    <n v="4446"/>
  </r>
  <r>
    <x v="0"/>
    <x v="1"/>
    <x v="1"/>
    <x v="5"/>
    <x v="3"/>
    <x v="2"/>
    <x v="9"/>
    <n v="5111"/>
    <n v="5382"/>
    <n v="4446"/>
    <n v="4446"/>
  </r>
  <r>
    <x v="0"/>
    <x v="1"/>
    <x v="1"/>
    <x v="5"/>
    <x v="3"/>
    <x v="2"/>
    <x v="10"/>
    <n v="5111"/>
    <n v="5382"/>
    <n v="4446"/>
    <n v="4446"/>
  </r>
  <r>
    <x v="1"/>
    <x v="1"/>
    <x v="0"/>
    <x v="5"/>
    <x v="3"/>
    <x v="2"/>
    <x v="0"/>
    <n v="3803.5799999999995"/>
    <n v="3661.21"/>
    <n v="3661.21"/>
    <n v="3953.8900000000003"/>
  </r>
  <r>
    <x v="1"/>
    <x v="1"/>
    <x v="0"/>
    <x v="5"/>
    <x v="3"/>
    <x v="2"/>
    <x v="1"/>
    <n v="4078.98"/>
    <n v="4013.5099999999998"/>
    <n v="3905.1099999999997"/>
    <n v="4197.79"/>
  </r>
  <r>
    <x v="1"/>
    <x v="1"/>
    <x v="0"/>
    <x v="5"/>
    <x v="3"/>
    <x v="2"/>
    <x v="2"/>
    <n v="4354.3799999999992"/>
    <n v="4365.8099999999995"/>
    <n v="4149.01"/>
    <n v="4441.6899999999996"/>
  </r>
  <r>
    <x v="1"/>
    <x v="1"/>
    <x v="0"/>
    <x v="5"/>
    <x v="3"/>
    <x v="2"/>
    <x v="3"/>
    <n v="4629.78"/>
    <n v="4718.1099999999988"/>
    <n v="4392.91"/>
    <n v="4685.59"/>
  </r>
  <r>
    <x v="1"/>
    <x v="1"/>
    <x v="0"/>
    <x v="5"/>
    <x v="3"/>
    <x v="2"/>
    <x v="4"/>
    <n v="4905.1799999999994"/>
    <n v="5070.41"/>
    <n v="4636.8099999999995"/>
    <n v="4929.49"/>
  </r>
  <r>
    <x v="1"/>
    <x v="1"/>
    <x v="0"/>
    <x v="5"/>
    <x v="3"/>
    <x v="2"/>
    <x v="5"/>
    <n v="5180.58"/>
    <n v="5422.71"/>
    <n v="4880.7099999999991"/>
    <n v="5149"/>
  </r>
  <r>
    <x v="1"/>
    <x v="1"/>
    <x v="0"/>
    <x v="5"/>
    <x v="3"/>
    <x v="2"/>
    <x v="6"/>
    <n v="5455.98"/>
    <n v="5775.0099999999993"/>
    <n v="5124.6099999999997"/>
    <n v="5149"/>
  </r>
  <r>
    <x v="1"/>
    <x v="1"/>
    <x v="0"/>
    <x v="5"/>
    <x v="3"/>
    <x v="2"/>
    <x v="7"/>
    <n v="5731.38"/>
    <n v="6127.31"/>
    <n v="5149"/>
    <n v="5149"/>
  </r>
  <r>
    <x v="1"/>
    <x v="1"/>
    <x v="0"/>
    <x v="5"/>
    <x v="3"/>
    <x v="2"/>
    <x v="8"/>
    <n v="5814"/>
    <n v="6232.9999999999991"/>
    <n v="5149"/>
    <n v="5149"/>
  </r>
  <r>
    <x v="1"/>
    <x v="1"/>
    <x v="0"/>
    <x v="5"/>
    <x v="3"/>
    <x v="2"/>
    <x v="9"/>
    <n v="5814"/>
    <n v="6232.9999999999991"/>
    <n v="5149"/>
    <n v="5149"/>
  </r>
  <r>
    <x v="1"/>
    <x v="1"/>
    <x v="0"/>
    <x v="5"/>
    <x v="3"/>
    <x v="2"/>
    <x v="10"/>
    <n v="5814"/>
    <n v="6232.9999999999991"/>
    <n v="5149"/>
    <n v="5149"/>
  </r>
  <r>
    <x v="0"/>
    <x v="0"/>
    <x v="0"/>
    <x v="8"/>
    <x v="4"/>
    <x v="2"/>
    <x v="0"/>
    <n v="3959.0109999999995"/>
    <n v="3753.866"/>
    <n v="3897.1219999999998"/>
    <n v="4314.6980000000003"/>
  </r>
  <r>
    <x v="0"/>
    <x v="0"/>
    <x v="0"/>
    <x v="8"/>
    <x v="4"/>
    <x v="2"/>
    <x v="1"/>
    <n v="4354.9409999999998"/>
    <n v="4203.4459999999999"/>
    <n v="4245.1019999999999"/>
    <n v="4662.6779999999999"/>
  </r>
  <r>
    <x v="0"/>
    <x v="0"/>
    <x v="0"/>
    <x v="8"/>
    <x v="4"/>
    <x v="2"/>
    <x v="2"/>
    <n v="4750.8710000000001"/>
    <n v="4653.0259999999989"/>
    <n v="4593.0820000000003"/>
    <n v="5010.6580000000004"/>
  </r>
  <r>
    <x v="0"/>
    <x v="0"/>
    <x v="0"/>
    <x v="8"/>
    <x v="4"/>
    <x v="2"/>
    <x v="3"/>
    <n v="5146.8009999999995"/>
    <n v="5102.6060000000007"/>
    <n v="4941.0619999999999"/>
    <n v="5358.6379999999999"/>
  </r>
  <r>
    <x v="0"/>
    <x v="0"/>
    <x v="0"/>
    <x v="8"/>
    <x v="4"/>
    <x v="2"/>
    <x v="4"/>
    <n v="5542.7309999999998"/>
    <n v="5552.1860000000006"/>
    <n v="5289.0420000000004"/>
    <n v="5706.6180000000004"/>
  </r>
  <r>
    <x v="0"/>
    <x v="0"/>
    <x v="0"/>
    <x v="8"/>
    <x v="4"/>
    <x v="2"/>
    <x v="5"/>
    <n v="5938.6610000000001"/>
    <n v="6001.7660000000005"/>
    <n v="5637.0219999999999"/>
    <n v="6019.8"/>
  </r>
  <r>
    <x v="0"/>
    <x v="0"/>
    <x v="0"/>
    <x v="8"/>
    <x v="4"/>
    <x v="2"/>
    <x v="6"/>
    <n v="6334.5909999999994"/>
    <n v="6451.3459999999995"/>
    <n v="5985.0020000000004"/>
    <n v="6019.8"/>
  </r>
  <r>
    <x v="0"/>
    <x v="0"/>
    <x v="0"/>
    <x v="8"/>
    <x v="4"/>
    <x v="2"/>
    <x v="7"/>
    <n v="6730.5209999999997"/>
    <n v="6900.9259999999995"/>
    <n v="6019.8"/>
    <n v="6019.8"/>
  </r>
  <r>
    <x v="0"/>
    <x v="0"/>
    <x v="0"/>
    <x v="8"/>
    <x v="4"/>
    <x v="2"/>
    <x v="8"/>
    <n v="6849.3"/>
    <n v="7035.8"/>
    <n v="6019.8"/>
    <n v="6019.8"/>
  </r>
  <r>
    <x v="0"/>
    <x v="0"/>
    <x v="0"/>
    <x v="8"/>
    <x v="4"/>
    <x v="2"/>
    <x v="9"/>
    <n v="6849.3"/>
    <n v="7035.8"/>
    <n v="6019.8"/>
    <n v="6019.8"/>
  </r>
  <r>
    <x v="0"/>
    <x v="0"/>
    <x v="0"/>
    <x v="8"/>
    <x v="4"/>
    <x v="2"/>
    <x v="10"/>
    <n v="6849.3"/>
    <n v="7035.8"/>
    <n v="6019.8"/>
    <n v="6019.8"/>
  </r>
  <r>
    <x v="0"/>
    <x v="1"/>
    <x v="1"/>
    <x v="8"/>
    <x v="4"/>
    <x v="2"/>
    <x v="0"/>
    <n v="4502.62"/>
    <n v="4587.24"/>
    <n v="4231.6399999999994"/>
    <n v="4505.96"/>
  </r>
  <r>
    <x v="0"/>
    <x v="1"/>
    <x v="1"/>
    <x v="8"/>
    <x v="4"/>
    <x v="2"/>
    <x v="1"/>
    <n v="4762.7199999999993"/>
    <n v="4917.4399999999996"/>
    <n v="4460.24"/>
    <n v="4734.5599999999995"/>
  </r>
  <r>
    <x v="0"/>
    <x v="1"/>
    <x v="1"/>
    <x v="8"/>
    <x v="4"/>
    <x v="2"/>
    <x v="2"/>
    <n v="5022.82"/>
    <n v="5247.6399999999994"/>
    <n v="4688.8399999999992"/>
    <n v="4826"/>
  </r>
  <r>
    <x v="0"/>
    <x v="1"/>
    <x v="1"/>
    <x v="8"/>
    <x v="4"/>
    <x v="2"/>
    <x v="3"/>
    <n v="5282.92"/>
    <n v="5577.84"/>
    <n v="4826"/>
    <n v="4826"/>
  </r>
  <r>
    <x v="0"/>
    <x v="1"/>
    <x v="1"/>
    <x v="8"/>
    <x v="4"/>
    <x v="2"/>
    <x v="4"/>
    <n v="5491"/>
    <n v="5842"/>
    <n v="4826"/>
    <n v="4826"/>
  </r>
  <r>
    <x v="0"/>
    <x v="1"/>
    <x v="1"/>
    <x v="8"/>
    <x v="4"/>
    <x v="2"/>
    <x v="5"/>
    <n v="5491"/>
    <n v="5842"/>
    <n v="4826"/>
    <n v="4826"/>
  </r>
  <r>
    <x v="0"/>
    <x v="1"/>
    <x v="1"/>
    <x v="8"/>
    <x v="4"/>
    <x v="2"/>
    <x v="6"/>
    <n v="5491"/>
    <n v="5842"/>
    <n v="4826"/>
    <n v="4826"/>
  </r>
  <r>
    <x v="0"/>
    <x v="1"/>
    <x v="1"/>
    <x v="8"/>
    <x v="4"/>
    <x v="2"/>
    <x v="7"/>
    <n v="5491"/>
    <n v="5842"/>
    <n v="4826"/>
    <n v="4826"/>
  </r>
  <r>
    <x v="0"/>
    <x v="1"/>
    <x v="1"/>
    <x v="8"/>
    <x v="4"/>
    <x v="2"/>
    <x v="8"/>
    <n v="5491"/>
    <n v="5842"/>
    <n v="4826"/>
    <n v="4826"/>
  </r>
  <r>
    <x v="0"/>
    <x v="1"/>
    <x v="1"/>
    <x v="8"/>
    <x v="4"/>
    <x v="2"/>
    <x v="9"/>
    <n v="5491"/>
    <n v="5842"/>
    <n v="4826"/>
    <n v="4826"/>
  </r>
  <r>
    <x v="0"/>
    <x v="1"/>
    <x v="1"/>
    <x v="8"/>
    <x v="4"/>
    <x v="2"/>
    <x v="10"/>
    <n v="5491"/>
    <n v="5842"/>
    <n v="4826"/>
    <n v="4826"/>
  </r>
  <r>
    <x v="1"/>
    <x v="1"/>
    <x v="0"/>
    <x v="8"/>
    <x v="4"/>
    <x v="2"/>
    <x v="0"/>
    <n v="4052.1800000000003"/>
    <n v="3931.41"/>
    <n v="3931.41"/>
    <n v="4245.6900000000005"/>
  </r>
  <r>
    <x v="1"/>
    <x v="1"/>
    <x v="0"/>
    <x v="8"/>
    <x v="4"/>
    <x v="2"/>
    <x v="1"/>
    <n v="4345.5800000000008"/>
    <n v="4309.71"/>
    <n v="4193.3099999999995"/>
    <n v="4507.59"/>
  </r>
  <r>
    <x v="1"/>
    <x v="1"/>
    <x v="0"/>
    <x v="8"/>
    <x v="4"/>
    <x v="2"/>
    <x v="2"/>
    <n v="4638.9800000000005"/>
    <n v="4688.0099999999993"/>
    <n v="4455.21"/>
    <n v="4769.49"/>
  </r>
  <r>
    <x v="1"/>
    <x v="1"/>
    <x v="0"/>
    <x v="8"/>
    <x v="4"/>
    <x v="2"/>
    <x v="3"/>
    <n v="4932.38"/>
    <n v="5066.3099999999986"/>
    <n v="4717.1099999999997"/>
    <n v="5031.3900000000003"/>
  </r>
  <r>
    <x v="1"/>
    <x v="1"/>
    <x v="0"/>
    <x v="8"/>
    <x v="4"/>
    <x v="2"/>
    <x v="4"/>
    <n v="5225.78"/>
    <n v="5444.61"/>
    <n v="4979.0099999999993"/>
    <n v="5293.29"/>
  </r>
  <r>
    <x v="1"/>
    <x v="1"/>
    <x v="0"/>
    <x v="8"/>
    <x v="4"/>
    <x v="2"/>
    <x v="5"/>
    <n v="5519.18"/>
    <n v="5822.91"/>
    <n v="5240.9099999999989"/>
    <n v="5529"/>
  </r>
  <r>
    <x v="1"/>
    <x v="1"/>
    <x v="0"/>
    <x v="8"/>
    <x v="4"/>
    <x v="2"/>
    <x v="6"/>
    <n v="5812.5800000000008"/>
    <n v="6201.2099999999991"/>
    <n v="5502.81"/>
    <n v="5529"/>
  </r>
  <r>
    <x v="1"/>
    <x v="1"/>
    <x v="0"/>
    <x v="8"/>
    <x v="4"/>
    <x v="2"/>
    <x v="7"/>
    <n v="6105.9800000000005"/>
    <n v="6579.51"/>
    <n v="5529"/>
    <n v="5529"/>
  </r>
  <r>
    <x v="1"/>
    <x v="1"/>
    <x v="0"/>
    <x v="8"/>
    <x v="4"/>
    <x v="2"/>
    <x v="8"/>
    <n v="6194.0000000000009"/>
    <n v="6692.9999999999991"/>
    <n v="5529"/>
    <n v="5529"/>
  </r>
  <r>
    <x v="1"/>
    <x v="1"/>
    <x v="0"/>
    <x v="8"/>
    <x v="4"/>
    <x v="2"/>
    <x v="9"/>
    <n v="6194.0000000000009"/>
    <n v="6692.9999999999991"/>
    <n v="5529"/>
    <n v="5529"/>
  </r>
  <r>
    <x v="1"/>
    <x v="1"/>
    <x v="0"/>
    <x v="8"/>
    <x v="4"/>
    <x v="2"/>
    <x v="10"/>
    <n v="6194.0000000000009"/>
    <n v="6692.9999999999991"/>
    <n v="5529"/>
    <n v="5529"/>
  </r>
  <r>
    <x v="0"/>
    <x v="0"/>
    <x v="0"/>
    <x v="9"/>
    <x v="5"/>
    <x v="2"/>
    <x v="0"/>
    <n v="4232.991"/>
    <n v="4049.4459999999999"/>
    <n v="4203.982"/>
    <n v="4654.4380000000001"/>
  </r>
  <r>
    <x v="0"/>
    <x v="0"/>
    <x v="0"/>
    <x v="9"/>
    <x v="5"/>
    <x v="2"/>
    <x v="1"/>
    <n v="4656.3210000000008"/>
    <n v="4534.4260000000004"/>
    <n v="4579.3620000000001"/>
    <n v="5029.8180000000002"/>
  </r>
  <r>
    <x v="0"/>
    <x v="0"/>
    <x v="0"/>
    <x v="9"/>
    <x v="5"/>
    <x v="2"/>
    <x v="2"/>
    <n v="5079.6510000000007"/>
    <n v="5019.405999999999"/>
    <n v="4954.7420000000002"/>
    <n v="5405.1980000000003"/>
  </r>
  <r>
    <x v="0"/>
    <x v="0"/>
    <x v="0"/>
    <x v="9"/>
    <x v="5"/>
    <x v="2"/>
    <x v="3"/>
    <n v="5502.9810000000007"/>
    <n v="5504.3860000000004"/>
    <n v="5330.1220000000003"/>
    <n v="5780.5780000000004"/>
  </r>
  <r>
    <x v="0"/>
    <x v="0"/>
    <x v="0"/>
    <x v="9"/>
    <x v="5"/>
    <x v="2"/>
    <x v="4"/>
    <n v="5926.3110000000006"/>
    <n v="5989.3660000000009"/>
    <n v="5705.5020000000004"/>
    <n v="6155.9580000000005"/>
  </r>
  <r>
    <x v="0"/>
    <x v="0"/>
    <x v="0"/>
    <x v="9"/>
    <x v="5"/>
    <x v="2"/>
    <x v="5"/>
    <n v="6349.6410000000005"/>
    <n v="6474.3460000000005"/>
    <n v="6080.8820000000005"/>
    <n v="6493.8"/>
  </r>
  <r>
    <x v="0"/>
    <x v="0"/>
    <x v="0"/>
    <x v="9"/>
    <x v="5"/>
    <x v="2"/>
    <x v="6"/>
    <n v="6772.9710000000005"/>
    <n v="6959.3259999999991"/>
    <n v="6456.2619999999997"/>
    <n v="6493.8"/>
  </r>
  <r>
    <x v="0"/>
    <x v="0"/>
    <x v="0"/>
    <x v="9"/>
    <x v="5"/>
    <x v="2"/>
    <x v="7"/>
    <n v="7196.3010000000013"/>
    <n v="7444.3059999999996"/>
    <n v="6493.8"/>
    <n v="6493.8"/>
  </r>
  <r>
    <x v="0"/>
    <x v="0"/>
    <x v="0"/>
    <x v="9"/>
    <x v="5"/>
    <x v="2"/>
    <x v="8"/>
    <n v="7323.3000000000011"/>
    <n v="7589.8"/>
    <n v="6493.8"/>
    <n v="6493.8"/>
  </r>
  <r>
    <x v="0"/>
    <x v="0"/>
    <x v="0"/>
    <x v="9"/>
    <x v="5"/>
    <x v="2"/>
    <x v="9"/>
    <n v="7323.3000000000011"/>
    <n v="7589.8"/>
    <n v="6493.8"/>
    <n v="6493.8"/>
  </r>
  <r>
    <x v="0"/>
    <x v="0"/>
    <x v="0"/>
    <x v="9"/>
    <x v="5"/>
    <x v="2"/>
    <x v="10"/>
    <n v="7323.3000000000011"/>
    <n v="7589.8"/>
    <n v="6493.8"/>
    <n v="6493.8"/>
  </r>
  <r>
    <x v="0"/>
    <x v="1"/>
    <x v="1"/>
    <x v="9"/>
    <x v="5"/>
    <x v="2"/>
    <x v="0"/>
    <n v="4814.22"/>
    <n v="4948.4400000000005"/>
    <n v="4564.84"/>
    <n v="4860.76"/>
  </r>
  <r>
    <x v="0"/>
    <x v="1"/>
    <x v="1"/>
    <x v="9"/>
    <x v="5"/>
    <x v="2"/>
    <x v="1"/>
    <n v="5092.3200000000006"/>
    <n v="5304.6399999999994"/>
    <n v="4811.4399999999996"/>
    <n v="5107.3599999999997"/>
  </r>
  <r>
    <x v="0"/>
    <x v="1"/>
    <x v="1"/>
    <x v="9"/>
    <x v="5"/>
    <x v="2"/>
    <x v="2"/>
    <n v="5370.42"/>
    <n v="5660.8399999999992"/>
    <n v="5058.04"/>
    <n v="5206"/>
  </r>
  <r>
    <x v="0"/>
    <x v="1"/>
    <x v="1"/>
    <x v="9"/>
    <x v="5"/>
    <x v="2"/>
    <x v="3"/>
    <n v="5648.5200000000013"/>
    <n v="6017.0400000000009"/>
    <n v="5206"/>
    <n v="5206"/>
  </r>
  <r>
    <x v="0"/>
    <x v="1"/>
    <x v="1"/>
    <x v="9"/>
    <x v="5"/>
    <x v="2"/>
    <x v="4"/>
    <n v="5871.0000000000009"/>
    <n v="6301.9999999999991"/>
    <n v="5206"/>
    <n v="5206"/>
  </r>
  <r>
    <x v="0"/>
    <x v="1"/>
    <x v="1"/>
    <x v="9"/>
    <x v="5"/>
    <x v="2"/>
    <x v="5"/>
    <n v="5871.0000000000009"/>
    <n v="6301.9999999999991"/>
    <n v="5206"/>
    <n v="5206"/>
  </r>
  <r>
    <x v="0"/>
    <x v="1"/>
    <x v="1"/>
    <x v="9"/>
    <x v="5"/>
    <x v="2"/>
    <x v="6"/>
    <n v="5871.0000000000009"/>
    <n v="6301.9999999999991"/>
    <n v="5206"/>
    <n v="5206"/>
  </r>
  <r>
    <x v="0"/>
    <x v="1"/>
    <x v="1"/>
    <x v="9"/>
    <x v="5"/>
    <x v="2"/>
    <x v="7"/>
    <n v="5871.0000000000009"/>
    <n v="6301.9999999999991"/>
    <n v="5206"/>
    <n v="5206"/>
  </r>
  <r>
    <x v="0"/>
    <x v="1"/>
    <x v="1"/>
    <x v="9"/>
    <x v="5"/>
    <x v="2"/>
    <x v="8"/>
    <n v="5871.0000000000009"/>
    <n v="6301.9999999999991"/>
    <n v="5206"/>
    <n v="5206"/>
  </r>
  <r>
    <x v="0"/>
    <x v="1"/>
    <x v="1"/>
    <x v="9"/>
    <x v="5"/>
    <x v="2"/>
    <x v="9"/>
    <n v="5871.0000000000009"/>
    <n v="6301.9999999999991"/>
    <n v="5206"/>
    <n v="5206"/>
  </r>
  <r>
    <x v="0"/>
    <x v="1"/>
    <x v="1"/>
    <x v="9"/>
    <x v="5"/>
    <x v="2"/>
    <x v="10"/>
    <n v="5871.0000000000009"/>
    <n v="6301.9999999999991"/>
    <n v="5206"/>
    <n v="5206"/>
  </r>
  <r>
    <x v="1"/>
    <x v="1"/>
    <x v="0"/>
    <x v="9"/>
    <x v="5"/>
    <x v="2"/>
    <x v="0"/>
    <n v="4300.78"/>
    <n v="4201.6099999999997"/>
    <n v="4201.6099999999997"/>
    <n v="4537.49"/>
  </r>
  <r>
    <x v="1"/>
    <x v="1"/>
    <x v="0"/>
    <x v="9"/>
    <x v="5"/>
    <x v="2"/>
    <x v="1"/>
    <n v="4612.18"/>
    <n v="4605.91"/>
    <n v="4481.5099999999993"/>
    <n v="4817.3899999999994"/>
  </r>
  <r>
    <x v="1"/>
    <x v="1"/>
    <x v="0"/>
    <x v="9"/>
    <x v="5"/>
    <x v="2"/>
    <x v="2"/>
    <n v="4923.579999999999"/>
    <n v="5010.2099999999991"/>
    <n v="4761.41"/>
    <n v="5097.2899999999991"/>
  </r>
  <r>
    <x v="1"/>
    <x v="1"/>
    <x v="0"/>
    <x v="9"/>
    <x v="5"/>
    <x v="2"/>
    <x v="3"/>
    <n v="5234.9799999999996"/>
    <n v="5414.5099999999993"/>
    <n v="5041.3100000000004"/>
    <n v="5377.1900000000005"/>
  </r>
  <r>
    <x v="1"/>
    <x v="1"/>
    <x v="0"/>
    <x v="9"/>
    <x v="5"/>
    <x v="2"/>
    <x v="4"/>
    <n v="5546.3799999999992"/>
    <n v="5818.81"/>
    <n v="5321.2099999999991"/>
    <n v="5657.09"/>
  </r>
  <r>
    <x v="1"/>
    <x v="1"/>
    <x v="0"/>
    <x v="9"/>
    <x v="5"/>
    <x v="2"/>
    <x v="5"/>
    <n v="5857.78"/>
    <n v="6223.11"/>
    <n v="5601.1099999999988"/>
    <n v="5909"/>
  </r>
  <r>
    <x v="1"/>
    <x v="1"/>
    <x v="0"/>
    <x v="9"/>
    <x v="5"/>
    <x v="2"/>
    <x v="6"/>
    <n v="6169.1799999999994"/>
    <n v="6627.4099999999989"/>
    <n v="5881.01"/>
    <n v="5909"/>
  </r>
  <r>
    <x v="1"/>
    <x v="1"/>
    <x v="0"/>
    <x v="9"/>
    <x v="5"/>
    <x v="2"/>
    <x v="7"/>
    <n v="6480.58"/>
    <n v="7031.71"/>
    <n v="5909"/>
    <n v="5909"/>
  </r>
  <r>
    <x v="1"/>
    <x v="1"/>
    <x v="0"/>
    <x v="9"/>
    <x v="5"/>
    <x v="2"/>
    <x v="8"/>
    <n v="6574"/>
    <n v="7152.9999999999991"/>
    <n v="5909"/>
    <n v="5909"/>
  </r>
  <r>
    <x v="1"/>
    <x v="1"/>
    <x v="0"/>
    <x v="9"/>
    <x v="5"/>
    <x v="2"/>
    <x v="9"/>
    <n v="6574"/>
    <n v="7152.9999999999991"/>
    <n v="5909"/>
    <n v="5909"/>
  </r>
  <r>
    <x v="1"/>
    <x v="1"/>
    <x v="0"/>
    <x v="9"/>
    <x v="5"/>
    <x v="2"/>
    <x v="10"/>
    <n v="6574"/>
    <n v="7152.9999999999991"/>
    <n v="5909"/>
    <n v="5909"/>
  </r>
  <r>
    <x v="0"/>
    <x v="0"/>
    <x v="0"/>
    <x v="3"/>
    <x v="0"/>
    <x v="3"/>
    <x v="0"/>
    <n v="2975.9510000000005"/>
    <n v="2665.5059999999999"/>
    <n v="2805.4020000000005"/>
    <n v="3133.2180000000003"/>
  </r>
  <r>
    <x v="0"/>
    <x v="0"/>
    <x v="0"/>
    <x v="3"/>
    <x v="0"/>
    <x v="3"/>
    <x v="1"/>
    <n v="3304.0810000000006"/>
    <n v="3008.2859999999996"/>
    <n v="3078.5820000000003"/>
    <n v="3406.3980000000001"/>
  </r>
  <r>
    <x v="0"/>
    <x v="0"/>
    <x v="0"/>
    <x v="3"/>
    <x v="0"/>
    <x v="3"/>
    <x v="2"/>
    <n v="3632.2109999999993"/>
    <n v="3351.0659999999998"/>
    <n v="3351.7619999999997"/>
    <n v="3679.578"/>
  </r>
  <r>
    <x v="0"/>
    <x v="0"/>
    <x v="0"/>
    <x v="3"/>
    <x v="0"/>
    <x v="3"/>
    <x v="3"/>
    <n v="3960.3410000000003"/>
    <n v="3693.846"/>
    <n v="3624.9420000000005"/>
    <n v="3952.7580000000003"/>
  </r>
  <r>
    <x v="0"/>
    <x v="0"/>
    <x v="0"/>
    <x v="3"/>
    <x v="0"/>
    <x v="3"/>
    <x v="4"/>
    <n v="4288.4710000000005"/>
    <n v="4036.6260000000002"/>
    <n v="3898.1220000000008"/>
    <n v="4225.9380000000001"/>
  </r>
  <r>
    <x v="0"/>
    <x v="0"/>
    <x v="0"/>
    <x v="3"/>
    <x v="0"/>
    <x v="3"/>
    <x v="5"/>
    <n v="4616.6010000000006"/>
    <n v="4379.4059999999999"/>
    <n v="4171.3019999999997"/>
    <n v="4471.8"/>
  </r>
  <r>
    <x v="0"/>
    <x v="0"/>
    <x v="0"/>
    <x v="3"/>
    <x v="0"/>
    <x v="3"/>
    <x v="6"/>
    <n v="4944.7310000000007"/>
    <n v="4722.1860000000006"/>
    <n v="4444.4820000000009"/>
    <n v="4471.8"/>
  </r>
  <r>
    <x v="0"/>
    <x v="0"/>
    <x v="0"/>
    <x v="3"/>
    <x v="0"/>
    <x v="3"/>
    <x v="7"/>
    <n v="5272.8609999999999"/>
    <n v="5064.9659999999994"/>
    <n v="4471.8"/>
    <n v="4471.8"/>
  </r>
  <r>
    <x v="0"/>
    <x v="0"/>
    <x v="0"/>
    <x v="3"/>
    <x v="0"/>
    <x v="3"/>
    <x v="8"/>
    <n v="5371.3"/>
    <n v="5167.8"/>
    <n v="4471.8"/>
    <n v="4471.8"/>
  </r>
  <r>
    <x v="0"/>
    <x v="0"/>
    <x v="0"/>
    <x v="3"/>
    <x v="0"/>
    <x v="3"/>
    <x v="9"/>
    <n v="5371.3"/>
    <n v="5167.8"/>
    <n v="4471.8"/>
    <n v="4471.8"/>
  </r>
  <r>
    <x v="0"/>
    <x v="0"/>
    <x v="0"/>
    <x v="3"/>
    <x v="0"/>
    <x v="3"/>
    <x v="10"/>
    <n v="5371.3"/>
    <n v="5167.8"/>
    <n v="4471.8"/>
    <n v="4471.8"/>
  </r>
  <r>
    <x v="0"/>
    <x v="1"/>
    <x v="1"/>
    <x v="3"/>
    <x v="0"/>
    <x v="3"/>
    <x v="0"/>
    <n v="3515.3799999999997"/>
    <n v="3358.2000000000003"/>
    <n v="3156.36"/>
    <n v="3386.0400000000004"/>
  </r>
  <r>
    <x v="0"/>
    <x v="1"/>
    <x v="1"/>
    <x v="3"/>
    <x v="0"/>
    <x v="3"/>
    <x v="1"/>
    <n v="3745.28"/>
    <n v="3619.2000000000003"/>
    <n v="3347.7599999999998"/>
    <n v="3577.44"/>
  </r>
  <r>
    <x v="0"/>
    <x v="1"/>
    <x v="1"/>
    <x v="3"/>
    <x v="0"/>
    <x v="3"/>
    <x v="2"/>
    <n v="3975.18"/>
    <n v="3880.2"/>
    <n v="3539.16"/>
    <n v="3654"/>
  </r>
  <r>
    <x v="0"/>
    <x v="1"/>
    <x v="1"/>
    <x v="3"/>
    <x v="0"/>
    <x v="3"/>
    <x v="3"/>
    <n v="4205.08"/>
    <n v="4141.2000000000007"/>
    <n v="3654"/>
    <n v="3654"/>
  </r>
  <r>
    <x v="0"/>
    <x v="1"/>
    <x v="1"/>
    <x v="3"/>
    <x v="0"/>
    <x v="3"/>
    <x v="4"/>
    <n v="4389"/>
    <n v="4350"/>
    <n v="3654"/>
    <n v="3654"/>
  </r>
  <r>
    <x v="0"/>
    <x v="1"/>
    <x v="1"/>
    <x v="3"/>
    <x v="0"/>
    <x v="3"/>
    <x v="5"/>
    <n v="4389"/>
    <n v="4350"/>
    <n v="3654"/>
    <n v="3654"/>
  </r>
  <r>
    <x v="0"/>
    <x v="1"/>
    <x v="1"/>
    <x v="3"/>
    <x v="0"/>
    <x v="3"/>
    <x v="6"/>
    <n v="4389"/>
    <n v="4350"/>
    <n v="3654"/>
    <n v="3654"/>
  </r>
  <r>
    <x v="0"/>
    <x v="1"/>
    <x v="1"/>
    <x v="3"/>
    <x v="0"/>
    <x v="3"/>
    <x v="7"/>
    <n v="4389"/>
    <n v="4350"/>
    <n v="3654"/>
    <n v="3654"/>
  </r>
  <r>
    <x v="0"/>
    <x v="1"/>
    <x v="1"/>
    <x v="3"/>
    <x v="0"/>
    <x v="3"/>
    <x v="8"/>
    <n v="4389"/>
    <n v="4350"/>
    <n v="3654"/>
    <n v="3654"/>
  </r>
  <r>
    <x v="0"/>
    <x v="1"/>
    <x v="1"/>
    <x v="3"/>
    <x v="0"/>
    <x v="3"/>
    <x v="9"/>
    <n v="4389"/>
    <n v="4350"/>
    <n v="3654"/>
    <n v="3654"/>
  </r>
  <r>
    <x v="0"/>
    <x v="1"/>
    <x v="1"/>
    <x v="3"/>
    <x v="0"/>
    <x v="3"/>
    <x v="10"/>
    <n v="4389"/>
    <n v="4350"/>
    <n v="3654"/>
    <n v="3654"/>
  </r>
  <r>
    <x v="1"/>
    <x v="1"/>
    <x v="0"/>
    <x v="3"/>
    <x v="0"/>
    <x v="3"/>
    <x v="0"/>
    <n v="3190.6200000000003"/>
    <n v="2964.55"/>
    <n v="3015.19"/>
    <n v="3293.7100000000005"/>
  </r>
  <r>
    <x v="1"/>
    <x v="1"/>
    <x v="0"/>
    <x v="3"/>
    <x v="0"/>
    <x v="3"/>
    <x v="1"/>
    <n v="3461.2200000000003"/>
    <n v="3281.05"/>
    <n v="3247.29"/>
    <n v="3525.8099999999995"/>
  </r>
  <r>
    <x v="1"/>
    <x v="1"/>
    <x v="0"/>
    <x v="3"/>
    <x v="0"/>
    <x v="3"/>
    <x v="2"/>
    <n v="3731.8199999999997"/>
    <n v="3597.5499999999993"/>
    <n v="3479.3899999999994"/>
    <n v="3757.9099999999994"/>
  </r>
  <r>
    <x v="1"/>
    <x v="1"/>
    <x v="0"/>
    <x v="3"/>
    <x v="0"/>
    <x v="3"/>
    <x v="3"/>
    <n v="4002.4199999999996"/>
    <n v="3914.05"/>
    <n v="3711.49"/>
    <n v="3990.01"/>
  </r>
  <r>
    <x v="1"/>
    <x v="1"/>
    <x v="0"/>
    <x v="3"/>
    <x v="0"/>
    <x v="3"/>
    <x v="4"/>
    <n v="4273.0200000000004"/>
    <n v="4230.55"/>
    <n v="3943.5900000000006"/>
    <n v="4222.1100000000006"/>
  </r>
  <r>
    <x v="1"/>
    <x v="1"/>
    <x v="0"/>
    <x v="3"/>
    <x v="0"/>
    <x v="3"/>
    <x v="5"/>
    <n v="4543.6200000000008"/>
    <n v="4547.05"/>
    <n v="4175.6900000000005"/>
    <n v="4431"/>
  </r>
  <r>
    <x v="1"/>
    <x v="1"/>
    <x v="0"/>
    <x v="3"/>
    <x v="0"/>
    <x v="3"/>
    <x v="6"/>
    <n v="4814.2199999999993"/>
    <n v="4863.5499999999993"/>
    <n v="4407.7900000000009"/>
    <n v="4431"/>
  </r>
  <r>
    <x v="1"/>
    <x v="1"/>
    <x v="0"/>
    <x v="3"/>
    <x v="0"/>
    <x v="3"/>
    <x v="7"/>
    <n v="5084.8200000000006"/>
    <n v="5180.05"/>
    <n v="4431"/>
    <n v="4431"/>
  </r>
  <r>
    <x v="1"/>
    <x v="1"/>
    <x v="0"/>
    <x v="3"/>
    <x v="0"/>
    <x v="3"/>
    <x v="8"/>
    <n v="5166"/>
    <n v="5275"/>
    <n v="4431"/>
    <n v="4431"/>
  </r>
  <r>
    <x v="1"/>
    <x v="1"/>
    <x v="0"/>
    <x v="3"/>
    <x v="0"/>
    <x v="3"/>
    <x v="9"/>
    <n v="5166"/>
    <n v="5275"/>
    <n v="4431"/>
    <n v="4431"/>
  </r>
  <r>
    <x v="1"/>
    <x v="1"/>
    <x v="0"/>
    <x v="3"/>
    <x v="0"/>
    <x v="3"/>
    <x v="10"/>
    <n v="5166"/>
    <n v="5275"/>
    <n v="4431"/>
    <n v="4431"/>
  </r>
  <r>
    <x v="0"/>
    <x v="0"/>
    <x v="0"/>
    <x v="4"/>
    <x v="1"/>
    <x v="3"/>
    <x v="0"/>
    <n v="3260.7310000000002"/>
    <n v="2971.886"/>
    <n v="3127.8620000000005"/>
    <n v="3493.3580000000002"/>
  </r>
  <r>
    <x v="0"/>
    <x v="0"/>
    <x v="0"/>
    <x v="4"/>
    <x v="1"/>
    <x v="3"/>
    <x v="1"/>
    <n v="3620.2610000000004"/>
    <n v="3354.0659999999998"/>
    <n v="3432.442"/>
    <n v="3797.9380000000001"/>
  </r>
  <r>
    <x v="0"/>
    <x v="0"/>
    <x v="0"/>
    <x v="4"/>
    <x v="1"/>
    <x v="3"/>
    <x v="2"/>
    <n v="3979.7909999999997"/>
    <n v="3736.2460000000001"/>
    <n v="3737.0219999999999"/>
    <n v="4102.518"/>
  </r>
  <r>
    <x v="0"/>
    <x v="0"/>
    <x v="0"/>
    <x v="4"/>
    <x v="1"/>
    <x v="3"/>
    <x v="3"/>
    <n v="4339.3210000000008"/>
    <n v="4118.4260000000004"/>
    <n v="4041.6020000000008"/>
    <n v="4407.098"/>
  </r>
  <r>
    <x v="0"/>
    <x v="0"/>
    <x v="0"/>
    <x v="4"/>
    <x v="1"/>
    <x v="3"/>
    <x v="4"/>
    <n v="4698.8510000000006"/>
    <n v="4500.6059999999998"/>
    <n v="4346.1820000000007"/>
    <n v="4711.6779999999999"/>
  </r>
  <r>
    <x v="0"/>
    <x v="0"/>
    <x v="0"/>
    <x v="4"/>
    <x v="1"/>
    <x v="3"/>
    <x v="5"/>
    <n v="5058.3810000000003"/>
    <n v="4882.7860000000001"/>
    <n v="4650.7619999999997"/>
    <n v="4985.8"/>
  </r>
  <r>
    <x v="0"/>
    <x v="0"/>
    <x v="0"/>
    <x v="4"/>
    <x v="1"/>
    <x v="3"/>
    <x v="6"/>
    <n v="5417.911000000001"/>
    <n v="5264.9660000000003"/>
    <n v="4955.3420000000006"/>
    <n v="4985.8"/>
  </r>
  <r>
    <x v="0"/>
    <x v="0"/>
    <x v="0"/>
    <x v="4"/>
    <x v="1"/>
    <x v="3"/>
    <x v="7"/>
    <n v="5777.4409999999998"/>
    <n v="5647.1459999999997"/>
    <n v="4985.8"/>
    <n v="4985.8"/>
  </r>
  <r>
    <x v="0"/>
    <x v="0"/>
    <x v="0"/>
    <x v="4"/>
    <x v="1"/>
    <x v="3"/>
    <x v="8"/>
    <n v="5885.3000000000011"/>
    <n v="5761.8"/>
    <n v="4985.8"/>
    <n v="4985.8"/>
  </r>
  <r>
    <x v="0"/>
    <x v="0"/>
    <x v="0"/>
    <x v="4"/>
    <x v="1"/>
    <x v="3"/>
    <x v="9"/>
    <n v="5885.3000000000011"/>
    <n v="5761.8"/>
    <n v="4985.8"/>
    <n v="4985.8"/>
  </r>
  <r>
    <x v="0"/>
    <x v="0"/>
    <x v="0"/>
    <x v="4"/>
    <x v="1"/>
    <x v="3"/>
    <x v="10"/>
    <n v="5885.3000000000011"/>
    <n v="5761.8"/>
    <n v="4985.8"/>
    <n v="4985.8"/>
  </r>
  <r>
    <x v="0"/>
    <x v="1"/>
    <x v="1"/>
    <x v="4"/>
    <x v="1"/>
    <x v="3"/>
    <x v="0"/>
    <n v="3851.7799999999997"/>
    <n v="3744.2000000000003"/>
    <n v="3519.1600000000003"/>
    <n v="3775.2400000000002"/>
  </r>
  <r>
    <x v="0"/>
    <x v="1"/>
    <x v="1"/>
    <x v="4"/>
    <x v="1"/>
    <x v="3"/>
    <x v="1"/>
    <n v="4103.68"/>
    <n v="4035.2000000000003"/>
    <n v="3732.56"/>
    <n v="3988.64"/>
  </r>
  <r>
    <x v="0"/>
    <x v="1"/>
    <x v="1"/>
    <x v="4"/>
    <x v="1"/>
    <x v="3"/>
    <x v="2"/>
    <n v="4355.58"/>
    <n v="4326.2"/>
    <n v="3945.9599999999996"/>
    <n v="4074"/>
  </r>
  <r>
    <x v="0"/>
    <x v="1"/>
    <x v="1"/>
    <x v="4"/>
    <x v="1"/>
    <x v="3"/>
    <x v="3"/>
    <n v="4607.4800000000005"/>
    <n v="4617.2000000000007"/>
    <n v="4074"/>
    <n v="4074"/>
  </r>
  <r>
    <x v="0"/>
    <x v="1"/>
    <x v="1"/>
    <x v="4"/>
    <x v="1"/>
    <x v="3"/>
    <x v="4"/>
    <n v="4809"/>
    <n v="4850"/>
    <n v="4074"/>
    <n v="4074"/>
  </r>
  <r>
    <x v="0"/>
    <x v="1"/>
    <x v="1"/>
    <x v="4"/>
    <x v="1"/>
    <x v="3"/>
    <x v="5"/>
    <n v="4809"/>
    <n v="4850"/>
    <n v="4074"/>
    <n v="4074"/>
  </r>
  <r>
    <x v="0"/>
    <x v="1"/>
    <x v="1"/>
    <x v="4"/>
    <x v="1"/>
    <x v="3"/>
    <x v="6"/>
    <n v="4809"/>
    <n v="4850"/>
    <n v="4074"/>
    <n v="4074"/>
  </r>
  <r>
    <x v="0"/>
    <x v="1"/>
    <x v="1"/>
    <x v="4"/>
    <x v="1"/>
    <x v="3"/>
    <x v="7"/>
    <n v="4809"/>
    <n v="4850"/>
    <n v="4074"/>
    <n v="4074"/>
  </r>
  <r>
    <x v="0"/>
    <x v="1"/>
    <x v="1"/>
    <x v="4"/>
    <x v="1"/>
    <x v="3"/>
    <x v="8"/>
    <n v="4809"/>
    <n v="4850"/>
    <n v="4074"/>
    <n v="4074"/>
  </r>
  <r>
    <x v="0"/>
    <x v="1"/>
    <x v="1"/>
    <x v="4"/>
    <x v="1"/>
    <x v="3"/>
    <x v="9"/>
    <n v="4809"/>
    <n v="4850"/>
    <n v="4074"/>
    <n v="4074"/>
  </r>
  <r>
    <x v="0"/>
    <x v="1"/>
    <x v="1"/>
    <x v="4"/>
    <x v="1"/>
    <x v="3"/>
    <x v="10"/>
    <n v="4809"/>
    <n v="4850"/>
    <n v="4074"/>
    <n v="4074"/>
  </r>
  <r>
    <x v="1"/>
    <x v="1"/>
    <x v="0"/>
    <x v="4"/>
    <x v="1"/>
    <x v="3"/>
    <x v="0"/>
    <n v="3450.0200000000004"/>
    <n v="3245.55"/>
    <n v="3300.9900000000002"/>
    <n v="3605.9100000000003"/>
  </r>
  <r>
    <x v="1"/>
    <x v="1"/>
    <x v="0"/>
    <x v="4"/>
    <x v="1"/>
    <x v="3"/>
    <x v="1"/>
    <n v="3742.62"/>
    <n v="3592.05"/>
    <n v="3555.0899999999997"/>
    <n v="3860.0099999999998"/>
  </r>
  <r>
    <x v="1"/>
    <x v="1"/>
    <x v="0"/>
    <x v="4"/>
    <x v="1"/>
    <x v="3"/>
    <x v="2"/>
    <n v="4035.22"/>
    <n v="3938.5499999999993"/>
    <n v="3809.1899999999996"/>
    <n v="4114.1099999999997"/>
  </r>
  <r>
    <x v="1"/>
    <x v="1"/>
    <x v="0"/>
    <x v="4"/>
    <x v="1"/>
    <x v="3"/>
    <x v="3"/>
    <n v="4327.82"/>
    <n v="4285.05"/>
    <n v="4063.29"/>
    <n v="4368.21"/>
  </r>
  <r>
    <x v="1"/>
    <x v="1"/>
    <x v="0"/>
    <x v="4"/>
    <x v="1"/>
    <x v="3"/>
    <x v="4"/>
    <n v="4620.42"/>
    <n v="4631.55"/>
    <n v="4317.3900000000003"/>
    <n v="4622.3100000000004"/>
  </r>
  <r>
    <x v="1"/>
    <x v="1"/>
    <x v="0"/>
    <x v="4"/>
    <x v="1"/>
    <x v="3"/>
    <x v="5"/>
    <n v="4913.0200000000004"/>
    <n v="4978.05"/>
    <n v="4571.49"/>
    <n v="4851"/>
  </r>
  <r>
    <x v="1"/>
    <x v="1"/>
    <x v="0"/>
    <x v="4"/>
    <x v="1"/>
    <x v="3"/>
    <x v="6"/>
    <n v="5205.62"/>
    <n v="5324.5499999999993"/>
    <n v="4825.5900000000011"/>
    <n v="4851"/>
  </r>
  <r>
    <x v="1"/>
    <x v="1"/>
    <x v="0"/>
    <x v="4"/>
    <x v="1"/>
    <x v="3"/>
    <x v="7"/>
    <n v="5498.22"/>
    <n v="5671.05"/>
    <n v="4851"/>
    <n v="4851"/>
  </r>
  <r>
    <x v="1"/>
    <x v="1"/>
    <x v="0"/>
    <x v="4"/>
    <x v="1"/>
    <x v="3"/>
    <x v="8"/>
    <n v="5586"/>
    <n v="5775"/>
    <n v="4851"/>
    <n v="4851"/>
  </r>
  <r>
    <x v="1"/>
    <x v="1"/>
    <x v="0"/>
    <x v="4"/>
    <x v="1"/>
    <x v="3"/>
    <x v="9"/>
    <n v="5586"/>
    <n v="5775"/>
    <n v="4851"/>
    <n v="4851"/>
  </r>
  <r>
    <x v="1"/>
    <x v="1"/>
    <x v="0"/>
    <x v="4"/>
    <x v="1"/>
    <x v="3"/>
    <x v="10"/>
    <n v="5586"/>
    <n v="5775"/>
    <n v="4851"/>
    <n v="4851"/>
  </r>
  <r>
    <x v="0"/>
    <x v="0"/>
    <x v="0"/>
    <x v="5"/>
    <x v="2"/>
    <x v="3"/>
    <x v="0"/>
    <n v="3545.5110000000004"/>
    <n v="3278.2660000000001"/>
    <n v="3450.3220000000006"/>
    <n v="3853.4980000000005"/>
  </r>
  <r>
    <x v="0"/>
    <x v="0"/>
    <x v="0"/>
    <x v="5"/>
    <x v="2"/>
    <x v="3"/>
    <x v="1"/>
    <n v="3936.4410000000003"/>
    <n v="3699.8459999999995"/>
    <n v="3786.3020000000001"/>
    <n v="4189.4780000000001"/>
  </r>
  <r>
    <x v="0"/>
    <x v="0"/>
    <x v="0"/>
    <x v="5"/>
    <x v="2"/>
    <x v="3"/>
    <x v="2"/>
    <n v="4327.3709999999992"/>
    <n v="4121.4259999999995"/>
    <n v="4122.2820000000002"/>
    <n v="4525.4579999999996"/>
  </r>
  <r>
    <x v="0"/>
    <x v="0"/>
    <x v="0"/>
    <x v="5"/>
    <x v="2"/>
    <x v="3"/>
    <x v="3"/>
    <n v="4718.3010000000004"/>
    <n v="4543.0060000000003"/>
    <n v="4458.2620000000006"/>
    <n v="4861.4380000000001"/>
  </r>
  <r>
    <x v="0"/>
    <x v="0"/>
    <x v="0"/>
    <x v="5"/>
    <x v="2"/>
    <x v="3"/>
    <x v="4"/>
    <n v="5109.2310000000007"/>
    <n v="4964.5860000000002"/>
    <n v="4794.2420000000011"/>
    <n v="5197.4180000000006"/>
  </r>
  <r>
    <x v="0"/>
    <x v="0"/>
    <x v="0"/>
    <x v="5"/>
    <x v="2"/>
    <x v="3"/>
    <x v="5"/>
    <n v="5500.161000000001"/>
    <n v="5386.1660000000002"/>
    <n v="5130.2219999999998"/>
    <n v="5499.8"/>
  </r>
  <r>
    <x v="0"/>
    <x v="0"/>
    <x v="0"/>
    <x v="5"/>
    <x v="2"/>
    <x v="3"/>
    <x v="6"/>
    <n v="5891.0910000000013"/>
    <n v="5807.7460000000001"/>
    <n v="5466.2020000000011"/>
    <n v="5499.8"/>
  </r>
  <r>
    <x v="0"/>
    <x v="0"/>
    <x v="0"/>
    <x v="5"/>
    <x v="2"/>
    <x v="3"/>
    <x v="7"/>
    <n v="6282.0209999999997"/>
    <n v="6229.326"/>
    <n v="5499.8"/>
    <n v="5499.8"/>
  </r>
  <r>
    <x v="0"/>
    <x v="0"/>
    <x v="0"/>
    <x v="5"/>
    <x v="2"/>
    <x v="3"/>
    <x v="8"/>
    <n v="6399.3000000000011"/>
    <n v="6355.8"/>
    <n v="5499.8"/>
    <n v="5499.8"/>
  </r>
  <r>
    <x v="0"/>
    <x v="0"/>
    <x v="0"/>
    <x v="5"/>
    <x v="2"/>
    <x v="3"/>
    <x v="9"/>
    <n v="6399.3000000000011"/>
    <n v="6355.8"/>
    <n v="5499.8"/>
    <n v="5499.8"/>
  </r>
  <r>
    <x v="0"/>
    <x v="0"/>
    <x v="0"/>
    <x v="5"/>
    <x v="2"/>
    <x v="3"/>
    <x v="10"/>
    <n v="6399.3000000000011"/>
    <n v="6355.8"/>
    <n v="5499.8"/>
    <n v="5499.8"/>
  </r>
  <r>
    <x v="0"/>
    <x v="1"/>
    <x v="1"/>
    <x v="5"/>
    <x v="2"/>
    <x v="3"/>
    <x v="0"/>
    <n v="4188.18"/>
    <n v="4130.2000000000007"/>
    <n v="3881.96"/>
    <n v="4164.4400000000005"/>
  </r>
  <r>
    <x v="0"/>
    <x v="1"/>
    <x v="1"/>
    <x v="5"/>
    <x v="2"/>
    <x v="3"/>
    <x v="1"/>
    <n v="4462.08"/>
    <n v="4451.2"/>
    <n v="4117.3599999999997"/>
    <n v="4399.84"/>
  </r>
  <r>
    <x v="0"/>
    <x v="1"/>
    <x v="1"/>
    <x v="5"/>
    <x v="2"/>
    <x v="3"/>
    <x v="2"/>
    <n v="4735.9799999999996"/>
    <n v="4772.2"/>
    <n v="4352.7599999999993"/>
    <n v="4494"/>
  </r>
  <r>
    <x v="0"/>
    <x v="1"/>
    <x v="1"/>
    <x v="5"/>
    <x v="2"/>
    <x v="3"/>
    <x v="3"/>
    <n v="5009.88"/>
    <n v="5093.2000000000007"/>
    <n v="4494"/>
    <n v="4494"/>
  </r>
  <r>
    <x v="0"/>
    <x v="1"/>
    <x v="1"/>
    <x v="5"/>
    <x v="2"/>
    <x v="3"/>
    <x v="4"/>
    <n v="5229"/>
    <n v="5350"/>
    <n v="4494"/>
    <n v="4494"/>
  </r>
  <r>
    <x v="0"/>
    <x v="1"/>
    <x v="1"/>
    <x v="5"/>
    <x v="2"/>
    <x v="3"/>
    <x v="5"/>
    <n v="5229"/>
    <n v="5350"/>
    <n v="4494"/>
    <n v="4494"/>
  </r>
  <r>
    <x v="0"/>
    <x v="1"/>
    <x v="1"/>
    <x v="5"/>
    <x v="2"/>
    <x v="3"/>
    <x v="6"/>
    <n v="5229"/>
    <n v="5350"/>
    <n v="4494"/>
    <n v="4494"/>
  </r>
  <r>
    <x v="0"/>
    <x v="1"/>
    <x v="1"/>
    <x v="5"/>
    <x v="2"/>
    <x v="3"/>
    <x v="7"/>
    <n v="5229"/>
    <n v="5350"/>
    <n v="4494"/>
    <n v="4494"/>
  </r>
  <r>
    <x v="0"/>
    <x v="1"/>
    <x v="1"/>
    <x v="5"/>
    <x v="2"/>
    <x v="3"/>
    <x v="8"/>
    <n v="5229"/>
    <n v="5350"/>
    <n v="4494"/>
    <n v="4494"/>
  </r>
  <r>
    <x v="0"/>
    <x v="1"/>
    <x v="1"/>
    <x v="5"/>
    <x v="2"/>
    <x v="3"/>
    <x v="9"/>
    <n v="5229"/>
    <n v="5350"/>
    <n v="4494"/>
    <n v="4494"/>
  </r>
  <r>
    <x v="0"/>
    <x v="1"/>
    <x v="1"/>
    <x v="5"/>
    <x v="2"/>
    <x v="3"/>
    <x v="10"/>
    <n v="5229"/>
    <n v="5350"/>
    <n v="4494"/>
    <n v="4494"/>
  </r>
  <r>
    <x v="1"/>
    <x v="1"/>
    <x v="0"/>
    <x v="5"/>
    <x v="2"/>
    <x v="3"/>
    <x v="0"/>
    <n v="3709.4200000000005"/>
    <n v="3526.55"/>
    <n v="3586.79"/>
    <n v="3918.1100000000006"/>
  </r>
  <r>
    <x v="1"/>
    <x v="1"/>
    <x v="0"/>
    <x v="5"/>
    <x v="2"/>
    <x v="3"/>
    <x v="1"/>
    <n v="4024.02"/>
    <n v="3903.05"/>
    <n v="3862.89"/>
    <n v="4194.2099999999991"/>
  </r>
  <r>
    <x v="1"/>
    <x v="1"/>
    <x v="0"/>
    <x v="5"/>
    <x v="2"/>
    <x v="3"/>
    <x v="2"/>
    <n v="4338.62"/>
    <n v="4279.5499999999993"/>
    <n v="4138.99"/>
    <n v="4470.3099999999995"/>
  </r>
  <r>
    <x v="1"/>
    <x v="1"/>
    <x v="0"/>
    <x v="5"/>
    <x v="2"/>
    <x v="3"/>
    <x v="3"/>
    <n v="4653.2199999999993"/>
    <n v="4656.05"/>
    <n v="4415.09"/>
    <n v="4746.41"/>
  </r>
  <r>
    <x v="1"/>
    <x v="1"/>
    <x v="0"/>
    <x v="5"/>
    <x v="2"/>
    <x v="3"/>
    <x v="4"/>
    <n v="4967.8200000000006"/>
    <n v="5032.55"/>
    <n v="4691.1900000000005"/>
    <n v="5022.5100000000011"/>
  </r>
  <r>
    <x v="1"/>
    <x v="1"/>
    <x v="0"/>
    <x v="5"/>
    <x v="2"/>
    <x v="3"/>
    <x v="5"/>
    <n v="5282.420000000001"/>
    <n v="5409.05"/>
    <n v="4967.29"/>
    <n v="5271"/>
  </r>
  <r>
    <x v="1"/>
    <x v="1"/>
    <x v="0"/>
    <x v="5"/>
    <x v="2"/>
    <x v="3"/>
    <x v="6"/>
    <n v="5597.0199999999995"/>
    <n v="5785.5499999999993"/>
    <n v="5243.3900000000012"/>
    <n v="5271"/>
  </r>
  <r>
    <x v="1"/>
    <x v="1"/>
    <x v="0"/>
    <x v="5"/>
    <x v="2"/>
    <x v="3"/>
    <x v="7"/>
    <n v="5911.6200000000008"/>
    <n v="6162.05"/>
    <n v="5271"/>
    <n v="5271"/>
  </r>
  <r>
    <x v="1"/>
    <x v="1"/>
    <x v="0"/>
    <x v="5"/>
    <x v="2"/>
    <x v="3"/>
    <x v="8"/>
    <n v="6006"/>
    <n v="6275"/>
    <n v="5271"/>
    <n v="5271"/>
  </r>
  <r>
    <x v="1"/>
    <x v="1"/>
    <x v="0"/>
    <x v="5"/>
    <x v="2"/>
    <x v="3"/>
    <x v="9"/>
    <n v="6006"/>
    <n v="6275"/>
    <n v="5271"/>
    <n v="5271"/>
  </r>
  <r>
    <x v="1"/>
    <x v="1"/>
    <x v="0"/>
    <x v="5"/>
    <x v="2"/>
    <x v="3"/>
    <x v="10"/>
    <n v="6006"/>
    <n v="6275"/>
    <n v="5271"/>
    <n v="5271"/>
  </r>
  <r>
    <x v="0"/>
    <x v="0"/>
    <x v="0"/>
    <x v="7"/>
    <x v="3"/>
    <x v="3"/>
    <x v="0"/>
    <n v="3830.2910000000006"/>
    <n v="3584.6460000000002"/>
    <n v="3772.7820000000006"/>
    <n v="4213.6380000000008"/>
  </r>
  <r>
    <x v="0"/>
    <x v="0"/>
    <x v="0"/>
    <x v="7"/>
    <x v="3"/>
    <x v="3"/>
    <x v="1"/>
    <n v="4252.6210000000001"/>
    <n v="4045.6259999999997"/>
    <n v="4140.1620000000003"/>
    <n v="4581.018"/>
  </r>
  <r>
    <x v="0"/>
    <x v="0"/>
    <x v="0"/>
    <x v="7"/>
    <x v="3"/>
    <x v="3"/>
    <x v="2"/>
    <n v="4674.9509999999991"/>
    <n v="4506.6059999999998"/>
    <n v="4507.5419999999995"/>
    <n v="4948.3980000000001"/>
  </r>
  <r>
    <x v="0"/>
    <x v="0"/>
    <x v="0"/>
    <x v="7"/>
    <x v="3"/>
    <x v="3"/>
    <x v="3"/>
    <n v="5097.2810000000009"/>
    <n v="4967.5860000000002"/>
    <n v="4874.9220000000005"/>
    <n v="5315.7780000000002"/>
  </r>
  <r>
    <x v="0"/>
    <x v="0"/>
    <x v="0"/>
    <x v="7"/>
    <x v="3"/>
    <x v="3"/>
    <x v="4"/>
    <n v="5519.6110000000008"/>
    <n v="5428.5659999999998"/>
    <n v="5242.3020000000006"/>
    <n v="5683.1580000000004"/>
  </r>
  <r>
    <x v="0"/>
    <x v="0"/>
    <x v="0"/>
    <x v="7"/>
    <x v="3"/>
    <x v="3"/>
    <x v="5"/>
    <n v="5941.9410000000007"/>
    <n v="5889.5460000000003"/>
    <n v="5609.6819999999998"/>
    <n v="6013.8000000000011"/>
  </r>
  <r>
    <x v="0"/>
    <x v="0"/>
    <x v="0"/>
    <x v="7"/>
    <x v="3"/>
    <x v="3"/>
    <x v="6"/>
    <n v="6364.2710000000006"/>
    <n v="6350.5260000000007"/>
    <n v="5977.0620000000008"/>
    <n v="6013.8000000000011"/>
  </r>
  <r>
    <x v="0"/>
    <x v="0"/>
    <x v="0"/>
    <x v="7"/>
    <x v="3"/>
    <x v="3"/>
    <x v="7"/>
    <n v="6786.6009999999997"/>
    <n v="6811.5059999999994"/>
    <n v="6013.8000000000011"/>
    <n v="6013.8000000000011"/>
  </r>
  <r>
    <x v="0"/>
    <x v="0"/>
    <x v="0"/>
    <x v="7"/>
    <x v="3"/>
    <x v="3"/>
    <x v="8"/>
    <n v="6913.3000000000011"/>
    <n v="6949.8"/>
    <n v="6013.8000000000011"/>
    <n v="6013.8000000000011"/>
  </r>
  <r>
    <x v="0"/>
    <x v="0"/>
    <x v="0"/>
    <x v="7"/>
    <x v="3"/>
    <x v="3"/>
    <x v="9"/>
    <n v="6913.3000000000011"/>
    <n v="6949.8"/>
    <n v="6013.8000000000011"/>
    <n v="6013.8000000000011"/>
  </r>
  <r>
    <x v="0"/>
    <x v="0"/>
    <x v="0"/>
    <x v="7"/>
    <x v="3"/>
    <x v="3"/>
    <x v="10"/>
    <n v="6913.3000000000011"/>
    <n v="6949.8"/>
    <n v="6013.8000000000011"/>
    <n v="6013.8000000000011"/>
  </r>
  <r>
    <x v="0"/>
    <x v="1"/>
    <x v="1"/>
    <x v="7"/>
    <x v="3"/>
    <x v="3"/>
    <x v="0"/>
    <n v="4524.58"/>
    <n v="4516.2000000000007"/>
    <n v="4244.76"/>
    <n v="4553.6400000000003"/>
  </r>
  <r>
    <x v="0"/>
    <x v="1"/>
    <x v="1"/>
    <x v="7"/>
    <x v="3"/>
    <x v="3"/>
    <x v="1"/>
    <n v="4820.4800000000005"/>
    <n v="4867.2"/>
    <n v="4502.16"/>
    <n v="4811.04"/>
  </r>
  <r>
    <x v="0"/>
    <x v="1"/>
    <x v="1"/>
    <x v="7"/>
    <x v="3"/>
    <x v="3"/>
    <x v="2"/>
    <n v="5116.38"/>
    <n v="5218.2"/>
    <n v="4759.5599999999995"/>
    <n v="4914"/>
  </r>
  <r>
    <x v="0"/>
    <x v="1"/>
    <x v="1"/>
    <x v="7"/>
    <x v="3"/>
    <x v="3"/>
    <x v="3"/>
    <n v="5412.28"/>
    <n v="5569.2000000000007"/>
    <n v="4914"/>
    <n v="4914"/>
  </r>
  <r>
    <x v="0"/>
    <x v="1"/>
    <x v="1"/>
    <x v="7"/>
    <x v="3"/>
    <x v="3"/>
    <x v="4"/>
    <n v="5649"/>
    <n v="5850"/>
    <n v="4914"/>
    <n v="4914"/>
  </r>
  <r>
    <x v="0"/>
    <x v="1"/>
    <x v="1"/>
    <x v="7"/>
    <x v="3"/>
    <x v="3"/>
    <x v="5"/>
    <n v="5649"/>
    <n v="5850"/>
    <n v="4914"/>
    <n v="4914"/>
  </r>
  <r>
    <x v="0"/>
    <x v="1"/>
    <x v="1"/>
    <x v="7"/>
    <x v="3"/>
    <x v="3"/>
    <x v="6"/>
    <n v="5649"/>
    <n v="5850"/>
    <n v="4914"/>
    <n v="4914"/>
  </r>
  <r>
    <x v="0"/>
    <x v="1"/>
    <x v="1"/>
    <x v="7"/>
    <x v="3"/>
    <x v="3"/>
    <x v="7"/>
    <n v="5649"/>
    <n v="5850"/>
    <n v="4914"/>
    <n v="4914"/>
  </r>
  <r>
    <x v="0"/>
    <x v="1"/>
    <x v="1"/>
    <x v="7"/>
    <x v="3"/>
    <x v="3"/>
    <x v="8"/>
    <n v="5649"/>
    <n v="5850"/>
    <n v="4914"/>
    <n v="4914"/>
  </r>
  <r>
    <x v="0"/>
    <x v="1"/>
    <x v="1"/>
    <x v="7"/>
    <x v="3"/>
    <x v="3"/>
    <x v="9"/>
    <n v="5649"/>
    <n v="5850"/>
    <n v="4914"/>
    <n v="4914"/>
  </r>
  <r>
    <x v="0"/>
    <x v="1"/>
    <x v="1"/>
    <x v="7"/>
    <x v="3"/>
    <x v="3"/>
    <x v="10"/>
    <n v="5649"/>
    <n v="5850"/>
    <n v="4914"/>
    <n v="4914"/>
  </r>
  <r>
    <x v="1"/>
    <x v="1"/>
    <x v="0"/>
    <x v="7"/>
    <x v="3"/>
    <x v="3"/>
    <x v="0"/>
    <n v="3968.8200000000006"/>
    <n v="3807.55"/>
    <n v="3872.59"/>
    <n v="4230.3100000000004"/>
  </r>
  <r>
    <x v="1"/>
    <x v="1"/>
    <x v="0"/>
    <x v="7"/>
    <x v="3"/>
    <x v="3"/>
    <x v="1"/>
    <n v="4305.42"/>
    <n v="4214.05"/>
    <n v="4170.6899999999996"/>
    <n v="4528.41"/>
  </r>
  <r>
    <x v="1"/>
    <x v="1"/>
    <x v="0"/>
    <x v="7"/>
    <x v="3"/>
    <x v="3"/>
    <x v="2"/>
    <n v="4642.0199999999995"/>
    <n v="4620.5499999999993"/>
    <n v="4468.7899999999991"/>
    <n v="4826.5099999999993"/>
  </r>
  <r>
    <x v="1"/>
    <x v="1"/>
    <x v="0"/>
    <x v="7"/>
    <x v="3"/>
    <x v="3"/>
    <x v="3"/>
    <n v="4978.619999999999"/>
    <n v="5027.05"/>
    <n v="4766.8899999999994"/>
    <n v="5124.6099999999997"/>
  </r>
  <r>
    <x v="1"/>
    <x v="1"/>
    <x v="0"/>
    <x v="7"/>
    <x v="3"/>
    <x v="3"/>
    <x v="4"/>
    <n v="5315.22"/>
    <n v="5433.5499999999993"/>
    <n v="5064.9900000000007"/>
    <n v="5422.7100000000009"/>
  </r>
  <r>
    <x v="1"/>
    <x v="1"/>
    <x v="0"/>
    <x v="7"/>
    <x v="3"/>
    <x v="3"/>
    <x v="5"/>
    <n v="5651.8200000000006"/>
    <n v="5840.0500000000011"/>
    <n v="5363.09"/>
    <n v="5691"/>
  </r>
  <r>
    <x v="1"/>
    <x v="1"/>
    <x v="0"/>
    <x v="7"/>
    <x v="3"/>
    <x v="3"/>
    <x v="6"/>
    <n v="5988.4199999999992"/>
    <n v="6246.5499999999993"/>
    <n v="5661.1900000000014"/>
    <n v="5691"/>
  </r>
  <r>
    <x v="1"/>
    <x v="1"/>
    <x v="0"/>
    <x v="7"/>
    <x v="3"/>
    <x v="3"/>
    <x v="7"/>
    <n v="6325.02"/>
    <n v="6653.05"/>
    <n v="5691"/>
    <n v="5691"/>
  </r>
  <r>
    <x v="1"/>
    <x v="1"/>
    <x v="0"/>
    <x v="7"/>
    <x v="3"/>
    <x v="3"/>
    <x v="8"/>
    <n v="6426"/>
    <n v="6775"/>
    <n v="5691"/>
    <n v="5691"/>
  </r>
  <r>
    <x v="1"/>
    <x v="1"/>
    <x v="0"/>
    <x v="7"/>
    <x v="3"/>
    <x v="3"/>
    <x v="9"/>
    <n v="6426"/>
    <n v="6775"/>
    <n v="5691"/>
    <n v="5691"/>
  </r>
  <r>
    <x v="1"/>
    <x v="1"/>
    <x v="0"/>
    <x v="7"/>
    <x v="3"/>
    <x v="3"/>
    <x v="10"/>
    <n v="6426"/>
    <n v="6775"/>
    <n v="5691"/>
    <n v="5691"/>
  </r>
  <r>
    <x v="0"/>
    <x v="0"/>
    <x v="0"/>
    <x v="9"/>
    <x v="4"/>
    <x v="3"/>
    <x v="0"/>
    <n v="4115.0710000000008"/>
    <n v="3891.0260000000003"/>
    <n v="4095.2420000000006"/>
    <n v="4573.7780000000002"/>
  </r>
  <r>
    <x v="0"/>
    <x v="0"/>
    <x v="0"/>
    <x v="9"/>
    <x v="4"/>
    <x v="3"/>
    <x v="1"/>
    <n v="4568.8010000000004"/>
    <n v="4391.4059999999999"/>
    <n v="4494.0219999999999"/>
    <n v="4972.558"/>
  </r>
  <r>
    <x v="0"/>
    <x v="0"/>
    <x v="0"/>
    <x v="9"/>
    <x v="4"/>
    <x v="3"/>
    <x v="2"/>
    <n v="5022.530999999999"/>
    <n v="4891.7860000000001"/>
    <n v="4892.8019999999997"/>
    <n v="5371.3379999999997"/>
  </r>
  <r>
    <x v="0"/>
    <x v="0"/>
    <x v="0"/>
    <x v="9"/>
    <x v="4"/>
    <x v="3"/>
    <x v="3"/>
    <n v="5476.2610000000004"/>
    <n v="5392.1660000000002"/>
    <n v="5291.5820000000012"/>
    <n v="5770.1180000000004"/>
  </r>
  <r>
    <x v="0"/>
    <x v="0"/>
    <x v="0"/>
    <x v="9"/>
    <x v="4"/>
    <x v="3"/>
    <x v="4"/>
    <n v="5929.9910000000009"/>
    <n v="5892.5460000000003"/>
    <n v="5690.362000000001"/>
    <n v="6168.8980000000001"/>
  </r>
  <r>
    <x v="0"/>
    <x v="0"/>
    <x v="0"/>
    <x v="9"/>
    <x v="4"/>
    <x v="3"/>
    <x v="5"/>
    <n v="6383.7210000000005"/>
    <n v="6392.9260000000004"/>
    <n v="6089.1419999999998"/>
    <n v="6527.8000000000011"/>
  </r>
  <r>
    <x v="0"/>
    <x v="0"/>
    <x v="0"/>
    <x v="9"/>
    <x v="4"/>
    <x v="3"/>
    <x v="6"/>
    <n v="6837.4510000000009"/>
    <n v="6893.3060000000005"/>
    <n v="6487.9220000000014"/>
    <n v="6527.8000000000011"/>
  </r>
  <r>
    <x v="0"/>
    <x v="0"/>
    <x v="0"/>
    <x v="9"/>
    <x v="4"/>
    <x v="3"/>
    <x v="7"/>
    <n v="7291.1809999999996"/>
    <n v="7393.6859999999997"/>
    <n v="6527.8000000000011"/>
    <n v="6527.8000000000011"/>
  </r>
  <r>
    <x v="0"/>
    <x v="0"/>
    <x v="0"/>
    <x v="9"/>
    <x v="4"/>
    <x v="3"/>
    <x v="8"/>
    <n v="7427.3000000000011"/>
    <n v="7543.8"/>
    <n v="6527.8000000000011"/>
    <n v="6527.8000000000011"/>
  </r>
  <r>
    <x v="0"/>
    <x v="0"/>
    <x v="0"/>
    <x v="9"/>
    <x v="4"/>
    <x v="3"/>
    <x v="9"/>
    <n v="7427.3000000000011"/>
    <n v="7543.8"/>
    <n v="6527.8000000000011"/>
    <n v="6527.8000000000011"/>
  </r>
  <r>
    <x v="0"/>
    <x v="0"/>
    <x v="0"/>
    <x v="9"/>
    <x v="4"/>
    <x v="3"/>
    <x v="10"/>
    <n v="7427.3000000000011"/>
    <n v="7543.8"/>
    <n v="6527.8000000000011"/>
    <n v="6527.8000000000011"/>
  </r>
  <r>
    <x v="0"/>
    <x v="1"/>
    <x v="1"/>
    <x v="9"/>
    <x v="4"/>
    <x v="3"/>
    <x v="0"/>
    <n v="4860.9799999999996"/>
    <n v="4902.2000000000007"/>
    <n v="4607.5600000000004"/>
    <n v="4942.84"/>
  </r>
  <r>
    <x v="0"/>
    <x v="1"/>
    <x v="1"/>
    <x v="9"/>
    <x v="4"/>
    <x v="3"/>
    <x v="1"/>
    <n v="5178.88"/>
    <n v="5283.2"/>
    <n v="4886.96"/>
    <n v="5222.24"/>
  </r>
  <r>
    <x v="0"/>
    <x v="1"/>
    <x v="1"/>
    <x v="9"/>
    <x v="4"/>
    <x v="3"/>
    <x v="2"/>
    <n v="5496.78"/>
    <n v="5664.2"/>
    <n v="5166.3599999999997"/>
    <n v="5334"/>
  </r>
  <r>
    <x v="0"/>
    <x v="1"/>
    <x v="1"/>
    <x v="9"/>
    <x v="4"/>
    <x v="3"/>
    <x v="3"/>
    <n v="5814.68"/>
    <n v="6045.2000000000007"/>
    <n v="5334"/>
    <n v="5334"/>
  </r>
  <r>
    <x v="0"/>
    <x v="1"/>
    <x v="1"/>
    <x v="9"/>
    <x v="4"/>
    <x v="3"/>
    <x v="4"/>
    <n v="6069"/>
    <n v="6350"/>
    <n v="5334"/>
    <n v="5334"/>
  </r>
  <r>
    <x v="0"/>
    <x v="1"/>
    <x v="1"/>
    <x v="9"/>
    <x v="4"/>
    <x v="3"/>
    <x v="5"/>
    <n v="6069"/>
    <n v="6350"/>
    <n v="5334"/>
    <n v="5334"/>
  </r>
  <r>
    <x v="0"/>
    <x v="1"/>
    <x v="1"/>
    <x v="9"/>
    <x v="4"/>
    <x v="3"/>
    <x v="6"/>
    <n v="6069"/>
    <n v="6350"/>
    <n v="5334"/>
    <n v="5334"/>
  </r>
  <r>
    <x v="0"/>
    <x v="1"/>
    <x v="1"/>
    <x v="9"/>
    <x v="4"/>
    <x v="3"/>
    <x v="7"/>
    <n v="6069"/>
    <n v="6350"/>
    <n v="5334"/>
    <n v="5334"/>
  </r>
  <r>
    <x v="0"/>
    <x v="1"/>
    <x v="1"/>
    <x v="9"/>
    <x v="4"/>
    <x v="3"/>
    <x v="8"/>
    <n v="6069"/>
    <n v="6350"/>
    <n v="5334"/>
    <n v="5334"/>
  </r>
  <r>
    <x v="0"/>
    <x v="1"/>
    <x v="1"/>
    <x v="9"/>
    <x v="4"/>
    <x v="3"/>
    <x v="9"/>
    <n v="6069"/>
    <n v="6350"/>
    <n v="5334"/>
    <n v="5334"/>
  </r>
  <r>
    <x v="0"/>
    <x v="1"/>
    <x v="1"/>
    <x v="9"/>
    <x v="4"/>
    <x v="3"/>
    <x v="10"/>
    <n v="6069"/>
    <n v="6350"/>
    <n v="5334"/>
    <n v="5334"/>
  </r>
  <r>
    <x v="1"/>
    <x v="1"/>
    <x v="0"/>
    <x v="9"/>
    <x v="4"/>
    <x v="3"/>
    <x v="0"/>
    <n v="4228.2200000000012"/>
    <n v="4088.55"/>
    <n v="4158.3900000000003"/>
    <n v="4542.51"/>
  </r>
  <r>
    <x v="1"/>
    <x v="1"/>
    <x v="0"/>
    <x v="9"/>
    <x v="4"/>
    <x v="3"/>
    <x v="1"/>
    <n v="4586.8200000000006"/>
    <n v="4525.05"/>
    <n v="4478.49"/>
    <n v="4862.6099999999997"/>
  </r>
  <r>
    <x v="1"/>
    <x v="1"/>
    <x v="0"/>
    <x v="9"/>
    <x v="4"/>
    <x v="3"/>
    <x v="2"/>
    <n v="4945.42"/>
    <n v="4961.5499999999993"/>
    <n v="4798.5899999999992"/>
    <n v="5182.7099999999991"/>
  </r>
  <r>
    <x v="1"/>
    <x v="1"/>
    <x v="0"/>
    <x v="9"/>
    <x v="4"/>
    <x v="3"/>
    <x v="3"/>
    <n v="5304.02"/>
    <n v="5398.05"/>
    <n v="5118.6899999999996"/>
    <n v="5502.81"/>
  </r>
  <r>
    <x v="1"/>
    <x v="1"/>
    <x v="0"/>
    <x v="9"/>
    <x v="4"/>
    <x v="3"/>
    <x v="4"/>
    <n v="5662.6200000000008"/>
    <n v="5834.5499999999993"/>
    <n v="5438.7900000000009"/>
    <n v="5822.9100000000008"/>
  </r>
  <r>
    <x v="1"/>
    <x v="1"/>
    <x v="0"/>
    <x v="9"/>
    <x v="4"/>
    <x v="3"/>
    <x v="5"/>
    <n v="6021.2200000000012"/>
    <n v="6271.0500000000011"/>
    <n v="5758.89"/>
    <n v="6111"/>
  </r>
  <r>
    <x v="1"/>
    <x v="1"/>
    <x v="0"/>
    <x v="9"/>
    <x v="4"/>
    <x v="3"/>
    <x v="6"/>
    <n v="6379.8200000000006"/>
    <n v="6707.5499999999993"/>
    <n v="6078.9900000000016"/>
    <n v="6111"/>
  </r>
  <r>
    <x v="1"/>
    <x v="1"/>
    <x v="0"/>
    <x v="9"/>
    <x v="4"/>
    <x v="3"/>
    <x v="7"/>
    <n v="6738.4200000000019"/>
    <n v="7144.05"/>
    <n v="6111"/>
    <n v="6111"/>
  </r>
  <r>
    <x v="1"/>
    <x v="1"/>
    <x v="0"/>
    <x v="9"/>
    <x v="4"/>
    <x v="3"/>
    <x v="8"/>
    <n v="6846.0000000000009"/>
    <n v="7275"/>
    <n v="6111"/>
    <n v="6111"/>
  </r>
  <r>
    <x v="1"/>
    <x v="1"/>
    <x v="0"/>
    <x v="9"/>
    <x v="4"/>
    <x v="3"/>
    <x v="9"/>
    <n v="6846.0000000000009"/>
    <n v="7275"/>
    <n v="6111"/>
    <n v="6111"/>
  </r>
  <r>
    <x v="1"/>
    <x v="1"/>
    <x v="0"/>
    <x v="9"/>
    <x v="4"/>
    <x v="3"/>
    <x v="10"/>
    <n v="6846.0000000000009"/>
    <n v="7275"/>
    <n v="6111"/>
    <n v="6111"/>
  </r>
  <r>
    <x v="0"/>
    <x v="0"/>
    <x v="0"/>
    <x v="10"/>
    <x v="5"/>
    <x v="3"/>
    <x v="0"/>
    <n v="4399.8510000000015"/>
    <n v="4197.4059999999999"/>
    <n v="4417.7020000000011"/>
    <n v="4933.9180000000006"/>
  </r>
  <r>
    <x v="0"/>
    <x v="0"/>
    <x v="0"/>
    <x v="10"/>
    <x v="5"/>
    <x v="3"/>
    <x v="1"/>
    <n v="4884.9810000000016"/>
    <n v="4737.1859999999997"/>
    <n v="4847.8820000000005"/>
    <n v="5364.098"/>
  </r>
  <r>
    <x v="0"/>
    <x v="0"/>
    <x v="0"/>
    <x v="10"/>
    <x v="5"/>
    <x v="3"/>
    <x v="2"/>
    <n v="5370.1109999999999"/>
    <n v="5276.9659999999994"/>
    <n v="5278.0619999999999"/>
    <n v="5794.2780000000002"/>
  </r>
  <r>
    <x v="0"/>
    <x v="0"/>
    <x v="0"/>
    <x v="10"/>
    <x v="5"/>
    <x v="3"/>
    <x v="3"/>
    <n v="5855.2410000000018"/>
    <n v="5816.7460000000001"/>
    <n v="5708.2420000000011"/>
    <n v="6224.4580000000005"/>
  </r>
  <r>
    <x v="0"/>
    <x v="0"/>
    <x v="0"/>
    <x v="10"/>
    <x v="5"/>
    <x v="3"/>
    <x v="4"/>
    <n v="6340.3710000000019"/>
    <n v="6356.5259999999998"/>
    <n v="6138.4220000000014"/>
    <n v="6654.6379999999999"/>
  </r>
  <r>
    <x v="0"/>
    <x v="0"/>
    <x v="0"/>
    <x v="10"/>
    <x v="5"/>
    <x v="3"/>
    <x v="5"/>
    <n v="6825.501000000002"/>
    <n v="6896.3060000000005"/>
    <n v="6568.6019999999999"/>
    <n v="7041.8000000000011"/>
  </r>
  <r>
    <x v="0"/>
    <x v="0"/>
    <x v="0"/>
    <x v="10"/>
    <x v="5"/>
    <x v="3"/>
    <x v="6"/>
    <n v="7310.6310000000021"/>
    <n v="7436.0860000000002"/>
    <n v="6998.7820000000011"/>
    <n v="7041.8000000000011"/>
  </r>
  <r>
    <x v="0"/>
    <x v="0"/>
    <x v="0"/>
    <x v="10"/>
    <x v="5"/>
    <x v="3"/>
    <x v="7"/>
    <n v="7795.7610000000013"/>
    <n v="7975.8659999999991"/>
    <n v="7041.8000000000011"/>
    <n v="7041.8000000000011"/>
  </r>
  <r>
    <x v="0"/>
    <x v="0"/>
    <x v="0"/>
    <x v="10"/>
    <x v="5"/>
    <x v="3"/>
    <x v="8"/>
    <n v="7941.300000000002"/>
    <n v="8137.8"/>
    <n v="7041.8000000000011"/>
    <n v="7041.8000000000011"/>
  </r>
  <r>
    <x v="0"/>
    <x v="0"/>
    <x v="0"/>
    <x v="10"/>
    <x v="5"/>
    <x v="3"/>
    <x v="9"/>
    <n v="7941.300000000002"/>
    <n v="8137.8"/>
    <n v="7041.8000000000011"/>
    <n v="7041.8000000000011"/>
  </r>
  <r>
    <x v="0"/>
    <x v="0"/>
    <x v="0"/>
    <x v="10"/>
    <x v="5"/>
    <x v="3"/>
    <x v="10"/>
    <n v="7941.300000000002"/>
    <n v="8137.8"/>
    <n v="7041.8000000000011"/>
    <n v="7041.8000000000011"/>
  </r>
  <r>
    <x v="0"/>
    <x v="1"/>
    <x v="1"/>
    <x v="10"/>
    <x v="5"/>
    <x v="3"/>
    <x v="0"/>
    <n v="5197.380000000001"/>
    <n v="5288.2000000000007"/>
    <n v="4970.3600000000006"/>
    <n v="5332.0400000000009"/>
  </r>
  <r>
    <x v="0"/>
    <x v="1"/>
    <x v="1"/>
    <x v="10"/>
    <x v="5"/>
    <x v="3"/>
    <x v="1"/>
    <n v="5537.2800000000007"/>
    <n v="5699.2"/>
    <n v="5271.76"/>
    <n v="5633.4400000000005"/>
  </r>
  <r>
    <x v="0"/>
    <x v="1"/>
    <x v="1"/>
    <x v="10"/>
    <x v="5"/>
    <x v="3"/>
    <x v="2"/>
    <n v="5877.18"/>
    <n v="6110.2"/>
    <n v="5573.16"/>
    <n v="5754"/>
  </r>
  <r>
    <x v="0"/>
    <x v="1"/>
    <x v="1"/>
    <x v="10"/>
    <x v="5"/>
    <x v="3"/>
    <x v="3"/>
    <n v="6217.0800000000008"/>
    <n v="6521.2000000000007"/>
    <n v="5754"/>
    <n v="5754"/>
  </r>
  <r>
    <x v="0"/>
    <x v="1"/>
    <x v="1"/>
    <x v="10"/>
    <x v="5"/>
    <x v="3"/>
    <x v="4"/>
    <n v="6489.0000000000009"/>
    <n v="6850"/>
    <n v="5754"/>
    <n v="5754"/>
  </r>
  <r>
    <x v="0"/>
    <x v="1"/>
    <x v="1"/>
    <x v="10"/>
    <x v="5"/>
    <x v="3"/>
    <x v="5"/>
    <n v="6489.0000000000009"/>
    <n v="6850"/>
    <n v="5754"/>
    <n v="5754"/>
  </r>
  <r>
    <x v="0"/>
    <x v="1"/>
    <x v="1"/>
    <x v="10"/>
    <x v="5"/>
    <x v="3"/>
    <x v="6"/>
    <n v="6489.0000000000009"/>
    <n v="6850"/>
    <n v="5754"/>
    <n v="5754"/>
  </r>
  <r>
    <x v="0"/>
    <x v="1"/>
    <x v="1"/>
    <x v="10"/>
    <x v="5"/>
    <x v="3"/>
    <x v="7"/>
    <n v="6489.0000000000009"/>
    <n v="6850"/>
    <n v="5754"/>
    <n v="5754"/>
  </r>
  <r>
    <x v="0"/>
    <x v="1"/>
    <x v="1"/>
    <x v="10"/>
    <x v="5"/>
    <x v="3"/>
    <x v="8"/>
    <n v="6489.0000000000009"/>
    <n v="6850"/>
    <n v="5754"/>
    <n v="5754"/>
  </r>
  <r>
    <x v="0"/>
    <x v="1"/>
    <x v="1"/>
    <x v="10"/>
    <x v="5"/>
    <x v="3"/>
    <x v="9"/>
    <n v="6489.0000000000009"/>
    <n v="6850"/>
    <n v="5754"/>
    <n v="5754"/>
  </r>
  <r>
    <x v="0"/>
    <x v="1"/>
    <x v="1"/>
    <x v="10"/>
    <x v="5"/>
    <x v="3"/>
    <x v="10"/>
    <n v="6489.0000000000009"/>
    <n v="6850"/>
    <n v="5754"/>
    <n v="5754"/>
  </r>
  <r>
    <x v="1"/>
    <x v="1"/>
    <x v="0"/>
    <x v="10"/>
    <x v="5"/>
    <x v="3"/>
    <x v="0"/>
    <n v="4487.6200000000008"/>
    <n v="4369.55"/>
    <n v="4444.1900000000005"/>
    <n v="4854.7100000000009"/>
  </r>
  <r>
    <x v="1"/>
    <x v="1"/>
    <x v="0"/>
    <x v="10"/>
    <x v="5"/>
    <x v="3"/>
    <x v="1"/>
    <n v="4868.22"/>
    <n v="4836.05"/>
    <n v="4786.29"/>
    <n v="5196.8099999999995"/>
  </r>
  <r>
    <x v="1"/>
    <x v="1"/>
    <x v="0"/>
    <x v="10"/>
    <x v="5"/>
    <x v="3"/>
    <x v="2"/>
    <n v="5248.82"/>
    <n v="5302.5499999999993"/>
    <n v="5128.3899999999994"/>
    <n v="5538.9099999999989"/>
  </r>
  <r>
    <x v="1"/>
    <x v="1"/>
    <x v="0"/>
    <x v="10"/>
    <x v="5"/>
    <x v="3"/>
    <x v="3"/>
    <n v="5629.4199999999992"/>
    <n v="5769.05"/>
    <n v="5470.49"/>
    <n v="5881.01"/>
  </r>
  <r>
    <x v="1"/>
    <x v="1"/>
    <x v="0"/>
    <x v="10"/>
    <x v="5"/>
    <x v="3"/>
    <x v="4"/>
    <n v="6010.02"/>
    <n v="6235.5499999999993"/>
    <n v="5812.5900000000011"/>
    <n v="6223.1100000000015"/>
  </r>
  <r>
    <x v="1"/>
    <x v="1"/>
    <x v="0"/>
    <x v="10"/>
    <x v="5"/>
    <x v="3"/>
    <x v="5"/>
    <n v="6390.6200000000008"/>
    <n v="6702.0500000000011"/>
    <n v="6154.6900000000005"/>
    <n v="6531"/>
  </r>
  <r>
    <x v="1"/>
    <x v="1"/>
    <x v="0"/>
    <x v="10"/>
    <x v="5"/>
    <x v="3"/>
    <x v="6"/>
    <n v="6771.2199999999993"/>
    <n v="7168.5499999999993"/>
    <n v="6496.7900000000009"/>
    <n v="6531"/>
  </r>
  <r>
    <x v="1"/>
    <x v="1"/>
    <x v="0"/>
    <x v="10"/>
    <x v="5"/>
    <x v="3"/>
    <x v="7"/>
    <n v="7151.8200000000006"/>
    <n v="7635.05"/>
    <n v="6531"/>
    <n v="6531"/>
  </r>
  <r>
    <x v="1"/>
    <x v="1"/>
    <x v="0"/>
    <x v="10"/>
    <x v="5"/>
    <x v="3"/>
    <x v="8"/>
    <n v="7266"/>
    <n v="7775"/>
    <n v="6531"/>
    <n v="6531"/>
  </r>
  <r>
    <x v="1"/>
    <x v="1"/>
    <x v="0"/>
    <x v="10"/>
    <x v="5"/>
    <x v="3"/>
    <x v="9"/>
    <n v="7266"/>
    <n v="7775"/>
    <n v="6531"/>
    <n v="6531"/>
  </r>
  <r>
    <x v="1"/>
    <x v="1"/>
    <x v="0"/>
    <x v="10"/>
    <x v="5"/>
    <x v="3"/>
    <x v="10"/>
    <n v="7266"/>
    <n v="7775"/>
    <n v="6531"/>
    <n v="6531"/>
  </r>
  <r>
    <x v="0"/>
    <x v="0"/>
    <x v="0"/>
    <x v="4"/>
    <x v="0"/>
    <x v="4"/>
    <x v="0"/>
    <n v="3088.8110000000001"/>
    <n v="2759.4659999999999"/>
    <n v="2941.1219999999994"/>
    <n v="3310.6979999999999"/>
  </r>
  <r>
    <x v="0"/>
    <x v="0"/>
    <x v="0"/>
    <x v="4"/>
    <x v="0"/>
    <x v="4"/>
    <x v="1"/>
    <n v="3458.741"/>
    <n v="3137.0459999999994"/>
    <n v="3249.1019999999994"/>
    <n v="3618.6779999999999"/>
  </r>
  <r>
    <x v="0"/>
    <x v="0"/>
    <x v="0"/>
    <x v="4"/>
    <x v="0"/>
    <x v="4"/>
    <x v="2"/>
    <n v="3828.6709999999994"/>
    <n v="3514.6259999999997"/>
    <n v="3557.0819999999994"/>
    <n v="3926.657999999999"/>
  </r>
  <r>
    <x v="0"/>
    <x v="0"/>
    <x v="0"/>
    <x v="4"/>
    <x v="0"/>
    <x v="4"/>
    <x v="3"/>
    <n v="4198.6009999999997"/>
    <n v="3892.2059999999992"/>
    <n v="3865.061999999999"/>
    <n v="4234.637999999999"/>
  </r>
  <r>
    <x v="0"/>
    <x v="0"/>
    <x v="0"/>
    <x v="4"/>
    <x v="0"/>
    <x v="4"/>
    <x v="4"/>
    <n v="4568.530999999999"/>
    <n v="4269.7860000000001"/>
    <n v="4173.0419999999995"/>
    <n v="4542.6179999999995"/>
  </r>
  <r>
    <x v="0"/>
    <x v="0"/>
    <x v="0"/>
    <x v="4"/>
    <x v="0"/>
    <x v="4"/>
    <x v="5"/>
    <n v="4938.4609999999993"/>
    <n v="4647.3659999999991"/>
    <n v="4481.021999999999"/>
    <n v="4819.7999999999993"/>
  </r>
  <r>
    <x v="0"/>
    <x v="0"/>
    <x v="0"/>
    <x v="4"/>
    <x v="0"/>
    <x v="4"/>
    <x v="6"/>
    <n v="5308.3909999999987"/>
    <n v="5024.945999999999"/>
    <n v="4789.0019999999995"/>
    <n v="4819.7999999999993"/>
  </r>
  <r>
    <x v="0"/>
    <x v="0"/>
    <x v="0"/>
    <x v="4"/>
    <x v="0"/>
    <x v="4"/>
    <x v="7"/>
    <n v="5678.3209999999999"/>
    <n v="5402.5259999999998"/>
    <n v="4819.7999999999993"/>
    <n v="4819.7999999999993"/>
  </r>
  <r>
    <x v="0"/>
    <x v="0"/>
    <x v="0"/>
    <x v="4"/>
    <x v="0"/>
    <x v="4"/>
    <x v="8"/>
    <n v="5789.2999999999993"/>
    <n v="5515.7999999999993"/>
    <n v="4819.7999999999993"/>
    <n v="4819.7999999999993"/>
  </r>
  <r>
    <x v="0"/>
    <x v="0"/>
    <x v="0"/>
    <x v="4"/>
    <x v="0"/>
    <x v="4"/>
    <x v="9"/>
    <n v="5789.2999999999993"/>
    <n v="5515.7999999999993"/>
    <n v="4819.7999999999993"/>
    <n v="4819.7999999999993"/>
  </r>
  <r>
    <x v="0"/>
    <x v="0"/>
    <x v="0"/>
    <x v="4"/>
    <x v="0"/>
    <x v="4"/>
    <x v="10"/>
    <n v="5789.2999999999993"/>
    <n v="5515.7999999999993"/>
    <n v="4819.7999999999993"/>
    <n v="4819.7999999999993"/>
  </r>
  <r>
    <x v="0"/>
    <x v="1"/>
    <x v="1"/>
    <x v="4"/>
    <x v="0"/>
    <x v="4"/>
    <x v="0"/>
    <n v="3774.54"/>
    <n v="3573.9599999999996"/>
    <n v="3413.88"/>
    <n v="3685.3199999999997"/>
  </r>
  <r>
    <x v="0"/>
    <x v="1"/>
    <x v="1"/>
    <x v="4"/>
    <x v="0"/>
    <x v="4"/>
    <x v="1"/>
    <n v="4046.24"/>
    <n v="3869.7599999999998"/>
    <n v="3640.0799999999995"/>
    <n v="3911.5199999999995"/>
  </r>
  <r>
    <x v="0"/>
    <x v="1"/>
    <x v="1"/>
    <x v="4"/>
    <x v="0"/>
    <x v="4"/>
    <x v="2"/>
    <n v="4317.9399999999996"/>
    <n v="4165.5599999999995"/>
    <n v="3866.2799999999997"/>
    <n v="4001.9999999999995"/>
  </r>
  <r>
    <x v="0"/>
    <x v="1"/>
    <x v="1"/>
    <x v="4"/>
    <x v="0"/>
    <x v="4"/>
    <x v="3"/>
    <n v="4589.6400000000003"/>
    <n v="4461.3599999999997"/>
    <n v="4001.9999999999995"/>
    <n v="4001.9999999999995"/>
  </r>
  <r>
    <x v="0"/>
    <x v="1"/>
    <x v="1"/>
    <x v="4"/>
    <x v="0"/>
    <x v="4"/>
    <x v="4"/>
    <n v="4807"/>
    <n v="4697.9999999999991"/>
    <n v="4001.9999999999995"/>
    <n v="4001.9999999999995"/>
  </r>
  <r>
    <x v="0"/>
    <x v="1"/>
    <x v="1"/>
    <x v="4"/>
    <x v="0"/>
    <x v="4"/>
    <x v="5"/>
    <n v="4807"/>
    <n v="4697.9999999999991"/>
    <n v="4001.9999999999995"/>
    <n v="4001.9999999999995"/>
  </r>
  <r>
    <x v="0"/>
    <x v="1"/>
    <x v="1"/>
    <x v="4"/>
    <x v="0"/>
    <x v="4"/>
    <x v="6"/>
    <n v="4807"/>
    <n v="4697.9999999999991"/>
    <n v="4001.9999999999995"/>
    <n v="4001.9999999999995"/>
  </r>
  <r>
    <x v="0"/>
    <x v="1"/>
    <x v="1"/>
    <x v="4"/>
    <x v="0"/>
    <x v="4"/>
    <x v="7"/>
    <n v="4807"/>
    <n v="4697.9999999999991"/>
    <n v="4001.9999999999995"/>
    <n v="4001.9999999999995"/>
  </r>
  <r>
    <x v="0"/>
    <x v="1"/>
    <x v="1"/>
    <x v="4"/>
    <x v="0"/>
    <x v="4"/>
    <x v="8"/>
    <n v="4807"/>
    <n v="4697.9999999999991"/>
    <n v="4001.9999999999995"/>
    <n v="4001.9999999999995"/>
  </r>
  <r>
    <x v="0"/>
    <x v="1"/>
    <x v="1"/>
    <x v="4"/>
    <x v="0"/>
    <x v="4"/>
    <x v="9"/>
    <n v="4807"/>
    <n v="4697.9999999999991"/>
    <n v="4001.9999999999995"/>
    <n v="4001.9999999999995"/>
  </r>
  <r>
    <x v="0"/>
    <x v="1"/>
    <x v="1"/>
    <x v="4"/>
    <x v="0"/>
    <x v="4"/>
    <x v="10"/>
    <n v="4807"/>
    <n v="4697.9999999999991"/>
    <n v="4001.9999999999995"/>
    <n v="4001.9999999999995"/>
  </r>
  <r>
    <x v="1"/>
    <x v="1"/>
    <x v="0"/>
    <x v="4"/>
    <x v="0"/>
    <x v="4"/>
    <x v="0"/>
    <n v="3323.46"/>
    <n v="3078.4900000000002"/>
    <n v="3179.77"/>
    <n v="3508.9299999999994"/>
  </r>
  <r>
    <x v="1"/>
    <x v="1"/>
    <x v="0"/>
    <x v="4"/>
    <x v="0"/>
    <x v="4"/>
    <x v="1"/>
    <n v="3643.2599999999998"/>
    <n v="3437.19"/>
    <n v="3454.07"/>
    <n v="3783.2299999999996"/>
  </r>
  <r>
    <x v="1"/>
    <x v="1"/>
    <x v="0"/>
    <x v="4"/>
    <x v="0"/>
    <x v="4"/>
    <x v="2"/>
    <n v="3963.0599999999995"/>
    <n v="3795.89"/>
    <n v="3728.3699999999994"/>
    <n v="4057.5299999999993"/>
  </r>
  <r>
    <x v="1"/>
    <x v="1"/>
    <x v="0"/>
    <x v="4"/>
    <x v="0"/>
    <x v="4"/>
    <x v="3"/>
    <n v="4282.8599999999988"/>
    <n v="4154.59"/>
    <n v="4002.6699999999996"/>
    <n v="4331.83"/>
  </r>
  <r>
    <x v="1"/>
    <x v="1"/>
    <x v="0"/>
    <x v="4"/>
    <x v="0"/>
    <x v="4"/>
    <x v="4"/>
    <n v="4602.66"/>
    <n v="4513.29"/>
    <n v="4276.97"/>
    <n v="4606.1299999999992"/>
  </r>
  <r>
    <x v="1"/>
    <x v="1"/>
    <x v="0"/>
    <x v="4"/>
    <x v="0"/>
    <x v="4"/>
    <x v="5"/>
    <n v="4922.46"/>
    <n v="4871.99"/>
    <n v="4551.2699999999995"/>
    <n v="4853"/>
  </r>
  <r>
    <x v="1"/>
    <x v="1"/>
    <x v="0"/>
    <x v="4"/>
    <x v="0"/>
    <x v="4"/>
    <x v="6"/>
    <n v="5242.2599999999993"/>
    <n v="5230.6899999999996"/>
    <n v="4825.57"/>
    <n v="4853"/>
  </r>
  <r>
    <x v="1"/>
    <x v="1"/>
    <x v="0"/>
    <x v="4"/>
    <x v="0"/>
    <x v="4"/>
    <x v="7"/>
    <n v="5562.06"/>
    <n v="5589.39"/>
    <n v="4853"/>
    <n v="4853"/>
  </r>
  <r>
    <x v="1"/>
    <x v="1"/>
    <x v="0"/>
    <x v="4"/>
    <x v="0"/>
    <x v="4"/>
    <x v="8"/>
    <n v="5658"/>
    <n v="5696.9999999999991"/>
    <n v="4853"/>
    <n v="4853"/>
  </r>
  <r>
    <x v="1"/>
    <x v="1"/>
    <x v="0"/>
    <x v="4"/>
    <x v="0"/>
    <x v="4"/>
    <x v="9"/>
    <n v="5658"/>
    <n v="5696.9999999999991"/>
    <n v="4853"/>
    <n v="4853"/>
  </r>
  <r>
    <x v="1"/>
    <x v="1"/>
    <x v="0"/>
    <x v="4"/>
    <x v="0"/>
    <x v="4"/>
    <x v="10"/>
    <n v="5658"/>
    <n v="5696.9999999999991"/>
    <n v="4853"/>
    <n v="4853"/>
  </r>
  <r>
    <x v="0"/>
    <x v="0"/>
    <x v="0"/>
    <x v="5"/>
    <x v="1"/>
    <x v="4"/>
    <x v="0"/>
    <n v="3384.3910000000001"/>
    <n v="3076.6459999999997"/>
    <n v="3279.1819999999993"/>
    <n v="3691.2379999999998"/>
  </r>
  <r>
    <x v="0"/>
    <x v="0"/>
    <x v="0"/>
    <x v="5"/>
    <x v="1"/>
    <x v="4"/>
    <x v="1"/>
    <n v="3789.721"/>
    <n v="3497.6259999999993"/>
    <n v="3622.5619999999994"/>
    <n v="4034.6179999999999"/>
  </r>
  <r>
    <x v="0"/>
    <x v="0"/>
    <x v="0"/>
    <x v="5"/>
    <x v="1"/>
    <x v="4"/>
    <x v="2"/>
    <n v="4195.0509999999995"/>
    <n v="3918.6059999999998"/>
    <n v="3965.9419999999996"/>
    <n v="4377.9979999999987"/>
  </r>
  <r>
    <x v="0"/>
    <x v="0"/>
    <x v="0"/>
    <x v="5"/>
    <x v="1"/>
    <x v="4"/>
    <x v="3"/>
    <n v="4600.3809999999994"/>
    <n v="4339.5859999999993"/>
    <n v="4309.3219999999992"/>
    <n v="4721.3779999999988"/>
  </r>
  <r>
    <x v="0"/>
    <x v="0"/>
    <x v="0"/>
    <x v="5"/>
    <x v="1"/>
    <x v="4"/>
    <x v="4"/>
    <n v="5005.7109999999993"/>
    <n v="4760.5659999999998"/>
    <n v="4652.7019999999993"/>
    <n v="5064.7579999999989"/>
  </r>
  <r>
    <x v="0"/>
    <x v="0"/>
    <x v="0"/>
    <x v="5"/>
    <x v="1"/>
    <x v="4"/>
    <x v="5"/>
    <n v="5411.0409999999993"/>
    <n v="5181.5459999999994"/>
    <n v="4996.0819999999994"/>
    <n v="5373.7999999999993"/>
  </r>
  <r>
    <x v="0"/>
    <x v="0"/>
    <x v="0"/>
    <x v="5"/>
    <x v="1"/>
    <x v="4"/>
    <x v="6"/>
    <n v="5816.3709999999983"/>
    <n v="5602.5259999999989"/>
    <n v="5339.4619999999995"/>
    <n v="5373.7999999999993"/>
  </r>
  <r>
    <x v="0"/>
    <x v="0"/>
    <x v="0"/>
    <x v="5"/>
    <x v="1"/>
    <x v="4"/>
    <x v="7"/>
    <n v="6221.701"/>
    <n v="6023.5059999999994"/>
    <n v="5373.7999999999993"/>
    <n v="5373.7999999999993"/>
  </r>
  <r>
    <x v="0"/>
    <x v="0"/>
    <x v="0"/>
    <x v="5"/>
    <x v="1"/>
    <x v="4"/>
    <x v="8"/>
    <n v="6343.2999999999993"/>
    <n v="6149.7999999999993"/>
    <n v="5373.7999999999993"/>
    <n v="5373.7999999999993"/>
  </r>
  <r>
    <x v="0"/>
    <x v="0"/>
    <x v="0"/>
    <x v="5"/>
    <x v="1"/>
    <x v="4"/>
    <x v="9"/>
    <n v="6343.2999999999993"/>
    <n v="6149.7999999999993"/>
    <n v="5373.7999999999993"/>
    <n v="5373.7999999999993"/>
  </r>
  <r>
    <x v="0"/>
    <x v="0"/>
    <x v="0"/>
    <x v="5"/>
    <x v="1"/>
    <x v="4"/>
    <x v="10"/>
    <n v="6343.2999999999993"/>
    <n v="6149.7999999999993"/>
    <n v="5373.7999999999993"/>
    <n v="5373.7999999999993"/>
  </r>
  <r>
    <x v="0"/>
    <x v="1"/>
    <x v="1"/>
    <x v="5"/>
    <x v="1"/>
    <x v="4"/>
    <x v="0"/>
    <n v="4135.74"/>
    <n v="3984.7599999999998"/>
    <n v="3806.2799999999997"/>
    <n v="4108.92"/>
  </r>
  <r>
    <x v="0"/>
    <x v="1"/>
    <x v="1"/>
    <x v="5"/>
    <x v="1"/>
    <x v="4"/>
    <x v="1"/>
    <n v="4433.4399999999996"/>
    <n v="4314.5599999999995"/>
    <n v="4058.4799999999991"/>
    <n v="4361.12"/>
  </r>
  <r>
    <x v="0"/>
    <x v="1"/>
    <x v="1"/>
    <x v="5"/>
    <x v="1"/>
    <x v="4"/>
    <x v="2"/>
    <n v="4731.1399999999994"/>
    <n v="4644.3599999999997"/>
    <n v="4310.68"/>
    <n v="4462"/>
  </r>
  <r>
    <x v="0"/>
    <x v="1"/>
    <x v="1"/>
    <x v="5"/>
    <x v="1"/>
    <x v="4"/>
    <x v="3"/>
    <n v="5028.84"/>
    <n v="4974.16"/>
    <n v="4462"/>
    <n v="4462"/>
  </r>
  <r>
    <x v="0"/>
    <x v="1"/>
    <x v="1"/>
    <x v="5"/>
    <x v="1"/>
    <x v="4"/>
    <x v="4"/>
    <n v="5267"/>
    <n v="5237.9999999999991"/>
    <n v="4462"/>
    <n v="4462"/>
  </r>
  <r>
    <x v="0"/>
    <x v="1"/>
    <x v="1"/>
    <x v="5"/>
    <x v="1"/>
    <x v="4"/>
    <x v="5"/>
    <n v="5267"/>
    <n v="5237.9999999999991"/>
    <n v="4462"/>
    <n v="4462"/>
  </r>
  <r>
    <x v="0"/>
    <x v="1"/>
    <x v="1"/>
    <x v="5"/>
    <x v="1"/>
    <x v="4"/>
    <x v="6"/>
    <n v="5267"/>
    <n v="5237.9999999999991"/>
    <n v="4462"/>
    <n v="4462"/>
  </r>
  <r>
    <x v="0"/>
    <x v="1"/>
    <x v="1"/>
    <x v="5"/>
    <x v="1"/>
    <x v="4"/>
    <x v="7"/>
    <n v="5267"/>
    <n v="5237.9999999999991"/>
    <n v="4462"/>
    <n v="4462"/>
  </r>
  <r>
    <x v="0"/>
    <x v="1"/>
    <x v="1"/>
    <x v="5"/>
    <x v="1"/>
    <x v="4"/>
    <x v="8"/>
    <n v="5267"/>
    <n v="5237.9999999999991"/>
    <n v="4462"/>
    <n v="4462"/>
  </r>
  <r>
    <x v="0"/>
    <x v="1"/>
    <x v="1"/>
    <x v="5"/>
    <x v="1"/>
    <x v="4"/>
    <x v="9"/>
    <n v="5267"/>
    <n v="5237.9999999999991"/>
    <n v="4462"/>
    <n v="4462"/>
  </r>
  <r>
    <x v="0"/>
    <x v="1"/>
    <x v="1"/>
    <x v="5"/>
    <x v="1"/>
    <x v="4"/>
    <x v="10"/>
    <n v="5267"/>
    <n v="5237.9999999999991"/>
    <n v="4462"/>
    <n v="4462"/>
  </r>
  <r>
    <x v="1"/>
    <x v="1"/>
    <x v="0"/>
    <x v="5"/>
    <x v="1"/>
    <x v="4"/>
    <x v="0"/>
    <n v="3593.66"/>
    <n v="3370.29"/>
    <n v="3481.1699999999996"/>
    <n v="3841.5299999999997"/>
  </r>
  <r>
    <x v="1"/>
    <x v="1"/>
    <x v="0"/>
    <x v="5"/>
    <x v="1"/>
    <x v="4"/>
    <x v="1"/>
    <n v="3939.4599999999996"/>
    <n v="3762.99"/>
    <n v="3781.47"/>
    <n v="4141.829999999999"/>
  </r>
  <r>
    <x v="1"/>
    <x v="1"/>
    <x v="0"/>
    <x v="5"/>
    <x v="1"/>
    <x v="4"/>
    <x v="2"/>
    <n v="4285.2599999999993"/>
    <n v="4155.6899999999996"/>
    <n v="4081.7699999999991"/>
    <n v="4442.1299999999992"/>
  </r>
  <r>
    <x v="1"/>
    <x v="1"/>
    <x v="0"/>
    <x v="5"/>
    <x v="1"/>
    <x v="4"/>
    <x v="3"/>
    <n v="4631.0599999999995"/>
    <n v="4548.3899999999994"/>
    <n v="4382.07"/>
    <n v="4742.43"/>
  </r>
  <r>
    <x v="1"/>
    <x v="1"/>
    <x v="0"/>
    <x v="5"/>
    <x v="1"/>
    <x v="4"/>
    <x v="4"/>
    <n v="4976.8599999999997"/>
    <n v="4941.0899999999992"/>
    <n v="4682.37"/>
    <n v="5042.7299999999996"/>
  </r>
  <r>
    <x v="1"/>
    <x v="1"/>
    <x v="0"/>
    <x v="5"/>
    <x v="1"/>
    <x v="4"/>
    <x v="5"/>
    <n v="5322.66"/>
    <n v="5333.7899999999991"/>
    <n v="4982.6699999999992"/>
    <n v="5313"/>
  </r>
  <r>
    <x v="1"/>
    <x v="1"/>
    <x v="0"/>
    <x v="5"/>
    <x v="1"/>
    <x v="4"/>
    <x v="6"/>
    <n v="5668.4599999999991"/>
    <n v="5726.4899999999989"/>
    <n v="5282.97"/>
    <n v="5313"/>
  </r>
  <r>
    <x v="1"/>
    <x v="1"/>
    <x v="0"/>
    <x v="5"/>
    <x v="1"/>
    <x v="4"/>
    <x v="7"/>
    <n v="6014.26"/>
    <n v="6119.19"/>
    <n v="5313"/>
    <n v="5313"/>
  </r>
  <r>
    <x v="1"/>
    <x v="1"/>
    <x v="0"/>
    <x v="5"/>
    <x v="1"/>
    <x v="4"/>
    <x v="8"/>
    <n v="6117.9999999999991"/>
    <n v="6236.9999999999991"/>
    <n v="5313"/>
    <n v="5313"/>
  </r>
  <r>
    <x v="1"/>
    <x v="1"/>
    <x v="0"/>
    <x v="5"/>
    <x v="1"/>
    <x v="4"/>
    <x v="9"/>
    <n v="6117.9999999999991"/>
    <n v="6236.9999999999991"/>
    <n v="5313"/>
    <n v="5313"/>
  </r>
  <r>
    <x v="1"/>
    <x v="1"/>
    <x v="0"/>
    <x v="5"/>
    <x v="1"/>
    <x v="4"/>
    <x v="10"/>
    <n v="6117.9999999999991"/>
    <n v="6236.9999999999991"/>
    <n v="5313"/>
    <n v="5313"/>
  </r>
  <r>
    <x v="0"/>
    <x v="0"/>
    <x v="0"/>
    <x v="8"/>
    <x v="2"/>
    <x v="4"/>
    <x v="0"/>
    <n v="3679.971"/>
    <n v="3393.8259999999996"/>
    <n v="3617.2419999999993"/>
    <n v="4071.7779999999998"/>
  </r>
  <r>
    <x v="0"/>
    <x v="0"/>
    <x v="0"/>
    <x v="8"/>
    <x v="2"/>
    <x v="4"/>
    <x v="1"/>
    <n v="4120.701"/>
    <n v="3858.2059999999992"/>
    <n v="3996.0219999999995"/>
    <n v="4450.558"/>
  </r>
  <r>
    <x v="0"/>
    <x v="0"/>
    <x v="0"/>
    <x v="8"/>
    <x v="2"/>
    <x v="4"/>
    <x v="2"/>
    <n v="4561.4309999999987"/>
    <n v="4322.5859999999993"/>
    <n v="4374.8019999999997"/>
    <n v="4829.3379999999988"/>
  </r>
  <r>
    <x v="0"/>
    <x v="0"/>
    <x v="0"/>
    <x v="8"/>
    <x v="2"/>
    <x v="4"/>
    <x v="3"/>
    <n v="5002.1609999999991"/>
    <n v="4786.9659999999985"/>
    <n v="4753.5819999999985"/>
    <n v="5208.1179999999986"/>
  </r>
  <r>
    <x v="0"/>
    <x v="0"/>
    <x v="0"/>
    <x v="8"/>
    <x v="2"/>
    <x v="4"/>
    <x v="4"/>
    <n v="5442.8909999999996"/>
    <n v="5251.3459999999995"/>
    <n v="5132.3620000000001"/>
    <n v="5586.8979999999992"/>
  </r>
  <r>
    <x v="0"/>
    <x v="0"/>
    <x v="0"/>
    <x v="8"/>
    <x v="2"/>
    <x v="4"/>
    <x v="5"/>
    <n v="5883.6209999999992"/>
    <n v="5715.7259999999987"/>
    <n v="5511.1419999999989"/>
    <n v="5927.7999999999993"/>
  </r>
  <r>
    <x v="0"/>
    <x v="0"/>
    <x v="0"/>
    <x v="8"/>
    <x v="2"/>
    <x v="4"/>
    <x v="6"/>
    <n v="6324.3509999999987"/>
    <n v="6180.1059999999979"/>
    <n v="5889.9219999999996"/>
    <n v="5927.7999999999993"/>
  </r>
  <r>
    <x v="0"/>
    <x v="0"/>
    <x v="0"/>
    <x v="8"/>
    <x v="2"/>
    <x v="4"/>
    <x v="7"/>
    <n v="6765.0810000000001"/>
    <n v="6644.4859999999999"/>
    <n v="5927.7999999999993"/>
    <n v="5927.7999999999993"/>
  </r>
  <r>
    <x v="0"/>
    <x v="0"/>
    <x v="0"/>
    <x v="8"/>
    <x v="2"/>
    <x v="4"/>
    <x v="8"/>
    <n v="6897.2999999999993"/>
    <n v="6783.7999999999993"/>
    <n v="5927.7999999999993"/>
    <n v="5927.7999999999993"/>
  </r>
  <r>
    <x v="0"/>
    <x v="0"/>
    <x v="0"/>
    <x v="8"/>
    <x v="2"/>
    <x v="4"/>
    <x v="9"/>
    <n v="6897.2999999999993"/>
    <n v="6783.7999999999993"/>
    <n v="5927.7999999999993"/>
    <n v="5927.7999999999993"/>
  </r>
  <r>
    <x v="0"/>
    <x v="0"/>
    <x v="0"/>
    <x v="8"/>
    <x v="2"/>
    <x v="4"/>
    <x v="10"/>
    <n v="6897.2999999999993"/>
    <n v="6783.7999999999993"/>
    <n v="5927.7999999999993"/>
    <n v="5927.7999999999993"/>
  </r>
  <r>
    <x v="0"/>
    <x v="1"/>
    <x v="1"/>
    <x v="8"/>
    <x v="2"/>
    <x v="4"/>
    <x v="0"/>
    <n v="4496.9400000000005"/>
    <n v="4395.5599999999995"/>
    <n v="4198.68"/>
    <n v="4532.5199999999995"/>
  </r>
  <r>
    <x v="0"/>
    <x v="1"/>
    <x v="1"/>
    <x v="8"/>
    <x v="2"/>
    <x v="4"/>
    <x v="1"/>
    <n v="4820.6399999999994"/>
    <n v="4759.3599999999997"/>
    <n v="4476.8799999999992"/>
    <n v="4810.7199999999993"/>
  </r>
  <r>
    <x v="0"/>
    <x v="1"/>
    <x v="1"/>
    <x v="8"/>
    <x v="2"/>
    <x v="4"/>
    <x v="2"/>
    <n v="5144.3399999999992"/>
    <n v="5123.1599999999989"/>
    <n v="4755.08"/>
    <n v="4922"/>
  </r>
  <r>
    <x v="0"/>
    <x v="1"/>
    <x v="1"/>
    <x v="8"/>
    <x v="2"/>
    <x v="4"/>
    <x v="3"/>
    <n v="5468.0400000000009"/>
    <n v="5486.96"/>
    <n v="4922"/>
    <n v="4922"/>
  </r>
  <r>
    <x v="0"/>
    <x v="1"/>
    <x v="1"/>
    <x v="8"/>
    <x v="2"/>
    <x v="4"/>
    <x v="4"/>
    <n v="5727"/>
    <n v="5777.9999999999991"/>
    <n v="4922"/>
    <n v="4922"/>
  </r>
  <r>
    <x v="0"/>
    <x v="1"/>
    <x v="1"/>
    <x v="8"/>
    <x v="2"/>
    <x v="4"/>
    <x v="5"/>
    <n v="5727"/>
    <n v="5777.9999999999991"/>
    <n v="4922"/>
    <n v="4922"/>
  </r>
  <r>
    <x v="0"/>
    <x v="1"/>
    <x v="1"/>
    <x v="8"/>
    <x v="2"/>
    <x v="4"/>
    <x v="6"/>
    <n v="5727"/>
    <n v="5777.9999999999991"/>
    <n v="4922"/>
    <n v="4922"/>
  </r>
  <r>
    <x v="0"/>
    <x v="1"/>
    <x v="1"/>
    <x v="8"/>
    <x v="2"/>
    <x v="4"/>
    <x v="7"/>
    <n v="5727"/>
    <n v="5777.9999999999991"/>
    <n v="4922"/>
    <n v="4922"/>
  </r>
  <r>
    <x v="0"/>
    <x v="1"/>
    <x v="1"/>
    <x v="8"/>
    <x v="2"/>
    <x v="4"/>
    <x v="8"/>
    <n v="5727"/>
    <n v="5777.9999999999991"/>
    <n v="4922"/>
    <n v="4922"/>
  </r>
  <r>
    <x v="0"/>
    <x v="1"/>
    <x v="1"/>
    <x v="8"/>
    <x v="2"/>
    <x v="4"/>
    <x v="9"/>
    <n v="5727"/>
    <n v="5777.9999999999991"/>
    <n v="4922"/>
    <n v="4922"/>
  </r>
  <r>
    <x v="0"/>
    <x v="1"/>
    <x v="1"/>
    <x v="8"/>
    <x v="2"/>
    <x v="4"/>
    <x v="10"/>
    <n v="5727"/>
    <n v="5777.9999999999991"/>
    <n v="4922"/>
    <n v="4922"/>
  </r>
  <r>
    <x v="1"/>
    <x v="1"/>
    <x v="0"/>
    <x v="8"/>
    <x v="2"/>
    <x v="4"/>
    <x v="0"/>
    <n v="3863.86"/>
    <n v="3662.09"/>
    <n v="3782.5699999999997"/>
    <n v="4174.1299999999992"/>
  </r>
  <r>
    <x v="1"/>
    <x v="1"/>
    <x v="0"/>
    <x v="8"/>
    <x v="2"/>
    <x v="4"/>
    <x v="1"/>
    <n v="4235.66"/>
    <n v="4088.79"/>
    <n v="4108.87"/>
    <n v="4500.4299999999994"/>
  </r>
  <r>
    <x v="1"/>
    <x v="1"/>
    <x v="0"/>
    <x v="8"/>
    <x v="2"/>
    <x v="4"/>
    <x v="2"/>
    <n v="4607.4599999999991"/>
    <n v="4515.49"/>
    <n v="4435.1699999999992"/>
    <n v="4826.7299999999987"/>
  </r>
  <r>
    <x v="1"/>
    <x v="1"/>
    <x v="0"/>
    <x v="8"/>
    <x v="2"/>
    <x v="4"/>
    <x v="3"/>
    <n v="4979.2599999999993"/>
    <n v="4942.1899999999996"/>
    <n v="4761.4699999999993"/>
    <n v="5153.03"/>
  </r>
  <r>
    <x v="1"/>
    <x v="1"/>
    <x v="0"/>
    <x v="8"/>
    <x v="2"/>
    <x v="4"/>
    <x v="4"/>
    <n v="5351.06"/>
    <n v="5368.8899999999994"/>
    <n v="5087.7700000000004"/>
    <n v="5479.33"/>
  </r>
  <r>
    <x v="1"/>
    <x v="1"/>
    <x v="0"/>
    <x v="8"/>
    <x v="2"/>
    <x v="4"/>
    <x v="5"/>
    <n v="5722.86"/>
    <n v="5795.5899999999992"/>
    <n v="5414.0699999999988"/>
    <n v="5773"/>
  </r>
  <r>
    <x v="1"/>
    <x v="1"/>
    <x v="0"/>
    <x v="8"/>
    <x v="2"/>
    <x v="4"/>
    <x v="6"/>
    <n v="6094.6599999999989"/>
    <n v="6222.2899999999991"/>
    <n v="5740.37"/>
    <n v="5773"/>
  </r>
  <r>
    <x v="1"/>
    <x v="1"/>
    <x v="0"/>
    <x v="8"/>
    <x v="2"/>
    <x v="4"/>
    <x v="7"/>
    <n v="6466.46"/>
    <n v="6648.99"/>
    <n v="5773"/>
    <n v="5773"/>
  </r>
  <r>
    <x v="1"/>
    <x v="1"/>
    <x v="0"/>
    <x v="8"/>
    <x v="2"/>
    <x v="4"/>
    <x v="8"/>
    <n v="6577.9999999999991"/>
    <n v="6776.9999999999991"/>
    <n v="5773"/>
    <n v="5773"/>
  </r>
  <r>
    <x v="1"/>
    <x v="1"/>
    <x v="0"/>
    <x v="8"/>
    <x v="2"/>
    <x v="4"/>
    <x v="9"/>
    <n v="6577.9999999999991"/>
    <n v="6776.9999999999991"/>
    <n v="5773"/>
    <n v="5773"/>
  </r>
  <r>
    <x v="1"/>
    <x v="1"/>
    <x v="0"/>
    <x v="8"/>
    <x v="2"/>
    <x v="4"/>
    <x v="10"/>
    <n v="6577.9999999999991"/>
    <n v="6776.9999999999991"/>
    <n v="5773"/>
    <n v="5773"/>
  </r>
  <r>
    <x v="0"/>
    <x v="0"/>
    <x v="0"/>
    <x v="9"/>
    <x v="3"/>
    <x v="4"/>
    <x v="0"/>
    <n v="3975.5509999999999"/>
    <n v="3711.0059999999999"/>
    <n v="3955.3019999999992"/>
    <n v="4452.3179999999993"/>
  </r>
  <r>
    <x v="0"/>
    <x v="0"/>
    <x v="0"/>
    <x v="9"/>
    <x v="3"/>
    <x v="4"/>
    <x v="1"/>
    <n v="4451.6810000000005"/>
    <n v="4218.7859999999991"/>
    <n v="4369.4819999999991"/>
    <n v="4866.4979999999996"/>
  </r>
  <r>
    <x v="0"/>
    <x v="0"/>
    <x v="0"/>
    <x v="9"/>
    <x v="3"/>
    <x v="4"/>
    <x v="2"/>
    <n v="4927.8109999999988"/>
    <n v="4726.5659999999998"/>
    <n v="4783.6619999999994"/>
    <n v="5280.677999999999"/>
  </r>
  <r>
    <x v="0"/>
    <x v="0"/>
    <x v="0"/>
    <x v="9"/>
    <x v="3"/>
    <x v="4"/>
    <x v="3"/>
    <n v="5403.9409999999989"/>
    <n v="5234.3459999999986"/>
    <n v="5197.8419999999987"/>
    <n v="5694.8579999999993"/>
  </r>
  <r>
    <x v="0"/>
    <x v="0"/>
    <x v="0"/>
    <x v="9"/>
    <x v="3"/>
    <x v="4"/>
    <x v="4"/>
    <n v="5880.070999999999"/>
    <n v="5742.1260000000002"/>
    <n v="5612.0219999999999"/>
    <n v="6109.0379999999986"/>
  </r>
  <r>
    <x v="0"/>
    <x v="0"/>
    <x v="0"/>
    <x v="9"/>
    <x v="3"/>
    <x v="4"/>
    <x v="5"/>
    <n v="6356.2009999999991"/>
    <n v="6249.905999999999"/>
    <n v="6026.2019999999984"/>
    <n v="6481.7999999999993"/>
  </r>
  <r>
    <x v="0"/>
    <x v="0"/>
    <x v="0"/>
    <x v="9"/>
    <x v="3"/>
    <x v="4"/>
    <x v="6"/>
    <n v="6832.3309999999983"/>
    <n v="6757.6859999999979"/>
    <n v="6440.3819999999996"/>
    <n v="6481.7999999999993"/>
  </r>
  <r>
    <x v="0"/>
    <x v="0"/>
    <x v="0"/>
    <x v="9"/>
    <x v="3"/>
    <x v="4"/>
    <x v="7"/>
    <n v="7308.4609999999993"/>
    <n v="7265.4659999999994"/>
    <n v="6481.7999999999993"/>
    <n v="6481.7999999999993"/>
  </r>
  <r>
    <x v="0"/>
    <x v="0"/>
    <x v="0"/>
    <x v="9"/>
    <x v="3"/>
    <x v="4"/>
    <x v="8"/>
    <n v="7451.2999999999993"/>
    <n v="7417.7999999999984"/>
    <n v="6481.7999999999993"/>
    <n v="6481.7999999999993"/>
  </r>
  <r>
    <x v="0"/>
    <x v="0"/>
    <x v="0"/>
    <x v="9"/>
    <x v="3"/>
    <x v="4"/>
    <x v="9"/>
    <n v="7451.2999999999993"/>
    <n v="7417.7999999999984"/>
    <n v="6481.7999999999993"/>
    <n v="6481.7999999999993"/>
  </r>
  <r>
    <x v="0"/>
    <x v="0"/>
    <x v="0"/>
    <x v="9"/>
    <x v="3"/>
    <x v="4"/>
    <x v="10"/>
    <n v="7451.2999999999993"/>
    <n v="7417.7999999999984"/>
    <n v="6481.7999999999993"/>
    <n v="6481.7999999999993"/>
  </r>
  <r>
    <x v="0"/>
    <x v="1"/>
    <x v="1"/>
    <x v="9"/>
    <x v="3"/>
    <x v="4"/>
    <x v="0"/>
    <n v="4858.1400000000003"/>
    <n v="4806.3599999999997"/>
    <n v="4591.08"/>
    <n v="4956.12"/>
  </r>
  <r>
    <x v="0"/>
    <x v="1"/>
    <x v="1"/>
    <x v="9"/>
    <x v="3"/>
    <x v="4"/>
    <x v="1"/>
    <n v="5207.84"/>
    <n v="5204.16"/>
    <n v="4895.2799999999988"/>
    <n v="5260.32"/>
  </r>
  <r>
    <x v="0"/>
    <x v="1"/>
    <x v="1"/>
    <x v="9"/>
    <x v="3"/>
    <x v="4"/>
    <x v="2"/>
    <n v="5557.54"/>
    <n v="5601.9599999999991"/>
    <n v="5199.4799999999996"/>
    <n v="5382"/>
  </r>
  <r>
    <x v="0"/>
    <x v="1"/>
    <x v="1"/>
    <x v="9"/>
    <x v="3"/>
    <x v="4"/>
    <x v="3"/>
    <n v="5907.2400000000007"/>
    <n v="5999.76"/>
    <n v="5382"/>
    <n v="5382"/>
  </r>
  <r>
    <x v="0"/>
    <x v="1"/>
    <x v="1"/>
    <x v="9"/>
    <x v="3"/>
    <x v="4"/>
    <x v="4"/>
    <n v="6186.9999999999991"/>
    <n v="6317.9999999999991"/>
    <n v="5382"/>
    <n v="5382"/>
  </r>
  <r>
    <x v="0"/>
    <x v="1"/>
    <x v="1"/>
    <x v="9"/>
    <x v="3"/>
    <x v="4"/>
    <x v="5"/>
    <n v="6186.9999999999991"/>
    <n v="6317.9999999999991"/>
    <n v="5382"/>
    <n v="5382"/>
  </r>
  <r>
    <x v="0"/>
    <x v="1"/>
    <x v="1"/>
    <x v="9"/>
    <x v="3"/>
    <x v="4"/>
    <x v="6"/>
    <n v="6186.9999999999991"/>
    <n v="6317.9999999999991"/>
    <n v="5382"/>
    <n v="5382"/>
  </r>
  <r>
    <x v="0"/>
    <x v="1"/>
    <x v="1"/>
    <x v="9"/>
    <x v="3"/>
    <x v="4"/>
    <x v="7"/>
    <n v="6186.9999999999991"/>
    <n v="6317.9999999999991"/>
    <n v="5382"/>
    <n v="5382"/>
  </r>
  <r>
    <x v="0"/>
    <x v="1"/>
    <x v="1"/>
    <x v="9"/>
    <x v="3"/>
    <x v="4"/>
    <x v="8"/>
    <n v="6186.9999999999991"/>
    <n v="6317.9999999999991"/>
    <n v="5382"/>
    <n v="5382"/>
  </r>
  <r>
    <x v="0"/>
    <x v="1"/>
    <x v="1"/>
    <x v="9"/>
    <x v="3"/>
    <x v="4"/>
    <x v="9"/>
    <n v="6186.9999999999991"/>
    <n v="6317.9999999999991"/>
    <n v="5382"/>
    <n v="5382"/>
  </r>
  <r>
    <x v="0"/>
    <x v="1"/>
    <x v="1"/>
    <x v="9"/>
    <x v="3"/>
    <x v="4"/>
    <x v="10"/>
    <n v="6186.9999999999991"/>
    <n v="6317.9999999999991"/>
    <n v="5382"/>
    <n v="5382"/>
  </r>
  <r>
    <x v="1"/>
    <x v="1"/>
    <x v="0"/>
    <x v="9"/>
    <x v="3"/>
    <x v="4"/>
    <x v="0"/>
    <n v="4134.0599999999995"/>
    <n v="3953.8900000000003"/>
    <n v="4083.97"/>
    <n v="4506.7299999999996"/>
  </r>
  <r>
    <x v="1"/>
    <x v="1"/>
    <x v="0"/>
    <x v="9"/>
    <x v="3"/>
    <x v="4"/>
    <x v="1"/>
    <n v="4531.8599999999997"/>
    <n v="4414.59"/>
    <n v="4436.2700000000004"/>
    <n v="4859.0299999999988"/>
  </r>
  <r>
    <x v="1"/>
    <x v="1"/>
    <x v="0"/>
    <x v="9"/>
    <x v="3"/>
    <x v="4"/>
    <x v="2"/>
    <n v="4929.6599999999989"/>
    <n v="4875.29"/>
    <n v="4788.5699999999988"/>
    <n v="5211.329999999999"/>
  </r>
  <r>
    <x v="1"/>
    <x v="1"/>
    <x v="0"/>
    <x v="9"/>
    <x v="3"/>
    <x v="4"/>
    <x v="3"/>
    <n v="5327.4599999999991"/>
    <n v="5335.99"/>
    <n v="5140.87"/>
    <n v="5563.63"/>
  </r>
  <r>
    <x v="1"/>
    <x v="1"/>
    <x v="0"/>
    <x v="9"/>
    <x v="3"/>
    <x v="4"/>
    <x v="4"/>
    <n v="5725.26"/>
    <n v="5796.69"/>
    <n v="5493.17"/>
    <n v="5915.9299999999994"/>
  </r>
  <r>
    <x v="1"/>
    <x v="1"/>
    <x v="0"/>
    <x v="9"/>
    <x v="3"/>
    <x v="4"/>
    <x v="5"/>
    <n v="6123.0599999999995"/>
    <n v="6257.3899999999994"/>
    <n v="5845.4699999999984"/>
    <n v="6232.9999999999991"/>
  </r>
  <r>
    <x v="1"/>
    <x v="1"/>
    <x v="0"/>
    <x v="9"/>
    <x v="3"/>
    <x v="4"/>
    <x v="6"/>
    <n v="6520.86"/>
    <n v="6718.0899999999992"/>
    <n v="6197.7699999999995"/>
    <n v="6232.9999999999991"/>
  </r>
  <r>
    <x v="1"/>
    <x v="1"/>
    <x v="0"/>
    <x v="9"/>
    <x v="3"/>
    <x v="4"/>
    <x v="7"/>
    <n v="6918.6600000000008"/>
    <n v="7178.79"/>
    <n v="6232.9999999999991"/>
    <n v="6232.9999999999991"/>
  </r>
  <r>
    <x v="1"/>
    <x v="1"/>
    <x v="0"/>
    <x v="9"/>
    <x v="3"/>
    <x v="4"/>
    <x v="8"/>
    <n v="7037.9999999999991"/>
    <n v="7316.9999999999991"/>
    <n v="6232.9999999999991"/>
    <n v="6232.9999999999991"/>
  </r>
  <r>
    <x v="1"/>
    <x v="1"/>
    <x v="0"/>
    <x v="9"/>
    <x v="3"/>
    <x v="4"/>
    <x v="9"/>
    <n v="7037.9999999999991"/>
    <n v="7316.9999999999991"/>
    <n v="6232.9999999999991"/>
    <n v="6232.9999999999991"/>
  </r>
  <r>
    <x v="1"/>
    <x v="1"/>
    <x v="0"/>
    <x v="9"/>
    <x v="3"/>
    <x v="4"/>
    <x v="10"/>
    <n v="7037.9999999999991"/>
    <n v="7316.9999999999991"/>
    <n v="6232.9999999999991"/>
    <n v="6232.9999999999991"/>
  </r>
  <r>
    <x v="0"/>
    <x v="0"/>
    <x v="0"/>
    <x v="10"/>
    <x v="4"/>
    <x v="4"/>
    <x v="0"/>
    <n v="4271.1310000000003"/>
    <n v="4028.1859999999997"/>
    <n v="4293.3619999999992"/>
    <n v="4832.8579999999993"/>
  </r>
  <r>
    <x v="0"/>
    <x v="0"/>
    <x v="0"/>
    <x v="10"/>
    <x v="4"/>
    <x v="4"/>
    <x v="1"/>
    <n v="4782.6610000000001"/>
    <n v="4579.3659999999991"/>
    <n v="4742.9419999999991"/>
    <n v="5282.4380000000001"/>
  </r>
  <r>
    <x v="0"/>
    <x v="0"/>
    <x v="0"/>
    <x v="10"/>
    <x v="4"/>
    <x v="4"/>
    <x v="2"/>
    <n v="5294.1909999999989"/>
    <n v="5130.5459999999994"/>
    <n v="5192.521999999999"/>
    <n v="5732.0179999999991"/>
  </r>
  <r>
    <x v="0"/>
    <x v="0"/>
    <x v="0"/>
    <x v="10"/>
    <x v="4"/>
    <x v="4"/>
    <x v="3"/>
    <n v="5805.7209999999986"/>
    <n v="5681.7259999999987"/>
    <n v="5642.101999999998"/>
    <n v="6181.597999999999"/>
  </r>
  <r>
    <x v="0"/>
    <x v="0"/>
    <x v="0"/>
    <x v="10"/>
    <x v="4"/>
    <x v="4"/>
    <x v="4"/>
    <n v="6317.2509999999993"/>
    <n v="6232.9059999999999"/>
    <n v="6091.6819999999998"/>
    <n v="6631.177999999999"/>
  </r>
  <r>
    <x v="0"/>
    <x v="0"/>
    <x v="0"/>
    <x v="10"/>
    <x v="4"/>
    <x v="4"/>
    <x v="5"/>
    <n v="6828.780999999999"/>
    <n v="6784.0859999999993"/>
    <n v="6541.2619999999988"/>
    <n v="7035.7999999999993"/>
  </r>
  <r>
    <x v="0"/>
    <x v="0"/>
    <x v="0"/>
    <x v="10"/>
    <x v="4"/>
    <x v="4"/>
    <x v="6"/>
    <n v="7340.3109999999979"/>
    <n v="7335.2659999999978"/>
    <n v="6990.8419999999996"/>
    <n v="7035.7999999999993"/>
  </r>
  <r>
    <x v="0"/>
    <x v="0"/>
    <x v="0"/>
    <x v="10"/>
    <x v="4"/>
    <x v="4"/>
    <x v="7"/>
    <n v="7851.8409999999994"/>
    <n v="7886.445999999999"/>
    <n v="7035.7999999999993"/>
    <n v="7035.7999999999993"/>
  </r>
  <r>
    <x v="0"/>
    <x v="0"/>
    <x v="0"/>
    <x v="10"/>
    <x v="4"/>
    <x v="4"/>
    <x v="8"/>
    <n v="8005.2999999999984"/>
    <n v="8051.7999999999984"/>
    <n v="7035.7999999999993"/>
    <n v="7035.7999999999993"/>
  </r>
  <r>
    <x v="0"/>
    <x v="0"/>
    <x v="0"/>
    <x v="10"/>
    <x v="4"/>
    <x v="4"/>
    <x v="9"/>
    <n v="8005.2999999999984"/>
    <n v="8051.7999999999984"/>
    <n v="7035.7999999999993"/>
    <n v="7035.7999999999993"/>
  </r>
  <r>
    <x v="0"/>
    <x v="0"/>
    <x v="0"/>
    <x v="10"/>
    <x v="4"/>
    <x v="4"/>
    <x v="10"/>
    <n v="8005.2999999999984"/>
    <n v="8051.7999999999984"/>
    <n v="7035.7999999999993"/>
    <n v="7035.7999999999993"/>
  </r>
  <r>
    <x v="0"/>
    <x v="1"/>
    <x v="1"/>
    <x v="10"/>
    <x v="4"/>
    <x v="4"/>
    <x v="0"/>
    <n v="5219.34"/>
    <n v="5217.16"/>
    <n v="4983.4799999999996"/>
    <n v="5379.7199999999993"/>
  </r>
  <r>
    <x v="0"/>
    <x v="1"/>
    <x v="1"/>
    <x v="10"/>
    <x v="4"/>
    <x v="4"/>
    <x v="1"/>
    <n v="5595.04"/>
    <n v="5648.9599999999991"/>
    <n v="5313.6799999999994"/>
    <n v="5709.9199999999992"/>
  </r>
  <r>
    <x v="0"/>
    <x v="1"/>
    <x v="1"/>
    <x v="10"/>
    <x v="4"/>
    <x v="4"/>
    <x v="2"/>
    <n v="5970.74"/>
    <n v="6080.7599999999993"/>
    <n v="5643.88"/>
    <n v="5842"/>
  </r>
  <r>
    <x v="0"/>
    <x v="1"/>
    <x v="1"/>
    <x v="10"/>
    <x v="4"/>
    <x v="4"/>
    <x v="3"/>
    <n v="6346.4400000000005"/>
    <n v="6512.56"/>
    <n v="5842"/>
    <n v="5842"/>
  </r>
  <r>
    <x v="0"/>
    <x v="1"/>
    <x v="1"/>
    <x v="10"/>
    <x v="4"/>
    <x v="4"/>
    <x v="4"/>
    <n v="6646.9999999999991"/>
    <n v="6857.9999999999991"/>
    <n v="5842"/>
    <n v="5842"/>
  </r>
  <r>
    <x v="0"/>
    <x v="1"/>
    <x v="1"/>
    <x v="10"/>
    <x v="4"/>
    <x v="4"/>
    <x v="5"/>
    <n v="6646.9999999999991"/>
    <n v="6857.9999999999991"/>
    <n v="5842"/>
    <n v="5842"/>
  </r>
  <r>
    <x v="0"/>
    <x v="1"/>
    <x v="1"/>
    <x v="10"/>
    <x v="4"/>
    <x v="4"/>
    <x v="6"/>
    <n v="6646.9999999999991"/>
    <n v="6857.9999999999991"/>
    <n v="5842"/>
    <n v="5842"/>
  </r>
  <r>
    <x v="0"/>
    <x v="1"/>
    <x v="1"/>
    <x v="10"/>
    <x v="4"/>
    <x v="4"/>
    <x v="7"/>
    <n v="6646.9999999999991"/>
    <n v="6857.9999999999991"/>
    <n v="5842"/>
    <n v="5842"/>
  </r>
  <r>
    <x v="0"/>
    <x v="1"/>
    <x v="1"/>
    <x v="10"/>
    <x v="4"/>
    <x v="4"/>
    <x v="8"/>
    <n v="6646.9999999999991"/>
    <n v="6857.9999999999991"/>
    <n v="5842"/>
    <n v="5842"/>
  </r>
  <r>
    <x v="0"/>
    <x v="1"/>
    <x v="1"/>
    <x v="10"/>
    <x v="4"/>
    <x v="4"/>
    <x v="9"/>
    <n v="6646.9999999999991"/>
    <n v="6857.9999999999991"/>
    <n v="5842"/>
    <n v="5842"/>
  </r>
  <r>
    <x v="0"/>
    <x v="1"/>
    <x v="1"/>
    <x v="10"/>
    <x v="4"/>
    <x v="4"/>
    <x v="10"/>
    <n v="6646.9999999999991"/>
    <n v="6857.9999999999991"/>
    <n v="5842"/>
    <n v="5842"/>
  </r>
  <r>
    <x v="1"/>
    <x v="1"/>
    <x v="0"/>
    <x v="10"/>
    <x v="4"/>
    <x v="4"/>
    <x v="0"/>
    <n v="4404.26"/>
    <n v="4245.6900000000005"/>
    <n v="4385.37"/>
    <n v="4839.329999999999"/>
  </r>
  <r>
    <x v="1"/>
    <x v="1"/>
    <x v="0"/>
    <x v="10"/>
    <x v="4"/>
    <x v="4"/>
    <x v="1"/>
    <n v="4828.0600000000004"/>
    <n v="4740.3900000000003"/>
    <n v="4763.67"/>
    <n v="5217.6299999999992"/>
  </r>
  <r>
    <x v="1"/>
    <x v="1"/>
    <x v="0"/>
    <x v="10"/>
    <x v="4"/>
    <x v="4"/>
    <x v="2"/>
    <n v="5251.86"/>
    <n v="5235.09"/>
    <n v="5141.9699999999993"/>
    <n v="5595.9299999999985"/>
  </r>
  <r>
    <x v="1"/>
    <x v="1"/>
    <x v="0"/>
    <x v="10"/>
    <x v="4"/>
    <x v="4"/>
    <x v="3"/>
    <n v="5675.66"/>
    <n v="5729.79"/>
    <n v="5520.2699999999995"/>
    <n v="5974.23"/>
  </r>
  <r>
    <x v="1"/>
    <x v="1"/>
    <x v="0"/>
    <x v="10"/>
    <x v="4"/>
    <x v="4"/>
    <x v="4"/>
    <n v="6099.4600000000009"/>
    <n v="6224.49"/>
    <n v="5898.5700000000006"/>
    <n v="6352.53"/>
  </r>
  <r>
    <x v="1"/>
    <x v="1"/>
    <x v="0"/>
    <x v="10"/>
    <x v="4"/>
    <x v="4"/>
    <x v="5"/>
    <n v="6523.26"/>
    <n v="6719.19"/>
    <n v="6276.869999999999"/>
    <n v="6692.9999999999991"/>
  </r>
  <r>
    <x v="1"/>
    <x v="1"/>
    <x v="0"/>
    <x v="10"/>
    <x v="4"/>
    <x v="4"/>
    <x v="6"/>
    <n v="6947.06"/>
    <n v="7213.8899999999994"/>
    <n v="6655.17"/>
    <n v="6692.9999999999991"/>
  </r>
  <r>
    <x v="1"/>
    <x v="1"/>
    <x v="0"/>
    <x v="10"/>
    <x v="4"/>
    <x v="4"/>
    <x v="7"/>
    <n v="7370.8600000000015"/>
    <n v="7708.59"/>
    <n v="6692.9999999999991"/>
    <n v="6692.9999999999991"/>
  </r>
  <r>
    <x v="1"/>
    <x v="1"/>
    <x v="0"/>
    <x v="10"/>
    <x v="4"/>
    <x v="4"/>
    <x v="8"/>
    <n v="7498.0000000000009"/>
    <n v="7856.9999999999991"/>
    <n v="6692.9999999999991"/>
    <n v="6692.9999999999991"/>
  </r>
  <r>
    <x v="1"/>
    <x v="1"/>
    <x v="0"/>
    <x v="10"/>
    <x v="4"/>
    <x v="4"/>
    <x v="9"/>
    <n v="7498.0000000000009"/>
    <n v="7856.9999999999991"/>
    <n v="6692.9999999999991"/>
    <n v="6692.9999999999991"/>
  </r>
  <r>
    <x v="1"/>
    <x v="1"/>
    <x v="0"/>
    <x v="10"/>
    <x v="4"/>
    <x v="4"/>
    <x v="10"/>
    <n v="7498.0000000000009"/>
    <n v="7856.9999999999991"/>
    <n v="6692.9999999999991"/>
    <n v="6692.9999999999991"/>
  </r>
  <r>
    <x v="0"/>
    <x v="0"/>
    <x v="0"/>
    <x v="11"/>
    <x v="5"/>
    <x v="4"/>
    <x v="0"/>
    <n v="4566.7110000000002"/>
    <n v="4345.366"/>
    <n v="4631.4219999999996"/>
    <n v="5213.3979999999992"/>
  </r>
  <r>
    <x v="0"/>
    <x v="0"/>
    <x v="0"/>
    <x v="11"/>
    <x v="5"/>
    <x v="4"/>
    <x v="1"/>
    <n v="5113.6410000000005"/>
    <n v="4939.945999999999"/>
    <n v="5116.4019999999991"/>
    <n v="5698.3779999999997"/>
  </r>
  <r>
    <x v="0"/>
    <x v="0"/>
    <x v="0"/>
    <x v="11"/>
    <x v="5"/>
    <x v="4"/>
    <x v="2"/>
    <n v="5660.5709999999999"/>
    <n v="5534.5259999999998"/>
    <n v="5601.3819999999996"/>
    <n v="6183.3579999999984"/>
  </r>
  <r>
    <x v="0"/>
    <x v="0"/>
    <x v="0"/>
    <x v="11"/>
    <x v="5"/>
    <x v="4"/>
    <x v="3"/>
    <n v="6207.5010000000002"/>
    <n v="6129.1059999999989"/>
    <n v="6086.3619999999983"/>
    <n v="6668.3379999999988"/>
  </r>
  <r>
    <x v="0"/>
    <x v="0"/>
    <x v="0"/>
    <x v="11"/>
    <x v="5"/>
    <x v="4"/>
    <x v="4"/>
    <n v="6754.4310000000005"/>
    <n v="6723.6859999999997"/>
    <n v="6571.3419999999996"/>
    <n v="7153.3179999999984"/>
  </r>
  <r>
    <x v="0"/>
    <x v="0"/>
    <x v="0"/>
    <x v="11"/>
    <x v="5"/>
    <x v="4"/>
    <x v="5"/>
    <n v="7301.3610000000008"/>
    <n v="7318.2659999999987"/>
    <n v="7056.3219999999983"/>
    <n v="7589.7999999999993"/>
  </r>
  <r>
    <x v="0"/>
    <x v="0"/>
    <x v="0"/>
    <x v="11"/>
    <x v="5"/>
    <x v="4"/>
    <x v="6"/>
    <n v="7848.2909999999993"/>
    <n v="7912.8459999999977"/>
    <n v="7541.3019999999997"/>
    <n v="7589.7999999999993"/>
  </r>
  <r>
    <x v="0"/>
    <x v="0"/>
    <x v="0"/>
    <x v="11"/>
    <x v="5"/>
    <x v="4"/>
    <x v="7"/>
    <n v="8395.2210000000014"/>
    <n v="8507.4259999999995"/>
    <n v="7589.7999999999993"/>
    <n v="7589.7999999999993"/>
  </r>
  <r>
    <x v="0"/>
    <x v="0"/>
    <x v="0"/>
    <x v="11"/>
    <x v="5"/>
    <x v="4"/>
    <x v="8"/>
    <n v="8559.2999999999993"/>
    <n v="8685.7999999999993"/>
    <n v="7589.7999999999993"/>
    <n v="7589.7999999999993"/>
  </r>
  <r>
    <x v="0"/>
    <x v="0"/>
    <x v="0"/>
    <x v="11"/>
    <x v="5"/>
    <x v="4"/>
    <x v="9"/>
    <n v="8559.2999999999993"/>
    <n v="8685.7999999999993"/>
    <n v="7589.7999999999993"/>
    <n v="7589.7999999999993"/>
  </r>
  <r>
    <x v="0"/>
    <x v="0"/>
    <x v="0"/>
    <x v="11"/>
    <x v="5"/>
    <x v="4"/>
    <x v="10"/>
    <n v="8559.2999999999993"/>
    <n v="8685.7999999999993"/>
    <n v="7589.7999999999993"/>
    <n v="7589.7999999999993"/>
  </r>
  <r>
    <x v="0"/>
    <x v="1"/>
    <x v="1"/>
    <x v="11"/>
    <x v="5"/>
    <x v="4"/>
    <x v="0"/>
    <n v="5580.5400000000009"/>
    <n v="5627.9599999999991"/>
    <n v="5375.88"/>
    <n v="5803.32"/>
  </r>
  <r>
    <x v="0"/>
    <x v="1"/>
    <x v="1"/>
    <x v="11"/>
    <x v="5"/>
    <x v="4"/>
    <x v="1"/>
    <n v="5982.2400000000007"/>
    <n v="6093.7599999999993"/>
    <n v="5732.079999999999"/>
    <n v="6159.5199999999995"/>
  </r>
  <r>
    <x v="0"/>
    <x v="1"/>
    <x v="1"/>
    <x v="11"/>
    <x v="5"/>
    <x v="4"/>
    <x v="2"/>
    <n v="6383.9400000000005"/>
    <n v="6559.5599999999995"/>
    <n v="6088.28"/>
    <n v="6301.9999999999991"/>
  </r>
  <r>
    <x v="0"/>
    <x v="1"/>
    <x v="1"/>
    <x v="11"/>
    <x v="5"/>
    <x v="4"/>
    <x v="3"/>
    <n v="6785.6400000000012"/>
    <n v="7025.3600000000006"/>
    <n v="6301.9999999999991"/>
    <n v="6301.9999999999991"/>
  </r>
  <r>
    <x v="0"/>
    <x v="1"/>
    <x v="1"/>
    <x v="11"/>
    <x v="5"/>
    <x v="4"/>
    <x v="4"/>
    <n v="7107.0000000000009"/>
    <n v="7397.9999999999991"/>
    <n v="6301.9999999999991"/>
    <n v="6301.9999999999991"/>
  </r>
  <r>
    <x v="0"/>
    <x v="1"/>
    <x v="1"/>
    <x v="11"/>
    <x v="5"/>
    <x v="4"/>
    <x v="5"/>
    <n v="7107.0000000000009"/>
    <n v="7397.9999999999991"/>
    <n v="6301.9999999999991"/>
    <n v="6301.9999999999991"/>
  </r>
  <r>
    <x v="0"/>
    <x v="1"/>
    <x v="1"/>
    <x v="11"/>
    <x v="5"/>
    <x v="4"/>
    <x v="6"/>
    <n v="7107.0000000000009"/>
    <n v="7397.9999999999991"/>
    <n v="6301.9999999999991"/>
    <n v="6301.9999999999991"/>
  </r>
  <r>
    <x v="0"/>
    <x v="1"/>
    <x v="1"/>
    <x v="11"/>
    <x v="5"/>
    <x v="4"/>
    <x v="7"/>
    <n v="7107.0000000000009"/>
    <n v="7397.9999999999991"/>
    <n v="6301.9999999999991"/>
    <n v="6301.9999999999991"/>
  </r>
  <r>
    <x v="0"/>
    <x v="1"/>
    <x v="1"/>
    <x v="11"/>
    <x v="5"/>
    <x v="4"/>
    <x v="8"/>
    <n v="7107.0000000000009"/>
    <n v="7397.9999999999991"/>
    <n v="6301.9999999999991"/>
    <n v="6301.9999999999991"/>
  </r>
  <r>
    <x v="0"/>
    <x v="1"/>
    <x v="1"/>
    <x v="11"/>
    <x v="5"/>
    <x v="4"/>
    <x v="9"/>
    <n v="7107.0000000000009"/>
    <n v="7397.9999999999991"/>
    <n v="6301.9999999999991"/>
    <n v="6301.9999999999991"/>
  </r>
  <r>
    <x v="0"/>
    <x v="1"/>
    <x v="1"/>
    <x v="11"/>
    <x v="5"/>
    <x v="4"/>
    <x v="10"/>
    <n v="7107.0000000000009"/>
    <n v="7397.9999999999991"/>
    <n v="6301.9999999999991"/>
    <n v="6301.9999999999991"/>
  </r>
  <r>
    <x v="1"/>
    <x v="1"/>
    <x v="0"/>
    <x v="11"/>
    <x v="5"/>
    <x v="4"/>
    <x v="0"/>
    <n v="4674.46"/>
    <n v="4537.49"/>
    <n v="4686.7699999999995"/>
    <n v="5171.9299999999994"/>
  </r>
  <r>
    <x v="1"/>
    <x v="1"/>
    <x v="0"/>
    <x v="11"/>
    <x v="5"/>
    <x v="4"/>
    <x v="1"/>
    <n v="5124.2599999999993"/>
    <n v="5066.1899999999996"/>
    <n v="5091.07"/>
    <n v="5576.2299999999987"/>
  </r>
  <r>
    <x v="1"/>
    <x v="1"/>
    <x v="0"/>
    <x v="11"/>
    <x v="5"/>
    <x v="4"/>
    <x v="2"/>
    <n v="5574.0599999999995"/>
    <n v="5594.8899999999994"/>
    <n v="5495.369999999999"/>
    <n v="5980.5299999999988"/>
  </r>
  <r>
    <x v="1"/>
    <x v="1"/>
    <x v="0"/>
    <x v="11"/>
    <x v="5"/>
    <x v="4"/>
    <x v="3"/>
    <n v="6023.8599999999988"/>
    <n v="6123.5899999999992"/>
    <n v="5899.6699999999992"/>
    <n v="6384.83"/>
  </r>
  <r>
    <x v="1"/>
    <x v="1"/>
    <x v="0"/>
    <x v="11"/>
    <x v="5"/>
    <x v="4"/>
    <x v="4"/>
    <n v="6473.66"/>
    <n v="6652.2899999999991"/>
    <n v="6303.97"/>
    <n v="6789.1299999999992"/>
  </r>
  <r>
    <x v="1"/>
    <x v="1"/>
    <x v="0"/>
    <x v="11"/>
    <x v="5"/>
    <x v="4"/>
    <x v="5"/>
    <n v="6923.46"/>
    <n v="7180.9899999999989"/>
    <n v="6708.2699999999986"/>
    <n v="7152.9999999999991"/>
  </r>
  <r>
    <x v="1"/>
    <x v="1"/>
    <x v="0"/>
    <x v="11"/>
    <x v="5"/>
    <x v="4"/>
    <x v="6"/>
    <n v="7373.2599999999993"/>
    <n v="7709.6899999999987"/>
    <n v="7112.57"/>
    <n v="7152.9999999999991"/>
  </r>
  <r>
    <x v="1"/>
    <x v="1"/>
    <x v="0"/>
    <x v="11"/>
    <x v="5"/>
    <x v="4"/>
    <x v="7"/>
    <n v="7823.06"/>
    <n v="8238.39"/>
    <n v="7152.9999999999991"/>
    <n v="7152.9999999999991"/>
  </r>
  <r>
    <x v="1"/>
    <x v="1"/>
    <x v="0"/>
    <x v="11"/>
    <x v="5"/>
    <x v="4"/>
    <x v="8"/>
    <n v="7957.9999999999991"/>
    <n v="8397"/>
    <n v="7152.9999999999991"/>
    <n v="7152.9999999999991"/>
  </r>
  <r>
    <x v="1"/>
    <x v="1"/>
    <x v="0"/>
    <x v="11"/>
    <x v="5"/>
    <x v="4"/>
    <x v="9"/>
    <n v="7957.9999999999991"/>
    <n v="8397"/>
    <n v="7152.9999999999991"/>
    <n v="7152.9999999999991"/>
  </r>
  <r>
    <x v="1"/>
    <x v="1"/>
    <x v="0"/>
    <x v="11"/>
    <x v="5"/>
    <x v="4"/>
    <x v="10"/>
    <n v="7957.9999999999991"/>
    <n v="8397"/>
    <n v="7152.9999999999991"/>
    <n v="7152.9999999999991"/>
  </r>
  <r>
    <x v="0"/>
    <x v="0"/>
    <x v="0"/>
    <x v="5"/>
    <x v="0"/>
    <x v="5"/>
    <x v="0"/>
    <n v="3201.6709999999998"/>
    <n v="2853.4259999999999"/>
    <n v="3076.8420000000001"/>
    <n v="3488.1779999999994"/>
  </r>
  <r>
    <x v="0"/>
    <x v="0"/>
    <x v="0"/>
    <x v="5"/>
    <x v="0"/>
    <x v="5"/>
    <x v="1"/>
    <n v="3613.4009999999998"/>
    <n v="3265.806"/>
    <n v="3419.6219999999998"/>
    <n v="3830.9579999999996"/>
  </r>
  <r>
    <x v="0"/>
    <x v="0"/>
    <x v="0"/>
    <x v="5"/>
    <x v="0"/>
    <x v="5"/>
    <x v="2"/>
    <n v="4025.1309999999989"/>
    <n v="3678.1859999999992"/>
    <n v="3762.4019999999996"/>
    <n v="4173.7379999999994"/>
  </r>
  <r>
    <x v="0"/>
    <x v="0"/>
    <x v="0"/>
    <x v="5"/>
    <x v="0"/>
    <x v="5"/>
    <x v="3"/>
    <n v="4436.860999999999"/>
    <n v="4090.5659999999998"/>
    <n v="4105.1819999999998"/>
    <n v="4516.5179999999991"/>
  </r>
  <r>
    <x v="0"/>
    <x v="0"/>
    <x v="0"/>
    <x v="5"/>
    <x v="0"/>
    <x v="5"/>
    <x v="4"/>
    <n v="4848.5910000000003"/>
    <n v="4502.9459999999999"/>
    <n v="4447.9619999999995"/>
    <n v="4859.2979999999989"/>
  </r>
  <r>
    <x v="0"/>
    <x v="0"/>
    <x v="0"/>
    <x v="5"/>
    <x v="0"/>
    <x v="5"/>
    <x v="5"/>
    <n v="5260.320999999999"/>
    <n v="4915.326"/>
    <n v="4790.7420000000002"/>
    <n v="5167.7999999999993"/>
  </r>
  <r>
    <x v="0"/>
    <x v="0"/>
    <x v="0"/>
    <x v="5"/>
    <x v="0"/>
    <x v="5"/>
    <x v="6"/>
    <n v="5672.0509999999995"/>
    <n v="5327.7059999999992"/>
    <n v="5133.521999999999"/>
    <n v="5167.7999999999993"/>
  </r>
  <r>
    <x v="0"/>
    <x v="0"/>
    <x v="0"/>
    <x v="5"/>
    <x v="0"/>
    <x v="5"/>
    <x v="7"/>
    <n v="6083.7809999999999"/>
    <n v="5740.0859999999993"/>
    <n v="5167.7999999999993"/>
    <n v="5167.7999999999993"/>
  </r>
  <r>
    <x v="0"/>
    <x v="0"/>
    <x v="0"/>
    <x v="5"/>
    <x v="0"/>
    <x v="5"/>
    <x v="8"/>
    <n v="6207.2999999999993"/>
    <n v="5863.7999999999993"/>
    <n v="5167.7999999999993"/>
    <n v="5167.7999999999993"/>
  </r>
  <r>
    <x v="0"/>
    <x v="0"/>
    <x v="0"/>
    <x v="5"/>
    <x v="0"/>
    <x v="5"/>
    <x v="9"/>
    <n v="6207.2999999999993"/>
    <n v="5863.7999999999993"/>
    <n v="5167.7999999999993"/>
    <n v="5167.7999999999993"/>
  </r>
  <r>
    <x v="0"/>
    <x v="0"/>
    <x v="0"/>
    <x v="5"/>
    <x v="0"/>
    <x v="5"/>
    <x v="10"/>
    <n v="6207.2999999999993"/>
    <n v="5863.7999999999993"/>
    <n v="5167.7999999999993"/>
    <n v="5167.7999999999993"/>
  </r>
  <r>
    <x v="0"/>
    <x v="1"/>
    <x v="1"/>
    <x v="5"/>
    <x v="0"/>
    <x v="5"/>
    <x v="0"/>
    <n v="4033.7000000000003"/>
    <n v="3789.72"/>
    <n v="3671.4000000000005"/>
    <n v="3984.6"/>
  </r>
  <r>
    <x v="0"/>
    <x v="1"/>
    <x v="1"/>
    <x v="5"/>
    <x v="0"/>
    <x v="5"/>
    <x v="1"/>
    <n v="4347.2"/>
    <n v="4120.3200000000006"/>
    <n v="3932.4000000000005"/>
    <n v="4245.5999999999995"/>
  </r>
  <r>
    <x v="0"/>
    <x v="1"/>
    <x v="1"/>
    <x v="5"/>
    <x v="0"/>
    <x v="5"/>
    <x v="2"/>
    <n v="4660.7"/>
    <n v="4450.92"/>
    <n v="4193.3999999999996"/>
    <n v="4350"/>
  </r>
  <r>
    <x v="0"/>
    <x v="1"/>
    <x v="1"/>
    <x v="5"/>
    <x v="0"/>
    <x v="5"/>
    <x v="3"/>
    <n v="4974.2000000000007"/>
    <n v="4781.5200000000004"/>
    <n v="4350"/>
    <n v="4350"/>
  </r>
  <r>
    <x v="0"/>
    <x v="1"/>
    <x v="1"/>
    <x v="5"/>
    <x v="0"/>
    <x v="5"/>
    <x v="4"/>
    <n v="5225"/>
    <n v="5046"/>
    <n v="4350"/>
    <n v="4350"/>
  </r>
  <r>
    <x v="0"/>
    <x v="1"/>
    <x v="1"/>
    <x v="5"/>
    <x v="0"/>
    <x v="5"/>
    <x v="5"/>
    <n v="5225"/>
    <n v="5046"/>
    <n v="4350"/>
    <n v="4350"/>
  </r>
  <r>
    <x v="0"/>
    <x v="1"/>
    <x v="1"/>
    <x v="5"/>
    <x v="0"/>
    <x v="5"/>
    <x v="6"/>
    <n v="5225"/>
    <n v="5046"/>
    <n v="4350"/>
    <n v="4350"/>
  </r>
  <r>
    <x v="0"/>
    <x v="1"/>
    <x v="1"/>
    <x v="5"/>
    <x v="0"/>
    <x v="5"/>
    <x v="7"/>
    <n v="5225"/>
    <n v="5046"/>
    <n v="4350"/>
    <n v="4350"/>
  </r>
  <r>
    <x v="0"/>
    <x v="1"/>
    <x v="1"/>
    <x v="5"/>
    <x v="0"/>
    <x v="5"/>
    <x v="8"/>
    <n v="5225"/>
    <n v="5046"/>
    <n v="4350"/>
    <n v="4350"/>
  </r>
  <r>
    <x v="0"/>
    <x v="1"/>
    <x v="1"/>
    <x v="5"/>
    <x v="0"/>
    <x v="5"/>
    <x v="9"/>
    <n v="5225"/>
    <n v="5046"/>
    <n v="4350"/>
    <n v="4350"/>
  </r>
  <r>
    <x v="0"/>
    <x v="1"/>
    <x v="1"/>
    <x v="5"/>
    <x v="0"/>
    <x v="5"/>
    <x v="10"/>
    <n v="5225"/>
    <n v="5046"/>
    <n v="4350"/>
    <n v="4350"/>
  </r>
  <r>
    <x v="1"/>
    <x v="1"/>
    <x v="0"/>
    <x v="5"/>
    <x v="0"/>
    <x v="5"/>
    <x v="0"/>
    <n v="3456.3"/>
    <n v="3192.43"/>
    <n v="3344.35"/>
    <n v="3724.1499999999996"/>
  </r>
  <r>
    <x v="1"/>
    <x v="1"/>
    <x v="0"/>
    <x v="5"/>
    <x v="0"/>
    <x v="5"/>
    <x v="1"/>
    <n v="3825.3"/>
    <n v="3593.3299999999995"/>
    <n v="3660.8500000000004"/>
    <n v="4040.65"/>
  </r>
  <r>
    <x v="1"/>
    <x v="1"/>
    <x v="0"/>
    <x v="5"/>
    <x v="0"/>
    <x v="5"/>
    <x v="2"/>
    <n v="4194.2999999999993"/>
    <n v="3994.2299999999996"/>
    <n v="3977.3499999999995"/>
    <n v="4357.1499999999996"/>
  </r>
  <r>
    <x v="1"/>
    <x v="1"/>
    <x v="0"/>
    <x v="5"/>
    <x v="0"/>
    <x v="5"/>
    <x v="3"/>
    <n v="4563.3"/>
    <n v="4395.1299999999992"/>
    <n v="4293.8500000000004"/>
    <n v="4673.6499999999996"/>
  </r>
  <r>
    <x v="1"/>
    <x v="1"/>
    <x v="0"/>
    <x v="5"/>
    <x v="0"/>
    <x v="5"/>
    <x v="4"/>
    <n v="4932.3"/>
    <n v="4796.0300000000007"/>
    <n v="4610.3500000000004"/>
    <n v="4990.1499999999996"/>
  </r>
  <r>
    <x v="1"/>
    <x v="1"/>
    <x v="0"/>
    <x v="5"/>
    <x v="0"/>
    <x v="5"/>
    <x v="5"/>
    <n v="5301.3"/>
    <n v="5196.93"/>
    <n v="4926.8500000000004"/>
    <n v="5275"/>
  </r>
  <r>
    <x v="1"/>
    <x v="1"/>
    <x v="0"/>
    <x v="5"/>
    <x v="0"/>
    <x v="5"/>
    <x v="6"/>
    <n v="5670.2999999999993"/>
    <n v="5597.83"/>
    <n v="5243.35"/>
    <n v="5275"/>
  </r>
  <r>
    <x v="1"/>
    <x v="1"/>
    <x v="0"/>
    <x v="5"/>
    <x v="0"/>
    <x v="5"/>
    <x v="7"/>
    <n v="6039.3"/>
    <n v="5998.73"/>
    <n v="5275"/>
    <n v="5275"/>
  </r>
  <r>
    <x v="1"/>
    <x v="1"/>
    <x v="0"/>
    <x v="5"/>
    <x v="0"/>
    <x v="5"/>
    <x v="8"/>
    <n v="6150"/>
    <n v="6119"/>
    <n v="5275"/>
    <n v="5275"/>
  </r>
  <r>
    <x v="1"/>
    <x v="1"/>
    <x v="0"/>
    <x v="5"/>
    <x v="0"/>
    <x v="5"/>
    <x v="9"/>
    <n v="6150"/>
    <n v="6119"/>
    <n v="5275"/>
    <n v="5275"/>
  </r>
  <r>
    <x v="1"/>
    <x v="1"/>
    <x v="0"/>
    <x v="5"/>
    <x v="0"/>
    <x v="5"/>
    <x v="10"/>
    <n v="6150"/>
    <n v="6119"/>
    <n v="5275"/>
    <n v="5275"/>
  </r>
  <r>
    <x v="0"/>
    <x v="0"/>
    <x v="0"/>
    <x v="7"/>
    <x v="1"/>
    <x v="5"/>
    <x v="0"/>
    <n v="3508.0509999999995"/>
    <n v="3181.4059999999999"/>
    <n v="3430.502"/>
    <n v="3889.1179999999995"/>
  </r>
  <r>
    <x v="0"/>
    <x v="0"/>
    <x v="0"/>
    <x v="7"/>
    <x v="1"/>
    <x v="5"/>
    <x v="1"/>
    <n v="3959.1809999999996"/>
    <n v="3641.1860000000001"/>
    <n v="3812.6819999999998"/>
    <n v="4271.2979999999998"/>
  </r>
  <r>
    <x v="0"/>
    <x v="0"/>
    <x v="0"/>
    <x v="7"/>
    <x v="1"/>
    <x v="5"/>
    <x v="2"/>
    <n v="4410.3109999999988"/>
    <n v="4100.9659999999994"/>
    <n v="4194.8619999999992"/>
    <n v="4653.4780000000001"/>
  </r>
  <r>
    <x v="0"/>
    <x v="0"/>
    <x v="0"/>
    <x v="7"/>
    <x v="1"/>
    <x v="5"/>
    <x v="3"/>
    <n v="4861.4409999999989"/>
    <n v="4560.7459999999992"/>
    <n v="4577.0419999999995"/>
    <n v="5035.6579999999985"/>
  </r>
  <r>
    <x v="0"/>
    <x v="0"/>
    <x v="0"/>
    <x v="7"/>
    <x v="1"/>
    <x v="5"/>
    <x v="4"/>
    <n v="5312.5709999999999"/>
    <n v="5020.5259999999998"/>
    <n v="4959.2219999999998"/>
    <n v="5417.8379999999988"/>
  </r>
  <r>
    <x v="0"/>
    <x v="0"/>
    <x v="0"/>
    <x v="7"/>
    <x v="1"/>
    <x v="5"/>
    <x v="5"/>
    <n v="5763.7009999999991"/>
    <n v="5480.3059999999996"/>
    <n v="5341.402"/>
    <n v="5761.7999999999993"/>
  </r>
  <r>
    <x v="0"/>
    <x v="0"/>
    <x v="0"/>
    <x v="7"/>
    <x v="1"/>
    <x v="5"/>
    <x v="6"/>
    <n v="6214.8309999999992"/>
    <n v="5940.0859999999993"/>
    <n v="5723.5819999999994"/>
    <n v="5761.7999999999993"/>
  </r>
  <r>
    <x v="0"/>
    <x v="0"/>
    <x v="0"/>
    <x v="7"/>
    <x v="1"/>
    <x v="5"/>
    <x v="7"/>
    <n v="6665.9609999999993"/>
    <n v="6399.8659999999991"/>
    <n v="5761.7999999999993"/>
    <n v="5761.7999999999993"/>
  </r>
  <r>
    <x v="0"/>
    <x v="0"/>
    <x v="0"/>
    <x v="7"/>
    <x v="1"/>
    <x v="5"/>
    <x v="8"/>
    <n v="6801.2999999999993"/>
    <n v="6537.7999999999993"/>
    <n v="5761.7999999999993"/>
    <n v="5761.7999999999993"/>
  </r>
  <r>
    <x v="0"/>
    <x v="0"/>
    <x v="0"/>
    <x v="7"/>
    <x v="1"/>
    <x v="5"/>
    <x v="9"/>
    <n v="6801.2999999999993"/>
    <n v="6537.7999999999993"/>
    <n v="5761.7999999999993"/>
    <n v="5761.7999999999993"/>
  </r>
  <r>
    <x v="0"/>
    <x v="0"/>
    <x v="0"/>
    <x v="7"/>
    <x v="1"/>
    <x v="5"/>
    <x v="10"/>
    <n v="6801.2999999999993"/>
    <n v="6537.7999999999993"/>
    <n v="5761.7999999999993"/>
    <n v="5761.7999999999993"/>
  </r>
  <r>
    <x v="0"/>
    <x v="1"/>
    <x v="1"/>
    <x v="7"/>
    <x v="1"/>
    <x v="5"/>
    <x v="0"/>
    <n v="4419.7000000000007"/>
    <n v="4225.32"/>
    <n v="4093.4000000000005"/>
    <n v="4442.6000000000004"/>
  </r>
  <r>
    <x v="0"/>
    <x v="1"/>
    <x v="1"/>
    <x v="7"/>
    <x v="1"/>
    <x v="5"/>
    <x v="1"/>
    <n v="4763.2"/>
    <n v="4593.920000000001"/>
    <n v="4384.4000000000005"/>
    <n v="4733.5999999999995"/>
  </r>
  <r>
    <x v="0"/>
    <x v="1"/>
    <x v="1"/>
    <x v="7"/>
    <x v="1"/>
    <x v="5"/>
    <x v="2"/>
    <n v="5106.7"/>
    <n v="4962.5199999999995"/>
    <n v="4675.3999999999996"/>
    <n v="4850"/>
  </r>
  <r>
    <x v="0"/>
    <x v="1"/>
    <x v="1"/>
    <x v="7"/>
    <x v="1"/>
    <x v="5"/>
    <x v="3"/>
    <n v="5450.2000000000007"/>
    <n v="5331.1200000000008"/>
    <n v="4850"/>
    <n v="4850"/>
  </r>
  <r>
    <x v="0"/>
    <x v="1"/>
    <x v="1"/>
    <x v="7"/>
    <x v="1"/>
    <x v="5"/>
    <x v="4"/>
    <n v="5725"/>
    <n v="5626"/>
    <n v="4850"/>
    <n v="4850"/>
  </r>
  <r>
    <x v="0"/>
    <x v="1"/>
    <x v="1"/>
    <x v="7"/>
    <x v="1"/>
    <x v="5"/>
    <x v="5"/>
    <n v="5725"/>
    <n v="5626"/>
    <n v="4850"/>
    <n v="4850"/>
  </r>
  <r>
    <x v="0"/>
    <x v="1"/>
    <x v="1"/>
    <x v="7"/>
    <x v="1"/>
    <x v="5"/>
    <x v="6"/>
    <n v="5725"/>
    <n v="5626"/>
    <n v="4850"/>
    <n v="4850"/>
  </r>
  <r>
    <x v="0"/>
    <x v="1"/>
    <x v="1"/>
    <x v="7"/>
    <x v="1"/>
    <x v="5"/>
    <x v="7"/>
    <n v="5725"/>
    <n v="5626"/>
    <n v="4850"/>
    <n v="4850"/>
  </r>
  <r>
    <x v="0"/>
    <x v="1"/>
    <x v="1"/>
    <x v="7"/>
    <x v="1"/>
    <x v="5"/>
    <x v="8"/>
    <n v="5725"/>
    <n v="5626"/>
    <n v="4850"/>
    <n v="4850"/>
  </r>
  <r>
    <x v="0"/>
    <x v="1"/>
    <x v="1"/>
    <x v="7"/>
    <x v="1"/>
    <x v="5"/>
    <x v="9"/>
    <n v="5725"/>
    <n v="5626"/>
    <n v="4850"/>
    <n v="4850"/>
  </r>
  <r>
    <x v="0"/>
    <x v="1"/>
    <x v="1"/>
    <x v="7"/>
    <x v="1"/>
    <x v="5"/>
    <x v="10"/>
    <n v="5725"/>
    <n v="5626"/>
    <n v="4850"/>
    <n v="4850"/>
  </r>
  <r>
    <x v="1"/>
    <x v="1"/>
    <x v="0"/>
    <x v="7"/>
    <x v="1"/>
    <x v="5"/>
    <x v="0"/>
    <n v="3737.3"/>
    <n v="3495.0299999999997"/>
    <n v="3661.35"/>
    <n v="4077.1499999999996"/>
  </r>
  <r>
    <x v="1"/>
    <x v="1"/>
    <x v="0"/>
    <x v="7"/>
    <x v="1"/>
    <x v="5"/>
    <x v="1"/>
    <n v="4136.3"/>
    <n v="3933.93"/>
    <n v="4007.8500000000004"/>
    <n v="4423.6499999999996"/>
  </r>
  <r>
    <x v="1"/>
    <x v="1"/>
    <x v="0"/>
    <x v="7"/>
    <x v="1"/>
    <x v="5"/>
    <x v="2"/>
    <n v="4535.2999999999993"/>
    <n v="4372.83"/>
    <n v="4354.3499999999995"/>
    <n v="4770.1499999999996"/>
  </r>
  <r>
    <x v="1"/>
    <x v="1"/>
    <x v="0"/>
    <x v="7"/>
    <x v="1"/>
    <x v="5"/>
    <x v="3"/>
    <n v="4934.3"/>
    <n v="4811.7299999999996"/>
    <n v="4700.8500000000004"/>
    <n v="5116.6499999999996"/>
  </r>
  <r>
    <x v="1"/>
    <x v="1"/>
    <x v="0"/>
    <x v="7"/>
    <x v="1"/>
    <x v="5"/>
    <x v="4"/>
    <n v="5333.2999999999993"/>
    <n v="5250.63"/>
    <n v="5047.3500000000004"/>
    <n v="5463.15"/>
  </r>
  <r>
    <x v="1"/>
    <x v="1"/>
    <x v="0"/>
    <x v="7"/>
    <x v="1"/>
    <x v="5"/>
    <x v="5"/>
    <n v="5732.3000000000011"/>
    <n v="5689.53"/>
    <n v="5393.85"/>
    <n v="5775"/>
  </r>
  <r>
    <x v="1"/>
    <x v="1"/>
    <x v="0"/>
    <x v="7"/>
    <x v="1"/>
    <x v="5"/>
    <x v="6"/>
    <n v="6131.2999999999993"/>
    <n v="6128.43"/>
    <n v="5740.35"/>
    <n v="5775"/>
  </r>
  <r>
    <x v="1"/>
    <x v="1"/>
    <x v="0"/>
    <x v="7"/>
    <x v="1"/>
    <x v="5"/>
    <x v="7"/>
    <n v="6530.3"/>
    <n v="6567.33"/>
    <n v="5775"/>
    <n v="5775"/>
  </r>
  <r>
    <x v="1"/>
    <x v="1"/>
    <x v="0"/>
    <x v="7"/>
    <x v="1"/>
    <x v="5"/>
    <x v="8"/>
    <n v="6650"/>
    <n v="6699"/>
    <n v="5775"/>
    <n v="5775"/>
  </r>
  <r>
    <x v="1"/>
    <x v="1"/>
    <x v="0"/>
    <x v="7"/>
    <x v="1"/>
    <x v="5"/>
    <x v="9"/>
    <n v="6650"/>
    <n v="6699"/>
    <n v="5775"/>
    <n v="5775"/>
  </r>
  <r>
    <x v="1"/>
    <x v="1"/>
    <x v="0"/>
    <x v="7"/>
    <x v="1"/>
    <x v="5"/>
    <x v="10"/>
    <n v="6650"/>
    <n v="6699"/>
    <n v="5775"/>
    <n v="5775"/>
  </r>
  <r>
    <x v="0"/>
    <x v="0"/>
    <x v="0"/>
    <x v="9"/>
    <x v="2"/>
    <x v="5"/>
    <x v="0"/>
    <n v="3814.4309999999996"/>
    <n v="3509.386"/>
    <n v="3784.1619999999998"/>
    <n v="4290.0579999999991"/>
  </r>
  <r>
    <x v="0"/>
    <x v="0"/>
    <x v="0"/>
    <x v="9"/>
    <x v="2"/>
    <x v="5"/>
    <x v="1"/>
    <n v="4304.9609999999993"/>
    <n v="4016.5659999999998"/>
    <n v="4205.7419999999993"/>
    <n v="4711.6379999999999"/>
  </r>
  <r>
    <x v="0"/>
    <x v="0"/>
    <x v="0"/>
    <x v="9"/>
    <x v="2"/>
    <x v="5"/>
    <x v="2"/>
    <n v="4795.4909999999991"/>
    <n v="4523.7459999999992"/>
    <n v="4627.3219999999992"/>
    <n v="5133.2179999999998"/>
  </r>
  <r>
    <x v="0"/>
    <x v="0"/>
    <x v="0"/>
    <x v="9"/>
    <x v="2"/>
    <x v="5"/>
    <x v="3"/>
    <n v="5286.0209999999988"/>
    <n v="5030.9259999999995"/>
    <n v="5048.9019999999991"/>
    <n v="5554.7979999999989"/>
  </r>
  <r>
    <x v="0"/>
    <x v="0"/>
    <x v="0"/>
    <x v="9"/>
    <x v="2"/>
    <x v="5"/>
    <x v="4"/>
    <n v="5776.5510000000004"/>
    <n v="5538.1059999999998"/>
    <n v="5470.482"/>
    <n v="5976.3779999999988"/>
  </r>
  <r>
    <x v="0"/>
    <x v="0"/>
    <x v="0"/>
    <x v="9"/>
    <x v="2"/>
    <x v="5"/>
    <x v="5"/>
    <n v="6267.0809999999992"/>
    <n v="6045.2860000000001"/>
    <n v="5892.0619999999999"/>
    <n v="6355.7999999999993"/>
  </r>
  <r>
    <x v="0"/>
    <x v="0"/>
    <x v="0"/>
    <x v="9"/>
    <x v="2"/>
    <x v="5"/>
    <x v="6"/>
    <n v="6757.610999999999"/>
    <n v="6552.4659999999994"/>
    <n v="6313.6419999999989"/>
    <n v="6355.7999999999993"/>
  </r>
  <r>
    <x v="0"/>
    <x v="0"/>
    <x v="0"/>
    <x v="9"/>
    <x v="2"/>
    <x v="5"/>
    <x v="7"/>
    <n v="7248.1409999999996"/>
    <n v="7059.6459999999997"/>
    <n v="6355.7999999999993"/>
    <n v="6355.7999999999993"/>
  </r>
  <r>
    <x v="0"/>
    <x v="0"/>
    <x v="0"/>
    <x v="9"/>
    <x v="2"/>
    <x v="5"/>
    <x v="8"/>
    <n v="7395.2999999999993"/>
    <n v="7211.7999999999993"/>
    <n v="6355.7999999999993"/>
    <n v="6355.7999999999993"/>
  </r>
  <r>
    <x v="0"/>
    <x v="0"/>
    <x v="0"/>
    <x v="9"/>
    <x v="2"/>
    <x v="5"/>
    <x v="9"/>
    <n v="7395.2999999999993"/>
    <n v="7211.7999999999993"/>
    <n v="6355.7999999999993"/>
    <n v="6355.7999999999993"/>
  </r>
  <r>
    <x v="0"/>
    <x v="0"/>
    <x v="0"/>
    <x v="9"/>
    <x v="2"/>
    <x v="5"/>
    <x v="10"/>
    <n v="7395.2999999999993"/>
    <n v="7211.7999999999993"/>
    <n v="6355.7999999999993"/>
    <n v="6355.7999999999993"/>
  </r>
  <r>
    <x v="0"/>
    <x v="1"/>
    <x v="1"/>
    <x v="9"/>
    <x v="2"/>
    <x v="5"/>
    <x v="0"/>
    <n v="4805.7000000000007"/>
    <n v="4660.92"/>
    <n v="4515.4000000000005"/>
    <n v="4900.6000000000004"/>
  </r>
  <r>
    <x v="0"/>
    <x v="1"/>
    <x v="1"/>
    <x v="9"/>
    <x v="2"/>
    <x v="5"/>
    <x v="1"/>
    <n v="5179.2"/>
    <n v="5067.5200000000004"/>
    <n v="4836.4000000000005"/>
    <n v="5221.5999999999995"/>
  </r>
  <r>
    <x v="0"/>
    <x v="1"/>
    <x v="1"/>
    <x v="9"/>
    <x v="2"/>
    <x v="5"/>
    <x v="2"/>
    <n v="5552.7"/>
    <n v="5474.12"/>
    <n v="5157.3999999999996"/>
    <n v="5350"/>
  </r>
  <r>
    <x v="0"/>
    <x v="1"/>
    <x v="1"/>
    <x v="9"/>
    <x v="2"/>
    <x v="5"/>
    <x v="3"/>
    <n v="5926.2000000000007"/>
    <n v="5880.72"/>
    <n v="5350"/>
    <n v="5350"/>
  </r>
  <r>
    <x v="0"/>
    <x v="1"/>
    <x v="1"/>
    <x v="9"/>
    <x v="2"/>
    <x v="5"/>
    <x v="4"/>
    <n v="6225"/>
    <n v="6206"/>
    <n v="5350"/>
    <n v="5350"/>
  </r>
  <r>
    <x v="0"/>
    <x v="1"/>
    <x v="1"/>
    <x v="9"/>
    <x v="2"/>
    <x v="5"/>
    <x v="5"/>
    <n v="6225"/>
    <n v="6206"/>
    <n v="5350"/>
    <n v="5350"/>
  </r>
  <r>
    <x v="0"/>
    <x v="1"/>
    <x v="1"/>
    <x v="9"/>
    <x v="2"/>
    <x v="5"/>
    <x v="6"/>
    <n v="6225"/>
    <n v="6206"/>
    <n v="5350"/>
    <n v="5350"/>
  </r>
  <r>
    <x v="0"/>
    <x v="1"/>
    <x v="1"/>
    <x v="9"/>
    <x v="2"/>
    <x v="5"/>
    <x v="7"/>
    <n v="6225"/>
    <n v="6206"/>
    <n v="5350"/>
    <n v="5350"/>
  </r>
  <r>
    <x v="0"/>
    <x v="1"/>
    <x v="1"/>
    <x v="9"/>
    <x v="2"/>
    <x v="5"/>
    <x v="8"/>
    <n v="6225"/>
    <n v="6206"/>
    <n v="5350"/>
    <n v="5350"/>
  </r>
  <r>
    <x v="0"/>
    <x v="1"/>
    <x v="1"/>
    <x v="9"/>
    <x v="2"/>
    <x v="5"/>
    <x v="9"/>
    <n v="6225"/>
    <n v="6206"/>
    <n v="5350"/>
    <n v="5350"/>
  </r>
  <r>
    <x v="0"/>
    <x v="1"/>
    <x v="1"/>
    <x v="9"/>
    <x v="2"/>
    <x v="5"/>
    <x v="10"/>
    <n v="6225"/>
    <n v="6206"/>
    <n v="5350"/>
    <n v="5350"/>
  </r>
  <r>
    <x v="1"/>
    <x v="1"/>
    <x v="0"/>
    <x v="9"/>
    <x v="2"/>
    <x v="5"/>
    <x v="0"/>
    <n v="4018.3"/>
    <n v="3797.6299999999997"/>
    <n v="3978.35"/>
    <n v="4430.1499999999996"/>
  </r>
  <r>
    <x v="1"/>
    <x v="1"/>
    <x v="0"/>
    <x v="9"/>
    <x v="2"/>
    <x v="5"/>
    <x v="1"/>
    <n v="4447.3"/>
    <n v="4274.53"/>
    <n v="4354.8500000000004"/>
    <n v="4806.6499999999996"/>
  </r>
  <r>
    <x v="1"/>
    <x v="1"/>
    <x v="0"/>
    <x v="9"/>
    <x v="2"/>
    <x v="5"/>
    <x v="2"/>
    <n v="4876.2999999999993"/>
    <n v="4751.4299999999994"/>
    <n v="4731.3499999999995"/>
    <n v="5183.1499999999996"/>
  </r>
  <r>
    <x v="1"/>
    <x v="1"/>
    <x v="0"/>
    <x v="9"/>
    <x v="2"/>
    <x v="5"/>
    <x v="3"/>
    <n v="5305.3"/>
    <n v="5228.329999999999"/>
    <n v="5107.8500000000004"/>
    <n v="5559.65"/>
  </r>
  <r>
    <x v="1"/>
    <x v="1"/>
    <x v="0"/>
    <x v="9"/>
    <x v="2"/>
    <x v="5"/>
    <x v="4"/>
    <n v="5734.2999999999993"/>
    <n v="5705.2300000000005"/>
    <n v="5484.35"/>
    <n v="5936.15"/>
  </r>
  <r>
    <x v="1"/>
    <x v="1"/>
    <x v="0"/>
    <x v="9"/>
    <x v="2"/>
    <x v="5"/>
    <x v="5"/>
    <n v="6163.3000000000011"/>
    <n v="6182.13"/>
    <n v="5860.85"/>
    <n v="6275"/>
  </r>
  <r>
    <x v="1"/>
    <x v="1"/>
    <x v="0"/>
    <x v="9"/>
    <x v="2"/>
    <x v="5"/>
    <x v="6"/>
    <n v="6592.2999999999993"/>
    <n v="6659.03"/>
    <n v="6237.35"/>
    <n v="6275"/>
  </r>
  <r>
    <x v="1"/>
    <x v="1"/>
    <x v="0"/>
    <x v="9"/>
    <x v="2"/>
    <x v="5"/>
    <x v="7"/>
    <n v="7021.3"/>
    <n v="7135.93"/>
    <n v="6275"/>
    <n v="6275"/>
  </r>
  <r>
    <x v="1"/>
    <x v="1"/>
    <x v="0"/>
    <x v="9"/>
    <x v="2"/>
    <x v="5"/>
    <x v="8"/>
    <n v="7150"/>
    <n v="7279"/>
    <n v="6275"/>
    <n v="6275"/>
  </r>
  <r>
    <x v="1"/>
    <x v="1"/>
    <x v="0"/>
    <x v="9"/>
    <x v="2"/>
    <x v="5"/>
    <x v="9"/>
    <n v="7150"/>
    <n v="7279"/>
    <n v="6275"/>
    <n v="6275"/>
  </r>
  <r>
    <x v="1"/>
    <x v="1"/>
    <x v="0"/>
    <x v="9"/>
    <x v="2"/>
    <x v="5"/>
    <x v="10"/>
    <n v="7150"/>
    <n v="7279"/>
    <n v="6275"/>
    <n v="6275"/>
  </r>
  <r>
    <x v="0"/>
    <x v="0"/>
    <x v="0"/>
    <x v="10"/>
    <x v="3"/>
    <x v="5"/>
    <x v="0"/>
    <n v="4120.8109999999997"/>
    <n v="3837.366"/>
    <n v="4137.8220000000001"/>
    <n v="4690.9979999999996"/>
  </r>
  <r>
    <x v="0"/>
    <x v="0"/>
    <x v="0"/>
    <x v="10"/>
    <x v="3"/>
    <x v="5"/>
    <x v="1"/>
    <n v="4650.741"/>
    <n v="4391.9459999999999"/>
    <n v="4598.8019999999997"/>
    <n v="5151.9779999999992"/>
  </r>
  <r>
    <x v="0"/>
    <x v="0"/>
    <x v="0"/>
    <x v="10"/>
    <x v="3"/>
    <x v="5"/>
    <x v="2"/>
    <n v="5180.6709999999985"/>
    <n v="4946.5259999999989"/>
    <n v="5059.7819999999992"/>
    <n v="5612.9579999999996"/>
  </r>
  <r>
    <x v="0"/>
    <x v="0"/>
    <x v="0"/>
    <x v="10"/>
    <x v="3"/>
    <x v="5"/>
    <x v="3"/>
    <n v="5710.6009999999987"/>
    <n v="5501.1059999999998"/>
    <n v="5520.7619999999997"/>
    <n v="6073.9379999999983"/>
  </r>
  <r>
    <x v="0"/>
    <x v="0"/>
    <x v="0"/>
    <x v="10"/>
    <x v="3"/>
    <x v="5"/>
    <x v="4"/>
    <n v="6240.5309999999999"/>
    <n v="6055.6859999999997"/>
    <n v="5981.7419999999993"/>
    <n v="6534.9179999999988"/>
  </r>
  <r>
    <x v="0"/>
    <x v="0"/>
    <x v="0"/>
    <x v="10"/>
    <x v="3"/>
    <x v="5"/>
    <x v="5"/>
    <n v="6770.4609999999993"/>
    <n v="6610.2659999999996"/>
    <n v="6442.7219999999998"/>
    <n v="6949.7999999999993"/>
  </r>
  <r>
    <x v="0"/>
    <x v="0"/>
    <x v="0"/>
    <x v="10"/>
    <x v="3"/>
    <x v="5"/>
    <x v="6"/>
    <n v="7300.3909999999996"/>
    <n v="7164.8459999999995"/>
    <n v="6903.7019999999984"/>
    <n v="6949.7999999999993"/>
  </r>
  <r>
    <x v="0"/>
    <x v="0"/>
    <x v="0"/>
    <x v="10"/>
    <x v="3"/>
    <x v="5"/>
    <x v="7"/>
    <n v="7830.3209999999999"/>
    <n v="7719.4259999999995"/>
    <n v="6949.7999999999993"/>
    <n v="6949.7999999999993"/>
  </r>
  <r>
    <x v="0"/>
    <x v="0"/>
    <x v="0"/>
    <x v="10"/>
    <x v="3"/>
    <x v="5"/>
    <x v="8"/>
    <n v="7989.2999999999993"/>
    <n v="7885.7999999999993"/>
    <n v="6949.7999999999993"/>
    <n v="6949.7999999999993"/>
  </r>
  <r>
    <x v="0"/>
    <x v="0"/>
    <x v="0"/>
    <x v="10"/>
    <x v="3"/>
    <x v="5"/>
    <x v="9"/>
    <n v="7989.2999999999993"/>
    <n v="7885.7999999999993"/>
    <n v="6949.7999999999993"/>
    <n v="6949.7999999999993"/>
  </r>
  <r>
    <x v="0"/>
    <x v="0"/>
    <x v="0"/>
    <x v="10"/>
    <x v="3"/>
    <x v="5"/>
    <x v="10"/>
    <n v="7989.2999999999993"/>
    <n v="7885.7999999999993"/>
    <n v="6949.7999999999993"/>
    <n v="6949.7999999999993"/>
  </r>
  <r>
    <x v="0"/>
    <x v="1"/>
    <x v="1"/>
    <x v="10"/>
    <x v="3"/>
    <x v="5"/>
    <x v="0"/>
    <n v="5191.7000000000007"/>
    <n v="5096.5199999999995"/>
    <n v="4937.4000000000005"/>
    <n v="5358.6"/>
  </r>
  <r>
    <x v="0"/>
    <x v="1"/>
    <x v="1"/>
    <x v="10"/>
    <x v="3"/>
    <x v="5"/>
    <x v="1"/>
    <n v="5595.2"/>
    <n v="5541.1200000000008"/>
    <n v="5288.4000000000005"/>
    <n v="5709.5999999999995"/>
  </r>
  <r>
    <x v="0"/>
    <x v="1"/>
    <x v="1"/>
    <x v="10"/>
    <x v="3"/>
    <x v="5"/>
    <x v="2"/>
    <n v="5998.7"/>
    <n v="5985.7199999999993"/>
    <n v="5639.4"/>
    <n v="5850"/>
  </r>
  <r>
    <x v="0"/>
    <x v="1"/>
    <x v="1"/>
    <x v="10"/>
    <x v="3"/>
    <x v="5"/>
    <x v="3"/>
    <n v="6402.2000000000007"/>
    <n v="6430.3200000000006"/>
    <n v="5850"/>
    <n v="5850"/>
  </r>
  <r>
    <x v="0"/>
    <x v="1"/>
    <x v="1"/>
    <x v="10"/>
    <x v="3"/>
    <x v="5"/>
    <x v="4"/>
    <n v="6725"/>
    <n v="6786"/>
    <n v="5850"/>
    <n v="5850"/>
  </r>
  <r>
    <x v="0"/>
    <x v="1"/>
    <x v="1"/>
    <x v="10"/>
    <x v="3"/>
    <x v="5"/>
    <x v="5"/>
    <n v="6725"/>
    <n v="6786"/>
    <n v="5850"/>
    <n v="5850"/>
  </r>
  <r>
    <x v="0"/>
    <x v="1"/>
    <x v="1"/>
    <x v="10"/>
    <x v="3"/>
    <x v="5"/>
    <x v="6"/>
    <n v="6725"/>
    <n v="6786"/>
    <n v="5850"/>
    <n v="5850"/>
  </r>
  <r>
    <x v="0"/>
    <x v="1"/>
    <x v="1"/>
    <x v="10"/>
    <x v="3"/>
    <x v="5"/>
    <x v="7"/>
    <n v="6725"/>
    <n v="6786"/>
    <n v="5850"/>
    <n v="5850"/>
  </r>
  <r>
    <x v="0"/>
    <x v="1"/>
    <x v="1"/>
    <x v="10"/>
    <x v="3"/>
    <x v="5"/>
    <x v="8"/>
    <n v="6725"/>
    <n v="6786"/>
    <n v="5850"/>
    <n v="5850"/>
  </r>
  <r>
    <x v="0"/>
    <x v="1"/>
    <x v="1"/>
    <x v="10"/>
    <x v="3"/>
    <x v="5"/>
    <x v="9"/>
    <n v="6725"/>
    <n v="6786"/>
    <n v="5850"/>
    <n v="5850"/>
  </r>
  <r>
    <x v="0"/>
    <x v="1"/>
    <x v="1"/>
    <x v="10"/>
    <x v="3"/>
    <x v="5"/>
    <x v="10"/>
    <n v="6725"/>
    <n v="6786"/>
    <n v="5850"/>
    <n v="5850"/>
  </r>
  <r>
    <x v="1"/>
    <x v="1"/>
    <x v="0"/>
    <x v="10"/>
    <x v="3"/>
    <x v="5"/>
    <x v="0"/>
    <n v="4299.3"/>
    <n v="4100.2299999999996"/>
    <n v="4295.3499999999995"/>
    <n v="4783.1499999999996"/>
  </r>
  <r>
    <x v="1"/>
    <x v="1"/>
    <x v="0"/>
    <x v="10"/>
    <x v="3"/>
    <x v="5"/>
    <x v="1"/>
    <n v="4758.3"/>
    <n v="4615.1299999999992"/>
    <n v="4701.8500000000004"/>
    <n v="5189.6500000000005"/>
  </r>
  <r>
    <x v="1"/>
    <x v="1"/>
    <x v="0"/>
    <x v="10"/>
    <x v="3"/>
    <x v="5"/>
    <x v="2"/>
    <n v="5217.2999999999993"/>
    <n v="5130.03"/>
    <n v="5108.3499999999995"/>
    <n v="5596.15"/>
  </r>
  <r>
    <x v="1"/>
    <x v="1"/>
    <x v="0"/>
    <x v="10"/>
    <x v="3"/>
    <x v="5"/>
    <x v="3"/>
    <n v="5676.3"/>
    <n v="5644.9299999999994"/>
    <n v="5514.85"/>
    <n v="6002.65"/>
  </r>
  <r>
    <x v="1"/>
    <x v="1"/>
    <x v="0"/>
    <x v="10"/>
    <x v="3"/>
    <x v="5"/>
    <x v="4"/>
    <n v="6135.2999999999993"/>
    <n v="6159.83"/>
    <n v="5921.35"/>
    <n v="6409.15"/>
  </r>
  <r>
    <x v="1"/>
    <x v="1"/>
    <x v="0"/>
    <x v="10"/>
    <x v="3"/>
    <x v="5"/>
    <x v="5"/>
    <n v="6594.3000000000011"/>
    <n v="6674.7300000000005"/>
    <n v="6327.8499999999995"/>
    <n v="6775"/>
  </r>
  <r>
    <x v="1"/>
    <x v="1"/>
    <x v="0"/>
    <x v="10"/>
    <x v="3"/>
    <x v="5"/>
    <x v="6"/>
    <n v="7053.2999999999993"/>
    <n v="7189.63"/>
    <n v="6734.3500000000013"/>
    <n v="6775"/>
  </r>
  <r>
    <x v="1"/>
    <x v="1"/>
    <x v="0"/>
    <x v="10"/>
    <x v="3"/>
    <x v="5"/>
    <x v="7"/>
    <n v="7512.3"/>
    <n v="7704.53"/>
    <n v="6775"/>
    <n v="6775"/>
  </r>
  <r>
    <x v="1"/>
    <x v="1"/>
    <x v="0"/>
    <x v="10"/>
    <x v="3"/>
    <x v="5"/>
    <x v="8"/>
    <n v="7650"/>
    <n v="7859"/>
    <n v="6775"/>
    <n v="6775"/>
  </r>
  <r>
    <x v="1"/>
    <x v="1"/>
    <x v="0"/>
    <x v="10"/>
    <x v="3"/>
    <x v="5"/>
    <x v="9"/>
    <n v="7650"/>
    <n v="7859"/>
    <n v="6775"/>
    <n v="6775"/>
  </r>
  <r>
    <x v="1"/>
    <x v="1"/>
    <x v="0"/>
    <x v="10"/>
    <x v="3"/>
    <x v="5"/>
    <x v="10"/>
    <n v="7650"/>
    <n v="7859"/>
    <n v="6775"/>
    <n v="6775"/>
  </r>
  <r>
    <x v="0"/>
    <x v="0"/>
    <x v="0"/>
    <x v="11"/>
    <x v="4"/>
    <x v="5"/>
    <x v="0"/>
    <n v="4427.1909999999998"/>
    <n v="4165.3459999999995"/>
    <n v="4491.482"/>
    <n v="5091.9379999999992"/>
  </r>
  <r>
    <x v="0"/>
    <x v="0"/>
    <x v="0"/>
    <x v="11"/>
    <x v="4"/>
    <x v="5"/>
    <x v="1"/>
    <n v="4996.5209999999997"/>
    <n v="4767.326"/>
    <n v="4991.8619999999992"/>
    <n v="5592.3179999999993"/>
  </r>
  <r>
    <x v="0"/>
    <x v="0"/>
    <x v="0"/>
    <x v="11"/>
    <x v="4"/>
    <x v="5"/>
    <x v="2"/>
    <n v="5565.8509999999987"/>
    <n v="5369.3059999999996"/>
    <n v="5492.2419999999993"/>
    <n v="6092.6979999999994"/>
  </r>
  <r>
    <x v="0"/>
    <x v="0"/>
    <x v="0"/>
    <x v="11"/>
    <x v="4"/>
    <x v="5"/>
    <x v="3"/>
    <n v="6135.1809999999987"/>
    <n v="5971.2859999999991"/>
    <n v="5992.6219999999994"/>
    <n v="6593.0779999999986"/>
  </r>
  <r>
    <x v="0"/>
    <x v="0"/>
    <x v="0"/>
    <x v="11"/>
    <x v="4"/>
    <x v="5"/>
    <x v="4"/>
    <n v="6704.5110000000004"/>
    <n v="6573.2659999999996"/>
    <n v="6493.0019999999995"/>
    <n v="7093.4579999999987"/>
  </r>
  <r>
    <x v="0"/>
    <x v="0"/>
    <x v="0"/>
    <x v="11"/>
    <x v="4"/>
    <x v="5"/>
    <x v="5"/>
    <n v="7273.8409999999994"/>
    <n v="7175.2460000000001"/>
    <n v="6993.3819999999996"/>
    <n v="7543.7999999999993"/>
  </r>
  <r>
    <x v="0"/>
    <x v="0"/>
    <x v="0"/>
    <x v="11"/>
    <x v="4"/>
    <x v="5"/>
    <x v="6"/>
    <n v="7843.1709999999994"/>
    <n v="7777.2259999999987"/>
    <n v="7493.7619999999988"/>
    <n v="7543.7999999999993"/>
  </r>
  <r>
    <x v="0"/>
    <x v="0"/>
    <x v="0"/>
    <x v="11"/>
    <x v="4"/>
    <x v="5"/>
    <x v="7"/>
    <n v="8412.5010000000002"/>
    <n v="8379.2060000000001"/>
    <n v="7543.7999999999993"/>
    <n v="7543.7999999999993"/>
  </r>
  <r>
    <x v="0"/>
    <x v="0"/>
    <x v="0"/>
    <x v="11"/>
    <x v="4"/>
    <x v="5"/>
    <x v="8"/>
    <n v="8583.2999999999993"/>
    <n v="8559.7999999999993"/>
    <n v="7543.7999999999993"/>
    <n v="7543.7999999999993"/>
  </r>
  <r>
    <x v="0"/>
    <x v="0"/>
    <x v="0"/>
    <x v="11"/>
    <x v="4"/>
    <x v="5"/>
    <x v="9"/>
    <n v="8583.2999999999993"/>
    <n v="8559.7999999999993"/>
    <n v="7543.7999999999993"/>
    <n v="7543.7999999999993"/>
  </r>
  <r>
    <x v="0"/>
    <x v="0"/>
    <x v="0"/>
    <x v="11"/>
    <x v="4"/>
    <x v="5"/>
    <x v="10"/>
    <n v="8583.2999999999993"/>
    <n v="8559.7999999999993"/>
    <n v="7543.7999999999993"/>
    <n v="7543.7999999999993"/>
  </r>
  <r>
    <x v="0"/>
    <x v="1"/>
    <x v="1"/>
    <x v="11"/>
    <x v="4"/>
    <x v="5"/>
    <x v="0"/>
    <n v="5577.7000000000007"/>
    <n v="5532.12"/>
    <n v="5359.4000000000005"/>
    <n v="5816.6"/>
  </r>
  <r>
    <x v="0"/>
    <x v="1"/>
    <x v="1"/>
    <x v="11"/>
    <x v="4"/>
    <x v="5"/>
    <x v="1"/>
    <n v="6011.2"/>
    <n v="6014.7200000000012"/>
    <n v="5740.4000000000005"/>
    <n v="6197.5999999999995"/>
  </r>
  <r>
    <x v="0"/>
    <x v="1"/>
    <x v="1"/>
    <x v="11"/>
    <x v="4"/>
    <x v="5"/>
    <x v="2"/>
    <n v="6444.7"/>
    <n v="6497.32"/>
    <n v="6121.4"/>
    <n v="6350"/>
  </r>
  <r>
    <x v="0"/>
    <x v="1"/>
    <x v="1"/>
    <x v="11"/>
    <x v="4"/>
    <x v="5"/>
    <x v="3"/>
    <n v="6878.2000000000007"/>
    <n v="6979.920000000001"/>
    <n v="6350"/>
    <n v="6350"/>
  </r>
  <r>
    <x v="0"/>
    <x v="1"/>
    <x v="1"/>
    <x v="11"/>
    <x v="4"/>
    <x v="5"/>
    <x v="4"/>
    <n v="7225"/>
    <n v="7366"/>
    <n v="6350"/>
    <n v="6350"/>
  </r>
  <r>
    <x v="0"/>
    <x v="1"/>
    <x v="1"/>
    <x v="11"/>
    <x v="4"/>
    <x v="5"/>
    <x v="5"/>
    <n v="7225"/>
    <n v="7366"/>
    <n v="6350"/>
    <n v="6350"/>
  </r>
  <r>
    <x v="0"/>
    <x v="1"/>
    <x v="1"/>
    <x v="11"/>
    <x v="4"/>
    <x v="5"/>
    <x v="6"/>
    <n v="7225"/>
    <n v="7366"/>
    <n v="6350"/>
    <n v="6350"/>
  </r>
  <r>
    <x v="0"/>
    <x v="1"/>
    <x v="1"/>
    <x v="11"/>
    <x v="4"/>
    <x v="5"/>
    <x v="7"/>
    <n v="7225"/>
    <n v="7366"/>
    <n v="6350"/>
    <n v="6350"/>
  </r>
  <r>
    <x v="0"/>
    <x v="1"/>
    <x v="1"/>
    <x v="11"/>
    <x v="4"/>
    <x v="5"/>
    <x v="8"/>
    <n v="7225"/>
    <n v="7366"/>
    <n v="6350"/>
    <n v="6350"/>
  </r>
  <r>
    <x v="0"/>
    <x v="1"/>
    <x v="1"/>
    <x v="11"/>
    <x v="4"/>
    <x v="5"/>
    <x v="9"/>
    <n v="7225"/>
    <n v="7366"/>
    <n v="6350"/>
    <n v="6350"/>
  </r>
  <r>
    <x v="0"/>
    <x v="1"/>
    <x v="1"/>
    <x v="11"/>
    <x v="4"/>
    <x v="5"/>
    <x v="10"/>
    <n v="7225"/>
    <n v="7366"/>
    <n v="6350"/>
    <n v="6350"/>
  </r>
  <r>
    <x v="1"/>
    <x v="1"/>
    <x v="0"/>
    <x v="11"/>
    <x v="4"/>
    <x v="5"/>
    <x v="0"/>
    <n v="4580.3000000000011"/>
    <n v="4402.83"/>
    <n v="4612.3499999999995"/>
    <n v="5136.1499999999996"/>
  </r>
  <r>
    <x v="1"/>
    <x v="1"/>
    <x v="0"/>
    <x v="11"/>
    <x v="4"/>
    <x v="5"/>
    <x v="1"/>
    <n v="5069.3000000000011"/>
    <n v="4955.7299999999996"/>
    <n v="5048.8500000000004"/>
    <n v="5572.6500000000005"/>
  </r>
  <r>
    <x v="1"/>
    <x v="1"/>
    <x v="0"/>
    <x v="11"/>
    <x v="4"/>
    <x v="5"/>
    <x v="2"/>
    <n v="5558.2999999999993"/>
    <n v="5508.6299999999992"/>
    <n v="5485.3499999999995"/>
    <n v="6009.15"/>
  </r>
  <r>
    <x v="1"/>
    <x v="1"/>
    <x v="0"/>
    <x v="11"/>
    <x v="4"/>
    <x v="5"/>
    <x v="3"/>
    <n v="6047.3000000000011"/>
    <n v="6061.5299999999988"/>
    <n v="5921.85"/>
    <n v="6445.65"/>
  </r>
  <r>
    <x v="1"/>
    <x v="1"/>
    <x v="0"/>
    <x v="11"/>
    <x v="4"/>
    <x v="5"/>
    <x v="4"/>
    <n v="6536.3"/>
    <n v="6614.43"/>
    <n v="6358.35"/>
    <n v="6882.15"/>
  </r>
  <r>
    <x v="1"/>
    <x v="1"/>
    <x v="0"/>
    <x v="11"/>
    <x v="4"/>
    <x v="5"/>
    <x v="5"/>
    <n v="7025.300000000002"/>
    <n v="7167.33"/>
    <n v="6794.8499999999995"/>
    <n v="7275"/>
  </r>
  <r>
    <x v="1"/>
    <x v="1"/>
    <x v="0"/>
    <x v="11"/>
    <x v="4"/>
    <x v="5"/>
    <x v="6"/>
    <n v="7514.3"/>
    <n v="7720.2300000000005"/>
    <n v="7231.3500000000013"/>
    <n v="7275"/>
  </r>
  <r>
    <x v="1"/>
    <x v="1"/>
    <x v="0"/>
    <x v="11"/>
    <x v="4"/>
    <x v="5"/>
    <x v="7"/>
    <n v="8003.3000000000011"/>
    <n v="8273.1299999999992"/>
    <n v="7275"/>
    <n v="7275"/>
  </r>
  <r>
    <x v="1"/>
    <x v="1"/>
    <x v="0"/>
    <x v="11"/>
    <x v="4"/>
    <x v="5"/>
    <x v="8"/>
    <n v="8150.0000000000009"/>
    <n v="8439"/>
    <n v="7275"/>
    <n v="7275"/>
  </r>
  <r>
    <x v="1"/>
    <x v="1"/>
    <x v="0"/>
    <x v="11"/>
    <x v="4"/>
    <x v="5"/>
    <x v="9"/>
    <n v="8150.0000000000009"/>
    <n v="8439"/>
    <n v="7275"/>
    <n v="7275"/>
  </r>
  <r>
    <x v="1"/>
    <x v="1"/>
    <x v="0"/>
    <x v="11"/>
    <x v="4"/>
    <x v="5"/>
    <x v="10"/>
    <n v="8150.0000000000009"/>
    <n v="8439"/>
    <n v="7275"/>
    <n v="7275"/>
  </r>
  <r>
    <x v="0"/>
    <x v="0"/>
    <x v="0"/>
    <x v="12"/>
    <x v="5"/>
    <x v="5"/>
    <x v="0"/>
    <n v="4733.5709999999999"/>
    <n v="4493.326"/>
    <n v="4845.1419999999998"/>
    <n v="5492.8779999999988"/>
  </r>
  <r>
    <x v="0"/>
    <x v="0"/>
    <x v="0"/>
    <x v="12"/>
    <x v="5"/>
    <x v="5"/>
    <x v="1"/>
    <n v="5342.3010000000004"/>
    <n v="5142.7060000000001"/>
    <n v="5384.9219999999996"/>
    <n v="6032.6579999999994"/>
  </r>
  <r>
    <x v="0"/>
    <x v="0"/>
    <x v="0"/>
    <x v="12"/>
    <x v="5"/>
    <x v="5"/>
    <x v="2"/>
    <n v="5951.030999999999"/>
    <n v="5792.0859999999993"/>
    <n v="5924.7019999999993"/>
    <n v="6572.4379999999992"/>
  </r>
  <r>
    <x v="0"/>
    <x v="0"/>
    <x v="0"/>
    <x v="12"/>
    <x v="5"/>
    <x v="5"/>
    <x v="3"/>
    <n v="6559.7609999999995"/>
    <n v="6441.4659999999994"/>
    <n v="6464.4819999999991"/>
    <n v="7112.2179999999989"/>
  </r>
  <r>
    <x v="0"/>
    <x v="0"/>
    <x v="0"/>
    <x v="12"/>
    <x v="5"/>
    <x v="5"/>
    <x v="4"/>
    <n v="7168.4910000000009"/>
    <n v="7090.8459999999995"/>
    <n v="7004.2619999999997"/>
    <n v="7651.9979999999987"/>
  </r>
  <r>
    <x v="0"/>
    <x v="0"/>
    <x v="0"/>
    <x v="12"/>
    <x v="5"/>
    <x v="5"/>
    <x v="5"/>
    <n v="7777.2210000000005"/>
    <n v="7740.2259999999997"/>
    <n v="7544.0419999999995"/>
    <n v="8137.7999999999993"/>
  </r>
  <r>
    <x v="0"/>
    <x v="0"/>
    <x v="0"/>
    <x v="12"/>
    <x v="5"/>
    <x v="5"/>
    <x v="6"/>
    <n v="8385.9510000000009"/>
    <n v="8389.6059999999998"/>
    <n v="8083.8219999999983"/>
    <n v="8137.7999999999993"/>
  </r>
  <r>
    <x v="0"/>
    <x v="0"/>
    <x v="0"/>
    <x v="12"/>
    <x v="5"/>
    <x v="5"/>
    <x v="7"/>
    <n v="8994.6810000000005"/>
    <n v="9038.985999999999"/>
    <n v="8137.7999999999993"/>
    <n v="8137.7999999999993"/>
  </r>
  <r>
    <x v="0"/>
    <x v="0"/>
    <x v="0"/>
    <x v="12"/>
    <x v="5"/>
    <x v="5"/>
    <x v="8"/>
    <n v="9177.3000000000011"/>
    <n v="9233.7999999999993"/>
    <n v="8137.7999999999993"/>
    <n v="8137.7999999999993"/>
  </r>
  <r>
    <x v="0"/>
    <x v="0"/>
    <x v="0"/>
    <x v="12"/>
    <x v="5"/>
    <x v="5"/>
    <x v="9"/>
    <n v="9177.3000000000011"/>
    <n v="9233.7999999999993"/>
    <n v="8137.7999999999993"/>
    <n v="8137.7999999999993"/>
  </r>
  <r>
    <x v="0"/>
    <x v="0"/>
    <x v="0"/>
    <x v="12"/>
    <x v="5"/>
    <x v="5"/>
    <x v="10"/>
    <n v="9177.3000000000011"/>
    <n v="9233.7999999999993"/>
    <n v="8137.7999999999993"/>
    <n v="8137.7999999999993"/>
  </r>
  <r>
    <x v="0"/>
    <x v="1"/>
    <x v="1"/>
    <x v="12"/>
    <x v="5"/>
    <x v="5"/>
    <x v="0"/>
    <n v="5963.7000000000016"/>
    <n v="5967.72"/>
    <n v="5781.4000000000005"/>
    <n v="6274.6"/>
  </r>
  <r>
    <x v="0"/>
    <x v="1"/>
    <x v="1"/>
    <x v="12"/>
    <x v="5"/>
    <x v="5"/>
    <x v="1"/>
    <n v="6427.2000000000007"/>
    <n v="6488.3200000000006"/>
    <n v="6192.4000000000005"/>
    <n v="6685.5999999999995"/>
  </r>
  <r>
    <x v="0"/>
    <x v="1"/>
    <x v="1"/>
    <x v="12"/>
    <x v="5"/>
    <x v="5"/>
    <x v="2"/>
    <n v="6890.7000000000007"/>
    <n v="7008.9199999999992"/>
    <n v="6603.3999999999987"/>
    <n v="6850"/>
  </r>
  <r>
    <x v="0"/>
    <x v="1"/>
    <x v="1"/>
    <x v="12"/>
    <x v="5"/>
    <x v="5"/>
    <x v="3"/>
    <n v="7354.2000000000025"/>
    <n v="7529.52"/>
    <n v="6850"/>
    <n v="6850"/>
  </r>
  <r>
    <x v="0"/>
    <x v="1"/>
    <x v="1"/>
    <x v="12"/>
    <x v="5"/>
    <x v="5"/>
    <x v="4"/>
    <n v="7725.0000000000009"/>
    <n v="7946"/>
    <n v="6850"/>
    <n v="6850"/>
  </r>
  <r>
    <x v="0"/>
    <x v="1"/>
    <x v="1"/>
    <x v="12"/>
    <x v="5"/>
    <x v="5"/>
    <x v="5"/>
    <n v="7725.0000000000009"/>
    <n v="7946"/>
    <n v="6850"/>
    <n v="6850"/>
  </r>
  <r>
    <x v="0"/>
    <x v="1"/>
    <x v="1"/>
    <x v="12"/>
    <x v="5"/>
    <x v="5"/>
    <x v="6"/>
    <n v="7725.0000000000009"/>
    <n v="7946"/>
    <n v="6850"/>
    <n v="6850"/>
  </r>
  <r>
    <x v="0"/>
    <x v="1"/>
    <x v="1"/>
    <x v="12"/>
    <x v="5"/>
    <x v="5"/>
    <x v="7"/>
    <n v="7725.0000000000009"/>
    <n v="7946"/>
    <n v="6850"/>
    <n v="6850"/>
  </r>
  <r>
    <x v="0"/>
    <x v="1"/>
    <x v="1"/>
    <x v="12"/>
    <x v="5"/>
    <x v="5"/>
    <x v="8"/>
    <n v="7725.0000000000009"/>
    <n v="7946"/>
    <n v="6850"/>
    <n v="6850"/>
  </r>
  <r>
    <x v="0"/>
    <x v="1"/>
    <x v="1"/>
    <x v="12"/>
    <x v="5"/>
    <x v="5"/>
    <x v="9"/>
    <n v="7725.0000000000009"/>
    <n v="7946"/>
    <n v="6850"/>
    <n v="6850"/>
  </r>
  <r>
    <x v="0"/>
    <x v="1"/>
    <x v="1"/>
    <x v="12"/>
    <x v="5"/>
    <x v="5"/>
    <x v="10"/>
    <n v="7725.0000000000009"/>
    <n v="7946"/>
    <n v="6850"/>
    <n v="6850"/>
  </r>
  <r>
    <x v="1"/>
    <x v="1"/>
    <x v="0"/>
    <x v="12"/>
    <x v="5"/>
    <x v="5"/>
    <x v="0"/>
    <n v="4861.3"/>
    <n v="4705.4299999999994"/>
    <n v="4929.3499999999995"/>
    <n v="5489.15"/>
  </r>
  <r>
    <x v="1"/>
    <x v="1"/>
    <x v="0"/>
    <x v="12"/>
    <x v="5"/>
    <x v="5"/>
    <x v="1"/>
    <n v="5380.3"/>
    <n v="5296.33"/>
    <n v="5395.85"/>
    <n v="5955.6500000000005"/>
  </r>
  <r>
    <x v="1"/>
    <x v="1"/>
    <x v="0"/>
    <x v="12"/>
    <x v="5"/>
    <x v="5"/>
    <x v="2"/>
    <n v="5899.2999999999984"/>
    <n v="5887.23"/>
    <n v="5862.3499999999995"/>
    <n v="6422.15"/>
  </r>
  <r>
    <x v="1"/>
    <x v="1"/>
    <x v="0"/>
    <x v="12"/>
    <x v="5"/>
    <x v="5"/>
    <x v="3"/>
    <n v="6418.3"/>
    <n v="6478.1299999999992"/>
    <n v="6328.85"/>
    <n v="6888.65"/>
  </r>
  <r>
    <x v="1"/>
    <x v="1"/>
    <x v="0"/>
    <x v="12"/>
    <x v="5"/>
    <x v="5"/>
    <x v="4"/>
    <n v="6937.2999999999993"/>
    <n v="7069.0300000000007"/>
    <n v="6795.35"/>
    <n v="7355.15"/>
  </r>
  <r>
    <x v="1"/>
    <x v="1"/>
    <x v="0"/>
    <x v="12"/>
    <x v="5"/>
    <x v="5"/>
    <x v="5"/>
    <n v="7456.3000000000011"/>
    <n v="7659.93"/>
    <n v="7261.8499999999995"/>
    <n v="7775"/>
  </r>
  <r>
    <x v="1"/>
    <x v="1"/>
    <x v="0"/>
    <x v="12"/>
    <x v="5"/>
    <x v="5"/>
    <x v="6"/>
    <n v="7975.2999999999993"/>
    <n v="8250.83"/>
    <n v="7728.3500000000013"/>
    <n v="7775"/>
  </r>
  <r>
    <x v="1"/>
    <x v="1"/>
    <x v="0"/>
    <x v="12"/>
    <x v="5"/>
    <x v="5"/>
    <x v="7"/>
    <n v="8494.3000000000011"/>
    <n v="8841.73"/>
    <n v="7775"/>
    <n v="7775"/>
  </r>
  <r>
    <x v="1"/>
    <x v="1"/>
    <x v="0"/>
    <x v="12"/>
    <x v="5"/>
    <x v="5"/>
    <x v="8"/>
    <n v="8650"/>
    <n v="9019"/>
    <n v="7775"/>
    <n v="7775"/>
  </r>
  <r>
    <x v="1"/>
    <x v="1"/>
    <x v="0"/>
    <x v="12"/>
    <x v="5"/>
    <x v="5"/>
    <x v="9"/>
    <n v="8650"/>
    <n v="9019"/>
    <n v="7775"/>
    <n v="7775"/>
  </r>
  <r>
    <x v="1"/>
    <x v="1"/>
    <x v="0"/>
    <x v="12"/>
    <x v="5"/>
    <x v="5"/>
    <x v="10"/>
    <n v="8650"/>
    <n v="9019"/>
    <n v="7775"/>
    <n v="77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996">
  <r>
    <x v="0"/>
    <x v="0"/>
    <x v="0"/>
    <n v="1315"/>
    <n v="2"/>
    <m/>
    <m/>
    <x v="0"/>
    <n v="912"/>
    <n v="912"/>
    <n v="0"/>
    <n v="0"/>
    <m/>
  </r>
  <r>
    <x v="0"/>
    <x v="0"/>
    <x v="1"/>
    <n v="1255"/>
    <n v="0"/>
    <m/>
    <m/>
    <x v="0"/>
    <n v="325"/>
    <n v="325"/>
    <n v="0"/>
    <n v="0"/>
    <m/>
  </r>
  <r>
    <x v="0"/>
    <x v="0"/>
    <x v="1"/>
    <n v="1668"/>
    <n v="1"/>
    <s v="Fod"/>
    <n v="1"/>
    <x v="1"/>
    <n v="0"/>
    <n v="0"/>
    <n v="11500"/>
    <n v="0"/>
    <m/>
  </r>
  <r>
    <x v="0"/>
    <x v="0"/>
    <x v="1"/>
    <n v="1008"/>
    <n v="0"/>
    <m/>
    <m/>
    <x v="0"/>
    <n v="325"/>
    <n v="325"/>
    <n v="0"/>
    <n v="0"/>
    <m/>
  </r>
  <r>
    <x v="0"/>
    <x v="0"/>
    <x v="1"/>
    <n v="1619"/>
    <n v="1"/>
    <m/>
    <m/>
    <x v="0"/>
    <n v="325"/>
    <n v="325"/>
    <n v="0"/>
    <n v="0"/>
    <m/>
  </r>
  <r>
    <x v="0"/>
    <x v="0"/>
    <x v="1"/>
    <n v="1152"/>
    <n v="1"/>
    <m/>
    <m/>
    <x v="0"/>
    <n v="720"/>
    <n v="720"/>
    <n v="0"/>
    <n v="0"/>
    <m/>
  </r>
  <r>
    <x v="0"/>
    <x v="0"/>
    <x v="1"/>
    <n v="1007"/>
    <n v="0"/>
    <s v="Scroll"/>
    <n v="1"/>
    <x v="2"/>
    <n v="0"/>
    <n v="2000"/>
    <n v="0"/>
    <n v="800"/>
    <m/>
  </r>
  <r>
    <x v="0"/>
    <x v="0"/>
    <x v="1"/>
    <n v="1401"/>
    <n v="0"/>
    <s v="Fod"/>
    <n v="1"/>
    <x v="1"/>
    <n v="0"/>
    <n v="0"/>
    <n v="11500"/>
    <n v="0"/>
    <m/>
  </r>
  <r>
    <x v="0"/>
    <x v="0"/>
    <x v="1"/>
    <n v="1705"/>
    <n v="1"/>
    <s v="Scroll"/>
    <n v="1"/>
    <x v="2"/>
    <n v="0"/>
    <n v="2000"/>
    <n v="0"/>
    <n v="800"/>
    <m/>
  </r>
  <r>
    <x v="0"/>
    <x v="0"/>
    <x v="1"/>
    <n v="1033"/>
    <n v="0"/>
    <m/>
    <m/>
    <x v="0"/>
    <n v="720"/>
    <n v="720"/>
    <n v="0"/>
    <n v="0"/>
    <m/>
  </r>
  <r>
    <x v="0"/>
    <x v="0"/>
    <x v="1"/>
    <n v="645"/>
    <n v="0"/>
    <s v="Fod"/>
    <n v="1"/>
    <x v="1"/>
    <n v="0"/>
    <n v="0"/>
    <n v="11500"/>
    <n v="0"/>
    <m/>
  </r>
  <r>
    <x v="0"/>
    <x v="0"/>
    <x v="1"/>
    <n v="1091"/>
    <n v="4"/>
    <m/>
    <m/>
    <x v="0"/>
    <n v="325"/>
    <n v="325"/>
    <n v="0"/>
    <n v="0"/>
    <m/>
  </r>
  <r>
    <x v="0"/>
    <x v="0"/>
    <x v="1"/>
    <n v="519"/>
    <n v="2"/>
    <m/>
    <m/>
    <x v="0"/>
    <n v="487"/>
    <n v="487"/>
    <n v="0"/>
    <n v="0"/>
    <m/>
  </r>
  <r>
    <x v="0"/>
    <x v="0"/>
    <x v="1"/>
    <n v="1378"/>
    <n v="1"/>
    <m/>
    <m/>
    <x v="0"/>
    <n v="325"/>
    <n v="325"/>
    <n v="0"/>
    <n v="0"/>
    <m/>
  </r>
  <r>
    <x v="0"/>
    <x v="0"/>
    <x v="1"/>
    <n v="1455"/>
    <n v="1"/>
    <m/>
    <m/>
    <x v="0"/>
    <n v="325"/>
    <n v="325"/>
    <n v="0"/>
    <n v="0"/>
    <m/>
  </r>
  <r>
    <x v="0"/>
    <x v="0"/>
    <x v="1"/>
    <n v="790"/>
    <n v="2"/>
    <s v="Fod"/>
    <n v="1"/>
    <x v="2"/>
    <n v="0"/>
    <n v="0"/>
    <n v="0"/>
    <n v="0"/>
    <m/>
  </r>
  <r>
    <x v="0"/>
    <x v="0"/>
    <x v="1"/>
    <n v="1881"/>
    <n v="2"/>
    <s v="Scroll"/>
    <n v="1"/>
    <x v="2"/>
    <n v="0"/>
    <n v="2000"/>
    <n v="0"/>
    <n v="800"/>
    <m/>
  </r>
  <r>
    <x v="0"/>
    <x v="0"/>
    <x v="1"/>
    <n v="1508"/>
    <n v="0"/>
    <m/>
    <m/>
    <x v="0"/>
    <n v="325"/>
    <n v="325"/>
    <n v="0"/>
    <n v="0"/>
    <m/>
  </r>
  <r>
    <x v="0"/>
    <x v="0"/>
    <x v="1"/>
    <n v="970"/>
    <n v="0"/>
    <m/>
    <m/>
    <x v="0"/>
    <n v="433"/>
    <n v="433"/>
    <n v="0"/>
    <n v="0"/>
    <m/>
  </r>
  <r>
    <x v="0"/>
    <x v="0"/>
    <x v="1"/>
    <n v="1863"/>
    <n v="0"/>
    <m/>
    <m/>
    <x v="0"/>
    <n v="379"/>
    <n v="379"/>
    <n v="0"/>
    <n v="0"/>
    <m/>
  </r>
  <r>
    <x v="0"/>
    <x v="0"/>
    <x v="1"/>
    <n v="1298"/>
    <n v="1"/>
    <s v="Fod"/>
    <n v="1"/>
    <x v="2"/>
    <n v="0"/>
    <n v="0"/>
    <n v="0"/>
    <n v="0"/>
    <m/>
  </r>
  <r>
    <x v="0"/>
    <x v="0"/>
    <x v="1"/>
    <n v="867"/>
    <n v="2"/>
    <m/>
    <m/>
    <x v="0"/>
    <n v="325"/>
    <n v="325"/>
    <n v="0"/>
    <n v="0"/>
    <m/>
  </r>
  <r>
    <x v="0"/>
    <x v="0"/>
    <x v="1"/>
    <n v="1453"/>
    <n v="1"/>
    <m/>
    <m/>
    <x v="0"/>
    <n v="325"/>
    <n v="325"/>
    <n v="0"/>
    <n v="0"/>
    <m/>
  </r>
  <r>
    <x v="0"/>
    <x v="0"/>
    <x v="1"/>
    <n v="1293"/>
    <n v="0"/>
    <s v="Scroll"/>
    <n v="1"/>
    <x v="2"/>
    <n v="0"/>
    <n v="2000"/>
    <n v="0"/>
    <n v="800"/>
    <m/>
  </r>
  <r>
    <x v="0"/>
    <x v="0"/>
    <x v="1"/>
    <n v="1406"/>
    <n v="0"/>
    <m/>
    <m/>
    <x v="0"/>
    <n v="325"/>
    <n v="325"/>
    <n v="0"/>
    <n v="0"/>
    <m/>
  </r>
  <r>
    <x v="0"/>
    <x v="0"/>
    <x v="1"/>
    <n v="1172"/>
    <n v="1"/>
    <s v="Scroll"/>
    <n v="1"/>
    <x v="2"/>
    <n v="0"/>
    <n v="2000"/>
    <n v="0"/>
    <n v="800"/>
    <m/>
  </r>
  <r>
    <x v="0"/>
    <x v="0"/>
    <x v="1"/>
    <n v="1517"/>
    <n v="2"/>
    <m/>
    <m/>
    <x v="0"/>
    <n v="325"/>
    <n v="325"/>
    <n v="0"/>
    <n v="0"/>
    <m/>
  </r>
  <r>
    <x v="0"/>
    <x v="0"/>
    <x v="1"/>
    <n v="679"/>
    <n v="0"/>
    <m/>
    <m/>
    <x v="0"/>
    <n v="379"/>
    <n v="379"/>
    <n v="0"/>
    <n v="0"/>
    <m/>
  </r>
  <r>
    <x v="0"/>
    <x v="0"/>
    <x v="1"/>
    <n v="1263"/>
    <n v="0"/>
    <m/>
    <m/>
    <x v="0"/>
    <n v="487"/>
    <n v="487"/>
    <n v="0"/>
    <n v="0"/>
    <m/>
  </r>
  <r>
    <x v="0"/>
    <x v="0"/>
    <x v="1"/>
    <n v="497"/>
    <n v="1"/>
    <s v="Scroll"/>
    <n v="1"/>
    <x v="2"/>
    <n v="0"/>
    <n v="2000"/>
    <n v="0"/>
    <n v="800"/>
    <m/>
  </r>
  <r>
    <x v="0"/>
    <x v="0"/>
    <x v="1"/>
    <n v="621"/>
    <n v="1"/>
    <m/>
    <m/>
    <x v="0"/>
    <n v="720"/>
    <n v="720"/>
    <n v="0"/>
    <n v="0"/>
    <m/>
  </r>
  <r>
    <x v="0"/>
    <x v="0"/>
    <x v="1"/>
    <n v="1165"/>
    <n v="1"/>
    <m/>
    <m/>
    <x v="0"/>
    <n v="325"/>
    <n v="325"/>
    <n v="0"/>
    <n v="0"/>
    <m/>
  </r>
  <r>
    <x v="0"/>
    <x v="0"/>
    <x v="1"/>
    <n v="1390"/>
    <n v="1"/>
    <s v="Scroll"/>
    <n v="1"/>
    <x v="2"/>
    <n v="0"/>
    <n v="2000"/>
    <n v="0"/>
    <n v="800"/>
    <m/>
  </r>
  <r>
    <x v="0"/>
    <x v="0"/>
    <x v="1"/>
    <n v="999"/>
    <n v="1"/>
    <s v="Scroll"/>
    <n v="1"/>
    <x v="2"/>
    <n v="0"/>
    <n v="2000"/>
    <n v="0"/>
    <n v="800"/>
    <m/>
  </r>
  <r>
    <x v="0"/>
    <x v="0"/>
    <x v="1"/>
    <n v="1117"/>
    <n v="2"/>
    <m/>
    <m/>
    <x v="0"/>
    <n v="325"/>
    <n v="325"/>
    <n v="0"/>
    <n v="0"/>
    <m/>
  </r>
  <r>
    <x v="0"/>
    <x v="0"/>
    <x v="1"/>
    <n v="794"/>
    <n v="1"/>
    <m/>
    <m/>
    <x v="0"/>
    <n v="325"/>
    <n v="325"/>
    <n v="0"/>
    <n v="0"/>
    <m/>
  </r>
  <r>
    <x v="0"/>
    <x v="0"/>
    <x v="1"/>
    <n v="1432"/>
    <n v="1"/>
    <m/>
    <m/>
    <x v="0"/>
    <n v="325"/>
    <n v="325"/>
    <n v="0"/>
    <n v="0"/>
    <m/>
  </r>
  <r>
    <x v="0"/>
    <x v="0"/>
    <x v="1"/>
    <n v="1485"/>
    <n v="0"/>
    <m/>
    <m/>
    <x v="0"/>
    <n v="433"/>
    <n v="433"/>
    <n v="0"/>
    <n v="0"/>
    <m/>
  </r>
  <r>
    <x v="0"/>
    <x v="0"/>
    <x v="1"/>
    <n v="1301"/>
    <n v="1"/>
    <m/>
    <m/>
    <x v="0"/>
    <n v="379"/>
    <n v="379"/>
    <n v="0"/>
    <n v="0"/>
    <m/>
  </r>
  <r>
    <x v="0"/>
    <x v="0"/>
    <x v="1"/>
    <n v="1501"/>
    <n v="0"/>
    <m/>
    <m/>
    <x v="0"/>
    <n v="720"/>
    <n v="720"/>
    <n v="0"/>
    <n v="0"/>
    <m/>
  </r>
  <r>
    <x v="0"/>
    <x v="1"/>
    <x v="1"/>
    <n v="1470"/>
    <n v="0"/>
    <m/>
    <m/>
    <x v="0"/>
    <n v="1080"/>
    <n v="1080"/>
    <n v="0"/>
    <n v="0"/>
    <m/>
  </r>
  <r>
    <x v="0"/>
    <x v="1"/>
    <x v="1"/>
    <n v="1058"/>
    <n v="1"/>
    <s v="Scroll"/>
    <n v="2"/>
    <x v="2"/>
    <n v="0"/>
    <n v="4000"/>
    <n v="0"/>
    <n v="1600"/>
    <m/>
  </r>
  <r>
    <x v="1"/>
    <x v="0"/>
    <x v="0"/>
    <n v="1552"/>
    <n v="2"/>
    <m/>
    <m/>
    <x v="0"/>
    <n v="2128"/>
    <n v="2128"/>
    <n v="0"/>
    <n v="0"/>
    <m/>
  </r>
  <r>
    <x v="1"/>
    <x v="0"/>
    <x v="0"/>
    <n v="1468"/>
    <n v="1"/>
    <s v="Scroll"/>
    <n v="1"/>
    <x v="2"/>
    <n v="0"/>
    <n v="2000"/>
    <n v="0"/>
    <n v="800"/>
    <m/>
  </r>
  <r>
    <x v="1"/>
    <x v="0"/>
    <x v="0"/>
    <n v="1481"/>
    <n v="1"/>
    <m/>
    <m/>
    <x v="0"/>
    <n v="0"/>
    <n v="0"/>
    <n v="0"/>
    <n v="0"/>
    <m/>
  </r>
  <r>
    <x v="1"/>
    <x v="0"/>
    <x v="0"/>
    <n v="1928"/>
    <n v="1"/>
    <m/>
    <m/>
    <x v="0"/>
    <n v="1824"/>
    <n v="1824"/>
    <n v="0"/>
    <n v="0"/>
    <m/>
  </r>
  <r>
    <x v="1"/>
    <x v="0"/>
    <x v="0"/>
    <n v="1273"/>
    <n v="1"/>
    <m/>
    <m/>
    <x v="0"/>
    <n v="0"/>
    <n v="0"/>
    <n v="0"/>
    <n v="0"/>
    <m/>
  </r>
  <r>
    <x v="1"/>
    <x v="0"/>
    <x v="0"/>
    <n v="698"/>
    <n v="2"/>
    <m/>
    <m/>
    <x v="0"/>
    <n v="892"/>
    <n v="892"/>
    <n v="0"/>
    <n v="0"/>
    <m/>
  </r>
  <r>
    <x v="1"/>
    <x v="0"/>
    <x v="0"/>
    <n v="1500"/>
    <n v="1"/>
    <m/>
    <m/>
    <x v="0"/>
    <n v="2128"/>
    <n v="2128"/>
    <n v="0"/>
    <n v="0"/>
    <m/>
  </r>
  <r>
    <x v="1"/>
    <x v="0"/>
    <x v="0"/>
    <n v="310"/>
    <n v="1"/>
    <s v="Scroll"/>
    <n v="1"/>
    <x v="2"/>
    <n v="0"/>
    <n v="2000"/>
    <n v="0"/>
    <n v="800"/>
    <m/>
  </r>
  <r>
    <x v="1"/>
    <x v="0"/>
    <x v="0"/>
    <n v="1386"/>
    <n v="0"/>
    <m/>
    <m/>
    <x v="0"/>
    <n v="823"/>
    <n v="823"/>
    <n v="0"/>
    <n v="0"/>
    <m/>
  </r>
  <r>
    <x v="1"/>
    <x v="0"/>
    <x v="0"/>
    <n v="1353"/>
    <n v="1"/>
    <m/>
    <m/>
    <x v="0"/>
    <n v="1824"/>
    <n v="1824"/>
    <n v="0"/>
    <n v="0"/>
    <m/>
  </r>
  <r>
    <x v="1"/>
    <x v="0"/>
    <x v="0"/>
    <n v="1480"/>
    <n v="1"/>
    <s v="Scroll"/>
    <n v="1"/>
    <x v="2"/>
    <n v="0"/>
    <n v="2000"/>
    <n v="0"/>
    <n v="800"/>
    <m/>
  </r>
  <r>
    <x v="1"/>
    <x v="0"/>
    <x v="0"/>
    <n v="1618"/>
    <n v="1"/>
    <s v="Scroll"/>
    <n v="1"/>
    <x v="2"/>
    <n v="0"/>
    <n v="2000"/>
    <n v="0"/>
    <n v="800"/>
    <m/>
  </r>
  <r>
    <x v="1"/>
    <x v="0"/>
    <x v="0"/>
    <n v="1145"/>
    <n v="3"/>
    <m/>
    <m/>
    <x v="0"/>
    <n v="1824"/>
    <n v="1824"/>
    <n v="0"/>
    <n v="0"/>
    <m/>
  </r>
  <r>
    <x v="1"/>
    <x v="0"/>
    <x v="0"/>
    <n v="1164"/>
    <n v="0"/>
    <m/>
    <m/>
    <x v="0"/>
    <n v="823"/>
    <n v="823"/>
    <n v="0"/>
    <n v="0"/>
    <m/>
  </r>
  <r>
    <x v="0"/>
    <x v="1"/>
    <x v="2"/>
    <n v="1500"/>
    <n v="1"/>
    <m/>
    <m/>
    <x v="0"/>
    <n v="1152"/>
    <n v="1152"/>
    <n v="0"/>
    <n v="0"/>
    <m/>
  </r>
  <r>
    <x v="1"/>
    <x v="0"/>
    <x v="0"/>
    <n v="1215"/>
    <n v="1"/>
    <m/>
    <m/>
    <x v="0"/>
    <n v="823"/>
    <n v="823"/>
    <n v="0"/>
    <n v="0"/>
    <m/>
  </r>
  <r>
    <x v="1"/>
    <x v="0"/>
    <x v="0"/>
    <n v="1268"/>
    <n v="2"/>
    <m/>
    <m/>
    <x v="0"/>
    <n v="1824"/>
    <n v="1824"/>
    <n v="0"/>
    <n v="0"/>
    <m/>
  </r>
  <r>
    <x v="1"/>
    <x v="0"/>
    <x v="0"/>
    <n v="1694"/>
    <n v="0"/>
    <m/>
    <m/>
    <x v="0"/>
    <n v="960"/>
    <n v="960"/>
    <n v="0"/>
    <n v="0"/>
    <m/>
  </r>
  <r>
    <x v="1"/>
    <x v="0"/>
    <x v="0"/>
    <n v="1722"/>
    <n v="1"/>
    <m/>
    <m/>
    <x v="0"/>
    <n v="1824"/>
    <n v="1824"/>
    <n v="0"/>
    <n v="0"/>
    <m/>
  </r>
  <r>
    <x v="1"/>
    <x v="0"/>
    <x v="0"/>
    <n v="852"/>
    <n v="0"/>
    <m/>
    <m/>
    <x v="0"/>
    <n v="823"/>
    <n v="823"/>
    <n v="0"/>
    <n v="0"/>
    <m/>
  </r>
  <r>
    <x v="1"/>
    <x v="0"/>
    <x v="0"/>
    <n v="1720"/>
    <n v="1"/>
    <m/>
    <m/>
    <x v="0"/>
    <n v="892"/>
    <n v="892"/>
    <n v="0"/>
    <n v="0"/>
    <m/>
  </r>
  <r>
    <x v="1"/>
    <x v="0"/>
    <x v="0"/>
    <n v="1162"/>
    <n v="1"/>
    <m/>
    <m/>
    <x v="0"/>
    <n v="823"/>
    <n v="823"/>
    <n v="0"/>
    <n v="0"/>
    <m/>
  </r>
  <r>
    <x v="1"/>
    <x v="0"/>
    <x v="0"/>
    <n v="1888"/>
    <n v="2"/>
    <s v="Scroll"/>
    <n v="1"/>
    <x v="2"/>
    <n v="0"/>
    <n v="2000"/>
    <n v="0"/>
    <n v="800"/>
    <m/>
  </r>
  <r>
    <x v="1"/>
    <x v="0"/>
    <x v="0"/>
    <n v="703"/>
    <n v="0"/>
    <m/>
    <m/>
    <x v="0"/>
    <n v="960"/>
    <n v="960"/>
    <n v="0"/>
    <n v="0"/>
    <m/>
  </r>
  <r>
    <x v="1"/>
    <x v="0"/>
    <x v="0"/>
    <n v="1958"/>
    <n v="2"/>
    <s v="Scroll"/>
    <n v="1"/>
    <x v="2"/>
    <n v="0"/>
    <n v="2000"/>
    <n v="0"/>
    <n v="800"/>
    <m/>
  </r>
  <r>
    <x v="1"/>
    <x v="0"/>
    <x v="0"/>
    <n v="1380"/>
    <n v="1"/>
    <m/>
    <m/>
    <x v="0"/>
    <n v="823"/>
    <n v="823"/>
    <n v="0"/>
    <n v="0"/>
    <m/>
  </r>
  <r>
    <x v="0"/>
    <x v="1"/>
    <x v="1"/>
    <n v="1241"/>
    <n v="0"/>
    <m/>
    <m/>
    <x v="0"/>
    <n v="720"/>
    <n v="720"/>
    <n v="0"/>
    <n v="0"/>
    <m/>
  </r>
  <r>
    <x v="0"/>
    <x v="1"/>
    <x v="1"/>
    <n v="2522"/>
    <n v="2"/>
    <s v="Fod"/>
    <n v="1"/>
    <x v="1"/>
    <n v="0"/>
    <n v="0"/>
    <n v="11500"/>
    <n v="0"/>
    <m/>
  </r>
  <r>
    <x v="0"/>
    <x v="1"/>
    <x v="1"/>
    <n v="1714"/>
    <n v="0"/>
    <m/>
    <m/>
    <x v="0"/>
    <n v="720"/>
    <n v="720"/>
    <n v="0"/>
    <n v="0"/>
    <m/>
  </r>
  <r>
    <x v="0"/>
    <x v="1"/>
    <x v="1"/>
    <n v="1068"/>
    <n v="0"/>
    <m/>
    <m/>
    <x v="0"/>
    <n v="720"/>
    <n v="720"/>
    <n v="0"/>
    <n v="0"/>
    <m/>
  </r>
  <r>
    <x v="0"/>
    <x v="1"/>
    <x v="1"/>
    <n v="1616"/>
    <n v="0"/>
    <m/>
    <m/>
    <x v="0"/>
    <n v="720"/>
    <n v="720"/>
    <n v="0"/>
    <n v="0"/>
    <m/>
  </r>
  <r>
    <x v="0"/>
    <x v="1"/>
    <x v="1"/>
    <n v="1019"/>
    <n v="2"/>
    <s v="Fod"/>
    <n v="1"/>
    <x v="1"/>
    <n v="0"/>
    <n v="0"/>
    <n v="11500"/>
    <n v="0"/>
    <m/>
  </r>
  <r>
    <x v="0"/>
    <x v="1"/>
    <x v="1"/>
    <n v="1705"/>
    <n v="1"/>
    <m/>
    <m/>
    <x v="0"/>
    <n v="1159"/>
    <n v="1159"/>
    <n v="0"/>
    <n v="0"/>
    <m/>
  </r>
  <r>
    <x v="0"/>
    <x v="1"/>
    <x v="1"/>
    <n v="1196"/>
    <n v="1"/>
    <s v="Scroll"/>
    <n v="2"/>
    <x v="2"/>
    <n v="0"/>
    <n v="4000"/>
    <n v="0"/>
    <n v="1600"/>
    <m/>
  </r>
  <r>
    <x v="0"/>
    <x v="1"/>
    <x v="1"/>
    <n v="780"/>
    <n v="1"/>
    <m/>
    <m/>
    <x v="0"/>
    <n v="720"/>
    <n v="720"/>
    <n v="0"/>
    <n v="0"/>
    <m/>
  </r>
  <r>
    <x v="0"/>
    <x v="1"/>
    <x v="1"/>
    <n v="1258"/>
    <n v="0"/>
    <m/>
    <m/>
    <x v="0"/>
    <n v="720"/>
    <n v="720"/>
    <n v="0"/>
    <n v="0"/>
    <m/>
  </r>
  <r>
    <x v="0"/>
    <x v="0"/>
    <x v="1"/>
    <n v="2183"/>
    <n v="1"/>
    <s v="Scroll"/>
    <n v="1"/>
    <x v="2"/>
    <n v="0"/>
    <n v="2000"/>
    <n v="0"/>
    <n v="800"/>
    <m/>
  </r>
  <r>
    <x v="0"/>
    <x v="0"/>
    <x v="1"/>
    <n v="985"/>
    <n v="0"/>
    <m/>
    <m/>
    <x v="0"/>
    <n v="720"/>
    <n v="720"/>
    <n v="0"/>
    <n v="0"/>
    <m/>
  </r>
  <r>
    <x v="0"/>
    <x v="1"/>
    <x v="1"/>
    <n v="1518"/>
    <n v="0"/>
    <m/>
    <m/>
    <x v="0"/>
    <n v="960"/>
    <n v="960"/>
    <n v="0"/>
    <n v="0"/>
    <m/>
  </r>
  <r>
    <x v="0"/>
    <x v="1"/>
    <x v="1"/>
    <n v="1785"/>
    <n v="3"/>
    <m/>
    <m/>
    <x v="0"/>
    <n v="1159"/>
    <n v="1159"/>
    <n v="0"/>
    <n v="0"/>
    <m/>
  </r>
  <r>
    <x v="0"/>
    <x v="1"/>
    <x v="1"/>
    <n v="1866"/>
    <n v="3"/>
    <s v="Scroll"/>
    <n v="2"/>
    <x v="2"/>
    <n v="0"/>
    <n v="4000"/>
    <n v="0"/>
    <n v="1600"/>
    <m/>
  </r>
  <r>
    <x v="0"/>
    <x v="1"/>
    <x v="1"/>
    <n v="1249"/>
    <n v="1"/>
    <m/>
    <m/>
    <x v="0"/>
    <n v="1546"/>
    <n v="1546"/>
    <n v="0"/>
    <n v="0"/>
    <m/>
  </r>
  <r>
    <x v="0"/>
    <x v="1"/>
    <x v="1"/>
    <n v="904"/>
    <n v="0"/>
    <m/>
    <m/>
    <x v="0"/>
    <n v="1159"/>
    <n v="1159"/>
    <n v="0"/>
    <n v="0"/>
    <m/>
  </r>
  <r>
    <x v="0"/>
    <x v="1"/>
    <x v="1"/>
    <n v="1447"/>
    <n v="0"/>
    <s v="Scroll"/>
    <n v="2"/>
    <x v="2"/>
    <n v="0"/>
    <n v="4000"/>
    <n v="0"/>
    <n v="1600"/>
    <m/>
  </r>
  <r>
    <x v="0"/>
    <x v="1"/>
    <x v="1"/>
    <n v="1756"/>
    <n v="2"/>
    <m/>
    <m/>
    <x v="0"/>
    <n v="720"/>
    <n v="720"/>
    <n v="0"/>
    <n v="0"/>
    <m/>
  </r>
  <r>
    <x v="0"/>
    <x v="1"/>
    <x v="1"/>
    <n v="1070"/>
    <n v="0"/>
    <m/>
    <m/>
    <x v="0"/>
    <n v="840"/>
    <n v="840"/>
    <n v="0"/>
    <n v="0"/>
    <m/>
  </r>
  <r>
    <x v="0"/>
    <x v="1"/>
    <x v="1"/>
    <n v="1710"/>
    <n v="0"/>
    <s v="Scroll"/>
    <n v="2"/>
    <x v="2"/>
    <n v="0"/>
    <n v="4000"/>
    <n v="0"/>
    <n v="1600"/>
    <m/>
  </r>
  <r>
    <x v="0"/>
    <x v="1"/>
    <x v="1"/>
    <n v="1226"/>
    <n v="0"/>
    <m/>
    <m/>
    <x v="0"/>
    <n v="1159"/>
    <n v="1159"/>
    <n v="0"/>
    <n v="0"/>
    <m/>
  </r>
  <r>
    <x v="0"/>
    <x v="1"/>
    <x v="1"/>
    <n v="1124"/>
    <n v="0"/>
    <m/>
    <m/>
    <x v="0"/>
    <n v="1159"/>
    <n v="1159"/>
    <n v="0"/>
    <n v="0"/>
    <m/>
  </r>
  <r>
    <x v="0"/>
    <x v="1"/>
    <x v="1"/>
    <n v="1725"/>
    <n v="2"/>
    <s v="Scroll"/>
    <n v="2"/>
    <x v="2"/>
    <n v="0"/>
    <n v="4000"/>
    <n v="0"/>
    <n v="1600"/>
    <m/>
  </r>
  <r>
    <x v="0"/>
    <x v="1"/>
    <x v="1"/>
    <n v="1933"/>
    <n v="1"/>
    <m/>
    <m/>
    <x v="0"/>
    <n v="720"/>
    <n v="720"/>
    <n v="0"/>
    <n v="0"/>
    <m/>
  </r>
  <r>
    <x v="0"/>
    <x v="1"/>
    <x v="1"/>
    <n v="1398"/>
    <n v="2"/>
    <s v="Scroll"/>
    <n v="2"/>
    <x v="2"/>
    <n v="0"/>
    <n v="4000"/>
    <n v="0"/>
    <n v="1600"/>
    <m/>
  </r>
  <r>
    <x v="0"/>
    <x v="1"/>
    <x v="1"/>
    <n v="1984"/>
    <n v="1"/>
    <m/>
    <m/>
    <x v="0"/>
    <n v="720"/>
    <n v="720"/>
    <n v="0"/>
    <n v="0"/>
    <m/>
  </r>
  <r>
    <x v="0"/>
    <x v="1"/>
    <x v="1"/>
    <n v="1093"/>
    <n v="0"/>
    <m/>
    <m/>
    <x v="0"/>
    <n v="720"/>
    <n v="720"/>
    <n v="0"/>
    <n v="0"/>
    <m/>
  </r>
  <r>
    <x v="0"/>
    <x v="1"/>
    <x v="1"/>
    <n v="1133"/>
    <n v="2"/>
    <m/>
    <m/>
    <x v="0"/>
    <n v="1159"/>
    <n v="1159"/>
    <n v="0"/>
    <n v="0"/>
    <m/>
  </r>
  <r>
    <x v="0"/>
    <x v="1"/>
    <x v="1"/>
    <n v="1193"/>
    <n v="2"/>
    <m/>
    <m/>
    <x v="0"/>
    <n v="1546"/>
    <n v="1546"/>
    <n v="0"/>
    <n v="0"/>
    <m/>
  </r>
  <r>
    <x v="0"/>
    <x v="1"/>
    <x v="1"/>
    <n v="1346"/>
    <n v="1"/>
    <s v="Scroll"/>
    <n v="2"/>
    <x v="2"/>
    <n v="0"/>
    <n v="4000"/>
    <n v="0"/>
    <n v="1600"/>
    <m/>
  </r>
  <r>
    <x v="1"/>
    <x v="0"/>
    <x v="0"/>
    <n v="1167"/>
    <n v="1"/>
    <m/>
    <m/>
    <x v="0"/>
    <n v="2128"/>
    <n v="2128"/>
    <n v="0"/>
    <n v="0"/>
    <m/>
  </r>
  <r>
    <x v="1"/>
    <x v="0"/>
    <x v="0"/>
    <n v="1005"/>
    <n v="0"/>
    <m/>
    <m/>
    <x v="0"/>
    <n v="1976"/>
    <n v="1976"/>
    <n v="0"/>
    <n v="0"/>
    <m/>
  </r>
  <r>
    <x v="1"/>
    <x v="0"/>
    <x v="0"/>
    <n v="1738"/>
    <n v="0"/>
    <m/>
    <m/>
    <x v="0"/>
    <n v="1824"/>
    <n v="1824"/>
    <n v="0"/>
    <n v="0"/>
    <m/>
  </r>
  <r>
    <x v="1"/>
    <x v="0"/>
    <x v="0"/>
    <n v="1440"/>
    <n v="0"/>
    <m/>
    <m/>
    <x v="0"/>
    <n v="823"/>
    <n v="823"/>
    <n v="0"/>
    <n v="0"/>
    <m/>
  </r>
  <r>
    <x v="1"/>
    <x v="0"/>
    <x v="0"/>
    <n v="632"/>
    <n v="0"/>
    <m/>
    <m/>
    <x v="0"/>
    <n v="1824"/>
    <n v="1824"/>
    <n v="0"/>
    <n v="0"/>
    <m/>
  </r>
  <r>
    <x v="1"/>
    <x v="0"/>
    <x v="0"/>
    <n v="2032"/>
    <n v="1"/>
    <m/>
    <m/>
    <x v="0"/>
    <n v="2128"/>
    <n v="2128"/>
    <n v="0"/>
    <n v="0"/>
    <m/>
  </r>
  <r>
    <x v="1"/>
    <x v="0"/>
    <x v="0"/>
    <n v="559"/>
    <n v="0"/>
    <m/>
    <m/>
    <x v="0"/>
    <n v="823"/>
    <n v="823"/>
    <n v="0"/>
    <n v="0"/>
    <m/>
  </r>
  <r>
    <x v="1"/>
    <x v="0"/>
    <x v="0"/>
    <n v="1582"/>
    <n v="0"/>
    <m/>
    <m/>
    <x v="0"/>
    <n v="1824"/>
    <n v="1824"/>
    <n v="0"/>
    <n v="0"/>
    <m/>
  </r>
  <r>
    <x v="1"/>
    <x v="0"/>
    <x v="0"/>
    <n v="1981"/>
    <n v="1"/>
    <s v="Scroll"/>
    <n v="1"/>
    <x v="2"/>
    <n v="0"/>
    <n v="2000"/>
    <n v="0"/>
    <n v="800"/>
    <m/>
  </r>
  <r>
    <x v="1"/>
    <x v="0"/>
    <x v="0"/>
    <n v="859"/>
    <n v="2"/>
    <m/>
    <m/>
    <x v="0"/>
    <n v="1824"/>
    <n v="1824"/>
    <n v="0"/>
    <n v="0"/>
    <m/>
  </r>
  <r>
    <x v="1"/>
    <x v="0"/>
    <x v="0"/>
    <n v="874"/>
    <n v="0"/>
    <m/>
    <m/>
    <x v="0"/>
    <n v="1824"/>
    <n v="1824"/>
    <n v="0"/>
    <n v="0"/>
    <m/>
  </r>
  <r>
    <x v="1"/>
    <x v="0"/>
    <x v="0"/>
    <n v="1505"/>
    <n v="0"/>
    <m/>
    <m/>
    <x v="0"/>
    <n v="960"/>
    <n v="960"/>
    <n v="0"/>
    <n v="0"/>
    <m/>
  </r>
  <r>
    <x v="1"/>
    <x v="0"/>
    <x v="0"/>
    <n v="1971"/>
    <n v="2"/>
    <m/>
    <m/>
    <x v="0"/>
    <n v="823"/>
    <n v="823"/>
    <n v="0"/>
    <n v="0"/>
    <m/>
  </r>
  <r>
    <x v="1"/>
    <x v="0"/>
    <x v="0"/>
    <n v="991"/>
    <n v="0"/>
    <s v="Scroll"/>
    <n v="1"/>
    <x v="2"/>
    <n v="0"/>
    <n v="2000"/>
    <n v="0"/>
    <n v="800"/>
    <m/>
  </r>
  <r>
    <x v="1"/>
    <x v="0"/>
    <x v="0"/>
    <n v="1762"/>
    <n v="1"/>
    <m/>
    <m/>
    <x v="0"/>
    <n v="1824"/>
    <n v="1824"/>
    <n v="0"/>
    <n v="0"/>
    <m/>
  </r>
  <r>
    <x v="1"/>
    <x v="0"/>
    <x v="0"/>
    <n v="1178"/>
    <n v="1"/>
    <m/>
    <m/>
    <x v="0"/>
    <n v="892"/>
    <n v="892"/>
    <n v="0"/>
    <n v="0"/>
    <m/>
  </r>
  <r>
    <x v="1"/>
    <x v="0"/>
    <x v="0"/>
    <n v="1010"/>
    <n v="0"/>
    <s v="Scroll"/>
    <n v="1"/>
    <x v="2"/>
    <n v="0"/>
    <n v="2000"/>
    <n v="0"/>
    <n v="800"/>
    <m/>
  </r>
  <r>
    <x v="0"/>
    <x v="1"/>
    <x v="1"/>
    <n v="961"/>
    <n v="0"/>
    <m/>
    <m/>
    <x v="0"/>
    <n v="1159"/>
    <n v="1159"/>
    <n v="0"/>
    <n v="0"/>
    <m/>
  </r>
  <r>
    <x v="2"/>
    <x v="0"/>
    <x v="1"/>
    <n v="1603"/>
    <n v="1"/>
    <m/>
    <m/>
    <x v="0"/>
    <n v="1752"/>
    <n v="1752"/>
    <n v="0"/>
    <n v="0"/>
    <m/>
  </r>
  <r>
    <x v="3"/>
    <x v="0"/>
    <x v="3"/>
    <n v="1712"/>
    <n v="2"/>
    <s v="Magic"/>
    <n v="2"/>
    <x v="3"/>
    <n v="0"/>
    <n v="0"/>
    <n v="0"/>
    <n v="0"/>
    <m/>
  </r>
  <r>
    <x v="0"/>
    <x v="1"/>
    <x v="1"/>
    <n v="532"/>
    <n v="2"/>
    <m/>
    <m/>
    <x v="0"/>
    <n v="720"/>
    <n v="720"/>
    <n v="0"/>
    <n v="0"/>
    <m/>
  </r>
  <r>
    <x v="0"/>
    <x v="1"/>
    <x v="1"/>
    <n v="1301"/>
    <n v="0"/>
    <m/>
    <m/>
    <x v="0"/>
    <n v="1739"/>
    <n v="1739"/>
    <n v="0"/>
    <n v="0"/>
    <m/>
  </r>
  <r>
    <x v="0"/>
    <x v="1"/>
    <x v="1"/>
    <n v="1244"/>
    <n v="0"/>
    <m/>
    <m/>
    <x v="0"/>
    <n v="840"/>
    <n v="840"/>
    <n v="0"/>
    <n v="0"/>
    <m/>
  </r>
  <r>
    <x v="0"/>
    <x v="1"/>
    <x v="1"/>
    <n v="1900"/>
    <n v="0"/>
    <s v="Scroll"/>
    <n v="2"/>
    <x v="2"/>
    <n v="0"/>
    <n v="4000"/>
    <n v="0"/>
    <n v="1600"/>
    <m/>
  </r>
  <r>
    <x v="0"/>
    <x v="1"/>
    <x v="1"/>
    <n v="621"/>
    <n v="1"/>
    <s v="Scroll"/>
    <n v="2"/>
    <x v="2"/>
    <n v="0"/>
    <n v="4000"/>
    <n v="0"/>
    <n v="1600"/>
    <m/>
  </r>
  <r>
    <x v="0"/>
    <x v="1"/>
    <x v="1"/>
    <n v="1299"/>
    <n v="0"/>
    <m/>
    <m/>
    <x v="0"/>
    <n v="1159"/>
    <n v="1159"/>
    <n v="0"/>
    <n v="0"/>
    <m/>
  </r>
  <r>
    <x v="0"/>
    <x v="1"/>
    <x v="1"/>
    <n v="1187"/>
    <n v="1"/>
    <m/>
    <m/>
    <x v="0"/>
    <n v="1159"/>
    <n v="1159"/>
    <n v="0"/>
    <n v="0"/>
    <m/>
  </r>
  <r>
    <x v="0"/>
    <x v="1"/>
    <x v="1"/>
    <n v="1395"/>
    <n v="1"/>
    <m/>
    <m/>
    <x v="0"/>
    <n v="1352"/>
    <n v="1352"/>
    <n v="0"/>
    <n v="0"/>
    <m/>
  </r>
  <r>
    <x v="0"/>
    <x v="1"/>
    <x v="1"/>
    <n v="1797"/>
    <n v="2"/>
    <s v="Fod"/>
    <n v="1"/>
    <x v="1"/>
    <n v="0"/>
    <n v="0"/>
    <n v="11500"/>
    <n v="0"/>
    <m/>
  </r>
  <r>
    <x v="0"/>
    <x v="1"/>
    <x v="1"/>
    <n v="1295"/>
    <n v="0"/>
    <s v="Scroll"/>
    <n v="2"/>
    <x v="2"/>
    <n v="0"/>
    <n v="4000"/>
    <n v="0"/>
    <n v="1600"/>
    <m/>
  </r>
  <r>
    <x v="0"/>
    <x v="1"/>
    <x v="1"/>
    <n v="2244"/>
    <n v="2"/>
    <s v="Rainb"/>
    <n v="1"/>
    <x v="1"/>
    <n v="0"/>
    <n v="0"/>
    <n v="11500"/>
    <n v="35822"/>
    <m/>
  </r>
  <r>
    <x v="0"/>
    <x v="1"/>
    <x v="1"/>
    <n v="1719"/>
    <n v="1"/>
    <s v="Fod"/>
    <n v="1"/>
    <x v="2"/>
    <n v="0"/>
    <n v="0"/>
    <n v="0"/>
    <n v="0"/>
    <m/>
  </r>
  <r>
    <x v="1"/>
    <x v="0"/>
    <x v="0"/>
    <n v="677"/>
    <n v="0"/>
    <s v="Fod"/>
    <n v="1"/>
    <x v="1"/>
    <n v="0"/>
    <n v="0"/>
    <n v="11500"/>
    <n v="0"/>
    <m/>
  </r>
  <r>
    <x v="1"/>
    <x v="0"/>
    <x v="0"/>
    <n v="1098"/>
    <n v="2"/>
    <m/>
    <m/>
    <x v="0"/>
    <n v="823"/>
    <n v="823"/>
    <n v="0"/>
    <n v="0"/>
    <m/>
  </r>
  <r>
    <x v="1"/>
    <x v="0"/>
    <x v="0"/>
    <n v="1357"/>
    <n v="1"/>
    <s v="Scroll"/>
    <n v="1"/>
    <x v="2"/>
    <n v="0"/>
    <n v="2000"/>
    <n v="0"/>
    <n v="800"/>
    <m/>
  </r>
  <r>
    <x v="1"/>
    <x v="0"/>
    <x v="0"/>
    <n v="871"/>
    <n v="0"/>
    <m/>
    <m/>
    <x v="0"/>
    <n v="823"/>
    <n v="823"/>
    <n v="0"/>
    <n v="0"/>
    <m/>
  </r>
  <r>
    <x v="1"/>
    <x v="0"/>
    <x v="0"/>
    <n v="1258"/>
    <n v="0"/>
    <s v="Fod"/>
    <n v="1"/>
    <x v="1"/>
    <n v="0"/>
    <n v="0"/>
    <n v="11500"/>
    <n v="0"/>
    <m/>
  </r>
  <r>
    <x v="1"/>
    <x v="0"/>
    <x v="0"/>
    <n v="1950"/>
    <n v="1"/>
    <m/>
    <m/>
    <x v="0"/>
    <n v="823"/>
    <n v="823"/>
    <n v="0"/>
    <n v="0"/>
    <m/>
  </r>
  <r>
    <x v="1"/>
    <x v="0"/>
    <x v="0"/>
    <n v="1467"/>
    <n v="2"/>
    <m/>
    <m/>
    <x v="0"/>
    <n v="823"/>
    <n v="823"/>
    <n v="0"/>
    <n v="0"/>
    <m/>
  </r>
  <r>
    <x v="1"/>
    <x v="0"/>
    <x v="0"/>
    <n v="2122"/>
    <n v="3"/>
    <s v="Scroll"/>
    <n v="1"/>
    <x v="2"/>
    <n v="0"/>
    <n v="2000"/>
    <n v="0"/>
    <n v="800"/>
    <m/>
  </r>
  <r>
    <x v="1"/>
    <x v="0"/>
    <x v="0"/>
    <n v="1756"/>
    <n v="0"/>
    <m/>
    <m/>
    <x v="0"/>
    <n v="1824"/>
    <n v="1824"/>
    <n v="0"/>
    <n v="0"/>
    <m/>
  </r>
  <r>
    <x v="1"/>
    <x v="0"/>
    <x v="0"/>
    <n v="1403"/>
    <n v="2"/>
    <m/>
    <m/>
    <x v="0"/>
    <n v="960"/>
    <n v="960"/>
    <n v="0"/>
    <n v="0"/>
    <m/>
  </r>
  <r>
    <x v="1"/>
    <x v="0"/>
    <x v="0"/>
    <n v="1242"/>
    <n v="0"/>
    <m/>
    <m/>
    <x v="0"/>
    <n v="823"/>
    <n v="823"/>
    <n v="0"/>
    <n v="0"/>
    <m/>
  </r>
  <r>
    <x v="1"/>
    <x v="0"/>
    <x v="0"/>
    <n v="1482"/>
    <n v="1"/>
    <m/>
    <m/>
    <x v="0"/>
    <n v="892"/>
    <n v="892"/>
    <n v="0"/>
    <n v="0"/>
    <m/>
  </r>
  <r>
    <x v="1"/>
    <x v="0"/>
    <x v="0"/>
    <n v="908"/>
    <n v="3"/>
    <s v="Scroll"/>
    <n v="1"/>
    <x v="2"/>
    <n v="0"/>
    <n v="2000"/>
    <n v="0"/>
    <n v="800"/>
    <m/>
  </r>
  <r>
    <x v="1"/>
    <x v="0"/>
    <x v="0"/>
    <n v="1969"/>
    <n v="0"/>
    <m/>
    <m/>
    <x v="0"/>
    <n v="823"/>
    <n v="823"/>
    <n v="0"/>
    <n v="0"/>
    <m/>
  </r>
  <r>
    <x v="1"/>
    <x v="0"/>
    <x v="0"/>
    <n v="1354"/>
    <n v="0"/>
    <m/>
    <m/>
    <x v="0"/>
    <n v="1824"/>
    <n v="1824"/>
    <n v="0"/>
    <n v="0"/>
    <m/>
  </r>
  <r>
    <x v="1"/>
    <x v="0"/>
    <x v="0"/>
    <n v="1568"/>
    <n v="0"/>
    <m/>
    <m/>
    <x v="0"/>
    <n v="823"/>
    <n v="823"/>
    <n v="0"/>
    <n v="0"/>
    <m/>
  </r>
  <r>
    <x v="1"/>
    <x v="0"/>
    <x v="0"/>
    <n v="1520"/>
    <n v="0"/>
    <m/>
    <m/>
    <x v="0"/>
    <n v="823"/>
    <n v="823"/>
    <n v="0"/>
    <n v="0"/>
    <m/>
  </r>
  <r>
    <x v="1"/>
    <x v="0"/>
    <x v="0"/>
    <n v="1605"/>
    <n v="0"/>
    <s v="Scroll"/>
    <n v="1"/>
    <x v="2"/>
    <n v="0"/>
    <n v="2000"/>
    <n v="0"/>
    <n v="800"/>
    <m/>
  </r>
  <r>
    <x v="1"/>
    <x v="0"/>
    <x v="0"/>
    <n v="1979"/>
    <n v="1"/>
    <m/>
    <m/>
    <x v="0"/>
    <n v="1824"/>
    <n v="1824"/>
    <n v="0"/>
    <n v="0"/>
    <m/>
  </r>
  <r>
    <x v="1"/>
    <x v="0"/>
    <x v="0"/>
    <n v="1846"/>
    <n v="1"/>
    <s v="Scroll"/>
    <n v="1"/>
    <x v="2"/>
    <n v="0"/>
    <n v="2000"/>
    <n v="0"/>
    <n v="800"/>
    <m/>
  </r>
  <r>
    <x v="1"/>
    <x v="0"/>
    <x v="0"/>
    <n v="1861"/>
    <n v="1"/>
    <m/>
    <m/>
    <x v="0"/>
    <n v="823"/>
    <n v="823"/>
    <n v="0"/>
    <n v="0"/>
    <m/>
  </r>
  <r>
    <x v="1"/>
    <x v="0"/>
    <x v="0"/>
    <n v="1519"/>
    <n v="3"/>
    <s v="Scroll"/>
    <n v="1"/>
    <x v="2"/>
    <n v="0"/>
    <n v="2000"/>
    <n v="0"/>
    <n v="800"/>
    <m/>
  </r>
  <r>
    <x v="1"/>
    <x v="0"/>
    <x v="0"/>
    <n v="1049"/>
    <n v="1"/>
    <m/>
    <m/>
    <x v="0"/>
    <n v="960"/>
    <n v="960"/>
    <n v="0"/>
    <n v="0"/>
    <m/>
  </r>
  <r>
    <x v="1"/>
    <x v="0"/>
    <x v="0"/>
    <n v="992"/>
    <n v="1"/>
    <m/>
    <m/>
    <x v="0"/>
    <n v="2128"/>
    <n v="2128"/>
    <n v="0"/>
    <n v="0"/>
    <m/>
  </r>
  <r>
    <x v="1"/>
    <x v="0"/>
    <x v="0"/>
    <n v="1441"/>
    <n v="1"/>
    <s v="Scroll"/>
    <n v="1"/>
    <x v="2"/>
    <n v="0"/>
    <n v="2000"/>
    <n v="0"/>
    <n v="800"/>
    <m/>
  </r>
  <r>
    <x v="1"/>
    <x v="0"/>
    <x v="0"/>
    <n v="1549"/>
    <n v="1"/>
    <m/>
    <m/>
    <x v="0"/>
    <n v="823"/>
    <n v="823"/>
    <n v="0"/>
    <n v="0"/>
    <m/>
  </r>
  <r>
    <x v="1"/>
    <x v="0"/>
    <x v="0"/>
    <n v="1078"/>
    <n v="0"/>
    <m/>
    <m/>
    <x v="0"/>
    <n v="1824"/>
    <n v="1824"/>
    <n v="0"/>
    <n v="0"/>
    <m/>
  </r>
  <r>
    <x v="1"/>
    <x v="0"/>
    <x v="0"/>
    <n v="1900"/>
    <n v="1"/>
    <s v="Scroll"/>
    <n v="1"/>
    <x v="2"/>
    <n v="0"/>
    <n v="2000"/>
    <n v="0"/>
    <n v="800"/>
    <m/>
  </r>
  <r>
    <x v="1"/>
    <x v="0"/>
    <x v="0"/>
    <n v="1954"/>
    <n v="1"/>
    <s v="Scroll"/>
    <n v="1"/>
    <x v="2"/>
    <n v="0"/>
    <n v="2000"/>
    <n v="0"/>
    <n v="800"/>
    <m/>
  </r>
  <r>
    <x v="1"/>
    <x v="0"/>
    <x v="0"/>
    <n v="1261"/>
    <n v="1"/>
    <s v="Scroll"/>
    <n v="1"/>
    <x v="2"/>
    <n v="0"/>
    <n v="2000"/>
    <n v="0"/>
    <n v="800"/>
    <m/>
  </r>
  <r>
    <x v="1"/>
    <x v="0"/>
    <x v="0"/>
    <n v="1559"/>
    <n v="1"/>
    <s v="Fod"/>
    <n v="1"/>
    <x v="1"/>
    <n v="0"/>
    <n v="0"/>
    <n v="11500"/>
    <n v="0"/>
    <m/>
  </r>
  <r>
    <x v="1"/>
    <x v="0"/>
    <x v="0"/>
    <n v="1232"/>
    <n v="0"/>
    <m/>
    <m/>
    <x v="0"/>
    <n v="892"/>
    <n v="892"/>
    <n v="0"/>
    <n v="0"/>
    <m/>
  </r>
  <r>
    <x v="1"/>
    <x v="0"/>
    <x v="0"/>
    <n v="1417"/>
    <n v="0"/>
    <m/>
    <m/>
    <x v="0"/>
    <n v="823"/>
    <n v="823"/>
    <n v="0"/>
    <n v="0"/>
    <m/>
  </r>
  <r>
    <x v="1"/>
    <x v="0"/>
    <x v="0"/>
    <n v="1648"/>
    <n v="2"/>
    <s v="Scroll"/>
    <n v="1"/>
    <x v="2"/>
    <n v="0"/>
    <n v="2000"/>
    <n v="0"/>
    <n v="800"/>
    <m/>
  </r>
  <r>
    <x v="1"/>
    <x v="0"/>
    <x v="0"/>
    <n v="1770"/>
    <n v="2"/>
    <s v="Scroll"/>
    <n v="1"/>
    <x v="2"/>
    <n v="0"/>
    <n v="2000"/>
    <n v="0"/>
    <n v="800"/>
    <m/>
  </r>
  <r>
    <x v="1"/>
    <x v="0"/>
    <x v="0"/>
    <n v="1391"/>
    <n v="1"/>
    <m/>
    <m/>
    <x v="0"/>
    <n v="823"/>
    <n v="823"/>
    <n v="0"/>
    <n v="0"/>
    <m/>
  </r>
  <r>
    <x v="1"/>
    <x v="0"/>
    <x v="0"/>
    <n v="1192"/>
    <n v="0"/>
    <s v="Scroll"/>
    <n v="1"/>
    <x v="2"/>
    <n v="0"/>
    <n v="2000"/>
    <n v="0"/>
    <n v="800"/>
    <m/>
  </r>
  <r>
    <x v="3"/>
    <x v="0"/>
    <x v="4"/>
    <n v="1346"/>
    <n v="1"/>
    <s v="Magic"/>
    <n v="2"/>
    <x v="3"/>
    <n v="0"/>
    <n v="0"/>
    <n v="0"/>
    <n v="0"/>
    <m/>
  </r>
  <r>
    <x v="3"/>
    <x v="0"/>
    <x v="4"/>
    <n v="1240"/>
    <n v="0"/>
    <s v="Scroll"/>
    <n v="2"/>
    <x v="2"/>
    <n v="0"/>
    <n v="4000"/>
    <n v="0"/>
    <n v="1600"/>
    <m/>
  </r>
  <r>
    <x v="3"/>
    <x v="0"/>
    <x v="4"/>
    <n v="1238"/>
    <n v="0"/>
    <s v="Scroll"/>
    <n v="3"/>
    <x v="2"/>
    <n v="0"/>
    <n v="6000"/>
    <n v="0"/>
    <n v="2400"/>
    <m/>
  </r>
  <r>
    <x v="3"/>
    <x v="0"/>
    <x v="4"/>
    <n v="1236"/>
    <n v="1"/>
    <s v="Scroll"/>
    <n v="2"/>
    <x v="2"/>
    <n v="0"/>
    <n v="4000"/>
    <n v="0"/>
    <n v="1600"/>
    <m/>
  </r>
  <r>
    <x v="3"/>
    <x v="0"/>
    <x v="4"/>
    <n v="1365"/>
    <n v="1"/>
    <s v="Magic"/>
    <n v="1"/>
    <x v="4"/>
    <n v="0"/>
    <n v="0"/>
    <n v="0"/>
    <n v="0"/>
    <m/>
  </r>
  <r>
    <x v="3"/>
    <x v="0"/>
    <x v="4"/>
    <n v="1240"/>
    <n v="1"/>
    <s v="Scroll"/>
    <n v="3"/>
    <x v="2"/>
    <n v="0"/>
    <n v="6000"/>
    <n v="0"/>
    <n v="2400"/>
    <m/>
  </r>
  <r>
    <x v="3"/>
    <x v="0"/>
    <x v="4"/>
    <n v="1209"/>
    <n v="1"/>
    <s v="Water"/>
    <n v="2"/>
    <x v="3"/>
    <n v="0"/>
    <n v="0"/>
    <n v="0"/>
    <n v="0"/>
    <m/>
  </r>
  <r>
    <x v="0"/>
    <x v="1"/>
    <x v="1"/>
    <n v="1206"/>
    <n v="0"/>
    <m/>
    <m/>
    <x v="0"/>
    <m/>
    <n v="0"/>
    <n v="0"/>
    <n v="0"/>
    <m/>
  </r>
  <r>
    <x v="4"/>
    <x v="2"/>
    <x v="5"/>
    <n v="1192"/>
    <n v="1"/>
    <s v="Rainb"/>
    <n v="1"/>
    <x v="1"/>
    <n v="0"/>
    <n v="0"/>
    <n v="11500"/>
    <n v="35822"/>
    <m/>
  </r>
  <r>
    <x v="0"/>
    <x v="1"/>
    <x v="1"/>
    <n v="1212"/>
    <n v="2"/>
    <m/>
    <m/>
    <x v="0"/>
    <n v="1352"/>
    <n v="1352"/>
    <n v="0"/>
    <n v="0"/>
    <m/>
  </r>
  <r>
    <x v="0"/>
    <x v="1"/>
    <x v="1"/>
    <n v="564"/>
    <n v="0"/>
    <s v="Fod"/>
    <n v="1"/>
    <x v="1"/>
    <n v="0"/>
    <n v="0"/>
    <n v="11500"/>
    <n v="0"/>
    <m/>
  </r>
  <r>
    <x v="0"/>
    <x v="1"/>
    <x v="1"/>
    <n v="2224"/>
    <n v="2"/>
    <s v="Scroll"/>
    <n v="2"/>
    <x v="2"/>
    <n v="0"/>
    <n v="4000"/>
    <n v="0"/>
    <n v="1600"/>
    <m/>
  </r>
  <r>
    <x v="0"/>
    <x v="1"/>
    <x v="1"/>
    <n v="1341"/>
    <n v="1"/>
    <s v="Fod"/>
    <n v="1"/>
    <x v="2"/>
    <n v="0"/>
    <n v="0"/>
    <n v="0"/>
    <n v="0"/>
    <m/>
  </r>
  <r>
    <x v="0"/>
    <x v="1"/>
    <x v="1"/>
    <n v="1482"/>
    <n v="0"/>
    <m/>
    <m/>
    <x v="0"/>
    <n v="720"/>
    <n v="720"/>
    <n v="0"/>
    <n v="0"/>
    <m/>
  </r>
  <r>
    <x v="0"/>
    <x v="1"/>
    <x v="1"/>
    <n v="1565"/>
    <n v="0"/>
    <m/>
    <m/>
    <x v="0"/>
    <n v="720"/>
    <n v="720"/>
    <n v="0"/>
    <n v="0"/>
    <m/>
  </r>
  <r>
    <x v="0"/>
    <x v="1"/>
    <x v="1"/>
    <n v="1627"/>
    <n v="0"/>
    <s v="Scroll"/>
    <n v="2"/>
    <x v="2"/>
    <n v="0"/>
    <n v="4000"/>
    <n v="0"/>
    <n v="1600"/>
    <m/>
  </r>
  <r>
    <x v="0"/>
    <x v="2"/>
    <x v="1"/>
    <n v="1597"/>
    <n v="1"/>
    <m/>
    <m/>
    <x v="0"/>
    <n v="2067"/>
    <n v="2067"/>
    <n v="0"/>
    <n v="0"/>
    <m/>
  </r>
  <r>
    <x v="0"/>
    <x v="2"/>
    <x v="1"/>
    <n v="1772"/>
    <n v="1"/>
    <m/>
    <m/>
    <x v="0"/>
    <n v="1159"/>
    <n v="1159"/>
    <n v="0"/>
    <n v="0"/>
    <m/>
  </r>
  <r>
    <x v="5"/>
    <x v="0"/>
    <x v="0"/>
    <n v="1111"/>
    <n v="1"/>
    <m/>
    <m/>
    <x v="0"/>
    <n v="1824"/>
    <n v="1824"/>
    <n v="0"/>
    <n v="0"/>
    <m/>
  </r>
  <r>
    <x v="5"/>
    <x v="0"/>
    <x v="5"/>
    <n v="2526"/>
    <n v="0"/>
    <m/>
    <m/>
    <x v="0"/>
    <n v="866"/>
    <n v="866"/>
    <n v="0"/>
    <n v="0"/>
    <m/>
  </r>
  <r>
    <x v="5"/>
    <x v="0"/>
    <x v="1"/>
    <n v="1458"/>
    <n v="0"/>
    <m/>
    <m/>
    <x v="0"/>
    <n v="1440"/>
    <n v="1440"/>
    <n v="0"/>
    <n v="0"/>
    <m/>
  </r>
  <r>
    <x v="5"/>
    <x v="0"/>
    <x v="1"/>
    <n v="1590"/>
    <n v="0"/>
    <m/>
    <m/>
    <x v="0"/>
    <n v="1440"/>
    <n v="1440"/>
    <n v="0"/>
    <n v="0"/>
    <m/>
  </r>
  <r>
    <x v="5"/>
    <x v="0"/>
    <x v="0"/>
    <n v="1062"/>
    <n v="0"/>
    <m/>
    <m/>
    <x v="0"/>
    <n v="823"/>
    <n v="823"/>
    <n v="0"/>
    <n v="0"/>
    <m/>
  </r>
  <r>
    <x v="5"/>
    <x v="0"/>
    <x v="0"/>
    <n v="1492"/>
    <n v="1"/>
    <m/>
    <m/>
    <x v="0"/>
    <n v="1976"/>
    <n v="1976"/>
    <n v="0"/>
    <n v="0"/>
    <m/>
  </r>
  <r>
    <x v="5"/>
    <x v="0"/>
    <x v="0"/>
    <n v="1482"/>
    <n v="1"/>
    <m/>
    <m/>
    <x v="0"/>
    <n v="823"/>
    <n v="823"/>
    <n v="0"/>
    <n v="0"/>
    <m/>
  </r>
  <r>
    <x v="5"/>
    <x v="0"/>
    <x v="0"/>
    <n v="1762"/>
    <n v="0"/>
    <m/>
    <m/>
    <x v="0"/>
    <n v="823"/>
    <n v="823"/>
    <n v="0"/>
    <n v="0"/>
    <m/>
  </r>
  <r>
    <x v="5"/>
    <x v="0"/>
    <x v="0"/>
    <n v="1391"/>
    <n v="1"/>
    <m/>
    <m/>
    <x v="0"/>
    <n v="2128"/>
    <n v="2128"/>
    <n v="0"/>
    <n v="0"/>
    <m/>
  </r>
  <r>
    <x v="5"/>
    <x v="0"/>
    <x v="0"/>
    <n v="1281"/>
    <n v="1"/>
    <s v="Scroll"/>
    <n v="1"/>
    <x v="2"/>
    <n v="0"/>
    <n v="2000"/>
    <n v="0"/>
    <n v="800"/>
    <m/>
  </r>
  <r>
    <x v="5"/>
    <x v="0"/>
    <x v="0"/>
    <n v="1169"/>
    <n v="0"/>
    <m/>
    <m/>
    <x v="0"/>
    <n v="823"/>
    <n v="823"/>
    <n v="0"/>
    <n v="0"/>
    <m/>
  </r>
  <r>
    <x v="5"/>
    <x v="0"/>
    <x v="0"/>
    <n v="1657"/>
    <n v="2"/>
    <m/>
    <m/>
    <x v="0"/>
    <n v="892"/>
    <n v="892"/>
    <n v="0"/>
    <n v="0"/>
    <m/>
  </r>
  <r>
    <x v="5"/>
    <x v="0"/>
    <x v="0"/>
    <n v="1214"/>
    <n v="0"/>
    <s v="Scroll"/>
    <n v="1"/>
    <x v="2"/>
    <n v="0"/>
    <n v="2000"/>
    <n v="0"/>
    <n v="800"/>
    <m/>
  </r>
  <r>
    <x v="5"/>
    <x v="0"/>
    <x v="0"/>
    <n v="1156"/>
    <n v="0"/>
    <s v="Scroll"/>
    <n v="1"/>
    <x v="2"/>
    <n v="0"/>
    <n v="2000"/>
    <n v="0"/>
    <n v="800"/>
    <m/>
  </r>
  <r>
    <x v="5"/>
    <x v="0"/>
    <x v="0"/>
    <n v="1190"/>
    <n v="2"/>
    <m/>
    <m/>
    <x v="0"/>
    <n v="823"/>
    <n v="823"/>
    <n v="0"/>
    <n v="0"/>
    <m/>
  </r>
  <r>
    <x v="5"/>
    <x v="0"/>
    <x v="0"/>
    <n v="2017"/>
    <n v="0"/>
    <m/>
    <m/>
    <x v="0"/>
    <n v="960"/>
    <n v="960"/>
    <n v="0"/>
    <n v="0"/>
    <m/>
  </r>
  <r>
    <x v="5"/>
    <x v="0"/>
    <x v="0"/>
    <n v="1407"/>
    <n v="0"/>
    <m/>
    <m/>
    <x v="0"/>
    <n v="2128"/>
    <n v="2128"/>
    <n v="0"/>
    <n v="0"/>
    <m/>
  </r>
  <r>
    <x v="5"/>
    <x v="0"/>
    <x v="0"/>
    <n v="710"/>
    <n v="1"/>
    <m/>
    <m/>
    <x v="0"/>
    <n v="892"/>
    <n v="892"/>
    <n v="0"/>
    <n v="0"/>
    <m/>
  </r>
  <r>
    <x v="5"/>
    <x v="0"/>
    <x v="0"/>
    <n v="1242"/>
    <n v="4"/>
    <m/>
    <m/>
    <x v="0"/>
    <n v="960"/>
    <n v="960"/>
    <n v="0"/>
    <n v="0"/>
    <m/>
  </r>
  <r>
    <x v="5"/>
    <x v="0"/>
    <x v="0"/>
    <n v="1757"/>
    <n v="3"/>
    <m/>
    <m/>
    <x v="0"/>
    <n v="2280"/>
    <n v="2280"/>
    <n v="0"/>
    <n v="0"/>
    <m/>
  </r>
  <r>
    <x v="5"/>
    <x v="0"/>
    <x v="0"/>
    <n v="1460"/>
    <n v="1"/>
    <m/>
    <m/>
    <x v="0"/>
    <n v="823"/>
    <n v="823"/>
    <n v="0"/>
    <n v="0"/>
    <m/>
  </r>
  <r>
    <x v="5"/>
    <x v="0"/>
    <x v="0"/>
    <n v="1307"/>
    <n v="1"/>
    <m/>
    <m/>
    <x v="0"/>
    <n v="823"/>
    <n v="823"/>
    <n v="0"/>
    <n v="0"/>
    <m/>
  </r>
  <r>
    <x v="5"/>
    <x v="0"/>
    <x v="0"/>
    <n v="1260"/>
    <n v="1"/>
    <m/>
    <m/>
    <x v="0"/>
    <n v="892"/>
    <n v="892"/>
    <n v="0"/>
    <n v="0"/>
    <m/>
  </r>
  <r>
    <x v="5"/>
    <x v="0"/>
    <x v="0"/>
    <n v="1859"/>
    <n v="1"/>
    <m/>
    <m/>
    <x v="0"/>
    <n v="823"/>
    <n v="823"/>
    <n v="0"/>
    <n v="0"/>
    <m/>
  </r>
  <r>
    <x v="5"/>
    <x v="0"/>
    <x v="0"/>
    <n v="1744"/>
    <n v="0"/>
    <m/>
    <m/>
    <x v="0"/>
    <n v="823"/>
    <n v="823"/>
    <n v="0"/>
    <n v="0"/>
    <m/>
  </r>
  <r>
    <x v="5"/>
    <x v="0"/>
    <x v="0"/>
    <n v="1711"/>
    <n v="1"/>
    <m/>
    <m/>
    <x v="0"/>
    <n v="2280"/>
    <n v="2280"/>
    <n v="0"/>
    <n v="0"/>
    <m/>
  </r>
  <r>
    <x v="5"/>
    <x v="0"/>
    <x v="0"/>
    <n v="693"/>
    <n v="1"/>
    <m/>
    <m/>
    <x v="0"/>
    <n v="2128"/>
    <n v="2128"/>
    <n v="0"/>
    <n v="0"/>
    <m/>
  </r>
  <r>
    <x v="5"/>
    <x v="0"/>
    <x v="0"/>
    <n v="1404"/>
    <n v="0"/>
    <s v="Fod"/>
    <n v="1"/>
    <x v="1"/>
    <n v="0"/>
    <n v="0"/>
    <n v="11500"/>
    <n v="0"/>
    <m/>
  </r>
  <r>
    <x v="5"/>
    <x v="0"/>
    <x v="0"/>
    <n v="1291"/>
    <n v="1"/>
    <s v="Scroll"/>
    <n v="1"/>
    <x v="2"/>
    <n v="0"/>
    <n v="2000"/>
    <n v="0"/>
    <n v="800"/>
    <m/>
  </r>
  <r>
    <x v="5"/>
    <x v="0"/>
    <x v="0"/>
    <n v="1391"/>
    <n v="2"/>
    <s v="Fod"/>
    <n v="1"/>
    <x v="1"/>
    <n v="0"/>
    <n v="0"/>
    <n v="11500"/>
    <n v="0"/>
    <m/>
  </r>
  <r>
    <x v="5"/>
    <x v="0"/>
    <x v="0"/>
    <n v="2322"/>
    <n v="1"/>
    <m/>
    <m/>
    <x v="0"/>
    <n v="892"/>
    <n v="892"/>
    <n v="0"/>
    <n v="0"/>
    <m/>
  </r>
  <r>
    <x v="5"/>
    <x v="0"/>
    <x v="0"/>
    <n v="1538"/>
    <n v="2"/>
    <m/>
    <m/>
    <x v="0"/>
    <n v="823"/>
    <n v="823"/>
    <n v="0"/>
    <n v="0"/>
    <m/>
  </r>
  <r>
    <x v="5"/>
    <x v="0"/>
    <x v="0"/>
    <n v="686"/>
    <n v="0"/>
    <m/>
    <m/>
    <x v="0"/>
    <n v="823"/>
    <n v="823"/>
    <n v="0"/>
    <n v="0"/>
    <m/>
  </r>
  <r>
    <x v="5"/>
    <x v="0"/>
    <x v="0"/>
    <n v="1437"/>
    <n v="1"/>
    <s v="Scroll"/>
    <n v="1"/>
    <x v="2"/>
    <n v="0"/>
    <n v="2000"/>
    <n v="0"/>
    <n v="800"/>
    <m/>
  </r>
  <r>
    <x v="5"/>
    <x v="0"/>
    <x v="0"/>
    <n v="1376"/>
    <n v="1"/>
    <s v="Fod"/>
    <n v="1"/>
    <x v="1"/>
    <n v="0"/>
    <n v="0"/>
    <n v="11500"/>
    <n v="0"/>
    <m/>
  </r>
  <r>
    <x v="5"/>
    <x v="0"/>
    <x v="0"/>
    <n v="1953"/>
    <n v="1"/>
    <m/>
    <m/>
    <x v="0"/>
    <n v="823"/>
    <n v="823"/>
    <n v="0"/>
    <n v="0"/>
    <m/>
  </r>
  <r>
    <x v="5"/>
    <x v="0"/>
    <x v="0"/>
    <n v="1294"/>
    <n v="0"/>
    <m/>
    <m/>
    <x v="0"/>
    <n v="823"/>
    <n v="823"/>
    <n v="0"/>
    <n v="0"/>
    <m/>
  </r>
  <r>
    <x v="5"/>
    <x v="0"/>
    <x v="0"/>
    <n v="1130"/>
    <n v="2"/>
    <s v="Fod"/>
    <n v="1"/>
    <x v="1"/>
    <n v="0"/>
    <n v="0"/>
    <n v="11500"/>
    <n v="0"/>
    <m/>
  </r>
  <r>
    <x v="5"/>
    <x v="0"/>
    <x v="0"/>
    <n v="2414"/>
    <n v="0"/>
    <s v="Fod"/>
    <n v="1"/>
    <x v="1"/>
    <n v="0"/>
    <n v="0"/>
    <n v="11500"/>
    <n v="0"/>
    <m/>
  </r>
  <r>
    <x v="5"/>
    <x v="0"/>
    <x v="0"/>
    <n v="1779"/>
    <n v="1"/>
    <s v="Fod"/>
    <n v="1"/>
    <x v="1"/>
    <n v="0"/>
    <n v="0"/>
    <n v="11500"/>
    <n v="0"/>
    <m/>
  </r>
  <r>
    <x v="5"/>
    <x v="0"/>
    <x v="0"/>
    <n v="979"/>
    <n v="1"/>
    <m/>
    <m/>
    <x v="0"/>
    <n v="823"/>
    <n v="823"/>
    <n v="0"/>
    <n v="0"/>
    <m/>
  </r>
  <r>
    <x v="5"/>
    <x v="0"/>
    <x v="0"/>
    <n v="1775"/>
    <n v="1"/>
    <m/>
    <m/>
    <x v="0"/>
    <n v="1824"/>
    <n v="1824"/>
    <n v="0"/>
    <n v="0"/>
    <m/>
  </r>
  <r>
    <x v="5"/>
    <x v="0"/>
    <x v="0"/>
    <n v="2068"/>
    <n v="2"/>
    <s v="Fod"/>
    <n v="1"/>
    <x v="1"/>
    <n v="0"/>
    <n v="0"/>
    <n v="11500"/>
    <n v="0"/>
    <m/>
  </r>
  <r>
    <x v="5"/>
    <x v="0"/>
    <x v="0"/>
    <n v="1735"/>
    <n v="1"/>
    <m/>
    <m/>
    <x v="0"/>
    <n v="823"/>
    <n v="823"/>
    <n v="0"/>
    <n v="0"/>
    <m/>
  </r>
  <r>
    <x v="5"/>
    <x v="0"/>
    <x v="0"/>
    <n v="2104"/>
    <n v="4"/>
    <s v="Scroll"/>
    <n v="1"/>
    <x v="2"/>
    <n v="0"/>
    <n v="2000"/>
    <n v="0"/>
    <n v="800"/>
    <m/>
  </r>
  <r>
    <x v="5"/>
    <x v="0"/>
    <x v="0"/>
    <n v="1385"/>
    <n v="0"/>
    <s v="Scroll"/>
    <n v="1"/>
    <x v="2"/>
    <n v="0"/>
    <n v="2000"/>
    <n v="0"/>
    <n v="800"/>
    <m/>
  </r>
  <r>
    <x v="5"/>
    <x v="0"/>
    <x v="0"/>
    <n v="1562"/>
    <n v="1"/>
    <s v="Scroll"/>
    <n v="1"/>
    <x v="2"/>
    <n v="0"/>
    <n v="2000"/>
    <n v="0"/>
    <n v="800"/>
    <m/>
  </r>
  <r>
    <x v="5"/>
    <x v="0"/>
    <x v="0"/>
    <n v="1650"/>
    <n v="0"/>
    <m/>
    <m/>
    <x v="0"/>
    <n v="823"/>
    <n v="823"/>
    <n v="0"/>
    <n v="0"/>
    <m/>
  </r>
  <r>
    <x v="5"/>
    <x v="0"/>
    <x v="0"/>
    <n v="1498"/>
    <n v="1"/>
    <m/>
    <m/>
    <x v="0"/>
    <n v="0"/>
    <n v="0"/>
    <n v="0"/>
    <n v="0"/>
    <m/>
  </r>
  <r>
    <x v="5"/>
    <x v="0"/>
    <x v="0"/>
    <n v="1387"/>
    <n v="1"/>
    <m/>
    <m/>
    <x v="0"/>
    <n v="823"/>
    <n v="823"/>
    <n v="0"/>
    <n v="0"/>
    <m/>
  </r>
  <r>
    <x v="5"/>
    <x v="0"/>
    <x v="0"/>
    <n v="2065"/>
    <n v="3"/>
    <m/>
    <m/>
    <x v="0"/>
    <n v="823"/>
    <n v="823"/>
    <n v="0"/>
    <n v="0"/>
    <m/>
  </r>
  <r>
    <x v="5"/>
    <x v="0"/>
    <x v="0"/>
    <n v="1270"/>
    <n v="1"/>
    <m/>
    <m/>
    <x v="0"/>
    <n v="1824"/>
    <n v="1824"/>
    <n v="0"/>
    <n v="0"/>
    <m/>
  </r>
  <r>
    <x v="5"/>
    <x v="0"/>
    <x v="0"/>
    <n v="805"/>
    <n v="2"/>
    <s v="Scroll"/>
    <n v="1"/>
    <x v="2"/>
    <n v="0"/>
    <n v="2000"/>
    <n v="0"/>
    <n v="800"/>
    <m/>
  </r>
  <r>
    <x v="5"/>
    <x v="0"/>
    <x v="0"/>
    <n v="1426"/>
    <n v="1"/>
    <m/>
    <m/>
    <x v="0"/>
    <n v="0"/>
    <n v="0"/>
    <n v="0"/>
    <n v="0"/>
    <m/>
  </r>
  <r>
    <x v="5"/>
    <x v="0"/>
    <x v="0"/>
    <n v="1985"/>
    <n v="0"/>
    <m/>
    <m/>
    <x v="0"/>
    <n v="1824"/>
    <n v="1824"/>
    <n v="0"/>
    <n v="0"/>
    <m/>
  </r>
  <r>
    <x v="5"/>
    <x v="0"/>
    <x v="0"/>
    <n v="534"/>
    <n v="0"/>
    <m/>
    <m/>
    <x v="0"/>
    <n v="960"/>
    <n v="960"/>
    <n v="0"/>
    <n v="0"/>
    <m/>
  </r>
  <r>
    <x v="5"/>
    <x v="0"/>
    <x v="0"/>
    <n v="1771"/>
    <n v="0"/>
    <m/>
    <m/>
    <x v="0"/>
    <n v="823"/>
    <n v="823"/>
    <n v="0"/>
    <n v="0"/>
    <m/>
  </r>
  <r>
    <x v="5"/>
    <x v="0"/>
    <x v="0"/>
    <n v="1455"/>
    <n v="0"/>
    <s v="Fod"/>
    <n v="1"/>
    <x v="1"/>
    <n v="0"/>
    <n v="0"/>
    <n v="11500"/>
    <n v="0"/>
    <m/>
  </r>
  <r>
    <x v="5"/>
    <x v="0"/>
    <x v="0"/>
    <n v="1687"/>
    <n v="0"/>
    <m/>
    <m/>
    <x v="0"/>
    <n v="823"/>
    <n v="823"/>
    <n v="0"/>
    <n v="0"/>
    <m/>
  </r>
  <r>
    <x v="5"/>
    <x v="0"/>
    <x v="0"/>
    <n v="1486"/>
    <n v="1"/>
    <m/>
    <m/>
    <x v="0"/>
    <n v="823"/>
    <n v="823"/>
    <n v="0"/>
    <n v="0"/>
    <m/>
  </r>
  <r>
    <x v="5"/>
    <x v="0"/>
    <x v="0"/>
    <n v="1799"/>
    <n v="1"/>
    <s v="Scroll"/>
    <n v="1"/>
    <x v="2"/>
    <n v="0"/>
    <n v="2000"/>
    <n v="0"/>
    <n v="800"/>
    <m/>
  </r>
  <r>
    <x v="5"/>
    <x v="0"/>
    <x v="0"/>
    <n v="1437"/>
    <n v="0"/>
    <s v="Scroll"/>
    <n v="1"/>
    <x v="2"/>
    <n v="0"/>
    <n v="2000"/>
    <n v="0"/>
    <n v="800"/>
    <m/>
  </r>
  <r>
    <x v="5"/>
    <x v="0"/>
    <x v="0"/>
    <n v="1653"/>
    <n v="1"/>
    <m/>
    <m/>
    <x v="0"/>
    <n v="1824"/>
    <n v="1824"/>
    <n v="0"/>
    <n v="0"/>
    <m/>
  </r>
  <r>
    <x v="5"/>
    <x v="0"/>
    <x v="0"/>
    <n v="1162"/>
    <n v="1"/>
    <m/>
    <m/>
    <x v="0"/>
    <n v="823"/>
    <n v="823"/>
    <n v="0"/>
    <n v="0"/>
    <m/>
  </r>
  <r>
    <x v="5"/>
    <x v="0"/>
    <x v="0"/>
    <n v="1535"/>
    <n v="0"/>
    <s v="Scroll"/>
    <n v="1"/>
    <x v="2"/>
    <n v="0"/>
    <n v="2000"/>
    <n v="0"/>
    <n v="800"/>
    <m/>
  </r>
  <r>
    <x v="5"/>
    <x v="0"/>
    <x v="0"/>
    <n v="1913"/>
    <n v="1"/>
    <s v="Scroll"/>
    <n v="1"/>
    <x v="2"/>
    <n v="0"/>
    <n v="2000"/>
    <n v="0"/>
    <n v="800"/>
    <m/>
  </r>
  <r>
    <x v="5"/>
    <x v="0"/>
    <x v="0"/>
    <n v="2320"/>
    <n v="1"/>
    <m/>
    <m/>
    <x v="0"/>
    <n v="823"/>
    <n v="823"/>
    <n v="0"/>
    <n v="0"/>
    <m/>
  </r>
  <r>
    <x v="5"/>
    <x v="0"/>
    <x v="0"/>
    <n v="1826"/>
    <n v="1"/>
    <m/>
    <m/>
    <x v="0"/>
    <n v="823"/>
    <n v="823"/>
    <n v="0"/>
    <n v="0"/>
    <m/>
  </r>
  <r>
    <x v="5"/>
    <x v="0"/>
    <x v="0"/>
    <n v="1600"/>
    <n v="0"/>
    <m/>
    <m/>
    <x v="0"/>
    <n v="2128"/>
    <n v="2128"/>
    <n v="0"/>
    <n v="0"/>
    <m/>
  </r>
  <r>
    <x v="5"/>
    <x v="0"/>
    <x v="0"/>
    <n v="1293"/>
    <n v="1"/>
    <m/>
    <m/>
    <x v="0"/>
    <n v="892"/>
    <n v="892"/>
    <n v="0"/>
    <n v="0"/>
    <m/>
  </r>
  <r>
    <x v="5"/>
    <x v="0"/>
    <x v="0"/>
    <n v="1136"/>
    <n v="0"/>
    <m/>
    <m/>
    <x v="0"/>
    <n v="823"/>
    <n v="823"/>
    <n v="0"/>
    <n v="0"/>
    <m/>
  </r>
  <r>
    <x v="5"/>
    <x v="0"/>
    <x v="0"/>
    <n v="2791"/>
    <n v="0"/>
    <m/>
    <m/>
    <x v="0"/>
    <n v="823"/>
    <n v="823"/>
    <n v="0"/>
    <n v="0"/>
    <m/>
  </r>
  <r>
    <x v="5"/>
    <x v="0"/>
    <x v="0"/>
    <n v="3389"/>
    <n v="1"/>
    <m/>
    <m/>
    <x v="0"/>
    <n v="1976"/>
    <n v="1976"/>
    <n v="0"/>
    <n v="0"/>
    <m/>
  </r>
  <r>
    <x v="5"/>
    <x v="0"/>
    <x v="0"/>
    <n v="1297"/>
    <n v="3"/>
    <m/>
    <m/>
    <x v="0"/>
    <n v="823"/>
    <n v="823"/>
    <n v="0"/>
    <n v="0"/>
    <m/>
  </r>
  <r>
    <x v="5"/>
    <x v="0"/>
    <x v="0"/>
    <n v="1726"/>
    <n v="1"/>
    <m/>
    <m/>
    <x v="0"/>
    <n v="1824"/>
    <n v="1824"/>
    <n v="0"/>
    <n v="0"/>
    <m/>
  </r>
  <r>
    <x v="0"/>
    <x v="2"/>
    <x v="1"/>
    <n v="1484"/>
    <n v="2"/>
    <m/>
    <m/>
    <x v="0"/>
    <n v="1159"/>
    <n v="1159"/>
    <n v="0"/>
    <n v="0"/>
    <m/>
  </r>
  <r>
    <x v="0"/>
    <x v="2"/>
    <x v="1"/>
    <n v="1202"/>
    <n v="2"/>
    <m/>
    <m/>
    <x v="0"/>
    <n v="1159"/>
    <n v="1159"/>
    <n v="0"/>
    <n v="0"/>
    <m/>
  </r>
  <r>
    <x v="5"/>
    <x v="0"/>
    <x v="0"/>
    <n v="562"/>
    <n v="0"/>
    <m/>
    <m/>
    <x v="0"/>
    <n v="1824"/>
    <n v="1824"/>
    <n v="0"/>
    <n v="0"/>
    <m/>
  </r>
  <r>
    <x v="5"/>
    <x v="0"/>
    <x v="0"/>
    <n v="649"/>
    <n v="1"/>
    <m/>
    <m/>
    <x v="0"/>
    <n v="823"/>
    <n v="823"/>
    <n v="0"/>
    <n v="0"/>
    <m/>
  </r>
  <r>
    <x v="5"/>
    <x v="0"/>
    <x v="0"/>
    <n v="1241"/>
    <n v="1"/>
    <s v="Scroll"/>
    <n v="1"/>
    <x v="2"/>
    <n v="0"/>
    <n v="2000"/>
    <n v="0"/>
    <n v="800"/>
    <m/>
  </r>
  <r>
    <x v="5"/>
    <x v="0"/>
    <x v="0"/>
    <n v="1560"/>
    <n v="0"/>
    <m/>
    <m/>
    <x v="0"/>
    <n v="823"/>
    <n v="823"/>
    <n v="0"/>
    <n v="0"/>
    <d v="1899-12-30T07:56:20"/>
  </r>
  <r>
    <x v="5"/>
    <x v="0"/>
    <x v="0"/>
    <n v="1231"/>
    <n v="1"/>
    <s v="Scroll"/>
    <n v="1"/>
    <x v="2"/>
    <n v="0"/>
    <n v="2000"/>
    <n v="0"/>
    <n v="800"/>
    <d v="1899-12-30T07:59:05"/>
  </r>
  <r>
    <x v="5"/>
    <x v="0"/>
    <x v="0"/>
    <n v="566"/>
    <n v="1"/>
    <m/>
    <m/>
    <x v="0"/>
    <n v="823"/>
    <n v="823"/>
    <n v="0"/>
    <n v="0"/>
    <m/>
  </r>
  <r>
    <x v="5"/>
    <x v="0"/>
    <x v="0"/>
    <n v="723"/>
    <n v="1"/>
    <s v="Scroll"/>
    <n v="1"/>
    <x v="2"/>
    <n v="0"/>
    <n v="2000"/>
    <n v="0"/>
    <n v="800"/>
    <m/>
  </r>
  <r>
    <x v="5"/>
    <x v="0"/>
    <x v="0"/>
    <n v="1626"/>
    <n v="1"/>
    <m/>
    <m/>
    <x v="0"/>
    <n v="1824"/>
    <n v="1824"/>
    <n v="0"/>
    <n v="0"/>
    <m/>
  </r>
  <r>
    <x v="5"/>
    <x v="0"/>
    <x v="0"/>
    <n v="2033"/>
    <n v="2"/>
    <s v="Scroll"/>
    <n v="1"/>
    <x v="2"/>
    <n v="0"/>
    <n v="2000"/>
    <n v="0"/>
    <n v="800"/>
    <m/>
  </r>
  <r>
    <x v="5"/>
    <x v="0"/>
    <x v="0"/>
    <n v="1600"/>
    <n v="1"/>
    <m/>
    <m/>
    <x v="0"/>
    <n v="1824"/>
    <n v="1824"/>
    <n v="0"/>
    <n v="0"/>
    <d v="1899-12-30T08:13:20"/>
  </r>
  <r>
    <x v="5"/>
    <x v="0"/>
    <x v="0"/>
    <n v="702"/>
    <n v="0"/>
    <m/>
    <m/>
    <x v="0"/>
    <n v="1824"/>
    <n v="1824"/>
    <n v="0"/>
    <n v="0"/>
    <m/>
  </r>
  <r>
    <x v="5"/>
    <x v="0"/>
    <x v="0"/>
    <n v="1330"/>
    <n v="0"/>
    <s v="Scroll"/>
    <n v="1"/>
    <x v="2"/>
    <n v="0"/>
    <n v="2000"/>
    <n v="0"/>
    <n v="800"/>
    <m/>
  </r>
  <r>
    <x v="5"/>
    <x v="0"/>
    <x v="0"/>
    <n v="1054"/>
    <n v="0"/>
    <s v="Fod"/>
    <n v="1"/>
    <x v="1"/>
    <n v="0"/>
    <n v="0"/>
    <n v="11500"/>
    <n v="0"/>
    <m/>
  </r>
  <r>
    <x v="5"/>
    <x v="0"/>
    <x v="0"/>
    <n v="1391"/>
    <n v="0"/>
    <m/>
    <m/>
    <x v="0"/>
    <n v="1824"/>
    <n v="1824"/>
    <n v="0"/>
    <n v="0"/>
    <m/>
  </r>
  <r>
    <x v="5"/>
    <x v="0"/>
    <x v="0"/>
    <n v="1603"/>
    <n v="2"/>
    <m/>
    <m/>
    <x v="0"/>
    <n v="1824"/>
    <n v="1824"/>
    <n v="0"/>
    <n v="0"/>
    <m/>
  </r>
  <r>
    <x v="5"/>
    <x v="0"/>
    <x v="0"/>
    <n v="1415"/>
    <n v="0"/>
    <m/>
    <m/>
    <x v="0"/>
    <n v="960"/>
    <n v="960"/>
    <n v="0"/>
    <n v="0"/>
    <m/>
  </r>
  <r>
    <x v="5"/>
    <x v="0"/>
    <x v="0"/>
    <n v="1206"/>
    <n v="1"/>
    <m/>
    <m/>
    <x v="0"/>
    <n v="823"/>
    <n v="823"/>
    <n v="0"/>
    <n v="0"/>
    <d v="1899-12-30T08:31:40"/>
  </r>
  <r>
    <x v="1"/>
    <x v="0"/>
    <x v="0"/>
    <n v="1840"/>
    <n v="1"/>
    <m/>
    <m/>
    <x v="0"/>
    <n v="823"/>
    <n v="823"/>
    <n v="0"/>
    <n v="0"/>
    <d v="1899-12-30T08:32:00"/>
  </r>
  <r>
    <x v="1"/>
    <x v="0"/>
    <x v="0"/>
    <n v="1042"/>
    <n v="0"/>
    <s v="Scroll"/>
    <n v="1"/>
    <x v="2"/>
    <n v="0"/>
    <n v="2000"/>
    <n v="0"/>
    <n v="800"/>
    <m/>
  </r>
  <r>
    <x v="3"/>
    <x v="0"/>
    <x v="3"/>
    <n v="1500"/>
    <n v="0"/>
    <s v="Magic"/>
    <n v="4"/>
    <x v="3"/>
    <n v="0"/>
    <n v="0"/>
    <n v="0"/>
    <n v="0"/>
    <m/>
  </r>
  <r>
    <x v="6"/>
    <x v="0"/>
    <x v="3"/>
    <n v="1500"/>
    <n v="0"/>
    <s v="Light"/>
    <n v="3"/>
    <x v="3"/>
    <n v="0"/>
    <n v="0"/>
    <n v="0"/>
    <n v="0"/>
    <m/>
  </r>
  <r>
    <x v="6"/>
    <x v="0"/>
    <x v="3"/>
    <n v="1782"/>
    <n v="0"/>
    <s v="Light"/>
    <n v="2"/>
    <x v="3"/>
    <n v="0"/>
    <n v="0"/>
    <n v="0"/>
    <n v="0"/>
    <m/>
  </r>
  <r>
    <x v="6"/>
    <x v="0"/>
    <x v="3"/>
    <n v="1666"/>
    <n v="1"/>
    <s v="Light"/>
    <n v="1"/>
    <x v="4"/>
    <n v="0"/>
    <n v="0"/>
    <n v="0"/>
    <n v="0"/>
    <m/>
  </r>
  <r>
    <x v="6"/>
    <x v="0"/>
    <x v="3"/>
    <n v="1556"/>
    <n v="0"/>
    <s v="Light"/>
    <n v="2"/>
    <x v="3"/>
    <n v="0"/>
    <n v="0"/>
    <n v="0"/>
    <n v="0"/>
    <m/>
  </r>
  <r>
    <x v="6"/>
    <x v="0"/>
    <x v="3"/>
    <n v="2860"/>
    <n v="0"/>
    <s v="Light"/>
    <n v="1"/>
    <x v="4"/>
    <n v="0"/>
    <n v="0"/>
    <n v="0"/>
    <n v="0"/>
    <m/>
  </r>
  <r>
    <x v="6"/>
    <x v="0"/>
    <x v="3"/>
    <n v="2986"/>
    <n v="0"/>
    <s v="Light"/>
    <n v="2"/>
    <x v="3"/>
    <n v="0"/>
    <n v="0"/>
    <n v="0"/>
    <n v="0"/>
    <m/>
  </r>
  <r>
    <x v="6"/>
    <x v="0"/>
    <x v="3"/>
    <n v="3172"/>
    <n v="1"/>
    <s v="SD(sala)"/>
    <n v="1"/>
    <x v="1"/>
    <n v="0"/>
    <n v="0"/>
    <n v="0"/>
    <n v="0"/>
    <m/>
  </r>
  <r>
    <x v="6"/>
    <x v="0"/>
    <x v="3"/>
    <n v="1420"/>
    <n v="0"/>
    <s v="Light"/>
    <n v="2"/>
    <x v="4"/>
    <n v="0"/>
    <n v="0"/>
    <n v="0"/>
    <n v="0"/>
    <m/>
  </r>
  <r>
    <x v="6"/>
    <x v="0"/>
    <x v="3"/>
    <n v="1352"/>
    <n v="0"/>
    <s v="Light"/>
    <n v="1"/>
    <x v="4"/>
    <n v="0"/>
    <n v="0"/>
    <n v="0"/>
    <n v="0"/>
    <m/>
  </r>
  <r>
    <x v="6"/>
    <x v="0"/>
    <x v="3"/>
    <n v="1362"/>
    <n v="0"/>
    <s v="Scroll"/>
    <n v="4"/>
    <x v="2"/>
    <n v="0"/>
    <n v="8000"/>
    <n v="0"/>
    <n v="3200"/>
    <m/>
  </r>
  <r>
    <x v="6"/>
    <x v="0"/>
    <x v="3"/>
    <n v="1428"/>
    <n v="1"/>
    <s v="SumStone"/>
    <n v="3"/>
    <x v="5"/>
    <n v="0"/>
    <n v="0"/>
    <n v="2587.5"/>
    <n v="2686.6499999999996"/>
    <m/>
  </r>
  <r>
    <x v="6"/>
    <x v="0"/>
    <x v="3"/>
    <n v="1500"/>
    <n v="4"/>
    <s v="Scroll"/>
    <n v="2"/>
    <x v="2"/>
    <n v="0"/>
    <n v="4000"/>
    <n v="0"/>
    <n v="1600"/>
    <m/>
  </r>
  <r>
    <x v="6"/>
    <x v="0"/>
    <x v="3"/>
    <n v="1559"/>
    <n v="0"/>
    <s v="Light"/>
    <n v="1"/>
    <x v="4"/>
    <n v="0"/>
    <n v="0"/>
    <n v="0"/>
    <n v="0"/>
    <m/>
  </r>
  <r>
    <x v="6"/>
    <x v="0"/>
    <x v="3"/>
    <n v="1600"/>
    <n v="0"/>
    <s v="Light"/>
    <n v="3"/>
    <x v="4"/>
    <n v="0"/>
    <n v="0"/>
    <n v="0"/>
    <n v="0"/>
    <m/>
  </r>
  <r>
    <x v="6"/>
    <x v="0"/>
    <x v="3"/>
    <n v="1480"/>
    <n v="1"/>
    <s v="Scroll"/>
    <n v="2"/>
    <x v="2"/>
    <n v="0"/>
    <n v="4000"/>
    <n v="0"/>
    <n v="1600"/>
    <m/>
  </r>
  <r>
    <x v="6"/>
    <x v="0"/>
    <x v="3"/>
    <n v="1389"/>
    <n v="0"/>
    <s v="Light"/>
    <n v="4"/>
    <x v="3"/>
    <n v="0"/>
    <n v="0"/>
    <n v="0"/>
    <n v="0"/>
    <m/>
  </r>
  <r>
    <x v="1"/>
    <x v="1"/>
    <x v="0"/>
    <n v="1617"/>
    <n v="1"/>
    <m/>
    <m/>
    <x v="0"/>
    <n v="1824"/>
    <n v="1824"/>
    <n v="0"/>
    <n v="0"/>
    <m/>
  </r>
  <r>
    <x v="1"/>
    <x v="1"/>
    <x v="0"/>
    <n v="1347"/>
    <n v="1"/>
    <s v="Fod"/>
    <n v="1"/>
    <x v="1"/>
    <n v="0"/>
    <n v="0"/>
    <n v="11500"/>
    <n v="0"/>
    <m/>
  </r>
  <r>
    <x v="1"/>
    <x v="1"/>
    <x v="0"/>
    <n v="2050"/>
    <n v="0"/>
    <m/>
    <m/>
    <x v="0"/>
    <n v="3182"/>
    <n v="3182"/>
    <n v="0"/>
    <n v="0"/>
    <m/>
  </r>
  <r>
    <x v="1"/>
    <x v="1"/>
    <x v="0"/>
    <n v="999"/>
    <n v="2"/>
    <m/>
    <m/>
    <x v="0"/>
    <n v="2937"/>
    <n v="2937"/>
    <n v="0"/>
    <n v="0"/>
    <m/>
  </r>
  <r>
    <x v="1"/>
    <x v="1"/>
    <x v="0"/>
    <n v="1097"/>
    <n v="1"/>
    <m/>
    <m/>
    <x v="0"/>
    <n v="2937"/>
    <n v="2937"/>
    <n v="0"/>
    <n v="0"/>
    <m/>
  </r>
  <r>
    <x v="1"/>
    <x v="1"/>
    <x v="0"/>
    <n v="1283"/>
    <n v="1"/>
    <m/>
    <m/>
    <x v="0"/>
    <n v="1824"/>
    <n v="1824"/>
    <n v="0"/>
    <n v="0"/>
    <m/>
  </r>
  <r>
    <x v="1"/>
    <x v="1"/>
    <x v="0"/>
    <n v="1407"/>
    <n v="0"/>
    <s v="Scroll"/>
    <n v="2"/>
    <x v="2"/>
    <n v="0"/>
    <n v="4000"/>
    <n v="0"/>
    <n v="1600"/>
    <m/>
  </r>
  <r>
    <x v="1"/>
    <x v="1"/>
    <x v="0"/>
    <n v="1280"/>
    <n v="0"/>
    <m/>
    <m/>
    <x v="0"/>
    <n v="3182"/>
    <n v="3182"/>
    <n v="0"/>
    <n v="0"/>
    <m/>
  </r>
  <r>
    <x v="1"/>
    <x v="1"/>
    <x v="0"/>
    <n v="1506"/>
    <n v="1"/>
    <s v="SweetCookie"/>
    <n v="1"/>
    <x v="0"/>
    <n v="0"/>
    <n v="0"/>
    <n v="0"/>
    <n v="0"/>
    <m/>
  </r>
  <r>
    <x v="1"/>
    <x v="1"/>
    <x v="0"/>
    <n v="1513"/>
    <n v="0"/>
    <s v="Fod"/>
    <n v="1"/>
    <x v="5"/>
    <n v="0"/>
    <n v="0"/>
    <n v="34500"/>
    <n v="35822"/>
    <m/>
  </r>
  <r>
    <x v="1"/>
    <x v="1"/>
    <x v="0"/>
    <n v="1334"/>
    <n v="0"/>
    <m/>
    <m/>
    <x v="0"/>
    <n v="1824"/>
    <n v="1824"/>
    <n v="0"/>
    <n v="0"/>
    <m/>
  </r>
  <r>
    <x v="1"/>
    <x v="1"/>
    <x v="0"/>
    <n v="1572"/>
    <n v="0"/>
    <s v="Rainb"/>
    <n v="1"/>
    <x v="1"/>
    <n v="0"/>
    <n v="0"/>
    <n v="11500"/>
    <n v="35822"/>
    <m/>
  </r>
  <r>
    <x v="1"/>
    <x v="1"/>
    <x v="0"/>
    <n v="1645"/>
    <n v="1"/>
    <m/>
    <m/>
    <x v="0"/>
    <n v="1824"/>
    <n v="1824"/>
    <n v="0"/>
    <n v="0"/>
    <m/>
  </r>
  <r>
    <x v="1"/>
    <x v="1"/>
    <x v="0"/>
    <n v="2042"/>
    <n v="0"/>
    <s v="Scroll"/>
    <n v="2"/>
    <x v="2"/>
    <n v="0"/>
    <n v="4000"/>
    <n v="0"/>
    <n v="1600"/>
    <m/>
  </r>
  <r>
    <x v="1"/>
    <x v="1"/>
    <x v="0"/>
    <n v="1221"/>
    <n v="1"/>
    <m/>
    <m/>
    <x v="0"/>
    <n v="2937"/>
    <n v="2937"/>
    <n v="0"/>
    <n v="0"/>
    <m/>
  </r>
  <r>
    <x v="1"/>
    <x v="1"/>
    <x v="0"/>
    <n v="1320"/>
    <n v="1"/>
    <m/>
    <m/>
    <x v="0"/>
    <n v="1824"/>
    <n v="1824"/>
    <n v="0"/>
    <n v="0"/>
    <m/>
  </r>
  <r>
    <x v="1"/>
    <x v="1"/>
    <x v="0"/>
    <n v="1157"/>
    <n v="1"/>
    <m/>
    <m/>
    <x v="0"/>
    <n v="1824"/>
    <n v="1824"/>
    <n v="0"/>
    <n v="0"/>
    <m/>
  </r>
  <r>
    <x v="1"/>
    <x v="1"/>
    <x v="0"/>
    <n v="1815"/>
    <n v="0"/>
    <m/>
    <m/>
    <x v="0"/>
    <n v="2937"/>
    <n v="2937"/>
    <n v="0"/>
    <n v="0"/>
    <m/>
  </r>
  <r>
    <x v="1"/>
    <x v="1"/>
    <x v="0"/>
    <n v="1800"/>
    <n v="0"/>
    <s v="Scroll"/>
    <n v="2"/>
    <x v="2"/>
    <n v="0"/>
    <n v="4000"/>
    <n v="0"/>
    <n v="1600"/>
    <m/>
  </r>
  <r>
    <x v="1"/>
    <x v="1"/>
    <x v="0"/>
    <n v="2178"/>
    <n v="4"/>
    <m/>
    <m/>
    <x v="0"/>
    <n v="2128"/>
    <n v="2128"/>
    <n v="0"/>
    <n v="0"/>
    <m/>
  </r>
  <r>
    <x v="1"/>
    <x v="1"/>
    <x v="0"/>
    <n v="1708"/>
    <n v="1"/>
    <m/>
    <m/>
    <x v="0"/>
    <n v="1824"/>
    <n v="1824"/>
    <n v="0"/>
    <n v="0"/>
    <m/>
  </r>
  <r>
    <x v="1"/>
    <x v="1"/>
    <x v="0"/>
    <n v="1277"/>
    <n v="2"/>
    <m/>
    <m/>
    <x v="0"/>
    <n v="1824"/>
    <n v="1824"/>
    <n v="0"/>
    <n v="0"/>
    <m/>
  </r>
  <r>
    <x v="1"/>
    <x v="1"/>
    <x v="0"/>
    <n v="2156"/>
    <n v="1"/>
    <m/>
    <m/>
    <x v="0"/>
    <n v="2937"/>
    <n v="2937"/>
    <n v="0"/>
    <n v="0"/>
    <m/>
  </r>
  <r>
    <x v="1"/>
    <x v="1"/>
    <x v="0"/>
    <n v="1698"/>
    <n v="0"/>
    <s v="Scroll"/>
    <n v="2"/>
    <x v="2"/>
    <n v="0"/>
    <n v="4000"/>
    <n v="0"/>
    <n v="1600"/>
    <m/>
  </r>
  <r>
    <x v="1"/>
    <x v="1"/>
    <x v="0"/>
    <n v="783"/>
    <n v="0"/>
    <m/>
    <m/>
    <x v="0"/>
    <n v="1834"/>
    <n v="1834"/>
    <n v="0"/>
    <n v="0"/>
    <m/>
  </r>
  <r>
    <x v="1"/>
    <x v="1"/>
    <x v="0"/>
    <n v="1255"/>
    <n v="0"/>
    <m/>
    <m/>
    <x v="0"/>
    <n v="1834"/>
    <n v="1834"/>
    <n v="0"/>
    <n v="0"/>
    <m/>
  </r>
  <r>
    <x v="1"/>
    <x v="1"/>
    <x v="0"/>
    <n v="1504"/>
    <n v="1"/>
    <m/>
    <m/>
    <x v="0"/>
    <n v="2937"/>
    <n v="2937"/>
    <n v="0"/>
    <n v="0"/>
    <m/>
  </r>
  <r>
    <x v="1"/>
    <x v="1"/>
    <x v="0"/>
    <n v="1439"/>
    <n v="0"/>
    <m/>
    <m/>
    <x v="0"/>
    <n v="1834"/>
    <n v="1834"/>
    <n v="0"/>
    <n v="0"/>
    <m/>
  </r>
  <r>
    <x v="1"/>
    <x v="1"/>
    <x v="0"/>
    <n v="1508"/>
    <n v="1"/>
    <s v="Fod"/>
    <n v="1"/>
    <x v="1"/>
    <n v="0"/>
    <n v="0"/>
    <n v="11500"/>
    <n v="0"/>
    <m/>
  </r>
  <r>
    <x v="1"/>
    <x v="1"/>
    <x v="0"/>
    <n v="2502"/>
    <n v="2"/>
    <s v="Fod"/>
    <n v="1"/>
    <x v="1"/>
    <n v="0"/>
    <n v="0"/>
    <n v="11500"/>
    <n v="0"/>
    <m/>
  </r>
  <r>
    <x v="1"/>
    <x v="1"/>
    <x v="0"/>
    <n v="1786"/>
    <n v="1"/>
    <m/>
    <m/>
    <x v="0"/>
    <n v="1834"/>
    <n v="1834"/>
    <n v="0"/>
    <n v="0"/>
    <m/>
  </r>
  <r>
    <x v="1"/>
    <x v="1"/>
    <x v="0"/>
    <n v="1673"/>
    <n v="3"/>
    <m/>
    <m/>
    <x v="0"/>
    <n v="2280"/>
    <n v="2280"/>
    <n v="0"/>
    <n v="0"/>
    <m/>
  </r>
  <r>
    <x v="1"/>
    <x v="1"/>
    <x v="5"/>
    <n v="1387"/>
    <n v="1"/>
    <m/>
    <m/>
    <x v="0"/>
    <n v="2080"/>
    <n v="2080"/>
    <n v="0"/>
    <n v="0"/>
    <m/>
  </r>
  <r>
    <x v="2"/>
    <x v="0"/>
    <x v="4"/>
    <n v="1657"/>
    <n v="2"/>
    <m/>
    <m/>
    <x v="0"/>
    <n v="3168"/>
    <n v="3168"/>
    <n v="0"/>
    <n v="0"/>
    <m/>
  </r>
  <r>
    <x v="3"/>
    <x v="0"/>
    <x v="3"/>
    <n v="1000"/>
    <n v="0"/>
    <s v="Magic"/>
    <n v="1"/>
    <x v="4"/>
    <n v="0"/>
    <n v="0"/>
    <n v="0"/>
    <n v="0"/>
    <m/>
  </r>
  <r>
    <x v="7"/>
    <x v="0"/>
    <x v="3"/>
    <n v="1000"/>
    <n v="0"/>
    <s v="Dark"/>
    <n v="5"/>
    <x v="3"/>
    <n v="0"/>
    <n v="0"/>
    <n v="0"/>
    <n v="0"/>
    <m/>
  </r>
  <r>
    <x v="0"/>
    <x v="2"/>
    <x v="1"/>
    <n v="1659"/>
    <n v="4"/>
    <m/>
    <m/>
    <x v="0"/>
    <n v="2067"/>
    <n v="2067"/>
    <n v="0"/>
    <n v="0"/>
    <m/>
  </r>
  <r>
    <x v="0"/>
    <x v="2"/>
    <x v="1"/>
    <n v="1881"/>
    <n v="1"/>
    <m/>
    <m/>
    <x v="0"/>
    <n v="1159"/>
    <n v="1159"/>
    <n v="0"/>
    <n v="0"/>
    <m/>
  </r>
  <r>
    <x v="0"/>
    <x v="2"/>
    <x v="1"/>
    <n v="2446"/>
    <n v="1"/>
    <m/>
    <m/>
    <x v="0"/>
    <n v="1159"/>
    <n v="1159"/>
    <n v="0"/>
    <n v="0"/>
    <m/>
  </r>
  <r>
    <x v="0"/>
    <x v="2"/>
    <x v="1"/>
    <n v="1899"/>
    <n v="0"/>
    <m/>
    <m/>
    <x v="0"/>
    <n v="1352"/>
    <n v="1352"/>
    <n v="0"/>
    <n v="0"/>
    <m/>
  </r>
  <r>
    <x v="0"/>
    <x v="2"/>
    <x v="1"/>
    <n v="1480"/>
    <n v="1"/>
    <m/>
    <m/>
    <x v="0"/>
    <n v="1159"/>
    <n v="1159"/>
    <n v="0"/>
    <n v="0"/>
    <m/>
  </r>
  <r>
    <x v="0"/>
    <x v="2"/>
    <x v="1"/>
    <n v="1725"/>
    <n v="2"/>
    <m/>
    <m/>
    <x v="0"/>
    <n v="1159"/>
    <n v="1159"/>
    <n v="0"/>
    <n v="0"/>
    <m/>
  </r>
  <r>
    <x v="0"/>
    <x v="2"/>
    <x v="1"/>
    <n v="1343"/>
    <n v="0"/>
    <s v="Scroll"/>
    <n v="3"/>
    <x v="2"/>
    <n v="0"/>
    <n v="6000"/>
    <n v="0"/>
    <n v="2400"/>
    <m/>
  </r>
  <r>
    <x v="0"/>
    <x v="2"/>
    <x v="1"/>
    <n v="2733"/>
    <n v="0"/>
    <m/>
    <m/>
    <x v="0"/>
    <n v="1159"/>
    <n v="1159"/>
    <n v="0"/>
    <n v="0"/>
    <m/>
  </r>
  <r>
    <x v="0"/>
    <x v="2"/>
    <x v="1"/>
    <n v="2196"/>
    <n v="0"/>
    <m/>
    <m/>
    <x v="0"/>
    <n v="1159"/>
    <n v="1159"/>
    <n v="0"/>
    <n v="0"/>
    <m/>
  </r>
  <r>
    <x v="0"/>
    <x v="2"/>
    <x v="1"/>
    <n v="1326"/>
    <n v="0"/>
    <m/>
    <m/>
    <x v="0"/>
    <n v="1159"/>
    <n v="1159"/>
    <n v="0"/>
    <n v="0"/>
    <m/>
  </r>
  <r>
    <x v="0"/>
    <x v="2"/>
    <x v="1"/>
    <n v="2012"/>
    <n v="0"/>
    <s v="SweetCookie"/>
    <m/>
    <x v="0"/>
    <n v="0"/>
    <n v="0"/>
    <n v="0"/>
    <n v="0"/>
    <m/>
  </r>
  <r>
    <x v="0"/>
    <x v="2"/>
    <x v="1"/>
    <n v="1970"/>
    <n v="1"/>
    <m/>
    <m/>
    <x v="0"/>
    <n v="1546"/>
    <n v="1546"/>
    <n v="0"/>
    <n v="0"/>
    <m/>
  </r>
  <r>
    <x v="0"/>
    <x v="2"/>
    <x v="1"/>
    <n v="779"/>
    <n v="1"/>
    <s v="Scroll"/>
    <n v="3"/>
    <x v="2"/>
    <n v="0"/>
    <n v="6000"/>
    <n v="0"/>
    <n v="2400"/>
    <m/>
  </r>
  <r>
    <x v="0"/>
    <x v="2"/>
    <x v="1"/>
    <n v="2074"/>
    <n v="1"/>
    <m/>
    <m/>
    <x v="0"/>
    <n v="1159"/>
    <n v="1159"/>
    <n v="0"/>
    <n v="0"/>
    <m/>
  </r>
  <r>
    <x v="0"/>
    <x v="2"/>
    <x v="1"/>
    <n v="1672"/>
    <n v="0"/>
    <m/>
    <m/>
    <x v="0"/>
    <n v="1159"/>
    <n v="1159"/>
    <n v="0"/>
    <n v="0"/>
    <m/>
  </r>
  <r>
    <x v="0"/>
    <x v="2"/>
    <x v="1"/>
    <n v="823"/>
    <n v="0"/>
    <m/>
    <m/>
    <x v="0"/>
    <n v="1159"/>
    <n v="1159"/>
    <n v="0"/>
    <n v="0"/>
    <m/>
  </r>
  <r>
    <x v="0"/>
    <x v="2"/>
    <x v="1"/>
    <n v="1454"/>
    <n v="3"/>
    <m/>
    <m/>
    <x v="0"/>
    <n v="1159"/>
    <n v="1159"/>
    <n v="0"/>
    <n v="0"/>
    <m/>
  </r>
  <r>
    <x v="0"/>
    <x v="2"/>
    <x v="1"/>
    <n v="1264"/>
    <n v="2"/>
    <s v="Scroll"/>
    <n v="3"/>
    <x v="2"/>
    <n v="0"/>
    <n v="6000"/>
    <n v="0"/>
    <n v="2400"/>
    <m/>
  </r>
  <r>
    <x v="0"/>
    <x v="2"/>
    <x v="1"/>
    <n v="1755"/>
    <n v="0"/>
    <m/>
    <m/>
    <x v="0"/>
    <n v="2757"/>
    <n v="2757"/>
    <n v="0"/>
    <n v="0"/>
    <m/>
  </r>
  <r>
    <x v="1"/>
    <x v="1"/>
    <x v="0"/>
    <n v="1277"/>
    <n v="1"/>
    <m/>
    <m/>
    <x v="0"/>
    <n v="1824"/>
    <n v="1824"/>
    <n v="0"/>
    <n v="0"/>
    <m/>
  </r>
  <r>
    <x v="1"/>
    <x v="1"/>
    <x v="0"/>
    <n v="2049"/>
    <n v="0"/>
    <m/>
    <m/>
    <x v="0"/>
    <n v="2937"/>
    <n v="2937"/>
    <n v="0"/>
    <n v="0"/>
    <m/>
  </r>
  <r>
    <x v="1"/>
    <x v="1"/>
    <x v="0"/>
    <n v="1892"/>
    <n v="1"/>
    <m/>
    <m/>
    <x v="0"/>
    <n v="3400"/>
    <n v="3400"/>
    <n v="0"/>
    <n v="0"/>
    <m/>
  </r>
  <r>
    <x v="1"/>
    <x v="1"/>
    <x v="0"/>
    <n v="2348"/>
    <n v="0"/>
    <m/>
    <m/>
    <x v="0"/>
    <n v="1824"/>
    <n v="1824"/>
    <n v="0"/>
    <n v="0"/>
    <m/>
  </r>
  <r>
    <x v="1"/>
    <x v="1"/>
    <x v="0"/>
    <n v="1998"/>
    <n v="1"/>
    <s v="Scroll"/>
    <n v="2"/>
    <x v="2"/>
    <n v="0"/>
    <n v="4000"/>
    <n v="0"/>
    <n v="1600"/>
    <m/>
  </r>
  <r>
    <x v="1"/>
    <x v="1"/>
    <x v="0"/>
    <n v="1962"/>
    <n v="1"/>
    <m/>
    <m/>
    <x v="0"/>
    <n v="1824"/>
    <n v="1824"/>
    <n v="0"/>
    <n v="0"/>
    <m/>
  </r>
  <r>
    <x v="1"/>
    <x v="1"/>
    <x v="0"/>
    <n v="2010"/>
    <n v="1"/>
    <m/>
    <m/>
    <x v="0"/>
    <n v="1824"/>
    <n v="1824"/>
    <n v="0"/>
    <n v="0"/>
    <m/>
  </r>
  <r>
    <x v="1"/>
    <x v="1"/>
    <x v="0"/>
    <n v="1676"/>
    <n v="1"/>
    <m/>
    <m/>
    <x v="0"/>
    <n v="1976"/>
    <n v="1976"/>
    <n v="0"/>
    <n v="0"/>
    <m/>
  </r>
  <r>
    <x v="1"/>
    <x v="1"/>
    <x v="0"/>
    <n v="709"/>
    <n v="0"/>
    <s v="Scroll"/>
    <n v="2"/>
    <x v="2"/>
    <n v="0"/>
    <n v="4000"/>
    <n v="0"/>
    <n v="1600"/>
    <m/>
  </r>
  <r>
    <x v="1"/>
    <x v="1"/>
    <x v="0"/>
    <n v="2619"/>
    <n v="1"/>
    <m/>
    <m/>
    <x v="0"/>
    <n v="1834"/>
    <n v="1834"/>
    <n v="0"/>
    <n v="0"/>
    <m/>
  </r>
  <r>
    <x v="1"/>
    <x v="1"/>
    <x v="0"/>
    <n v="1880"/>
    <n v="0"/>
    <m/>
    <m/>
    <x v="0"/>
    <n v="1834"/>
    <n v="1834"/>
    <n v="0"/>
    <n v="0"/>
    <m/>
  </r>
  <r>
    <x v="2"/>
    <x v="0"/>
    <x v="3"/>
    <n v="2351"/>
    <n v="2"/>
    <m/>
    <m/>
    <x v="0"/>
    <n v="3100"/>
    <n v="3100"/>
    <n v="0"/>
    <n v="0"/>
    <m/>
  </r>
  <r>
    <x v="2"/>
    <x v="0"/>
    <x v="3"/>
    <n v="2200"/>
    <n v="4"/>
    <m/>
    <m/>
    <x v="0"/>
    <n v="1300"/>
    <n v="1300"/>
    <n v="0"/>
    <n v="0"/>
    <m/>
  </r>
  <r>
    <x v="2"/>
    <x v="0"/>
    <x v="3"/>
    <n v="1737"/>
    <n v="2"/>
    <m/>
    <m/>
    <x v="0"/>
    <n v="1649"/>
    <n v="1649"/>
    <n v="0"/>
    <n v="0"/>
    <m/>
  </r>
  <r>
    <x v="2"/>
    <x v="0"/>
    <x v="3"/>
    <n v="2547"/>
    <n v="2"/>
    <s v="SweetCookie"/>
    <m/>
    <x v="0"/>
    <n v="0"/>
    <n v="0"/>
    <n v="0"/>
    <n v="0"/>
    <m/>
  </r>
  <r>
    <x v="2"/>
    <x v="0"/>
    <x v="3"/>
    <n v="2230"/>
    <n v="2"/>
    <s v="Scroll"/>
    <n v="2"/>
    <x v="2"/>
    <n v="0"/>
    <n v="4000"/>
    <n v="0"/>
    <n v="1600"/>
    <m/>
  </r>
  <r>
    <x v="2"/>
    <x v="0"/>
    <x v="3"/>
    <n v="2500"/>
    <n v="2"/>
    <s v="Scroll"/>
    <n v="3"/>
    <x v="2"/>
    <n v="0"/>
    <n v="6000"/>
    <n v="0"/>
    <n v="2400"/>
    <m/>
  </r>
  <r>
    <x v="2"/>
    <x v="0"/>
    <x v="3"/>
    <n v="2677"/>
    <n v="1"/>
    <m/>
    <m/>
    <x v="0"/>
    <n v="8882"/>
    <n v="8882"/>
    <n v="0"/>
    <n v="0"/>
    <m/>
  </r>
  <r>
    <x v="2"/>
    <x v="0"/>
    <x v="3"/>
    <n v="2500"/>
    <n v="1"/>
    <m/>
    <m/>
    <x v="0"/>
    <n v="4134"/>
    <n v="4134"/>
    <n v="0"/>
    <n v="0"/>
    <m/>
  </r>
  <r>
    <x v="2"/>
    <x v="0"/>
    <x v="3"/>
    <n v="2751"/>
    <n v="0"/>
    <m/>
    <m/>
    <x v="0"/>
    <n v="6615"/>
    <n v="6615"/>
    <n v="0"/>
    <n v="0"/>
    <m/>
  </r>
  <r>
    <x v="2"/>
    <x v="0"/>
    <x v="3"/>
    <n v="2004"/>
    <n v="2"/>
    <m/>
    <m/>
    <x v="0"/>
    <n v="13770"/>
    <n v="13770"/>
    <n v="0"/>
    <n v="0"/>
    <m/>
  </r>
  <r>
    <x v="2"/>
    <x v="0"/>
    <x v="3"/>
    <n v="1787"/>
    <n v="3"/>
    <m/>
    <m/>
    <x v="0"/>
    <n v="4134"/>
    <n v="4134"/>
    <n v="0"/>
    <n v="0"/>
    <m/>
  </r>
  <r>
    <x v="2"/>
    <x v="0"/>
    <x v="3"/>
    <n v="2747"/>
    <n v="1"/>
    <m/>
    <m/>
    <x v="0"/>
    <n v="3720"/>
    <n v="3720"/>
    <n v="0"/>
    <n v="0"/>
    <m/>
  </r>
  <r>
    <x v="2"/>
    <x v="0"/>
    <x v="3"/>
    <n v="2105"/>
    <n v="0"/>
    <s v="Scroll"/>
    <n v="3"/>
    <x v="2"/>
    <n v="0"/>
    <n v="6000"/>
    <n v="0"/>
    <n v="2400"/>
    <m/>
  </r>
  <r>
    <x v="2"/>
    <x v="0"/>
    <x v="3"/>
    <n v="2230"/>
    <n v="2"/>
    <m/>
    <m/>
    <x v="0"/>
    <n v="2067"/>
    <n v="2067"/>
    <n v="0"/>
    <n v="0"/>
    <m/>
  </r>
  <r>
    <x v="2"/>
    <x v="0"/>
    <x v="3"/>
    <n v="2236"/>
    <n v="1"/>
    <s v="Scroll"/>
    <n v="4"/>
    <x v="2"/>
    <n v="0"/>
    <n v="8000"/>
    <n v="0"/>
    <n v="3200"/>
    <m/>
  </r>
  <r>
    <x v="2"/>
    <x v="0"/>
    <x v="3"/>
    <n v="2339"/>
    <n v="3"/>
    <s v="Scroll"/>
    <n v="4"/>
    <x v="2"/>
    <n v="0"/>
    <n v="8000"/>
    <n v="0"/>
    <n v="3200"/>
    <m/>
  </r>
  <r>
    <x v="0"/>
    <x v="2"/>
    <x v="1"/>
    <n v="1396"/>
    <n v="2"/>
    <m/>
    <m/>
    <x v="0"/>
    <n v="1159"/>
    <n v="1159"/>
    <n v="0"/>
    <n v="0"/>
    <m/>
  </r>
  <r>
    <x v="0"/>
    <x v="2"/>
    <x v="1"/>
    <n v="1382"/>
    <n v="1"/>
    <s v="Scroll"/>
    <n v="3"/>
    <x v="2"/>
    <n v="0"/>
    <n v="6000"/>
    <n v="0"/>
    <n v="2400"/>
    <m/>
  </r>
  <r>
    <x v="0"/>
    <x v="2"/>
    <x v="1"/>
    <n v="823"/>
    <n v="1"/>
    <m/>
    <m/>
    <x v="0"/>
    <n v="1159"/>
    <n v="1159"/>
    <n v="0"/>
    <n v="0"/>
    <m/>
  </r>
  <r>
    <x v="0"/>
    <x v="2"/>
    <x v="1"/>
    <n v="1300"/>
    <n v="2"/>
    <m/>
    <m/>
    <x v="0"/>
    <n v="1159"/>
    <n v="1159"/>
    <n v="0"/>
    <n v="0"/>
    <m/>
  </r>
  <r>
    <x v="0"/>
    <x v="2"/>
    <x v="1"/>
    <n v="1617"/>
    <n v="0"/>
    <m/>
    <m/>
    <x v="0"/>
    <n v="1159"/>
    <n v="1159"/>
    <n v="0"/>
    <n v="0"/>
    <m/>
  </r>
  <r>
    <x v="0"/>
    <x v="2"/>
    <x v="1"/>
    <n v="1669"/>
    <n v="2"/>
    <m/>
    <m/>
    <x v="0"/>
    <n v="2067"/>
    <n v="2067"/>
    <n v="0"/>
    <n v="0"/>
    <m/>
  </r>
  <r>
    <x v="0"/>
    <x v="2"/>
    <x v="1"/>
    <n v="1400"/>
    <n v="0"/>
    <m/>
    <m/>
    <x v="0"/>
    <n v="2067"/>
    <n v="2067"/>
    <n v="0"/>
    <n v="0"/>
    <m/>
  </r>
  <r>
    <x v="0"/>
    <x v="2"/>
    <x v="1"/>
    <n v="1299"/>
    <n v="1"/>
    <m/>
    <m/>
    <x v="0"/>
    <n v="1159"/>
    <n v="1159"/>
    <n v="0"/>
    <n v="0"/>
    <m/>
  </r>
  <r>
    <x v="0"/>
    <x v="2"/>
    <x v="1"/>
    <n v="1135"/>
    <n v="1"/>
    <m/>
    <m/>
    <x v="0"/>
    <n v="1159"/>
    <n v="1159"/>
    <n v="0"/>
    <n v="0"/>
    <m/>
  </r>
  <r>
    <x v="0"/>
    <x v="2"/>
    <x v="1"/>
    <n v="1659"/>
    <n v="1"/>
    <m/>
    <m/>
    <x v="0"/>
    <n v="1546"/>
    <n v="1546"/>
    <n v="0"/>
    <n v="0"/>
    <m/>
  </r>
  <r>
    <x v="0"/>
    <x v="2"/>
    <x v="1"/>
    <n v="1820"/>
    <n v="2"/>
    <m/>
    <m/>
    <x v="0"/>
    <n v="1159"/>
    <n v="1159"/>
    <n v="0"/>
    <n v="0"/>
    <m/>
  </r>
  <r>
    <x v="0"/>
    <x v="2"/>
    <x v="1"/>
    <n v="1567"/>
    <n v="1"/>
    <m/>
    <m/>
    <x v="0"/>
    <n v="1352"/>
    <n v="1352"/>
    <n v="0"/>
    <n v="0"/>
    <m/>
  </r>
  <r>
    <x v="0"/>
    <x v="2"/>
    <x v="1"/>
    <n v="1417"/>
    <n v="1"/>
    <m/>
    <m/>
    <x v="0"/>
    <n v="2067"/>
    <n v="2067"/>
    <n v="0"/>
    <n v="0"/>
    <m/>
  </r>
  <r>
    <x v="0"/>
    <x v="2"/>
    <x v="1"/>
    <n v="1149"/>
    <n v="0"/>
    <m/>
    <m/>
    <x v="0"/>
    <n v="1546"/>
    <n v="1546"/>
    <n v="0"/>
    <n v="0"/>
    <m/>
  </r>
  <r>
    <x v="0"/>
    <x v="2"/>
    <x v="1"/>
    <n v="999"/>
    <n v="2"/>
    <m/>
    <m/>
    <x v="0"/>
    <n v="2067"/>
    <n v="2067"/>
    <n v="0"/>
    <n v="0"/>
    <m/>
  </r>
  <r>
    <x v="0"/>
    <x v="2"/>
    <x v="1"/>
    <n v="1041"/>
    <n v="1"/>
    <m/>
    <m/>
    <x v="0"/>
    <n v="1159"/>
    <n v="1159"/>
    <n v="0"/>
    <n v="0"/>
    <m/>
  </r>
  <r>
    <x v="0"/>
    <x v="2"/>
    <x v="1"/>
    <n v="1428"/>
    <n v="1"/>
    <m/>
    <m/>
    <x v="0"/>
    <n v="1352"/>
    <n v="1352"/>
    <n v="0"/>
    <n v="0"/>
    <m/>
  </r>
  <r>
    <x v="0"/>
    <x v="2"/>
    <x v="1"/>
    <n v="1853"/>
    <n v="0"/>
    <s v="Scroll"/>
    <n v="3"/>
    <x v="2"/>
    <n v="0"/>
    <n v="6000"/>
    <n v="0"/>
    <n v="2400"/>
    <m/>
  </r>
  <r>
    <x v="0"/>
    <x v="2"/>
    <x v="1"/>
    <n v="2455"/>
    <n v="2"/>
    <m/>
    <m/>
    <x v="0"/>
    <n v="1159"/>
    <n v="1159"/>
    <n v="0"/>
    <n v="0"/>
    <m/>
  </r>
  <r>
    <x v="0"/>
    <x v="2"/>
    <x v="1"/>
    <n v="1681"/>
    <n v="1"/>
    <m/>
    <m/>
    <x v="0"/>
    <n v="1546"/>
    <n v="1546"/>
    <n v="0"/>
    <n v="0"/>
    <m/>
  </r>
  <r>
    <x v="0"/>
    <x v="2"/>
    <x v="1"/>
    <n v="824"/>
    <n v="0"/>
    <s v="Scroll"/>
    <n v="3"/>
    <x v="2"/>
    <n v="0"/>
    <n v="6000"/>
    <n v="0"/>
    <n v="2400"/>
    <m/>
  </r>
  <r>
    <x v="0"/>
    <x v="2"/>
    <x v="1"/>
    <n v="1214"/>
    <n v="1"/>
    <m/>
    <m/>
    <x v="0"/>
    <n v="1159"/>
    <n v="1159"/>
    <n v="0"/>
    <n v="0"/>
    <m/>
  </r>
  <r>
    <x v="0"/>
    <x v="2"/>
    <x v="1"/>
    <n v="1917"/>
    <n v="2"/>
    <m/>
    <m/>
    <x v="0"/>
    <n v="1159"/>
    <n v="1159"/>
    <n v="0"/>
    <n v="0"/>
    <m/>
  </r>
  <r>
    <x v="0"/>
    <x v="2"/>
    <x v="1"/>
    <n v="404"/>
    <n v="0"/>
    <m/>
    <m/>
    <x v="0"/>
    <n v="2067"/>
    <n v="2067"/>
    <n v="0"/>
    <n v="0"/>
    <m/>
  </r>
  <r>
    <x v="0"/>
    <x v="2"/>
    <x v="1"/>
    <n v="991"/>
    <n v="0"/>
    <m/>
    <m/>
    <x v="0"/>
    <n v="1159"/>
    <n v="1159"/>
    <n v="0"/>
    <n v="0"/>
    <m/>
  </r>
  <r>
    <x v="0"/>
    <x v="2"/>
    <x v="1"/>
    <n v="1585"/>
    <n v="0"/>
    <m/>
    <m/>
    <x v="0"/>
    <n v="1159"/>
    <n v="1159"/>
    <n v="0"/>
    <n v="0"/>
    <m/>
  </r>
  <r>
    <x v="0"/>
    <x v="2"/>
    <x v="1"/>
    <n v="1099"/>
    <n v="1"/>
    <m/>
    <m/>
    <x v="0"/>
    <n v="1352"/>
    <n v="1352"/>
    <n v="0"/>
    <n v="0"/>
    <m/>
  </r>
  <r>
    <x v="0"/>
    <x v="2"/>
    <x v="1"/>
    <n v="1444"/>
    <n v="0"/>
    <m/>
    <m/>
    <x v="0"/>
    <n v="1739"/>
    <n v="1739"/>
    <n v="0"/>
    <n v="0"/>
    <m/>
  </r>
  <r>
    <x v="0"/>
    <x v="2"/>
    <x v="1"/>
    <n v="1206"/>
    <n v="1"/>
    <m/>
    <m/>
    <x v="0"/>
    <n v="1159"/>
    <n v="1159"/>
    <n v="0"/>
    <n v="0"/>
    <m/>
  </r>
  <r>
    <x v="0"/>
    <x v="2"/>
    <x v="1"/>
    <n v="2034"/>
    <n v="3"/>
    <m/>
    <m/>
    <x v="0"/>
    <n v="1159"/>
    <n v="1159"/>
    <n v="0"/>
    <n v="0"/>
    <m/>
  </r>
  <r>
    <x v="0"/>
    <x v="2"/>
    <x v="1"/>
    <n v="2474"/>
    <n v="0"/>
    <s v="Scroll"/>
    <n v="3"/>
    <x v="2"/>
    <n v="0"/>
    <n v="6000"/>
    <n v="0"/>
    <n v="2400"/>
    <m/>
  </r>
  <r>
    <x v="0"/>
    <x v="2"/>
    <x v="1"/>
    <n v="1210"/>
    <n v="2"/>
    <m/>
    <m/>
    <x v="0"/>
    <n v="1352"/>
    <n v="1352"/>
    <n v="0"/>
    <n v="0"/>
    <m/>
  </r>
  <r>
    <x v="0"/>
    <x v="2"/>
    <x v="1"/>
    <n v="1838"/>
    <n v="0"/>
    <m/>
    <m/>
    <x v="0"/>
    <n v="1159"/>
    <n v="1159"/>
    <n v="0"/>
    <n v="0"/>
    <m/>
  </r>
  <r>
    <x v="0"/>
    <x v="2"/>
    <x v="1"/>
    <n v="1620"/>
    <n v="1"/>
    <m/>
    <m/>
    <x v="0"/>
    <n v="1159"/>
    <n v="1159"/>
    <n v="0"/>
    <n v="0"/>
    <m/>
  </r>
  <r>
    <x v="0"/>
    <x v="2"/>
    <x v="1"/>
    <n v="1629"/>
    <n v="1"/>
    <m/>
    <m/>
    <x v="0"/>
    <n v="2750"/>
    <n v="2750"/>
    <n v="0"/>
    <n v="0"/>
    <m/>
  </r>
  <r>
    <x v="0"/>
    <x v="2"/>
    <x v="1"/>
    <n v="1374"/>
    <n v="1"/>
    <s v="Scroll"/>
    <n v="3"/>
    <x v="2"/>
    <n v="0"/>
    <n v="6000"/>
    <n v="0"/>
    <n v="2400"/>
    <m/>
  </r>
  <r>
    <x v="0"/>
    <x v="2"/>
    <x v="1"/>
    <n v="1637"/>
    <n v="0"/>
    <m/>
    <m/>
    <x v="0"/>
    <n v="1352"/>
    <n v="1352"/>
    <n v="0"/>
    <n v="0"/>
    <m/>
  </r>
  <r>
    <x v="0"/>
    <x v="2"/>
    <x v="1"/>
    <n v="1846"/>
    <n v="1"/>
    <m/>
    <m/>
    <x v="0"/>
    <n v="1159"/>
    <n v="1159"/>
    <n v="0"/>
    <n v="0"/>
    <m/>
  </r>
  <r>
    <x v="0"/>
    <x v="2"/>
    <x v="1"/>
    <n v="1617"/>
    <n v="1"/>
    <m/>
    <m/>
    <x v="0"/>
    <n v="2756"/>
    <n v="2756"/>
    <n v="0"/>
    <n v="0"/>
    <m/>
  </r>
  <r>
    <x v="0"/>
    <x v="2"/>
    <x v="1"/>
    <n v="1585"/>
    <n v="0"/>
    <s v="Scroll"/>
    <n v="3"/>
    <x v="2"/>
    <n v="0"/>
    <n v="6000"/>
    <n v="0"/>
    <n v="2400"/>
    <m/>
  </r>
  <r>
    <x v="0"/>
    <x v="2"/>
    <x v="1"/>
    <n v="1585"/>
    <n v="0"/>
    <s v="Scroll"/>
    <n v="3"/>
    <x v="2"/>
    <n v="0"/>
    <n v="6000"/>
    <n v="0"/>
    <n v="2400"/>
    <m/>
  </r>
  <r>
    <x v="0"/>
    <x v="2"/>
    <x v="1"/>
    <n v="1990"/>
    <n v="0"/>
    <m/>
    <m/>
    <x v="0"/>
    <n v="1159"/>
    <n v="1159"/>
    <n v="0"/>
    <n v="0"/>
    <m/>
  </r>
  <r>
    <x v="0"/>
    <x v="2"/>
    <x v="1"/>
    <n v="1186"/>
    <n v="1"/>
    <m/>
    <m/>
    <x v="0"/>
    <n v="2756"/>
    <n v="2756"/>
    <n v="0"/>
    <n v="0"/>
    <m/>
  </r>
  <r>
    <x v="0"/>
    <x v="2"/>
    <x v="1"/>
    <n v="1193"/>
    <n v="2"/>
    <m/>
    <m/>
    <x v="0"/>
    <n v="1159"/>
    <n v="1159"/>
    <n v="0"/>
    <n v="0"/>
    <m/>
  </r>
  <r>
    <x v="0"/>
    <x v="2"/>
    <x v="1"/>
    <n v="1223"/>
    <n v="0"/>
    <m/>
    <m/>
    <x v="0"/>
    <n v="2067"/>
    <n v="2067"/>
    <n v="0"/>
    <n v="0"/>
    <m/>
  </r>
  <r>
    <x v="0"/>
    <x v="2"/>
    <x v="1"/>
    <n v="1833"/>
    <n v="0"/>
    <m/>
    <m/>
    <x v="0"/>
    <n v="2067"/>
    <n v="2067"/>
    <n v="0"/>
    <n v="0"/>
    <m/>
  </r>
  <r>
    <x v="0"/>
    <x v="2"/>
    <x v="1"/>
    <n v="1601"/>
    <n v="1"/>
    <m/>
    <m/>
    <x v="0"/>
    <n v="2067"/>
    <n v="2067"/>
    <n v="0"/>
    <n v="0"/>
    <m/>
  </r>
  <r>
    <x v="0"/>
    <x v="2"/>
    <x v="1"/>
    <n v="1381"/>
    <n v="0"/>
    <m/>
    <m/>
    <x v="0"/>
    <n v="2067"/>
    <n v="2067"/>
    <n v="0"/>
    <n v="0"/>
    <m/>
  </r>
  <r>
    <x v="0"/>
    <x v="2"/>
    <x v="1"/>
    <n v="1472"/>
    <n v="3"/>
    <m/>
    <m/>
    <x v="0"/>
    <n v="1159"/>
    <n v="1159"/>
    <n v="0"/>
    <n v="0"/>
    <m/>
  </r>
  <r>
    <x v="0"/>
    <x v="2"/>
    <x v="1"/>
    <n v="1210"/>
    <n v="1"/>
    <m/>
    <m/>
    <x v="0"/>
    <n v="1159"/>
    <n v="1159"/>
    <n v="0"/>
    <n v="0"/>
    <m/>
  </r>
  <r>
    <x v="0"/>
    <x v="2"/>
    <x v="1"/>
    <n v="1469"/>
    <n v="1"/>
    <s v="Fod"/>
    <n v="1"/>
    <x v="1"/>
    <n v="0"/>
    <n v="0"/>
    <n v="11500"/>
    <n v="0"/>
    <m/>
  </r>
  <r>
    <x v="0"/>
    <x v="2"/>
    <x v="1"/>
    <n v="1035"/>
    <n v="1"/>
    <m/>
    <m/>
    <x v="0"/>
    <n v="2067"/>
    <n v="2067"/>
    <n v="0"/>
    <n v="0"/>
    <m/>
  </r>
  <r>
    <x v="0"/>
    <x v="2"/>
    <x v="1"/>
    <n v="1877"/>
    <n v="1"/>
    <s v="Scroll"/>
    <n v="3"/>
    <x v="2"/>
    <n v="0"/>
    <n v="6000"/>
    <n v="0"/>
    <n v="2400"/>
    <m/>
  </r>
  <r>
    <x v="0"/>
    <x v="2"/>
    <x v="1"/>
    <n v="849"/>
    <n v="1"/>
    <s v="Scroll"/>
    <n v="3"/>
    <x v="2"/>
    <n v="0"/>
    <n v="6000"/>
    <n v="0"/>
    <n v="2400"/>
    <m/>
  </r>
  <r>
    <x v="0"/>
    <x v="2"/>
    <x v="1"/>
    <n v="1261"/>
    <n v="1"/>
    <s v="Scroll"/>
    <n v="3"/>
    <x v="2"/>
    <n v="0"/>
    <n v="6000"/>
    <n v="0"/>
    <n v="2400"/>
    <m/>
  </r>
  <r>
    <x v="0"/>
    <x v="2"/>
    <x v="1"/>
    <n v="2271"/>
    <n v="1"/>
    <s v="Scroll"/>
    <n v="3"/>
    <x v="2"/>
    <n v="0"/>
    <n v="6000"/>
    <n v="0"/>
    <n v="2400"/>
    <m/>
  </r>
  <r>
    <x v="0"/>
    <x v="2"/>
    <x v="1"/>
    <n v="1066"/>
    <n v="0"/>
    <s v="Rainb"/>
    <n v="1"/>
    <x v="1"/>
    <n v="0"/>
    <n v="0"/>
    <n v="11500"/>
    <n v="35822"/>
    <m/>
  </r>
  <r>
    <x v="0"/>
    <x v="2"/>
    <x v="1"/>
    <n v="1217"/>
    <n v="0"/>
    <m/>
    <m/>
    <x v="0"/>
    <n v="1159"/>
    <n v="1159"/>
    <n v="0"/>
    <n v="0"/>
    <m/>
  </r>
  <r>
    <x v="0"/>
    <x v="2"/>
    <x v="1"/>
    <n v="1369"/>
    <n v="0"/>
    <s v="Fod"/>
    <n v="1"/>
    <x v="5"/>
    <m/>
    <n v="0"/>
    <n v="34500"/>
    <n v="35822"/>
    <m/>
  </r>
  <r>
    <x v="0"/>
    <x v="2"/>
    <x v="1"/>
    <n v="1200"/>
    <n v="1"/>
    <m/>
    <m/>
    <x v="0"/>
    <n v="1546"/>
    <n v="1546"/>
    <n v="0"/>
    <n v="0"/>
    <m/>
  </r>
  <r>
    <x v="0"/>
    <x v="2"/>
    <x v="1"/>
    <n v="2084"/>
    <n v="1"/>
    <m/>
    <m/>
    <x v="0"/>
    <n v="1159"/>
    <n v="1159"/>
    <n v="0"/>
    <n v="0"/>
    <m/>
  </r>
  <r>
    <x v="0"/>
    <x v="2"/>
    <x v="1"/>
    <n v="1041"/>
    <n v="2"/>
    <m/>
    <m/>
    <x v="0"/>
    <n v="1159"/>
    <n v="1159"/>
    <n v="0"/>
    <n v="0"/>
    <m/>
  </r>
  <r>
    <x v="0"/>
    <x v="2"/>
    <x v="1"/>
    <n v="1173"/>
    <n v="0"/>
    <s v="Scroll"/>
    <n v="3"/>
    <x v="2"/>
    <n v="0"/>
    <n v="6000"/>
    <n v="0"/>
    <n v="2400"/>
    <m/>
  </r>
  <r>
    <x v="0"/>
    <x v="2"/>
    <x v="1"/>
    <n v="1203"/>
    <n v="0"/>
    <m/>
    <m/>
    <x v="0"/>
    <n v="1159"/>
    <n v="1159"/>
    <n v="0"/>
    <n v="0"/>
    <m/>
  </r>
  <r>
    <x v="0"/>
    <x v="2"/>
    <x v="1"/>
    <n v="1265"/>
    <n v="0"/>
    <m/>
    <m/>
    <x v="0"/>
    <n v="1159"/>
    <n v="1159"/>
    <n v="0"/>
    <n v="0"/>
    <m/>
  </r>
  <r>
    <x v="0"/>
    <x v="2"/>
    <x v="1"/>
    <n v="1133"/>
    <n v="0"/>
    <m/>
    <m/>
    <x v="0"/>
    <n v="1159"/>
    <n v="1159"/>
    <n v="0"/>
    <n v="0"/>
    <m/>
  </r>
  <r>
    <x v="0"/>
    <x v="2"/>
    <x v="1"/>
    <n v="967"/>
    <n v="1"/>
    <s v="Fod"/>
    <n v="1"/>
    <x v="2"/>
    <n v="0"/>
    <n v="0"/>
    <n v="0"/>
    <n v="0"/>
    <m/>
  </r>
  <r>
    <x v="0"/>
    <x v="2"/>
    <x v="1"/>
    <n v="2246"/>
    <n v="1"/>
    <m/>
    <m/>
    <x v="0"/>
    <n v="2067"/>
    <n v="2067"/>
    <n v="0"/>
    <n v="0"/>
    <m/>
  </r>
  <r>
    <x v="0"/>
    <x v="2"/>
    <x v="1"/>
    <n v="1423"/>
    <n v="2"/>
    <m/>
    <m/>
    <x v="0"/>
    <n v="1159"/>
    <n v="1159"/>
    <n v="0"/>
    <n v="0"/>
    <m/>
  </r>
  <r>
    <x v="0"/>
    <x v="2"/>
    <x v="1"/>
    <n v="1858"/>
    <n v="0"/>
    <m/>
    <m/>
    <x v="0"/>
    <n v="2067"/>
    <n v="2067"/>
    <n v="0"/>
    <n v="0"/>
    <m/>
  </r>
  <r>
    <x v="0"/>
    <x v="2"/>
    <x v="1"/>
    <n v="1423"/>
    <n v="1"/>
    <m/>
    <m/>
    <x v="0"/>
    <n v="1546"/>
    <n v="1546"/>
    <n v="0"/>
    <n v="0"/>
    <m/>
  </r>
  <r>
    <x v="0"/>
    <x v="2"/>
    <x v="1"/>
    <n v="2042"/>
    <n v="1"/>
    <m/>
    <m/>
    <x v="0"/>
    <n v="1159"/>
    <n v="1159"/>
    <n v="0"/>
    <n v="0"/>
    <m/>
  </r>
  <r>
    <x v="0"/>
    <x v="2"/>
    <x v="1"/>
    <n v="2001"/>
    <n v="1"/>
    <s v="Fod"/>
    <n v="1"/>
    <x v="2"/>
    <n v="0"/>
    <n v="0"/>
    <n v="0"/>
    <n v="0"/>
    <m/>
  </r>
  <r>
    <x v="0"/>
    <x v="2"/>
    <x v="1"/>
    <n v="1540"/>
    <n v="0"/>
    <s v="Fod"/>
    <n v="1"/>
    <x v="2"/>
    <n v="0"/>
    <n v="0"/>
    <n v="0"/>
    <n v="0"/>
    <m/>
  </r>
  <r>
    <x v="0"/>
    <x v="2"/>
    <x v="1"/>
    <n v="1699"/>
    <n v="1"/>
    <m/>
    <m/>
    <x v="0"/>
    <n v="2067"/>
    <n v="2067"/>
    <n v="0"/>
    <n v="0"/>
    <m/>
  </r>
  <r>
    <x v="0"/>
    <x v="2"/>
    <x v="1"/>
    <n v="1916"/>
    <n v="1"/>
    <m/>
    <m/>
    <x v="0"/>
    <n v="1159"/>
    <n v="1159"/>
    <n v="0"/>
    <n v="0"/>
    <m/>
  </r>
  <r>
    <x v="0"/>
    <x v="2"/>
    <x v="1"/>
    <n v="2501"/>
    <n v="0"/>
    <m/>
    <m/>
    <x v="0"/>
    <n v="2067"/>
    <n v="2067"/>
    <n v="0"/>
    <n v="0"/>
    <m/>
  </r>
  <r>
    <x v="0"/>
    <x v="2"/>
    <x v="1"/>
    <n v="1812"/>
    <n v="1"/>
    <s v="Scroll"/>
    <n v="3"/>
    <x v="2"/>
    <n v="0"/>
    <n v="6000"/>
    <n v="0"/>
    <n v="2400"/>
    <m/>
  </r>
  <r>
    <x v="0"/>
    <x v="2"/>
    <x v="1"/>
    <n v="1215"/>
    <n v="0"/>
    <m/>
    <m/>
    <x v="0"/>
    <n v="1159"/>
    <n v="1159"/>
    <n v="0"/>
    <n v="0"/>
    <m/>
  </r>
  <r>
    <x v="0"/>
    <x v="2"/>
    <x v="1"/>
    <n v="422"/>
    <n v="1"/>
    <m/>
    <m/>
    <x v="0"/>
    <n v="2756"/>
    <n v="2756"/>
    <n v="0"/>
    <n v="0"/>
    <m/>
  </r>
  <r>
    <x v="0"/>
    <x v="2"/>
    <x v="1"/>
    <n v="1105"/>
    <n v="0"/>
    <s v="Fod"/>
    <n v="1"/>
    <x v="1"/>
    <n v="0"/>
    <n v="0"/>
    <n v="11500"/>
    <n v="0"/>
    <m/>
  </r>
  <r>
    <x v="0"/>
    <x v="2"/>
    <x v="1"/>
    <n v="821"/>
    <n v="1"/>
    <m/>
    <m/>
    <x v="0"/>
    <n v="1159"/>
    <n v="1159"/>
    <n v="0"/>
    <n v="0"/>
    <m/>
  </r>
  <r>
    <x v="0"/>
    <x v="2"/>
    <x v="1"/>
    <n v="1748"/>
    <n v="1"/>
    <s v="SweetCookie"/>
    <m/>
    <x v="0"/>
    <n v="0"/>
    <n v="0"/>
    <n v="0"/>
    <n v="0"/>
    <m/>
  </r>
  <r>
    <x v="0"/>
    <x v="2"/>
    <x v="1"/>
    <n v="1840"/>
    <n v="0"/>
    <s v="SweetCookie"/>
    <m/>
    <x v="0"/>
    <n v="0"/>
    <n v="0"/>
    <n v="0"/>
    <n v="0"/>
    <m/>
  </r>
  <r>
    <x v="0"/>
    <x v="2"/>
    <x v="1"/>
    <n v="1395"/>
    <n v="2"/>
    <m/>
    <m/>
    <x v="0"/>
    <n v="1159"/>
    <n v="1159"/>
    <n v="0"/>
    <n v="0"/>
    <m/>
  </r>
  <r>
    <x v="0"/>
    <x v="2"/>
    <x v="1"/>
    <n v="1292"/>
    <n v="2"/>
    <m/>
    <m/>
    <x v="0"/>
    <n v="1159"/>
    <n v="1159"/>
    <n v="0"/>
    <n v="0"/>
    <m/>
  </r>
  <r>
    <x v="0"/>
    <x v="2"/>
    <x v="1"/>
    <n v="1574"/>
    <n v="0"/>
    <m/>
    <m/>
    <x v="0"/>
    <n v="1159"/>
    <n v="1159"/>
    <n v="0"/>
    <n v="0"/>
    <m/>
  </r>
  <r>
    <x v="0"/>
    <x v="2"/>
    <x v="1"/>
    <n v="1388"/>
    <n v="0"/>
    <m/>
    <m/>
    <x v="0"/>
    <n v="1159"/>
    <n v="1159"/>
    <n v="0"/>
    <n v="0"/>
    <m/>
  </r>
  <r>
    <x v="0"/>
    <x v="2"/>
    <x v="1"/>
    <n v="3326"/>
    <n v="0"/>
    <s v="Scroll"/>
    <n v="3"/>
    <x v="2"/>
    <n v="0"/>
    <n v="6000"/>
    <n v="0"/>
    <n v="2400"/>
    <m/>
  </r>
  <r>
    <x v="0"/>
    <x v="2"/>
    <x v="1"/>
    <n v="999"/>
    <n v="1"/>
    <s v="SweetCookie"/>
    <m/>
    <x v="0"/>
    <n v="0"/>
    <n v="0"/>
    <n v="0"/>
    <n v="0"/>
    <m/>
  </r>
  <r>
    <x v="0"/>
    <x v="2"/>
    <x v="1"/>
    <n v="1225"/>
    <n v="0"/>
    <m/>
    <m/>
    <x v="0"/>
    <n v="2411"/>
    <n v="2411"/>
    <n v="0"/>
    <n v="0"/>
    <m/>
  </r>
  <r>
    <x v="0"/>
    <x v="2"/>
    <x v="1"/>
    <n v="1362"/>
    <n v="2"/>
    <s v="Fod"/>
    <n v="1"/>
    <x v="2"/>
    <m/>
    <n v="0"/>
    <n v="0"/>
    <n v="0"/>
    <m/>
  </r>
  <r>
    <x v="0"/>
    <x v="2"/>
    <x v="1"/>
    <n v="1149"/>
    <n v="2"/>
    <m/>
    <m/>
    <x v="0"/>
    <n v="1159"/>
    <n v="1159"/>
    <n v="0"/>
    <n v="0"/>
    <m/>
  </r>
  <r>
    <x v="0"/>
    <x v="2"/>
    <x v="1"/>
    <n v="1186"/>
    <n v="1"/>
    <m/>
    <m/>
    <x v="0"/>
    <n v="2067"/>
    <n v="2067"/>
    <n v="0"/>
    <n v="0"/>
    <m/>
  </r>
  <r>
    <x v="0"/>
    <x v="2"/>
    <x v="1"/>
    <n v="1366"/>
    <n v="1"/>
    <m/>
    <m/>
    <x v="0"/>
    <n v="2411"/>
    <n v="2411"/>
    <n v="0"/>
    <n v="0"/>
    <m/>
  </r>
  <r>
    <x v="0"/>
    <x v="2"/>
    <x v="1"/>
    <n v="2407"/>
    <n v="4"/>
    <s v="Fod"/>
    <n v="1"/>
    <x v="1"/>
    <n v="0"/>
    <n v="0"/>
    <n v="11500"/>
    <n v="0"/>
    <m/>
  </r>
  <r>
    <x v="0"/>
    <x v="2"/>
    <x v="1"/>
    <n v="2050"/>
    <n v="1"/>
    <m/>
    <m/>
    <x v="0"/>
    <n v="2067"/>
    <n v="2067"/>
    <n v="0"/>
    <n v="0"/>
    <m/>
  </r>
  <r>
    <x v="0"/>
    <x v="2"/>
    <x v="1"/>
    <n v="2063"/>
    <n v="1"/>
    <s v="Fod"/>
    <n v="1"/>
    <x v="2"/>
    <m/>
    <n v="0"/>
    <n v="0"/>
    <n v="0"/>
    <m/>
  </r>
  <r>
    <x v="0"/>
    <x v="2"/>
    <x v="1"/>
    <n v="1086"/>
    <n v="0"/>
    <m/>
    <m/>
    <x v="0"/>
    <n v="1546"/>
    <n v="1546"/>
    <n v="0"/>
    <n v="0"/>
    <m/>
  </r>
  <r>
    <x v="0"/>
    <x v="2"/>
    <x v="1"/>
    <n v="1248"/>
    <n v="2"/>
    <s v="Scroll"/>
    <n v="3"/>
    <x v="2"/>
    <n v="0"/>
    <n v="6000"/>
    <n v="0"/>
    <n v="2400"/>
    <m/>
  </r>
  <r>
    <x v="0"/>
    <x v="2"/>
    <x v="1"/>
    <n v="1342"/>
    <n v="1"/>
    <s v="SweetCookie"/>
    <m/>
    <x v="0"/>
    <n v="0"/>
    <n v="0"/>
    <n v="0"/>
    <n v="0"/>
    <m/>
  </r>
  <r>
    <x v="0"/>
    <x v="2"/>
    <x v="1"/>
    <n v="2048"/>
    <n v="0"/>
    <m/>
    <m/>
    <x v="0"/>
    <n v="1159"/>
    <n v="1159"/>
    <n v="0"/>
    <n v="0"/>
    <m/>
  </r>
  <r>
    <x v="0"/>
    <x v="2"/>
    <x v="1"/>
    <n v="2152"/>
    <n v="2"/>
    <s v="Fod"/>
    <n v="1"/>
    <x v="2"/>
    <n v="0"/>
    <n v="0"/>
    <n v="0"/>
    <n v="0"/>
    <m/>
  </r>
  <r>
    <x v="0"/>
    <x v="2"/>
    <x v="1"/>
    <n v="1171"/>
    <n v="1"/>
    <m/>
    <m/>
    <x v="0"/>
    <n v="2067"/>
    <n v="2067"/>
    <n v="0"/>
    <n v="0"/>
    <m/>
  </r>
  <r>
    <x v="0"/>
    <x v="2"/>
    <x v="1"/>
    <n v="2951"/>
    <n v="2"/>
    <m/>
    <m/>
    <x v="0"/>
    <n v="2411"/>
    <n v="2411"/>
    <n v="0"/>
    <n v="0"/>
    <m/>
  </r>
  <r>
    <x v="0"/>
    <x v="2"/>
    <x v="1"/>
    <n v="1340"/>
    <n v="0"/>
    <m/>
    <m/>
    <x v="0"/>
    <n v="1159"/>
    <n v="1159"/>
    <n v="0"/>
    <n v="0"/>
    <m/>
  </r>
  <r>
    <x v="0"/>
    <x v="2"/>
    <x v="1"/>
    <n v="1120"/>
    <n v="1"/>
    <m/>
    <m/>
    <x v="0"/>
    <n v="1546"/>
    <n v="1546"/>
    <n v="0"/>
    <n v="0"/>
    <m/>
  </r>
  <r>
    <x v="0"/>
    <x v="2"/>
    <x v="1"/>
    <n v="805"/>
    <n v="1"/>
    <m/>
    <m/>
    <x v="0"/>
    <n v="2067"/>
    <n v="2067"/>
    <n v="0"/>
    <n v="0"/>
    <m/>
  </r>
  <r>
    <x v="0"/>
    <x v="2"/>
    <x v="1"/>
    <n v="1611"/>
    <n v="3"/>
    <m/>
    <m/>
    <x v="0"/>
    <n v="1159"/>
    <n v="1159"/>
    <n v="0"/>
    <n v="0"/>
    <m/>
  </r>
  <r>
    <x v="0"/>
    <x v="2"/>
    <x v="1"/>
    <n v="1332"/>
    <n v="0"/>
    <m/>
    <m/>
    <x v="0"/>
    <n v="1159"/>
    <n v="1159"/>
    <n v="0"/>
    <n v="0"/>
    <m/>
  </r>
  <r>
    <x v="0"/>
    <x v="2"/>
    <x v="1"/>
    <n v="1613"/>
    <n v="1"/>
    <m/>
    <m/>
    <x v="0"/>
    <n v="2411"/>
    <n v="2411"/>
    <n v="0"/>
    <n v="0"/>
    <m/>
  </r>
  <r>
    <x v="0"/>
    <x v="2"/>
    <x v="1"/>
    <n v="1375"/>
    <n v="1"/>
    <m/>
    <m/>
    <x v="0"/>
    <n v="1159"/>
    <n v="1159"/>
    <n v="0"/>
    <n v="0"/>
    <m/>
  </r>
  <r>
    <x v="0"/>
    <x v="2"/>
    <x v="1"/>
    <n v="1277"/>
    <n v="1"/>
    <m/>
    <m/>
    <x v="0"/>
    <n v="1159"/>
    <n v="1159"/>
    <n v="0"/>
    <n v="0"/>
    <m/>
  </r>
  <r>
    <x v="0"/>
    <x v="2"/>
    <x v="1"/>
    <n v="1167"/>
    <n v="0"/>
    <m/>
    <m/>
    <x v="0"/>
    <n v="2067"/>
    <n v="2067"/>
    <n v="0"/>
    <n v="0"/>
    <m/>
  </r>
  <r>
    <x v="0"/>
    <x v="2"/>
    <x v="1"/>
    <n v="1156"/>
    <n v="2"/>
    <m/>
    <m/>
    <x v="0"/>
    <n v="1352"/>
    <n v="1352"/>
    <n v="0"/>
    <n v="0"/>
    <m/>
  </r>
  <r>
    <x v="0"/>
    <x v="2"/>
    <x v="1"/>
    <n v="1404"/>
    <n v="0"/>
    <s v="Fod"/>
    <n v="1"/>
    <x v="5"/>
    <n v="0"/>
    <n v="0"/>
    <n v="34500"/>
    <n v="35822"/>
    <m/>
  </r>
  <r>
    <x v="0"/>
    <x v="2"/>
    <x v="1"/>
    <n v="1462"/>
    <n v="0"/>
    <m/>
    <m/>
    <x v="0"/>
    <n v="1159"/>
    <n v="1159"/>
    <n v="0"/>
    <n v="0"/>
    <m/>
  </r>
  <r>
    <x v="0"/>
    <x v="2"/>
    <x v="1"/>
    <n v="1957"/>
    <n v="2"/>
    <s v="SweetCookie"/>
    <m/>
    <x v="0"/>
    <n v="0"/>
    <n v="0"/>
    <n v="0"/>
    <n v="0"/>
    <m/>
  </r>
  <r>
    <x v="0"/>
    <x v="2"/>
    <x v="1"/>
    <n v="1051"/>
    <n v="0"/>
    <m/>
    <m/>
    <x v="0"/>
    <n v="2411"/>
    <n v="2411"/>
    <n v="0"/>
    <n v="0"/>
    <m/>
  </r>
  <r>
    <x v="0"/>
    <x v="2"/>
    <x v="1"/>
    <n v="1187"/>
    <n v="2"/>
    <m/>
    <m/>
    <x v="0"/>
    <n v="1159"/>
    <n v="1159"/>
    <n v="0"/>
    <n v="0"/>
    <m/>
  </r>
  <r>
    <x v="0"/>
    <x v="2"/>
    <x v="1"/>
    <n v="1798"/>
    <n v="2"/>
    <s v="Scroll"/>
    <n v="3"/>
    <x v="2"/>
    <n v="0"/>
    <n v="6000"/>
    <n v="0"/>
    <n v="2400"/>
    <m/>
  </r>
  <r>
    <x v="0"/>
    <x v="2"/>
    <x v="1"/>
    <n v="1909"/>
    <n v="3"/>
    <m/>
    <m/>
    <x v="0"/>
    <n v="1159"/>
    <n v="1159"/>
    <n v="0"/>
    <n v="0"/>
    <m/>
  </r>
  <r>
    <x v="0"/>
    <x v="2"/>
    <x v="1"/>
    <n v="829"/>
    <n v="2"/>
    <m/>
    <m/>
    <x v="0"/>
    <n v="1159"/>
    <n v="1159"/>
    <n v="0"/>
    <n v="0"/>
    <m/>
  </r>
  <r>
    <x v="0"/>
    <x v="2"/>
    <x v="1"/>
    <n v="1201"/>
    <n v="2"/>
    <s v="Scroll"/>
    <n v="3"/>
    <x v="2"/>
    <n v="0"/>
    <n v="6000"/>
    <n v="0"/>
    <n v="2400"/>
    <m/>
  </r>
  <r>
    <x v="0"/>
    <x v="2"/>
    <x v="1"/>
    <n v="1770"/>
    <n v="0"/>
    <m/>
    <m/>
    <x v="0"/>
    <n v="1159"/>
    <n v="1159"/>
    <n v="0"/>
    <n v="0"/>
    <m/>
  </r>
  <r>
    <x v="0"/>
    <x v="2"/>
    <x v="1"/>
    <n v="1190"/>
    <n v="0"/>
    <m/>
    <m/>
    <x v="0"/>
    <n v="1739"/>
    <n v="1739"/>
    <n v="0"/>
    <n v="0"/>
    <m/>
  </r>
  <r>
    <x v="5"/>
    <x v="0"/>
    <x v="0"/>
    <n v="849"/>
    <n v="2"/>
    <m/>
    <m/>
    <x v="0"/>
    <n v="823"/>
    <n v="823"/>
    <n v="0"/>
    <n v="0"/>
    <m/>
  </r>
  <r>
    <x v="5"/>
    <x v="0"/>
    <x v="0"/>
    <n v="1244"/>
    <n v="2"/>
    <m/>
    <m/>
    <x v="0"/>
    <n v="1976"/>
    <n v="1976"/>
    <n v="0"/>
    <n v="0"/>
    <m/>
  </r>
  <r>
    <x v="5"/>
    <x v="0"/>
    <x v="0"/>
    <n v="1902"/>
    <n v="2"/>
    <s v="Scroll"/>
    <n v="1"/>
    <x v="2"/>
    <n v="0"/>
    <n v="2000"/>
    <n v="0"/>
    <n v="800"/>
    <m/>
  </r>
  <r>
    <x v="5"/>
    <x v="0"/>
    <x v="0"/>
    <n v="1295"/>
    <n v="0"/>
    <m/>
    <m/>
    <x v="0"/>
    <n v="1976"/>
    <n v="1976"/>
    <n v="0"/>
    <n v="0"/>
    <m/>
  </r>
  <r>
    <x v="5"/>
    <x v="0"/>
    <x v="0"/>
    <n v="993"/>
    <n v="0"/>
    <s v="Scroll"/>
    <n v="1"/>
    <x v="2"/>
    <n v="0"/>
    <n v="2000"/>
    <n v="0"/>
    <n v="800"/>
    <m/>
  </r>
  <r>
    <x v="5"/>
    <x v="0"/>
    <x v="0"/>
    <n v="1238"/>
    <n v="0"/>
    <m/>
    <m/>
    <x v="0"/>
    <n v="892"/>
    <n v="892"/>
    <n v="0"/>
    <n v="0"/>
    <m/>
  </r>
  <r>
    <x v="5"/>
    <x v="0"/>
    <x v="0"/>
    <n v="1277"/>
    <n v="0"/>
    <s v="Scroll"/>
    <n v="1"/>
    <x v="2"/>
    <n v="0"/>
    <n v="2000"/>
    <n v="0"/>
    <n v="800"/>
    <m/>
  </r>
  <r>
    <x v="0"/>
    <x v="1"/>
    <x v="1"/>
    <n v="2474"/>
    <n v="3"/>
    <s v="Scroll"/>
    <n v="2"/>
    <x v="2"/>
    <n v="0"/>
    <n v="4000"/>
    <n v="0"/>
    <n v="1600"/>
    <m/>
  </r>
  <r>
    <x v="0"/>
    <x v="2"/>
    <x v="1"/>
    <n v="920"/>
    <n v="2"/>
    <s v="Scroll"/>
    <n v="3"/>
    <x v="2"/>
    <n v="0"/>
    <n v="6000"/>
    <n v="0"/>
    <n v="2400"/>
    <m/>
  </r>
  <r>
    <x v="0"/>
    <x v="2"/>
    <x v="1"/>
    <n v="1475"/>
    <n v="3"/>
    <m/>
    <m/>
    <x v="0"/>
    <n v="2756"/>
    <n v="2756"/>
    <n v="0"/>
    <n v="0"/>
    <m/>
  </r>
  <r>
    <x v="0"/>
    <x v="2"/>
    <x v="1"/>
    <n v="1500"/>
    <n v="3"/>
    <s v="Fod"/>
    <n v="1"/>
    <x v="5"/>
    <n v="0"/>
    <n v="0"/>
    <n v="34500"/>
    <n v="35822"/>
    <m/>
  </r>
  <r>
    <x v="0"/>
    <x v="2"/>
    <x v="1"/>
    <n v="2329"/>
    <n v="2"/>
    <m/>
    <m/>
    <x v="0"/>
    <n v="2067"/>
    <n v="2067"/>
    <n v="0"/>
    <n v="0"/>
    <m/>
  </r>
  <r>
    <x v="3"/>
    <x v="0"/>
    <x v="6"/>
    <n v="2340"/>
    <n v="0"/>
    <s v="Magic"/>
    <n v="1"/>
    <x v="4"/>
    <n v="0"/>
    <n v="0"/>
    <n v="0"/>
    <n v="0"/>
    <m/>
  </r>
  <r>
    <x v="3"/>
    <x v="0"/>
    <x v="6"/>
    <n v="2340"/>
    <n v="0"/>
    <s v="Magic"/>
    <n v="1"/>
    <x v="4"/>
    <n v="0"/>
    <n v="0"/>
    <n v="0"/>
    <n v="0"/>
    <m/>
  </r>
  <r>
    <x v="3"/>
    <x v="0"/>
    <x v="6"/>
    <n v="2182"/>
    <n v="0"/>
    <s v="Magic"/>
    <n v="4"/>
    <x v="3"/>
    <n v="0"/>
    <n v="0"/>
    <n v="0"/>
    <n v="0"/>
    <m/>
  </r>
  <r>
    <x v="2"/>
    <x v="0"/>
    <x v="2"/>
    <n v="2090"/>
    <n v="2"/>
    <m/>
    <m/>
    <x v="0"/>
    <n v="1971"/>
    <n v="1971"/>
    <n v="0"/>
    <n v="0"/>
    <m/>
  </r>
  <r>
    <x v="2"/>
    <x v="0"/>
    <x v="2"/>
    <n v="2783"/>
    <n v="2"/>
    <s v="Scroll"/>
    <n v="3"/>
    <x v="2"/>
    <n v="0"/>
    <n v="6000"/>
    <n v="0"/>
    <n v="2400"/>
    <m/>
  </r>
  <r>
    <x v="2"/>
    <x v="0"/>
    <x v="2"/>
    <n v="2090"/>
    <n v="0"/>
    <m/>
    <m/>
    <x v="0"/>
    <n v="12000"/>
    <n v="12000"/>
    <n v="0"/>
    <n v="0"/>
    <m/>
  </r>
  <r>
    <x v="2"/>
    <x v="0"/>
    <x v="2"/>
    <n v="2367"/>
    <n v="0"/>
    <s v="Rainb"/>
    <n v="1"/>
    <x v="1"/>
    <n v="0"/>
    <n v="0"/>
    <n v="11500"/>
    <n v="35822"/>
    <m/>
  </r>
  <r>
    <x v="2"/>
    <x v="0"/>
    <x v="2"/>
    <n v="3236"/>
    <n v="1"/>
    <m/>
    <m/>
    <x v="0"/>
    <n v="1236"/>
    <n v="1236"/>
    <n v="0"/>
    <n v="0"/>
    <m/>
  </r>
  <r>
    <x v="2"/>
    <x v="0"/>
    <x v="2"/>
    <n v="2638"/>
    <n v="0"/>
    <s v="SweetCookie"/>
    <m/>
    <x v="0"/>
    <n v="0"/>
    <n v="0"/>
    <n v="0"/>
    <n v="0"/>
    <m/>
  </r>
  <r>
    <x v="2"/>
    <x v="0"/>
    <x v="2"/>
    <n v="2603"/>
    <n v="0"/>
    <s v="Scroll"/>
    <n v="4"/>
    <x v="2"/>
    <n v="0"/>
    <n v="8000"/>
    <n v="0"/>
    <n v="3200"/>
    <m/>
  </r>
  <r>
    <x v="2"/>
    <x v="0"/>
    <x v="2"/>
    <n v="2600"/>
    <n v="2"/>
    <m/>
    <m/>
    <x v="0"/>
    <n v="3916"/>
    <n v="3916"/>
    <n v="0"/>
    <n v="0"/>
    <m/>
  </r>
  <r>
    <x v="2"/>
    <x v="0"/>
    <x v="2"/>
    <n v="2913"/>
    <n v="0"/>
    <m/>
    <m/>
    <x v="0"/>
    <n v="3789"/>
    <n v="3789"/>
    <n v="0"/>
    <n v="0"/>
    <m/>
  </r>
  <r>
    <x v="2"/>
    <x v="0"/>
    <x v="2"/>
    <n v="2460"/>
    <n v="1"/>
    <s v="Scroll"/>
    <n v="4"/>
    <x v="2"/>
    <n v="0"/>
    <n v="8000"/>
    <n v="0"/>
    <n v="3200"/>
    <m/>
  </r>
  <r>
    <x v="8"/>
    <x v="0"/>
    <x v="7"/>
    <n v="2498"/>
    <n v="2"/>
    <s v="Water"/>
    <n v="3"/>
    <x v="3"/>
    <n v="0"/>
    <n v="0"/>
    <n v="0"/>
    <n v="0"/>
    <m/>
  </r>
  <r>
    <x v="8"/>
    <x v="0"/>
    <x v="6"/>
    <n v="2073"/>
    <n v="0"/>
    <s v="Water"/>
    <n v="1"/>
    <x v="4"/>
    <n v="0"/>
    <n v="0"/>
    <n v="0"/>
    <n v="0"/>
    <m/>
  </r>
  <r>
    <x v="8"/>
    <x v="0"/>
    <x v="6"/>
    <n v="2143"/>
    <n v="0"/>
    <s v="Water"/>
    <n v="3"/>
    <x v="3"/>
    <n v="0"/>
    <n v="0"/>
    <n v="0"/>
    <n v="0"/>
    <m/>
  </r>
  <r>
    <x v="8"/>
    <x v="0"/>
    <x v="6"/>
    <n v="1852"/>
    <n v="1"/>
    <s v="Water"/>
    <n v="1"/>
    <x v="4"/>
    <n v="0"/>
    <n v="0"/>
    <n v="0"/>
    <n v="0"/>
    <m/>
  </r>
  <r>
    <x v="8"/>
    <x v="0"/>
    <x v="6"/>
    <n v="2417"/>
    <n v="0"/>
    <s v="SumStone"/>
    <n v="1"/>
    <x v="5"/>
    <n v="0"/>
    <n v="0"/>
    <n v="862.5"/>
    <n v="895.55"/>
    <m/>
  </r>
  <r>
    <x v="8"/>
    <x v="0"/>
    <x v="7"/>
    <n v="2146"/>
    <n v="0"/>
    <s v="Water"/>
    <n v="2"/>
    <x v="4"/>
    <n v="0"/>
    <n v="0"/>
    <n v="0"/>
    <n v="0"/>
    <m/>
  </r>
  <r>
    <x v="8"/>
    <x v="0"/>
    <x v="7"/>
    <n v="2968"/>
    <n v="0"/>
    <s v="Scroll"/>
    <n v="4"/>
    <x v="2"/>
    <n v="0"/>
    <n v="8000"/>
    <n v="0"/>
    <n v="3200"/>
    <m/>
  </r>
  <r>
    <x v="8"/>
    <x v="0"/>
    <x v="7"/>
    <n v="2237"/>
    <n v="0"/>
    <s v="Scroll"/>
    <n v="4"/>
    <x v="2"/>
    <n v="0"/>
    <n v="8000"/>
    <n v="0"/>
    <n v="3200"/>
    <m/>
  </r>
  <r>
    <x v="8"/>
    <x v="0"/>
    <x v="7"/>
    <n v="2223"/>
    <n v="1"/>
    <s v="Water"/>
    <n v="5"/>
    <x v="3"/>
    <n v="0"/>
    <n v="0"/>
    <n v="0"/>
    <n v="0"/>
    <m/>
  </r>
  <r>
    <x v="8"/>
    <x v="0"/>
    <x v="7"/>
    <n v="2246"/>
    <n v="2"/>
    <s v="Scroll"/>
    <n v="4"/>
    <x v="2"/>
    <n v="0"/>
    <n v="8000"/>
    <n v="0"/>
    <n v="3200"/>
    <m/>
  </r>
  <r>
    <x v="8"/>
    <x v="0"/>
    <x v="7"/>
    <n v="1945"/>
    <n v="0"/>
    <s v="Scroll"/>
    <n v="4"/>
    <x v="2"/>
    <n v="0"/>
    <n v="8000"/>
    <n v="0"/>
    <n v="3200"/>
    <m/>
  </r>
  <r>
    <x v="8"/>
    <x v="0"/>
    <x v="7"/>
    <n v="2404"/>
    <n v="1"/>
    <s v="Water"/>
    <n v="4"/>
    <x v="3"/>
    <n v="0"/>
    <n v="0"/>
    <n v="0"/>
    <n v="0"/>
    <m/>
  </r>
  <r>
    <x v="8"/>
    <x v="0"/>
    <x v="7"/>
    <n v="3017"/>
    <n v="1"/>
    <s v="Water"/>
    <n v="4"/>
    <x v="3"/>
    <n v="0"/>
    <n v="0"/>
    <n v="0"/>
    <n v="0"/>
    <m/>
  </r>
  <r>
    <x v="8"/>
    <x v="0"/>
    <x v="7"/>
    <n v="2175"/>
    <n v="0"/>
    <s v="SweetCookie"/>
    <n v="1"/>
    <x v="0"/>
    <n v="0"/>
    <n v="0"/>
    <n v="0"/>
    <n v="0"/>
    <m/>
  </r>
  <r>
    <x v="8"/>
    <x v="0"/>
    <x v="7"/>
    <n v="2276"/>
    <n v="0"/>
    <s v="Water"/>
    <n v="4"/>
    <x v="3"/>
    <n v="0"/>
    <n v="0"/>
    <n v="0"/>
    <n v="0"/>
    <m/>
  </r>
  <r>
    <x v="8"/>
    <x v="0"/>
    <x v="7"/>
    <n v="2576"/>
    <n v="3"/>
    <s v="Water"/>
    <n v="4"/>
    <x v="3"/>
    <n v="0"/>
    <n v="0"/>
    <n v="0"/>
    <n v="0"/>
    <m/>
  </r>
  <r>
    <x v="8"/>
    <x v="0"/>
    <x v="7"/>
    <n v="2058"/>
    <n v="1"/>
    <s v="Water"/>
    <n v="5"/>
    <x v="3"/>
    <n v="0"/>
    <n v="0"/>
    <n v="0"/>
    <n v="0"/>
    <m/>
  </r>
  <r>
    <x v="8"/>
    <x v="0"/>
    <x v="7"/>
    <n v="2086"/>
    <n v="1"/>
    <s v="Scroll"/>
    <n v="4"/>
    <x v="2"/>
    <n v="0"/>
    <n v="8000"/>
    <n v="0"/>
    <n v="3200"/>
    <m/>
  </r>
  <r>
    <x v="8"/>
    <x v="0"/>
    <x v="7"/>
    <n v="2586"/>
    <n v="3"/>
    <s v="Scroll"/>
    <n v="4"/>
    <x v="2"/>
    <n v="0"/>
    <n v="8000"/>
    <n v="0"/>
    <n v="3200"/>
    <m/>
  </r>
  <r>
    <x v="8"/>
    <x v="0"/>
    <x v="7"/>
    <n v="2500"/>
    <n v="1"/>
    <s v="Scroll"/>
    <n v="5"/>
    <x v="2"/>
    <n v="0"/>
    <n v="10000"/>
    <n v="0"/>
    <n v="4000"/>
    <m/>
  </r>
  <r>
    <x v="8"/>
    <x v="0"/>
    <x v="7"/>
    <n v="2526"/>
    <n v="0"/>
    <s v="Water"/>
    <n v="1"/>
    <x v="6"/>
    <n v="0"/>
    <n v="0"/>
    <n v="0"/>
    <n v="0"/>
    <m/>
  </r>
  <r>
    <x v="8"/>
    <x v="0"/>
    <x v="7"/>
    <n v="2483"/>
    <n v="3"/>
    <s v="Water"/>
    <n v="1"/>
    <x v="6"/>
    <n v="0"/>
    <n v="0"/>
    <n v="0"/>
    <n v="0"/>
    <m/>
  </r>
  <r>
    <x v="8"/>
    <x v="0"/>
    <x v="7"/>
    <n v="2491"/>
    <n v="0"/>
    <s v="SD"/>
    <s v="Bearman"/>
    <x v="5"/>
    <n v="0"/>
    <n v="0"/>
    <n v="0"/>
    <n v="0"/>
    <m/>
  </r>
  <r>
    <x v="8"/>
    <x v="0"/>
    <x v="7"/>
    <n v="2730"/>
    <n v="0"/>
    <s v="Scroll"/>
    <n v="4"/>
    <x v="2"/>
    <n v="0"/>
    <n v="8000"/>
    <n v="0"/>
    <n v="3200"/>
    <m/>
  </r>
  <r>
    <x v="8"/>
    <x v="0"/>
    <x v="7"/>
    <n v="2671"/>
    <n v="2"/>
    <s v="Water"/>
    <n v="4"/>
    <x v="3"/>
    <n v="0"/>
    <n v="0"/>
    <n v="0"/>
    <n v="0"/>
    <m/>
  </r>
  <r>
    <x v="8"/>
    <x v="0"/>
    <x v="7"/>
    <n v="2186"/>
    <n v="1"/>
    <s v="Angelmon"/>
    <n v="1"/>
    <x v="2"/>
    <n v="0"/>
    <n v="0"/>
    <n v="0"/>
    <n v="0"/>
    <m/>
  </r>
  <r>
    <x v="8"/>
    <x v="0"/>
    <x v="7"/>
    <n v="2316"/>
    <n v="0"/>
    <s v="Water"/>
    <n v="3"/>
    <x v="3"/>
    <n v="0"/>
    <n v="0"/>
    <n v="0"/>
    <n v="0"/>
    <m/>
  </r>
  <r>
    <x v="8"/>
    <x v="0"/>
    <x v="7"/>
    <n v="2046"/>
    <n v="1"/>
    <s v="Water"/>
    <n v="4"/>
    <x v="3"/>
    <n v="0"/>
    <n v="0"/>
    <n v="0"/>
    <n v="0"/>
    <m/>
  </r>
  <r>
    <x v="8"/>
    <x v="0"/>
    <x v="7"/>
    <n v="2303"/>
    <n v="3"/>
    <s v="Water"/>
    <n v="1"/>
    <x v="4"/>
    <n v="0"/>
    <n v="0"/>
    <n v="0"/>
    <n v="0"/>
    <m/>
  </r>
  <r>
    <x v="8"/>
    <x v="0"/>
    <x v="7"/>
    <n v="2396"/>
    <n v="1"/>
    <s v="Water"/>
    <n v="1"/>
    <x v="4"/>
    <n v="0"/>
    <n v="0"/>
    <n v="0"/>
    <n v="0"/>
    <m/>
  </r>
  <r>
    <x v="8"/>
    <x v="0"/>
    <x v="7"/>
    <n v="2325"/>
    <n v="1"/>
    <s v="Water"/>
    <n v="2"/>
    <x v="6"/>
    <n v="0"/>
    <n v="0"/>
    <n v="0"/>
    <n v="0"/>
    <m/>
  </r>
  <r>
    <x v="8"/>
    <x v="0"/>
    <x v="7"/>
    <n v="2398"/>
    <n v="1"/>
    <s v="Water"/>
    <n v="3"/>
    <x v="3"/>
    <n v="0"/>
    <n v="0"/>
    <n v="0"/>
    <n v="0"/>
    <m/>
  </r>
  <r>
    <x v="8"/>
    <x v="0"/>
    <x v="7"/>
    <n v="2668"/>
    <n v="0"/>
    <s v="Water"/>
    <n v="3"/>
    <x v="6"/>
    <n v="0"/>
    <n v="0"/>
    <n v="0"/>
    <n v="0"/>
    <m/>
  </r>
  <r>
    <x v="3"/>
    <x v="0"/>
    <x v="6"/>
    <n v="3002"/>
    <n v="2"/>
    <s v="Magic"/>
    <n v="2"/>
    <x v="4"/>
    <n v="0"/>
    <n v="0"/>
    <n v="0"/>
    <n v="0"/>
    <m/>
  </r>
  <r>
    <x v="3"/>
    <x v="0"/>
    <x v="6"/>
    <n v="2021"/>
    <n v="1"/>
    <s v="Magic"/>
    <n v="1"/>
    <x v="4"/>
    <n v="0"/>
    <n v="0"/>
    <n v="0"/>
    <n v="0"/>
    <m/>
  </r>
  <r>
    <x v="3"/>
    <x v="0"/>
    <x v="6"/>
    <n v="2168"/>
    <n v="0"/>
    <s v="Magic"/>
    <n v="4"/>
    <x v="3"/>
    <n v="0"/>
    <n v="0"/>
    <n v="0"/>
    <n v="0"/>
    <m/>
  </r>
  <r>
    <x v="3"/>
    <x v="0"/>
    <x v="6"/>
    <n v="2540"/>
    <n v="3"/>
    <s v="Magic"/>
    <n v="1"/>
    <x v="4"/>
    <n v="0"/>
    <n v="0"/>
    <n v="0"/>
    <n v="0"/>
    <m/>
  </r>
  <r>
    <x v="3"/>
    <x v="0"/>
    <x v="6"/>
    <n v="2251"/>
    <n v="1"/>
    <s v="Magic"/>
    <n v="1"/>
    <x v="4"/>
    <n v="0"/>
    <n v="0"/>
    <n v="0"/>
    <n v="0"/>
    <m/>
  </r>
  <r>
    <x v="3"/>
    <x v="0"/>
    <x v="6"/>
    <n v="2591"/>
    <n v="1"/>
    <s v="Magic"/>
    <n v="4"/>
    <x v="3"/>
    <n v="0"/>
    <n v="0"/>
    <n v="0"/>
    <n v="0"/>
    <m/>
  </r>
  <r>
    <x v="3"/>
    <x v="0"/>
    <x v="6"/>
    <n v="2238"/>
    <n v="1"/>
    <s v="Magic"/>
    <n v="3"/>
    <x v="4"/>
    <n v="0"/>
    <n v="0"/>
    <n v="0"/>
    <n v="0"/>
    <m/>
  </r>
  <r>
    <x v="3"/>
    <x v="0"/>
    <x v="6"/>
    <n v="2506"/>
    <n v="0"/>
    <s v="Magic"/>
    <n v="3"/>
    <x v="4"/>
    <n v="0"/>
    <n v="0"/>
    <n v="0"/>
    <n v="0"/>
    <m/>
  </r>
  <r>
    <x v="3"/>
    <x v="0"/>
    <x v="6"/>
    <n v="2339"/>
    <n v="0"/>
    <s v="Magic"/>
    <n v="4"/>
    <x v="3"/>
    <n v="0"/>
    <n v="0"/>
    <n v="0"/>
    <n v="0"/>
    <m/>
  </r>
  <r>
    <x v="3"/>
    <x v="0"/>
    <x v="6"/>
    <n v="2207"/>
    <n v="1"/>
    <s v="Magic"/>
    <n v="3"/>
    <x v="3"/>
    <n v="0"/>
    <n v="0"/>
    <n v="0"/>
    <n v="0"/>
    <m/>
  </r>
  <r>
    <x v="3"/>
    <x v="0"/>
    <x v="6"/>
    <n v="1988"/>
    <n v="0"/>
    <s v="Water"/>
    <n v="3"/>
    <x v="3"/>
    <n v="0"/>
    <n v="0"/>
    <n v="0"/>
    <n v="0"/>
    <m/>
  </r>
  <r>
    <x v="3"/>
    <x v="0"/>
    <x v="6"/>
    <n v="2659"/>
    <n v="0"/>
    <s v="Magic"/>
    <n v="5"/>
    <x v="3"/>
    <n v="0"/>
    <n v="0"/>
    <n v="0"/>
    <n v="0"/>
    <m/>
  </r>
  <r>
    <x v="3"/>
    <x v="0"/>
    <x v="6"/>
    <n v="2237"/>
    <n v="0"/>
    <s v="Scroll"/>
    <n v="4"/>
    <x v="2"/>
    <n v="0"/>
    <n v="8000"/>
    <n v="0"/>
    <n v="3200"/>
    <m/>
  </r>
  <r>
    <x v="3"/>
    <x v="0"/>
    <x v="6"/>
    <n v="2137"/>
    <n v="1"/>
    <s v="SweetCookie"/>
    <n v="1"/>
    <x v="0"/>
    <n v="0"/>
    <n v="0"/>
    <n v="0"/>
    <n v="0"/>
    <m/>
  </r>
  <r>
    <x v="3"/>
    <x v="0"/>
    <x v="6"/>
    <n v="2588"/>
    <n v="1"/>
    <s v="Magic"/>
    <n v="3"/>
    <x v="3"/>
    <n v="0"/>
    <n v="0"/>
    <n v="0"/>
    <n v="0"/>
    <m/>
  </r>
  <r>
    <x v="3"/>
    <x v="0"/>
    <x v="6"/>
    <n v="2248"/>
    <n v="1"/>
    <s v="Magic"/>
    <n v="2"/>
    <x v="6"/>
    <n v="0"/>
    <n v="0"/>
    <n v="0"/>
    <n v="0"/>
    <m/>
  </r>
  <r>
    <x v="2"/>
    <x v="0"/>
    <x v="2"/>
    <n v="2097"/>
    <n v="2"/>
    <s v="Blue"/>
    <n v="1"/>
    <x v="7"/>
    <n v="3307"/>
    <n v="3307"/>
    <n v="0"/>
    <n v="0"/>
    <m/>
  </r>
  <r>
    <x v="1"/>
    <x v="1"/>
    <x v="8"/>
    <n v="707"/>
    <n v="1"/>
    <m/>
    <m/>
    <x v="0"/>
    <n v="1824"/>
    <n v="1824"/>
    <n v="0"/>
    <n v="0"/>
    <m/>
  </r>
  <r>
    <x v="1"/>
    <x v="1"/>
    <x v="8"/>
    <n v="1504"/>
    <n v="1"/>
    <s v="Fod"/>
    <n v="1"/>
    <x v="1"/>
    <n v="0"/>
    <n v="0"/>
    <n v="11500"/>
    <n v="0"/>
    <m/>
  </r>
  <r>
    <x v="1"/>
    <x v="1"/>
    <x v="8"/>
    <n v="1442"/>
    <n v="1"/>
    <s v="Fod"/>
    <n v="1"/>
    <x v="1"/>
    <n v="0"/>
    <n v="0"/>
    <n v="11500"/>
    <n v="0"/>
    <m/>
  </r>
  <r>
    <x v="1"/>
    <x v="1"/>
    <x v="8"/>
    <n v="1510"/>
    <n v="0"/>
    <m/>
    <m/>
    <x v="0"/>
    <n v="1824"/>
    <n v="1824"/>
    <n v="0"/>
    <n v="0"/>
    <m/>
  </r>
  <r>
    <x v="1"/>
    <x v="1"/>
    <x v="8"/>
    <n v="1606"/>
    <n v="0"/>
    <s v="Scroll"/>
    <n v="2"/>
    <x v="2"/>
    <n v="0"/>
    <n v="4000"/>
    <n v="0"/>
    <n v="1600"/>
    <m/>
  </r>
  <r>
    <x v="1"/>
    <x v="1"/>
    <x v="8"/>
    <n v="1532"/>
    <n v="1"/>
    <s v="Scroll"/>
    <n v="2"/>
    <x v="2"/>
    <n v="0"/>
    <n v="4000"/>
    <n v="0"/>
    <n v="1600"/>
    <m/>
  </r>
  <r>
    <x v="1"/>
    <x v="1"/>
    <x v="8"/>
    <n v="1918"/>
    <n v="0"/>
    <m/>
    <m/>
    <x v="0"/>
    <n v="1824"/>
    <n v="1824"/>
    <n v="0"/>
    <n v="0"/>
    <m/>
  </r>
  <r>
    <x v="1"/>
    <x v="1"/>
    <x v="8"/>
    <n v="2175"/>
    <n v="2"/>
    <s v="Scroll"/>
    <n v="2"/>
    <x v="2"/>
    <n v="0"/>
    <n v="4000"/>
    <n v="0"/>
    <n v="1600"/>
    <m/>
  </r>
  <r>
    <x v="1"/>
    <x v="1"/>
    <x v="8"/>
    <n v="1952"/>
    <n v="2"/>
    <m/>
    <m/>
    <x v="0"/>
    <n v="3182"/>
    <n v="3182"/>
    <n v="0"/>
    <n v="0"/>
    <m/>
  </r>
  <r>
    <x v="1"/>
    <x v="1"/>
    <x v="8"/>
    <n v="2050"/>
    <n v="0"/>
    <m/>
    <m/>
    <x v="0"/>
    <n v="3427"/>
    <n v="3427"/>
    <n v="0"/>
    <n v="0"/>
    <m/>
  </r>
  <r>
    <x v="1"/>
    <x v="1"/>
    <x v="8"/>
    <n v="1235"/>
    <n v="0"/>
    <m/>
    <m/>
    <x v="0"/>
    <n v="1824"/>
    <n v="1824"/>
    <n v="0"/>
    <n v="0"/>
    <m/>
  </r>
  <r>
    <x v="1"/>
    <x v="1"/>
    <x v="8"/>
    <n v="1960"/>
    <n v="0"/>
    <m/>
    <m/>
    <x v="0"/>
    <n v="1824"/>
    <n v="1824"/>
    <n v="0"/>
    <n v="0"/>
    <m/>
  </r>
  <r>
    <x v="1"/>
    <x v="1"/>
    <x v="8"/>
    <n v="1632"/>
    <n v="0"/>
    <m/>
    <m/>
    <x v="0"/>
    <n v="1824"/>
    <n v="1824"/>
    <n v="0"/>
    <n v="0"/>
    <m/>
  </r>
  <r>
    <x v="1"/>
    <x v="1"/>
    <x v="8"/>
    <n v="1128"/>
    <n v="0"/>
    <m/>
    <m/>
    <x v="0"/>
    <n v="1824"/>
    <n v="1824"/>
    <n v="0"/>
    <n v="0"/>
    <m/>
  </r>
  <r>
    <x v="1"/>
    <x v="1"/>
    <x v="8"/>
    <n v="1864"/>
    <n v="1"/>
    <s v="Scroll"/>
    <n v="2"/>
    <x v="2"/>
    <n v="0"/>
    <n v="4000"/>
    <n v="0"/>
    <n v="1600"/>
    <m/>
  </r>
  <r>
    <x v="1"/>
    <x v="1"/>
    <x v="8"/>
    <n v="1372"/>
    <n v="0"/>
    <m/>
    <m/>
    <x v="0"/>
    <n v="2280"/>
    <n v="2280"/>
    <n v="0"/>
    <n v="0"/>
    <m/>
  </r>
  <r>
    <x v="1"/>
    <x v="1"/>
    <x v="8"/>
    <n v="1560"/>
    <n v="3"/>
    <m/>
    <m/>
    <x v="0"/>
    <n v="1824"/>
    <n v="1824"/>
    <n v="0"/>
    <n v="0"/>
    <m/>
  </r>
  <r>
    <x v="1"/>
    <x v="1"/>
    <x v="8"/>
    <n v="971"/>
    <n v="1"/>
    <m/>
    <m/>
    <x v="0"/>
    <n v="1824"/>
    <n v="1824"/>
    <n v="0"/>
    <n v="0"/>
    <m/>
  </r>
  <r>
    <x v="1"/>
    <x v="1"/>
    <x v="8"/>
    <n v="1750"/>
    <n v="2"/>
    <m/>
    <m/>
    <x v="0"/>
    <n v="2128"/>
    <n v="2128"/>
    <n v="0"/>
    <n v="0"/>
    <m/>
  </r>
  <r>
    <x v="1"/>
    <x v="1"/>
    <x v="8"/>
    <n v="586"/>
    <n v="1"/>
    <s v="Fod"/>
    <n v="1"/>
    <x v="1"/>
    <n v="0"/>
    <n v="0"/>
    <n v="11500"/>
    <n v="0"/>
    <m/>
  </r>
  <r>
    <x v="1"/>
    <x v="1"/>
    <x v="8"/>
    <n v="1287"/>
    <n v="4"/>
    <s v="Scroll"/>
    <n v="2"/>
    <x v="2"/>
    <n v="0"/>
    <n v="4000"/>
    <n v="0"/>
    <n v="1600"/>
    <m/>
  </r>
  <r>
    <x v="1"/>
    <x v="1"/>
    <x v="8"/>
    <n v="1485"/>
    <n v="1"/>
    <s v="Scroll"/>
    <n v="2"/>
    <x v="2"/>
    <n v="0"/>
    <n v="4000"/>
    <n v="0"/>
    <n v="1600"/>
    <m/>
  </r>
  <r>
    <x v="1"/>
    <x v="1"/>
    <x v="8"/>
    <n v="2328"/>
    <n v="2"/>
    <m/>
    <m/>
    <x v="0"/>
    <n v="1824"/>
    <n v="1824"/>
    <n v="0"/>
    <n v="0"/>
    <m/>
  </r>
  <r>
    <x v="1"/>
    <x v="1"/>
    <x v="8"/>
    <n v="1784"/>
    <n v="1"/>
    <s v="Scroll"/>
    <n v="2"/>
    <x v="2"/>
    <n v="0"/>
    <n v="4000"/>
    <n v="0"/>
    <n v="1600"/>
    <m/>
  </r>
  <r>
    <x v="1"/>
    <x v="1"/>
    <x v="8"/>
    <n v="2122"/>
    <n v="2"/>
    <m/>
    <m/>
    <x v="0"/>
    <n v="1976"/>
    <n v="1976"/>
    <n v="0"/>
    <n v="0"/>
    <m/>
  </r>
  <r>
    <x v="1"/>
    <x v="1"/>
    <x v="8"/>
    <n v="1311"/>
    <n v="0"/>
    <m/>
    <m/>
    <x v="0"/>
    <n v="1824"/>
    <n v="1824"/>
    <n v="0"/>
    <n v="0"/>
    <m/>
  </r>
  <r>
    <x v="1"/>
    <x v="1"/>
    <x v="8"/>
    <n v="1185"/>
    <n v="0"/>
    <s v="Fod"/>
    <n v="1"/>
    <x v="1"/>
    <n v="0"/>
    <n v="0"/>
    <n v="11500"/>
    <n v="0"/>
    <m/>
  </r>
  <r>
    <x v="1"/>
    <x v="1"/>
    <x v="8"/>
    <n v="1211"/>
    <n v="1"/>
    <m/>
    <m/>
    <x v="0"/>
    <n v="2937"/>
    <n v="2937"/>
    <n v="0"/>
    <n v="0"/>
    <m/>
  </r>
  <r>
    <x v="1"/>
    <x v="1"/>
    <x v="8"/>
    <n v="1078"/>
    <n v="1"/>
    <m/>
    <m/>
    <x v="0"/>
    <n v="1824"/>
    <n v="1824"/>
    <n v="0"/>
    <n v="0"/>
    <m/>
  </r>
  <r>
    <x v="1"/>
    <x v="1"/>
    <x v="8"/>
    <n v="1832"/>
    <n v="1"/>
    <m/>
    <m/>
    <x v="0"/>
    <n v="1824"/>
    <n v="1824"/>
    <n v="0"/>
    <n v="0"/>
    <m/>
  </r>
  <r>
    <x v="1"/>
    <x v="1"/>
    <x v="8"/>
    <n v="1974"/>
    <n v="1"/>
    <m/>
    <m/>
    <x v="0"/>
    <n v="3427"/>
    <n v="3427"/>
    <n v="0"/>
    <n v="0"/>
    <m/>
  </r>
  <r>
    <x v="0"/>
    <x v="2"/>
    <x v="1"/>
    <n v="1628"/>
    <n v="2"/>
    <m/>
    <m/>
    <x v="0"/>
    <n v="1159"/>
    <n v="1159"/>
    <n v="0"/>
    <n v="0"/>
    <m/>
  </r>
  <r>
    <x v="0"/>
    <x v="2"/>
    <x v="1"/>
    <n v="1636"/>
    <n v="2"/>
    <m/>
    <m/>
    <x v="0"/>
    <n v="1159"/>
    <n v="1159"/>
    <n v="0"/>
    <n v="0"/>
    <m/>
  </r>
  <r>
    <x v="0"/>
    <x v="2"/>
    <x v="1"/>
    <n v="2219"/>
    <n v="0"/>
    <m/>
    <m/>
    <x v="0"/>
    <n v="1159"/>
    <n v="1159"/>
    <n v="0"/>
    <n v="0"/>
    <m/>
  </r>
  <r>
    <x v="1"/>
    <x v="1"/>
    <x v="8"/>
    <n v="2000"/>
    <n v="2"/>
    <s v="Scroll"/>
    <n v="2"/>
    <x v="2"/>
    <n v="0"/>
    <n v="4000"/>
    <n v="0"/>
    <n v="1600"/>
    <m/>
  </r>
  <r>
    <x v="1"/>
    <x v="1"/>
    <x v="8"/>
    <n v="1918"/>
    <n v="0"/>
    <s v="Scroll"/>
    <n v="2"/>
    <x v="2"/>
    <n v="0"/>
    <n v="4000"/>
    <n v="0"/>
    <n v="1600"/>
    <m/>
  </r>
  <r>
    <x v="1"/>
    <x v="1"/>
    <x v="8"/>
    <n v="1961"/>
    <n v="1"/>
    <s v="Scroll"/>
    <n v="2"/>
    <x v="2"/>
    <n v="0"/>
    <n v="4000"/>
    <n v="0"/>
    <n v="1600"/>
    <m/>
  </r>
  <r>
    <x v="1"/>
    <x v="1"/>
    <x v="8"/>
    <n v="1686"/>
    <n v="1"/>
    <m/>
    <m/>
    <x v="0"/>
    <n v="1824"/>
    <n v="1824"/>
    <n v="0"/>
    <n v="0"/>
    <m/>
  </r>
  <r>
    <x v="1"/>
    <x v="1"/>
    <x v="8"/>
    <n v="1336"/>
    <n v="1"/>
    <m/>
    <m/>
    <x v="0"/>
    <n v="1976"/>
    <n v="1976"/>
    <n v="0"/>
    <n v="0"/>
    <m/>
  </r>
  <r>
    <x v="1"/>
    <x v="1"/>
    <x v="8"/>
    <n v="2019"/>
    <n v="2"/>
    <m/>
    <m/>
    <x v="0"/>
    <n v="1976"/>
    <n v="1976"/>
    <n v="0"/>
    <n v="0"/>
    <m/>
  </r>
  <r>
    <x v="1"/>
    <x v="1"/>
    <x v="8"/>
    <n v="2327"/>
    <n v="1"/>
    <m/>
    <m/>
    <x v="0"/>
    <n v="1824"/>
    <n v="1824"/>
    <n v="0"/>
    <n v="0"/>
    <m/>
  </r>
  <r>
    <x v="1"/>
    <x v="1"/>
    <x v="8"/>
    <n v="1196"/>
    <n v="0"/>
    <m/>
    <m/>
    <x v="0"/>
    <n v="1824"/>
    <n v="1824"/>
    <n v="0"/>
    <n v="0"/>
    <m/>
  </r>
  <r>
    <x v="1"/>
    <x v="1"/>
    <x v="8"/>
    <n v="1637"/>
    <n v="0"/>
    <m/>
    <m/>
    <x v="0"/>
    <n v="2937"/>
    <n v="2937"/>
    <n v="0"/>
    <n v="0"/>
    <m/>
  </r>
  <r>
    <x v="1"/>
    <x v="1"/>
    <x v="8"/>
    <n v="1391"/>
    <n v="2"/>
    <m/>
    <m/>
    <x v="0"/>
    <n v="1824"/>
    <n v="1824"/>
    <n v="0"/>
    <n v="0"/>
    <m/>
  </r>
  <r>
    <x v="1"/>
    <x v="1"/>
    <x v="8"/>
    <n v="895"/>
    <n v="0"/>
    <m/>
    <m/>
    <x v="0"/>
    <n v="1824"/>
    <n v="1824"/>
    <n v="0"/>
    <n v="0"/>
    <m/>
  </r>
  <r>
    <x v="1"/>
    <x v="1"/>
    <x v="8"/>
    <n v="1297"/>
    <n v="0"/>
    <m/>
    <m/>
    <x v="0"/>
    <n v="1824"/>
    <n v="1824"/>
    <n v="0"/>
    <n v="0"/>
    <m/>
  </r>
  <r>
    <x v="1"/>
    <x v="1"/>
    <x v="8"/>
    <n v="1906"/>
    <n v="1"/>
    <m/>
    <m/>
    <x v="0"/>
    <n v="1824"/>
    <n v="1824"/>
    <n v="0"/>
    <n v="0"/>
    <m/>
  </r>
  <r>
    <x v="1"/>
    <x v="1"/>
    <x v="8"/>
    <n v="1554"/>
    <n v="0"/>
    <m/>
    <m/>
    <x v="0"/>
    <n v="2937"/>
    <n v="2937"/>
    <n v="0"/>
    <n v="0"/>
    <m/>
  </r>
  <r>
    <x v="1"/>
    <x v="1"/>
    <x v="8"/>
    <n v="1561"/>
    <n v="0"/>
    <m/>
    <m/>
    <x v="0"/>
    <n v="3182"/>
    <n v="3182"/>
    <n v="0"/>
    <n v="0"/>
    <m/>
  </r>
  <r>
    <x v="1"/>
    <x v="1"/>
    <x v="8"/>
    <n v="1059"/>
    <n v="0"/>
    <m/>
    <m/>
    <x v="0"/>
    <n v="2128"/>
    <n v="2128"/>
    <n v="0"/>
    <n v="0"/>
    <m/>
  </r>
  <r>
    <x v="1"/>
    <x v="1"/>
    <x v="8"/>
    <n v="1954"/>
    <n v="0"/>
    <s v="Scroll"/>
    <n v="2"/>
    <x v="2"/>
    <n v="0"/>
    <n v="4000"/>
    <n v="0"/>
    <n v="1600"/>
    <m/>
  </r>
  <r>
    <x v="0"/>
    <x v="2"/>
    <x v="9"/>
    <n v="1836"/>
    <n v="1"/>
    <m/>
    <m/>
    <x v="0"/>
    <n v="1352"/>
    <n v="1352"/>
    <n v="0"/>
    <n v="0"/>
    <m/>
  </r>
  <r>
    <x v="0"/>
    <x v="2"/>
    <x v="9"/>
    <n v="1596"/>
    <n v="1"/>
    <s v="Scroll"/>
    <n v="3"/>
    <x v="2"/>
    <n v="0"/>
    <n v="6000"/>
    <n v="0"/>
    <n v="2400"/>
    <m/>
  </r>
  <r>
    <x v="0"/>
    <x v="2"/>
    <x v="9"/>
    <n v="1249"/>
    <n v="1"/>
    <m/>
    <m/>
    <x v="0"/>
    <n v="1352"/>
    <n v="1352"/>
    <n v="0"/>
    <n v="0"/>
    <m/>
  </r>
  <r>
    <x v="0"/>
    <x v="2"/>
    <x v="9"/>
    <n v="1211"/>
    <n v="1"/>
    <m/>
    <m/>
    <x v="0"/>
    <n v="1352"/>
    <n v="1352"/>
    <n v="0"/>
    <n v="0"/>
    <m/>
  </r>
  <r>
    <x v="0"/>
    <x v="2"/>
    <x v="9"/>
    <n v="1264"/>
    <n v="2"/>
    <m/>
    <m/>
    <x v="0"/>
    <n v="2411"/>
    <n v="2411"/>
    <n v="0"/>
    <n v="0"/>
    <m/>
  </r>
  <r>
    <x v="0"/>
    <x v="2"/>
    <x v="9"/>
    <n v="2595"/>
    <n v="0"/>
    <m/>
    <m/>
    <x v="0"/>
    <n v="2067"/>
    <n v="2067"/>
    <n v="0"/>
    <n v="0"/>
    <m/>
  </r>
  <r>
    <x v="0"/>
    <x v="2"/>
    <x v="9"/>
    <n v="1424"/>
    <n v="2"/>
    <m/>
    <m/>
    <x v="0"/>
    <n v="1159"/>
    <n v="1159"/>
    <n v="0"/>
    <n v="0"/>
    <m/>
  </r>
  <r>
    <x v="0"/>
    <x v="2"/>
    <x v="9"/>
    <n v="1971"/>
    <n v="1"/>
    <m/>
    <m/>
    <x v="0"/>
    <n v="1159"/>
    <n v="1159"/>
    <n v="0"/>
    <n v="0"/>
    <m/>
  </r>
  <r>
    <x v="0"/>
    <x v="2"/>
    <x v="9"/>
    <n v="2145"/>
    <n v="0"/>
    <m/>
    <m/>
    <x v="0"/>
    <n v="2067"/>
    <n v="2067"/>
    <n v="0"/>
    <n v="0"/>
    <m/>
  </r>
  <r>
    <x v="0"/>
    <x v="2"/>
    <x v="9"/>
    <n v="2223"/>
    <n v="0"/>
    <m/>
    <m/>
    <x v="0"/>
    <n v="1546"/>
    <n v="1546"/>
    <n v="0"/>
    <n v="0"/>
    <m/>
  </r>
  <r>
    <x v="0"/>
    <x v="2"/>
    <x v="9"/>
    <n v="2364"/>
    <n v="1"/>
    <m/>
    <m/>
    <x v="0"/>
    <n v="1159"/>
    <n v="1159"/>
    <n v="0"/>
    <n v="0"/>
    <m/>
  </r>
  <r>
    <x v="0"/>
    <x v="2"/>
    <x v="9"/>
    <n v="781"/>
    <n v="0"/>
    <m/>
    <m/>
    <x v="0"/>
    <n v="2067"/>
    <n v="2067"/>
    <n v="0"/>
    <n v="0"/>
    <m/>
  </r>
  <r>
    <x v="0"/>
    <x v="2"/>
    <x v="9"/>
    <n v="904"/>
    <n v="2"/>
    <s v="Scroll"/>
    <n v="3"/>
    <x v="2"/>
    <n v="0"/>
    <n v="6000"/>
    <n v="0"/>
    <n v="2400"/>
    <m/>
  </r>
  <r>
    <x v="0"/>
    <x v="2"/>
    <x v="9"/>
    <n v="1500"/>
    <n v="0"/>
    <m/>
    <m/>
    <x v="0"/>
    <n v="1159"/>
    <n v="1159"/>
    <n v="0"/>
    <n v="0"/>
    <m/>
  </r>
  <r>
    <x v="0"/>
    <x v="2"/>
    <x v="9"/>
    <n v="1071"/>
    <n v="0"/>
    <m/>
    <m/>
    <x v="0"/>
    <n v="1159"/>
    <n v="1159"/>
    <n v="0"/>
    <n v="0"/>
    <m/>
  </r>
  <r>
    <x v="0"/>
    <x v="2"/>
    <x v="9"/>
    <n v="1683"/>
    <n v="2"/>
    <m/>
    <m/>
    <x v="0"/>
    <n v="1159"/>
    <n v="1159"/>
    <n v="0"/>
    <n v="0"/>
    <m/>
  </r>
  <r>
    <x v="0"/>
    <x v="2"/>
    <x v="9"/>
    <n v="1102"/>
    <n v="0"/>
    <m/>
    <m/>
    <x v="0"/>
    <n v="1159"/>
    <n v="1159"/>
    <n v="0"/>
    <n v="0"/>
    <m/>
  </r>
  <r>
    <x v="0"/>
    <x v="2"/>
    <x v="9"/>
    <n v="1495"/>
    <n v="1"/>
    <s v="Scroll"/>
    <n v="3"/>
    <x v="2"/>
    <n v="0"/>
    <n v="6000"/>
    <n v="0"/>
    <n v="2400"/>
    <n v="92"/>
  </r>
  <r>
    <x v="1"/>
    <x v="1"/>
    <x v="8"/>
    <n v="946"/>
    <n v="0"/>
    <m/>
    <m/>
    <x v="0"/>
    <n v="1824"/>
    <n v="1824"/>
    <n v="0"/>
    <n v="0"/>
    <m/>
  </r>
  <r>
    <x v="3"/>
    <x v="0"/>
    <x v="6"/>
    <n v="2381"/>
    <n v="2"/>
    <s v="Magic"/>
    <n v="4"/>
    <x v="3"/>
    <n v="0"/>
    <n v="0"/>
    <n v="0"/>
    <n v="0"/>
    <m/>
  </r>
  <r>
    <x v="3"/>
    <x v="0"/>
    <x v="6"/>
    <n v="2191"/>
    <n v="1"/>
    <s v="Magic"/>
    <n v="1"/>
    <x v="6"/>
    <n v="0"/>
    <n v="0"/>
    <n v="0"/>
    <n v="0"/>
    <m/>
  </r>
  <r>
    <x v="3"/>
    <x v="0"/>
    <x v="6"/>
    <n v="2209"/>
    <n v="0"/>
    <s v="Magic"/>
    <n v="1"/>
    <x v="4"/>
    <n v="0"/>
    <n v="0"/>
    <n v="0"/>
    <n v="0"/>
    <m/>
  </r>
  <r>
    <x v="3"/>
    <x v="0"/>
    <x v="6"/>
    <n v="2202"/>
    <n v="1"/>
    <s v="Water"/>
    <n v="1"/>
    <x v="4"/>
    <n v="0"/>
    <n v="0"/>
    <n v="0"/>
    <n v="0"/>
    <m/>
  </r>
  <r>
    <x v="3"/>
    <x v="0"/>
    <x v="6"/>
    <n v="2118"/>
    <n v="0"/>
    <s v="Scroll"/>
    <n v="4"/>
    <x v="2"/>
    <n v="0"/>
    <n v="8000"/>
    <n v="0"/>
    <n v="3200"/>
    <m/>
  </r>
  <r>
    <x v="3"/>
    <x v="0"/>
    <x v="6"/>
    <n v="2413"/>
    <n v="1"/>
    <s v="Magic"/>
    <n v="1"/>
    <x v="4"/>
    <n v="0"/>
    <n v="0"/>
    <n v="0"/>
    <n v="0"/>
    <m/>
  </r>
  <r>
    <x v="3"/>
    <x v="0"/>
    <x v="6"/>
    <n v="2546"/>
    <n v="2"/>
    <s v="Scroll"/>
    <n v="4"/>
    <x v="2"/>
    <n v="0"/>
    <n v="8000"/>
    <n v="0"/>
    <n v="3200"/>
    <m/>
  </r>
  <r>
    <x v="3"/>
    <x v="0"/>
    <x v="6"/>
    <n v="1950"/>
    <n v="0"/>
    <s v="Magic"/>
    <n v="1"/>
    <x v="4"/>
    <n v="0"/>
    <n v="0"/>
    <n v="0"/>
    <n v="0"/>
    <m/>
  </r>
  <r>
    <x v="3"/>
    <x v="0"/>
    <x v="6"/>
    <n v="2444"/>
    <n v="1"/>
    <s v="Magic"/>
    <n v="5"/>
    <x v="3"/>
    <n v="0"/>
    <n v="0"/>
    <n v="0"/>
    <n v="0"/>
    <m/>
  </r>
  <r>
    <x v="3"/>
    <x v="0"/>
    <x v="6"/>
    <n v="2293"/>
    <n v="1"/>
    <s v="Magic"/>
    <n v="4"/>
    <x v="3"/>
    <n v="0"/>
    <n v="0"/>
    <n v="0"/>
    <n v="0"/>
    <m/>
  </r>
  <r>
    <x v="3"/>
    <x v="0"/>
    <x v="6"/>
    <n v="2100"/>
    <n v="0"/>
    <s v="Magic"/>
    <n v="2"/>
    <x v="4"/>
    <n v="0"/>
    <n v="0"/>
    <n v="0"/>
    <n v="0"/>
    <m/>
  </r>
  <r>
    <x v="3"/>
    <x v="0"/>
    <x v="6"/>
    <n v="2235"/>
    <n v="1"/>
    <s v="Magic"/>
    <n v="1"/>
    <x v="4"/>
    <n v="0"/>
    <n v="0"/>
    <n v="0"/>
    <n v="0"/>
    <m/>
  </r>
  <r>
    <x v="3"/>
    <x v="0"/>
    <x v="6"/>
    <n v="2213"/>
    <n v="0"/>
    <s v="Magic"/>
    <n v="3"/>
    <x v="3"/>
    <n v="0"/>
    <n v="0"/>
    <n v="0"/>
    <n v="0"/>
    <m/>
  </r>
  <r>
    <x v="3"/>
    <x v="0"/>
    <x v="6"/>
    <n v="2376"/>
    <n v="1"/>
    <s v="Wind"/>
    <n v="1"/>
    <x v="4"/>
    <n v="0"/>
    <n v="0"/>
    <n v="0"/>
    <n v="0"/>
    <m/>
  </r>
  <r>
    <x v="3"/>
    <x v="0"/>
    <x v="6"/>
    <n v="2190"/>
    <n v="0"/>
    <s v="Wind"/>
    <n v="2"/>
    <x v="4"/>
    <n v="0"/>
    <n v="0"/>
    <n v="0"/>
    <n v="0"/>
    <m/>
  </r>
  <r>
    <x v="3"/>
    <x v="0"/>
    <x v="6"/>
    <n v="2435"/>
    <n v="1"/>
    <s v="Magic"/>
    <n v="5"/>
    <x v="3"/>
    <n v="0"/>
    <n v="0"/>
    <n v="0"/>
    <n v="0"/>
    <m/>
  </r>
  <r>
    <x v="3"/>
    <x v="0"/>
    <x v="6"/>
    <n v="2777"/>
    <n v="0"/>
    <s v="Rainb"/>
    <n v="1"/>
    <x v="1"/>
    <n v="0"/>
    <n v="0"/>
    <n v="11500"/>
    <n v="35822"/>
    <m/>
  </r>
  <r>
    <x v="3"/>
    <x v="0"/>
    <x v="6"/>
    <n v="2127"/>
    <n v="0"/>
    <s v="Magic"/>
    <n v="3"/>
    <x v="3"/>
    <n v="0"/>
    <n v="0"/>
    <n v="0"/>
    <n v="0"/>
    <m/>
  </r>
  <r>
    <x v="3"/>
    <x v="0"/>
    <x v="6"/>
    <n v="2217"/>
    <n v="1"/>
    <s v="Magic"/>
    <n v="4"/>
    <x v="3"/>
    <n v="0"/>
    <n v="0"/>
    <n v="0"/>
    <n v="0"/>
    <m/>
  </r>
  <r>
    <x v="3"/>
    <x v="0"/>
    <x v="6"/>
    <n v="2126"/>
    <n v="0"/>
    <s v="Wind"/>
    <n v="3"/>
    <x v="4"/>
    <n v="0"/>
    <n v="0"/>
    <n v="0"/>
    <n v="0"/>
    <m/>
  </r>
  <r>
    <x v="3"/>
    <x v="0"/>
    <x v="6"/>
    <n v="2061"/>
    <n v="0"/>
    <s v="Magic"/>
    <n v="5"/>
    <x v="3"/>
    <n v="0"/>
    <n v="0"/>
    <n v="0"/>
    <n v="0"/>
    <m/>
  </r>
  <r>
    <x v="3"/>
    <x v="0"/>
    <x v="6"/>
    <n v="1946"/>
    <n v="0"/>
    <s v="Fire"/>
    <n v="2"/>
    <x v="6"/>
    <n v="0"/>
    <n v="0"/>
    <n v="0"/>
    <n v="0"/>
    <m/>
  </r>
  <r>
    <x v="3"/>
    <x v="0"/>
    <x v="6"/>
    <n v="2497"/>
    <n v="1"/>
    <s v="Magic"/>
    <n v="5"/>
    <x v="3"/>
    <n v="0"/>
    <n v="0"/>
    <n v="0"/>
    <n v="0"/>
    <m/>
  </r>
  <r>
    <x v="3"/>
    <x v="0"/>
    <x v="6"/>
    <n v="1941"/>
    <n v="0"/>
    <s v="Wind"/>
    <n v="1"/>
    <x v="4"/>
    <n v="0"/>
    <n v="0"/>
    <n v="0"/>
    <n v="0"/>
    <m/>
  </r>
  <r>
    <x v="2"/>
    <x v="0"/>
    <x v="7"/>
    <n v="3681"/>
    <n v="1"/>
    <s v="Blue"/>
    <n v="1"/>
    <x v="7"/>
    <n v="3300"/>
    <n v="3300"/>
    <n v="0"/>
    <n v="0"/>
    <m/>
  </r>
  <r>
    <x v="5"/>
    <x v="1"/>
    <x v="0"/>
    <n v="830"/>
    <n v="0"/>
    <m/>
    <m/>
    <x v="0"/>
    <n v="1824"/>
    <n v="1824"/>
    <n v="0"/>
    <n v="0"/>
    <m/>
  </r>
  <r>
    <x v="5"/>
    <x v="1"/>
    <x v="0"/>
    <n v="1949"/>
    <n v="4"/>
    <m/>
    <m/>
    <x v="0"/>
    <n v="1824"/>
    <n v="1824"/>
    <n v="0"/>
    <n v="0"/>
    <m/>
  </r>
  <r>
    <x v="5"/>
    <x v="1"/>
    <x v="0"/>
    <n v="1975"/>
    <n v="1"/>
    <m/>
    <m/>
    <x v="0"/>
    <n v="1824"/>
    <n v="1824"/>
    <n v="0"/>
    <n v="0"/>
    <m/>
  </r>
  <r>
    <x v="5"/>
    <x v="1"/>
    <x v="0"/>
    <n v="1446"/>
    <n v="0"/>
    <m/>
    <m/>
    <x v="0"/>
    <n v="1824"/>
    <n v="1824"/>
    <n v="0"/>
    <n v="0"/>
    <m/>
  </r>
  <r>
    <x v="5"/>
    <x v="1"/>
    <x v="0"/>
    <n v="891"/>
    <n v="2"/>
    <m/>
    <m/>
    <x v="0"/>
    <n v="1824"/>
    <n v="1824"/>
    <n v="0"/>
    <n v="0"/>
    <m/>
  </r>
  <r>
    <x v="5"/>
    <x v="1"/>
    <x v="0"/>
    <n v="1724"/>
    <n v="1"/>
    <m/>
    <m/>
    <x v="0"/>
    <n v="2128"/>
    <n v="2128"/>
    <n v="0"/>
    <n v="0"/>
    <m/>
  </r>
  <r>
    <x v="5"/>
    <x v="1"/>
    <x v="0"/>
    <n v="1612"/>
    <n v="1"/>
    <m/>
    <m/>
    <x v="0"/>
    <n v="1824"/>
    <n v="1824"/>
    <n v="0"/>
    <n v="0"/>
    <m/>
  </r>
  <r>
    <x v="5"/>
    <x v="1"/>
    <x v="0"/>
    <n v="1367"/>
    <n v="1"/>
    <m/>
    <m/>
    <x v="0"/>
    <n v="1824"/>
    <n v="1824"/>
    <n v="0"/>
    <n v="0"/>
    <m/>
  </r>
  <r>
    <x v="5"/>
    <x v="1"/>
    <x v="0"/>
    <n v="1529"/>
    <n v="0"/>
    <m/>
    <m/>
    <x v="0"/>
    <n v="2937"/>
    <n v="2937"/>
    <n v="0"/>
    <n v="0"/>
    <m/>
  </r>
  <r>
    <x v="3"/>
    <x v="0"/>
    <x v="6"/>
    <n v="2489"/>
    <n v="0"/>
    <s v="Scroll"/>
    <n v="4"/>
    <x v="2"/>
    <n v="0"/>
    <n v="8000"/>
    <n v="0"/>
    <n v="3200"/>
    <m/>
  </r>
  <r>
    <x v="3"/>
    <x v="0"/>
    <x v="6"/>
    <n v="2683"/>
    <n v="0"/>
    <s v="Magic"/>
    <n v="1"/>
    <x v="4"/>
    <n v="0"/>
    <n v="0"/>
    <n v="0"/>
    <n v="0"/>
    <m/>
  </r>
  <r>
    <x v="3"/>
    <x v="0"/>
    <x v="6"/>
    <n v="2361"/>
    <n v="3"/>
    <s v="Magic"/>
    <n v="1"/>
    <x v="6"/>
    <n v="0"/>
    <n v="0"/>
    <n v="0"/>
    <n v="0"/>
    <m/>
  </r>
  <r>
    <x v="3"/>
    <x v="0"/>
    <x v="6"/>
    <n v="2012"/>
    <n v="1"/>
    <s v="Magic"/>
    <n v="1"/>
    <x v="4"/>
    <n v="0"/>
    <n v="0"/>
    <n v="0"/>
    <n v="0"/>
    <m/>
  </r>
  <r>
    <x v="3"/>
    <x v="0"/>
    <x v="6"/>
    <n v="2525"/>
    <n v="0"/>
    <s v="Wind"/>
    <n v="1"/>
    <x v="4"/>
    <n v="0"/>
    <n v="0"/>
    <n v="0"/>
    <n v="0"/>
    <m/>
  </r>
  <r>
    <x v="3"/>
    <x v="0"/>
    <x v="6"/>
    <n v="2271"/>
    <n v="0"/>
    <s v="Magic"/>
    <n v="4"/>
    <x v="3"/>
    <n v="0"/>
    <n v="0"/>
    <n v="0"/>
    <n v="0"/>
    <m/>
  </r>
  <r>
    <x v="3"/>
    <x v="0"/>
    <x v="6"/>
    <n v="2602"/>
    <n v="1"/>
    <s v="Fire"/>
    <n v="1"/>
    <x v="6"/>
    <n v="0"/>
    <n v="0"/>
    <n v="0"/>
    <n v="0"/>
    <m/>
  </r>
  <r>
    <x v="3"/>
    <x v="0"/>
    <x v="6"/>
    <n v="2453"/>
    <n v="0"/>
    <s v="Magic"/>
    <n v="1"/>
    <x v="4"/>
    <n v="0"/>
    <n v="0"/>
    <n v="0"/>
    <n v="0"/>
    <m/>
  </r>
  <r>
    <x v="3"/>
    <x v="0"/>
    <x v="6"/>
    <n v="2244"/>
    <n v="0"/>
    <s v="Magic"/>
    <n v="5"/>
    <x v="3"/>
    <n v="0"/>
    <n v="0"/>
    <n v="0"/>
    <n v="0"/>
    <m/>
  </r>
  <r>
    <x v="3"/>
    <x v="0"/>
    <x v="6"/>
    <n v="2817"/>
    <n v="0"/>
    <s v="Magic"/>
    <n v="1"/>
    <x v="6"/>
    <n v="0"/>
    <n v="0"/>
    <n v="0"/>
    <n v="0"/>
    <m/>
  </r>
  <r>
    <x v="3"/>
    <x v="0"/>
    <x v="6"/>
    <n v="2234"/>
    <n v="1"/>
    <s v="Magic"/>
    <n v="3"/>
    <x v="3"/>
    <n v="0"/>
    <n v="0"/>
    <n v="0"/>
    <n v="0"/>
    <m/>
  </r>
  <r>
    <x v="3"/>
    <x v="0"/>
    <x v="6"/>
    <n v="2463"/>
    <n v="0"/>
    <s v="Scroll"/>
    <n v="4"/>
    <x v="2"/>
    <n v="0"/>
    <n v="8000"/>
    <n v="0"/>
    <n v="3200"/>
    <m/>
  </r>
  <r>
    <x v="3"/>
    <x v="0"/>
    <x v="6"/>
    <n v="2474"/>
    <n v="0"/>
    <s v="Magic"/>
    <n v="5"/>
    <x v="3"/>
    <n v="0"/>
    <n v="0"/>
    <n v="0"/>
    <n v="0"/>
    <m/>
  </r>
  <r>
    <x v="3"/>
    <x v="0"/>
    <x v="6"/>
    <n v="2455"/>
    <n v="0"/>
    <s v="Magic"/>
    <n v="1"/>
    <x v="4"/>
    <n v="0"/>
    <n v="0"/>
    <n v="0"/>
    <n v="0"/>
    <m/>
  </r>
  <r>
    <x v="3"/>
    <x v="0"/>
    <x v="6"/>
    <n v="2373"/>
    <n v="1"/>
    <s v="Magic"/>
    <n v="1"/>
    <x v="6"/>
    <n v="0"/>
    <n v="0"/>
    <n v="0"/>
    <n v="0"/>
    <m/>
  </r>
  <r>
    <x v="3"/>
    <x v="0"/>
    <x v="6"/>
    <n v="2131"/>
    <n v="1"/>
    <s v="Magic"/>
    <n v="1"/>
    <x v="4"/>
    <n v="0"/>
    <n v="0"/>
    <n v="0"/>
    <n v="0"/>
    <m/>
  </r>
  <r>
    <x v="3"/>
    <x v="0"/>
    <x v="6"/>
    <n v="2300"/>
    <n v="0"/>
    <s v="Scroll"/>
    <n v="4"/>
    <x v="2"/>
    <n v="0"/>
    <n v="8000"/>
    <n v="0"/>
    <n v="3200"/>
    <m/>
  </r>
  <r>
    <x v="3"/>
    <x v="0"/>
    <x v="6"/>
    <n v="2089"/>
    <n v="0"/>
    <s v="Magic"/>
    <n v="3"/>
    <x v="3"/>
    <n v="0"/>
    <n v="0"/>
    <n v="0"/>
    <n v="0"/>
    <m/>
  </r>
  <r>
    <x v="3"/>
    <x v="0"/>
    <x v="6"/>
    <n v="2291"/>
    <n v="1"/>
    <s v="Magic"/>
    <n v="4"/>
    <x v="3"/>
    <n v="0"/>
    <n v="0"/>
    <n v="0"/>
    <n v="0"/>
    <m/>
  </r>
  <r>
    <x v="7"/>
    <x v="0"/>
    <x v="6"/>
    <n v="2217"/>
    <n v="0"/>
    <s v="Dark"/>
    <n v="2"/>
    <x v="4"/>
    <n v="0"/>
    <n v="0"/>
    <n v="0"/>
    <n v="0"/>
    <m/>
  </r>
  <r>
    <x v="7"/>
    <x v="0"/>
    <x v="7"/>
    <n v="2635"/>
    <n v="0"/>
    <s v="Scroll"/>
    <n v="5"/>
    <x v="2"/>
    <n v="0"/>
    <n v="10000"/>
    <n v="0"/>
    <n v="4000"/>
    <m/>
  </r>
  <r>
    <x v="7"/>
    <x v="0"/>
    <x v="7"/>
    <n v="2286"/>
    <n v="0"/>
    <s v="Dark"/>
    <n v="2"/>
    <x v="4"/>
    <n v="0"/>
    <n v="0"/>
    <n v="0"/>
    <n v="0"/>
    <m/>
  </r>
  <r>
    <x v="7"/>
    <x v="0"/>
    <x v="7"/>
    <n v="2828"/>
    <n v="0"/>
    <s v="Dark"/>
    <n v="1"/>
    <x v="4"/>
    <n v="0"/>
    <n v="0"/>
    <n v="0"/>
    <n v="0"/>
    <m/>
  </r>
  <r>
    <x v="7"/>
    <x v="0"/>
    <x v="10"/>
    <n v="2917"/>
    <n v="2"/>
    <s v="Dark"/>
    <n v="3"/>
    <x v="4"/>
    <n v="0"/>
    <n v="0"/>
    <n v="0"/>
    <n v="0"/>
    <m/>
  </r>
  <r>
    <x v="7"/>
    <x v="0"/>
    <x v="11"/>
    <n v="2771"/>
    <n v="0"/>
    <s v="Dark"/>
    <n v="1"/>
    <x v="4"/>
    <n v="0"/>
    <n v="0"/>
    <n v="0"/>
    <n v="0"/>
    <m/>
  </r>
  <r>
    <x v="7"/>
    <x v="0"/>
    <x v="11"/>
    <n v="3158"/>
    <n v="1"/>
    <s v="Dark"/>
    <n v="3"/>
    <x v="6"/>
    <n v="0"/>
    <n v="0"/>
    <n v="0"/>
    <n v="0"/>
    <m/>
  </r>
  <r>
    <x v="7"/>
    <x v="0"/>
    <x v="11"/>
    <n v="3080"/>
    <n v="0"/>
    <s v="Dark"/>
    <n v="5"/>
    <x v="3"/>
    <n v="0"/>
    <n v="0"/>
    <n v="0"/>
    <n v="0"/>
    <m/>
  </r>
  <r>
    <x v="7"/>
    <x v="0"/>
    <x v="11"/>
    <n v="3091"/>
    <n v="2"/>
    <s v="Dark"/>
    <n v="5"/>
    <x v="3"/>
    <n v="0"/>
    <n v="0"/>
    <n v="0"/>
    <n v="0"/>
    <m/>
  </r>
  <r>
    <x v="3"/>
    <x v="0"/>
    <x v="10"/>
    <n v="2945"/>
    <n v="1"/>
    <s v="Magic"/>
    <n v="2"/>
    <x v="6"/>
    <n v="0"/>
    <n v="0"/>
    <n v="0"/>
    <n v="0"/>
    <m/>
  </r>
  <r>
    <x v="3"/>
    <x v="0"/>
    <x v="10"/>
    <n v="2556"/>
    <n v="1"/>
    <s v="Magic"/>
    <n v="1"/>
    <x v="4"/>
    <n v="0"/>
    <n v="0"/>
    <n v="0"/>
    <n v="0"/>
    <m/>
  </r>
  <r>
    <x v="3"/>
    <x v="0"/>
    <x v="10"/>
    <n v="2925"/>
    <n v="0"/>
    <s v="Magic"/>
    <n v="5"/>
    <x v="3"/>
    <n v="0"/>
    <n v="0"/>
    <n v="0"/>
    <n v="0"/>
    <m/>
  </r>
  <r>
    <x v="3"/>
    <x v="0"/>
    <x v="10"/>
    <n v="2776"/>
    <n v="1"/>
    <s v="Magic"/>
    <n v="5"/>
    <x v="3"/>
    <n v="0"/>
    <n v="0"/>
    <n v="0"/>
    <n v="0"/>
    <m/>
  </r>
  <r>
    <x v="3"/>
    <x v="0"/>
    <x v="10"/>
    <n v="2669"/>
    <n v="0"/>
    <s v="Magic"/>
    <n v="1"/>
    <x v="4"/>
    <n v="0"/>
    <n v="0"/>
    <n v="0"/>
    <n v="0"/>
    <m/>
  </r>
  <r>
    <x v="3"/>
    <x v="0"/>
    <x v="10"/>
    <n v="2813"/>
    <n v="1"/>
    <s v="Magic"/>
    <n v="5"/>
    <x v="3"/>
    <n v="0"/>
    <n v="0"/>
    <n v="0"/>
    <n v="0"/>
    <m/>
  </r>
  <r>
    <x v="3"/>
    <x v="0"/>
    <x v="10"/>
    <n v="2871"/>
    <n v="0"/>
    <s v="Magic"/>
    <n v="2"/>
    <x v="4"/>
    <n v="0"/>
    <n v="0"/>
    <n v="0"/>
    <n v="0"/>
    <m/>
  </r>
  <r>
    <x v="3"/>
    <x v="0"/>
    <x v="10"/>
    <n v="2829"/>
    <n v="0"/>
    <s v="Magic"/>
    <n v="3"/>
    <x v="3"/>
    <n v="0"/>
    <n v="0"/>
    <n v="0"/>
    <n v="0"/>
    <m/>
  </r>
  <r>
    <x v="3"/>
    <x v="0"/>
    <x v="10"/>
    <n v="2312"/>
    <n v="1"/>
    <s v="Rainb"/>
    <n v="1"/>
    <x v="1"/>
    <n v="0"/>
    <n v="0"/>
    <n v="11500"/>
    <n v="35822"/>
    <m/>
  </r>
  <r>
    <x v="2"/>
    <x v="0"/>
    <x v="7"/>
    <n v="3502"/>
    <n v="1"/>
    <s v="Blue"/>
    <n v="1"/>
    <x v="8"/>
    <n v="0"/>
    <n v="0"/>
    <n v="0"/>
    <n v="0"/>
    <m/>
  </r>
  <r>
    <x v="3"/>
    <x v="0"/>
    <x v="10"/>
    <n v="0"/>
    <n v="0"/>
    <m/>
    <n v="0"/>
    <x v="0"/>
    <n v="0"/>
    <n v="0"/>
    <n v="0"/>
    <n v="0"/>
    <s v="Y"/>
  </r>
  <r>
    <x v="3"/>
    <x v="0"/>
    <x v="10"/>
    <n v="2382"/>
    <n v="0"/>
    <s v="Magic"/>
    <n v="1"/>
    <x v="6"/>
    <n v="0"/>
    <n v="0"/>
    <n v="0"/>
    <n v="0"/>
    <m/>
  </r>
  <r>
    <x v="3"/>
    <x v="0"/>
    <x v="10"/>
    <n v="2958"/>
    <n v="0"/>
    <s v="Rainb"/>
    <n v="1"/>
    <x v="1"/>
    <n v="0"/>
    <n v="0"/>
    <n v="11500"/>
    <n v="35822"/>
    <m/>
  </r>
  <r>
    <x v="3"/>
    <x v="0"/>
    <x v="10"/>
    <n v="2545"/>
    <n v="2"/>
    <s v="Magic"/>
    <n v="3"/>
    <x v="4"/>
    <n v="0"/>
    <n v="0"/>
    <n v="0"/>
    <n v="0"/>
    <m/>
  </r>
  <r>
    <x v="3"/>
    <x v="0"/>
    <x v="10"/>
    <n v="2649"/>
    <n v="3"/>
    <s v="Water"/>
    <n v="2"/>
    <x v="4"/>
    <n v="0"/>
    <n v="0"/>
    <n v="0"/>
    <n v="0"/>
    <m/>
  </r>
  <r>
    <x v="3"/>
    <x v="0"/>
    <x v="10"/>
    <n v="2432"/>
    <n v="0"/>
    <s v="Water"/>
    <n v="4"/>
    <x v="3"/>
    <n v="0"/>
    <n v="0"/>
    <n v="0"/>
    <n v="0"/>
    <m/>
  </r>
  <r>
    <x v="3"/>
    <x v="0"/>
    <x v="10"/>
    <n v="2881"/>
    <n v="0"/>
    <s v="Magic"/>
    <n v="1"/>
    <x v="6"/>
    <n v="0"/>
    <n v="0"/>
    <n v="0"/>
    <n v="0"/>
    <m/>
  </r>
  <r>
    <x v="1"/>
    <x v="1"/>
    <x v="8"/>
    <n v="1977"/>
    <n v="0"/>
    <s v="Fod"/>
    <n v="1"/>
    <x v="5"/>
    <n v="0"/>
    <n v="0"/>
    <n v="34500"/>
    <n v="35822"/>
    <m/>
  </r>
  <r>
    <x v="1"/>
    <x v="1"/>
    <x v="8"/>
    <n v="1544"/>
    <n v="0"/>
    <m/>
    <m/>
    <x v="0"/>
    <n v="1824"/>
    <n v="1824"/>
    <n v="0"/>
    <n v="0"/>
    <m/>
  </r>
  <r>
    <x v="1"/>
    <x v="1"/>
    <x v="8"/>
    <n v="1273"/>
    <n v="1"/>
    <m/>
    <m/>
    <x v="0"/>
    <n v="1824"/>
    <n v="1824"/>
    <n v="0"/>
    <n v="0"/>
    <m/>
  </r>
  <r>
    <x v="1"/>
    <x v="1"/>
    <x v="8"/>
    <n v="1536"/>
    <n v="1"/>
    <m/>
    <m/>
    <x v="0"/>
    <n v="1824"/>
    <n v="1824"/>
    <n v="0"/>
    <n v="0"/>
    <m/>
  </r>
  <r>
    <x v="1"/>
    <x v="1"/>
    <x v="8"/>
    <n v="1739"/>
    <n v="0"/>
    <s v="Scroll"/>
    <n v="2"/>
    <x v="2"/>
    <n v="0"/>
    <n v="4000"/>
    <n v="0"/>
    <n v="1600"/>
    <m/>
  </r>
  <r>
    <x v="1"/>
    <x v="1"/>
    <x v="8"/>
    <n v="620"/>
    <n v="1"/>
    <m/>
    <m/>
    <x v="0"/>
    <n v="2937"/>
    <n v="2937"/>
    <n v="0"/>
    <n v="0"/>
    <m/>
  </r>
  <r>
    <x v="1"/>
    <x v="1"/>
    <x v="8"/>
    <n v="1447"/>
    <n v="4"/>
    <m/>
    <m/>
    <x v="0"/>
    <n v="2937"/>
    <n v="2937"/>
    <n v="0"/>
    <n v="0"/>
    <m/>
  </r>
  <r>
    <x v="1"/>
    <x v="1"/>
    <x v="8"/>
    <n v="1494"/>
    <n v="1"/>
    <m/>
    <m/>
    <x v="0"/>
    <n v="1824"/>
    <n v="1824"/>
    <n v="0"/>
    <n v="0"/>
    <m/>
  </r>
  <r>
    <x v="1"/>
    <x v="1"/>
    <x v="8"/>
    <n v="1163"/>
    <n v="1"/>
    <m/>
    <m/>
    <x v="0"/>
    <n v="2937"/>
    <n v="2937"/>
    <n v="0"/>
    <n v="0"/>
    <m/>
  </r>
  <r>
    <x v="1"/>
    <x v="1"/>
    <x v="8"/>
    <n v="1028"/>
    <n v="0"/>
    <m/>
    <m/>
    <x v="0"/>
    <n v="1824"/>
    <n v="1824"/>
    <n v="0"/>
    <n v="0"/>
    <m/>
  </r>
  <r>
    <x v="5"/>
    <x v="1"/>
    <x v="8"/>
    <n v="1925"/>
    <n v="1"/>
    <m/>
    <m/>
    <x v="0"/>
    <n v="1824"/>
    <n v="1824"/>
    <n v="0"/>
    <n v="0"/>
    <m/>
  </r>
  <r>
    <x v="5"/>
    <x v="1"/>
    <x v="8"/>
    <n v="2937"/>
    <n v="0"/>
    <s v="Rainb"/>
    <n v="1"/>
    <x v="1"/>
    <m/>
    <n v="0"/>
    <n v="11500"/>
    <n v="35822"/>
    <m/>
  </r>
  <r>
    <x v="5"/>
    <x v="1"/>
    <x v="8"/>
    <n v="1819"/>
    <n v="0"/>
    <s v="Fod"/>
    <n v="1"/>
    <x v="1"/>
    <m/>
    <n v="0"/>
    <n v="11500"/>
    <n v="0"/>
    <m/>
  </r>
  <r>
    <x v="5"/>
    <x v="1"/>
    <x v="8"/>
    <n v="1020"/>
    <n v="0"/>
    <m/>
    <m/>
    <x v="0"/>
    <n v="2937"/>
    <n v="2937"/>
    <n v="0"/>
    <n v="0"/>
    <m/>
  </r>
  <r>
    <x v="5"/>
    <x v="1"/>
    <x v="8"/>
    <n v="968"/>
    <n v="1"/>
    <m/>
    <m/>
    <x v="0"/>
    <n v="2280"/>
    <n v="2280"/>
    <n v="0"/>
    <n v="0"/>
    <m/>
  </r>
  <r>
    <x v="5"/>
    <x v="1"/>
    <x v="8"/>
    <n v="2391"/>
    <n v="1"/>
    <m/>
    <m/>
    <x v="0"/>
    <n v="2937"/>
    <n v="2937"/>
    <n v="0"/>
    <n v="0"/>
    <m/>
  </r>
  <r>
    <x v="5"/>
    <x v="1"/>
    <x v="8"/>
    <n v="1248"/>
    <n v="1"/>
    <m/>
    <m/>
    <x v="0"/>
    <n v="1824"/>
    <n v="1824"/>
    <n v="0"/>
    <n v="0"/>
    <m/>
  </r>
  <r>
    <x v="5"/>
    <x v="1"/>
    <x v="8"/>
    <n v="616"/>
    <n v="0"/>
    <m/>
    <m/>
    <x v="0"/>
    <n v="1824"/>
    <n v="1824"/>
    <n v="0"/>
    <n v="0"/>
    <m/>
  </r>
  <r>
    <x v="5"/>
    <x v="1"/>
    <x v="8"/>
    <n v="864"/>
    <n v="0"/>
    <m/>
    <m/>
    <x v="0"/>
    <n v="2937"/>
    <n v="2937"/>
    <n v="0"/>
    <n v="0"/>
    <m/>
  </r>
  <r>
    <x v="1"/>
    <x v="1"/>
    <x v="8"/>
    <n v="1402"/>
    <n v="1"/>
    <m/>
    <m/>
    <x v="0"/>
    <n v="1824"/>
    <n v="1824"/>
    <n v="0"/>
    <n v="0"/>
    <m/>
  </r>
  <r>
    <x v="1"/>
    <x v="1"/>
    <x v="8"/>
    <n v="1500"/>
    <n v="0"/>
    <m/>
    <m/>
    <x v="0"/>
    <n v="2937"/>
    <n v="2937"/>
    <n v="0"/>
    <n v="0"/>
    <m/>
  </r>
  <r>
    <x v="2"/>
    <x v="0"/>
    <x v="7"/>
    <n v="3665"/>
    <n v="1"/>
    <s v="Blue"/>
    <n v="1"/>
    <x v="7"/>
    <n v="3307"/>
    <n v="3307"/>
    <n v="0"/>
    <n v="0"/>
    <m/>
  </r>
  <r>
    <x v="3"/>
    <x v="0"/>
    <x v="10"/>
    <n v="2824"/>
    <n v="1"/>
    <s v="Magic"/>
    <n v="1"/>
    <x v="4"/>
    <n v="0"/>
    <n v="0"/>
    <n v="0"/>
    <n v="0"/>
    <m/>
  </r>
  <r>
    <x v="3"/>
    <x v="0"/>
    <x v="10"/>
    <n v="2951"/>
    <n v="3"/>
    <s v="Magic"/>
    <n v="2"/>
    <x v="4"/>
    <n v="0"/>
    <n v="0"/>
    <n v="0"/>
    <n v="0"/>
    <m/>
  </r>
  <r>
    <x v="3"/>
    <x v="0"/>
    <x v="10"/>
    <n v="2543"/>
    <n v="1"/>
    <s v="Magic"/>
    <n v="4"/>
    <x v="3"/>
    <n v="0"/>
    <n v="0"/>
    <n v="0"/>
    <n v="0"/>
    <m/>
  </r>
  <r>
    <x v="3"/>
    <x v="0"/>
    <x v="10"/>
    <n v="2872"/>
    <n v="1"/>
    <s v="Magic"/>
    <n v="1"/>
    <x v="6"/>
    <n v="0"/>
    <n v="0"/>
    <n v="0"/>
    <n v="0"/>
    <m/>
  </r>
  <r>
    <x v="3"/>
    <x v="0"/>
    <x v="10"/>
    <n v="2837"/>
    <n v="1"/>
    <s v="Scroll"/>
    <n v="4"/>
    <x v="2"/>
    <n v="0"/>
    <n v="8000"/>
    <n v="0"/>
    <n v="3200"/>
    <m/>
  </r>
  <r>
    <x v="9"/>
    <x v="0"/>
    <x v="10"/>
    <n v="2891"/>
    <n v="0"/>
    <s v="Scroll"/>
    <n v="4"/>
    <x v="2"/>
    <n v="0"/>
    <n v="8000"/>
    <n v="0"/>
    <n v="3200"/>
    <m/>
  </r>
  <r>
    <x v="9"/>
    <x v="0"/>
    <x v="10"/>
    <n v="2801"/>
    <n v="0"/>
    <s v="Fire"/>
    <n v="4"/>
    <x v="3"/>
    <n v="0"/>
    <n v="0"/>
    <n v="0"/>
    <n v="0"/>
    <m/>
  </r>
  <r>
    <x v="9"/>
    <x v="0"/>
    <x v="10"/>
    <n v="2407"/>
    <n v="0"/>
    <s v="Fire"/>
    <n v="1"/>
    <x v="4"/>
    <n v="0"/>
    <n v="0"/>
    <n v="0"/>
    <n v="0"/>
    <m/>
  </r>
  <r>
    <x v="9"/>
    <x v="0"/>
    <x v="10"/>
    <n v="2748"/>
    <n v="0"/>
    <m/>
    <m/>
    <x v="0"/>
    <n v="0"/>
    <n v="0"/>
    <n v="0"/>
    <n v="0"/>
    <m/>
  </r>
  <r>
    <x v="9"/>
    <x v="0"/>
    <x v="10"/>
    <n v="2679"/>
    <n v="1"/>
    <s v="Rainb"/>
    <n v="1"/>
    <x v="1"/>
    <n v="0"/>
    <n v="0"/>
    <n v="11500"/>
    <n v="35822"/>
    <m/>
  </r>
  <r>
    <x v="9"/>
    <x v="0"/>
    <x v="11"/>
    <n v="2720"/>
    <n v="0"/>
    <s v="Fire"/>
    <n v="1"/>
    <x v="4"/>
    <n v="0"/>
    <n v="0"/>
    <n v="0"/>
    <n v="0"/>
    <m/>
  </r>
  <r>
    <x v="9"/>
    <x v="0"/>
    <x v="11"/>
    <n v="0"/>
    <n v="0"/>
    <m/>
    <m/>
    <x v="0"/>
    <n v="0"/>
    <n v="0"/>
    <n v="0"/>
    <n v="0"/>
    <s v="Y"/>
  </r>
  <r>
    <x v="9"/>
    <x v="0"/>
    <x v="10"/>
    <n v="2875"/>
    <n v="0"/>
    <s v="Angelmon"/>
    <n v="1"/>
    <x v="2"/>
    <n v="0"/>
    <n v="0"/>
    <n v="0"/>
    <n v="0"/>
    <m/>
  </r>
  <r>
    <x v="9"/>
    <x v="0"/>
    <x v="10"/>
    <n v="2734"/>
    <n v="0"/>
    <s v="Fire"/>
    <n v="3"/>
    <x v="6"/>
    <n v="0"/>
    <n v="0"/>
    <n v="0"/>
    <n v="0"/>
    <m/>
  </r>
  <r>
    <x v="9"/>
    <x v="0"/>
    <x v="10"/>
    <n v="3073"/>
    <n v="0"/>
    <s v="Fire"/>
    <n v="2"/>
    <x v="4"/>
    <n v="0"/>
    <n v="0"/>
    <n v="0"/>
    <n v="0"/>
    <m/>
  </r>
  <r>
    <x v="9"/>
    <x v="0"/>
    <x v="10"/>
    <n v="2813"/>
    <n v="0"/>
    <s v="Fire"/>
    <n v="2"/>
    <x v="4"/>
    <n v="0"/>
    <n v="0"/>
    <n v="0"/>
    <n v="0"/>
    <m/>
  </r>
  <r>
    <x v="9"/>
    <x v="0"/>
    <x v="10"/>
    <n v="2758"/>
    <n v="0"/>
    <s v="Candy"/>
    <n v="3"/>
    <x v="0"/>
    <n v="0"/>
    <n v="0"/>
    <n v="0"/>
    <n v="0"/>
    <m/>
  </r>
  <r>
    <x v="9"/>
    <x v="0"/>
    <x v="10"/>
    <n v="2313"/>
    <n v="1"/>
    <s v="Fire"/>
    <n v="3"/>
    <x v="4"/>
    <n v="0"/>
    <n v="0"/>
    <n v="0"/>
    <n v="0"/>
    <m/>
  </r>
  <r>
    <x v="9"/>
    <x v="0"/>
    <x v="10"/>
    <n v="2625"/>
    <n v="1"/>
    <s v="Fire"/>
    <n v="3"/>
    <x v="4"/>
    <n v="0"/>
    <n v="0"/>
    <n v="0"/>
    <n v="0"/>
    <m/>
  </r>
  <r>
    <x v="9"/>
    <x v="0"/>
    <x v="10"/>
    <n v="2515"/>
    <n v="0"/>
    <s v="Fire"/>
    <n v="1"/>
    <x v="6"/>
    <n v="0"/>
    <n v="0"/>
    <n v="0"/>
    <n v="0"/>
    <m/>
  </r>
  <r>
    <x v="9"/>
    <x v="0"/>
    <x v="10"/>
    <n v="2516"/>
    <n v="1"/>
    <s v="Candy"/>
    <n v="1"/>
    <x v="0"/>
    <n v="0"/>
    <n v="0"/>
    <n v="0"/>
    <n v="0"/>
    <m/>
  </r>
  <r>
    <x v="9"/>
    <x v="0"/>
    <x v="10"/>
    <n v="2850"/>
    <n v="2"/>
    <s v="EoFire(low)"/>
    <n v="3"/>
    <x v="3"/>
    <n v="0"/>
    <n v="0"/>
    <n v="0"/>
    <n v="0"/>
    <m/>
  </r>
  <r>
    <x v="3"/>
    <x v="0"/>
    <x v="10"/>
    <n v="2559"/>
    <n v="3"/>
    <s v="Magic"/>
    <n v="3"/>
    <x v="4"/>
    <n v="0"/>
    <n v="0"/>
    <n v="0"/>
    <n v="0"/>
    <m/>
  </r>
  <r>
    <x v="2"/>
    <x v="0"/>
    <x v="7"/>
    <n v="3425"/>
    <n v="0"/>
    <s v="Blue"/>
    <n v="1"/>
    <x v="7"/>
    <n v="3445"/>
    <n v="3445"/>
    <n v="0"/>
    <n v="0"/>
    <m/>
  </r>
  <r>
    <x v="9"/>
    <x v="0"/>
    <x v="10"/>
    <n v="2517"/>
    <n v="0"/>
    <s v="Candy"/>
    <n v="2"/>
    <x v="0"/>
    <n v="0"/>
    <n v="0"/>
    <n v="0"/>
    <n v="0"/>
    <m/>
  </r>
  <r>
    <x v="9"/>
    <x v="0"/>
    <x v="10"/>
    <n v="2615"/>
    <n v="2"/>
    <s v="Fire"/>
    <n v="2"/>
    <x v="6"/>
    <n v="0"/>
    <n v="0"/>
    <n v="0"/>
    <n v="0"/>
    <m/>
  </r>
  <r>
    <x v="9"/>
    <x v="0"/>
    <x v="10"/>
    <n v="2798"/>
    <n v="2"/>
    <s v="Rainb"/>
    <n v="1"/>
    <x v="1"/>
    <n v="0"/>
    <n v="0"/>
    <n v="11500"/>
    <n v="35822"/>
    <m/>
  </r>
  <r>
    <x v="9"/>
    <x v="0"/>
    <x v="10"/>
    <n v="2602"/>
    <n v="0"/>
    <s v="Fire"/>
    <n v="3"/>
    <x v="4"/>
    <n v="0"/>
    <n v="0"/>
    <n v="0"/>
    <n v="0"/>
    <m/>
  </r>
  <r>
    <x v="9"/>
    <x v="0"/>
    <x v="10"/>
    <n v="2901"/>
    <n v="1"/>
    <s v="Fire"/>
    <n v="1"/>
    <x v="4"/>
    <n v="0"/>
    <n v="0"/>
    <n v="0"/>
    <n v="0"/>
    <m/>
  </r>
  <r>
    <x v="9"/>
    <x v="0"/>
    <x v="10"/>
    <n v="540"/>
    <n v="0"/>
    <m/>
    <m/>
    <x v="0"/>
    <n v="0"/>
    <n v="0"/>
    <n v="0"/>
    <n v="0"/>
    <s v="Y"/>
  </r>
  <r>
    <x v="9"/>
    <x v="0"/>
    <x v="10"/>
    <n v="3199"/>
    <n v="0"/>
    <s v="Fire"/>
    <n v="1"/>
    <x v="4"/>
    <n v="0"/>
    <n v="0"/>
    <n v="0"/>
    <n v="0"/>
    <m/>
  </r>
  <r>
    <x v="9"/>
    <x v="0"/>
    <x v="10"/>
    <n v="2926"/>
    <n v="1"/>
    <s v="Fire"/>
    <n v="1"/>
    <x v="4"/>
    <n v="0"/>
    <n v="0"/>
    <n v="0"/>
    <n v="0"/>
    <m/>
  </r>
  <r>
    <x v="9"/>
    <x v="0"/>
    <x v="10"/>
    <n v="2560"/>
    <n v="1"/>
    <s v="Fire"/>
    <n v="4"/>
    <x v="3"/>
    <n v="0"/>
    <n v="0"/>
    <n v="0"/>
    <n v="0"/>
    <m/>
  </r>
  <r>
    <x v="9"/>
    <x v="0"/>
    <x v="10"/>
    <n v="2313"/>
    <n v="1"/>
    <s v="Fire"/>
    <n v="4"/>
    <x v="3"/>
    <n v="0"/>
    <n v="0"/>
    <n v="0"/>
    <n v="0"/>
    <m/>
  </r>
  <r>
    <x v="9"/>
    <x v="0"/>
    <x v="10"/>
    <n v="3329"/>
    <n v="2"/>
    <s v="Fire"/>
    <n v="3"/>
    <x v="3"/>
    <n v="0"/>
    <n v="0"/>
    <n v="0"/>
    <n v="0"/>
    <m/>
  </r>
  <r>
    <x v="1"/>
    <x v="1"/>
    <x v="8"/>
    <n v="1441"/>
    <n v="1"/>
    <m/>
    <m/>
    <x v="0"/>
    <n v="1824"/>
    <n v="1824"/>
    <n v="0"/>
    <n v="0"/>
    <m/>
  </r>
  <r>
    <x v="1"/>
    <x v="1"/>
    <x v="8"/>
    <n v="1339"/>
    <n v="0"/>
    <m/>
    <m/>
    <x v="0"/>
    <n v="2937"/>
    <n v="2937"/>
    <n v="0"/>
    <n v="0"/>
    <m/>
  </r>
  <r>
    <x v="1"/>
    <x v="1"/>
    <x v="8"/>
    <n v="1126"/>
    <n v="0"/>
    <s v="Scroll"/>
    <n v="2"/>
    <x v="2"/>
    <n v="0"/>
    <n v="4000"/>
    <n v="0"/>
    <n v="1600"/>
    <m/>
  </r>
  <r>
    <x v="1"/>
    <x v="1"/>
    <x v="8"/>
    <n v="1647"/>
    <n v="1"/>
    <m/>
    <m/>
    <x v="0"/>
    <n v="2128"/>
    <n v="2128"/>
    <n v="0"/>
    <n v="0"/>
    <m/>
  </r>
  <r>
    <x v="1"/>
    <x v="1"/>
    <x v="8"/>
    <n v="1802"/>
    <n v="2"/>
    <m/>
    <m/>
    <x v="0"/>
    <n v="1824"/>
    <n v="1824"/>
    <n v="0"/>
    <n v="0"/>
    <m/>
  </r>
  <r>
    <x v="1"/>
    <x v="1"/>
    <x v="8"/>
    <n v="1433"/>
    <n v="1"/>
    <m/>
    <m/>
    <x v="0"/>
    <n v="1824"/>
    <n v="1824"/>
    <n v="0"/>
    <n v="0"/>
    <m/>
  </r>
  <r>
    <x v="1"/>
    <x v="1"/>
    <x v="8"/>
    <n v="977"/>
    <n v="1"/>
    <m/>
    <m/>
    <x v="0"/>
    <n v="0"/>
    <n v="0"/>
    <n v="0"/>
    <n v="0"/>
    <m/>
  </r>
  <r>
    <x v="1"/>
    <x v="1"/>
    <x v="8"/>
    <n v="1909"/>
    <n v="2"/>
    <s v="Candy"/>
    <n v="1"/>
    <x v="0"/>
    <n v="0"/>
    <n v="0"/>
    <n v="0"/>
    <n v="0"/>
    <m/>
  </r>
  <r>
    <x v="1"/>
    <x v="1"/>
    <x v="8"/>
    <n v="1110"/>
    <n v="2"/>
    <s v="Scroll"/>
    <n v="2"/>
    <x v="2"/>
    <n v="0"/>
    <n v="4000"/>
    <n v="0"/>
    <n v="1600"/>
    <m/>
  </r>
  <r>
    <x v="1"/>
    <x v="1"/>
    <x v="8"/>
    <n v="2608"/>
    <n v="1"/>
    <m/>
    <m/>
    <x v="0"/>
    <n v="1824"/>
    <n v="1824"/>
    <n v="0"/>
    <n v="0"/>
    <m/>
  </r>
  <r>
    <x v="1"/>
    <x v="1"/>
    <x v="8"/>
    <n v="1725"/>
    <n v="3"/>
    <s v="Scroll"/>
    <n v="2"/>
    <x v="2"/>
    <n v="0"/>
    <n v="4000"/>
    <n v="0"/>
    <n v="1600"/>
    <m/>
  </r>
  <r>
    <x v="1"/>
    <x v="1"/>
    <x v="8"/>
    <n v="2220"/>
    <n v="2"/>
    <m/>
    <m/>
    <x v="0"/>
    <n v="3427"/>
    <n v="3427"/>
    <n v="0"/>
    <n v="0"/>
    <m/>
  </r>
  <r>
    <x v="5"/>
    <x v="1"/>
    <x v="8"/>
    <n v="1644"/>
    <n v="0"/>
    <m/>
    <m/>
    <x v="0"/>
    <n v="2128"/>
    <n v="2128"/>
    <n v="0"/>
    <n v="0"/>
    <m/>
  </r>
  <r>
    <x v="5"/>
    <x v="1"/>
    <x v="8"/>
    <n v="1132"/>
    <n v="0"/>
    <m/>
    <m/>
    <x v="0"/>
    <n v="2937"/>
    <n v="2937"/>
    <n v="0"/>
    <n v="0"/>
    <m/>
  </r>
  <r>
    <x v="5"/>
    <x v="1"/>
    <x v="8"/>
    <n v="1791"/>
    <n v="1"/>
    <m/>
    <m/>
    <x v="0"/>
    <n v="2128"/>
    <n v="2128"/>
    <n v="0"/>
    <n v="0"/>
    <m/>
  </r>
  <r>
    <x v="5"/>
    <x v="1"/>
    <x v="8"/>
    <n v="1710"/>
    <n v="3"/>
    <m/>
    <m/>
    <x v="0"/>
    <n v="2937"/>
    <n v="2937"/>
    <n v="0"/>
    <n v="0"/>
    <m/>
  </r>
  <r>
    <x v="5"/>
    <x v="1"/>
    <x v="8"/>
    <n v="2253"/>
    <n v="1"/>
    <m/>
    <m/>
    <x v="0"/>
    <n v="2937"/>
    <n v="2937"/>
    <n v="0"/>
    <n v="0"/>
    <m/>
  </r>
  <r>
    <x v="5"/>
    <x v="1"/>
    <x v="8"/>
    <n v="1001"/>
    <n v="0"/>
    <m/>
    <m/>
    <x v="0"/>
    <n v="2937"/>
    <n v="2937"/>
    <n v="0"/>
    <n v="0"/>
    <m/>
  </r>
  <r>
    <x v="5"/>
    <x v="1"/>
    <x v="8"/>
    <n v="1203"/>
    <n v="1"/>
    <s v="Scroll"/>
    <n v="2"/>
    <x v="2"/>
    <n v="0"/>
    <n v="4000"/>
    <n v="0"/>
    <n v="1600"/>
    <m/>
  </r>
  <r>
    <x v="5"/>
    <x v="1"/>
    <x v="8"/>
    <n v="1620"/>
    <n v="2"/>
    <m/>
    <m/>
    <x v="0"/>
    <n v="1824"/>
    <n v="1824"/>
    <n v="0"/>
    <n v="0"/>
    <m/>
  </r>
  <r>
    <x v="5"/>
    <x v="1"/>
    <x v="8"/>
    <n v="1772"/>
    <n v="1"/>
    <s v="Scroll"/>
    <n v="2"/>
    <x v="2"/>
    <n v="0"/>
    <n v="4000"/>
    <n v="0"/>
    <n v="1600"/>
    <m/>
  </r>
  <r>
    <x v="9"/>
    <x v="0"/>
    <x v="10"/>
    <n v="2634"/>
    <n v="1"/>
    <s v="Fire"/>
    <n v="1"/>
    <x v="0"/>
    <n v="0"/>
    <n v="0"/>
    <n v="0"/>
    <n v="0"/>
    <m/>
  </r>
  <r>
    <x v="2"/>
    <x v="0"/>
    <x v="7"/>
    <n v="3118"/>
    <n v="0"/>
    <s v="Blue"/>
    <n v="1"/>
    <x v="8"/>
    <n v="8500"/>
    <n v="8500"/>
    <n v="0"/>
    <n v="0"/>
    <m/>
  </r>
  <r>
    <x v="2"/>
    <x v="0"/>
    <x v="7"/>
    <n v="3166"/>
    <n v="3"/>
    <s v="Scroll"/>
    <n v="5"/>
    <x v="2"/>
    <n v="0"/>
    <n v="10000"/>
    <n v="0"/>
    <n v="4000"/>
    <m/>
  </r>
  <r>
    <x v="2"/>
    <x v="0"/>
    <x v="7"/>
    <n v="3825"/>
    <n v="1"/>
    <s v="Candy"/>
    <n v="1"/>
    <x v="0"/>
    <n v="0"/>
    <n v="0"/>
    <n v="0"/>
    <n v="0"/>
    <m/>
  </r>
  <r>
    <x v="2"/>
    <x v="0"/>
    <x v="7"/>
    <n v="3553"/>
    <n v="0"/>
    <s v="Blue"/>
    <n v="1"/>
    <x v="8"/>
    <n v="8500"/>
    <n v="8500"/>
    <n v="0"/>
    <n v="0"/>
    <m/>
  </r>
  <r>
    <x v="2"/>
    <x v="0"/>
    <x v="7"/>
    <n v="3574"/>
    <n v="1"/>
    <s v="Pink"/>
    <n v="1"/>
    <x v="7"/>
    <n v="4134"/>
    <n v="4134"/>
    <n v="0"/>
    <n v="0"/>
    <m/>
  </r>
  <r>
    <x v="2"/>
    <x v="0"/>
    <x v="7"/>
    <n v="3456"/>
    <n v="3"/>
    <s v="Blue"/>
    <n v="1"/>
    <x v="7"/>
    <n v="2411"/>
    <n v="2411"/>
    <n v="0"/>
    <n v="0"/>
    <m/>
  </r>
  <r>
    <x v="2"/>
    <x v="0"/>
    <x v="7"/>
    <n v="3185"/>
    <n v="0"/>
    <s v="Blue"/>
    <n v="1"/>
    <x v="8"/>
    <n v="6502"/>
    <n v="6502"/>
    <n v="0"/>
    <n v="0"/>
    <m/>
  </r>
  <r>
    <x v="2"/>
    <x v="0"/>
    <x v="7"/>
    <n v="3742"/>
    <n v="4"/>
    <s v="Blue"/>
    <n v="1"/>
    <x v="7"/>
    <n v="4593"/>
    <n v="4593"/>
    <n v="0"/>
    <n v="0"/>
    <m/>
  </r>
  <r>
    <x v="8"/>
    <x v="0"/>
    <x v="10"/>
    <n v="2924"/>
    <n v="1"/>
    <s v="Water"/>
    <n v="1"/>
    <x v="4"/>
    <n v="0"/>
    <n v="0"/>
    <n v="0"/>
    <n v="0"/>
    <m/>
  </r>
  <r>
    <x v="8"/>
    <x v="0"/>
    <x v="10"/>
    <n v="3192"/>
    <n v="2"/>
    <s v="Water"/>
    <n v="2"/>
    <x v="4"/>
    <n v="0"/>
    <n v="0"/>
    <n v="0"/>
    <n v="0"/>
    <m/>
  </r>
  <r>
    <x v="8"/>
    <x v="0"/>
    <x v="10"/>
    <n v="2967"/>
    <n v="1"/>
    <s v="Water"/>
    <n v="2"/>
    <x v="4"/>
    <n v="0"/>
    <n v="0"/>
    <n v="0"/>
    <n v="0"/>
    <m/>
  </r>
  <r>
    <x v="8"/>
    <x v="0"/>
    <x v="10"/>
    <n v="2926"/>
    <n v="0"/>
    <s v="Water"/>
    <n v="3"/>
    <x v="3"/>
    <n v="0"/>
    <n v="0"/>
    <n v="0"/>
    <n v="0"/>
    <m/>
  </r>
  <r>
    <x v="8"/>
    <x v="0"/>
    <x v="10"/>
    <n v="2801"/>
    <n v="1"/>
    <s v="Water"/>
    <n v="3"/>
    <x v="3"/>
    <n v="0"/>
    <n v="0"/>
    <n v="0"/>
    <n v="0"/>
    <m/>
  </r>
  <r>
    <x v="8"/>
    <x v="0"/>
    <x v="10"/>
    <n v="2800"/>
    <n v="0"/>
    <s v="SD"/>
    <s v="Vagabond"/>
    <x v="1"/>
    <n v="0"/>
    <n v="0"/>
    <n v="0"/>
    <n v="0"/>
    <m/>
  </r>
  <r>
    <x v="8"/>
    <x v="0"/>
    <x v="10"/>
    <n v="2913"/>
    <n v="0"/>
    <s v="Water"/>
    <n v="1"/>
    <x v="6"/>
    <n v="0"/>
    <n v="0"/>
    <n v="0"/>
    <n v="0"/>
    <m/>
  </r>
  <r>
    <x v="8"/>
    <x v="0"/>
    <x v="10"/>
    <n v="2812"/>
    <n v="1"/>
    <s v="Water"/>
    <n v="1"/>
    <x v="4"/>
    <n v="0"/>
    <n v="0"/>
    <n v="0"/>
    <n v="0"/>
    <m/>
  </r>
  <r>
    <x v="8"/>
    <x v="0"/>
    <x v="10"/>
    <n v="2449"/>
    <n v="0"/>
    <s v="Rainb"/>
    <n v="1"/>
    <x v="1"/>
    <n v="0"/>
    <n v="0"/>
    <n v="11500"/>
    <n v="35822"/>
    <m/>
  </r>
  <r>
    <x v="8"/>
    <x v="0"/>
    <x v="10"/>
    <n v="2754"/>
    <n v="1"/>
    <s v="MystScroll"/>
    <n v="1"/>
    <x v="2"/>
    <n v="0"/>
    <n v="120000"/>
    <n v="0"/>
    <n v="0"/>
    <m/>
  </r>
  <r>
    <x v="8"/>
    <x v="0"/>
    <x v="10"/>
    <n v="2824"/>
    <n v="1"/>
    <s v="SD"/>
    <s v="Pixie"/>
    <x v="1"/>
    <n v="0"/>
    <n v="0"/>
    <n v="0"/>
    <n v="0"/>
    <m/>
  </r>
  <r>
    <x v="8"/>
    <x v="0"/>
    <x v="10"/>
    <n v="2980"/>
    <n v="0"/>
    <s v="Water"/>
    <n v="1"/>
    <x v="4"/>
    <n v="0"/>
    <n v="0"/>
    <n v="0"/>
    <n v="0"/>
    <m/>
  </r>
  <r>
    <x v="8"/>
    <x v="0"/>
    <x v="10"/>
    <n v="2957"/>
    <n v="0"/>
    <s v="Angelmon"/>
    <n v="1"/>
    <x v="2"/>
    <n v="0"/>
    <n v="0"/>
    <n v="0"/>
    <n v="0"/>
    <m/>
  </r>
  <r>
    <x v="8"/>
    <x v="0"/>
    <x v="10"/>
    <n v="2417"/>
    <n v="0"/>
    <s v="Scroll"/>
    <n v="4"/>
    <x v="2"/>
    <n v="0"/>
    <n v="8000"/>
    <n v="0"/>
    <n v="3200"/>
    <m/>
  </r>
  <r>
    <x v="8"/>
    <x v="0"/>
    <x v="10"/>
    <n v="2671"/>
    <n v="0"/>
    <s v="Water"/>
    <n v="5"/>
    <x v="3"/>
    <n v="0"/>
    <n v="0"/>
    <n v="0"/>
    <n v="0"/>
    <m/>
  </r>
  <r>
    <x v="8"/>
    <x v="0"/>
    <x v="10"/>
    <n v="2947"/>
    <n v="1"/>
    <s v="Water"/>
    <n v="1"/>
    <x v="6"/>
    <n v="0"/>
    <n v="0"/>
    <n v="0"/>
    <n v="0"/>
    <m/>
  </r>
  <r>
    <x v="8"/>
    <x v="0"/>
    <x v="10"/>
    <n v="3358"/>
    <n v="1"/>
    <s v="Scroll"/>
    <n v="4"/>
    <x v="2"/>
    <n v="0"/>
    <n v="8000"/>
    <n v="0"/>
    <n v="3200"/>
    <m/>
  </r>
  <r>
    <x v="8"/>
    <x v="0"/>
    <x v="10"/>
    <n v="2184"/>
    <n v="0"/>
    <s v="Water"/>
    <n v="4"/>
    <x v="3"/>
    <n v="0"/>
    <n v="0"/>
    <n v="0"/>
    <n v="0"/>
    <m/>
  </r>
  <r>
    <x v="8"/>
    <x v="0"/>
    <x v="10"/>
    <n v="2654"/>
    <n v="3"/>
    <s v="Water"/>
    <n v="1"/>
    <x v="4"/>
    <n v="0"/>
    <n v="0"/>
    <n v="0"/>
    <n v="0"/>
    <m/>
  </r>
  <r>
    <x v="8"/>
    <x v="0"/>
    <x v="10"/>
    <n v="2592"/>
    <n v="1"/>
    <s v="Water"/>
    <n v="1"/>
    <x v="4"/>
    <n v="0"/>
    <n v="0"/>
    <n v="0"/>
    <n v="0"/>
    <m/>
  </r>
  <r>
    <x v="8"/>
    <x v="0"/>
    <x v="10"/>
    <n v="2625"/>
    <n v="0"/>
    <s v="Water"/>
    <n v="1"/>
    <x v="6"/>
    <n v="0"/>
    <n v="0"/>
    <n v="0"/>
    <n v="0"/>
    <m/>
  </r>
  <r>
    <x v="8"/>
    <x v="0"/>
    <x v="10"/>
    <n v="3029"/>
    <n v="0"/>
    <s v="Water"/>
    <n v="1"/>
    <x v="4"/>
    <n v="0"/>
    <n v="0"/>
    <n v="0"/>
    <n v="0"/>
    <m/>
  </r>
  <r>
    <x v="8"/>
    <x v="0"/>
    <x v="10"/>
    <n v="2865"/>
    <n v="1"/>
    <s v="Water"/>
    <n v="1"/>
    <x v="4"/>
    <n v="0"/>
    <n v="0"/>
    <n v="0"/>
    <n v="0"/>
    <m/>
  </r>
  <r>
    <x v="8"/>
    <x v="0"/>
    <x v="10"/>
    <n v="3075"/>
    <n v="3"/>
    <s v="Water"/>
    <n v="5"/>
    <x v="3"/>
    <n v="0"/>
    <n v="0"/>
    <n v="0"/>
    <n v="0"/>
    <m/>
  </r>
  <r>
    <x v="8"/>
    <x v="0"/>
    <x v="10"/>
    <n v="3767"/>
    <n v="2"/>
    <s v="Water"/>
    <n v="4"/>
    <x v="3"/>
    <n v="0"/>
    <n v="0"/>
    <n v="0"/>
    <n v="0"/>
    <m/>
  </r>
  <r>
    <x v="8"/>
    <x v="0"/>
    <x v="10"/>
    <n v="3007"/>
    <n v="2"/>
    <s v="Water"/>
    <n v="3"/>
    <x v="4"/>
    <n v="0"/>
    <n v="0"/>
    <n v="0"/>
    <n v="0"/>
    <m/>
  </r>
  <r>
    <x v="8"/>
    <x v="0"/>
    <x v="10"/>
    <n v="2942"/>
    <n v="0"/>
    <s v="Water"/>
    <n v="1"/>
    <x v="4"/>
    <n v="0"/>
    <n v="0"/>
    <n v="0"/>
    <n v="0"/>
    <m/>
  </r>
  <r>
    <x v="8"/>
    <x v="0"/>
    <x v="10"/>
    <n v="2701"/>
    <n v="0"/>
    <s v="Water"/>
    <n v="5"/>
    <x v="3"/>
    <n v="0"/>
    <n v="0"/>
    <n v="0"/>
    <n v="0"/>
    <m/>
  </r>
  <r>
    <x v="8"/>
    <x v="0"/>
    <x v="10"/>
    <n v="3320"/>
    <n v="0"/>
    <s v="Water"/>
    <n v="3"/>
    <x v="6"/>
    <n v="0"/>
    <n v="0"/>
    <n v="0"/>
    <n v="0"/>
    <m/>
  </r>
  <r>
    <x v="8"/>
    <x v="0"/>
    <x v="10"/>
    <n v="2890"/>
    <n v="2"/>
    <s v="Water"/>
    <n v="3"/>
    <x v="3"/>
    <n v="0"/>
    <n v="0"/>
    <n v="0"/>
    <n v="0"/>
    <m/>
  </r>
  <r>
    <x v="8"/>
    <x v="0"/>
    <x v="10"/>
    <n v="3274"/>
    <n v="1"/>
    <s v="Water"/>
    <n v="2"/>
    <x v="6"/>
    <n v="0"/>
    <n v="0"/>
    <n v="0"/>
    <n v="0"/>
    <m/>
  </r>
  <r>
    <x v="8"/>
    <x v="0"/>
    <x v="10"/>
    <n v="2847"/>
    <n v="1"/>
    <s v="Water"/>
    <n v="1"/>
    <x v="6"/>
    <n v="0"/>
    <n v="0"/>
    <n v="0"/>
    <n v="0"/>
    <m/>
  </r>
  <r>
    <x v="8"/>
    <x v="0"/>
    <x v="10"/>
    <n v="2602"/>
    <n v="0"/>
    <s v="Water"/>
    <n v="4"/>
    <x v="3"/>
    <n v="0"/>
    <n v="0"/>
    <n v="0"/>
    <n v="0"/>
    <m/>
  </r>
  <r>
    <x v="8"/>
    <x v="0"/>
    <x v="10"/>
    <n v="2901"/>
    <n v="1"/>
    <s v="SD"/>
    <s v="Golem"/>
    <x v="5"/>
    <n v="0"/>
    <n v="0"/>
    <n v="0"/>
    <n v="0"/>
    <m/>
  </r>
  <r>
    <x v="8"/>
    <x v="0"/>
    <x v="10"/>
    <n v="2768"/>
    <n v="0"/>
    <s v="Water"/>
    <n v="5"/>
    <x v="3"/>
    <n v="0"/>
    <n v="0"/>
    <n v="0"/>
    <n v="0"/>
    <m/>
  </r>
  <r>
    <x v="8"/>
    <x v="0"/>
    <x v="10"/>
    <n v="2401"/>
    <n v="1"/>
    <s v="Water"/>
    <n v="1"/>
    <x v="4"/>
    <n v="0"/>
    <n v="0"/>
    <n v="0"/>
    <n v="0"/>
    <m/>
  </r>
  <r>
    <x v="8"/>
    <x v="0"/>
    <x v="10"/>
    <n v="2915"/>
    <n v="0"/>
    <s v="SumStone"/>
    <n v="3"/>
    <x v="5"/>
    <n v="0"/>
    <n v="0"/>
    <n v="2587.5"/>
    <n v="2686.6499999999996"/>
    <m/>
  </r>
  <r>
    <x v="8"/>
    <x v="0"/>
    <x v="10"/>
    <n v="2978"/>
    <n v="0"/>
    <s v="Water"/>
    <n v="4"/>
    <x v="3"/>
    <n v="0"/>
    <n v="0"/>
    <n v="0"/>
    <n v="0"/>
    <m/>
  </r>
  <r>
    <x v="8"/>
    <x v="0"/>
    <x v="10"/>
    <n v="2956"/>
    <n v="0"/>
    <s v="Water"/>
    <n v="5"/>
    <x v="3"/>
    <n v="0"/>
    <n v="0"/>
    <n v="0"/>
    <n v="0"/>
    <m/>
  </r>
  <r>
    <x v="8"/>
    <x v="0"/>
    <x v="10"/>
    <n v="2657"/>
    <n v="1"/>
    <s v="Water"/>
    <n v="5"/>
    <x v="3"/>
    <n v="0"/>
    <n v="0"/>
    <n v="0"/>
    <n v="0"/>
    <m/>
  </r>
  <r>
    <x v="8"/>
    <x v="0"/>
    <x v="10"/>
    <n v="2789"/>
    <n v="0"/>
    <s v="Angelmon"/>
    <n v="1"/>
    <x v="2"/>
    <n v="0"/>
    <n v="0"/>
    <n v="0"/>
    <n v="0"/>
    <m/>
  </r>
  <r>
    <x v="8"/>
    <x v="0"/>
    <x v="10"/>
    <n v="2793"/>
    <n v="1"/>
    <s v="Water"/>
    <n v="5"/>
    <x v="3"/>
    <n v="0"/>
    <n v="0"/>
    <n v="0"/>
    <n v="0"/>
    <m/>
  </r>
  <r>
    <x v="8"/>
    <x v="0"/>
    <x v="10"/>
    <n v="2869"/>
    <n v="2"/>
    <s v="Water"/>
    <n v="4"/>
    <x v="3"/>
    <n v="0"/>
    <n v="0"/>
    <n v="0"/>
    <n v="0"/>
    <m/>
  </r>
  <r>
    <x v="8"/>
    <x v="0"/>
    <x v="10"/>
    <n v="2638"/>
    <n v="1"/>
    <s v="Angelmon"/>
    <n v="1"/>
    <x v="2"/>
    <n v="0"/>
    <n v="0"/>
    <n v="0"/>
    <n v="0"/>
    <m/>
  </r>
  <r>
    <x v="8"/>
    <x v="0"/>
    <x v="10"/>
    <n v="2929"/>
    <n v="1"/>
    <s v="Water"/>
    <n v="1"/>
    <x v="4"/>
    <n v="0"/>
    <n v="0"/>
    <n v="0"/>
    <n v="0"/>
    <m/>
  </r>
  <r>
    <x v="8"/>
    <x v="0"/>
    <x v="10"/>
    <n v="2423"/>
    <n v="1"/>
    <s v="Water"/>
    <n v="3"/>
    <x v="3"/>
    <n v="0"/>
    <n v="0"/>
    <n v="0"/>
    <n v="0"/>
    <m/>
  </r>
  <r>
    <x v="8"/>
    <x v="0"/>
    <x v="10"/>
    <n v="2881"/>
    <n v="0"/>
    <s v="Water"/>
    <n v="5"/>
    <x v="3"/>
    <n v="0"/>
    <n v="0"/>
    <n v="0"/>
    <n v="0"/>
    <m/>
  </r>
  <r>
    <x v="8"/>
    <x v="0"/>
    <x v="10"/>
    <n v="3128"/>
    <n v="1"/>
    <s v="Water"/>
    <n v="4"/>
    <x v="3"/>
    <n v="0"/>
    <n v="0"/>
    <n v="0"/>
    <n v="0"/>
    <m/>
  </r>
  <r>
    <x v="8"/>
    <x v="0"/>
    <x v="10"/>
    <n v="3042"/>
    <n v="0"/>
    <s v="Water"/>
    <n v="3"/>
    <x v="6"/>
    <n v="0"/>
    <n v="0"/>
    <n v="0"/>
    <n v="0"/>
    <m/>
  </r>
  <r>
    <x v="8"/>
    <x v="0"/>
    <x v="10"/>
    <n v="2846"/>
    <n v="1"/>
    <s v="Water"/>
    <n v="1"/>
    <x v="6"/>
    <n v="0"/>
    <n v="0"/>
    <n v="0"/>
    <n v="0"/>
    <m/>
  </r>
  <r>
    <x v="8"/>
    <x v="0"/>
    <x v="10"/>
    <n v="3112"/>
    <n v="1"/>
    <s v="Water"/>
    <n v="1"/>
    <x v="6"/>
    <n v="0"/>
    <n v="0"/>
    <n v="0"/>
    <n v="0"/>
    <m/>
  </r>
  <r>
    <x v="8"/>
    <x v="0"/>
    <x v="10"/>
    <n v="2928"/>
    <n v="1"/>
    <s v="Water"/>
    <n v="4"/>
    <x v="3"/>
    <n v="0"/>
    <n v="0"/>
    <n v="0"/>
    <n v="0"/>
    <m/>
  </r>
  <r>
    <x v="8"/>
    <x v="0"/>
    <x v="10"/>
    <n v="2702"/>
    <n v="1"/>
    <s v="Water"/>
    <n v="2"/>
    <x v="4"/>
    <n v="0"/>
    <n v="0"/>
    <n v="0"/>
    <n v="0"/>
    <m/>
  </r>
  <r>
    <x v="10"/>
    <x v="0"/>
    <x v="12"/>
    <n v="6071"/>
    <n v="0"/>
    <s v="SumStone"/>
    <n v="4"/>
    <x v="5"/>
    <n v="0"/>
    <n v="0"/>
    <n v="3450"/>
    <n v="3582.2"/>
    <m/>
  </r>
  <r>
    <x v="10"/>
    <x v="0"/>
    <x v="12"/>
    <n v="5719"/>
    <n v="0"/>
    <s v="SumStone"/>
    <n v="4"/>
    <x v="5"/>
    <n v="0"/>
    <n v="0"/>
    <n v="3450"/>
    <n v="3582.2"/>
    <m/>
  </r>
  <r>
    <x v="10"/>
    <x v="0"/>
    <x v="12"/>
    <n v="5444"/>
    <n v="0"/>
    <s v="SumStone"/>
    <n v="4"/>
    <x v="5"/>
    <n v="0"/>
    <n v="0"/>
    <n v="3450"/>
    <n v="3582.2"/>
    <m/>
  </r>
  <r>
    <x v="10"/>
    <x v="0"/>
    <x v="12"/>
    <n v="5741"/>
    <n v="0"/>
    <s v="SumStone"/>
    <n v="4"/>
    <x v="5"/>
    <n v="0"/>
    <n v="0"/>
    <n v="3450"/>
    <n v="3582.2"/>
    <m/>
  </r>
  <r>
    <x v="10"/>
    <x v="0"/>
    <x v="12"/>
    <n v="6031"/>
    <n v="0"/>
    <s v="SumStone"/>
    <n v="4"/>
    <x v="5"/>
    <n v="0"/>
    <n v="0"/>
    <n v="3450"/>
    <n v="3582.2"/>
    <m/>
  </r>
  <r>
    <x v="10"/>
    <x v="0"/>
    <x v="12"/>
    <n v="5574"/>
    <n v="0"/>
    <s v="SumStone"/>
    <n v="4"/>
    <x v="5"/>
    <n v="0"/>
    <n v="0"/>
    <n v="3450"/>
    <n v="3582.2"/>
    <m/>
  </r>
  <r>
    <x v="10"/>
    <x v="0"/>
    <x v="12"/>
    <n v="6065"/>
    <n v="0"/>
    <s v="SumStone"/>
    <n v="4"/>
    <x v="5"/>
    <n v="0"/>
    <n v="0"/>
    <n v="3450"/>
    <n v="3582.2"/>
    <m/>
  </r>
  <r>
    <x v="10"/>
    <x v="0"/>
    <x v="12"/>
    <n v="5631"/>
    <n v="0"/>
    <s v="SumStone"/>
    <n v="4"/>
    <x v="5"/>
    <n v="0"/>
    <n v="0"/>
    <n v="3450"/>
    <n v="3582.2"/>
    <m/>
  </r>
  <r>
    <x v="8"/>
    <x v="0"/>
    <x v="10"/>
    <n v="2671"/>
    <n v="0"/>
    <s v="Water"/>
    <n v="1"/>
    <x v="4"/>
    <n v="0"/>
    <n v="0"/>
    <n v="0"/>
    <n v="0"/>
    <m/>
  </r>
  <r>
    <x v="8"/>
    <x v="0"/>
    <x v="10"/>
    <n v="2940"/>
    <n v="0"/>
    <s v="Water"/>
    <n v="1"/>
    <x v="6"/>
    <n v="0"/>
    <n v="0"/>
    <n v="0"/>
    <n v="0"/>
    <m/>
  </r>
  <r>
    <x v="8"/>
    <x v="0"/>
    <x v="10"/>
    <n v="2643"/>
    <n v="2"/>
    <s v="Water"/>
    <n v="1"/>
    <x v="6"/>
    <n v="0"/>
    <n v="0"/>
    <n v="0"/>
    <n v="0"/>
    <m/>
  </r>
  <r>
    <x v="8"/>
    <x v="0"/>
    <x v="10"/>
    <n v="2968"/>
    <n v="0"/>
    <s v="Water"/>
    <n v="3"/>
    <x v="4"/>
    <n v="0"/>
    <n v="0"/>
    <n v="0"/>
    <n v="0"/>
    <m/>
  </r>
  <r>
    <x v="8"/>
    <x v="0"/>
    <x v="10"/>
    <n v="2502"/>
    <n v="2"/>
    <s v="Water"/>
    <n v="2"/>
    <x v="4"/>
    <n v="0"/>
    <n v="0"/>
    <n v="0"/>
    <n v="0"/>
    <m/>
  </r>
  <r>
    <x v="8"/>
    <x v="0"/>
    <x v="10"/>
    <n v="2719"/>
    <n v="3"/>
    <s v="SD"/>
    <s v="Serpent"/>
    <x v="5"/>
    <n v="0"/>
    <n v="0"/>
    <n v="0"/>
    <n v="0"/>
    <m/>
  </r>
  <r>
    <x v="8"/>
    <x v="0"/>
    <x v="10"/>
    <n v="2733"/>
    <n v="1"/>
    <s v="Water"/>
    <n v="1"/>
    <x v="4"/>
    <n v="0"/>
    <n v="0"/>
    <n v="0"/>
    <n v="0"/>
    <m/>
  </r>
  <r>
    <x v="8"/>
    <x v="0"/>
    <x v="10"/>
    <n v="2917"/>
    <n v="1"/>
    <s v="Water"/>
    <n v="1"/>
    <x v="4"/>
    <n v="0"/>
    <n v="0"/>
    <n v="0"/>
    <n v="0"/>
    <m/>
  </r>
  <r>
    <x v="8"/>
    <x v="0"/>
    <x v="10"/>
    <n v="2662"/>
    <n v="0"/>
    <s v="Water"/>
    <n v="3"/>
    <x v="6"/>
    <n v="0"/>
    <n v="0"/>
    <n v="0"/>
    <n v="0"/>
    <m/>
  </r>
  <r>
    <x v="8"/>
    <x v="0"/>
    <x v="10"/>
    <n v="2980"/>
    <n v="1"/>
    <s v="Water"/>
    <n v="2"/>
    <x v="4"/>
    <n v="0"/>
    <n v="0"/>
    <n v="0"/>
    <n v="0"/>
    <m/>
  </r>
  <r>
    <x v="8"/>
    <x v="0"/>
    <x v="10"/>
    <n v="2778"/>
    <n v="0"/>
    <s v="Rainb"/>
    <n v="1"/>
    <x v="5"/>
    <n v="0"/>
    <n v="0"/>
    <n v="34500"/>
    <n v="118004"/>
    <m/>
  </r>
  <r>
    <x v="8"/>
    <x v="0"/>
    <x v="10"/>
    <n v="2383"/>
    <n v="0"/>
    <s v="Scroll"/>
    <n v="5"/>
    <x v="2"/>
    <n v="0"/>
    <n v="10000"/>
    <n v="0"/>
    <n v="4000"/>
    <m/>
  </r>
  <r>
    <x v="8"/>
    <x v="0"/>
    <x v="10"/>
    <n v="2705"/>
    <n v="1"/>
    <s v="Water"/>
    <n v="1"/>
    <x v="6"/>
    <n v="0"/>
    <n v="0"/>
    <n v="0"/>
    <n v="0"/>
    <m/>
  </r>
  <r>
    <x v="8"/>
    <x v="0"/>
    <x v="10"/>
    <n v="2769"/>
    <n v="1"/>
    <s v="Water"/>
    <n v="1"/>
    <x v="6"/>
    <n v="0"/>
    <n v="0"/>
    <n v="0"/>
    <n v="0"/>
    <m/>
  </r>
  <r>
    <x v="3"/>
    <x v="0"/>
    <x v="10"/>
    <n v="2432"/>
    <n v="1"/>
    <s v="Magic"/>
    <n v="5"/>
    <x v="3"/>
    <n v="0"/>
    <n v="0"/>
    <n v="0"/>
    <n v="0"/>
    <m/>
  </r>
  <r>
    <x v="11"/>
    <x v="0"/>
    <x v="10"/>
    <n v="2838"/>
    <n v="0"/>
    <s v="Wind"/>
    <n v="4"/>
    <x v="3"/>
    <n v="0"/>
    <n v="0"/>
    <n v="0"/>
    <n v="0"/>
    <m/>
  </r>
  <r>
    <x v="11"/>
    <x v="0"/>
    <x v="10"/>
    <n v="2427"/>
    <n v="1"/>
    <s v="Candy"/>
    <n v="3"/>
    <x v="0"/>
    <n v="0"/>
    <n v="0"/>
    <n v="0"/>
    <n v="0"/>
    <m/>
  </r>
  <r>
    <x v="11"/>
    <x v="0"/>
    <x v="10"/>
    <n v="3047"/>
    <n v="2"/>
    <s v="Wind"/>
    <n v="1"/>
    <x v="4"/>
    <n v="0"/>
    <n v="0"/>
    <n v="0"/>
    <n v="0"/>
    <m/>
  </r>
  <r>
    <x v="11"/>
    <x v="0"/>
    <x v="10"/>
    <n v="2866"/>
    <n v="1"/>
    <s v="Angelmon"/>
    <n v="1"/>
    <x v="2"/>
    <n v="0"/>
    <n v="0"/>
    <n v="0"/>
    <n v="0"/>
    <m/>
  </r>
  <r>
    <x v="11"/>
    <x v="0"/>
    <x v="10"/>
    <n v="2763"/>
    <n v="0"/>
    <s v="Candy"/>
    <n v="2"/>
    <x v="0"/>
    <n v="0"/>
    <n v="0"/>
    <n v="0"/>
    <n v="0"/>
    <m/>
  </r>
  <r>
    <x v="11"/>
    <x v="0"/>
    <x v="10"/>
    <n v="3056"/>
    <n v="1"/>
    <s v="Candy"/>
    <n v="1"/>
    <x v="0"/>
    <n v="0"/>
    <n v="0"/>
    <n v="0"/>
    <n v="0"/>
    <m/>
  </r>
  <r>
    <x v="11"/>
    <x v="0"/>
    <x v="10"/>
    <n v="2719"/>
    <n v="0"/>
    <s v="Wind"/>
    <n v="5"/>
    <x v="3"/>
    <n v="0"/>
    <n v="0"/>
    <n v="0"/>
    <n v="0"/>
    <m/>
  </r>
  <r>
    <x v="11"/>
    <x v="0"/>
    <x v="10"/>
    <n v="2911"/>
    <n v="1"/>
    <s v="Wind"/>
    <n v="5"/>
    <x v="3"/>
    <n v="0"/>
    <n v="0"/>
    <n v="0"/>
    <n v="0"/>
    <m/>
  </r>
  <r>
    <x v="11"/>
    <x v="0"/>
    <x v="10"/>
    <n v="2858"/>
    <n v="0"/>
    <s v="Wind"/>
    <n v="1"/>
    <x v="4"/>
    <n v="0"/>
    <n v="0"/>
    <n v="0"/>
    <n v="0"/>
    <m/>
  </r>
  <r>
    <x v="11"/>
    <x v="0"/>
    <x v="10"/>
    <n v="2965"/>
    <n v="1"/>
    <s v="Wind"/>
    <n v="3"/>
    <x v="4"/>
    <n v="0"/>
    <n v="0"/>
    <n v="0"/>
    <n v="0"/>
    <m/>
  </r>
  <r>
    <x v="11"/>
    <x v="0"/>
    <x v="10"/>
    <n v="3486"/>
    <n v="1"/>
    <s v="Angelmon"/>
    <n v="1"/>
    <x v="2"/>
    <n v="0"/>
    <n v="0"/>
    <n v="0"/>
    <n v="0"/>
    <m/>
  </r>
  <r>
    <x v="11"/>
    <x v="0"/>
    <x v="10"/>
    <n v="2992"/>
    <n v="0"/>
    <s v="Rainb"/>
    <n v="1"/>
    <x v="5"/>
    <n v="0"/>
    <n v="0"/>
    <n v="34500"/>
    <n v="118004"/>
    <m/>
  </r>
  <r>
    <x v="11"/>
    <x v="0"/>
    <x v="10"/>
    <n v="2961"/>
    <n v="1"/>
    <s v="Scroll"/>
    <n v="5"/>
    <x v="2"/>
    <n v="0"/>
    <n v="10000"/>
    <n v="0"/>
    <n v="4000"/>
    <m/>
  </r>
  <r>
    <x v="11"/>
    <x v="0"/>
    <x v="10"/>
    <n v="2744"/>
    <n v="1"/>
    <s v="Wind"/>
    <n v="1"/>
    <x v="6"/>
    <n v="0"/>
    <n v="0"/>
    <n v="0"/>
    <n v="0"/>
    <m/>
  </r>
  <r>
    <x v="11"/>
    <x v="0"/>
    <x v="10"/>
    <n v="2564"/>
    <n v="0"/>
    <s v="Wind"/>
    <n v="5"/>
    <x v="3"/>
    <n v="0"/>
    <n v="0"/>
    <n v="0"/>
    <n v="0"/>
    <m/>
  </r>
  <r>
    <x v="11"/>
    <x v="0"/>
    <x v="10"/>
    <n v="2876"/>
    <n v="2"/>
    <s v="Rainb"/>
    <n v="1"/>
    <x v="5"/>
    <n v="0"/>
    <n v="0"/>
    <n v="34500"/>
    <n v="118004"/>
    <m/>
  </r>
  <r>
    <x v="11"/>
    <x v="0"/>
    <x v="10"/>
    <n v="2779"/>
    <n v="0"/>
    <s v="Candy"/>
    <n v="2"/>
    <x v="0"/>
    <n v="0"/>
    <n v="0"/>
    <n v="0"/>
    <n v="0"/>
    <m/>
  </r>
  <r>
    <x v="3"/>
    <x v="0"/>
    <x v="10"/>
    <n v="3024"/>
    <n v="1"/>
    <s v="Magic"/>
    <n v="3"/>
    <x v="4"/>
    <n v="0"/>
    <n v="0"/>
    <n v="0"/>
    <n v="0"/>
    <m/>
  </r>
  <r>
    <x v="11"/>
    <x v="0"/>
    <x v="10"/>
    <n v="3032"/>
    <n v="0"/>
    <s v="Wind"/>
    <n v="5"/>
    <x v="3"/>
    <n v="0"/>
    <n v="0"/>
    <n v="0"/>
    <n v="0"/>
    <m/>
  </r>
  <r>
    <x v="11"/>
    <x v="0"/>
    <x v="10"/>
    <n v="2865"/>
    <n v="1"/>
    <s v="Rainb"/>
    <n v="1"/>
    <x v="5"/>
    <n v="0"/>
    <n v="0"/>
    <n v="34500"/>
    <n v="118004"/>
    <m/>
  </r>
  <r>
    <x v="11"/>
    <x v="0"/>
    <x v="10"/>
    <n v="2891"/>
    <n v="2"/>
    <s v="Wind"/>
    <n v="1"/>
    <x v="4"/>
    <n v="0"/>
    <n v="0"/>
    <n v="0"/>
    <n v="0"/>
    <m/>
  </r>
  <r>
    <x v="11"/>
    <x v="0"/>
    <x v="10"/>
    <n v="2799"/>
    <n v="0"/>
    <s v="Wind"/>
    <n v="2"/>
    <x v="4"/>
    <n v="0"/>
    <n v="0"/>
    <n v="0"/>
    <n v="0"/>
    <m/>
  </r>
  <r>
    <x v="11"/>
    <x v="0"/>
    <x v="10"/>
    <n v="3197"/>
    <n v="1"/>
    <s v="Wind"/>
    <n v="2"/>
    <x v="4"/>
    <n v="0"/>
    <n v="0"/>
    <n v="0"/>
    <n v="0"/>
    <m/>
  </r>
  <r>
    <x v="11"/>
    <x v="0"/>
    <x v="10"/>
    <n v="3013"/>
    <n v="0"/>
    <s v="Wind"/>
    <n v="4"/>
    <x v="3"/>
    <n v="0"/>
    <n v="0"/>
    <n v="0"/>
    <n v="0"/>
    <m/>
  </r>
  <r>
    <x v="11"/>
    <x v="0"/>
    <x v="10"/>
    <n v="3393"/>
    <n v="1"/>
    <s v="Wind"/>
    <n v="4"/>
    <x v="3"/>
    <n v="0"/>
    <n v="0"/>
    <n v="0"/>
    <n v="0"/>
    <m/>
  </r>
  <r>
    <x v="11"/>
    <x v="0"/>
    <x v="10"/>
    <n v="3290"/>
    <n v="0"/>
    <s v="MystScroll"/>
    <n v="1"/>
    <x v="2"/>
    <n v="0"/>
    <n v="120000"/>
    <n v="0"/>
    <n v="0"/>
    <m/>
  </r>
  <r>
    <x v="12"/>
    <x v="2"/>
    <x v="3"/>
    <n v="1311"/>
    <n v="0"/>
    <m/>
    <m/>
    <x v="0"/>
    <n v="1236"/>
    <n v="1236"/>
    <n v="0"/>
    <n v="0"/>
    <m/>
  </r>
  <r>
    <x v="11"/>
    <x v="0"/>
    <x v="10"/>
    <n v="2551"/>
    <n v="1"/>
    <s v="SD"/>
    <s v="Yeti"/>
    <x v="1"/>
    <n v="0"/>
    <n v="0"/>
    <n v="0"/>
    <n v="0"/>
    <m/>
  </r>
  <r>
    <x v="11"/>
    <x v="0"/>
    <x v="10"/>
    <n v="2856"/>
    <n v="0"/>
    <s v="Wind"/>
    <n v="1"/>
    <x v="6"/>
    <n v="0"/>
    <n v="0"/>
    <n v="0"/>
    <n v="0"/>
    <m/>
  </r>
  <r>
    <x v="11"/>
    <x v="0"/>
    <x v="10"/>
    <n v="2488"/>
    <n v="1"/>
    <s v="Wind"/>
    <n v="3"/>
    <x v="4"/>
    <n v="0"/>
    <n v="0"/>
    <n v="0"/>
    <n v="0"/>
    <m/>
  </r>
  <r>
    <x v="11"/>
    <x v="0"/>
    <x v="10"/>
    <n v="2583"/>
    <n v="0"/>
    <s v="Wind"/>
    <n v="5"/>
    <x v="3"/>
    <n v="0"/>
    <n v="0"/>
    <n v="0"/>
    <n v="0"/>
    <m/>
  </r>
  <r>
    <x v="11"/>
    <x v="0"/>
    <x v="10"/>
    <n v="2394"/>
    <n v="0"/>
    <s v="Wind"/>
    <n v="4"/>
    <x v="3"/>
    <n v="0"/>
    <n v="0"/>
    <n v="0"/>
    <n v="0"/>
    <m/>
  </r>
  <r>
    <x v="11"/>
    <x v="0"/>
    <x v="10"/>
    <n v="2703"/>
    <n v="0"/>
    <s v="Wind"/>
    <n v="1"/>
    <x v="6"/>
    <n v="0"/>
    <n v="0"/>
    <n v="0"/>
    <n v="0"/>
    <m/>
  </r>
  <r>
    <x v="11"/>
    <x v="0"/>
    <x v="10"/>
    <n v="2880"/>
    <n v="1"/>
    <s v="Wind"/>
    <n v="4"/>
    <x v="3"/>
    <n v="0"/>
    <n v="0"/>
    <n v="0"/>
    <n v="0"/>
    <m/>
  </r>
  <r>
    <x v="11"/>
    <x v="0"/>
    <x v="10"/>
    <n v="2802"/>
    <n v="0"/>
    <s v="Wind"/>
    <n v="3"/>
    <x v="4"/>
    <n v="0"/>
    <n v="0"/>
    <n v="0"/>
    <n v="0"/>
    <m/>
  </r>
  <r>
    <x v="11"/>
    <x v="0"/>
    <x v="10"/>
    <n v="2784"/>
    <n v="2"/>
    <s v="Candy"/>
    <n v="2"/>
    <x v="0"/>
    <n v="0"/>
    <n v="0"/>
    <n v="0"/>
    <n v="0"/>
    <m/>
  </r>
  <r>
    <x v="11"/>
    <x v="0"/>
    <x v="10"/>
    <n v="2856"/>
    <n v="0"/>
    <s v="Wind"/>
    <n v="3"/>
    <x v="4"/>
    <n v="0"/>
    <n v="0"/>
    <n v="0"/>
    <n v="0"/>
    <m/>
  </r>
  <r>
    <x v="11"/>
    <x v="0"/>
    <x v="10"/>
    <n v="3481"/>
    <n v="0"/>
    <s v="Wind"/>
    <n v="4"/>
    <x v="3"/>
    <n v="0"/>
    <n v="0"/>
    <n v="0"/>
    <n v="0"/>
    <m/>
  </r>
  <r>
    <x v="11"/>
    <x v="0"/>
    <x v="10"/>
    <n v="2701"/>
    <n v="0"/>
    <s v="Rainb"/>
    <s v="2*"/>
    <x v="0"/>
    <n v="0"/>
    <n v="0"/>
    <n v="0"/>
    <n v="0"/>
    <m/>
  </r>
  <r>
    <x v="11"/>
    <x v="0"/>
    <x v="10"/>
    <n v="2809"/>
    <n v="1"/>
    <s v="Angelmon"/>
    <s v="1*"/>
    <x v="0"/>
    <n v="0"/>
    <n v="0"/>
    <n v="0"/>
    <n v="0"/>
    <m/>
  </r>
  <r>
    <x v="11"/>
    <x v="0"/>
    <x v="10"/>
    <n v="2999"/>
    <n v="0"/>
    <s v="Wind"/>
    <n v="5"/>
    <x v="3"/>
    <n v="0"/>
    <n v="0"/>
    <n v="0"/>
    <n v="0"/>
    <m/>
  </r>
  <r>
    <x v="11"/>
    <x v="0"/>
    <x v="10"/>
    <n v="2639"/>
    <n v="1"/>
    <s v="Wind"/>
    <n v="2"/>
    <x v="4"/>
    <n v="0"/>
    <n v="0"/>
    <n v="0"/>
    <n v="0"/>
    <m/>
  </r>
  <r>
    <x v="11"/>
    <x v="0"/>
    <x v="10"/>
    <n v="2853"/>
    <n v="0"/>
    <s v="Wind"/>
    <n v="2"/>
    <x v="6"/>
    <n v="0"/>
    <n v="0"/>
    <n v="0"/>
    <n v="0"/>
    <m/>
  </r>
  <r>
    <x v="11"/>
    <x v="0"/>
    <x v="10"/>
    <n v="3206"/>
    <n v="1"/>
    <s v="Wind"/>
    <n v="4"/>
    <x v="3"/>
    <n v="0"/>
    <n v="0"/>
    <n v="0"/>
    <n v="0"/>
    <m/>
  </r>
  <r>
    <x v="11"/>
    <x v="0"/>
    <x v="10"/>
    <n v="3218"/>
    <n v="0"/>
    <s v="Wind"/>
    <n v="3"/>
    <x v="4"/>
    <n v="0"/>
    <n v="0"/>
    <n v="0"/>
    <n v="0"/>
    <m/>
  </r>
  <r>
    <x v="11"/>
    <x v="0"/>
    <x v="10"/>
    <n v="2853"/>
    <n v="2"/>
    <s v="Wind"/>
    <n v="3"/>
    <x v="6"/>
    <n v="0"/>
    <n v="0"/>
    <n v="0"/>
    <n v="0"/>
    <m/>
  </r>
  <r>
    <x v="11"/>
    <x v="0"/>
    <x v="10"/>
    <n v="2921"/>
    <n v="0"/>
    <s v="Wind"/>
    <n v="1"/>
    <x v="6"/>
    <n v="0"/>
    <n v="0"/>
    <n v="0"/>
    <n v="0"/>
    <m/>
  </r>
  <r>
    <x v="11"/>
    <x v="0"/>
    <x v="10"/>
    <n v="2840"/>
    <n v="0"/>
    <s v="Angelmon"/>
    <s v="1*"/>
    <x v="0"/>
    <n v="0"/>
    <n v="0"/>
    <n v="0"/>
    <n v="0"/>
    <m/>
  </r>
  <r>
    <x v="11"/>
    <x v="0"/>
    <x v="10"/>
    <n v="3444"/>
    <n v="0"/>
    <s v="Candy"/>
    <n v="1"/>
    <x v="0"/>
    <n v="0"/>
    <n v="0"/>
    <n v="0"/>
    <n v="0"/>
    <m/>
  </r>
  <r>
    <x v="11"/>
    <x v="0"/>
    <x v="10"/>
    <n v="2844"/>
    <n v="0"/>
    <s v="Wind"/>
    <n v="2"/>
    <x v="4"/>
    <n v="0"/>
    <n v="0"/>
    <n v="0"/>
    <n v="0"/>
    <m/>
  </r>
  <r>
    <x v="11"/>
    <x v="0"/>
    <x v="10"/>
    <n v="2720"/>
    <n v="0"/>
    <s v="Wind"/>
    <n v="4"/>
    <x v="3"/>
    <n v="0"/>
    <n v="0"/>
    <n v="0"/>
    <n v="0"/>
    <m/>
  </r>
  <r>
    <x v="11"/>
    <x v="0"/>
    <x v="10"/>
    <n v="2990"/>
    <n v="1"/>
    <s v="Wind"/>
    <n v="4"/>
    <x v="3"/>
    <n v="0"/>
    <n v="0"/>
    <n v="0"/>
    <n v="0"/>
    <m/>
  </r>
  <r>
    <x v="11"/>
    <x v="0"/>
    <x v="10"/>
    <n v="2846"/>
    <n v="4"/>
    <s v="Wind"/>
    <n v="1"/>
    <x v="4"/>
    <n v="0"/>
    <n v="0"/>
    <n v="0"/>
    <n v="0"/>
    <m/>
  </r>
  <r>
    <x v="11"/>
    <x v="0"/>
    <x v="10"/>
    <n v="2740"/>
    <n v="1"/>
    <s v="Candy"/>
    <n v="1"/>
    <x v="0"/>
    <n v="0"/>
    <n v="0"/>
    <n v="0"/>
    <n v="0"/>
    <m/>
  </r>
  <r>
    <x v="11"/>
    <x v="0"/>
    <x v="10"/>
    <n v="2619"/>
    <n v="2"/>
    <s v="Wind"/>
    <n v="1"/>
    <x v="4"/>
    <n v="0"/>
    <n v="0"/>
    <n v="0"/>
    <n v="0"/>
    <m/>
  </r>
  <r>
    <x v="11"/>
    <x v="0"/>
    <x v="10"/>
    <n v="3000"/>
    <n v="1"/>
    <s v="Wind"/>
    <n v="2"/>
    <x v="4"/>
    <n v="0"/>
    <n v="0"/>
    <n v="0"/>
    <n v="0"/>
    <m/>
  </r>
  <r>
    <x v="11"/>
    <x v="0"/>
    <x v="10"/>
    <n v="2846"/>
    <n v="3"/>
    <s v="Wind"/>
    <n v="4"/>
    <x v="3"/>
    <n v="0"/>
    <n v="0"/>
    <n v="0"/>
    <n v="0"/>
    <m/>
  </r>
  <r>
    <x v="11"/>
    <x v="0"/>
    <x v="10"/>
    <n v="2824"/>
    <n v="2"/>
    <s v="Candy"/>
    <n v="3"/>
    <x v="0"/>
    <n v="0"/>
    <n v="0"/>
    <n v="0"/>
    <n v="0"/>
    <m/>
  </r>
  <r>
    <x v="11"/>
    <x v="0"/>
    <x v="10"/>
    <n v="3201"/>
    <n v="0"/>
    <s v="Wind"/>
    <n v="5"/>
    <x v="3"/>
    <n v="0"/>
    <n v="0"/>
    <n v="0"/>
    <n v="0"/>
    <m/>
  </r>
  <r>
    <x v="11"/>
    <x v="0"/>
    <x v="10"/>
    <n v="2638"/>
    <n v="0"/>
    <s v="Wind"/>
    <n v="3"/>
    <x v="3"/>
    <n v="0"/>
    <n v="0"/>
    <n v="0"/>
    <n v="0"/>
    <m/>
  </r>
  <r>
    <x v="11"/>
    <x v="0"/>
    <x v="10"/>
    <n v="2887"/>
    <n v="1"/>
    <s v="Scroll"/>
    <n v="4"/>
    <x v="2"/>
    <n v="0"/>
    <n v="8000"/>
    <n v="0"/>
    <n v="3200"/>
    <m/>
  </r>
  <r>
    <x v="11"/>
    <x v="0"/>
    <x v="10"/>
    <n v="2399"/>
    <n v="0"/>
    <s v="Wind"/>
    <n v="3"/>
    <x v="6"/>
    <n v="0"/>
    <n v="0"/>
    <n v="0"/>
    <n v="0"/>
    <m/>
  </r>
  <r>
    <x v="11"/>
    <x v="0"/>
    <x v="10"/>
    <n v="3055"/>
    <n v="1"/>
    <s v="Wind"/>
    <n v="1"/>
    <x v="4"/>
    <n v="0"/>
    <n v="0"/>
    <n v="0"/>
    <n v="0"/>
    <m/>
  </r>
  <r>
    <x v="11"/>
    <x v="0"/>
    <x v="10"/>
    <n v="2841"/>
    <n v="0"/>
    <s v="Wind"/>
    <n v="5"/>
    <x v="3"/>
    <n v="0"/>
    <n v="0"/>
    <n v="0"/>
    <n v="0"/>
    <m/>
  </r>
  <r>
    <x v="11"/>
    <x v="0"/>
    <x v="10"/>
    <n v="2937"/>
    <n v="0"/>
    <s v="SD"/>
    <s v="2*"/>
    <x v="0"/>
    <n v="0"/>
    <n v="0"/>
    <n v="0"/>
    <n v="0"/>
    <m/>
  </r>
  <r>
    <x v="11"/>
    <x v="0"/>
    <x v="10"/>
    <n v="2426"/>
    <n v="0"/>
    <s v="Wind"/>
    <n v="1"/>
    <x v="6"/>
    <n v="0"/>
    <n v="0"/>
    <n v="0"/>
    <n v="0"/>
    <m/>
  </r>
  <r>
    <x v="11"/>
    <x v="0"/>
    <x v="10"/>
    <n v="2552"/>
    <n v="1"/>
    <s v="Wind"/>
    <n v="3"/>
    <x v="4"/>
    <n v="0"/>
    <n v="0"/>
    <n v="0"/>
    <n v="0"/>
    <m/>
  </r>
  <r>
    <x v="11"/>
    <x v="0"/>
    <x v="10"/>
    <n v="2771"/>
    <n v="2"/>
    <s v="Wind"/>
    <n v="1"/>
    <x v="4"/>
    <n v="0"/>
    <n v="0"/>
    <n v="0"/>
    <n v="0"/>
    <m/>
  </r>
  <r>
    <x v="11"/>
    <x v="0"/>
    <x v="10"/>
    <n v="2652"/>
    <n v="2"/>
    <s v="Wind"/>
    <n v="4"/>
    <x v="3"/>
    <n v="0"/>
    <n v="0"/>
    <n v="0"/>
    <n v="0"/>
    <m/>
  </r>
  <r>
    <x v="11"/>
    <x v="0"/>
    <x v="10"/>
    <n v="2708"/>
    <n v="0"/>
    <s v="Wind"/>
    <n v="1"/>
    <x v="6"/>
    <n v="0"/>
    <n v="0"/>
    <n v="0"/>
    <n v="0"/>
    <m/>
  </r>
  <r>
    <x v="11"/>
    <x v="0"/>
    <x v="10"/>
    <n v="2684"/>
    <n v="1"/>
    <s v="Wind"/>
    <n v="1"/>
    <x v="6"/>
    <n v="0"/>
    <n v="0"/>
    <n v="0"/>
    <n v="0"/>
    <m/>
  </r>
  <r>
    <x v="11"/>
    <x v="0"/>
    <x v="10"/>
    <n v="3108"/>
    <n v="3"/>
    <s v="Wind"/>
    <n v="4"/>
    <x v="3"/>
    <n v="0"/>
    <n v="0"/>
    <n v="0"/>
    <n v="0"/>
    <m/>
  </r>
  <r>
    <x v="11"/>
    <x v="0"/>
    <x v="10"/>
    <n v="2839"/>
    <n v="1"/>
    <s v="Wind"/>
    <n v="1"/>
    <x v="6"/>
    <n v="0"/>
    <n v="0"/>
    <n v="0"/>
    <n v="0"/>
    <m/>
  </r>
  <r>
    <x v="5"/>
    <x v="1"/>
    <x v="8"/>
    <n v="1670"/>
    <n v="1"/>
    <m/>
    <m/>
    <x v="0"/>
    <n v="1976"/>
    <n v="1976"/>
    <n v="0"/>
    <n v="0"/>
    <m/>
  </r>
  <r>
    <x v="5"/>
    <x v="1"/>
    <x v="8"/>
    <n v="2097"/>
    <n v="1"/>
    <m/>
    <m/>
    <x v="0"/>
    <n v="1824"/>
    <n v="1824"/>
    <n v="0"/>
    <n v="0"/>
    <m/>
  </r>
  <r>
    <x v="5"/>
    <x v="1"/>
    <x v="8"/>
    <n v="2652"/>
    <n v="0"/>
    <m/>
    <m/>
    <x v="0"/>
    <n v="1976"/>
    <n v="1976"/>
    <n v="0"/>
    <n v="0"/>
    <m/>
  </r>
  <r>
    <x v="5"/>
    <x v="1"/>
    <x v="8"/>
    <n v="1719"/>
    <n v="2"/>
    <m/>
    <m/>
    <x v="0"/>
    <n v="1824"/>
    <n v="1824"/>
    <n v="0"/>
    <n v="0"/>
    <m/>
  </r>
  <r>
    <x v="5"/>
    <x v="1"/>
    <x v="8"/>
    <n v="1304"/>
    <n v="1"/>
    <s v="Scroll"/>
    <n v="2"/>
    <x v="2"/>
    <n v="0"/>
    <n v="4000"/>
    <n v="0"/>
    <n v="1600"/>
    <m/>
  </r>
  <r>
    <x v="5"/>
    <x v="1"/>
    <x v="8"/>
    <n v="1662"/>
    <n v="2"/>
    <m/>
    <m/>
    <x v="0"/>
    <n v="1976"/>
    <n v="1976"/>
    <n v="0"/>
    <n v="0"/>
    <m/>
  </r>
  <r>
    <x v="5"/>
    <x v="1"/>
    <x v="8"/>
    <n v="1385"/>
    <n v="0"/>
    <m/>
    <m/>
    <x v="0"/>
    <n v="2937"/>
    <n v="2937"/>
    <n v="0"/>
    <n v="0"/>
    <m/>
  </r>
  <r>
    <x v="5"/>
    <x v="1"/>
    <x v="8"/>
    <n v="1707"/>
    <n v="1"/>
    <m/>
    <m/>
    <x v="0"/>
    <n v="1824"/>
    <n v="1824"/>
    <n v="0"/>
    <n v="0"/>
    <m/>
  </r>
  <r>
    <x v="5"/>
    <x v="1"/>
    <x v="8"/>
    <n v="1589"/>
    <n v="1"/>
    <s v="Scroll"/>
    <n v="2"/>
    <x v="2"/>
    <n v="0"/>
    <n v="4000"/>
    <n v="0"/>
    <n v="1600"/>
    <m/>
  </r>
  <r>
    <x v="5"/>
    <x v="1"/>
    <x v="8"/>
    <n v="1796"/>
    <n v="2"/>
    <s v="Scroll"/>
    <n v="2"/>
    <x v="2"/>
    <n v="0"/>
    <n v="4000"/>
    <n v="0"/>
    <n v="1600"/>
    <m/>
  </r>
  <r>
    <x v="1"/>
    <x v="1"/>
    <x v="8"/>
    <n v="2028"/>
    <n v="0"/>
    <s v="Scroll"/>
    <n v="2"/>
    <x v="2"/>
    <n v="0"/>
    <n v="4000"/>
    <n v="0"/>
    <n v="1600"/>
    <m/>
  </r>
  <r>
    <x v="1"/>
    <x v="1"/>
    <x v="8"/>
    <n v="1671"/>
    <n v="0"/>
    <m/>
    <m/>
    <x v="0"/>
    <n v="1824"/>
    <n v="1824"/>
    <n v="0"/>
    <n v="0"/>
    <m/>
  </r>
  <r>
    <x v="1"/>
    <x v="1"/>
    <x v="8"/>
    <n v="777"/>
    <n v="3"/>
    <m/>
    <m/>
    <x v="0"/>
    <n v="2128"/>
    <n v="2128"/>
    <n v="0"/>
    <n v="0"/>
    <m/>
  </r>
  <r>
    <x v="1"/>
    <x v="1"/>
    <x v="8"/>
    <n v="2328"/>
    <n v="1"/>
    <s v="Scroll"/>
    <n v="2"/>
    <x v="2"/>
    <n v="0"/>
    <n v="4000"/>
    <n v="0"/>
    <n v="1600"/>
    <m/>
  </r>
  <r>
    <x v="1"/>
    <x v="1"/>
    <x v="8"/>
    <n v="1762"/>
    <n v="2"/>
    <m/>
    <m/>
    <x v="0"/>
    <n v="1976"/>
    <n v="1976"/>
    <n v="0"/>
    <n v="0"/>
    <m/>
  </r>
  <r>
    <x v="1"/>
    <x v="1"/>
    <x v="8"/>
    <n v="1553"/>
    <n v="1"/>
    <m/>
    <m/>
    <x v="0"/>
    <n v="2937"/>
    <n v="2937"/>
    <n v="0"/>
    <n v="0"/>
    <m/>
  </r>
  <r>
    <x v="1"/>
    <x v="1"/>
    <x v="8"/>
    <n v="1066"/>
    <n v="1"/>
    <s v="Scroll"/>
    <n v="2"/>
    <x v="2"/>
    <n v="0"/>
    <n v="4000"/>
    <n v="0"/>
    <n v="1600"/>
    <m/>
  </r>
  <r>
    <x v="1"/>
    <x v="1"/>
    <x v="8"/>
    <n v="1654"/>
    <n v="0"/>
    <m/>
    <m/>
    <x v="0"/>
    <n v="2937"/>
    <n v="2937"/>
    <n v="0"/>
    <n v="0"/>
    <m/>
  </r>
  <r>
    <x v="5"/>
    <x v="1"/>
    <x v="8"/>
    <n v="2758"/>
    <n v="0"/>
    <s v="Scroll"/>
    <n v="2"/>
    <x v="2"/>
    <n v="0"/>
    <n v="4000"/>
    <n v="0"/>
    <n v="1600"/>
    <m/>
  </r>
  <r>
    <x v="3"/>
    <x v="0"/>
    <x v="10"/>
    <n v="3008"/>
    <n v="1"/>
    <s v="Magic"/>
    <n v="5"/>
    <x v="3"/>
    <m/>
    <n v="0"/>
    <n v="0"/>
    <n v="0"/>
    <m/>
  </r>
  <r>
    <x v="2"/>
    <x v="0"/>
    <x v="6"/>
    <n v="2997"/>
    <n v="0"/>
    <s v="Scroll"/>
    <n v="4"/>
    <x v="2"/>
    <n v="0"/>
    <n v="8000"/>
    <n v="0"/>
    <n v="3200"/>
    <m/>
  </r>
  <r>
    <x v="2"/>
    <x v="0"/>
    <x v="6"/>
    <n v="3403"/>
    <n v="3"/>
    <s v="Blue"/>
    <n v="1"/>
    <x v="7"/>
    <n v="3307"/>
    <n v="3307"/>
    <n v="0"/>
    <n v="0"/>
    <m/>
  </r>
  <r>
    <x v="2"/>
    <x v="0"/>
    <x v="6"/>
    <n v="3941"/>
    <n v="1"/>
    <s v="Scroll"/>
    <n v="3"/>
    <x v="2"/>
    <n v="0"/>
    <n v="6000"/>
    <n v="0"/>
    <n v="2400"/>
    <m/>
  </r>
  <r>
    <x v="2"/>
    <x v="0"/>
    <x v="6"/>
    <n v="2787"/>
    <n v="1"/>
    <s v="Blue"/>
    <n v="1"/>
    <x v="7"/>
    <n v="5512"/>
    <n v="5512"/>
    <n v="0"/>
    <n v="0"/>
    <m/>
  </r>
  <r>
    <x v="2"/>
    <x v="0"/>
    <x v="6"/>
    <n v="3709"/>
    <n v="1"/>
    <s v="Scroll"/>
    <n v="3"/>
    <x v="2"/>
    <n v="0"/>
    <n v="6000"/>
    <n v="0"/>
    <n v="2400"/>
    <m/>
  </r>
  <r>
    <x v="2"/>
    <x v="0"/>
    <x v="6"/>
    <n v="3276"/>
    <n v="4"/>
    <s v="Blue"/>
    <n v="1"/>
    <x v="7"/>
    <n v="2411"/>
    <n v="2411"/>
    <n v="0"/>
    <n v="0"/>
    <m/>
  </r>
  <r>
    <x v="2"/>
    <x v="0"/>
    <x v="6"/>
    <n v="2942"/>
    <n v="1"/>
    <s v="Scroll"/>
    <n v="4"/>
    <x v="2"/>
    <n v="0"/>
    <n v="8000"/>
    <n v="0"/>
    <n v="3200"/>
    <m/>
  </r>
  <r>
    <x v="2"/>
    <x v="0"/>
    <x v="6"/>
    <n v="3049"/>
    <n v="1"/>
    <s v="Blue"/>
    <n v="1"/>
    <x v="7"/>
    <n v="3927"/>
    <n v="3927"/>
    <n v="0"/>
    <n v="0"/>
    <m/>
  </r>
  <r>
    <x v="2"/>
    <x v="0"/>
    <x v="6"/>
    <n v="2793"/>
    <n v="0"/>
    <s v="Violet"/>
    <n v="1"/>
    <x v="5"/>
    <n v="1971"/>
    <n v="1971"/>
    <n v="0"/>
    <n v="0"/>
    <m/>
  </r>
  <r>
    <x v="2"/>
    <x v="0"/>
    <x v="6"/>
    <n v="3111"/>
    <n v="1"/>
    <s v="Violet"/>
    <n v="1"/>
    <x v="7"/>
    <n v="3720"/>
    <n v="3720"/>
    <n v="0"/>
    <n v="0"/>
    <m/>
  </r>
  <r>
    <x v="2"/>
    <x v="0"/>
    <x v="6"/>
    <n v="2990"/>
    <n v="0"/>
    <s v="Blue"/>
    <n v="1"/>
    <x v="7"/>
    <n v="4134"/>
    <n v="4134"/>
    <n v="0"/>
    <n v="0"/>
    <m/>
  </r>
  <r>
    <x v="2"/>
    <x v="0"/>
    <x v="6"/>
    <n v="3378"/>
    <n v="1"/>
    <s v="Blue"/>
    <n v="1"/>
    <x v="7"/>
    <n v="4134"/>
    <n v="4134"/>
    <n v="0"/>
    <n v="0"/>
    <m/>
  </r>
  <r>
    <x v="2"/>
    <x v="0"/>
    <x v="6"/>
    <n v="2940"/>
    <n v="3"/>
    <s v="Violet"/>
    <n v="1"/>
    <x v="7"/>
    <n v="4042"/>
    <n v="4042"/>
    <n v="0"/>
    <n v="0"/>
    <m/>
  </r>
  <r>
    <x v="2"/>
    <x v="0"/>
    <x v="6"/>
    <n v="3698"/>
    <n v="3"/>
    <s v="Blue"/>
    <n v="1"/>
    <x v="8"/>
    <n v="8500"/>
    <n v="8500"/>
    <n v="0"/>
    <n v="0"/>
    <m/>
  </r>
  <r>
    <x v="2"/>
    <x v="0"/>
    <x v="6"/>
    <n v="3224"/>
    <n v="0"/>
    <s v="Scroll"/>
    <n v="3"/>
    <x v="2"/>
    <n v="0"/>
    <n v="6000"/>
    <n v="0"/>
    <n v="2400"/>
    <m/>
  </r>
  <r>
    <x v="2"/>
    <x v="0"/>
    <x v="6"/>
    <n v="2991"/>
    <n v="3"/>
    <s v="Scroll"/>
    <n v="3"/>
    <x v="2"/>
    <n v="0"/>
    <n v="6000"/>
    <n v="0"/>
    <n v="2400"/>
    <m/>
  </r>
  <r>
    <x v="2"/>
    <x v="0"/>
    <x v="6"/>
    <n v="3535"/>
    <n v="2"/>
    <s v="Blue"/>
    <n v="1"/>
    <x v="8"/>
    <n v="5057"/>
    <n v="5057"/>
    <n v="0"/>
    <n v="0"/>
    <m/>
  </r>
  <r>
    <x v="2"/>
    <x v="0"/>
    <x v="6"/>
    <n v="3010"/>
    <n v="1"/>
    <s v="Blue"/>
    <n v="1"/>
    <x v="8"/>
    <n v="6800"/>
    <n v="6800"/>
    <n v="0"/>
    <n v="0"/>
    <m/>
  </r>
  <r>
    <x v="2"/>
    <x v="0"/>
    <x v="6"/>
    <n v="3005"/>
    <n v="2"/>
    <s v="Blue"/>
    <n v="1"/>
    <x v="7"/>
    <n v="7028"/>
    <n v="7028"/>
    <n v="0"/>
    <n v="0"/>
    <m/>
  </r>
  <r>
    <x v="2"/>
    <x v="0"/>
    <x v="6"/>
    <n v="2684"/>
    <n v="1"/>
    <s v="Scroll"/>
    <n v="4"/>
    <x v="2"/>
    <n v="0"/>
    <n v="8000"/>
    <n v="0"/>
    <n v="3200"/>
    <m/>
  </r>
  <r>
    <x v="2"/>
    <x v="0"/>
    <x v="6"/>
    <n v="3225"/>
    <n v="0"/>
    <s v="Violet"/>
    <n v="1"/>
    <x v="7"/>
    <n v="4295"/>
    <n v="4295"/>
    <n v="0"/>
    <n v="0"/>
    <m/>
  </r>
  <r>
    <x v="2"/>
    <x v="0"/>
    <x v="6"/>
    <n v="3020"/>
    <n v="1"/>
    <s v="Blue"/>
    <n v="1"/>
    <x v="7"/>
    <n v="4134"/>
    <n v="4134"/>
    <n v="0"/>
    <n v="0"/>
    <m/>
  </r>
  <r>
    <x v="2"/>
    <x v="0"/>
    <x v="6"/>
    <n v="2530"/>
    <n v="1"/>
    <s v="Blue"/>
    <n v="1"/>
    <x v="7"/>
    <n v="4134"/>
    <n v="4134"/>
    <n v="0"/>
    <n v="0"/>
    <m/>
  </r>
  <r>
    <x v="2"/>
    <x v="0"/>
    <x v="6"/>
    <n v="3259"/>
    <n v="1"/>
    <s v="Violet"/>
    <n v="1"/>
    <x v="7"/>
    <n v="3675"/>
    <n v="3675"/>
    <n v="0"/>
    <n v="0"/>
    <m/>
  </r>
  <r>
    <x v="2"/>
    <x v="0"/>
    <x v="6"/>
    <n v="2913"/>
    <n v="1"/>
    <s v="Violet"/>
    <n v="1"/>
    <x v="7"/>
    <n v="3675"/>
    <n v="3675"/>
    <n v="0"/>
    <n v="0"/>
    <m/>
  </r>
  <r>
    <x v="2"/>
    <x v="0"/>
    <x v="6"/>
    <n v="2901"/>
    <n v="0"/>
    <s v="Violet"/>
    <n v="1"/>
    <x v="5"/>
    <n v="2319"/>
    <n v="2319"/>
    <n v="0"/>
    <n v="0"/>
    <m/>
  </r>
  <r>
    <x v="2"/>
    <x v="0"/>
    <x v="6"/>
    <n v="3437"/>
    <n v="2"/>
    <s v="Blue"/>
    <n v="1"/>
    <x v="7"/>
    <n v="2411"/>
    <n v="2411"/>
    <n v="0"/>
    <n v="0"/>
    <m/>
  </r>
  <r>
    <x v="2"/>
    <x v="0"/>
    <x v="6"/>
    <n v="2966"/>
    <n v="2"/>
    <s v="SumStone"/>
    <n v="2"/>
    <x v="5"/>
    <n v="0"/>
    <n v="0"/>
    <n v="1725"/>
    <n v="1791.1"/>
    <m/>
  </r>
  <r>
    <x v="2"/>
    <x v="0"/>
    <x v="6"/>
    <n v="3352"/>
    <n v="1"/>
    <s v="Violet"/>
    <n v="1"/>
    <x v="7"/>
    <n v="6615"/>
    <n v="6615"/>
    <n v="0"/>
    <n v="0"/>
    <m/>
  </r>
  <r>
    <x v="2"/>
    <x v="0"/>
    <x v="6"/>
    <n v="2869"/>
    <n v="1"/>
    <s v="Scroll"/>
    <n v="4"/>
    <x v="2"/>
    <n v="0"/>
    <n v="8000"/>
    <n v="0"/>
    <n v="3200"/>
    <m/>
  </r>
  <r>
    <x v="2"/>
    <x v="0"/>
    <x v="6"/>
    <n v="2535"/>
    <n v="1"/>
    <s v="Blue"/>
    <n v="1"/>
    <x v="7"/>
    <n v="3307"/>
    <n v="3307"/>
    <n v="0"/>
    <n v="0"/>
    <m/>
  </r>
  <r>
    <x v="2"/>
    <x v="0"/>
    <x v="6"/>
    <n v="3507"/>
    <n v="0"/>
    <s v="Rainb"/>
    <n v="1"/>
    <x v="1"/>
    <n v="0"/>
    <n v="0"/>
    <n v="11500"/>
    <n v="35822"/>
    <m/>
  </r>
  <r>
    <x v="2"/>
    <x v="0"/>
    <x v="6"/>
    <n v="2571"/>
    <n v="0"/>
    <s v="Scroll"/>
    <n v="3"/>
    <x v="2"/>
    <n v="0"/>
    <n v="6000"/>
    <n v="0"/>
    <n v="2400"/>
    <m/>
  </r>
  <r>
    <x v="2"/>
    <x v="0"/>
    <x v="6"/>
    <n v="3364"/>
    <n v="1"/>
    <s v="Blue"/>
    <n v="1"/>
    <x v="7"/>
    <n v="2205"/>
    <n v="2205"/>
    <n v="0"/>
    <n v="0"/>
    <m/>
  </r>
  <r>
    <x v="2"/>
    <x v="0"/>
    <x v="6"/>
    <n v="3190"/>
    <n v="1"/>
    <s v="Scroll"/>
    <n v="3"/>
    <x v="2"/>
    <n v="0"/>
    <n v="6000"/>
    <n v="0"/>
    <n v="2400"/>
    <m/>
  </r>
  <r>
    <x v="2"/>
    <x v="0"/>
    <x v="6"/>
    <n v="3129"/>
    <n v="0"/>
    <s v="Scroll"/>
    <n v="4"/>
    <x v="2"/>
    <n v="0"/>
    <n v="8000"/>
    <n v="0"/>
    <n v="3200"/>
    <m/>
  </r>
  <r>
    <x v="2"/>
    <x v="0"/>
    <x v="6"/>
    <n v="3416"/>
    <n v="0"/>
    <s v="Blue"/>
    <n v="1"/>
    <x v="7"/>
    <n v="2894"/>
    <n v="2894"/>
    <n v="0"/>
    <n v="0"/>
    <m/>
  </r>
  <r>
    <x v="2"/>
    <x v="0"/>
    <x v="6"/>
    <n v="2949"/>
    <n v="2"/>
    <s v="Blue"/>
    <n v="1"/>
    <x v="8"/>
    <n v="5355"/>
    <n v="5355"/>
    <n v="0"/>
    <n v="0"/>
    <m/>
  </r>
  <r>
    <x v="2"/>
    <x v="0"/>
    <x v="6"/>
    <n v="2714"/>
    <n v="2"/>
    <s v="Scroll"/>
    <n v="3"/>
    <x v="2"/>
    <n v="0"/>
    <n v="6000"/>
    <n v="0"/>
    <n v="2400"/>
    <m/>
  </r>
  <r>
    <x v="2"/>
    <x v="0"/>
    <x v="6"/>
    <n v="2949"/>
    <n v="1"/>
    <s v="Scroll"/>
    <n v="4"/>
    <x v="2"/>
    <n v="0"/>
    <n v="8000"/>
    <n v="0"/>
    <n v="3200"/>
    <m/>
  </r>
  <r>
    <x v="2"/>
    <x v="0"/>
    <x v="6"/>
    <n v="3175"/>
    <n v="0"/>
    <s v="Scroll"/>
    <n v="3"/>
    <x v="2"/>
    <n v="0"/>
    <n v="6000"/>
    <n v="0"/>
    <n v="2400"/>
    <m/>
  </r>
  <r>
    <x v="2"/>
    <x v="0"/>
    <x v="6"/>
    <n v="3045"/>
    <n v="0"/>
    <s v="Blue"/>
    <n v="1"/>
    <x v="7"/>
    <n v="3514"/>
    <n v="3514"/>
    <n v="0"/>
    <n v="0"/>
    <m/>
  </r>
  <r>
    <x v="2"/>
    <x v="0"/>
    <x v="6"/>
    <n v="3609"/>
    <n v="1"/>
    <s v="Scroll"/>
    <n v="3"/>
    <x v="2"/>
    <n v="0"/>
    <n v="6000"/>
    <n v="0"/>
    <n v="2400"/>
    <m/>
  </r>
  <r>
    <x v="2"/>
    <x v="0"/>
    <x v="6"/>
    <n v="2795"/>
    <n v="1"/>
    <s v="Blue"/>
    <n v="1"/>
    <x v="7"/>
    <n v="3675"/>
    <n v="3675"/>
    <n v="0"/>
    <n v="0"/>
    <m/>
  </r>
  <r>
    <x v="2"/>
    <x v="0"/>
    <x v="6"/>
    <n v="3324"/>
    <n v="0"/>
    <s v="Blue"/>
    <n v="1"/>
    <x v="7"/>
    <n v="2205"/>
    <n v="2205"/>
    <n v="0"/>
    <n v="0"/>
    <m/>
  </r>
  <r>
    <x v="2"/>
    <x v="0"/>
    <x v="6"/>
    <n v="2600"/>
    <n v="0"/>
    <s v="Scroll"/>
    <n v="3"/>
    <x v="2"/>
    <n v="0"/>
    <n v="6000"/>
    <n v="0"/>
    <n v="2400"/>
    <m/>
  </r>
  <r>
    <x v="2"/>
    <x v="0"/>
    <x v="6"/>
    <n v="2789"/>
    <n v="1"/>
    <s v="Violet"/>
    <n v="1"/>
    <x v="7"/>
    <n v="3675"/>
    <n v="3675"/>
    <n v="0"/>
    <n v="0"/>
    <m/>
  </r>
  <r>
    <x v="2"/>
    <x v="0"/>
    <x v="6"/>
    <n v="3263"/>
    <n v="1"/>
    <s v="Violet"/>
    <n v="1"/>
    <x v="8"/>
    <n v="13005"/>
    <n v="13005"/>
    <n v="0"/>
    <n v="0"/>
    <m/>
  </r>
  <r>
    <x v="2"/>
    <x v="0"/>
    <x v="6"/>
    <n v="3037"/>
    <n v="2"/>
    <s v="Scroll"/>
    <n v="3"/>
    <x v="2"/>
    <n v="0"/>
    <n v="6000"/>
    <n v="0"/>
    <n v="2400"/>
    <m/>
  </r>
  <r>
    <x v="2"/>
    <x v="0"/>
    <x v="6"/>
    <n v="1028"/>
    <n v="2"/>
    <m/>
    <m/>
    <x v="0"/>
    <n v="0"/>
    <n v="0"/>
    <n v="0"/>
    <n v="0"/>
    <s v="Y"/>
  </r>
  <r>
    <x v="2"/>
    <x v="0"/>
    <x v="7"/>
    <n v="3555"/>
    <n v="0"/>
    <s v="Scroll"/>
    <n v="5"/>
    <x v="2"/>
    <n v="0"/>
    <n v="10000"/>
    <n v="0"/>
    <n v="4000"/>
    <m/>
  </r>
  <r>
    <x v="2"/>
    <x v="0"/>
    <x v="7"/>
    <n v="3633"/>
    <n v="0"/>
    <s v="Scroll"/>
    <n v="4"/>
    <x v="2"/>
    <n v="0"/>
    <n v="8000"/>
    <n v="0"/>
    <n v="3200"/>
    <m/>
  </r>
  <r>
    <x v="2"/>
    <x v="0"/>
    <x v="7"/>
    <n v="3251"/>
    <n v="1"/>
    <s v="Violet"/>
    <n v="1"/>
    <x v="7"/>
    <n v="4134"/>
    <n v="4134"/>
    <n v="0"/>
    <n v="0"/>
    <m/>
  </r>
  <r>
    <x v="2"/>
    <x v="0"/>
    <x v="7"/>
    <n v="3614"/>
    <n v="1"/>
    <s v="Violet"/>
    <n v="1"/>
    <x v="8"/>
    <n v="7947"/>
    <n v="7947"/>
    <n v="0"/>
    <n v="0"/>
    <m/>
  </r>
  <r>
    <x v="2"/>
    <x v="0"/>
    <x v="7"/>
    <n v="3238"/>
    <n v="1"/>
    <s v="Blue"/>
    <n v="1"/>
    <x v="7"/>
    <n v="4134"/>
    <n v="4134"/>
    <n v="0"/>
    <n v="0"/>
    <m/>
  </r>
  <r>
    <x v="2"/>
    <x v="0"/>
    <x v="7"/>
    <n v="3097"/>
    <n v="0"/>
    <s v="Blue"/>
    <n v="1"/>
    <x v="7"/>
    <n v="3054"/>
    <n v="3054"/>
    <n v="0"/>
    <n v="0"/>
    <m/>
  </r>
  <r>
    <x v="2"/>
    <x v="0"/>
    <x v="7"/>
    <n v="2801"/>
    <n v="0"/>
    <s v="Blue"/>
    <n v="1"/>
    <x v="7"/>
    <n v="2618"/>
    <n v="2618"/>
    <n v="0"/>
    <n v="0"/>
    <m/>
  </r>
  <r>
    <x v="2"/>
    <x v="0"/>
    <x v="7"/>
    <n v="3150"/>
    <n v="0"/>
    <s v="Blue"/>
    <n v="1"/>
    <x v="8"/>
    <n v="5440"/>
    <n v="5440"/>
    <n v="0"/>
    <n v="0"/>
    <m/>
  </r>
  <r>
    <x v="2"/>
    <x v="0"/>
    <x v="7"/>
    <n v="3588"/>
    <n v="1"/>
    <s v="Blue"/>
    <n v="1"/>
    <x v="8"/>
    <n v="6800"/>
    <n v="6800"/>
    <n v="0"/>
    <n v="0"/>
    <m/>
  </r>
  <r>
    <x v="2"/>
    <x v="0"/>
    <x v="7"/>
    <n v="3318"/>
    <n v="1"/>
    <s v="Scroll"/>
    <n v="1"/>
    <x v="7"/>
    <n v="0"/>
    <n v="0"/>
    <n v="0"/>
    <n v="0"/>
    <m/>
  </r>
  <r>
    <x v="2"/>
    <x v="0"/>
    <x v="7"/>
    <n v="3137"/>
    <n v="0"/>
    <s v="Violet"/>
    <n v="1"/>
    <x v="7"/>
    <n v="3491"/>
    <n v="3491"/>
    <n v="0"/>
    <n v="0"/>
    <m/>
  </r>
  <r>
    <x v="2"/>
    <x v="0"/>
    <x v="7"/>
    <n v="3409"/>
    <n v="0"/>
    <s v="Scroll"/>
    <n v="5"/>
    <x v="2"/>
    <n v="0"/>
    <n v="10000"/>
    <n v="0"/>
    <n v="4000"/>
    <m/>
  </r>
  <r>
    <x v="2"/>
    <x v="0"/>
    <x v="7"/>
    <n v="3479"/>
    <n v="1"/>
    <s v="Blue"/>
    <n v="1"/>
    <x v="7"/>
    <n v="2411"/>
    <n v="2411"/>
    <n v="0"/>
    <n v="0"/>
    <m/>
  </r>
  <r>
    <x v="2"/>
    <x v="0"/>
    <x v="7"/>
    <n v="3505"/>
    <n v="2"/>
    <s v="Violet"/>
    <n v="1"/>
    <x v="8"/>
    <n v="7650"/>
    <n v="7650"/>
    <n v="0"/>
    <n v="0"/>
    <m/>
  </r>
  <r>
    <x v="2"/>
    <x v="0"/>
    <x v="7"/>
    <n v="3378"/>
    <n v="1"/>
    <s v="Blue"/>
    <n v="1"/>
    <x v="7"/>
    <n v="3675"/>
    <n v="3675"/>
    <n v="0"/>
    <n v="0"/>
    <m/>
  </r>
  <r>
    <x v="2"/>
    <x v="0"/>
    <x v="7"/>
    <n v="3978"/>
    <n v="2"/>
    <s v="Scroll"/>
    <n v="5"/>
    <x v="2"/>
    <n v="0"/>
    <n v="10000"/>
    <n v="0"/>
    <n v="4000"/>
    <m/>
  </r>
  <r>
    <x v="2"/>
    <x v="0"/>
    <x v="7"/>
    <n v="4035"/>
    <n v="0"/>
    <s v="Scroll"/>
    <n v="5"/>
    <x v="2"/>
    <n v="0"/>
    <n v="10000"/>
    <n v="0"/>
    <n v="4000"/>
    <m/>
  </r>
  <r>
    <x v="2"/>
    <x v="0"/>
    <x v="7"/>
    <n v="3616"/>
    <n v="1"/>
    <s v="Scroll"/>
    <n v="5"/>
    <x v="2"/>
    <n v="0"/>
    <n v="10000"/>
    <n v="0"/>
    <n v="4000"/>
    <m/>
  </r>
  <r>
    <x v="2"/>
    <x v="0"/>
    <x v="7"/>
    <n v="3217"/>
    <n v="0"/>
    <s v="Blue"/>
    <n v="1"/>
    <x v="8"/>
    <n v="5440"/>
    <n v="5440"/>
    <n v="0"/>
    <n v="0"/>
    <m/>
  </r>
  <r>
    <x v="2"/>
    <x v="0"/>
    <x v="7"/>
    <n v="3453"/>
    <n v="0"/>
    <s v="Blue"/>
    <n v="1"/>
    <x v="8"/>
    <n v="4080"/>
    <n v="4080"/>
    <n v="0"/>
    <n v="0"/>
    <m/>
  </r>
  <r>
    <x v="2"/>
    <x v="0"/>
    <x v="7"/>
    <n v="3773"/>
    <n v="1"/>
    <s v="Violet"/>
    <n v="1"/>
    <x v="7"/>
    <n v="4547"/>
    <n v="4547"/>
    <n v="0"/>
    <n v="0"/>
    <m/>
  </r>
  <r>
    <x v="2"/>
    <x v="0"/>
    <x v="7"/>
    <n v="3152"/>
    <n v="2"/>
    <s v="Blue"/>
    <n v="1"/>
    <x v="7"/>
    <n v="3100"/>
    <n v="3100"/>
    <n v="0"/>
    <n v="0"/>
    <m/>
  </r>
  <r>
    <x v="2"/>
    <x v="0"/>
    <x v="7"/>
    <n v="3199"/>
    <n v="2"/>
    <s v="Scroll"/>
    <n v="4"/>
    <x v="2"/>
    <n v="0"/>
    <n v="8000"/>
    <n v="0"/>
    <n v="3200"/>
    <m/>
  </r>
  <r>
    <x v="2"/>
    <x v="0"/>
    <x v="7"/>
    <n v="3391"/>
    <n v="1"/>
    <s v="Orange"/>
    <n v="1"/>
    <x v="7"/>
    <n v="5512"/>
    <n v="5512"/>
    <n v="0"/>
    <n v="0"/>
    <m/>
  </r>
  <r>
    <x v="2"/>
    <x v="0"/>
    <x v="7"/>
    <n v="3826"/>
    <n v="0"/>
    <s v="Blue"/>
    <n v="1"/>
    <x v="8"/>
    <n v="6885"/>
    <n v="6885"/>
    <n v="0"/>
    <n v="0"/>
    <m/>
  </r>
  <r>
    <x v="12"/>
    <x v="2"/>
    <x v="3"/>
    <n v="2208"/>
    <n v="2"/>
    <m/>
    <m/>
    <x v="0"/>
    <n v="1236"/>
    <n v="1236"/>
    <n v="0"/>
    <n v="0"/>
    <m/>
  </r>
  <r>
    <x v="12"/>
    <x v="2"/>
    <x v="3"/>
    <n v="2585"/>
    <n v="2"/>
    <m/>
    <m/>
    <x v="0"/>
    <n v="2205"/>
    <n v="2205"/>
    <n v="0"/>
    <n v="0"/>
    <m/>
  </r>
  <r>
    <x v="12"/>
    <x v="2"/>
    <x v="3"/>
    <n v="2501"/>
    <n v="0"/>
    <m/>
    <m/>
    <x v="0"/>
    <n v="1236"/>
    <n v="1236"/>
    <n v="0"/>
    <n v="0"/>
    <m/>
  </r>
  <r>
    <x v="12"/>
    <x v="2"/>
    <x v="3"/>
    <n v="1564"/>
    <n v="1"/>
    <m/>
    <m/>
    <x v="0"/>
    <n v="1236"/>
    <n v="1236"/>
    <n v="0"/>
    <n v="0"/>
    <m/>
  </r>
  <r>
    <x v="12"/>
    <x v="2"/>
    <x v="3"/>
    <n v="1352"/>
    <n v="0"/>
    <m/>
    <m/>
    <x v="0"/>
    <n v="2205"/>
    <n v="2205"/>
    <n v="0"/>
    <n v="0"/>
    <m/>
  </r>
  <r>
    <x v="12"/>
    <x v="2"/>
    <x v="3"/>
    <n v="828"/>
    <n v="0"/>
    <m/>
    <m/>
    <x v="0"/>
    <n v="1236"/>
    <n v="1236"/>
    <n v="0"/>
    <n v="0"/>
    <m/>
  </r>
  <r>
    <x v="12"/>
    <x v="2"/>
    <x v="3"/>
    <n v="1020"/>
    <n v="1"/>
    <s v="Candy"/>
    <n v="2"/>
    <x v="0"/>
    <n v="0"/>
    <n v="0"/>
    <n v="0"/>
    <n v="0"/>
    <m/>
  </r>
  <r>
    <x v="12"/>
    <x v="2"/>
    <x v="3"/>
    <n v="1937"/>
    <n v="1"/>
    <s v="Candy"/>
    <n v="3"/>
    <x v="0"/>
    <n v="0"/>
    <n v="0"/>
    <n v="0"/>
    <n v="0"/>
    <m/>
  </r>
  <r>
    <x v="12"/>
    <x v="2"/>
    <x v="3"/>
    <n v="2126"/>
    <n v="1"/>
    <m/>
    <m/>
    <x v="0"/>
    <n v="1443"/>
    <n v="1443"/>
    <n v="0"/>
    <n v="0"/>
    <m/>
  </r>
  <r>
    <x v="12"/>
    <x v="2"/>
    <x v="3"/>
    <n v="1860"/>
    <n v="1"/>
    <m/>
    <m/>
    <x v="0"/>
    <n v="1236"/>
    <n v="1236"/>
    <n v="0"/>
    <n v="0"/>
    <m/>
  </r>
  <r>
    <x v="12"/>
    <x v="2"/>
    <x v="3"/>
    <n v="1824"/>
    <n v="1"/>
    <m/>
    <m/>
    <x v="0"/>
    <n v="1236"/>
    <n v="1236"/>
    <n v="0"/>
    <n v="0"/>
    <m/>
  </r>
  <r>
    <x v="12"/>
    <x v="2"/>
    <x v="3"/>
    <n v="1625"/>
    <n v="2"/>
    <m/>
    <m/>
    <x v="0"/>
    <n v="1236"/>
    <n v="1236"/>
    <n v="0"/>
    <n v="0"/>
    <m/>
  </r>
  <r>
    <x v="1"/>
    <x v="1"/>
    <x v="8"/>
    <n v="1233"/>
    <n v="2"/>
    <m/>
    <m/>
    <x v="0"/>
    <n v="1824"/>
    <n v="1824"/>
    <n v="0"/>
    <n v="0"/>
    <m/>
  </r>
  <r>
    <x v="1"/>
    <x v="1"/>
    <x v="8"/>
    <n v="910"/>
    <n v="1"/>
    <m/>
    <m/>
    <x v="0"/>
    <n v="1824"/>
    <n v="1824"/>
    <n v="0"/>
    <n v="0"/>
    <m/>
  </r>
  <r>
    <x v="1"/>
    <x v="1"/>
    <x v="8"/>
    <n v="2073"/>
    <n v="0"/>
    <m/>
    <m/>
    <x v="0"/>
    <n v="1976"/>
    <n v="1976"/>
    <n v="0"/>
    <n v="0"/>
    <m/>
  </r>
  <r>
    <x v="1"/>
    <x v="1"/>
    <x v="8"/>
    <n v="1466"/>
    <n v="0"/>
    <m/>
    <m/>
    <x v="0"/>
    <n v="1976"/>
    <n v="1976"/>
    <n v="0"/>
    <n v="0"/>
    <m/>
  </r>
  <r>
    <x v="1"/>
    <x v="1"/>
    <x v="8"/>
    <n v="1067"/>
    <n v="3"/>
    <s v="Fod"/>
    <n v="1"/>
    <x v="1"/>
    <n v="0"/>
    <n v="0"/>
    <n v="11500"/>
    <n v="0"/>
    <m/>
  </r>
  <r>
    <x v="1"/>
    <x v="1"/>
    <x v="8"/>
    <n v="1973"/>
    <n v="1"/>
    <m/>
    <m/>
    <x v="0"/>
    <n v="2937"/>
    <n v="2937"/>
    <n v="0"/>
    <n v="0"/>
    <m/>
  </r>
  <r>
    <x v="13"/>
    <x v="1"/>
    <x v="0"/>
    <n v="1544"/>
    <n v="0"/>
    <m/>
    <m/>
    <x v="0"/>
    <n v="1824"/>
    <n v="1824"/>
    <n v="0"/>
    <n v="0"/>
    <m/>
  </r>
  <r>
    <x v="13"/>
    <x v="1"/>
    <x v="0"/>
    <n v="1180"/>
    <n v="0"/>
    <m/>
    <m/>
    <x v="0"/>
    <n v="1976"/>
    <n v="1976"/>
    <n v="0"/>
    <n v="0"/>
    <m/>
  </r>
  <r>
    <x v="13"/>
    <x v="1"/>
    <x v="0"/>
    <n v="1734"/>
    <n v="4"/>
    <m/>
    <m/>
    <x v="0"/>
    <n v="1824"/>
    <n v="1824"/>
    <n v="0"/>
    <n v="0"/>
    <m/>
  </r>
  <r>
    <x v="13"/>
    <x v="1"/>
    <x v="0"/>
    <n v="1594"/>
    <n v="0"/>
    <m/>
    <m/>
    <x v="0"/>
    <n v="2128"/>
    <n v="2128"/>
    <n v="0"/>
    <n v="0"/>
    <m/>
  </r>
  <r>
    <x v="13"/>
    <x v="1"/>
    <x v="0"/>
    <n v="1672"/>
    <n v="0"/>
    <m/>
    <m/>
    <x v="0"/>
    <n v="1824"/>
    <n v="1824"/>
    <n v="0"/>
    <n v="0"/>
    <m/>
  </r>
  <r>
    <x v="13"/>
    <x v="1"/>
    <x v="0"/>
    <n v="1879"/>
    <n v="1"/>
    <m/>
    <m/>
    <x v="0"/>
    <n v="1824"/>
    <n v="1824"/>
    <n v="0"/>
    <n v="0"/>
    <m/>
  </r>
  <r>
    <x v="13"/>
    <x v="1"/>
    <x v="0"/>
    <n v="1455"/>
    <n v="1"/>
    <m/>
    <m/>
    <x v="0"/>
    <n v="2280"/>
    <n v="2280"/>
    <n v="0"/>
    <n v="0"/>
    <m/>
  </r>
  <r>
    <x v="13"/>
    <x v="1"/>
    <x v="0"/>
    <n v="1898"/>
    <n v="1"/>
    <m/>
    <m/>
    <x v="0"/>
    <n v="1824"/>
    <n v="1824"/>
    <n v="0"/>
    <n v="0"/>
    <m/>
  </r>
  <r>
    <x v="12"/>
    <x v="2"/>
    <x v="3"/>
    <n v="1959"/>
    <n v="1"/>
    <m/>
    <m/>
    <x v="0"/>
    <n v="2205"/>
    <n v="2205"/>
    <n v="0"/>
    <n v="0"/>
    <m/>
  </r>
  <r>
    <x v="12"/>
    <x v="2"/>
    <x v="3"/>
    <n v="1626"/>
    <n v="0"/>
    <m/>
    <m/>
    <x v="0"/>
    <n v="1236"/>
    <n v="1236"/>
    <n v="0"/>
    <n v="0"/>
    <m/>
  </r>
  <r>
    <x v="12"/>
    <x v="2"/>
    <x v="3"/>
    <n v="2155"/>
    <n v="0"/>
    <m/>
    <m/>
    <x v="0"/>
    <n v="1236"/>
    <n v="1236"/>
    <n v="0"/>
    <n v="0"/>
    <m/>
  </r>
  <r>
    <x v="12"/>
    <x v="2"/>
    <x v="3"/>
    <n v="1844"/>
    <n v="1"/>
    <m/>
    <m/>
    <x v="0"/>
    <n v="2205"/>
    <n v="2205"/>
    <n v="0"/>
    <n v="0"/>
    <m/>
  </r>
  <r>
    <x v="12"/>
    <x v="2"/>
    <x v="3"/>
    <n v="645"/>
    <n v="2"/>
    <s v="Scroll"/>
    <n v="3"/>
    <x v="0"/>
    <n v="0"/>
    <n v="0"/>
    <n v="0"/>
    <n v="0"/>
    <m/>
  </r>
  <r>
    <x v="12"/>
    <x v="2"/>
    <x v="3"/>
    <n v="623"/>
    <n v="1"/>
    <m/>
    <m/>
    <x v="0"/>
    <n v="2205"/>
    <n v="2205"/>
    <n v="0"/>
    <n v="0"/>
    <m/>
  </r>
  <r>
    <x v="12"/>
    <x v="2"/>
    <x v="3"/>
    <n v="1484"/>
    <n v="2"/>
    <m/>
    <m/>
    <x v="0"/>
    <n v="2205"/>
    <n v="2205"/>
    <n v="0"/>
    <n v="0"/>
    <m/>
  </r>
  <r>
    <x v="12"/>
    <x v="2"/>
    <x v="3"/>
    <n v="1281"/>
    <n v="0"/>
    <m/>
    <m/>
    <x v="0"/>
    <n v="2572"/>
    <n v="2572"/>
    <n v="0"/>
    <n v="0"/>
    <m/>
  </r>
  <r>
    <x v="12"/>
    <x v="2"/>
    <x v="3"/>
    <n v="839"/>
    <n v="1"/>
    <m/>
    <m/>
    <x v="0"/>
    <n v="2940"/>
    <n v="2940"/>
    <n v="0"/>
    <n v="0"/>
    <m/>
  </r>
  <r>
    <x v="12"/>
    <x v="2"/>
    <x v="3"/>
    <n v="1785"/>
    <n v="2"/>
    <m/>
    <m/>
    <x v="0"/>
    <n v="1824"/>
    <n v="1824"/>
    <n v="0"/>
    <n v="0"/>
    <m/>
  </r>
  <r>
    <x v="12"/>
    <x v="2"/>
    <x v="3"/>
    <n v="1214"/>
    <n v="0"/>
    <m/>
    <m/>
    <x v="0"/>
    <n v="1236"/>
    <n v="1236"/>
    <n v="0"/>
    <n v="0"/>
    <m/>
  </r>
  <r>
    <x v="12"/>
    <x v="2"/>
    <x v="3"/>
    <n v="1200"/>
    <n v="0"/>
    <m/>
    <m/>
    <x v="0"/>
    <n v="1236"/>
    <n v="1236"/>
    <n v="0"/>
    <n v="0"/>
    <m/>
  </r>
  <r>
    <x v="12"/>
    <x v="2"/>
    <x v="3"/>
    <n v="1357"/>
    <n v="2"/>
    <s v="Fod"/>
    <n v="1"/>
    <x v="2"/>
    <n v="0"/>
    <n v="0"/>
    <n v="0"/>
    <n v="0"/>
    <m/>
  </r>
  <r>
    <x v="12"/>
    <x v="2"/>
    <x v="3"/>
    <n v="2917"/>
    <n v="0"/>
    <m/>
    <m/>
    <x v="0"/>
    <n v="1236"/>
    <n v="1236"/>
    <n v="0"/>
    <n v="0"/>
    <m/>
  </r>
  <r>
    <x v="5"/>
    <x v="1"/>
    <x v="8"/>
    <n v="1467"/>
    <n v="0"/>
    <s v="Scroll"/>
    <n v="2"/>
    <x v="2"/>
    <n v="0"/>
    <n v="4000"/>
    <n v="0"/>
    <n v="1600"/>
    <m/>
  </r>
  <r>
    <x v="5"/>
    <x v="1"/>
    <x v="8"/>
    <n v="1868"/>
    <n v="0"/>
    <s v="Scroll"/>
    <n v="2"/>
    <x v="2"/>
    <n v="0"/>
    <n v="4000"/>
    <n v="0"/>
    <n v="1600"/>
    <m/>
  </r>
  <r>
    <x v="5"/>
    <x v="1"/>
    <x v="8"/>
    <n v="1204"/>
    <n v="1"/>
    <m/>
    <m/>
    <x v="0"/>
    <n v="1824"/>
    <n v="1824"/>
    <n v="0"/>
    <n v="0"/>
    <m/>
  </r>
  <r>
    <x v="2"/>
    <x v="0"/>
    <x v="11"/>
    <n v="3766"/>
    <n v="0"/>
    <s v="Blue"/>
    <n v="1"/>
    <x v="8"/>
    <n v="10144"/>
    <n v="10144"/>
    <n v="0"/>
    <n v="0"/>
    <m/>
  </r>
  <r>
    <x v="2"/>
    <x v="0"/>
    <x v="11"/>
    <n v="4343"/>
    <n v="0"/>
    <s v="Violet"/>
    <n v="1"/>
    <x v="7"/>
    <n v="3904"/>
    <n v="3904"/>
    <n v="0"/>
    <n v="0"/>
    <m/>
  </r>
  <r>
    <x v="2"/>
    <x v="0"/>
    <x v="11"/>
    <n v="3715"/>
    <n v="1"/>
    <s v="Scroll"/>
    <n v="4"/>
    <x v="2"/>
    <n v="0"/>
    <n v="8000"/>
    <n v="0"/>
    <n v="3200"/>
    <m/>
  </r>
  <r>
    <x v="2"/>
    <x v="0"/>
    <x v="11"/>
    <n v="3985"/>
    <n v="1"/>
    <s v="Blue"/>
    <n v="1"/>
    <x v="9"/>
    <n v="25677"/>
    <n v="25677"/>
    <n v="0"/>
    <n v="0"/>
    <m/>
  </r>
  <r>
    <x v="2"/>
    <x v="0"/>
    <x v="11"/>
    <n v="4284"/>
    <n v="0"/>
    <s v="Scroll"/>
    <n v="5"/>
    <x v="2"/>
    <n v="0"/>
    <n v="10000"/>
    <n v="0"/>
    <n v="4000"/>
    <m/>
  </r>
  <r>
    <x v="2"/>
    <x v="0"/>
    <x v="11"/>
    <n v="4613"/>
    <n v="0"/>
    <s v="Blue"/>
    <n v="1"/>
    <x v="8"/>
    <n v="5440"/>
    <n v="5440"/>
    <n v="0"/>
    <n v="0"/>
    <m/>
  </r>
  <r>
    <x v="2"/>
    <x v="0"/>
    <x v="11"/>
    <n v="4512"/>
    <n v="0"/>
    <s v="Blue"/>
    <n v="1"/>
    <x v="8"/>
    <n v="6800"/>
    <n v="6800"/>
    <n v="0"/>
    <n v="0"/>
    <m/>
  </r>
  <r>
    <x v="2"/>
    <x v="0"/>
    <x v="11"/>
    <n v="4000"/>
    <n v="1"/>
    <s v="Rainb"/>
    <n v="1"/>
    <x v="5"/>
    <n v="0"/>
    <n v="0"/>
    <n v="34500"/>
    <n v="118004"/>
    <m/>
  </r>
  <r>
    <x v="2"/>
    <x v="0"/>
    <x v="11"/>
    <n v="4361"/>
    <n v="0"/>
    <s v="Scroll"/>
    <n v="5"/>
    <x v="2"/>
    <n v="0"/>
    <n v="10000"/>
    <n v="0"/>
    <n v="4000"/>
    <m/>
  </r>
  <r>
    <x v="2"/>
    <x v="0"/>
    <x v="11"/>
    <n v="4527"/>
    <n v="0"/>
    <s v="Blue"/>
    <n v="1"/>
    <x v="8"/>
    <n v="5440"/>
    <n v="5440"/>
    <n v="0"/>
    <n v="0"/>
    <m/>
  </r>
  <r>
    <x v="2"/>
    <x v="0"/>
    <x v="11"/>
    <n v="3817"/>
    <n v="1"/>
    <s v="Blue"/>
    <n v="1"/>
    <x v="8"/>
    <n v="5440"/>
    <n v="5440"/>
    <n v="0"/>
    <n v="0"/>
    <m/>
  </r>
  <r>
    <x v="2"/>
    <x v="0"/>
    <x v="11"/>
    <n v="3935"/>
    <n v="2"/>
    <s v="Violet"/>
    <n v="1"/>
    <x v="8"/>
    <n v="6800"/>
    <n v="6800"/>
    <n v="0"/>
    <n v="0"/>
    <m/>
  </r>
  <r>
    <x v="2"/>
    <x v="0"/>
    <x v="11"/>
    <n v="4040"/>
    <n v="1"/>
    <s v="Blue"/>
    <n v="1"/>
    <x v="8"/>
    <n v="5440"/>
    <n v="5440"/>
    <n v="0"/>
    <n v="0"/>
    <m/>
  </r>
  <r>
    <x v="2"/>
    <x v="0"/>
    <x v="11"/>
    <n v="3601"/>
    <n v="1"/>
    <s v="Scroll"/>
    <n v="4"/>
    <x v="2"/>
    <n v="0"/>
    <n v="8000"/>
    <n v="0"/>
    <n v="3200"/>
    <m/>
  </r>
  <r>
    <x v="2"/>
    <x v="0"/>
    <x v="11"/>
    <n v="3976"/>
    <n v="0"/>
    <s v="Violet"/>
    <n v="1"/>
    <x v="8"/>
    <n v="5440"/>
    <n v="5440"/>
    <n v="0"/>
    <n v="0"/>
    <m/>
  </r>
  <r>
    <x v="2"/>
    <x v="0"/>
    <x v="11"/>
    <n v="3824"/>
    <n v="0"/>
    <s v="Blue"/>
    <n v="1"/>
    <x v="7"/>
    <n v="3491"/>
    <n v="3491"/>
    <n v="0"/>
    <n v="0"/>
    <m/>
  </r>
  <r>
    <x v="2"/>
    <x v="0"/>
    <x v="11"/>
    <n v="3303"/>
    <n v="0"/>
    <s v="Blue"/>
    <n v="1"/>
    <x v="7"/>
    <n v="3445"/>
    <n v="3445"/>
    <n v="0"/>
    <n v="0"/>
    <m/>
  </r>
  <r>
    <x v="2"/>
    <x v="0"/>
    <x v="11"/>
    <n v="4601"/>
    <n v="1"/>
    <s v="Scroll"/>
    <n v="4"/>
    <x v="2"/>
    <n v="0"/>
    <n v="8000"/>
    <n v="0"/>
    <n v="3200"/>
    <m/>
  </r>
  <r>
    <x v="2"/>
    <x v="0"/>
    <x v="11"/>
    <n v="4076"/>
    <n v="1"/>
    <s v="Blue"/>
    <n v="1"/>
    <x v="7"/>
    <n v="5057"/>
    <n v="5057"/>
    <n v="0"/>
    <n v="0"/>
    <m/>
  </r>
  <r>
    <x v="2"/>
    <x v="0"/>
    <x v="11"/>
    <n v="3735"/>
    <n v="1"/>
    <s v="Blue"/>
    <n v="1"/>
    <x v="8"/>
    <n v="6502"/>
    <n v="6502"/>
    <n v="0"/>
    <n v="0"/>
    <m/>
  </r>
  <r>
    <x v="2"/>
    <x v="0"/>
    <x v="11"/>
    <n v="3968"/>
    <n v="1"/>
    <s v="Blue"/>
    <n v="1"/>
    <x v="8"/>
    <n v="3825"/>
    <n v="3825"/>
    <n v="0"/>
    <n v="0"/>
    <m/>
  </r>
  <r>
    <x v="2"/>
    <x v="0"/>
    <x v="11"/>
    <n v="4409"/>
    <n v="0"/>
    <s v="Blue"/>
    <n v="1"/>
    <x v="8"/>
    <n v="7650"/>
    <n v="7650"/>
    <n v="0"/>
    <n v="0"/>
    <m/>
  </r>
  <r>
    <x v="2"/>
    <x v="0"/>
    <x v="11"/>
    <n v="4316"/>
    <n v="0"/>
    <s v="Blue"/>
    <n v="1"/>
    <x v="8"/>
    <n v="5780"/>
    <n v="5780"/>
    <n v="0"/>
    <n v="0"/>
    <m/>
  </r>
  <r>
    <x v="2"/>
    <x v="0"/>
    <x v="11"/>
    <n v="4350"/>
    <n v="3"/>
    <s v="Blue"/>
    <n v="1"/>
    <x v="8"/>
    <n v="5950"/>
    <n v="5950"/>
    <n v="0"/>
    <n v="0"/>
    <m/>
  </r>
  <r>
    <x v="2"/>
    <x v="0"/>
    <x v="11"/>
    <n v="4027"/>
    <n v="1"/>
    <s v="Blue"/>
    <n v="1"/>
    <x v="8"/>
    <n v="5100"/>
    <n v="5100"/>
    <n v="0"/>
    <n v="0"/>
    <m/>
  </r>
  <r>
    <x v="2"/>
    <x v="0"/>
    <x v="11"/>
    <n v="4582"/>
    <n v="1"/>
    <s v="Orange"/>
    <n v="1"/>
    <x v="8"/>
    <n v="10444"/>
    <n v="10444"/>
    <n v="0"/>
    <n v="0"/>
    <m/>
  </r>
  <r>
    <x v="2"/>
    <x v="0"/>
    <x v="11"/>
    <n v="4490"/>
    <n v="0"/>
    <s v="Blue"/>
    <n v="1"/>
    <x v="7"/>
    <n v="4364"/>
    <n v="4364"/>
    <n v="0"/>
    <n v="0"/>
    <m/>
  </r>
  <r>
    <x v="2"/>
    <x v="0"/>
    <x v="11"/>
    <n v="4382"/>
    <n v="0"/>
    <s v="Blue"/>
    <n v="1"/>
    <x v="7"/>
    <n v="2940"/>
    <n v="2940"/>
    <n v="0"/>
    <n v="0"/>
    <m/>
  </r>
  <r>
    <x v="2"/>
    <x v="0"/>
    <x v="11"/>
    <n v="3808"/>
    <n v="0"/>
    <s v="Scroll"/>
    <n v="5"/>
    <x v="2"/>
    <n v="0"/>
    <n v="10000"/>
    <n v="0"/>
    <n v="4000"/>
    <m/>
  </r>
  <r>
    <x v="2"/>
    <x v="0"/>
    <x v="11"/>
    <n v="3873"/>
    <n v="2"/>
    <s v="Blue"/>
    <n v="1"/>
    <x v="7"/>
    <n v="3307"/>
    <n v="3307"/>
    <n v="0"/>
    <n v="0"/>
    <m/>
  </r>
  <r>
    <x v="2"/>
    <x v="0"/>
    <x v="11"/>
    <n v="4165"/>
    <n v="1"/>
    <s v="Violet"/>
    <n v="1"/>
    <x v="7"/>
    <n v="3927"/>
    <n v="3927"/>
    <n v="0"/>
    <n v="0"/>
    <m/>
  </r>
  <r>
    <x v="2"/>
    <x v="0"/>
    <x v="11"/>
    <n v="3918"/>
    <n v="1"/>
    <s v="Violet"/>
    <n v="1"/>
    <x v="8"/>
    <n v="5440"/>
    <n v="5440"/>
    <n v="0"/>
    <n v="0"/>
    <m/>
  </r>
  <r>
    <x v="2"/>
    <x v="0"/>
    <x v="11"/>
    <n v="3837"/>
    <n v="4"/>
    <s v="Blue"/>
    <n v="1"/>
    <x v="7"/>
    <n v="3100"/>
    <n v="3100"/>
    <n v="0"/>
    <n v="0"/>
    <m/>
  </r>
  <r>
    <x v="2"/>
    <x v="0"/>
    <x v="11"/>
    <n v="3909"/>
    <n v="0"/>
    <s v="Blue"/>
    <n v="1"/>
    <x v="8"/>
    <n v="6460"/>
    <n v="6460"/>
    <n v="0"/>
    <n v="0"/>
    <m/>
  </r>
  <r>
    <x v="2"/>
    <x v="0"/>
    <x v="11"/>
    <n v="4302"/>
    <n v="2"/>
    <s v="Violet"/>
    <n v="1"/>
    <x v="8"/>
    <n v="8075"/>
    <n v="8075"/>
    <n v="0"/>
    <n v="0"/>
    <m/>
  </r>
  <r>
    <x v="2"/>
    <x v="0"/>
    <x v="11"/>
    <n v="4644"/>
    <n v="1"/>
    <s v="MystScroll"/>
    <n v="1"/>
    <x v="2"/>
    <n v="0"/>
    <n v="120000"/>
    <n v="0"/>
    <n v="0"/>
    <m/>
  </r>
  <r>
    <x v="2"/>
    <x v="0"/>
    <x v="11"/>
    <n v="3772"/>
    <n v="0"/>
    <s v="Blue"/>
    <n v="1"/>
    <x v="8"/>
    <n v="5780"/>
    <n v="5780"/>
    <n v="0"/>
    <n v="0"/>
    <m/>
  </r>
  <r>
    <x v="2"/>
    <x v="0"/>
    <x v="11"/>
    <n v="3838"/>
    <n v="1"/>
    <s v="Blue"/>
    <n v="1"/>
    <x v="8"/>
    <n v="6460"/>
    <n v="6460"/>
    <n v="0"/>
    <n v="0"/>
    <m/>
  </r>
  <r>
    <x v="2"/>
    <x v="0"/>
    <x v="11"/>
    <n v="3618"/>
    <n v="1"/>
    <s v="Orange"/>
    <n v="1"/>
    <x v="8"/>
    <n v="11560"/>
    <n v="11560"/>
    <n v="0"/>
    <n v="0"/>
    <m/>
  </r>
  <r>
    <x v="2"/>
    <x v="0"/>
    <x v="11"/>
    <n v="3622"/>
    <n v="2"/>
    <s v="Orange"/>
    <n v="1"/>
    <x v="8"/>
    <n v="16320"/>
    <n v="16320"/>
    <n v="0"/>
    <n v="0"/>
    <m/>
  </r>
  <r>
    <x v="2"/>
    <x v="0"/>
    <x v="11"/>
    <n v="4131"/>
    <n v="2"/>
    <s v="Scroll"/>
    <n v="5"/>
    <x v="2"/>
    <n v="0"/>
    <n v="10000"/>
    <n v="0"/>
    <n v="4000"/>
    <m/>
  </r>
  <r>
    <x v="2"/>
    <x v="0"/>
    <x v="11"/>
    <n v="3935"/>
    <n v="0"/>
    <s v="Rainb"/>
    <n v="1"/>
    <x v="1"/>
    <n v="0"/>
    <n v="0"/>
    <n v="11500"/>
    <n v="35822"/>
    <m/>
  </r>
  <r>
    <x v="2"/>
    <x v="0"/>
    <x v="11"/>
    <n v="3786"/>
    <n v="1"/>
    <s v="Violet"/>
    <n v="1"/>
    <x v="7"/>
    <n v="3904"/>
    <n v="3904"/>
    <n v="0"/>
    <n v="0"/>
    <m/>
  </r>
  <r>
    <x v="2"/>
    <x v="0"/>
    <x v="11"/>
    <n v="3725"/>
    <n v="0"/>
    <s v="Scroll"/>
    <n v="4"/>
    <x v="2"/>
    <n v="0"/>
    <n v="8000"/>
    <n v="0"/>
    <n v="3200"/>
    <m/>
  </r>
  <r>
    <x v="2"/>
    <x v="0"/>
    <x v="11"/>
    <n v="3617"/>
    <n v="1"/>
    <s v="Blue"/>
    <n v="1"/>
    <x v="8"/>
    <n v="6800"/>
    <n v="6800"/>
    <n v="0"/>
    <n v="0"/>
    <m/>
  </r>
  <r>
    <x v="2"/>
    <x v="0"/>
    <x v="11"/>
    <n v="3937"/>
    <n v="1"/>
    <s v="Violet"/>
    <n v="1"/>
    <x v="9"/>
    <n v="13472"/>
    <n v="13472"/>
    <n v="0"/>
    <n v="0"/>
    <m/>
  </r>
  <r>
    <x v="2"/>
    <x v="0"/>
    <x v="11"/>
    <n v="3918"/>
    <n v="1"/>
    <s v="Blue"/>
    <n v="1"/>
    <x v="9"/>
    <n v="9510"/>
    <n v="9510"/>
    <n v="0"/>
    <n v="0"/>
    <m/>
  </r>
  <r>
    <x v="2"/>
    <x v="0"/>
    <x v="11"/>
    <n v="4078"/>
    <n v="3"/>
    <s v="Rainb"/>
    <n v="1"/>
    <x v="1"/>
    <n v="0"/>
    <n v="0"/>
    <n v="11500"/>
    <n v="35822"/>
    <m/>
  </r>
  <r>
    <x v="2"/>
    <x v="0"/>
    <x v="11"/>
    <n v="4022"/>
    <n v="2"/>
    <s v="Blue"/>
    <n v="1"/>
    <x v="8"/>
    <n v="13005"/>
    <n v="13005"/>
    <n v="0"/>
    <n v="0"/>
    <m/>
  </r>
  <r>
    <x v="2"/>
    <x v="0"/>
    <x v="11"/>
    <n v="3677"/>
    <n v="0"/>
    <s v="Scroll"/>
    <n v="5"/>
    <x v="2"/>
    <n v="0"/>
    <n v="10000"/>
    <n v="0"/>
    <n v="4000"/>
    <m/>
  </r>
  <r>
    <x v="2"/>
    <x v="0"/>
    <x v="11"/>
    <n v="4011"/>
    <n v="0"/>
    <s v="Orange"/>
    <n v="1"/>
    <x v="7"/>
    <n v="7350"/>
    <n v="7350"/>
    <n v="0"/>
    <n v="0"/>
    <m/>
  </r>
  <r>
    <x v="2"/>
    <x v="0"/>
    <x v="11"/>
    <n v="4195"/>
    <n v="1"/>
    <s v="Blue"/>
    <n v="1"/>
    <x v="7"/>
    <n v="3491"/>
    <n v="3491"/>
    <n v="0"/>
    <n v="0"/>
    <m/>
  </r>
  <r>
    <x v="2"/>
    <x v="0"/>
    <x v="11"/>
    <n v="4001"/>
    <n v="0"/>
    <s v="Blue"/>
    <n v="1"/>
    <x v="8"/>
    <n v="4590"/>
    <n v="4590"/>
    <n v="0"/>
    <n v="0"/>
    <m/>
  </r>
  <r>
    <x v="2"/>
    <x v="0"/>
    <x v="11"/>
    <n v="3836"/>
    <n v="0"/>
    <s v="Blue"/>
    <n v="1"/>
    <x v="8"/>
    <n v="5780"/>
    <n v="5780"/>
    <n v="0"/>
    <n v="0"/>
    <m/>
  </r>
  <r>
    <x v="2"/>
    <x v="0"/>
    <x v="11"/>
    <n v="3830"/>
    <n v="0"/>
    <s v="Blue"/>
    <n v="1"/>
    <x v="8"/>
    <n v="5100"/>
    <n v="5100"/>
    <n v="0"/>
    <n v="0"/>
    <m/>
  </r>
  <r>
    <x v="2"/>
    <x v="0"/>
    <x v="11"/>
    <n v="4098"/>
    <n v="0"/>
    <s v="Violet"/>
    <n v="1"/>
    <x v="7"/>
    <n v="4800"/>
    <n v="4800"/>
    <n v="0"/>
    <n v="0"/>
    <m/>
  </r>
  <r>
    <x v="2"/>
    <x v="0"/>
    <x v="11"/>
    <n v="4211"/>
    <n v="0"/>
    <s v="Rainb"/>
    <n v="1"/>
    <x v="1"/>
    <n v="0"/>
    <n v="0"/>
    <n v="11500"/>
    <n v="35822"/>
    <m/>
  </r>
  <r>
    <x v="2"/>
    <x v="0"/>
    <x v="11"/>
    <n v="4024"/>
    <n v="1"/>
    <s v="Blue"/>
    <n v="1"/>
    <x v="7"/>
    <n v="2572"/>
    <n v="2572"/>
    <n v="0"/>
    <n v="0"/>
    <m/>
  </r>
  <r>
    <x v="2"/>
    <x v="0"/>
    <x v="11"/>
    <n v="4051"/>
    <n v="0"/>
    <s v="Violet"/>
    <n v="1"/>
    <x v="8"/>
    <n v="8075"/>
    <n v="8075"/>
    <n v="0"/>
    <n v="0"/>
    <m/>
  </r>
  <r>
    <x v="2"/>
    <x v="0"/>
    <x v="11"/>
    <n v="3981"/>
    <n v="2"/>
    <s v="Rainb"/>
    <n v="1"/>
    <x v="1"/>
    <n v="0"/>
    <n v="0"/>
    <n v="11500"/>
    <n v="35822"/>
    <m/>
  </r>
  <r>
    <x v="2"/>
    <x v="0"/>
    <x v="11"/>
    <n v="3667"/>
    <n v="3"/>
    <s v="Blue"/>
    <n v="1"/>
    <x v="8"/>
    <n v="5440"/>
    <n v="5440"/>
    <n v="0"/>
    <n v="0"/>
    <m/>
  </r>
  <r>
    <x v="2"/>
    <x v="0"/>
    <x v="11"/>
    <n v="4500"/>
    <n v="2"/>
    <s v="Violet"/>
    <n v="1"/>
    <x v="8"/>
    <n v="9350"/>
    <n v="9350"/>
    <n v="0"/>
    <n v="0"/>
    <m/>
  </r>
  <r>
    <x v="2"/>
    <x v="0"/>
    <x v="11"/>
    <n v="4090"/>
    <n v="1"/>
    <s v="Blue"/>
    <n v="1"/>
    <x v="8"/>
    <n v="5780"/>
    <n v="5780"/>
    <n v="0"/>
    <n v="0"/>
    <m/>
  </r>
  <r>
    <x v="2"/>
    <x v="0"/>
    <x v="11"/>
    <n v="3757"/>
    <n v="0"/>
    <s v="Rainb"/>
    <n v="1"/>
    <x v="1"/>
    <n v="0"/>
    <n v="0"/>
    <n v="11500"/>
    <n v="35822"/>
    <m/>
  </r>
  <r>
    <x v="2"/>
    <x v="0"/>
    <x v="11"/>
    <n v="3889"/>
    <n v="0"/>
    <s v="Violet"/>
    <n v="1"/>
    <x v="8"/>
    <n v="10200"/>
    <n v="10200"/>
    <n v="0"/>
    <n v="0"/>
    <m/>
  </r>
  <r>
    <x v="2"/>
    <x v="0"/>
    <x v="11"/>
    <n v="3813"/>
    <n v="1"/>
    <s v="Blue"/>
    <n v="1"/>
    <x v="8"/>
    <n v="5355"/>
    <n v="5355"/>
    <n v="0"/>
    <n v="0"/>
    <m/>
  </r>
  <r>
    <x v="2"/>
    <x v="0"/>
    <x v="11"/>
    <n v="3859"/>
    <n v="1"/>
    <s v="Scroll"/>
    <n v="5"/>
    <x v="2"/>
    <n v="0"/>
    <n v="10000"/>
    <n v="0"/>
    <n v="4000"/>
    <m/>
  </r>
  <r>
    <x v="2"/>
    <x v="0"/>
    <x v="11"/>
    <n v="3967"/>
    <n v="2"/>
    <s v="Blue"/>
    <n v="1"/>
    <x v="9"/>
    <n v="12046"/>
    <n v="12046"/>
    <n v="0"/>
    <n v="0"/>
    <m/>
  </r>
  <r>
    <x v="2"/>
    <x v="0"/>
    <x v="11"/>
    <n v="4276"/>
    <n v="0"/>
    <s v="Scroll"/>
    <n v="5"/>
    <x v="2"/>
    <n v="0"/>
    <n v="10000"/>
    <n v="0"/>
    <n v="4000"/>
    <m/>
  </r>
  <r>
    <x v="2"/>
    <x v="0"/>
    <x v="11"/>
    <n v="3898"/>
    <n v="0"/>
    <s v="Violet"/>
    <n v="1"/>
    <x v="8"/>
    <n v="6502"/>
    <n v="6502"/>
    <n v="0"/>
    <n v="0"/>
    <m/>
  </r>
  <r>
    <x v="2"/>
    <x v="0"/>
    <x v="11"/>
    <n v="3992"/>
    <n v="3"/>
    <s v="Violet"/>
    <n v="1"/>
    <x v="8"/>
    <n v="7225"/>
    <n v="7225"/>
    <n v="0"/>
    <n v="0"/>
    <m/>
  </r>
  <r>
    <x v="2"/>
    <x v="0"/>
    <x v="11"/>
    <n v="3871"/>
    <n v="1"/>
    <s v="Blue"/>
    <n v="1"/>
    <x v="8"/>
    <n v="5737"/>
    <n v="5737"/>
    <n v="0"/>
    <n v="0"/>
    <m/>
  </r>
  <r>
    <x v="2"/>
    <x v="0"/>
    <x v="11"/>
    <n v="3832"/>
    <n v="0"/>
    <s v="Violet"/>
    <n v="1"/>
    <x v="8"/>
    <n v="8670"/>
    <n v="8670"/>
    <n v="0"/>
    <n v="0"/>
    <m/>
  </r>
  <r>
    <x v="2"/>
    <x v="0"/>
    <x v="11"/>
    <n v="3887"/>
    <n v="0"/>
    <s v="Blue"/>
    <n v="1"/>
    <x v="8"/>
    <n v="13770"/>
    <n v="13770"/>
    <n v="0"/>
    <n v="0"/>
    <m/>
  </r>
  <r>
    <x v="2"/>
    <x v="0"/>
    <x v="11"/>
    <n v="4114"/>
    <n v="3"/>
    <s v="Blue"/>
    <n v="1"/>
    <x v="8"/>
    <n v="6460"/>
    <n v="6460"/>
    <n v="0"/>
    <n v="0"/>
    <m/>
  </r>
  <r>
    <x v="2"/>
    <x v="0"/>
    <x v="11"/>
    <n v="4755"/>
    <n v="0"/>
    <s v="Blue"/>
    <n v="1"/>
    <x v="9"/>
    <n v="27103"/>
    <n v="27103"/>
    <n v="0"/>
    <n v="0"/>
    <m/>
  </r>
  <r>
    <x v="2"/>
    <x v="0"/>
    <x v="11"/>
    <n v="4329"/>
    <n v="2"/>
    <s v="Blue"/>
    <n v="1"/>
    <x v="8"/>
    <n v="6800"/>
    <n v="6800"/>
    <n v="0"/>
    <n v="0"/>
    <m/>
  </r>
  <r>
    <x v="2"/>
    <x v="0"/>
    <x v="11"/>
    <n v="4139"/>
    <n v="0"/>
    <s v="Blue"/>
    <n v="1"/>
    <x v="7"/>
    <n v="2067"/>
    <n v="2067"/>
    <n v="0"/>
    <n v="0"/>
    <m/>
  </r>
  <r>
    <x v="2"/>
    <x v="0"/>
    <x v="11"/>
    <n v="3838"/>
    <n v="0"/>
    <s v="Blue"/>
    <n v="1"/>
    <x v="8"/>
    <n v="5737"/>
    <n v="5737"/>
    <n v="0"/>
    <n v="0"/>
    <m/>
  </r>
  <r>
    <x v="2"/>
    <x v="0"/>
    <x v="11"/>
    <n v="4090"/>
    <n v="2"/>
    <s v="Scroll"/>
    <n v="4"/>
    <x v="2"/>
    <n v="0"/>
    <n v="8000"/>
    <n v="0"/>
    <n v="3200"/>
    <m/>
  </r>
  <r>
    <x v="2"/>
    <x v="0"/>
    <x v="11"/>
    <n v="4048"/>
    <n v="0"/>
    <s v="Violet"/>
    <n v="1"/>
    <x v="8"/>
    <n v="8075"/>
    <n v="8075"/>
    <n v="0"/>
    <n v="0"/>
    <m/>
  </r>
  <r>
    <x v="2"/>
    <x v="0"/>
    <x v="11"/>
    <n v="4066"/>
    <n v="1"/>
    <s v="Blue"/>
    <n v="1"/>
    <x v="7"/>
    <n v="8268"/>
    <n v="8268"/>
    <n v="0"/>
    <n v="0"/>
    <m/>
  </r>
  <r>
    <x v="2"/>
    <x v="0"/>
    <x v="11"/>
    <n v="4202"/>
    <n v="2"/>
    <s v="Blue"/>
    <n v="1"/>
    <x v="8"/>
    <n v="4590"/>
    <n v="4590"/>
    <n v="0"/>
    <n v="0"/>
    <m/>
  </r>
  <r>
    <x v="2"/>
    <x v="0"/>
    <x v="11"/>
    <n v="4359"/>
    <n v="1"/>
    <s v="Violet"/>
    <n v="1"/>
    <x v="8"/>
    <n v="9180"/>
    <n v="9180"/>
    <n v="0"/>
    <n v="0"/>
    <m/>
  </r>
  <r>
    <x v="2"/>
    <x v="0"/>
    <x v="11"/>
    <n v="3858"/>
    <n v="0"/>
    <s v="Blue"/>
    <n v="1"/>
    <x v="8"/>
    <n v="5100"/>
    <n v="5100"/>
    <n v="0"/>
    <n v="0"/>
    <m/>
  </r>
  <r>
    <x v="2"/>
    <x v="0"/>
    <x v="11"/>
    <n v="3946"/>
    <n v="0"/>
    <s v="Violet"/>
    <n v="1"/>
    <x v="9"/>
    <n v="14265"/>
    <n v="14265"/>
    <n v="0"/>
    <n v="0"/>
    <m/>
  </r>
  <r>
    <x v="2"/>
    <x v="0"/>
    <x v="11"/>
    <n v="4023"/>
    <n v="0"/>
    <s v="Violet"/>
    <n v="1"/>
    <x v="8"/>
    <n v="15300"/>
    <n v="15300"/>
    <n v="0"/>
    <n v="0"/>
    <m/>
  </r>
  <r>
    <x v="2"/>
    <x v="0"/>
    <x v="11"/>
    <n v="4021"/>
    <n v="0"/>
    <s v="MystScroll"/>
    <n v="1"/>
    <x v="2"/>
    <n v="0"/>
    <n v="120000"/>
    <n v="0"/>
    <n v="0"/>
    <m/>
  </r>
  <r>
    <x v="14"/>
    <x v="0"/>
    <x v="10"/>
    <n v="3980"/>
    <n v="0"/>
    <s v="Violet"/>
    <n v="1"/>
    <x v="8"/>
    <n v="8160"/>
    <n v="8160"/>
    <n v="0"/>
    <n v="0"/>
    <m/>
  </r>
  <r>
    <x v="14"/>
    <x v="0"/>
    <x v="10"/>
    <n v="4393"/>
    <n v="0"/>
    <s v="Blue"/>
    <n v="1"/>
    <x v="8"/>
    <n v="10200"/>
    <n v="10200"/>
    <n v="0"/>
    <n v="0"/>
    <m/>
  </r>
  <r>
    <x v="14"/>
    <x v="0"/>
    <x v="10"/>
    <n v="4309"/>
    <n v="1"/>
    <s v="Blue"/>
    <n v="1"/>
    <x v="8"/>
    <n v="7650"/>
    <n v="7650"/>
    <n v="0"/>
    <n v="0"/>
    <m/>
  </r>
  <r>
    <x v="14"/>
    <x v="0"/>
    <x v="10"/>
    <n v="4290"/>
    <n v="1"/>
    <s v="Scroll"/>
    <n v="5"/>
    <x v="2"/>
    <n v="0"/>
    <n v="10000"/>
    <n v="0"/>
    <n v="4000"/>
    <m/>
  </r>
  <r>
    <x v="2"/>
    <x v="0"/>
    <x v="11"/>
    <n v="4144"/>
    <n v="1"/>
    <s v="Blue"/>
    <n v="1"/>
    <x v="8"/>
    <n v="5057"/>
    <n v="5057"/>
    <n v="0"/>
    <n v="0"/>
    <m/>
  </r>
  <r>
    <x v="2"/>
    <x v="0"/>
    <x v="11"/>
    <n v="4074"/>
    <n v="0"/>
    <s v="Scroll"/>
    <n v="4"/>
    <x v="2"/>
    <n v="0"/>
    <n v="8000"/>
    <n v="0"/>
    <n v="3200"/>
    <m/>
  </r>
  <r>
    <x v="2"/>
    <x v="0"/>
    <x v="11"/>
    <n v="4032"/>
    <n v="0"/>
    <s v="Scroll"/>
    <n v="4"/>
    <x v="2"/>
    <n v="0"/>
    <n v="8000"/>
    <n v="0"/>
    <n v="3200"/>
    <m/>
  </r>
  <r>
    <x v="2"/>
    <x v="0"/>
    <x v="11"/>
    <n v="4157"/>
    <n v="3"/>
    <s v="Blue"/>
    <n v="1"/>
    <x v="8"/>
    <n v="5652"/>
    <n v="5652"/>
    <n v="0"/>
    <n v="0"/>
    <m/>
  </r>
  <r>
    <x v="2"/>
    <x v="0"/>
    <x v="11"/>
    <n v="4353"/>
    <n v="1"/>
    <s v="Rainb"/>
    <n v="1"/>
    <x v="1"/>
    <n v="0"/>
    <n v="0"/>
    <n v="11500"/>
    <n v="35822"/>
    <m/>
  </r>
  <r>
    <x v="2"/>
    <x v="0"/>
    <x v="11"/>
    <n v="4047"/>
    <n v="1"/>
    <s v="Blue"/>
    <n v="1"/>
    <x v="8"/>
    <n v="5100"/>
    <n v="5100"/>
    <n v="0"/>
    <n v="0"/>
    <m/>
  </r>
  <r>
    <x v="2"/>
    <x v="0"/>
    <x v="11"/>
    <n v="3847"/>
    <n v="0"/>
    <s v="Blue"/>
    <n v="1"/>
    <x v="7"/>
    <n v="5880"/>
    <n v="5880"/>
    <n v="0"/>
    <n v="0"/>
    <m/>
  </r>
  <r>
    <x v="2"/>
    <x v="0"/>
    <x v="11"/>
    <n v="3857"/>
    <n v="2"/>
    <s v="Blue"/>
    <n v="1"/>
    <x v="8"/>
    <n v="5100"/>
    <n v="5100"/>
    <n v="0"/>
    <n v="0"/>
    <m/>
  </r>
  <r>
    <x v="2"/>
    <x v="0"/>
    <x v="11"/>
    <n v="3902"/>
    <n v="0"/>
    <s v="Blue"/>
    <n v="1"/>
    <x v="7"/>
    <n v="2756"/>
    <n v="2756"/>
    <n v="0"/>
    <n v="0"/>
    <m/>
  </r>
  <r>
    <x v="2"/>
    <x v="0"/>
    <x v="11"/>
    <n v="3922"/>
    <n v="3"/>
    <s v="Blue"/>
    <n v="1"/>
    <x v="8"/>
    <n v="7267"/>
    <n v="7267"/>
    <n v="0"/>
    <n v="0"/>
    <m/>
  </r>
  <r>
    <x v="2"/>
    <x v="0"/>
    <x v="11"/>
    <n v="3822"/>
    <n v="0"/>
    <s v="Blue"/>
    <n v="1"/>
    <x v="8"/>
    <n v="5355"/>
    <n v="5355"/>
    <n v="0"/>
    <n v="0"/>
    <m/>
  </r>
  <r>
    <x v="2"/>
    <x v="0"/>
    <x v="11"/>
    <n v="4255"/>
    <n v="3"/>
    <s v="Blue"/>
    <n v="1"/>
    <x v="8"/>
    <n v="4760"/>
    <n v="4760"/>
    <n v="0"/>
    <n v="0"/>
    <m/>
  </r>
  <r>
    <x v="2"/>
    <x v="0"/>
    <x v="11"/>
    <n v="4271"/>
    <n v="0"/>
    <s v="Blue"/>
    <n v="1"/>
    <x v="7"/>
    <n v="2894"/>
    <n v="2894"/>
    <n v="0"/>
    <n v="0"/>
    <m/>
  </r>
  <r>
    <x v="2"/>
    <x v="0"/>
    <x v="11"/>
    <n v="4220"/>
    <n v="0"/>
    <s v="Blue"/>
    <n v="1"/>
    <x v="7"/>
    <n v="2756"/>
    <n v="2756"/>
    <n v="0"/>
    <n v="0"/>
    <m/>
  </r>
  <r>
    <x v="2"/>
    <x v="0"/>
    <x v="11"/>
    <n v="4125"/>
    <n v="3"/>
    <s v="Blue"/>
    <n v="1"/>
    <x v="7"/>
    <n v="2480"/>
    <n v="2480"/>
    <n v="0"/>
    <n v="0"/>
    <m/>
  </r>
  <r>
    <x v="2"/>
    <x v="0"/>
    <x v="11"/>
    <n v="3847"/>
    <n v="0"/>
    <s v="Rainb"/>
    <n v="1"/>
    <x v="1"/>
    <n v="0"/>
    <n v="0"/>
    <n v="11500"/>
    <n v="35822"/>
    <m/>
  </r>
  <r>
    <x v="2"/>
    <x v="0"/>
    <x v="11"/>
    <n v="4181"/>
    <n v="1"/>
    <s v="Blue"/>
    <n v="1"/>
    <x v="8"/>
    <n v="5440"/>
    <n v="5440"/>
    <n v="0"/>
    <n v="0"/>
    <m/>
  </r>
  <r>
    <x v="2"/>
    <x v="0"/>
    <x v="11"/>
    <n v="3847"/>
    <n v="0"/>
    <s v="Scroll"/>
    <n v="4"/>
    <x v="2"/>
    <n v="0"/>
    <n v="8000"/>
    <n v="0"/>
    <n v="3200"/>
    <m/>
  </r>
  <r>
    <x v="2"/>
    <x v="0"/>
    <x v="11"/>
    <n v="4162"/>
    <n v="2"/>
    <s v="Blue"/>
    <n v="1"/>
    <x v="8"/>
    <n v="4335"/>
    <n v="4335"/>
    <n v="0"/>
    <n v="0"/>
    <m/>
  </r>
  <r>
    <x v="2"/>
    <x v="0"/>
    <x v="11"/>
    <n v="3389"/>
    <n v="0"/>
    <s v="Violet"/>
    <n v="1"/>
    <x v="8"/>
    <n v="6075"/>
    <n v="6075"/>
    <n v="0"/>
    <n v="0"/>
    <m/>
  </r>
  <r>
    <x v="2"/>
    <x v="0"/>
    <x v="11"/>
    <n v="3666"/>
    <n v="1"/>
    <s v="Blue"/>
    <n v="1"/>
    <x v="7"/>
    <n v="2756"/>
    <n v="2756"/>
    <n v="0"/>
    <n v="0"/>
    <m/>
  </r>
  <r>
    <x v="2"/>
    <x v="0"/>
    <x v="11"/>
    <n v="3605"/>
    <n v="1"/>
    <s v="Violet"/>
    <n v="1"/>
    <x v="8"/>
    <n v="5737"/>
    <n v="5737"/>
    <n v="0"/>
    <n v="0"/>
    <m/>
  </r>
  <r>
    <x v="2"/>
    <x v="0"/>
    <x v="11"/>
    <n v="3793"/>
    <n v="2"/>
    <s v="Scroll"/>
    <n v="4"/>
    <x v="2"/>
    <n v="0"/>
    <n v="8000"/>
    <n v="0"/>
    <n v="3200"/>
    <m/>
  </r>
  <r>
    <x v="2"/>
    <x v="0"/>
    <x v="11"/>
    <n v="4423"/>
    <n v="0"/>
    <s v="Blue"/>
    <n v="1"/>
    <x v="8"/>
    <n v="8075"/>
    <n v="8075"/>
    <n v="0"/>
    <n v="0"/>
    <m/>
  </r>
  <r>
    <x v="2"/>
    <x v="0"/>
    <x v="11"/>
    <n v="4020"/>
    <n v="1"/>
    <s v="SumStone"/>
    <n v="3"/>
    <x v="5"/>
    <n v="0"/>
    <n v="0"/>
    <n v="2587.5"/>
    <n v="2686.6499999999996"/>
    <m/>
  </r>
  <r>
    <x v="2"/>
    <x v="0"/>
    <x v="11"/>
    <n v="3900"/>
    <n v="1"/>
    <s v="Violet"/>
    <n v="1"/>
    <x v="7"/>
    <n v="3307"/>
    <n v="3307"/>
    <n v="0"/>
    <n v="0"/>
    <m/>
  </r>
  <r>
    <x v="2"/>
    <x v="0"/>
    <x v="11"/>
    <n v="4316"/>
    <n v="1"/>
    <s v="Blue"/>
    <n v="1"/>
    <x v="8"/>
    <n v="14535"/>
    <n v="14535"/>
    <n v="0"/>
    <n v="0"/>
    <m/>
  </r>
  <r>
    <x v="2"/>
    <x v="0"/>
    <x v="11"/>
    <n v="3854"/>
    <n v="0"/>
    <s v="Blue"/>
    <n v="1"/>
    <x v="7"/>
    <n v="2940"/>
    <n v="2940"/>
    <n v="0"/>
    <n v="0"/>
    <m/>
  </r>
  <r>
    <x v="2"/>
    <x v="0"/>
    <x v="11"/>
    <n v="4559"/>
    <n v="1"/>
    <s v="Blue"/>
    <n v="1"/>
    <x v="8"/>
    <n v="6120"/>
    <n v="6120"/>
    <n v="0"/>
    <n v="0"/>
    <m/>
  </r>
  <r>
    <x v="2"/>
    <x v="0"/>
    <x v="11"/>
    <n v="4127"/>
    <n v="1"/>
    <s v="Blue"/>
    <n v="1"/>
    <x v="7"/>
    <n v="5512"/>
    <n v="5512"/>
    <n v="0"/>
    <n v="0"/>
    <m/>
  </r>
  <r>
    <x v="2"/>
    <x v="0"/>
    <x v="11"/>
    <n v="4449"/>
    <n v="1"/>
    <s v="Scroll"/>
    <n v="5"/>
    <x v="2"/>
    <n v="0"/>
    <n v="10000"/>
    <n v="0"/>
    <n v="4000"/>
    <m/>
  </r>
  <r>
    <x v="2"/>
    <x v="0"/>
    <x v="11"/>
    <n v="4660"/>
    <n v="3"/>
    <s v="Blue"/>
    <n v="1"/>
    <x v="8"/>
    <n v="6120"/>
    <n v="6120"/>
    <n v="0"/>
    <n v="0"/>
    <m/>
  </r>
  <r>
    <x v="2"/>
    <x v="0"/>
    <x v="11"/>
    <n v="4104"/>
    <n v="1"/>
    <s v="Rainb"/>
    <n v="1"/>
    <x v="5"/>
    <n v="0"/>
    <n v="0"/>
    <n v="34500"/>
    <n v="118004"/>
    <m/>
  </r>
  <r>
    <x v="2"/>
    <x v="0"/>
    <x v="11"/>
    <n v="4042"/>
    <n v="1"/>
    <s v="Blue"/>
    <n v="1"/>
    <x v="7"/>
    <n v="6615"/>
    <n v="6615"/>
    <n v="0"/>
    <n v="0"/>
    <m/>
  </r>
  <r>
    <x v="2"/>
    <x v="0"/>
    <x v="11"/>
    <n v="3926"/>
    <n v="2"/>
    <s v="Blue"/>
    <n v="1"/>
    <x v="8"/>
    <n v="6502"/>
    <n v="6502"/>
    <n v="0"/>
    <n v="0"/>
    <m/>
  </r>
  <r>
    <x v="2"/>
    <x v="0"/>
    <x v="11"/>
    <n v="3945"/>
    <n v="2"/>
    <s v="Scroll"/>
    <n v="4"/>
    <x v="2"/>
    <n v="0"/>
    <n v="8000"/>
    <n v="0"/>
    <n v="3200"/>
    <m/>
  </r>
  <r>
    <x v="2"/>
    <x v="0"/>
    <x v="11"/>
    <n v="4195"/>
    <n v="3"/>
    <s v="SumStone"/>
    <n v="3"/>
    <x v="5"/>
    <n v="0"/>
    <n v="0"/>
    <n v="2587.5"/>
    <n v="2686.6499999999996"/>
    <m/>
  </r>
  <r>
    <x v="2"/>
    <x v="0"/>
    <x v="11"/>
    <n v="4313"/>
    <n v="3"/>
    <s v="Violet"/>
    <n v="1"/>
    <x v="7"/>
    <n v="4961"/>
    <n v="4961"/>
    <n v="0"/>
    <n v="0"/>
    <m/>
  </r>
  <r>
    <x v="2"/>
    <x v="0"/>
    <x v="11"/>
    <n v="3617"/>
    <n v="1"/>
    <s v="Blue"/>
    <n v="1"/>
    <x v="8"/>
    <n v="13770"/>
    <n v="13770"/>
    <n v="0"/>
    <n v="0"/>
    <m/>
  </r>
  <r>
    <x v="14"/>
    <x v="0"/>
    <x v="6"/>
    <n v="3713"/>
    <n v="1"/>
    <s v="Blue"/>
    <n v="1"/>
    <x v="7"/>
    <n v="7350"/>
    <n v="7350"/>
    <n v="0"/>
    <n v="0"/>
    <m/>
  </r>
  <r>
    <x v="14"/>
    <x v="0"/>
    <x v="6"/>
    <n v="3997"/>
    <n v="1"/>
    <s v="Blue"/>
    <n v="1"/>
    <x v="7"/>
    <n v="3445"/>
    <n v="3445"/>
    <n v="0"/>
    <n v="0"/>
    <m/>
  </r>
  <r>
    <x v="14"/>
    <x v="0"/>
    <x v="6"/>
    <n v="3898"/>
    <n v="0"/>
    <s v="Blue"/>
    <n v="1"/>
    <x v="7"/>
    <n v="3491"/>
    <n v="3491"/>
    <n v="0"/>
    <n v="0"/>
    <m/>
  </r>
  <r>
    <x v="14"/>
    <x v="0"/>
    <x v="7"/>
    <n v="3967"/>
    <n v="1"/>
    <s v="Scroll"/>
    <n v="4"/>
    <x v="2"/>
    <n v="0"/>
    <n v="8000"/>
    <n v="0"/>
    <n v="3200"/>
    <m/>
  </r>
  <r>
    <x v="14"/>
    <x v="0"/>
    <x v="7"/>
    <n v="3757"/>
    <n v="0"/>
    <s v="Blue"/>
    <n v="1"/>
    <x v="7"/>
    <n v="2940"/>
    <n v="2940"/>
    <n v="0"/>
    <n v="0"/>
    <m/>
  </r>
  <r>
    <x v="14"/>
    <x v="0"/>
    <x v="7"/>
    <n v="3610"/>
    <n v="2"/>
    <s v="Scroll"/>
    <n v="5"/>
    <x v="2"/>
    <m/>
    <n v="10000"/>
    <n v="0"/>
    <n v="4000"/>
    <m/>
  </r>
  <r>
    <x v="14"/>
    <x v="0"/>
    <x v="7"/>
    <n v="4254"/>
    <n v="0"/>
    <s v="Rainb"/>
    <n v="1"/>
    <x v="1"/>
    <n v="0"/>
    <n v="0"/>
    <n v="11500"/>
    <n v="35822"/>
    <m/>
  </r>
  <r>
    <x v="14"/>
    <x v="0"/>
    <x v="7"/>
    <n v="3927"/>
    <n v="1"/>
    <s v="Orange"/>
    <n v="1"/>
    <x v="8"/>
    <n v="16150"/>
    <n v="16150"/>
    <n v="0"/>
    <n v="0"/>
    <m/>
  </r>
  <r>
    <x v="14"/>
    <x v="0"/>
    <x v="7"/>
    <n v="3878"/>
    <n v="0"/>
    <s v="Blue"/>
    <n v="1"/>
    <x v="8"/>
    <n v="7225"/>
    <n v="7225"/>
    <n v="0"/>
    <n v="0"/>
    <m/>
  </r>
  <r>
    <x v="14"/>
    <x v="0"/>
    <x v="7"/>
    <n v="3941"/>
    <n v="0"/>
    <s v="Scroll"/>
    <n v="5"/>
    <x v="2"/>
    <n v="0"/>
    <n v="10000"/>
    <n v="0"/>
    <n v="4000"/>
    <m/>
  </r>
  <r>
    <x v="14"/>
    <x v="0"/>
    <x v="7"/>
    <n v="4409"/>
    <n v="0"/>
    <s v="Blue"/>
    <n v="1"/>
    <x v="7"/>
    <n v="4364"/>
    <n v="4364"/>
    <n v="0"/>
    <n v="0"/>
    <m/>
  </r>
  <r>
    <x v="14"/>
    <x v="0"/>
    <x v="7"/>
    <n v="4062"/>
    <n v="4"/>
    <s v="Scroll"/>
    <n v="5"/>
    <x v="2"/>
    <n v="0"/>
    <n v="10000"/>
    <n v="0"/>
    <n v="4000"/>
    <m/>
  </r>
  <r>
    <x v="14"/>
    <x v="0"/>
    <x v="7"/>
    <n v="3764"/>
    <n v="0"/>
    <s v="Blue"/>
    <n v="1"/>
    <x v="8"/>
    <n v="12920"/>
    <n v="12920"/>
    <n v="0"/>
    <n v="0"/>
    <m/>
  </r>
  <r>
    <x v="14"/>
    <x v="0"/>
    <x v="7"/>
    <n v="3972"/>
    <n v="3"/>
    <s v="Blue"/>
    <n v="1"/>
    <x v="8"/>
    <n v="12920"/>
    <n v="12920"/>
    <n v="0"/>
    <n v="0"/>
    <m/>
  </r>
  <r>
    <x v="14"/>
    <x v="0"/>
    <x v="7"/>
    <n v="3793"/>
    <n v="1"/>
    <s v="Blue"/>
    <n v="1"/>
    <x v="7"/>
    <n v="6615"/>
    <n v="6615"/>
    <n v="0"/>
    <n v="0"/>
    <m/>
  </r>
  <r>
    <x v="14"/>
    <x v="0"/>
    <x v="7"/>
    <n v="3869"/>
    <n v="0"/>
    <s v="Scroll"/>
    <n v="4"/>
    <x v="2"/>
    <n v="0"/>
    <n v="8000"/>
    <n v="0"/>
    <n v="3200"/>
    <m/>
  </r>
  <r>
    <x v="14"/>
    <x v="0"/>
    <x v="7"/>
    <n v="3629"/>
    <n v="0"/>
    <s v="Violet"/>
    <n v="1"/>
    <x v="7"/>
    <n v="4134"/>
    <n v="4134"/>
    <n v="0"/>
    <n v="0"/>
    <m/>
  </r>
  <r>
    <x v="2"/>
    <x v="0"/>
    <x v="11"/>
    <n v="4330"/>
    <n v="2"/>
    <s v="Blue"/>
    <n v="1"/>
    <x v="8"/>
    <n v="8500"/>
    <n v="8500"/>
    <n v="0"/>
    <n v="0"/>
    <m/>
  </r>
  <r>
    <x v="2"/>
    <x v="0"/>
    <x v="11"/>
    <n v="3405"/>
    <n v="2"/>
    <s v="Blue"/>
    <n v="1"/>
    <x v="7"/>
    <n v="4134"/>
    <n v="4134"/>
    <n v="0"/>
    <n v="0"/>
    <m/>
  </r>
  <r>
    <x v="2"/>
    <x v="0"/>
    <x v="11"/>
    <n v="4212"/>
    <n v="0"/>
    <s v="Orange"/>
    <n v="1"/>
    <x v="7"/>
    <n v="12154"/>
    <n v="12154"/>
    <n v="0"/>
    <n v="0"/>
    <m/>
  </r>
  <r>
    <x v="2"/>
    <x v="0"/>
    <x v="11"/>
    <n v="3954"/>
    <n v="1"/>
    <s v="Blue"/>
    <n v="1"/>
    <x v="8"/>
    <n v="8524"/>
    <n v="8524"/>
    <n v="0"/>
    <n v="0"/>
    <m/>
  </r>
  <r>
    <x v="2"/>
    <x v="0"/>
    <x v="11"/>
    <n v="4287"/>
    <n v="0"/>
    <s v="Violet"/>
    <n v="1"/>
    <x v="7"/>
    <n v="5512"/>
    <n v="5512"/>
    <n v="0"/>
    <n v="0"/>
    <m/>
  </r>
  <r>
    <x v="2"/>
    <x v="0"/>
    <x v="11"/>
    <n v="4017"/>
    <n v="0"/>
    <s v="Violet"/>
    <n v="1"/>
    <x v="8"/>
    <n v="8160"/>
    <n v="8160"/>
    <n v="0"/>
    <n v="0"/>
    <m/>
  </r>
  <r>
    <x v="14"/>
    <x v="0"/>
    <x v="7"/>
    <n v="3963"/>
    <n v="4"/>
    <s v="Blue"/>
    <n v="1"/>
    <x v="8"/>
    <n v="6375"/>
    <n v="6375"/>
    <n v="0"/>
    <n v="0"/>
    <m/>
  </r>
  <r>
    <x v="14"/>
    <x v="0"/>
    <x v="7"/>
    <n v="3833"/>
    <n v="0"/>
    <s v="Scroll"/>
    <n v="4"/>
    <x v="2"/>
    <n v="0"/>
    <n v="8000"/>
    <n v="0"/>
    <n v="3200"/>
    <m/>
  </r>
  <r>
    <x v="14"/>
    <x v="0"/>
    <x v="7"/>
    <n v="3798"/>
    <n v="0"/>
    <s v="Blue"/>
    <n v="1"/>
    <x v="7"/>
    <n v="4134"/>
    <n v="4134"/>
    <n v="0"/>
    <n v="0"/>
    <m/>
  </r>
  <r>
    <x v="14"/>
    <x v="0"/>
    <x v="7"/>
    <n v="3703"/>
    <n v="0"/>
    <s v="Blue"/>
    <n v="1"/>
    <x v="7"/>
    <n v="3123"/>
    <n v="3123"/>
    <n v="0"/>
    <n v="0"/>
    <m/>
  </r>
  <r>
    <x v="2"/>
    <x v="0"/>
    <x v="11"/>
    <n v="4015"/>
    <n v="3"/>
    <s v="Scroll"/>
    <n v="5"/>
    <x v="2"/>
    <n v="0"/>
    <n v="10000"/>
    <n v="0"/>
    <n v="4000"/>
    <m/>
  </r>
  <r>
    <x v="2"/>
    <x v="0"/>
    <x v="11"/>
    <n v="3736"/>
    <n v="0"/>
    <s v="Blue"/>
    <n v="1"/>
    <x v="8"/>
    <n v="5100"/>
    <n v="5100"/>
    <n v="0"/>
    <n v="0"/>
    <m/>
  </r>
  <r>
    <x v="2"/>
    <x v="0"/>
    <x v="11"/>
    <n v="3629"/>
    <n v="0"/>
    <s v="Violet"/>
    <n v="1"/>
    <x v="8"/>
    <n v="8160"/>
    <n v="8160"/>
    <n v="0"/>
    <n v="0"/>
    <m/>
  </r>
  <r>
    <x v="2"/>
    <x v="0"/>
    <x v="11"/>
    <n v="4069"/>
    <n v="0"/>
    <s v="Blue"/>
    <n v="1"/>
    <x v="8"/>
    <n v="8500"/>
    <n v="8500"/>
    <n v="0"/>
    <n v="0"/>
    <m/>
  </r>
  <r>
    <x v="2"/>
    <x v="0"/>
    <x v="11"/>
    <n v="3900"/>
    <n v="1"/>
    <s v="Blue"/>
    <n v="1"/>
    <x v="7"/>
    <n v="2411"/>
    <n v="2411"/>
    <n v="0"/>
    <n v="0"/>
    <m/>
  </r>
  <r>
    <x v="2"/>
    <x v="0"/>
    <x v="11"/>
    <n v="3744"/>
    <n v="0"/>
    <s v="Blue"/>
    <n v="1"/>
    <x v="7"/>
    <n v="3215"/>
    <n v="3215"/>
    <n v="0"/>
    <n v="0"/>
    <m/>
  </r>
  <r>
    <x v="2"/>
    <x v="0"/>
    <x v="11"/>
    <n v="4648"/>
    <n v="1"/>
    <s v="Rainb"/>
    <n v="1"/>
    <x v="1"/>
    <n v="0"/>
    <n v="0"/>
    <n v="11500"/>
    <n v="35822"/>
    <m/>
  </r>
  <r>
    <x v="2"/>
    <x v="0"/>
    <x v="11"/>
    <n v="4164"/>
    <n v="0"/>
    <s v="Scroll"/>
    <n v="5"/>
    <x v="2"/>
    <n v="0"/>
    <n v="10000"/>
    <n v="0"/>
    <n v="4000"/>
    <m/>
  </r>
  <r>
    <x v="2"/>
    <x v="0"/>
    <x v="11"/>
    <n v="3725"/>
    <n v="0"/>
    <s v="Blue"/>
    <n v="1"/>
    <x v="9"/>
    <n v="8876"/>
    <n v="8876"/>
    <n v="0"/>
    <n v="0"/>
    <m/>
  </r>
  <r>
    <x v="2"/>
    <x v="0"/>
    <x v="11"/>
    <n v="4116"/>
    <n v="1"/>
    <s v="Blue"/>
    <n v="1"/>
    <x v="7"/>
    <n v="2940"/>
    <n v="2940"/>
    <n v="0"/>
    <n v="0"/>
    <m/>
  </r>
  <r>
    <x v="2"/>
    <x v="0"/>
    <x v="11"/>
    <n v="3438"/>
    <n v="0"/>
    <s v="Blue"/>
    <n v="1"/>
    <x v="8"/>
    <n v="3825"/>
    <n v="3825"/>
    <n v="0"/>
    <n v="0"/>
    <m/>
  </r>
  <r>
    <x v="2"/>
    <x v="0"/>
    <x v="11"/>
    <n v="4013"/>
    <n v="0"/>
    <s v="Blue"/>
    <n v="1"/>
    <x v="9"/>
    <n v="8321"/>
    <n v="8321"/>
    <n v="0"/>
    <n v="0"/>
    <m/>
  </r>
  <r>
    <x v="2"/>
    <x v="0"/>
    <x v="11"/>
    <n v="4287"/>
    <n v="1"/>
    <s v="Orange"/>
    <n v="1"/>
    <x v="7"/>
    <n v="5971"/>
    <n v="5971"/>
    <n v="0"/>
    <n v="0"/>
    <m/>
  </r>
  <r>
    <x v="2"/>
    <x v="0"/>
    <x v="11"/>
    <n v="3423"/>
    <n v="0"/>
    <s v="Blue"/>
    <n v="1"/>
    <x v="8"/>
    <n v="6502"/>
    <n v="6502"/>
    <n v="0"/>
    <n v="0"/>
    <m/>
  </r>
  <r>
    <x v="2"/>
    <x v="0"/>
    <x v="11"/>
    <n v="3869"/>
    <n v="0"/>
    <s v="Blue"/>
    <n v="1"/>
    <x v="8"/>
    <n v="10880"/>
    <n v="10880"/>
    <n v="0"/>
    <n v="0"/>
    <m/>
  </r>
  <r>
    <x v="2"/>
    <x v="0"/>
    <x v="11"/>
    <n v="4067"/>
    <n v="1"/>
    <s v="Violet"/>
    <n v="1"/>
    <x v="8"/>
    <n v="7267"/>
    <n v="7267"/>
    <n v="0"/>
    <n v="0"/>
    <m/>
  </r>
  <r>
    <x v="2"/>
    <x v="0"/>
    <x v="11"/>
    <n v="4317"/>
    <n v="1"/>
    <s v="Blue"/>
    <n v="1"/>
    <x v="7"/>
    <n v="2067"/>
    <n v="2067"/>
    <n v="0"/>
    <n v="0"/>
    <m/>
  </r>
  <r>
    <x v="2"/>
    <x v="0"/>
    <x v="11"/>
    <n v="3502"/>
    <n v="1"/>
    <s v="Blue"/>
    <n v="1"/>
    <x v="7"/>
    <n v="2411"/>
    <n v="2411"/>
    <n v="0"/>
    <n v="0"/>
    <m/>
  </r>
  <r>
    <x v="2"/>
    <x v="0"/>
    <x v="11"/>
    <n v="4182"/>
    <n v="0"/>
    <s v="Scroll"/>
    <n v="4"/>
    <x v="2"/>
    <n v="0"/>
    <n v="8000"/>
    <n v="0"/>
    <n v="3200"/>
    <m/>
  </r>
  <r>
    <x v="2"/>
    <x v="0"/>
    <x v="11"/>
    <n v="3429"/>
    <n v="0"/>
    <s v="Blue"/>
    <n v="1"/>
    <x v="8"/>
    <n v="10880"/>
    <n v="10880"/>
    <n v="0"/>
    <n v="0"/>
    <m/>
  </r>
  <r>
    <x v="2"/>
    <x v="0"/>
    <x v="11"/>
    <n v="4311"/>
    <n v="1"/>
    <s v="Blue"/>
    <n v="1"/>
    <x v="8"/>
    <n v="8075"/>
    <n v="8075"/>
    <n v="0"/>
    <n v="0"/>
    <m/>
  </r>
  <r>
    <x v="2"/>
    <x v="0"/>
    <x v="11"/>
    <n v="3883"/>
    <n v="0"/>
    <s v="Violet"/>
    <n v="1"/>
    <x v="8"/>
    <n v="6885"/>
    <n v="6885"/>
    <n v="0"/>
    <n v="0"/>
    <m/>
  </r>
  <r>
    <x v="2"/>
    <x v="0"/>
    <x v="11"/>
    <n v="961"/>
    <n v="0"/>
    <n v="0"/>
    <n v="0"/>
    <x v="10"/>
    <n v="0"/>
    <n v="0"/>
    <n v="0"/>
    <n v="0"/>
    <s v="Y"/>
  </r>
  <r>
    <x v="2"/>
    <x v="0"/>
    <x v="11"/>
    <n v="4397"/>
    <n v="3"/>
    <s v="Blue"/>
    <n v="1"/>
    <x v="7"/>
    <n v="3514"/>
    <n v="3514"/>
    <n v="0"/>
    <n v="0"/>
    <m/>
  </r>
  <r>
    <x v="2"/>
    <x v="0"/>
    <x v="11"/>
    <n v="3818"/>
    <n v="2"/>
    <s v="Blue"/>
    <n v="1"/>
    <x v="7"/>
    <n v="3675"/>
    <n v="3675"/>
    <n v="0"/>
    <n v="0"/>
    <m/>
  </r>
  <r>
    <x v="2"/>
    <x v="0"/>
    <x v="11"/>
    <n v="4006"/>
    <n v="2"/>
    <s v="Blue"/>
    <n v="1"/>
    <x v="9"/>
    <n v="12680"/>
    <n v="12680"/>
    <n v="0"/>
    <n v="0"/>
    <m/>
  </r>
  <r>
    <x v="2"/>
    <x v="0"/>
    <x v="11"/>
    <n v="4249"/>
    <n v="2"/>
    <s v="Blue"/>
    <n v="1"/>
    <x v="8"/>
    <n v="6120"/>
    <n v="6120"/>
    <n v="0"/>
    <n v="0"/>
    <m/>
  </r>
  <r>
    <x v="2"/>
    <x v="0"/>
    <x v="11"/>
    <n v="3495"/>
    <n v="1"/>
    <s v="Blue"/>
    <n v="1"/>
    <x v="8"/>
    <n v="3825"/>
    <n v="3825"/>
    <n v="0"/>
    <n v="0"/>
    <m/>
  </r>
  <r>
    <x v="2"/>
    <x v="0"/>
    <x v="11"/>
    <n v="4286"/>
    <n v="1"/>
    <s v="Blue"/>
    <n v="1"/>
    <x v="8"/>
    <n v="4335"/>
    <n v="4335"/>
    <n v="0"/>
    <n v="0"/>
    <m/>
  </r>
  <r>
    <x v="2"/>
    <x v="0"/>
    <x v="11"/>
    <n v="4231"/>
    <n v="0"/>
    <s v="Blue"/>
    <n v="1"/>
    <x v="7"/>
    <n v="6892"/>
    <n v="6892"/>
    <n v="0"/>
    <n v="0"/>
    <m/>
  </r>
  <r>
    <x v="2"/>
    <x v="0"/>
    <x v="11"/>
    <n v="4019"/>
    <n v="0"/>
    <s v="Blue"/>
    <n v="1"/>
    <x v="7"/>
    <n v="2756"/>
    <n v="2756"/>
    <n v="0"/>
    <n v="0"/>
    <m/>
  </r>
  <r>
    <x v="2"/>
    <x v="0"/>
    <x v="11"/>
    <n v="4094"/>
    <n v="3"/>
    <s v="Scroll"/>
    <n v="5"/>
    <x v="2"/>
    <n v="0"/>
    <n v="10000"/>
    <n v="0"/>
    <n v="4000"/>
    <m/>
  </r>
  <r>
    <x v="2"/>
    <x v="0"/>
    <x v="11"/>
    <n v="4074"/>
    <n v="1"/>
    <s v="Violet"/>
    <n v="1"/>
    <x v="7"/>
    <n v="2940"/>
    <n v="2940"/>
    <n v="0"/>
    <n v="0"/>
    <m/>
  </r>
  <r>
    <x v="2"/>
    <x v="0"/>
    <x v="11"/>
    <n v="4218"/>
    <n v="2"/>
    <s v="Blue"/>
    <n v="1"/>
    <x v="9"/>
    <n v="22824"/>
    <n v="22824"/>
    <n v="0"/>
    <n v="0"/>
    <m/>
  </r>
  <r>
    <x v="2"/>
    <x v="0"/>
    <x v="11"/>
    <n v="3925"/>
    <n v="1"/>
    <s v="Violet"/>
    <n v="1"/>
    <x v="8"/>
    <n v="15300"/>
    <n v="15300"/>
    <n v="0"/>
    <n v="0"/>
    <m/>
  </r>
  <r>
    <x v="2"/>
    <x v="0"/>
    <x v="11"/>
    <n v="4086"/>
    <n v="4"/>
    <s v="Blue"/>
    <n v="1"/>
    <x v="8"/>
    <n v="5652"/>
    <n v="5652"/>
    <n v="0"/>
    <n v="0"/>
    <m/>
  </r>
  <r>
    <x v="2"/>
    <x v="0"/>
    <x v="11"/>
    <n v="4019"/>
    <n v="1"/>
    <s v="Blue"/>
    <n v="1"/>
    <x v="9"/>
    <n v="8510"/>
    <n v="8510"/>
    <n v="0"/>
    <n v="0"/>
    <m/>
  </r>
  <r>
    <x v="2"/>
    <x v="0"/>
    <x v="11"/>
    <n v="4281"/>
    <n v="2"/>
    <s v="Scroll"/>
    <n v="5"/>
    <x v="2"/>
    <n v="0"/>
    <n v="10000"/>
    <n v="0"/>
    <n v="4000"/>
    <m/>
  </r>
  <r>
    <x v="2"/>
    <x v="0"/>
    <x v="11"/>
    <n v="3978"/>
    <n v="1"/>
    <s v="Blue"/>
    <n v="1"/>
    <x v="8"/>
    <n v="5652"/>
    <n v="5652"/>
    <n v="0"/>
    <n v="0"/>
    <m/>
  </r>
  <r>
    <x v="2"/>
    <x v="0"/>
    <x v="11"/>
    <n v="4032"/>
    <n v="2"/>
    <s v="Blue"/>
    <n v="1"/>
    <x v="8"/>
    <n v="6120"/>
    <n v="6120"/>
    <n v="0"/>
    <n v="0"/>
    <m/>
  </r>
  <r>
    <x v="2"/>
    <x v="0"/>
    <x v="11"/>
    <n v="3957"/>
    <n v="0"/>
    <s v="Violet"/>
    <n v="1"/>
    <x v="8"/>
    <n v="6120"/>
    <n v="6120"/>
    <n v="0"/>
    <n v="0"/>
    <m/>
  </r>
  <r>
    <x v="2"/>
    <x v="0"/>
    <x v="11"/>
    <n v="3863"/>
    <n v="1"/>
    <s v="Orange"/>
    <n v="1"/>
    <x v="8"/>
    <n v="10200"/>
    <n v="10200"/>
    <n v="0"/>
    <n v="0"/>
    <m/>
  </r>
  <r>
    <x v="2"/>
    <x v="0"/>
    <x v="11"/>
    <n v="3842"/>
    <n v="0"/>
    <s v="Blue"/>
    <n v="1"/>
    <x v="8"/>
    <n v="5737"/>
    <n v="5737"/>
    <n v="0"/>
    <n v="0"/>
    <m/>
  </r>
  <r>
    <x v="2"/>
    <x v="0"/>
    <x v="11"/>
    <n v="4207"/>
    <n v="3"/>
    <s v="Violet"/>
    <n v="1"/>
    <x v="9"/>
    <n v="27103"/>
    <n v="27103"/>
    <n v="0"/>
    <n v="0"/>
    <m/>
  </r>
  <r>
    <x v="2"/>
    <x v="0"/>
    <x v="11"/>
    <n v="3865"/>
    <n v="0"/>
    <s v="Violet"/>
    <n v="1"/>
    <x v="7"/>
    <n v="4295"/>
    <n v="4295"/>
    <n v="0"/>
    <n v="0"/>
    <m/>
  </r>
  <r>
    <x v="2"/>
    <x v="0"/>
    <x v="11"/>
    <n v="4382"/>
    <n v="2"/>
    <s v="Blue"/>
    <n v="1"/>
    <x v="8"/>
    <n v="3825"/>
    <n v="3825"/>
    <n v="0"/>
    <n v="0"/>
    <m/>
  </r>
  <r>
    <x v="2"/>
    <x v="0"/>
    <x v="11"/>
    <n v="4218"/>
    <n v="2"/>
    <s v="Violet"/>
    <n v="1"/>
    <x v="8"/>
    <n v="3507"/>
    <n v="3507"/>
    <n v="0"/>
    <n v="0"/>
    <m/>
  </r>
  <r>
    <x v="2"/>
    <x v="0"/>
    <x v="11"/>
    <n v="3737"/>
    <n v="1"/>
    <s v="Scroll"/>
    <n v="5"/>
    <x v="2"/>
    <n v="0"/>
    <n v="10000"/>
    <n v="0"/>
    <n v="4000"/>
    <m/>
  </r>
  <r>
    <x v="2"/>
    <x v="0"/>
    <x v="11"/>
    <n v="3979"/>
    <n v="2"/>
    <s v="Violet"/>
    <n v="1"/>
    <x v="7"/>
    <n v="4547"/>
    <n v="4547"/>
    <n v="0"/>
    <n v="0"/>
    <m/>
  </r>
  <r>
    <x v="2"/>
    <x v="0"/>
    <x v="11"/>
    <n v="3965"/>
    <n v="0"/>
    <s v="Blue"/>
    <n v="1"/>
    <x v="7"/>
    <n v="2573"/>
    <n v="2573"/>
    <n v="0"/>
    <n v="0"/>
    <m/>
  </r>
  <r>
    <x v="2"/>
    <x v="0"/>
    <x v="11"/>
    <n v="3790"/>
    <n v="1"/>
    <s v="Scroll"/>
    <n v="4"/>
    <x v="2"/>
    <n v="0"/>
    <n v="8000"/>
    <n v="0"/>
    <n v="3200"/>
    <m/>
  </r>
  <r>
    <x v="2"/>
    <x v="0"/>
    <x v="11"/>
    <n v="4142"/>
    <n v="1"/>
    <s v="Blue"/>
    <n v="1"/>
    <x v="7"/>
    <n v="2411"/>
    <n v="2411"/>
    <n v="0"/>
    <n v="0"/>
    <m/>
  </r>
  <r>
    <x v="2"/>
    <x v="0"/>
    <x v="11"/>
    <n v="3754"/>
    <n v="0"/>
    <s v="Rainb"/>
    <n v="1"/>
    <x v="1"/>
    <n v="0"/>
    <n v="0"/>
    <n v="11500"/>
    <n v="35822"/>
    <m/>
  </r>
  <r>
    <x v="2"/>
    <x v="0"/>
    <x v="11"/>
    <n v="4313"/>
    <n v="1"/>
    <s v="Blue"/>
    <n v="1"/>
    <x v="8"/>
    <n v="11560"/>
    <n v="11560"/>
    <n v="0"/>
    <n v="0"/>
    <m/>
  </r>
  <r>
    <x v="14"/>
    <x v="0"/>
    <x v="11"/>
    <n v="4211"/>
    <n v="0"/>
    <s v="Orange"/>
    <n v="1"/>
    <x v="8"/>
    <n v="10880"/>
    <n v="10880"/>
    <n v="0"/>
    <n v="0"/>
    <m/>
  </r>
  <r>
    <x v="14"/>
    <x v="0"/>
    <x v="11"/>
    <n v="4311"/>
    <n v="0"/>
    <s v="Scroll"/>
    <n v="5"/>
    <x v="2"/>
    <n v="0"/>
    <n v="10000"/>
    <n v="0"/>
    <n v="4000"/>
    <m/>
  </r>
  <r>
    <x v="14"/>
    <x v="0"/>
    <x v="11"/>
    <n v="4245"/>
    <n v="0"/>
    <s v="Scroll"/>
    <n v="4"/>
    <x v="2"/>
    <n v="0"/>
    <n v="8000"/>
    <n v="0"/>
    <n v="3200"/>
    <m/>
  </r>
  <r>
    <x v="14"/>
    <x v="0"/>
    <x v="11"/>
    <n v="4436"/>
    <n v="1"/>
    <s v="Blue"/>
    <n v="1"/>
    <x v="8"/>
    <n v="8925"/>
    <n v="8925"/>
    <n v="0"/>
    <n v="0"/>
    <m/>
  </r>
  <r>
    <x v="14"/>
    <x v="0"/>
    <x v="11"/>
    <n v="4301"/>
    <n v="0"/>
    <s v="Scroll"/>
    <n v="5"/>
    <x v="2"/>
    <n v="0"/>
    <n v="10000"/>
    <n v="0"/>
    <n v="4000"/>
    <m/>
  </r>
  <r>
    <x v="14"/>
    <x v="0"/>
    <x v="11"/>
    <n v="4084"/>
    <n v="0"/>
    <s v="Scroll"/>
    <n v="4"/>
    <x v="2"/>
    <n v="0"/>
    <n v="8000"/>
    <n v="0"/>
    <n v="3200"/>
    <m/>
  </r>
  <r>
    <x v="14"/>
    <x v="0"/>
    <x v="11"/>
    <n v="4184"/>
    <n v="1"/>
    <s v="Violet"/>
    <n v="1"/>
    <x v="8"/>
    <n v="13580"/>
    <n v="13580"/>
    <n v="0"/>
    <n v="0"/>
    <m/>
  </r>
  <r>
    <x v="14"/>
    <x v="0"/>
    <x v="11"/>
    <n v="4874"/>
    <n v="1"/>
    <s v="Rainb"/>
    <n v="1"/>
    <x v="1"/>
    <n v="0"/>
    <n v="0"/>
    <n v="11500"/>
    <n v="35822"/>
    <m/>
  </r>
  <r>
    <x v="14"/>
    <x v="0"/>
    <x v="11"/>
    <n v="4504"/>
    <n v="3"/>
    <s v="SumStone"/>
    <n v="3"/>
    <x v="5"/>
    <n v="0"/>
    <n v="0"/>
    <n v="2587.5"/>
    <n v="2686.6499999999996"/>
    <m/>
  </r>
  <r>
    <x v="14"/>
    <x v="0"/>
    <x v="11"/>
    <n v="4678"/>
    <n v="0"/>
    <s v="Blue"/>
    <n v="1"/>
    <x v="7"/>
    <n v="2940"/>
    <n v="2940"/>
    <n v="0"/>
    <n v="0"/>
    <m/>
  </r>
  <r>
    <x v="14"/>
    <x v="0"/>
    <x v="11"/>
    <n v="4384"/>
    <n v="3"/>
    <s v="Blue"/>
    <n v="1"/>
    <x v="8"/>
    <n v="6120"/>
    <n v="6120"/>
    <n v="0"/>
    <n v="0"/>
    <m/>
  </r>
  <r>
    <x v="14"/>
    <x v="0"/>
    <x v="11"/>
    <n v="4926"/>
    <n v="2"/>
    <s v="Blue"/>
    <n v="1"/>
    <x v="9"/>
    <n v="22190"/>
    <n v="22190"/>
    <n v="0"/>
    <n v="0"/>
    <m/>
  </r>
  <r>
    <x v="14"/>
    <x v="0"/>
    <x v="11"/>
    <n v="4473"/>
    <n v="4"/>
    <s v="Scroll"/>
    <n v="4"/>
    <x v="2"/>
    <n v="0"/>
    <n v="8000"/>
    <n v="0"/>
    <n v="3200"/>
    <m/>
  </r>
  <r>
    <x v="14"/>
    <x v="0"/>
    <x v="11"/>
    <n v="4685"/>
    <n v="0"/>
    <s v="Blue"/>
    <n v="1"/>
    <x v="7"/>
    <n v="3904"/>
    <n v="3904"/>
    <n v="0"/>
    <n v="0"/>
    <m/>
  </r>
  <r>
    <x v="14"/>
    <x v="0"/>
    <x v="11"/>
    <n v="5046"/>
    <n v="1"/>
    <s v="Blue"/>
    <n v="1"/>
    <x v="8"/>
    <n v="10710"/>
    <n v="10710"/>
    <n v="0"/>
    <n v="0"/>
    <m/>
  </r>
  <r>
    <x v="14"/>
    <x v="0"/>
    <x v="10"/>
    <n v="3976"/>
    <n v="1"/>
    <s v="Scroll"/>
    <n v="4"/>
    <x v="2"/>
    <n v="0"/>
    <n v="8000"/>
    <n v="0"/>
    <n v="3200"/>
    <m/>
  </r>
  <r>
    <x v="14"/>
    <x v="0"/>
    <x v="10"/>
    <n v="3952"/>
    <n v="1"/>
    <s v="Scroll"/>
    <n v="4"/>
    <x v="2"/>
    <n v="0"/>
    <n v="8000"/>
    <n v="0"/>
    <n v="3200"/>
    <m/>
  </r>
  <r>
    <x v="14"/>
    <x v="0"/>
    <x v="10"/>
    <n v="4003"/>
    <n v="1"/>
    <s v="Blue"/>
    <n v="1"/>
    <x v="7"/>
    <n v="6615"/>
    <n v="6615"/>
    <n v="0"/>
    <n v="0"/>
    <m/>
  </r>
  <r>
    <x v="14"/>
    <x v="0"/>
    <x v="10"/>
    <n v="4086"/>
    <n v="0"/>
    <s v="Orange"/>
    <n v="1"/>
    <x v="8"/>
    <n v="15300"/>
    <n v="15300"/>
    <n v="0"/>
    <n v="0"/>
    <m/>
  </r>
  <r>
    <x v="14"/>
    <x v="0"/>
    <x v="10"/>
    <n v="4099"/>
    <n v="0"/>
    <s v="Blue"/>
    <n v="1"/>
    <x v="7"/>
    <n v="6982"/>
    <n v="6982"/>
    <n v="0"/>
    <n v="0"/>
    <m/>
  </r>
  <r>
    <x v="14"/>
    <x v="0"/>
    <x v="10"/>
    <n v="3929"/>
    <n v="3"/>
    <s v="Blue"/>
    <n v="1"/>
    <x v="7"/>
    <n v="7028"/>
    <n v="7028"/>
    <n v="0"/>
    <n v="0"/>
    <m/>
  </r>
  <r>
    <x v="14"/>
    <x v="0"/>
    <x v="10"/>
    <n v="4239"/>
    <n v="1"/>
    <s v="Blue"/>
    <n v="1"/>
    <x v="7"/>
    <n v="7855"/>
    <n v="7855"/>
    <n v="0"/>
    <n v="0"/>
    <m/>
  </r>
  <r>
    <x v="14"/>
    <x v="0"/>
    <x v="10"/>
    <n v="3909"/>
    <n v="0"/>
    <s v="Scroll"/>
    <n v="5"/>
    <x v="2"/>
    <n v="0"/>
    <n v="10000"/>
    <n v="0"/>
    <n v="4000"/>
    <m/>
  </r>
  <r>
    <x v="14"/>
    <x v="0"/>
    <x v="10"/>
    <n v="4064"/>
    <n v="1"/>
    <s v="Scroll"/>
    <n v="5"/>
    <x v="2"/>
    <n v="0"/>
    <n v="10000"/>
    <n v="0"/>
    <n v="4000"/>
    <m/>
  </r>
  <r>
    <x v="14"/>
    <x v="0"/>
    <x v="10"/>
    <n v="4083"/>
    <n v="0"/>
    <s v="Blue"/>
    <n v="1"/>
    <x v="7"/>
    <n v="6615"/>
    <n v="6615"/>
    <n v="0"/>
    <n v="0"/>
    <m/>
  </r>
  <r>
    <x v="14"/>
    <x v="0"/>
    <x v="10"/>
    <n v="3906"/>
    <n v="1"/>
    <s v="Blue"/>
    <n v="1"/>
    <x v="8"/>
    <n v="13005"/>
    <n v="13005"/>
    <n v="0"/>
    <n v="0"/>
    <m/>
  </r>
  <r>
    <x v="14"/>
    <x v="0"/>
    <x v="10"/>
    <n v="4056"/>
    <n v="0"/>
    <s v="Blue"/>
    <n v="1"/>
    <x v="7"/>
    <n v="6615"/>
    <n v="6615"/>
    <n v="0"/>
    <n v="0"/>
    <m/>
  </r>
  <r>
    <x v="14"/>
    <x v="0"/>
    <x v="10"/>
    <n v="4209"/>
    <n v="1"/>
    <s v="SumStone"/>
    <n v="3"/>
    <x v="5"/>
    <n v="0"/>
    <n v="0"/>
    <n v="2587.5"/>
    <n v="2686.6499999999996"/>
    <m/>
  </r>
  <r>
    <x v="14"/>
    <x v="0"/>
    <x v="10"/>
    <n v="3820"/>
    <n v="1"/>
    <s v="Blue"/>
    <n v="1"/>
    <x v="7"/>
    <n v="3445"/>
    <n v="3445"/>
    <n v="0"/>
    <n v="0"/>
    <m/>
  </r>
  <r>
    <x v="14"/>
    <x v="0"/>
    <x v="10"/>
    <n v="3866"/>
    <n v="1"/>
    <s v="Blue"/>
    <n v="1"/>
    <x v="8"/>
    <n v="12340"/>
    <n v="12340"/>
    <n v="0"/>
    <n v="0"/>
    <m/>
  </r>
  <r>
    <x v="14"/>
    <x v="0"/>
    <x v="10"/>
    <n v="3662"/>
    <n v="2"/>
    <s v="Scroll"/>
    <n v="4"/>
    <x v="2"/>
    <n v="0"/>
    <n v="8000"/>
    <n v="0"/>
    <n v="3200"/>
    <m/>
  </r>
  <r>
    <x v="14"/>
    <x v="0"/>
    <x v="10"/>
    <n v="4037"/>
    <n v="2"/>
    <s v="Blue"/>
    <n v="1"/>
    <x v="8"/>
    <n v="5440"/>
    <n v="5440"/>
    <n v="0"/>
    <n v="0"/>
    <m/>
  </r>
  <r>
    <x v="14"/>
    <x v="0"/>
    <x v="10"/>
    <n v="4030"/>
    <n v="0"/>
    <s v="Blue"/>
    <n v="1"/>
    <x v="7"/>
    <n v="5788"/>
    <n v="5788"/>
    <n v="0"/>
    <n v="0"/>
    <m/>
  </r>
  <r>
    <x v="14"/>
    <x v="0"/>
    <x v="10"/>
    <n v="4230"/>
    <n v="0"/>
    <s v="Scroll"/>
    <n v="5"/>
    <x v="2"/>
    <n v="0"/>
    <n v="10000"/>
    <n v="0"/>
    <n v="4000"/>
    <m/>
  </r>
  <r>
    <x v="14"/>
    <x v="0"/>
    <x v="10"/>
    <n v="4242"/>
    <n v="1"/>
    <s v="Rainb"/>
    <n v="1"/>
    <x v="1"/>
    <n v="0"/>
    <n v="0"/>
    <n v="11500"/>
    <n v="35822"/>
    <m/>
  </r>
  <r>
    <x v="14"/>
    <x v="0"/>
    <x v="10"/>
    <n v="3742"/>
    <n v="1"/>
    <s v="Blue"/>
    <n v="1"/>
    <x v="9"/>
    <n v="20288"/>
    <n v="20288"/>
    <n v="0"/>
    <n v="0"/>
    <m/>
  </r>
  <r>
    <x v="14"/>
    <x v="0"/>
    <x v="10"/>
    <n v="4004"/>
    <n v="1"/>
    <s v="Blue"/>
    <n v="1"/>
    <x v="7"/>
    <n v="3123"/>
    <n v="3123"/>
    <n v="0"/>
    <n v="0"/>
    <m/>
  </r>
  <r>
    <x v="14"/>
    <x v="0"/>
    <x v="10"/>
    <n v="3972"/>
    <n v="1"/>
    <s v="Violet"/>
    <n v="1"/>
    <x v="7"/>
    <n v="7809"/>
    <n v="7809"/>
    <n v="0"/>
    <n v="0"/>
    <m/>
  </r>
  <r>
    <x v="14"/>
    <x v="0"/>
    <x v="10"/>
    <n v="3789"/>
    <n v="3"/>
    <s v="Blue"/>
    <n v="1"/>
    <x v="8"/>
    <n v="12240"/>
    <n v="12240"/>
    <n v="0"/>
    <n v="0"/>
    <m/>
  </r>
  <r>
    <x v="14"/>
    <x v="0"/>
    <x v="10"/>
    <n v="3881"/>
    <n v="1"/>
    <s v="Violet"/>
    <n v="1"/>
    <x v="8"/>
    <n v="8160"/>
    <n v="8160"/>
    <n v="0"/>
    <n v="0"/>
    <m/>
  </r>
  <r>
    <x v="14"/>
    <x v="0"/>
    <x v="10"/>
    <n v="4062"/>
    <n v="1"/>
    <s v="Violet"/>
    <n v="1"/>
    <x v="7"/>
    <n v="4410"/>
    <n v="4410"/>
    <n v="0"/>
    <n v="0"/>
    <m/>
  </r>
  <r>
    <x v="14"/>
    <x v="0"/>
    <x v="10"/>
    <n v="3897"/>
    <n v="1"/>
    <s v="Blue"/>
    <n v="1"/>
    <x v="8"/>
    <n v="5100"/>
    <n v="5100"/>
    <n v="0"/>
    <n v="0"/>
    <m/>
  </r>
  <r>
    <x v="14"/>
    <x v="0"/>
    <x v="10"/>
    <n v="4552"/>
    <n v="1"/>
    <s v="Blue"/>
    <n v="1"/>
    <x v="7"/>
    <n v="3491"/>
    <n v="3491"/>
    <n v="0"/>
    <n v="0"/>
    <m/>
  </r>
  <r>
    <x v="14"/>
    <x v="0"/>
    <x v="10"/>
    <n v="3972"/>
    <n v="0"/>
    <s v="Scroll"/>
    <n v="5"/>
    <x v="2"/>
    <n v="0"/>
    <n v="10000"/>
    <n v="0"/>
    <n v="4000"/>
    <m/>
  </r>
  <r>
    <x v="14"/>
    <x v="0"/>
    <x v="10"/>
    <n v="3822"/>
    <n v="0"/>
    <s v="Blue"/>
    <n v="1"/>
    <x v="8"/>
    <n v="12240"/>
    <n v="12240"/>
    <n v="0"/>
    <n v="0"/>
    <m/>
  </r>
  <r>
    <x v="14"/>
    <x v="0"/>
    <x v="10"/>
    <n v="4179"/>
    <n v="2"/>
    <s v="Blue"/>
    <n v="1"/>
    <x v="9"/>
    <n v="14265"/>
    <n v="14265"/>
    <n v="0"/>
    <n v="0"/>
    <m/>
  </r>
  <r>
    <x v="14"/>
    <x v="0"/>
    <x v="10"/>
    <n v="4975"/>
    <n v="1"/>
    <s v="Blue"/>
    <n v="1"/>
    <x v="8"/>
    <n v="7650"/>
    <n v="7650"/>
    <n v="0"/>
    <n v="0"/>
    <m/>
  </r>
  <r>
    <x v="14"/>
    <x v="0"/>
    <x v="10"/>
    <n v="4786"/>
    <n v="0"/>
    <s v="Orange"/>
    <n v="1"/>
    <x v="8"/>
    <n v="12920"/>
    <n v="12920"/>
    <n v="0"/>
    <n v="0"/>
    <m/>
  </r>
  <r>
    <x v="14"/>
    <x v="0"/>
    <x v="10"/>
    <n v="3843"/>
    <n v="1"/>
    <s v="Rainb"/>
    <n v="1"/>
    <x v="1"/>
    <n v="0"/>
    <n v="0"/>
    <n v="11500"/>
    <n v="35822"/>
    <m/>
  </r>
  <r>
    <x v="14"/>
    <x v="0"/>
    <x v="10"/>
    <n v="4162"/>
    <n v="1"/>
    <s v="Blue"/>
    <n v="1"/>
    <x v="8"/>
    <n v="5780"/>
    <n v="5780"/>
    <n v="0"/>
    <n v="0"/>
    <m/>
  </r>
  <r>
    <x v="14"/>
    <x v="0"/>
    <x v="10"/>
    <n v="3879"/>
    <n v="1"/>
    <s v="Blue"/>
    <n v="1"/>
    <x v="7"/>
    <n v="7350"/>
    <n v="7350"/>
    <n v="0"/>
    <n v="0"/>
    <m/>
  </r>
  <r>
    <x v="14"/>
    <x v="0"/>
    <x v="10"/>
    <n v="3611"/>
    <n v="0"/>
    <s v="SumStone"/>
    <n v="3"/>
    <x v="5"/>
    <n v="0"/>
    <n v="0"/>
    <n v="2587.5"/>
    <n v="2686.6499999999996"/>
    <m/>
  </r>
  <r>
    <x v="14"/>
    <x v="0"/>
    <x v="10"/>
    <n v="4220"/>
    <n v="1"/>
    <s v="Blue"/>
    <n v="1"/>
    <x v="8"/>
    <n v="11560"/>
    <n v="11560"/>
    <n v="0"/>
    <n v="0"/>
    <m/>
  </r>
  <r>
    <x v="14"/>
    <x v="0"/>
    <x v="10"/>
    <n v="3765"/>
    <n v="0"/>
    <s v="Blue"/>
    <n v="1"/>
    <x v="7"/>
    <n v="3904"/>
    <n v="3904"/>
    <n v="0"/>
    <n v="0"/>
    <m/>
  </r>
  <r>
    <x v="14"/>
    <x v="0"/>
    <x v="10"/>
    <n v="4073"/>
    <n v="3"/>
    <s v="Scroll"/>
    <n v="4"/>
    <x v="2"/>
    <n v="0"/>
    <n v="8000"/>
    <n v="0"/>
    <n v="3200"/>
    <m/>
  </r>
  <r>
    <x v="14"/>
    <x v="0"/>
    <x v="10"/>
    <n v="3957"/>
    <n v="0"/>
    <s v="Violet"/>
    <n v="1"/>
    <x v="8"/>
    <n v="6375"/>
    <n v="6375"/>
    <n v="0"/>
    <n v="0"/>
    <m/>
  </r>
  <r>
    <x v="14"/>
    <x v="0"/>
    <x v="10"/>
    <n v="3704"/>
    <n v="2"/>
    <s v="Blue"/>
    <n v="1"/>
    <x v="8"/>
    <n v="11560"/>
    <n v="11560"/>
    <n v="0"/>
    <n v="0"/>
    <m/>
  </r>
  <r>
    <x v="14"/>
    <x v="0"/>
    <x v="10"/>
    <n v="4168"/>
    <n v="1"/>
    <s v="Rainb"/>
    <n v="1"/>
    <x v="1"/>
    <n v="0"/>
    <n v="0"/>
    <n v="11500"/>
    <n v="35822"/>
    <m/>
  </r>
  <r>
    <x v="14"/>
    <x v="0"/>
    <x v="10"/>
    <n v="4443"/>
    <n v="2"/>
    <s v="Blue"/>
    <n v="1"/>
    <x v="8"/>
    <n v="11560"/>
    <n v="11560"/>
    <n v="0"/>
    <n v="0"/>
    <m/>
  </r>
  <r>
    <x v="14"/>
    <x v="0"/>
    <x v="10"/>
    <n v="4007"/>
    <n v="0"/>
    <s v="Blue"/>
    <n v="1"/>
    <x v="8"/>
    <n v="12240"/>
    <n v="12240"/>
    <n v="0"/>
    <n v="0"/>
    <m/>
  </r>
  <r>
    <x v="14"/>
    <x v="0"/>
    <x v="10"/>
    <n v="4304"/>
    <n v="2"/>
    <s v="Blue"/>
    <n v="1"/>
    <x v="9"/>
    <n v="20288"/>
    <n v="20288"/>
    <n v="0"/>
    <n v="0"/>
    <m/>
  </r>
  <r>
    <x v="14"/>
    <x v="0"/>
    <x v="10"/>
    <n v="3825"/>
    <n v="1"/>
    <s v="Violet"/>
    <n v="1"/>
    <x v="9"/>
    <n v="17118"/>
    <n v="17118"/>
    <n v="0"/>
    <n v="0"/>
    <m/>
  </r>
  <r>
    <x v="14"/>
    <x v="0"/>
    <x v="10"/>
    <n v="3952"/>
    <n v="0"/>
    <s v="Blue"/>
    <n v="1"/>
    <x v="7"/>
    <n v="3445"/>
    <n v="3445"/>
    <n v="0"/>
    <n v="0"/>
    <m/>
  </r>
  <r>
    <x v="14"/>
    <x v="0"/>
    <x v="10"/>
    <n v="3837"/>
    <n v="0"/>
    <s v="Blue"/>
    <n v="1"/>
    <x v="9"/>
    <n v="18861"/>
    <n v="18861"/>
    <n v="0"/>
    <n v="0"/>
    <m/>
  </r>
  <r>
    <x v="14"/>
    <x v="0"/>
    <x v="10"/>
    <n v="3964"/>
    <n v="2"/>
    <s v="Blue"/>
    <n v="1"/>
    <x v="8"/>
    <n v="8075"/>
    <n v="8075"/>
    <n v="0"/>
    <n v="0"/>
    <m/>
  </r>
  <r>
    <x v="14"/>
    <x v="0"/>
    <x v="10"/>
    <n v="3954"/>
    <n v="1"/>
    <s v="Blue"/>
    <n v="1"/>
    <x v="8"/>
    <n v="5440"/>
    <n v="5440"/>
    <n v="0"/>
    <n v="0"/>
    <m/>
  </r>
  <r>
    <x v="14"/>
    <x v="0"/>
    <x v="10"/>
    <n v="3909"/>
    <n v="0"/>
    <s v="Scroll"/>
    <n v="5"/>
    <x v="2"/>
    <n v="0"/>
    <n v="10000"/>
    <n v="0"/>
    <n v="4000"/>
    <m/>
  </r>
  <r>
    <x v="14"/>
    <x v="0"/>
    <x v="10"/>
    <n v="3708"/>
    <n v="2"/>
    <s v="Scroll"/>
    <n v="5"/>
    <x v="2"/>
    <n v="0"/>
    <n v="10000"/>
    <n v="0"/>
    <n v="4000"/>
    <m/>
  </r>
  <r>
    <x v="14"/>
    <x v="0"/>
    <x v="10"/>
    <n v="3596"/>
    <n v="3"/>
    <s v="Blue"/>
    <n v="1"/>
    <x v="9"/>
    <n v="10144"/>
    <n v="10144"/>
    <n v="0"/>
    <n v="0"/>
    <m/>
  </r>
  <r>
    <x v="14"/>
    <x v="0"/>
    <x v="10"/>
    <n v="3997"/>
    <n v="2"/>
    <s v="Rainb"/>
    <n v="1"/>
    <x v="1"/>
    <n v="0"/>
    <n v="0"/>
    <n v="11500"/>
    <n v="35822"/>
    <m/>
  </r>
  <r>
    <x v="14"/>
    <x v="0"/>
    <x v="10"/>
    <n v="4264"/>
    <n v="0"/>
    <s v="Scroll"/>
    <n v="4"/>
    <x v="2"/>
    <n v="0"/>
    <n v="8000"/>
    <n v="0"/>
    <n v="3200"/>
    <m/>
  </r>
  <r>
    <x v="14"/>
    <x v="0"/>
    <x v="10"/>
    <n v="4199"/>
    <n v="3"/>
    <s v="Blue"/>
    <n v="1"/>
    <x v="8"/>
    <n v="5440"/>
    <n v="5440"/>
    <n v="0"/>
    <n v="0"/>
    <m/>
  </r>
  <r>
    <x v="14"/>
    <x v="0"/>
    <x v="10"/>
    <n v="4060"/>
    <n v="2"/>
    <s v="Scroll"/>
    <n v="4"/>
    <x v="2"/>
    <n v="0"/>
    <n v="8000"/>
    <n v="0"/>
    <n v="3200"/>
    <m/>
  </r>
  <r>
    <x v="14"/>
    <x v="0"/>
    <x v="10"/>
    <n v="3943"/>
    <n v="3"/>
    <s v="Scroll"/>
    <n v="4"/>
    <x v="2"/>
    <n v="0"/>
    <n v="8000"/>
    <n v="0"/>
    <n v="3200"/>
    <m/>
  </r>
  <r>
    <x v="14"/>
    <x v="0"/>
    <x v="10"/>
    <n v="4141"/>
    <n v="1"/>
    <s v="Scroll"/>
    <n v="4"/>
    <x v="2"/>
    <n v="0"/>
    <n v="8000"/>
    <n v="0"/>
    <n v="3200"/>
    <m/>
  </r>
  <r>
    <x v="14"/>
    <x v="0"/>
    <x v="10"/>
    <n v="4075"/>
    <n v="0"/>
    <s v="Scroll"/>
    <n v="4"/>
    <x v="2"/>
    <n v="0"/>
    <n v="8000"/>
    <n v="0"/>
    <n v="3200"/>
    <m/>
  </r>
  <r>
    <x v="14"/>
    <x v="0"/>
    <x v="10"/>
    <n v="4269"/>
    <n v="1"/>
    <s v="Blue"/>
    <n v="1"/>
    <x v="7"/>
    <n v="6431"/>
    <n v="6431"/>
    <n v="0"/>
    <n v="0"/>
    <m/>
  </r>
  <r>
    <x v="14"/>
    <x v="0"/>
    <x v="10"/>
    <n v="3888"/>
    <n v="2"/>
    <s v="Scroll"/>
    <n v="5"/>
    <x v="2"/>
    <n v="0"/>
    <n v="10000"/>
    <n v="0"/>
    <n v="4000"/>
    <m/>
  </r>
  <r>
    <x v="14"/>
    <x v="0"/>
    <x v="10"/>
    <n v="3672"/>
    <n v="1"/>
    <s v="Blue"/>
    <n v="1"/>
    <x v="7"/>
    <n v="6120"/>
    <n v="6120"/>
    <n v="0"/>
    <n v="0"/>
    <m/>
  </r>
  <r>
    <x v="14"/>
    <x v="0"/>
    <x v="10"/>
    <n v="3924"/>
    <n v="1"/>
    <s v="Blue"/>
    <n v="1"/>
    <x v="8"/>
    <n v="12920"/>
    <n v="12920"/>
    <n v="0"/>
    <n v="0"/>
    <m/>
  </r>
  <r>
    <x v="14"/>
    <x v="0"/>
    <x v="10"/>
    <n v="4086"/>
    <n v="1"/>
    <s v="Blue"/>
    <n v="1"/>
    <x v="7"/>
    <n v="6120"/>
    <n v="6120"/>
    <n v="0"/>
    <n v="0"/>
    <m/>
  </r>
  <r>
    <x v="14"/>
    <x v="0"/>
    <x v="10"/>
    <n v="3956"/>
    <n v="1"/>
    <s v="Scroll"/>
    <n v="4"/>
    <x v="2"/>
    <n v="0"/>
    <n v="8000"/>
    <n v="0"/>
    <n v="3200"/>
    <m/>
  </r>
  <r>
    <x v="14"/>
    <x v="0"/>
    <x v="10"/>
    <n v="4121"/>
    <n v="2"/>
    <s v="Violet"/>
    <n v="1"/>
    <x v="9"/>
    <n v="27103"/>
    <n v="27103"/>
    <n v="0"/>
    <n v="0"/>
    <m/>
  </r>
  <r>
    <x v="14"/>
    <x v="0"/>
    <x v="10"/>
    <n v="3864"/>
    <n v="1"/>
    <s v="Scroll"/>
    <n v="4"/>
    <x v="2"/>
    <n v="0"/>
    <n v="8000"/>
    <n v="0"/>
    <n v="3200"/>
    <m/>
  </r>
  <r>
    <x v="14"/>
    <x v="0"/>
    <x v="10"/>
    <n v="4144"/>
    <n v="2"/>
    <s v="Blue"/>
    <n v="1"/>
    <x v="7"/>
    <n v="3445"/>
    <n v="3445"/>
    <n v="0"/>
    <n v="0"/>
    <m/>
  </r>
  <r>
    <x v="14"/>
    <x v="0"/>
    <x v="10"/>
    <n v="3884"/>
    <n v="1"/>
    <s v="Blue"/>
    <n v="1"/>
    <x v="7"/>
    <n v="3675"/>
    <n v="3675"/>
    <n v="0"/>
    <n v="0"/>
    <m/>
  </r>
  <r>
    <x v="14"/>
    <x v="0"/>
    <x v="10"/>
    <n v="4186"/>
    <n v="0"/>
    <s v="Violet"/>
    <n v="1"/>
    <x v="8"/>
    <n v="17000"/>
    <n v="17000"/>
    <n v="0"/>
    <n v="0"/>
    <m/>
  </r>
  <r>
    <x v="14"/>
    <x v="0"/>
    <x v="10"/>
    <n v="3886"/>
    <n v="0"/>
    <s v="Scroll"/>
    <n v="5"/>
    <x v="2"/>
    <n v="0"/>
    <n v="10000"/>
    <n v="0"/>
    <n v="4000"/>
    <m/>
  </r>
  <r>
    <x v="14"/>
    <x v="0"/>
    <x v="10"/>
    <n v="4242"/>
    <n v="2"/>
    <s v="Blue"/>
    <n v="1"/>
    <x v="7"/>
    <n v="4364"/>
    <n v="4364"/>
    <n v="0"/>
    <n v="0"/>
    <m/>
  </r>
  <r>
    <x v="14"/>
    <x v="0"/>
    <x v="10"/>
    <n v="4062"/>
    <n v="1"/>
    <s v="Blue"/>
    <n v="1"/>
    <x v="7"/>
    <n v="2940"/>
    <n v="2940"/>
    <n v="0"/>
    <n v="0"/>
    <m/>
  </r>
  <r>
    <x v="14"/>
    <x v="0"/>
    <x v="10"/>
    <n v="4025"/>
    <n v="1"/>
    <s v="Blue"/>
    <n v="1"/>
    <x v="8"/>
    <n v="6800"/>
    <n v="6800"/>
    <n v="0"/>
    <n v="0"/>
    <m/>
  </r>
  <r>
    <x v="14"/>
    <x v="0"/>
    <x v="10"/>
    <n v="4416"/>
    <n v="3"/>
    <s v="Blue"/>
    <n v="1"/>
    <x v="7"/>
    <n v="6615"/>
    <n v="6615"/>
    <n v="0"/>
    <n v="0"/>
    <m/>
  </r>
  <r>
    <x v="14"/>
    <x v="0"/>
    <x v="10"/>
    <n v="3856"/>
    <n v="2"/>
    <s v="Violet"/>
    <n v="1"/>
    <x v="7"/>
    <n v="6615"/>
    <n v="6615"/>
    <n v="0"/>
    <n v="0"/>
    <m/>
  </r>
  <r>
    <x v="14"/>
    <x v="0"/>
    <x v="10"/>
    <n v="4170"/>
    <n v="2"/>
    <s v="Scroll"/>
    <n v="4"/>
    <x v="2"/>
    <n v="0"/>
    <n v="8000"/>
    <n v="0"/>
    <n v="3200"/>
    <m/>
  </r>
  <r>
    <x v="14"/>
    <x v="0"/>
    <x v="10"/>
    <n v="4152"/>
    <n v="1"/>
    <s v="Blue"/>
    <n v="1"/>
    <x v="7"/>
    <n v="6247"/>
    <n v="6247"/>
    <n v="0"/>
    <n v="0"/>
    <m/>
  </r>
  <r>
    <x v="14"/>
    <x v="0"/>
    <x v="10"/>
    <n v="3678"/>
    <n v="0"/>
    <s v="Violet"/>
    <n v="1"/>
    <x v="8"/>
    <n v="10200"/>
    <n v="10200"/>
    <n v="0"/>
    <n v="0"/>
    <m/>
  </r>
  <r>
    <x v="14"/>
    <x v="0"/>
    <x v="10"/>
    <n v="4310"/>
    <n v="2"/>
    <s v="Blue"/>
    <n v="1"/>
    <x v="7"/>
    <n v="5100"/>
    <n v="5100"/>
    <n v="0"/>
    <n v="0"/>
    <m/>
  </r>
  <r>
    <x v="14"/>
    <x v="0"/>
    <x v="10"/>
    <n v="3697"/>
    <n v="0"/>
    <s v="Blue"/>
    <n v="1"/>
    <x v="7"/>
    <n v="2940"/>
    <n v="2940"/>
    <n v="0"/>
    <n v="0"/>
    <m/>
  </r>
  <r>
    <x v="14"/>
    <x v="0"/>
    <x v="10"/>
    <n v="4208"/>
    <n v="1"/>
    <s v="Blue"/>
    <n v="1"/>
    <x v="7"/>
    <n v="5788"/>
    <n v="5788"/>
    <n v="0"/>
    <n v="0"/>
    <m/>
  </r>
  <r>
    <x v="14"/>
    <x v="0"/>
    <x v="10"/>
    <n v="4465"/>
    <n v="2"/>
    <s v="Blue"/>
    <n v="1"/>
    <x v="7"/>
    <n v="4134"/>
    <n v="4134"/>
    <n v="0"/>
    <n v="0"/>
    <m/>
  </r>
  <r>
    <x v="14"/>
    <x v="0"/>
    <x v="10"/>
    <n v="3829"/>
    <n v="2"/>
    <s v="Blue"/>
    <n v="1"/>
    <x v="7"/>
    <n v="6982"/>
    <n v="6982"/>
    <n v="0"/>
    <n v="0"/>
    <m/>
  </r>
  <r>
    <x v="14"/>
    <x v="0"/>
    <x v="10"/>
    <n v="4194"/>
    <n v="0"/>
    <s v="Blue"/>
    <n v="1"/>
    <x v="7"/>
    <n v="3307"/>
    <n v="3307"/>
    <n v="0"/>
    <n v="0"/>
    <m/>
  </r>
  <r>
    <x v="14"/>
    <x v="0"/>
    <x v="10"/>
    <n v="3953"/>
    <n v="0"/>
    <s v="Blue"/>
    <n v="1"/>
    <x v="8"/>
    <n v="6800"/>
    <n v="6800"/>
    <n v="0"/>
    <n v="0"/>
    <m/>
  </r>
  <r>
    <x v="14"/>
    <x v="0"/>
    <x v="10"/>
    <n v="3831"/>
    <n v="0"/>
    <s v="Blue"/>
    <n v="1"/>
    <x v="8"/>
    <n v="5780"/>
    <n v="5780"/>
    <n v="0"/>
    <n v="0"/>
    <m/>
  </r>
  <r>
    <x v="14"/>
    <x v="0"/>
    <x v="10"/>
    <n v="3852"/>
    <n v="0"/>
    <s v="Blue"/>
    <n v="1"/>
    <x v="9"/>
    <n v="17752"/>
    <n v="17752"/>
    <n v="0"/>
    <n v="0"/>
    <m/>
  </r>
  <r>
    <x v="14"/>
    <x v="0"/>
    <x v="10"/>
    <n v="4081"/>
    <n v="2"/>
    <s v="Scroll"/>
    <n v="4"/>
    <x v="2"/>
    <n v="0"/>
    <n v="8000"/>
    <n v="0"/>
    <n v="3200"/>
    <m/>
  </r>
  <r>
    <x v="14"/>
    <x v="0"/>
    <x v="10"/>
    <n v="4016"/>
    <n v="1"/>
    <s v="Blue"/>
    <n v="1"/>
    <x v="7"/>
    <n v="6100"/>
    <n v="6100"/>
    <n v="0"/>
    <n v="0"/>
    <m/>
  </r>
  <r>
    <x v="14"/>
    <x v="0"/>
    <x v="10"/>
    <n v="4213"/>
    <n v="0"/>
    <s v="Blue"/>
    <n v="1"/>
    <x v="8"/>
    <n v="8075"/>
    <n v="8075"/>
    <n v="0"/>
    <n v="0"/>
    <m/>
  </r>
  <r>
    <x v="14"/>
    <x v="0"/>
    <x v="10"/>
    <n v="3708"/>
    <n v="1"/>
    <s v="Violet"/>
    <n v="1"/>
    <x v="7"/>
    <n v="4961"/>
    <n v="4961"/>
    <n v="0"/>
    <n v="0"/>
    <m/>
  </r>
  <r>
    <x v="14"/>
    <x v="0"/>
    <x v="11"/>
    <n v="4889"/>
    <n v="2"/>
    <s v="Blue"/>
    <n v="1"/>
    <x v="8"/>
    <n v="15300"/>
    <n v="15300"/>
    <n v="0"/>
    <n v="0"/>
    <m/>
  </r>
  <r>
    <x v="14"/>
    <x v="0"/>
    <x v="10"/>
    <n v="4352"/>
    <n v="1"/>
    <s v="Blue"/>
    <n v="1"/>
    <x v="9"/>
    <n v="15850"/>
    <n v="15850"/>
    <n v="0"/>
    <n v="0"/>
    <m/>
  </r>
  <r>
    <x v="14"/>
    <x v="0"/>
    <x v="10"/>
    <n v="4128"/>
    <n v="0"/>
    <s v="Blue"/>
    <n v="1"/>
    <x v="8"/>
    <n v="10710"/>
    <n v="10710"/>
    <n v="0"/>
    <n v="0"/>
    <m/>
  </r>
  <r>
    <x v="14"/>
    <x v="0"/>
    <x v="10"/>
    <n v="4086"/>
    <n v="1"/>
    <s v="Blue"/>
    <n v="1"/>
    <x v="7"/>
    <n v="1593"/>
    <n v="1593"/>
    <n v="0"/>
    <n v="0"/>
    <m/>
  </r>
  <r>
    <x v="14"/>
    <x v="0"/>
    <x v="10"/>
    <n v="3994"/>
    <n v="1"/>
    <s v="Scroll"/>
    <n v="5"/>
    <x v="2"/>
    <n v="0"/>
    <n v="10000"/>
    <n v="0"/>
    <n v="4000"/>
    <m/>
  </r>
  <r>
    <x v="14"/>
    <x v="0"/>
    <x v="10"/>
    <n v="3963"/>
    <n v="1"/>
    <s v="Blue"/>
    <n v="1"/>
    <x v="8"/>
    <n v="5440"/>
    <n v="5440"/>
    <n v="0"/>
    <n v="0"/>
    <m/>
  </r>
  <r>
    <x v="14"/>
    <x v="0"/>
    <x v="10"/>
    <n v="4372"/>
    <n v="1"/>
    <s v="Blue"/>
    <n v="1"/>
    <x v="7"/>
    <n v="2756"/>
    <n v="2756"/>
    <n v="0"/>
    <n v="0"/>
    <m/>
  </r>
  <r>
    <x v="14"/>
    <x v="0"/>
    <x v="10"/>
    <n v="4374"/>
    <n v="1"/>
    <s v="Scroll"/>
    <n v="5"/>
    <x v="2"/>
    <n v="0"/>
    <n v="10000"/>
    <n v="0"/>
    <n v="4000"/>
    <m/>
  </r>
  <r>
    <x v="14"/>
    <x v="0"/>
    <x v="10"/>
    <n v="3694"/>
    <n v="1"/>
    <s v="Blue"/>
    <n v="1"/>
    <x v="8"/>
    <n v="10115"/>
    <n v="10115"/>
    <n v="0"/>
    <n v="0"/>
    <m/>
  </r>
  <r>
    <x v="14"/>
    <x v="0"/>
    <x v="10"/>
    <m/>
    <m/>
    <m/>
    <m/>
    <x v="0"/>
    <m/>
    <n v="0"/>
    <n v="0"/>
    <n v="0"/>
    <m/>
  </r>
  <r>
    <x v="14"/>
    <x v="0"/>
    <x v="10"/>
    <m/>
    <m/>
    <m/>
    <m/>
    <x v="0"/>
    <m/>
    <n v="0"/>
    <n v="0"/>
    <n v="0"/>
    <m/>
  </r>
  <r>
    <x v="14"/>
    <x v="0"/>
    <x v="10"/>
    <m/>
    <m/>
    <m/>
    <m/>
    <x v="0"/>
    <m/>
    <n v="0"/>
    <n v="0"/>
    <n v="0"/>
    <m/>
  </r>
  <r>
    <x v="14"/>
    <x v="0"/>
    <x v="10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  <r>
    <x v="15"/>
    <x v="3"/>
    <x v="13"/>
    <m/>
    <m/>
    <m/>
    <m/>
    <x v="0"/>
    <m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O10:X25" firstHeaderRow="1" firstDataRow="2" firstDataCol="1"/>
  <pivotFields count="13">
    <pivotField axis="axisRow" showAll="0">
      <items count="18">
        <item h="1" x="5"/>
        <item x="14"/>
        <item h="1" x="1"/>
        <item h="1" m="1" x="16"/>
        <item x="2"/>
        <item h="1" x="7"/>
        <item h="1" x="9"/>
        <item h="1" x="6"/>
        <item h="1" x="3"/>
        <item h="1" x="8"/>
        <item h="1" x="11"/>
        <item h="1" x="12"/>
        <item h="1" x="4"/>
        <item h="1" x="10"/>
        <item h="1" x="0"/>
        <item h="1" x="13"/>
        <item h="1" x="15"/>
        <item t="default"/>
      </items>
    </pivotField>
    <pivotField dataField="1" showAll="0"/>
    <pivotField axis="axisRow" showAll="0">
      <items count="15">
        <item x="0"/>
        <item x="5"/>
        <item x="1"/>
        <item x="4"/>
        <item x="3"/>
        <item x="2"/>
        <item x="6"/>
        <item x="7"/>
        <item x="10"/>
        <item x="11"/>
        <item x="8"/>
        <item x="9"/>
        <item x="12"/>
        <item x="13"/>
        <item t="default"/>
      </items>
    </pivotField>
    <pivotField showAll="0"/>
    <pivotField showAll="0"/>
    <pivotField showAll="0"/>
    <pivotField showAll="0"/>
    <pivotField axis="axisCol" showAll="0">
      <items count="13">
        <item x="10"/>
        <item m="1" x="11"/>
        <item x="2"/>
        <item x="1"/>
        <item x="5"/>
        <item x="7"/>
        <item x="8"/>
        <item x="9"/>
        <item x="6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2"/>
  </rowFields>
  <rowItems count="14">
    <i>
      <x v="1"/>
    </i>
    <i r="1">
      <x v="6"/>
    </i>
    <i r="1">
      <x v="7"/>
    </i>
    <i r="1">
      <x v="8"/>
    </i>
    <i r="1">
      <x v="9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t="grand">
      <x/>
    </i>
  </rowItems>
  <colFields count="1">
    <field x="7"/>
  </colFields>
  <colItems count="9">
    <i>
      <x/>
    </i>
    <i>
      <x v="2"/>
    </i>
    <i>
      <x v="3"/>
    </i>
    <i>
      <x v="4"/>
    </i>
    <i>
      <x v="5"/>
    </i>
    <i>
      <x v="6"/>
    </i>
    <i>
      <x v="7"/>
    </i>
    <i>
      <x v="11"/>
    </i>
    <i t="grand">
      <x/>
    </i>
  </colItems>
  <dataFields count="1">
    <dataField name="Licznik z LVL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7" cacheId="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G15:N22" firstHeaderRow="1" firstDataRow="2" firstDataCol="1"/>
  <pivotFields count="13">
    <pivotField axis="axisRow" showAll="0">
      <items count="18">
        <item h="1" x="5"/>
        <item h="1" x="14"/>
        <item h="1" x="1"/>
        <item h="1" m="1" x="16"/>
        <item h="1" x="2"/>
        <item x="7"/>
        <item x="6"/>
        <item x="3"/>
        <item x="8"/>
        <item h="1" x="4"/>
        <item h="1" x="0"/>
        <item h="1" x="15"/>
        <item x="9"/>
        <item h="1" x="10"/>
        <item h="1" x="11"/>
        <item h="1" x="12"/>
        <item h="1" x="13"/>
        <item t="default"/>
      </items>
    </pivotField>
    <pivotField dataField="1" showAll="0"/>
    <pivotField axis="axisCol" showAll="0">
      <items count="15">
        <item x="0"/>
        <item x="5"/>
        <item x="1"/>
        <item x="4"/>
        <item x="3"/>
        <item x="2"/>
        <item x="6"/>
        <item x="7"/>
        <item x="10"/>
        <item x="11"/>
        <item x="8"/>
        <item x="9"/>
        <item x="1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6">
    <i>
      <x v="5"/>
    </i>
    <i>
      <x v="6"/>
    </i>
    <i>
      <x v="7"/>
    </i>
    <i>
      <x v="8"/>
    </i>
    <i>
      <x v="12"/>
    </i>
    <i t="grand">
      <x/>
    </i>
  </rowItems>
  <colFields count="1">
    <field x="2"/>
  </colFields>
  <colItems count="7">
    <i>
      <x v="3"/>
    </i>
    <i>
      <x v="4"/>
    </i>
    <i>
      <x v="6"/>
    </i>
    <i>
      <x v="7"/>
    </i>
    <i>
      <x v="8"/>
    </i>
    <i>
      <x v="9"/>
    </i>
    <i t="grand">
      <x/>
    </i>
  </colItems>
  <dataFields count="1">
    <dataField name="Licznik z LVL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2" cacheId="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G3:N8" firstHeaderRow="1" firstDataRow="2" firstDataCol="1" rowPageCount="1" colPageCount="1"/>
  <pivotFields count="13">
    <pivotField axis="axisPage" multipleItemSelectionAllowed="1" showAll="0">
      <items count="18">
        <item h="1" x="5"/>
        <item h="1" x="1"/>
        <item h="1" m="1" x="16"/>
        <item x="3"/>
        <item h="1" x="4"/>
        <item h="1" x="0"/>
        <item h="1" x="15"/>
        <item x="6"/>
        <item h="1" x="2"/>
        <item x="7"/>
        <item h="1" x="14"/>
        <item x="8"/>
        <item x="9"/>
        <item h="1" x="10"/>
        <item h="1" x="11"/>
        <item h="1" x="12"/>
        <item h="1" x="13"/>
        <item t="default"/>
      </items>
    </pivotField>
    <pivotField showAll="0"/>
    <pivotField axis="axisCol" showAll="0">
      <items count="15">
        <item x="0"/>
        <item x="5"/>
        <item x="1"/>
        <item x="4"/>
        <item x="3"/>
        <item x="2"/>
        <item x="13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12">
        <item x="6"/>
        <item x="3"/>
        <item h="1" x="0"/>
        <item h="1" x="1"/>
        <item h="1" x="2"/>
        <item h="1" x="5"/>
        <item h="1" x="7"/>
        <item h="1" x="8"/>
        <item h="1" m="1" x="11"/>
        <item x="4"/>
        <item h="1" x="9"/>
        <item h="1" x="10"/>
      </items>
    </pivotField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9"/>
    </i>
    <i t="grand">
      <x/>
    </i>
  </rowItems>
  <colFields count="1">
    <field x="2"/>
  </colFields>
  <colItems count="7">
    <i>
      <x v="3"/>
    </i>
    <i>
      <x v="4"/>
    </i>
    <i>
      <x v="7"/>
    </i>
    <i>
      <x v="8"/>
    </i>
    <i>
      <x v="11"/>
    </i>
    <i>
      <x v="12"/>
    </i>
    <i t="grand">
      <x/>
    </i>
  </colItems>
  <pageFields count="1">
    <pageField fld="0" hier="-1"/>
  </pageFields>
  <dataFields count="1">
    <dataField name="Suma z Quality/Quantity" fld="6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E48" firstHeaderRow="1" firstDataRow="2" firstDataCol="1"/>
  <pivotFields count="13">
    <pivotField axis="axisRow" showAll="0">
      <items count="18">
        <item x="5"/>
        <item x="1"/>
        <item m="1" x="16"/>
        <item x="3"/>
        <item x="4"/>
        <item x="0"/>
        <item h="1" x="15"/>
        <item h="1" x="6"/>
        <item x="2"/>
        <item h="1" x="7"/>
        <item h="1" x="14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5">
        <item x="0"/>
        <item x="5"/>
        <item x="1"/>
        <item x="4"/>
        <item x="3"/>
        <item x="2"/>
        <item x="13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dataField="1" showAll="0"/>
    <pivotField dataField="1" showAll="0"/>
    <pivotField showAll="0"/>
    <pivotField showAll="0" defaultSubtotal="0"/>
    <pivotField dataField="1" showAll="0"/>
    <pivotField showAll="0" defaultSubtotal="0"/>
    <pivotField showAll="0" defaultSubtotal="0"/>
    <pivotField showAll="0" defaultSubtotal="0"/>
    <pivotField showAll="0" defaultSubtotal="0"/>
  </pivotFields>
  <rowFields count="3">
    <field x="0"/>
    <field x="1"/>
    <field x="2"/>
  </rowFields>
  <rowItems count="44">
    <i>
      <x/>
    </i>
    <i r="1">
      <x/>
    </i>
    <i r="2">
      <x/>
    </i>
    <i r="2">
      <x v="9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9"/>
    </i>
    <i r="1">
      <x v="2"/>
    </i>
    <i r="2">
      <x/>
    </i>
    <i>
      <x v="3"/>
    </i>
    <i r="1">
      <x v="2"/>
    </i>
    <i r="2">
      <x v="3"/>
    </i>
    <i r="2">
      <x v="4"/>
    </i>
    <i r="2">
      <x v="7"/>
    </i>
    <i r="2">
      <x v="11"/>
    </i>
    <i>
      <x v="4"/>
    </i>
    <i r="1">
      <x v="1"/>
    </i>
    <i r="2">
      <x v="1"/>
    </i>
    <i>
      <x v="5"/>
    </i>
    <i r="1">
      <x/>
    </i>
    <i r="2">
      <x v="2"/>
    </i>
    <i r="2">
      <x v="5"/>
    </i>
    <i r="1">
      <x v="1"/>
    </i>
    <i r="2">
      <x v="2"/>
    </i>
    <i r="2">
      <x v="10"/>
    </i>
    <i r="1">
      <x v="2"/>
    </i>
    <i r="2">
      <x/>
    </i>
    <i r="2">
      <x v="2"/>
    </i>
    <i>
      <x v="8"/>
    </i>
    <i r="1">
      <x v="2"/>
    </i>
    <i r="2">
      <x v="2"/>
    </i>
    <i r="2">
      <x v="3"/>
    </i>
    <i r="2">
      <x v="4"/>
    </i>
    <i r="2">
      <x v="5"/>
    </i>
    <i r="2">
      <x v="7"/>
    </i>
    <i r="2">
      <x v="8"/>
    </i>
    <i r="2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Średnia z Mana drop" fld="3" subtotal="average" baseField="0" baseItem="0" numFmtId="4"/>
    <dataField name="Średnia z Sell drop" fld="8" subtotal="average" baseField="0" baseItem="0" numFmtId="4"/>
    <dataField name="Średnia z Energy Drop" fld="4" subtotal="average" baseField="0" baseItem="0" numFmtId="4"/>
    <dataField name="Licznik z Drop" fld="5" subtotal="count" baseField="0" baseItem="0"/>
  </dataFields>
  <formats count="2">
    <format dxfId="10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ela przestawna1" cacheId="1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2">
  <location ref="A5:W23" firstHeaderRow="1" firstDataRow="7" firstDataCol="1" rowPageCount="1" colPageCount="1"/>
  <pivotFields count="11">
    <pivotField axis="axisCol" numFmtId="3" showAll="0">
      <items count="3">
        <item x="0"/>
        <item h="1" x="1"/>
        <item t="default"/>
      </items>
    </pivotField>
    <pivotField axis="axisCol" numFmtId="3" showAll="0">
      <items count="3">
        <item x="1"/>
        <item x="0"/>
        <item t="default"/>
      </items>
    </pivotField>
    <pivotField axis="axisCol" numFmtId="3" showAll="0">
      <items count="3">
        <item x="0"/>
        <item h="1" x="1"/>
        <item t="default"/>
      </items>
    </pivotField>
    <pivotField axis="axisPage" numFmtId="9" showAll="0" defaultSubtotal="0">
      <items count="13">
        <item x="0"/>
        <item x="1"/>
        <item x="2"/>
        <item x="3"/>
        <item x="6"/>
        <item x="4"/>
        <item x="5"/>
        <item x="7"/>
        <item x="8"/>
        <item x="9"/>
        <item x="10"/>
        <item x="11"/>
        <item x="12"/>
      </items>
    </pivotField>
    <pivotField axis="axisCol" numFmtId="9" showAll="0">
      <items count="7">
        <item x="0"/>
        <item x="1"/>
        <item h="1" x="2"/>
        <item h="1" x="3"/>
        <item h="1" x="4"/>
        <item h="1" x="5"/>
        <item t="default"/>
      </items>
    </pivotField>
    <pivotField axis="axisCol" numFmtId="9" showAll="0">
      <items count="7">
        <item x="0"/>
        <item x="1"/>
        <item x="2"/>
        <item x="3"/>
        <item x="4"/>
        <item x="5"/>
        <item t="default"/>
      </items>
    </pivotField>
    <pivotField axis="axisRow" numFmtId="9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6">
    <field x="4"/>
    <field x="5"/>
    <field x="0"/>
    <field x="1"/>
    <field x="2"/>
    <field x="-2"/>
  </colFields>
  <colItems count="22">
    <i>
      <x/>
      <x v="1"/>
      <x/>
      <x v="1"/>
      <x/>
      <x/>
    </i>
    <i r="5" i="1">
      <x v="1"/>
    </i>
    <i t="default" r="3">
      <x v="1"/>
    </i>
    <i t="default" r="3" i="1">
      <x v="1"/>
    </i>
    <i t="default" r="2">
      <x/>
    </i>
    <i t="default" r="2" i="1">
      <x/>
    </i>
    <i t="default" r="1">
      <x v="1"/>
    </i>
    <i t="default" r="1" i="1">
      <x v="1"/>
    </i>
    <i t="default">
      <x/>
    </i>
    <i t="default" i="1">
      <x/>
    </i>
    <i>
      <x v="1"/>
      <x/>
      <x/>
      <x v="1"/>
      <x/>
      <x/>
    </i>
    <i r="5" i="1">
      <x v="1"/>
    </i>
    <i t="default" r="3">
      <x v="1"/>
    </i>
    <i t="default" r="3" i="1">
      <x v="1"/>
    </i>
    <i t="default" r="2">
      <x/>
    </i>
    <i t="default" r="2" i="1">
      <x/>
    </i>
    <i t="default" r="1">
      <x/>
    </i>
    <i t="default" r="1" i="1">
      <x/>
    </i>
    <i t="default">
      <x v="1"/>
    </i>
    <i t="default" i="1">
      <x v="1"/>
    </i>
    <i t="grand">
      <x/>
    </i>
    <i t="grand" i="1">
      <x/>
    </i>
  </colItems>
  <pageFields count="1">
    <pageField fld="3" item="1" hier="-1"/>
  </pageFields>
  <dataFields count="2">
    <dataField name="Maksimum z Fatal + Blade" fld="7" subtotal="max" baseField="0" baseItem="0"/>
    <dataField name="Maksimum z Rage + Blade" fld="8" subtotal="max" baseField="0" baseItem="0"/>
  </dataFields>
  <chartFormats count="16">
    <chartFormat chart="1" format="1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91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195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1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199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02" series="1">
      <pivotArea type="data" outline="0" fieldPosition="0">
        <references count="6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203" series="1">
      <pivotArea type="data" outline="0" fieldPosition="0">
        <references count="6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204" series="1">
      <pivotArea type="data" outline="0" fieldPosition="0">
        <references count="6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" format="205" series="1">
      <pivotArea type="data" outline="0" fieldPosition="0">
        <references count="6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ela przestawna3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21:J38" firstHeaderRow="1" firstDataRow="2" firstDataCol="1"/>
  <pivotFields count="19">
    <pivotField showAll="0"/>
    <pivotField axis="axisRow" showAll="0" defaultSubtotal="0">
      <items count="15">
        <item x="5"/>
        <item x="1"/>
        <item x="6"/>
        <item x="10"/>
        <item x="11"/>
        <item x="13"/>
        <item x="14"/>
        <item x="7"/>
        <item x="8"/>
        <item x="0"/>
        <item x="12"/>
        <item x="2"/>
        <item x="9"/>
        <item x="3"/>
        <item x="4"/>
      </items>
    </pivotField>
    <pivotField showAll="0">
      <items count="11">
        <item x="5"/>
        <item x="6"/>
        <item x="7"/>
        <item x="4"/>
        <item x="3"/>
        <item x="0"/>
        <item x="8"/>
        <item x="1"/>
        <item x="2"/>
        <item x="9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z HP%" fld="6" baseField="0" baseItem="0" numFmtId="9"/>
    <dataField name="Suma z Acc%" fld="8" baseField="0" baseItem="0" numFmtId="9"/>
    <dataField name="Suma z SPD" fld="9" baseField="0" baseItem="0"/>
    <dataField name="Suma z Crit Rate%" fld="10" baseField="0" baseItem="0" numFmtId="9"/>
    <dataField name="Suma z Crit DMG%" fld="11" baseField="0" baseItem="0" numFmtId="9"/>
    <dataField name="Suma z Att%" fld="12" baseField="0" baseItem="0" numFmtId="9"/>
    <dataField name="Suma z Def%" fld="14" baseField="0" baseItem="0" numFmtId="9"/>
    <dataField name="Suma z Def" fld="15" baseField="0" baseItem="0"/>
    <dataField name="Suma z Res%" fld="16" baseField="0" baseItem="0" numFmtId="9"/>
  </dataFields>
  <formats count="3">
    <format dxfId="3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4" selected="0">
            <x v="3"/>
            <x v="4"/>
            <x v="5"/>
            <x v="6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J19" firstHeaderRow="1" firstDataRow="2" firstDataCol="1"/>
  <pivotFields count="19">
    <pivotField axis="axisRow" showAll="0">
      <items count="16">
        <item x="4"/>
        <item x="1"/>
        <item x="5"/>
        <item x="6"/>
        <item x="7"/>
        <item x="0"/>
        <item x="2"/>
        <item x="8"/>
        <item x="3"/>
        <item h="1" x="14"/>
        <item x="9"/>
        <item x="10"/>
        <item x="11"/>
        <item x="12"/>
        <item x="13"/>
        <item t="default"/>
      </items>
    </pivotField>
    <pivotField showAll="0" defaultSubtota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 defaultSubtotal="0"/>
    <pivotField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z HP%" fld="6" baseField="0" baseItem="0"/>
    <dataField name="Suma z Acc%" fld="8" baseField="0" baseItem="0"/>
    <dataField name="Suma z SPD" fld="9" baseField="0" baseItem="0"/>
    <dataField name="Suma z Crit Rate%" fld="10" baseField="0" baseItem="0"/>
    <dataField name="Suma z Crit DMG%" fld="11" baseField="0" baseItem="0"/>
    <dataField name="Suma z Att%" fld="12" baseField="0" baseItem="0"/>
    <dataField name="Suma z Def%" fld="14" baseField="0" baseItem="0"/>
    <dataField name="Suma z Def" fld="15" baseField="0" baseItem="0"/>
    <dataField name="Suma z Res%" fld="16" baseField="0" baseItem="0"/>
  </dataFields>
  <formats count="4">
    <format dxfId="3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4">
      <pivotArea collapsedLevelsAreSubtotals="1" fieldPosition="0">
        <references count="2">
          <reference field="4294967294" count="4" selected="0">
            <x v="3"/>
            <x v="4"/>
            <x v="5"/>
            <x v="6"/>
          </reference>
          <reference field="0" count="0"/>
        </references>
      </pivotArea>
    </format>
    <format dxfId="33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ela3" displayName="Tabela3" ref="D1:J41" totalsRowShown="0">
  <autoFilter ref="D1:J41"/>
  <tableColumns count="7">
    <tableColumn id="1" name=" Level"/>
    <tableColumn id="2" name="1*"/>
    <tableColumn id="3" name="2*"/>
    <tableColumn id="4" name="3*"/>
    <tableColumn id="5" name="4*"/>
    <tableColumn id="6" name="5*"/>
    <tableColumn id="7" name="6*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B7" totalsRowShown="0">
  <autoFilter ref="A1:B7"/>
  <tableColumns count="2">
    <tableColumn id="1" name="Star"/>
    <tableColumn id="2" name="EXP to TOP lv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ela6" displayName="Tabela6" ref="L2:Q11" totalsRowShown="0">
  <autoFilter ref="L2:Q11"/>
  <tableColumns count="6">
    <tableColumn id="1" name="Kolumna1"/>
    <tableColumn id="2" name="Missing"/>
    <tableColumn id="3" name="Done"/>
    <tableColumn id="5" name="Zapas" dataDxfId="120">
      <calculatedColumnFormula>MAXA(-(4*M1-Tabela6[[#This Row],[Done]]),0)</calculatedColumnFormula>
    </tableColumn>
    <tableColumn id="4" name="XP to gain" dataDxfId="119"/>
    <tableColumn id="6" name="Mana Cost" dataDxfId="118">
      <calculatedColumnFormula>Tabela6[[#This Row],[Missing]]*4000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ela66" displayName="Tabela66" ref="L14:P23" totalsRowShown="0">
  <autoFilter ref="L14:P23"/>
  <tableColumns count="5">
    <tableColumn id="1" name="Kolumna1"/>
    <tableColumn id="2" name="Missing"/>
    <tableColumn id="3" name="Done"/>
    <tableColumn id="4" name="XP to gain" dataDxfId="117"/>
    <tableColumn id="5" name="Kolumna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9" name="Tabela610" displayName="Tabela610" ref="L27:O36" totalsRowShown="0">
  <autoFilter ref="L27:O36"/>
  <tableColumns count="4">
    <tableColumn id="1" name="Kolumna1"/>
    <tableColumn id="2" name="Missing"/>
    <tableColumn id="3" name="Done"/>
    <tableColumn id="4" name="XP to gain" dataDxfId="1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" name="DropAnalityka" displayName="DropAnalityka" ref="A1:M1997" totalsRowShown="0">
  <autoFilter ref="A1:M1997"/>
  <tableColumns count="13">
    <tableColumn id="1" name="Location"/>
    <tableColumn id="2" name="LVL"/>
    <tableColumn id="3" name="Stage"/>
    <tableColumn id="4" name="Mana drop"/>
    <tableColumn id="5" name="Energy Drop"/>
    <tableColumn id="6" name="Drop"/>
    <tableColumn id="8" name="Quality/Quantity"/>
    <tableColumn id="13" name="Grade"/>
    <tableColumn id="11" name="Sell Drop"/>
    <tableColumn id="7" name="Drop Worth">
      <calculatedColumnFormula>DropAnalityka[[#This Row],[Sell Drop]]+IFERROR(SUMIFS(Tabela10[Drop Worth],Tabela10[Drop],DropAnalityka[[#This Row],[Drop]],Tabela10[Grade],DropAnalityka[[#This Row],[Grade]])*DropAnalityka[[#This Row],[Quality/Quantity]],0)</calculatedColumnFormula>
    </tableColumn>
    <tableColumn id="12" name="Fod Worth" dataDxfId="115">
      <calculatedColumnFormula>IFERROR(SUMIFS(Tabela10[Fod Worth],Tabela10[Drop],DropAnalityka[[#This Row],[Drop]],Tabela10[Grade],DropAnalityka[[#This Row],[Grade]])*DropAnalityka[[#This Row],[Quality/Quantity]],0)</calculatedColumnFormula>
    </tableColumn>
    <tableColumn id="10" name="Exp Gain" dataDxfId="114">
      <calculatedColumnFormula>IFERROR(SUMIFS(Tabela10[Exp Gain only 2*+],Tabela10[Drop],DropAnalityka[[#This Row],[Drop]],Tabela10[Grade],DropAnalityka[[#This Row],[Grade]])*DropAnalityka[[#This Row],[Quality/Quantity]],0)</calculatedColumnFormula>
    </tableColumn>
    <tableColumn id="9" name="Fai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ela10" displayName="Tabela10" ref="O1:T8" totalsRowShown="0">
  <autoFilter ref="O1:T8"/>
  <tableColumns count="6">
    <tableColumn id="1" name="Drop"/>
    <tableColumn id="2" name="Grade"/>
    <tableColumn id="3" name="Drop Worth" dataDxfId="113"/>
    <tableColumn id="4" name="Fod Worth"/>
    <tableColumn id="5" name="Exp Gain"/>
    <tableColumn id="6" name="Exp Gain only 2*+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2" name="LocFeatures" displayName="LocFeatures" ref="A1:V94" totalsRowShown="0">
  <autoFilter ref="A1:V94"/>
  <sortState ref="A2:V94">
    <sortCondition ref="A2:A94"/>
    <sortCondition ref="B2:B94"/>
    <sortCondition ref="C2:C94"/>
  </sortState>
  <tableColumns count="22">
    <tableColumn id="1" name="Location"/>
    <tableColumn id="2" name="LVL"/>
    <tableColumn id="3" name="Stage"/>
    <tableColumn id="4" name="E. Cost"/>
    <tableColumn id="5" name="XP Gain per member"/>
    <tableColumn id="6" name="Mon nbr"/>
    <tableColumn id="7" name="Uwagi"/>
    <tableColumn id="8" name="Soloable"/>
    <tableColumn id="9" name="Drop worth gain" dataDxfId="112">
      <calculatedColumnFormula>AVERAGEIFS(DropAnalityka[Mana drop],DropAnalityka[Location],'Location features'!A2,DropAnalityka[LVL],'Location features'!B2,DropAnalityka[Stage],'Location features'!C2)+AVERAGEIFS(DropAnalityka[Drop Worth],DropAnalityka[Location],'Location features'!A2,DropAnalityka[LVL],'Location features'!B2,DropAnalityka[Stage],'Location features'!C2)+AVERAGEIFS(DropAnalityka[Fod Worth],DropAnalityka[Location],'Location features'!A2,DropAnalityka[LVL],'Location features'!B2,DropAnalityka[Stage],'Location features'!C2)</calculatedColumnFormula>
    </tableColumn>
    <tableColumn id="10" name="Energy gain"/>
    <tableColumn id="17" name="XP Total Gain" dataDxfId="111">
      <calculatedColumnFormula>4*LocFeatures[[#This Row],[XP Gain per member]]</calculatedColumnFormula>
    </tableColumn>
    <tableColumn id="11" name="XP Train Gain"/>
    <tableColumn id="22" name="XP drop" dataDxfId="110">
      <calculatedColumnFormula>AVERAGEIFS(DropAnalityka[Exp Gain],DropAnalityka[Location],'Location features'!$A2,DropAnalityka[LVL],'Location features'!$B2,DropAnalityka[Stage],'Location features'!$C2)</calculatedColumnFormula>
    </tableColumn>
    <tableColumn id="12" name="DropWorthGain/Energy"/>
    <tableColumn id="23" name="XP train/energy" dataDxfId="109">
      <calculatedColumnFormula>LocFeatures[[#This Row],[XP Train Gain]]/(LocFeatures[[#This Row],[E. Cost]]-LocFeatures[[#This Row],[Energy gain]])</calculatedColumnFormula>
    </tableColumn>
    <tableColumn id="13" name="XP/Energy"/>
    <tableColumn id="15" name="Próbka" dataDxfId="108">
      <calculatedColumnFormula>COUNTIFS(DropAnalityka[Location],LocFeatures[[#This Row],[Location]],DropAnalityka[LVL],LocFeatures[[#This Row],[LVL]],DropAnalityka[Stage],LocFeatures[[#This Row],[Stage]])</calculatedColumnFormula>
    </tableColumn>
    <tableColumn id="16" name="Pure Cash to XP + XP Train/Energy" dataDxfId="107">
      <calculatedColumnFormula>AVERAGEIFS(DropAnalityka[Mana drop],DropAnalityka[Location],LocFeatures[[#This Row],[Location]],DropAnalityka[LVL],LocFeatures[[#This Row],[LVL]],DropAnalityka[Stage],LocFeatures[[#This Row],[Stage]])</calculatedColumnFormula>
    </tableColumn>
    <tableColumn id="18" name="TimeToComplete Sek"/>
    <tableColumn id="19" name="SetToComplete"/>
    <tableColumn id="20" name="TimeToComplete Sek2"/>
    <tableColumn id="21" name="SetToComplete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ela11" displayName="Tabela11" ref="Q3:W6" totalsRowShown="0" headerRowDxfId="104" tableBorderDxfId="103">
  <autoFilter ref="Q3:W6"/>
  <tableColumns count="7">
    <tableColumn id="1" name="Kolumna1">
      <calculatedColumnFormula>G5</calculatedColumnFormula>
    </tableColumn>
    <tableColumn id="2" name="4" dataDxfId="102"/>
    <tableColumn id="3" name="5" dataDxfId="101"/>
    <tableColumn id="4" name="7" dataDxfId="100"/>
    <tableColumn id="5" name="8" dataDxfId="99"/>
    <tableColumn id="6" name="9" dataDxfId="98"/>
    <tableColumn id="7" name="10" dataDxfId="9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2" name="Tabela12" displayName="Tabela12" ref="X1:AB5" totalsRowShown="0" headerRowDxfId="96">
  <autoFilter ref="X1:AB5"/>
  <tableColumns count="5">
    <tableColumn id="1" name="Set Name" dataDxfId="95"/>
    <tableColumn id="2" name="Attack" dataDxfId="94"/>
    <tableColumn id="3" name="Crit.Dmg" dataDxfId="93"/>
    <tableColumn id="4" name="Crit.Cha" dataDxfId="92"/>
    <tableColumn id="5" name="Speed" dataDxfId="9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4" name="Tabela14" displayName="Tabela14" ref="A1:U74" totalsRowShown="0" headerRowDxfId="90" dataDxfId="89" tableBorderDxfId="88">
  <autoFilter ref="A1:U74"/>
  <tableColumns count="21">
    <tableColumn id="1" name="Set" dataDxfId="87"/>
    <tableColumn id="2" name="Runes" dataDxfId="86"/>
    <tableColumn id="3" name="Fatal Nbr" dataDxfId="85"/>
    <tableColumn id="4" name="Rage Nbr" dataDxfId="84"/>
    <tableColumn id="5" name="Blade Nbr" dataDxfId="83"/>
    <tableColumn id="6" name="Atk Mult" dataDxfId="82"/>
    <tableColumn id="7" name="CritD" dataDxfId="81"/>
    <tableColumn id="8" name="Atk % from subs" dataDxfId="80"/>
    <tableColumn id="9" name="Crit D % from subs" dataDxfId="79"/>
    <tableColumn id="10" name="% of Crit C from subs" dataDxfId="78"/>
    <tableColumn id="11" name="Nbr of Atk rune" dataDxfId="77"/>
    <tableColumn id="12" name="Nbr of Crit D rune" dataDxfId="76"/>
    <tableColumn id="13" name="Nbr of Crit C rune" dataDxfId="75"/>
    <tableColumn id="14" name="Atk" dataDxfId="74"/>
    <tableColumn id="15" name="Dmg" dataDxfId="73"/>
    <tableColumn id="16" name="DmgC" dataDxfId="72"/>
    <tableColumn id="17" name="Crit Chance Basic" dataDxfId="71"/>
    <tableColumn id="18" name="Final Crit Chance" dataDxfId="70"/>
    <tableColumn id="19" name="AvgDmg" dataDxfId="69"/>
    <tableColumn id="20" name="AvgDmg Basic" dataDxfId="68"/>
    <tableColumn id="21" name="% change to basic" dataDxfId="67"/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15" name="Tabela15" displayName="Tabela15" ref="W20:AF43" totalsRowShown="0" headerRowDxfId="66">
  <autoFilter ref="W20:AF43"/>
  <tableColumns count="10">
    <tableColumn id="1" name="Crit C" dataDxfId="65"/>
    <tableColumn id="2" name="Crit D" dataDxfId="64"/>
    <tableColumn id="3" name="Atk " dataDxfId="63"/>
    <tableColumn id="4" name="Set1" dataDxfId="62"/>
    <tableColumn id="5" name="Set2" dataDxfId="61"/>
    <tableColumn id="6" name="Rune1" dataDxfId="60"/>
    <tableColumn id="7" name="NBR R1"/>
    <tableColumn id="8" name="Rune2" dataDxfId="59"/>
    <tableColumn id="9" name="NBR R2"/>
    <tableColumn id="10" name="DPS Rank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21" name="Tabela21" displayName="Tabela21" ref="AJ2:AU1190" totalsRowShown="0" headerRowDxfId="58">
  <autoFilter ref="AJ2:AU1190"/>
  <tableColumns count="12">
    <tableColumn id="1" name="Att stones" dataDxfId="57"/>
    <tableColumn id="2" name="Crid D stone" dataDxfId="56"/>
    <tableColumn id="3" name="Crit C stone" dataDxfId="55"/>
    <tableColumn id="11" name="Kolumna1" dataDxfId="54">
      <calculatedColumnFormula>Tabela21[[#This Row],[Att subs]]+Tabela21[[#This Row],[Crit D subs]]</calculatedColumnFormula>
    </tableColumn>
    <tableColumn id="4" name="Att subs" dataDxfId="53"/>
    <tableColumn id="5" name="Crit D subs" dataDxfId="52"/>
    <tableColumn id="6" name="Crit C subs" dataDxfId="51"/>
    <tableColumn id="7" name="Fatal + Blade" dataDxfId="50">
      <calculatedColumnFormula>$AG$3*(1+$AJ3*$Y$2+$AN3+0.35)*(MAXA(1-$AI$3-$AL3*$AA$3-$AP3-0.12,0)+MINA($AI$3+$AL3*$AA$3+$AP3+0.12,1)*(1+$AH$3+$AO3+$AK3*$Z$4))</calculatedColumnFormula>
    </tableColumn>
    <tableColumn id="8" name="Rage + Blade" dataDxfId="49">
      <calculatedColumnFormula>$AG$3*(1+$AJ3*$Y$2+$AN3)*(MAXA(1-$AI$3-$AL3*$AA$3-$AP3-0.12,0)+MINA($AI$3+$AL3*$AA$3+$AP3+0.12,1)*(1+$AH$3+$AO3+$AK3*$Z$4+0.4))</calculatedColumnFormula>
    </tableColumn>
    <tableColumn id="9" name="3x Blade" dataDxfId="48">
      <calculatedColumnFormula>$AG$3*(1+$AJ3*$Y$2+$AN3)*(MAXA(1-$AI$3-$AL3*$AA$3-$AP3-0.36,0)+MINA($AI$3+$AL3*$AA$3+$AP3+0.36,1)*(1+$AH$3+$AO3+$AK3*$Z$4))</calculatedColumnFormula>
    </tableColumn>
    <tableColumn id="10" name="DobSk Fatal+balde" dataDxfId="47">
      <calculatedColumnFormula>$AG$3*(1+$AJ3*$Y$2+$AN3)*(MAXA(1-$AI$3-$AL3*$AA$3-$AP3-0.36,0)+2*MINA($AI$3+$AL3*$AA$3+$AP3+0.36,1)*(1+$AH$3+$AO3+$AK3*$Z$4))</calculatedColumnFormula>
    </tableColumn>
    <tableColumn id="12" name="DobSk Fatal+balde2" dataDxfId="46">
      <calculatedColumnFormula>$AG$3*(1+$AJ3*$Y$2+$AN3)*(MAXA(1-$AI$3-$AL3*$AA$3-$AP3-0.12,0)+2*MINA($AI$3+$AL3*$AA$3+$AP3+0.12,1)*(1+$AH$3+$AO3+$AK3*$Z$4+0.4))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7" name="Tabela1318" displayName="Tabela1318" ref="A1:L21" totalsRowShown="0">
  <autoFilter ref="A1:L21"/>
  <tableColumns count="12">
    <tableColumn id="1" name="Grade"/>
    <tableColumn id="2" name="Type"/>
    <tableColumn id="3" name="Att %"/>
    <tableColumn id="4" name="Crit D %"/>
    <tableColumn id="5" name="Crit C %"/>
    <tableColumn id="6" name="HP %"/>
    <tableColumn id="7" name="Def %"/>
    <tableColumn id="11" name="Acc %"/>
    <tableColumn id="12" name="SPD"/>
    <tableColumn id="8" name="HP" dataDxfId="45">
      <calculatedColumnFormula>FLOOR((J$17+J$18*(Tabela1318[[#This Row],[Type]]-1))*1.2,1)</calculatedColumnFormula>
    </tableColumn>
    <tableColumn id="9" name="Att" dataDxfId="44">
      <calculatedColumnFormula>FLOOR((K$17+K$18*(Tabela1318[[#This Row],[Type]]-1))*1.2,1)</calculatedColumnFormula>
    </tableColumn>
    <tableColumn id="10" name="Def" dataDxfId="4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8" name="Tabela8" displayName="Tabela8" ref="A1:S292" totalsRowShown="0">
  <autoFilter ref="A1:S292">
    <filterColumn colId="2">
      <filters>
        <filter val="Focus"/>
        <filter val="Swift"/>
      </filters>
    </filterColumn>
    <filterColumn colId="3">
      <filters>
        <filter val="3"/>
      </filters>
    </filterColumn>
  </autoFilter>
  <tableColumns count="19">
    <tableColumn id="1" name="Monster"/>
    <tableColumn id="20" name="Monst. Alter"/>
    <tableColumn id="15" name="Type"/>
    <tableColumn id="17" name="Slot"/>
    <tableColumn id="18" name="Enchant"/>
    <tableColumn id="2" name="Grade"/>
    <tableColumn id="4" name="HP%" dataDxfId="42"/>
    <tableColumn id="5" name="HP"/>
    <tableColumn id="6" name="Acc%"/>
    <tableColumn id="7" name="SPD"/>
    <tableColumn id="8" name="Crit Rate%" dataDxfId="41"/>
    <tableColumn id="9" name="Crit DMG%" dataDxfId="40"/>
    <tableColumn id="10" name="Att%" dataDxfId="39"/>
    <tableColumn id="16" name="Att"/>
    <tableColumn id="11" name="Def%" dataDxfId="38"/>
    <tableColumn id="14" name="Def"/>
    <tableColumn id="12" name="Res%" dataDxfId="37"/>
    <tableColumn id="13" name="Enchant2"/>
    <tableColumn id="19" name="GO to 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ela16" displayName="Tabela16" ref="A6:R38" totalsRowShown="0" headerRowDxfId="29">
  <autoFilter ref="A6:R38"/>
  <tableColumns count="18">
    <tableColumn id="1" name="Scenario"/>
    <tableColumn id="2" name="XP" dataDxfId="28">
      <calculatedColumnFormula>(2*$J7+$K7)/($R7-$Q7)*O7</calculatedColumnFormula>
    </tableColumn>
    <tableColumn id="3" name="Gold" dataDxfId="27">
      <calculatedColumnFormula>($J7+$K7)/($R7-$Q7)*P7</calculatedColumnFormula>
    </tableColumn>
    <tableColumn id="4" name="Ene refill to XP"/>
    <tableColumn id="5" name="Ener refill no XP"/>
    <tableColumn id="6" name="Ene to XP"/>
    <tableColumn id="7" name="Ene no XP"/>
    <tableColumn id="8" name="Boost cost"/>
    <tableColumn id="9" name="Energy pool">
      <calculatedColumnFormula>I6</calculatedColumnFormula>
    </tableColumn>
    <tableColumn id="10" name="Ene on boost" dataDxfId="26"/>
    <tableColumn id="11" name="Ene normal" dataDxfId="25"/>
    <tableColumn id="12" name="Location" dataDxfId="24"/>
    <tableColumn id="13" name="LVL" dataDxfId="23"/>
    <tableColumn id="14" name="Stage" dataDxfId="22"/>
    <tableColumn id="15" name="XP Gain">
      <calculatedColumnFormula>SUMIFS(LocFeatures[[#All],[XP Train Gain]],LocFeatures[[#All],[Location]],Grind.Summary!$L7,LocFeatures[[#All],[LVL]],Grind.Summary!$M7,LocFeatures[[#All],[Stage]],Grind.Summary!$N7)</calculatedColumnFormula>
    </tableColumn>
    <tableColumn id="16" name="Mana Gain">
      <calculatedColumnFormula>SUMIFS(LocFeatures[[#All],[Drop worth gain]],LocFeatures[[#All],[Location]],Grind.Summary!$L7,LocFeatures[[#All],[LVL]],Grind.Summary!$M7,LocFeatures[[#All],[Stage]],Grind.Summary!$N7)</calculatedColumnFormula>
    </tableColumn>
    <tableColumn id="17" name="Energy Gain">
      <calculatedColumnFormula>SUMIFS(LocFeatures[[#All],[Energy gain]],LocFeatures[[#All],[Location]],Grind.Summary!$L7,LocFeatures[[#All],[LVL]],Grind.Summary!$M7,LocFeatures[[#All],[Stage]],Grind.Summary!$N7)</calculatedColumnFormula>
    </tableColumn>
    <tableColumn id="18" name="Energy Cost">
      <calculatedColumnFormula>SUMIFS(LocFeatures[[#All],[E. Cost]],LocFeatures[[#All],[Location]],Grind.Summary!$L7,LocFeatures[[#All],[LVL]],Grind.Summary!$M7,LocFeatures[[#All],[Stage]],Grind.Summary!$N7)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7" name="Tabela7" displayName="Tabela7" ref="A1:F38" totalsRowShown="0">
  <autoFilter ref="A1:F38"/>
  <tableColumns count="6">
    <tableColumn id="1" name="Name"/>
    <tableColumn id="2" name="Set 1"/>
    <tableColumn id="3" name="Set 2"/>
    <tableColumn id="6" name="Slots 2/4/6 "/>
    <tableColumn id="4" name="Substats"/>
    <tableColumn id="5" name="Uwagi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ela2" displayName="Tabela2" ref="A1:T327" totalsRowShown="0" headerRowDxfId="21" dataDxfId="20">
  <autoFilter ref="A1:T327"/>
  <sortState ref="A2:T327">
    <sortCondition descending="1" ref="T2:T327"/>
  </sortState>
  <tableColumns count="20">
    <tableColumn id="1" name="LP" dataDxfId="19" dataCellStyle="Normalny 2"/>
    <tableColumn id="16" name="Awakened2" dataDxfId="18" dataCellStyle="Normalny 2"/>
    <tableColumn id="2" name="Name" dataDxfId="17"/>
    <tableColumn id="3" name="Stars" dataDxfId="16"/>
    <tableColumn id="4" name="Attribute" dataDxfId="15"/>
    <tableColumn id="5" name="G" dataDxfId="14"/>
    <tableColumn id="6" name="D" dataDxfId="13"/>
    <tableColumn id="7" name="N" dataDxfId="12"/>
    <tableColumn id="8" name="AO" dataDxfId="11"/>
    <tableColumn id="9" name="AD" dataDxfId="10"/>
    <tableColumn id="10" name="HM" dataDxfId="9"/>
    <tableColumn id="11" name="GWO" dataDxfId="8"/>
    <tableColumn id="12" name="GWD" dataDxfId="7"/>
    <tableColumn id="13" name="Fusion" dataDxfId="6"/>
    <tableColumn id="15" name="Possesion" dataDxfId="5" dataCellStyle="Normalny 2"/>
    <tableColumn id="20" name="Try to Get" dataDxfId="4" dataCellStyle="Normalny 2"/>
    <tableColumn id="17" name="Suma PVE" dataDxfId="3" dataCellStyle="Normalny 2">
      <calculatedColumnFormula>SUM(Tabela2[[#This Row],[G]]+Tabela2[[#This Row],[D]]+Tabela2[[#This Row],[N]]+Tabela2[[#This Row],[HM]])</calculatedColumnFormula>
    </tableColumn>
    <tableColumn id="18" name="Suma PVP" dataDxfId="2" dataCellStyle="Normalny 2">
      <calculatedColumnFormula>SUM(Tabela2[[#This Row],[AO]]+Tabela2[[#This Row],[AD]]+Tabela2[[#This Row],[GWO]]+Tabela2[[#This Row],[GWD]])</calculatedColumnFormula>
    </tableColumn>
    <tableColumn id="19" name="Suma GW" dataDxfId="1" dataCellStyle="Normalny 2">
      <calculatedColumnFormula>Tabela2[[#This Row],[GWO]]+Tabela2[[#This Row],[GWD]]</calculatedColumnFormula>
    </tableColumn>
    <tableColumn id="14" name="Suma ALL" dataDxfId="0">
      <calculatedColumnFormula>SUM(Tabela2[[#This Row],[G]:[GWD]])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0" name="Tabela20" displayName="Tabela20" ref="A1:G17" totalsRowShown="0">
  <autoFilter ref="A1:G17"/>
  <tableColumns count="7">
    <tableColumn id="1" name="Name"/>
    <tableColumn id="2" name="Grade"/>
    <tableColumn id="3" name="CD h."/>
    <tableColumn id="4" name="Cryst"/>
    <tableColumn id="5" name="Cryst/Day"/>
    <tableColumn id="6" name="Frequency/Month"/>
    <tableColumn id="7" name="Cryst/Month">
      <calculatedColumnFormula>F2*E2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1"/>
  <sheetViews>
    <sheetView topLeftCell="A10" workbookViewId="0">
      <selection activeCell="C49" sqref="C49"/>
    </sheetView>
  </sheetViews>
  <sheetFormatPr defaultRowHeight="14.25"/>
  <cols>
    <col min="2" max="2" width="15.875" customWidth="1"/>
    <col min="12" max="12" width="16.25" bestFit="1" customWidth="1"/>
    <col min="13" max="14" width="16.25" customWidth="1"/>
    <col min="15" max="16" width="12.375" bestFit="1" customWidth="1"/>
    <col min="17" max="17" width="11.875" customWidth="1"/>
    <col min="23" max="23" width="10.75" bestFit="1" customWidth="1"/>
    <col min="24" max="24" width="10.75" customWidth="1"/>
    <col min="25" max="25" width="7.875" bestFit="1" customWidth="1"/>
  </cols>
  <sheetData>
    <row r="1" spans="1:27">
      <c r="A1" t="s">
        <v>0</v>
      </c>
      <c r="B1" t="s">
        <v>1</v>
      </c>
      <c r="D1" t="s">
        <v>25</v>
      </c>
      <c r="E1" t="s">
        <v>17</v>
      </c>
      <c r="F1" t="s">
        <v>12</v>
      </c>
      <c r="G1" t="s">
        <v>26</v>
      </c>
      <c r="H1" t="s">
        <v>27</v>
      </c>
      <c r="I1" t="s">
        <v>28</v>
      </c>
      <c r="J1" t="s">
        <v>29</v>
      </c>
      <c r="S1" t="s">
        <v>71</v>
      </c>
      <c r="T1" t="s">
        <v>72</v>
      </c>
      <c r="U1" t="s">
        <v>73</v>
      </c>
      <c r="V1" t="s">
        <v>14</v>
      </c>
      <c r="W1" t="s">
        <v>75</v>
      </c>
      <c r="X1" t="s">
        <v>141</v>
      </c>
      <c r="Y1" t="s">
        <v>74</v>
      </c>
      <c r="Z1" t="s">
        <v>76</v>
      </c>
    </row>
    <row r="2" spans="1:27">
      <c r="A2">
        <v>1</v>
      </c>
      <c r="B2">
        <v>15120</v>
      </c>
      <c r="D2">
        <v>1</v>
      </c>
      <c r="E2">
        <v>460</v>
      </c>
      <c r="F2">
        <v>552</v>
      </c>
      <c r="G2">
        <v>662</v>
      </c>
      <c r="H2">
        <v>796</v>
      </c>
      <c r="I2">
        <v>952</v>
      </c>
      <c r="J2">
        <v>1150</v>
      </c>
      <c r="L2" t="s">
        <v>33</v>
      </c>
      <c r="M2" t="s">
        <v>116</v>
      </c>
      <c r="N2" t="s">
        <v>117</v>
      </c>
      <c r="O2" t="s">
        <v>328</v>
      </c>
      <c r="P2" t="s">
        <v>120</v>
      </c>
      <c r="Q2" t="s">
        <v>826</v>
      </c>
      <c r="T2" t="s">
        <v>17</v>
      </c>
      <c r="U2">
        <v>150</v>
      </c>
      <c r="V2" t="s">
        <v>17</v>
      </c>
      <c r="W2">
        <f>Tabela3[[#This Row],[2*]]+0.401*F3</f>
        <v>800.21900000000005</v>
      </c>
      <c r="X2" s="17">
        <f>$U2*$B$2/$W2</f>
        <v>2834.2241311440989</v>
      </c>
      <c r="Y2" s="17">
        <v>1600</v>
      </c>
      <c r="Z2" s="17">
        <f t="shared" ref="Z2:Z8" si="0">W2/U2</f>
        <v>5.3347933333333337</v>
      </c>
      <c r="AA2">
        <f>$B$2/W2</f>
        <v>18.894827540960662</v>
      </c>
    </row>
    <row r="3" spans="1:27">
      <c r="A3">
        <v>2</v>
      </c>
      <c r="B3">
        <v>35822</v>
      </c>
      <c r="D3">
        <v>2</v>
      </c>
      <c r="E3">
        <v>516</v>
      </c>
      <c r="F3">
        <v>619</v>
      </c>
      <c r="G3">
        <v>743</v>
      </c>
      <c r="H3">
        <v>892</v>
      </c>
      <c r="I3">
        <v>1068</v>
      </c>
      <c r="J3">
        <v>1290</v>
      </c>
      <c r="L3" t="s">
        <v>118</v>
      </c>
      <c r="M3">
        <f>5-Tabela6[[#This Row],[Done]]</f>
        <v>1</v>
      </c>
      <c r="N3">
        <v>4</v>
      </c>
      <c r="O3" s="43">
        <v>0</v>
      </c>
      <c r="P3" s="1">
        <v>0</v>
      </c>
      <c r="Q3" s="1">
        <f>Tabela6[[#This Row],[Missing]]*22300</f>
        <v>22300</v>
      </c>
      <c r="R3">
        <v>2</v>
      </c>
      <c r="T3" t="s">
        <v>12</v>
      </c>
      <c r="U3">
        <v>500</v>
      </c>
      <c r="V3" t="s">
        <v>12</v>
      </c>
      <c r="W3">
        <f>F2+Tabela3[[#This Row],[2*]]+0.847*F4</f>
        <v>1759.665</v>
      </c>
      <c r="X3" s="17">
        <f>$U3*$B$3/$W3</f>
        <v>10178.641957418031</v>
      </c>
      <c r="Y3" s="17">
        <v>4000</v>
      </c>
      <c r="Z3" s="17">
        <f t="shared" si="0"/>
        <v>3.5193300000000001</v>
      </c>
      <c r="AA3">
        <f>$B$3/W3</f>
        <v>20.357283914836064</v>
      </c>
    </row>
    <row r="4" spans="1:27">
      <c r="A4">
        <v>3</v>
      </c>
      <c r="B4">
        <v>82182</v>
      </c>
      <c r="D4">
        <v>3</v>
      </c>
      <c r="E4">
        <v>579</v>
      </c>
      <c r="F4">
        <v>695</v>
      </c>
      <c r="G4">
        <v>834</v>
      </c>
      <c r="H4">
        <v>1002</v>
      </c>
      <c r="I4">
        <v>1199</v>
      </c>
      <c r="J4">
        <v>1447</v>
      </c>
      <c r="L4" t="s">
        <v>80</v>
      </c>
      <c r="M4">
        <f>MAXA(M3-Tabela6[[#This Row],[Done]],0)</f>
        <v>0</v>
      </c>
      <c r="N4">
        <v>4</v>
      </c>
      <c r="O4" s="43">
        <f>MAXA(Tabela6[[#This Row],[Done]]-M3,0)</f>
        <v>3</v>
      </c>
      <c r="P4" s="1">
        <f>M4*$B$5</f>
        <v>0</v>
      </c>
      <c r="Q4" s="1">
        <f>Tabela6[[#This Row],[Missing]]*9600</f>
        <v>0</v>
      </c>
      <c r="R4">
        <v>0</v>
      </c>
      <c r="T4" t="s">
        <v>12</v>
      </c>
      <c r="U4">
        <v>300</v>
      </c>
      <c r="V4" t="s">
        <v>17</v>
      </c>
      <c r="W4">
        <f>Tabela3[[#This Row],[2*]]+0.401*F5</f>
        <v>1007.379</v>
      </c>
      <c r="X4" s="17">
        <f>$U4*$B$3/$W4</f>
        <v>10667.881700928845</v>
      </c>
      <c r="Y4" s="17">
        <v>4000</v>
      </c>
      <c r="Z4" s="17">
        <f t="shared" si="0"/>
        <v>3.3579300000000001</v>
      </c>
      <c r="AA4">
        <f>$B$3/W4</f>
        <v>35.559605669762817</v>
      </c>
    </row>
    <row r="5" spans="1:27">
      <c r="A5">
        <v>4</v>
      </c>
      <c r="B5">
        <v>189750</v>
      </c>
      <c r="D5">
        <v>4</v>
      </c>
      <c r="E5">
        <v>650</v>
      </c>
      <c r="F5">
        <v>779</v>
      </c>
      <c r="G5">
        <v>936</v>
      </c>
      <c r="H5">
        <v>1124</v>
      </c>
      <c r="I5">
        <v>1344</v>
      </c>
      <c r="J5">
        <v>1624</v>
      </c>
      <c r="L5" t="s">
        <v>79</v>
      </c>
      <c r="M5">
        <f>MAXA(4*M3-Tabela6[[#This Row],[Done]],0)</f>
        <v>0</v>
      </c>
      <c r="N5">
        <v>4</v>
      </c>
      <c r="O5" s="43">
        <f>MAXA(-(4*M3-Tabela6[[#This Row],[Done]])-M4,0)</f>
        <v>0</v>
      </c>
      <c r="P5" s="1"/>
      <c r="Q5" s="1">
        <f>Tabela6[[#This Row],[Missing]]*9600</f>
        <v>0</v>
      </c>
      <c r="R5">
        <v>9</v>
      </c>
      <c r="T5" t="s">
        <v>12</v>
      </c>
      <c r="U5">
        <v>500</v>
      </c>
      <c r="V5" t="s">
        <v>12</v>
      </c>
      <c r="W5">
        <f>F4+Tabela3[[#This Row],[2*]]+0.847*F6</f>
        <v>2215.125</v>
      </c>
      <c r="X5" s="17">
        <f>$U5*$B$3/$W5</f>
        <v>8085.7739405225439</v>
      </c>
      <c r="Y5" s="17">
        <v>4000</v>
      </c>
      <c r="Z5" s="17">
        <f t="shared" si="0"/>
        <v>4.43025</v>
      </c>
      <c r="AA5">
        <f>$B$3/W5</f>
        <v>16.171547881045086</v>
      </c>
    </row>
    <row r="6" spans="1:27">
      <c r="A6">
        <v>5</v>
      </c>
      <c r="B6">
        <v>446647</v>
      </c>
      <c r="D6">
        <v>5</v>
      </c>
      <c r="E6">
        <v>728</v>
      </c>
      <c r="F6">
        <v>875</v>
      </c>
      <c r="G6">
        <v>1049</v>
      </c>
      <c r="H6">
        <v>1261</v>
      </c>
      <c r="I6">
        <v>1509</v>
      </c>
      <c r="J6">
        <v>1823</v>
      </c>
      <c r="L6" t="s">
        <v>77</v>
      </c>
      <c r="M6">
        <f>MAXA(M5+M4-O5-Tabela6[[#This Row],[Done]],0)</f>
        <v>0</v>
      </c>
      <c r="N6">
        <v>15</v>
      </c>
      <c r="O6" s="43">
        <f>MAXA(-(M5+M4-O5-Tabela6[[#This Row],[Done]]),0)</f>
        <v>15</v>
      </c>
      <c r="P6" s="1">
        <f>M6*$B$4</f>
        <v>0</v>
      </c>
      <c r="Q6" s="1">
        <f>Tabela6[[#This Row],[Missing]]*4000</f>
        <v>0</v>
      </c>
      <c r="R6">
        <v>11</v>
      </c>
      <c r="T6" t="s">
        <v>26</v>
      </c>
      <c r="U6">
        <v>450</v>
      </c>
      <c r="V6" t="s">
        <v>17</v>
      </c>
      <c r="W6">
        <f>G4+0.186*G5</f>
        <v>1008.096</v>
      </c>
      <c r="X6" s="17">
        <f>$U6*$B$4/$W6</f>
        <v>36684.899057232644</v>
      </c>
      <c r="Y6" s="17">
        <v>9600</v>
      </c>
      <c r="Z6" s="17">
        <f t="shared" si="0"/>
        <v>2.2402133333333332</v>
      </c>
      <c r="AA6">
        <f>$B$4/W6</f>
        <v>81.521997904961438</v>
      </c>
    </row>
    <row r="7" spans="1:27">
      <c r="A7">
        <v>6</v>
      </c>
      <c r="B7">
        <v>1005420</v>
      </c>
      <c r="D7">
        <v>6</v>
      </c>
      <c r="E7">
        <v>818</v>
      </c>
      <c r="F7">
        <v>981</v>
      </c>
      <c r="G7">
        <v>1178</v>
      </c>
      <c r="H7">
        <v>1415</v>
      </c>
      <c r="I7">
        <v>1693</v>
      </c>
      <c r="J7">
        <v>2044</v>
      </c>
      <c r="L7" t="s">
        <v>78</v>
      </c>
      <c r="M7">
        <f>MAXA(3*(M5+M4-O5)-Tabela6[[#This Row],[Done]],0)</f>
        <v>0</v>
      </c>
      <c r="N7">
        <v>0</v>
      </c>
      <c r="O7" s="43">
        <f>MAXA(-3*(M4+M5-O5)+Tabela6[[#This Row],[Done]],0)</f>
        <v>0</v>
      </c>
      <c r="P7" s="1"/>
      <c r="Q7" s="1">
        <f>Tabela6[[#This Row],[Missing]]*4000</f>
        <v>0</v>
      </c>
      <c r="R7">
        <v>6</v>
      </c>
      <c r="T7" t="s">
        <v>26</v>
      </c>
      <c r="U7">
        <v>750</v>
      </c>
      <c r="V7" t="s">
        <v>12</v>
      </c>
      <c r="W7">
        <f>G4+G5+0.489*G6</f>
        <v>2282.9610000000002</v>
      </c>
      <c r="X7" s="17">
        <f>$U7*$B$4/$W7</f>
        <v>26998.490118753667</v>
      </c>
      <c r="Y7" s="17">
        <v>9600</v>
      </c>
      <c r="Z7" s="17">
        <f t="shared" si="0"/>
        <v>3.0439480000000003</v>
      </c>
      <c r="AA7">
        <f>$B$4/W7</f>
        <v>35.997986825004894</v>
      </c>
    </row>
    <row r="8" spans="1:27">
      <c r="D8">
        <v>7</v>
      </c>
      <c r="E8">
        <v>918</v>
      </c>
      <c r="F8">
        <v>1102</v>
      </c>
      <c r="G8">
        <v>1321</v>
      </c>
      <c r="H8">
        <v>1587</v>
      </c>
      <c r="I8">
        <v>1899</v>
      </c>
      <c r="J8">
        <v>2294</v>
      </c>
      <c r="L8" t="s">
        <v>119</v>
      </c>
      <c r="M8">
        <f>MAXA(M7+M6-O7-Tabela6[[#This Row],[Done]],0)</f>
        <v>0</v>
      </c>
      <c r="N8">
        <v>20</v>
      </c>
      <c r="O8" s="43">
        <f>MAXA(-(M7+M6-O7-Tabela6[[#This Row],[Done]]),0)</f>
        <v>20</v>
      </c>
      <c r="P8" s="1">
        <f>M8*$B$3</f>
        <v>0</v>
      </c>
      <c r="Q8" s="1">
        <f>Tabela6[[#This Row],[Missing]]*4000</f>
        <v>0</v>
      </c>
      <c r="R8">
        <v>9</v>
      </c>
      <c r="T8" t="s">
        <v>27</v>
      </c>
      <c r="U8">
        <v>600</v>
      </c>
      <c r="V8" t="s">
        <v>17</v>
      </c>
      <c r="W8">
        <f>W4</f>
        <v>1007.379</v>
      </c>
      <c r="X8" s="17">
        <f>$U8*$B$5/$W8</f>
        <v>113016.05453359659</v>
      </c>
      <c r="Y8" s="17">
        <v>22300</v>
      </c>
      <c r="Z8" s="17">
        <f t="shared" si="0"/>
        <v>1.678965</v>
      </c>
      <c r="AA8">
        <f>$B$5/W8</f>
        <v>188.36009088932764</v>
      </c>
    </row>
    <row r="9" spans="1:27">
      <c r="D9">
        <v>8</v>
      </c>
      <c r="E9">
        <v>1029</v>
      </c>
      <c r="F9">
        <v>1235</v>
      </c>
      <c r="G9">
        <v>1483</v>
      </c>
      <c r="H9">
        <v>1781</v>
      </c>
      <c r="I9">
        <v>2131</v>
      </c>
      <c r="J9">
        <v>2574</v>
      </c>
      <c r="L9" s="6" t="s">
        <v>122</v>
      </c>
      <c r="M9" s="6">
        <f>MAXA(2*(M7+M6-O7)-Tabela6[[#This Row],[Done]],0)</f>
        <v>0</v>
      </c>
      <c r="N9">
        <v>3</v>
      </c>
      <c r="O9" s="43">
        <f>MAXA(-(2*M7+M8-Tabela6[[#This Row],[Done]]),0)</f>
        <v>3</v>
      </c>
      <c r="P9" s="39"/>
      <c r="Q9" s="39">
        <f>Tabela6[[#This Row],[Missing]]*11000</f>
        <v>0</v>
      </c>
      <c r="R9">
        <v>20</v>
      </c>
    </row>
    <row r="10" spans="1:27">
      <c r="D10">
        <v>9</v>
      </c>
      <c r="E10">
        <v>1155</v>
      </c>
      <c r="F10">
        <v>1386</v>
      </c>
      <c r="G10">
        <v>1663</v>
      </c>
      <c r="H10">
        <v>1998</v>
      </c>
      <c r="I10">
        <v>2392</v>
      </c>
      <c r="J10">
        <v>2888</v>
      </c>
      <c r="L10" t="s">
        <v>161</v>
      </c>
      <c r="M10">
        <v>0</v>
      </c>
      <c r="N10">
        <v>0</v>
      </c>
      <c r="O10" s="43"/>
      <c r="P10" s="46">
        <f>Tabela6[[#This Row],[Missing]]*$B$2</f>
        <v>0</v>
      </c>
      <c r="Q10" s="46">
        <f>Tabela6[[#This Row],[Missing]]*4000</f>
        <v>0</v>
      </c>
      <c r="R10">
        <v>0</v>
      </c>
    </row>
    <row r="11" spans="1:27">
      <c r="D11">
        <v>10</v>
      </c>
      <c r="E11">
        <v>1296</v>
      </c>
      <c r="F11">
        <v>1555</v>
      </c>
      <c r="G11">
        <v>1866</v>
      </c>
      <c r="H11">
        <v>2243</v>
      </c>
      <c r="I11">
        <v>2682</v>
      </c>
      <c r="J11">
        <v>3240</v>
      </c>
      <c r="L11" s="6" t="s">
        <v>162</v>
      </c>
      <c r="M11" s="6">
        <f>MAXA(2*M10-Tabela6[[#This Row],[Done]],0)</f>
        <v>0</v>
      </c>
      <c r="N11">
        <v>0</v>
      </c>
      <c r="O11" s="43"/>
      <c r="P11" s="39"/>
      <c r="Q11" s="39">
        <f>Tabela6[[#This Row],[Missing]]*4000</f>
        <v>0</v>
      </c>
      <c r="R11">
        <v>0</v>
      </c>
    </row>
    <row r="12" spans="1:27" ht="15">
      <c r="D12">
        <v>11</v>
      </c>
      <c r="E12">
        <v>1455</v>
      </c>
      <c r="F12">
        <v>1745</v>
      </c>
      <c r="G12">
        <v>2094</v>
      </c>
      <c r="H12">
        <v>2515</v>
      </c>
      <c r="I12">
        <v>3010</v>
      </c>
      <c r="J12">
        <v>3635</v>
      </c>
      <c r="N12" t="s">
        <v>121</v>
      </c>
      <c r="P12" s="38">
        <f>SUM(Tabela6[XP to gain])</f>
        <v>0</v>
      </c>
      <c r="Q12" s="38">
        <f>SUM(Q3:Q9)</f>
        <v>22300</v>
      </c>
    </row>
    <row r="13" spans="1:27">
      <c r="D13">
        <v>12</v>
      </c>
      <c r="E13">
        <v>1631</v>
      </c>
      <c r="F13">
        <v>1958</v>
      </c>
      <c r="G13">
        <v>2350</v>
      </c>
      <c r="H13">
        <v>2823</v>
      </c>
      <c r="I13">
        <v>3378</v>
      </c>
      <c r="J13">
        <v>4079</v>
      </c>
    </row>
    <row r="14" spans="1:27">
      <c r="D14">
        <v>13</v>
      </c>
      <c r="E14">
        <v>1831</v>
      </c>
      <c r="F14">
        <v>2197</v>
      </c>
      <c r="G14">
        <v>2636</v>
      </c>
      <c r="H14">
        <v>3167</v>
      </c>
      <c r="I14">
        <v>3789</v>
      </c>
      <c r="J14">
        <v>4576</v>
      </c>
      <c r="L14" t="s">
        <v>33</v>
      </c>
      <c r="M14" t="s">
        <v>116</v>
      </c>
      <c r="N14" t="s">
        <v>117</v>
      </c>
      <c r="O14" t="s">
        <v>120</v>
      </c>
      <c r="P14" t="s">
        <v>35</v>
      </c>
    </row>
    <row r="15" spans="1:27">
      <c r="D15">
        <v>14</v>
      </c>
      <c r="E15">
        <v>2054</v>
      </c>
      <c r="F15">
        <v>2465</v>
      </c>
      <c r="G15">
        <v>2957</v>
      </c>
      <c r="H15">
        <v>3553</v>
      </c>
      <c r="I15">
        <v>4252</v>
      </c>
      <c r="J15">
        <v>5135</v>
      </c>
      <c r="L15" t="s">
        <v>118</v>
      </c>
      <c r="M15">
        <v>1</v>
      </c>
      <c r="N15">
        <v>0</v>
      </c>
      <c r="O15" s="1">
        <v>0</v>
      </c>
    </row>
    <row r="16" spans="1:27">
      <c r="D16">
        <v>15</v>
      </c>
      <c r="F16">
        <v>2765</v>
      </c>
      <c r="G16">
        <v>3319</v>
      </c>
      <c r="H16">
        <v>3987</v>
      </c>
      <c r="I16">
        <v>4770</v>
      </c>
      <c r="J16">
        <v>5762</v>
      </c>
      <c r="L16" t="s">
        <v>80</v>
      </c>
      <c r="M16">
        <f>M15-Tabela66[[#This Row],[Done]]</f>
        <v>1</v>
      </c>
      <c r="N16">
        <v>0</v>
      </c>
      <c r="O16" s="1">
        <f>M16*$B$5</f>
        <v>189750</v>
      </c>
      <c r="R16" s="15"/>
      <c r="S16" s="15"/>
    </row>
    <row r="17" spans="4:16">
      <c r="D17">
        <v>16</v>
      </c>
      <c r="F17">
        <v>3103</v>
      </c>
      <c r="G17">
        <v>3723</v>
      </c>
      <c r="H17">
        <v>4473</v>
      </c>
      <c r="I17">
        <v>5352</v>
      </c>
      <c r="J17">
        <v>6464</v>
      </c>
      <c r="L17" t="s">
        <v>79</v>
      </c>
      <c r="M17">
        <f>MAXA(4-Tabela66[[#This Row],[Done]],0)</f>
        <v>4</v>
      </c>
      <c r="N17">
        <v>0</v>
      </c>
      <c r="O17" s="1"/>
      <c r="P17">
        <v>1</v>
      </c>
    </row>
    <row r="18" spans="4:16">
      <c r="D18">
        <v>17</v>
      </c>
      <c r="F18">
        <v>3481</v>
      </c>
      <c r="G18">
        <v>4178</v>
      </c>
      <c r="H18">
        <v>5019</v>
      </c>
      <c r="I18">
        <v>6006</v>
      </c>
      <c r="J18">
        <v>7252</v>
      </c>
      <c r="L18" t="s">
        <v>77</v>
      </c>
      <c r="M18">
        <f>MAXA(M17-Tabela66[[#This Row],[Done]],0)</f>
        <v>4</v>
      </c>
      <c r="N18">
        <v>0</v>
      </c>
      <c r="O18" s="1">
        <f>M18*$B$4</f>
        <v>328728</v>
      </c>
    </row>
    <row r="19" spans="4:16">
      <c r="D19">
        <v>18</v>
      </c>
      <c r="F19">
        <v>3906</v>
      </c>
      <c r="G19">
        <v>4687</v>
      </c>
      <c r="H19">
        <v>5631</v>
      </c>
      <c r="I19">
        <v>6738</v>
      </c>
      <c r="J19">
        <v>8138</v>
      </c>
      <c r="L19" t="s">
        <v>78</v>
      </c>
      <c r="M19">
        <f>3*(M17+M16)-Tabela66[[#This Row],[Done]]</f>
        <v>15</v>
      </c>
      <c r="N19">
        <v>0</v>
      </c>
      <c r="O19" s="1"/>
      <c r="P19">
        <v>1</v>
      </c>
    </row>
    <row r="20" spans="4:16">
      <c r="D20">
        <v>19</v>
      </c>
      <c r="F20">
        <v>4423</v>
      </c>
      <c r="G20">
        <v>5307</v>
      </c>
      <c r="H20">
        <v>6376</v>
      </c>
      <c r="I20">
        <v>7628</v>
      </c>
      <c r="J20">
        <v>9214</v>
      </c>
      <c r="L20" t="s">
        <v>119</v>
      </c>
      <c r="M20">
        <f>MAXA(M19+M18-Tabela66[[#This Row],[Done]],0)</f>
        <v>19</v>
      </c>
      <c r="N20">
        <v>0</v>
      </c>
      <c r="O20" s="1">
        <f>M20*$B$3</f>
        <v>680618</v>
      </c>
    </row>
    <row r="21" spans="4:16">
      <c r="D21">
        <v>20</v>
      </c>
      <c r="G21">
        <v>6009</v>
      </c>
      <c r="H21">
        <v>7219</v>
      </c>
      <c r="I21">
        <v>8638</v>
      </c>
      <c r="J21">
        <v>10431</v>
      </c>
      <c r="L21" s="6" t="s">
        <v>122</v>
      </c>
      <c r="M21" s="6">
        <f>2*(M19+M18)-Tabela66[[#This Row],[Done]]</f>
        <v>38</v>
      </c>
      <c r="N21">
        <v>0</v>
      </c>
      <c r="O21" s="39"/>
      <c r="P21">
        <v>2</v>
      </c>
    </row>
    <row r="22" spans="4:16">
      <c r="D22">
        <v>21</v>
      </c>
      <c r="G22">
        <v>6802</v>
      </c>
      <c r="H22">
        <v>8172</v>
      </c>
      <c r="I22">
        <v>9779</v>
      </c>
      <c r="J22">
        <v>11811</v>
      </c>
      <c r="L22" t="s">
        <v>161</v>
      </c>
      <c r="M22">
        <v>0</v>
      </c>
      <c r="N22">
        <v>0</v>
      </c>
      <c r="O22" s="46">
        <f>Tabela66[[#This Row],[Missing]]*$B$2</f>
        <v>0</v>
      </c>
    </row>
    <row r="23" spans="4:16">
      <c r="D23">
        <v>22</v>
      </c>
      <c r="G23">
        <v>7703</v>
      </c>
      <c r="H23">
        <v>9254</v>
      </c>
      <c r="I23">
        <v>11072</v>
      </c>
      <c r="J23">
        <v>13371</v>
      </c>
      <c r="L23" s="6" t="s">
        <v>162</v>
      </c>
      <c r="M23" s="6">
        <v>0</v>
      </c>
      <c r="N23">
        <v>0</v>
      </c>
      <c r="O23" s="39"/>
      <c r="P23">
        <v>45</v>
      </c>
    </row>
    <row r="24" spans="4:16" ht="15">
      <c r="D24">
        <v>23</v>
      </c>
      <c r="G24">
        <v>8720</v>
      </c>
      <c r="H24">
        <v>10476</v>
      </c>
      <c r="I24">
        <v>12535</v>
      </c>
      <c r="J24">
        <v>15140</v>
      </c>
      <c r="N24" t="s">
        <v>121</v>
      </c>
      <c r="O24" s="38">
        <f>SUM(Tabela66[XP to gain])</f>
        <v>1199096</v>
      </c>
    </row>
    <row r="25" spans="4:16">
      <c r="D25">
        <v>24</v>
      </c>
      <c r="G25">
        <v>9962</v>
      </c>
      <c r="H25">
        <v>11969</v>
      </c>
      <c r="I25">
        <v>14321</v>
      </c>
      <c r="J25">
        <v>17296</v>
      </c>
    </row>
    <row r="26" spans="4:16" ht="15">
      <c r="D26">
        <v>25</v>
      </c>
      <c r="H26">
        <v>13673</v>
      </c>
      <c r="I26">
        <v>16360</v>
      </c>
      <c r="J26">
        <v>19758</v>
      </c>
      <c r="L26" s="36" t="s">
        <v>224</v>
      </c>
    </row>
    <row r="27" spans="4:16">
      <c r="D27">
        <v>26</v>
      </c>
      <c r="H27">
        <v>15619</v>
      </c>
      <c r="I27">
        <v>18690</v>
      </c>
      <c r="J27">
        <v>22572</v>
      </c>
      <c r="L27" t="s">
        <v>33</v>
      </c>
      <c r="M27" t="s">
        <v>116</v>
      </c>
      <c r="N27" t="s">
        <v>117</v>
      </c>
      <c r="O27" t="s">
        <v>120</v>
      </c>
    </row>
    <row r="28" spans="4:16">
      <c r="D28">
        <v>27</v>
      </c>
      <c r="H28">
        <v>17844</v>
      </c>
      <c r="I28">
        <v>21350</v>
      </c>
      <c r="J28">
        <v>25786</v>
      </c>
      <c r="L28" t="s">
        <v>329</v>
      </c>
      <c r="M28">
        <f>4-Tabela610[[#This Row],[Done]]</f>
        <v>1</v>
      </c>
      <c r="N28">
        <v>3</v>
      </c>
      <c r="O28" s="1">
        <f>Tabela610[[#This Row],[Missing]]*$B$6</f>
        <v>446647</v>
      </c>
      <c r="P28">
        <v>2</v>
      </c>
    </row>
    <row r="29" spans="4:16">
      <c r="D29">
        <v>28</v>
      </c>
      <c r="H29">
        <v>20386</v>
      </c>
      <c r="I29">
        <v>24392</v>
      </c>
      <c r="J29">
        <v>29458</v>
      </c>
      <c r="L29" t="s">
        <v>80</v>
      </c>
      <c r="M29">
        <f>16-Tabela610[[#This Row],[Done]]</f>
        <v>0</v>
      </c>
      <c r="N29">
        <v>16</v>
      </c>
      <c r="O29" s="1">
        <f>M29*$B$5</f>
        <v>0</v>
      </c>
      <c r="P29">
        <v>14</v>
      </c>
    </row>
    <row r="30" spans="4:16">
      <c r="D30">
        <v>29</v>
      </c>
      <c r="H30">
        <v>23495</v>
      </c>
      <c r="I30">
        <v>28113</v>
      </c>
      <c r="J30">
        <v>33954</v>
      </c>
      <c r="L30" t="s">
        <v>79</v>
      </c>
      <c r="M30">
        <v>0</v>
      </c>
      <c r="N30">
        <v>0</v>
      </c>
      <c r="O30" s="1"/>
    </row>
    <row r="31" spans="4:16">
      <c r="D31">
        <v>30</v>
      </c>
      <c r="I31">
        <v>32404</v>
      </c>
      <c r="J31">
        <v>39134</v>
      </c>
      <c r="L31" t="s">
        <v>77</v>
      </c>
      <c r="M31">
        <f>MAXA(M30-Tabela610[[#This Row],[Done]],0)</f>
        <v>0</v>
      </c>
      <c r="N31">
        <f>O6</f>
        <v>15</v>
      </c>
      <c r="O31" s="1">
        <f>M31*$B$4</f>
        <v>0</v>
      </c>
      <c r="P31">
        <v>15</v>
      </c>
    </row>
    <row r="32" spans="4:16">
      <c r="D32">
        <v>31</v>
      </c>
      <c r="I32">
        <v>37348</v>
      </c>
      <c r="J32">
        <v>45107</v>
      </c>
      <c r="L32" t="s">
        <v>78</v>
      </c>
      <c r="M32">
        <f>MAXA(3*M30-Tabela610[[#This Row],[Done]],0)</f>
        <v>0</v>
      </c>
      <c r="N32">
        <f>O7</f>
        <v>0</v>
      </c>
      <c r="O32" s="1"/>
      <c r="P32">
        <v>4</v>
      </c>
    </row>
    <row r="33" spans="4:16">
      <c r="D33">
        <v>32</v>
      </c>
      <c r="I33">
        <v>43048</v>
      </c>
      <c r="J33">
        <v>51990</v>
      </c>
      <c r="L33" t="s">
        <v>119</v>
      </c>
      <c r="M33">
        <v>0</v>
      </c>
      <c r="N33">
        <f>O8</f>
        <v>20</v>
      </c>
      <c r="O33" s="1">
        <f>M33*$B$3</f>
        <v>0</v>
      </c>
      <c r="P33">
        <v>5</v>
      </c>
    </row>
    <row r="34" spans="4:16">
      <c r="D34">
        <v>33</v>
      </c>
      <c r="I34">
        <v>49617</v>
      </c>
      <c r="J34">
        <v>59924</v>
      </c>
      <c r="L34" s="6" t="s">
        <v>122</v>
      </c>
      <c r="M34" s="6">
        <f>MAXA(2*(M31+M32-10)-Tabela610[[#This Row],[Done]],0)</f>
        <v>0</v>
      </c>
      <c r="N34">
        <f>O9</f>
        <v>3</v>
      </c>
      <c r="O34" s="39"/>
      <c r="P34">
        <v>34</v>
      </c>
    </row>
    <row r="35" spans="4:16">
      <c r="D35">
        <v>34</v>
      </c>
      <c r="I35">
        <v>57188</v>
      </c>
      <c r="J35">
        <v>69068</v>
      </c>
      <c r="L35" t="s">
        <v>161</v>
      </c>
      <c r="M35">
        <v>0</v>
      </c>
      <c r="N35">
        <v>0</v>
      </c>
      <c r="O35" s="46">
        <f>Tabela610[[#This Row],[Missing]]*$B$2</f>
        <v>0</v>
      </c>
    </row>
    <row r="36" spans="4:16">
      <c r="D36">
        <v>35</v>
      </c>
      <c r="J36">
        <v>76085</v>
      </c>
      <c r="L36" s="6" t="s">
        <v>162</v>
      </c>
      <c r="M36" s="6">
        <f>MAXA(2*M35-Tabela610[[#This Row],[Done]],0)</f>
        <v>0</v>
      </c>
      <c r="N36">
        <v>500</v>
      </c>
      <c r="O36" s="39"/>
    </row>
    <row r="37" spans="4:16" ht="15">
      <c r="D37">
        <v>36</v>
      </c>
      <c r="J37">
        <v>83816</v>
      </c>
      <c r="N37" t="s">
        <v>121</v>
      </c>
      <c r="O37" s="38">
        <f>SUM(Tabela610[XP to gain])</f>
        <v>446647</v>
      </c>
    </row>
    <row r="38" spans="4:16">
      <c r="D38">
        <v>37</v>
      </c>
      <c r="J38">
        <v>92332</v>
      </c>
    </row>
    <row r="39" spans="4:16">
      <c r="D39">
        <v>38</v>
      </c>
      <c r="J39">
        <v>101712</v>
      </c>
    </row>
    <row r="40" spans="4:16">
      <c r="D40">
        <v>39</v>
      </c>
      <c r="J40">
        <v>112046</v>
      </c>
    </row>
    <row r="41" spans="4:16">
      <c r="D41">
        <v>40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selection activeCell="L2" sqref="L2"/>
    </sheetView>
  </sheetViews>
  <sheetFormatPr defaultRowHeight="14.25"/>
  <cols>
    <col min="2" max="2" width="4.125" bestFit="1" customWidth="1"/>
    <col min="3" max="3" width="5.5" bestFit="1" customWidth="1"/>
    <col min="4" max="4" width="5.75" bestFit="1" customWidth="1"/>
    <col min="5" max="5" width="17.75" bestFit="1" customWidth="1"/>
    <col min="6" max="6" width="14.375" bestFit="1" customWidth="1"/>
    <col min="7" max="7" width="11.125" bestFit="1" customWidth="1"/>
    <col min="8" max="9" width="10.875" bestFit="1" customWidth="1"/>
    <col min="13" max="13" width="10" bestFit="1" customWidth="1"/>
  </cols>
  <sheetData>
    <row r="1" spans="1:15">
      <c r="A1" t="s">
        <v>867</v>
      </c>
      <c r="B1" t="s">
        <v>862</v>
      </c>
      <c r="C1" t="s">
        <v>340</v>
      </c>
      <c r="D1" t="s">
        <v>857</v>
      </c>
      <c r="E1" t="s">
        <v>864</v>
      </c>
      <c r="F1" t="s">
        <v>865</v>
      </c>
      <c r="G1" t="s">
        <v>871</v>
      </c>
      <c r="H1" t="s">
        <v>872</v>
      </c>
      <c r="I1" t="s">
        <v>866</v>
      </c>
      <c r="K1" t="s">
        <v>870</v>
      </c>
      <c r="L1" t="s">
        <v>873</v>
      </c>
      <c r="M1" t="s">
        <v>868</v>
      </c>
      <c r="N1" t="s">
        <v>863</v>
      </c>
      <c r="O1" t="s">
        <v>869</v>
      </c>
    </row>
    <row r="2" spans="1:15">
      <c r="A2" t="s">
        <v>858</v>
      </c>
      <c r="B2">
        <v>1</v>
      </c>
      <c r="C2" s="15">
        <f>$M$2+N2+0.35</f>
        <v>1.65</v>
      </c>
      <c r="D2">
        <f>$K$2+$L$2</f>
        <v>131</v>
      </c>
      <c r="E2" s="19">
        <f>(265+1.25*$D2)/100*(1+$C2)</f>
        <v>11.361875</v>
      </c>
      <c r="F2" s="17">
        <f>E2</f>
        <v>11.361875</v>
      </c>
      <c r="G2" s="17">
        <f>E2+E6</f>
        <v>19.776874999999997</v>
      </c>
      <c r="H2" s="17">
        <f>F2+F6</f>
        <v>19.776874999999997</v>
      </c>
      <c r="I2" s="19">
        <f>(265+1.25*$D2*1.33)/100*(1+$C2)</f>
        <v>12.793868750000001</v>
      </c>
      <c r="K2">
        <v>100</v>
      </c>
      <c r="L2">
        <v>31</v>
      </c>
      <c r="M2" s="15">
        <v>0.93</v>
      </c>
      <c r="N2" s="15">
        <v>0.37</v>
      </c>
      <c r="O2">
        <v>39</v>
      </c>
    </row>
    <row r="3" spans="1:15">
      <c r="A3" s="2" t="s">
        <v>859</v>
      </c>
      <c r="B3" s="2">
        <v>1</v>
      </c>
      <c r="C3" s="144">
        <f>C2-N2</f>
        <v>1.2799999999999998</v>
      </c>
      <c r="D3" s="2">
        <f>D2+$O$2</f>
        <v>170</v>
      </c>
      <c r="E3" s="195">
        <f t="shared" ref="E3:E5" si="0">(265+1.25*$D3)/100*(1+$C3)</f>
        <v>10.887</v>
      </c>
      <c r="F3" s="196">
        <f t="shared" ref="F3:F9" si="1">E3*D3/$D$2</f>
        <v>14.128167938931297</v>
      </c>
      <c r="G3" s="196">
        <f t="shared" ref="G3:G5" si="2">E3+E7</f>
        <v>17.414999999999999</v>
      </c>
      <c r="H3" s="196">
        <f>F3+F7</f>
        <v>22.599618320610684</v>
      </c>
      <c r="I3" s="195">
        <f>(265+1.25*$D3*1.33)/100*(1+$C3)</f>
        <v>12.485849999999999</v>
      </c>
      <c r="K3">
        <v>100</v>
      </c>
      <c r="L3">
        <v>31</v>
      </c>
      <c r="M3" s="15">
        <v>0.93</v>
      </c>
      <c r="N3" s="15">
        <v>0.63</v>
      </c>
      <c r="O3">
        <v>39</v>
      </c>
    </row>
    <row r="4" spans="1:15">
      <c r="A4" t="s">
        <v>860</v>
      </c>
      <c r="B4">
        <v>1</v>
      </c>
      <c r="C4" s="15">
        <f>$M$2+N2</f>
        <v>1.3</v>
      </c>
      <c r="D4">
        <f>D2+20</f>
        <v>151</v>
      </c>
      <c r="E4" s="19">
        <f t="shared" si="0"/>
        <v>10.436249999999998</v>
      </c>
      <c r="F4" s="17">
        <f t="shared" si="1"/>
        <v>12.029570610687021</v>
      </c>
      <c r="G4" s="17">
        <f t="shared" si="2"/>
        <v>17.066249999999997</v>
      </c>
      <c r="H4" s="17">
        <f>F4+F8</f>
        <v>19.671784351145035</v>
      </c>
      <c r="I4" s="19">
        <f>(265+1.25*$D4*1.33)/100*(1+$C4)</f>
        <v>11.868862499999999</v>
      </c>
    </row>
    <row r="5" spans="1:15">
      <c r="A5" t="s">
        <v>861</v>
      </c>
      <c r="B5">
        <v>1</v>
      </c>
      <c r="C5" s="15">
        <f>$M$2</f>
        <v>0.93</v>
      </c>
      <c r="D5">
        <f>D4+$O$2</f>
        <v>190</v>
      </c>
      <c r="E5" s="19">
        <f t="shared" si="0"/>
        <v>9.6982500000000016</v>
      </c>
      <c r="F5" s="17">
        <f t="shared" si="1"/>
        <v>14.066164122137407</v>
      </c>
      <c r="G5" s="17">
        <f t="shared" si="2"/>
        <v>14.441250000000002</v>
      </c>
      <c r="H5" s="17">
        <f>F5+F9</f>
        <v>20.945324427480919</v>
      </c>
      <c r="I5" s="19">
        <f>(265+1.25*$D5*1.33)/100*(1+$C5)</f>
        <v>11.2108875</v>
      </c>
    </row>
    <row r="6" spans="1:15">
      <c r="A6" t="s">
        <v>858</v>
      </c>
      <c r="B6">
        <v>2</v>
      </c>
      <c r="C6" s="15">
        <f t="shared" ref="C6:D9" si="3">C2</f>
        <v>1.65</v>
      </c>
      <c r="D6">
        <f t="shared" si="3"/>
        <v>131</v>
      </c>
      <c r="E6" s="19">
        <f>1.7*3*C6</f>
        <v>8.4149999999999991</v>
      </c>
      <c r="F6" s="17">
        <f t="shared" si="1"/>
        <v>8.4149999999999991</v>
      </c>
      <c r="G6" s="17"/>
    </row>
    <row r="7" spans="1:15">
      <c r="A7" t="s">
        <v>859</v>
      </c>
      <c r="B7">
        <v>2</v>
      </c>
      <c r="C7" s="15">
        <f t="shared" si="3"/>
        <v>1.2799999999999998</v>
      </c>
      <c r="D7">
        <f t="shared" si="3"/>
        <v>170</v>
      </c>
      <c r="E7" s="19">
        <f>1.7*3*C7</f>
        <v>6.5279999999999987</v>
      </c>
      <c r="F7" s="17">
        <f t="shared" si="1"/>
        <v>8.4714503816793876</v>
      </c>
      <c r="G7" s="17"/>
    </row>
    <row r="8" spans="1:15">
      <c r="A8" t="s">
        <v>860</v>
      </c>
      <c r="B8">
        <v>2</v>
      </c>
      <c r="C8" s="15">
        <f t="shared" si="3"/>
        <v>1.3</v>
      </c>
      <c r="D8">
        <f t="shared" si="3"/>
        <v>151</v>
      </c>
      <c r="E8" s="19">
        <f>1.7*3*C8</f>
        <v>6.63</v>
      </c>
      <c r="F8" s="17">
        <f t="shared" si="1"/>
        <v>7.6422137404580148</v>
      </c>
      <c r="G8" s="17"/>
    </row>
    <row r="9" spans="1:15">
      <c r="A9" t="s">
        <v>861</v>
      </c>
      <c r="B9">
        <v>2</v>
      </c>
      <c r="C9" s="15">
        <f t="shared" si="3"/>
        <v>0.93</v>
      </c>
      <c r="D9">
        <f t="shared" si="3"/>
        <v>190</v>
      </c>
      <c r="E9" s="19">
        <f>1.7*3*C9</f>
        <v>4.7430000000000003</v>
      </c>
      <c r="F9" s="17">
        <f t="shared" si="1"/>
        <v>6.879160305343512</v>
      </c>
      <c r="G9" s="17"/>
    </row>
    <row r="11" spans="1:15">
      <c r="F1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997"/>
  <sheetViews>
    <sheetView tabSelected="1" zoomScale="85" zoomScaleNormal="85" workbookViewId="0">
      <pane ySplit="1" topLeftCell="A1408" activePane="bottomLeft" state="frozen"/>
      <selection pane="bottomLeft" activeCell="G1446" sqref="G1446"/>
    </sheetView>
  </sheetViews>
  <sheetFormatPr defaultRowHeight="14.25"/>
  <cols>
    <col min="1" max="1" width="9.625" customWidth="1"/>
    <col min="4" max="4" width="11.25" customWidth="1"/>
    <col min="5" max="5" width="13" customWidth="1"/>
    <col min="6" max="6" width="12.25" bestFit="1" customWidth="1"/>
    <col min="10" max="10" width="13" bestFit="1" customWidth="1"/>
    <col min="11" max="12" width="13" customWidth="1"/>
    <col min="15" max="15" width="17.125" customWidth="1"/>
    <col min="16" max="16" width="16.75" customWidth="1"/>
    <col min="17" max="19" width="3.125" customWidth="1"/>
    <col min="20" max="21" width="4.125" customWidth="1"/>
    <col min="22" max="22" width="3.125" customWidth="1"/>
    <col min="23" max="23" width="7.125" customWidth="1"/>
    <col min="24" max="24" width="14.125" customWidth="1"/>
    <col min="25" max="25" width="2.75" customWidth="1"/>
    <col min="26" max="26" width="13" customWidth="1"/>
    <col min="27" max="27" width="6.5" customWidth="1"/>
    <col min="28" max="28" width="10.125" customWidth="1"/>
    <col min="29" max="29" width="7.75" customWidth="1"/>
    <col min="30" max="30" width="2.75" customWidth="1"/>
    <col min="31" max="31" width="11.5" customWidth="1"/>
    <col min="32" max="32" width="7.75" customWidth="1"/>
    <col min="33" max="33" width="2.75" customWidth="1"/>
    <col min="34" max="34" width="11.5" customWidth="1"/>
    <col min="35" max="35" width="11.75" customWidth="1"/>
    <col min="36" max="36" width="15.625" customWidth="1"/>
    <col min="37" max="37" width="14.5" customWidth="1"/>
    <col min="38" max="38" width="18.25" customWidth="1"/>
    <col min="39" max="39" width="7.625" customWidth="1"/>
    <col min="40" max="41" width="3.125" customWidth="1"/>
    <col min="42" max="42" width="2.75" customWidth="1"/>
    <col min="43" max="43" width="11.25" customWidth="1"/>
    <col min="44" max="44" width="8.875" customWidth="1"/>
    <col min="45" max="45" width="12.625" customWidth="1"/>
    <col min="46" max="46" width="3.75" customWidth="1"/>
    <col min="47" max="47" width="7.375" customWidth="1"/>
    <col min="48" max="48" width="14.125" bestFit="1" customWidth="1"/>
  </cols>
  <sheetData>
    <row r="1" spans="1:24">
      <c r="A1" t="s">
        <v>7</v>
      </c>
      <c r="B1" t="s">
        <v>5</v>
      </c>
      <c r="C1" t="s">
        <v>6</v>
      </c>
      <c r="D1" t="s">
        <v>13</v>
      </c>
      <c r="E1" t="s">
        <v>16</v>
      </c>
      <c r="F1" t="s">
        <v>11</v>
      </c>
      <c r="G1" t="s">
        <v>56</v>
      </c>
      <c r="H1" t="s">
        <v>202</v>
      </c>
      <c r="I1" t="s">
        <v>175</v>
      </c>
      <c r="J1" t="s">
        <v>174</v>
      </c>
      <c r="K1" t="s">
        <v>181</v>
      </c>
      <c r="L1" t="s">
        <v>179</v>
      </c>
      <c r="M1" t="s">
        <v>261</v>
      </c>
      <c r="O1" t="s">
        <v>11</v>
      </c>
      <c r="P1" t="s">
        <v>202</v>
      </c>
      <c r="Q1" t="s">
        <v>174</v>
      </c>
      <c r="R1" t="s">
        <v>181</v>
      </c>
      <c r="S1" t="s">
        <v>179</v>
      </c>
      <c r="T1" t="s">
        <v>289</v>
      </c>
    </row>
    <row r="2" spans="1:24">
      <c r="A2" t="s">
        <v>8</v>
      </c>
      <c r="B2" t="s">
        <v>9</v>
      </c>
      <c r="C2">
        <v>1</v>
      </c>
      <c r="D2">
        <v>1315</v>
      </c>
      <c r="E2">
        <v>2</v>
      </c>
      <c r="I2">
        <v>912</v>
      </c>
      <c r="J2">
        <f>DropAnalityka[[#This Row],[Sell Drop]]+IFERROR(SUMIFS(Tabela10[Drop Worth],Tabela10[Drop],DropAnalityka[[#This Row],[Drop]],Tabela10[Grade],DropAnalityka[[#This Row],[Grade]])*DropAnalityka[[#This Row],[Quality/Quantity]],0)</f>
        <v>912</v>
      </c>
      <c r="K2" s="43">
        <f>IFERROR(SUMIFS(Tabela10[Fod Worth],Tabela10[Drop],DropAnalityka[[#This Row],[Drop]],Tabela10[Grade],DropAnalityka[[#This Row],[Grade]])*DropAnalityka[[#This Row],[Quality/Quantity]],0)</f>
        <v>0</v>
      </c>
      <c r="L2" s="43">
        <f>IFERROR(SUMIFS(Tabela10[Exp Gain only 2*+],Tabela10[Drop],DropAnalityka[[#This Row],[Drop]],Tabela10[Grade],DropAnalityka[[#This Row],[Grade]])*DropAnalityka[[#This Row],[Quality/Quantity]],0)</f>
        <v>0</v>
      </c>
      <c r="O2" t="s">
        <v>57</v>
      </c>
      <c r="P2" t="s">
        <v>12</v>
      </c>
      <c r="Q2" s="1"/>
      <c r="R2">
        <v>11500</v>
      </c>
      <c r="S2">
        <v>15120</v>
      </c>
      <c r="T2">
        <v>0</v>
      </c>
    </row>
    <row r="3" spans="1:24">
      <c r="A3" t="s">
        <v>8</v>
      </c>
      <c r="B3" t="s">
        <v>9</v>
      </c>
      <c r="C3">
        <v>3</v>
      </c>
      <c r="D3">
        <v>1255</v>
      </c>
      <c r="E3">
        <v>0</v>
      </c>
      <c r="I3">
        <v>325</v>
      </c>
      <c r="J3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3" s="43">
        <f>IFERROR(SUMIFS(Tabela10[Fod Worth],Tabela10[Drop],DropAnalityka[[#This Row],[Drop]],Tabela10[Grade],DropAnalityka[[#This Row],[Grade]])*DropAnalityka[[#This Row],[Quality/Quantity]],0)</f>
        <v>0</v>
      </c>
      <c r="L3" s="43">
        <f>IFERROR(SUMIFS(Tabela10[Exp Gain only 2*+],Tabela10[Drop],DropAnalityka[[#This Row],[Drop]],Tabela10[Grade],DropAnalityka[[#This Row],[Grade]])*DropAnalityka[[#This Row],[Quality/Quantity]],0)</f>
        <v>0</v>
      </c>
      <c r="O3" t="s">
        <v>57</v>
      </c>
      <c r="P3" t="s">
        <v>26</v>
      </c>
      <c r="Q3" s="1"/>
      <c r="R3">
        <v>34500</v>
      </c>
      <c r="S3">
        <f>3*'EXP lvls'!B2+Tabela4[[#This Row],[EXP to TOP lvl]]</f>
        <v>81182</v>
      </c>
      <c r="T3">
        <v>35822</v>
      </c>
    </row>
    <row r="4" spans="1:24">
      <c r="A4" t="s">
        <v>8</v>
      </c>
      <c r="B4" t="s">
        <v>9</v>
      </c>
      <c r="C4">
        <v>3</v>
      </c>
      <c r="D4">
        <v>1668</v>
      </c>
      <c r="E4">
        <v>1</v>
      </c>
      <c r="F4" t="s">
        <v>57</v>
      </c>
      <c r="G4">
        <v>1</v>
      </c>
      <c r="H4" t="s">
        <v>12</v>
      </c>
      <c r="I4">
        <v>0</v>
      </c>
      <c r="J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" s="43">
        <f>IFERROR(SUMIFS(Tabela10[Fod Worth],Tabela10[Drop],DropAnalityka[[#This Row],[Drop]],Tabela10[Grade],DropAnalityka[[#This Row],[Grade]])*DropAnalityka[[#This Row],[Quality/Quantity]],0)</f>
        <v>11500</v>
      </c>
      <c r="L4" s="43">
        <f>IFERROR(SUMIFS(Tabela10[Exp Gain only 2*+],Tabela10[Drop],DropAnalityka[[#This Row],[Drop]],Tabela10[Grade],DropAnalityka[[#This Row],[Grade]])*DropAnalityka[[#This Row],[Quality/Quantity]],0)</f>
        <v>0</v>
      </c>
      <c r="O4" t="s">
        <v>58</v>
      </c>
      <c r="P4" t="s">
        <v>12</v>
      </c>
      <c r="Q4" s="1"/>
      <c r="R4">
        <v>11500</v>
      </c>
      <c r="S4">
        <f>S3</f>
        <v>81182</v>
      </c>
      <c r="T4">
        <v>35822</v>
      </c>
    </row>
    <row r="5" spans="1:24">
      <c r="A5" t="s">
        <v>8</v>
      </c>
      <c r="B5" t="s">
        <v>9</v>
      </c>
      <c r="C5">
        <v>3</v>
      </c>
      <c r="D5">
        <v>1008</v>
      </c>
      <c r="E5">
        <v>0</v>
      </c>
      <c r="I5">
        <v>325</v>
      </c>
      <c r="J5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5" s="43">
        <f>IFERROR(SUMIFS(Tabela10[Fod Worth],Tabela10[Drop],DropAnalityka[[#This Row],[Drop]],Tabela10[Grade],DropAnalityka[[#This Row],[Grade]])*DropAnalityka[[#This Row],[Quality/Quantity]],0)</f>
        <v>0</v>
      </c>
      <c r="L5" s="43">
        <f>IFERROR(SUMIFS(Tabela10[Exp Gain only 2*+],Tabela10[Drop],DropAnalityka[[#This Row],[Drop]],Tabela10[Grade],DropAnalityka[[#This Row],[Grade]])*DropAnalityka[[#This Row],[Quality/Quantity]],0)</f>
        <v>0</v>
      </c>
      <c r="O5" t="s">
        <v>58</v>
      </c>
      <c r="P5" t="s">
        <v>26</v>
      </c>
      <c r="Q5" s="1"/>
      <c r="R5">
        <v>34500</v>
      </c>
      <c r="S5">
        <f>S4+'EXP lvls'!B4</f>
        <v>163364</v>
      </c>
      <c r="T5">
        <f>'EXP lvls'!B3+'EXP lvls'!B4</f>
        <v>118004</v>
      </c>
    </row>
    <row r="6" spans="1:24">
      <c r="A6" t="s">
        <v>8</v>
      </c>
      <c r="B6" t="s">
        <v>9</v>
      </c>
      <c r="C6">
        <v>3</v>
      </c>
      <c r="D6">
        <v>1619</v>
      </c>
      <c r="E6">
        <v>1</v>
      </c>
      <c r="I6">
        <v>325</v>
      </c>
      <c r="J6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6" s="43">
        <f>IFERROR(SUMIFS(Tabela10[Fod Worth],Tabela10[Drop],DropAnalityka[[#This Row],[Drop]],Tabela10[Grade],DropAnalityka[[#This Row],[Grade]])*DropAnalityka[[#This Row],[Quality/Quantity]],0)</f>
        <v>0</v>
      </c>
      <c r="L6" s="43">
        <f>IFERROR(SUMIFS(Tabela10[Exp Gain only 2*+],Tabela10[Drop],DropAnalityka[[#This Row],[Drop]],Tabela10[Grade],DropAnalityka[[#This Row],[Grade]])*DropAnalityka[[#This Row],[Quality/Quantity]],0)</f>
        <v>0</v>
      </c>
      <c r="O6" t="s">
        <v>34</v>
      </c>
      <c r="P6" t="s">
        <v>17</v>
      </c>
      <c r="Q6" s="50">
        <f>(11500-300*5)/5</f>
        <v>2000</v>
      </c>
      <c r="S6">
        <v>800</v>
      </c>
      <c r="T6">
        <v>800</v>
      </c>
    </row>
    <row r="7" spans="1:24">
      <c r="A7" t="s">
        <v>8</v>
      </c>
      <c r="B7" t="s">
        <v>9</v>
      </c>
      <c r="C7">
        <v>3</v>
      </c>
      <c r="D7">
        <v>1152</v>
      </c>
      <c r="E7">
        <v>1</v>
      </c>
      <c r="I7">
        <v>720</v>
      </c>
      <c r="J7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" s="43">
        <f>IFERROR(SUMIFS(Tabela10[Fod Worth],Tabela10[Drop],DropAnalityka[[#This Row],[Drop]],Tabela10[Grade],DropAnalityka[[#This Row],[Grade]])*DropAnalityka[[#This Row],[Quality/Quantity]],0)</f>
        <v>0</v>
      </c>
      <c r="L7" s="43">
        <f>IFERROR(SUMIFS(Tabela10[Exp Gain only 2*+],Tabela10[Drop],DropAnalityka[[#This Row],[Drop]],Tabela10[Grade],DropAnalityka[[#This Row],[Grade]])*DropAnalityka[[#This Row],[Quality/Quantity]],0)</f>
        <v>0</v>
      </c>
      <c r="O7" t="s">
        <v>288</v>
      </c>
      <c r="P7" t="s">
        <v>17</v>
      </c>
      <c r="Q7" s="50">
        <v>120000</v>
      </c>
      <c r="R7">
        <v>0</v>
      </c>
      <c r="S7">
        <v>0</v>
      </c>
      <c r="T7">
        <v>0</v>
      </c>
    </row>
    <row r="8" spans="1:24">
      <c r="A8" t="s">
        <v>8</v>
      </c>
      <c r="B8" t="s">
        <v>9</v>
      </c>
      <c r="C8">
        <v>3</v>
      </c>
      <c r="D8">
        <v>1007</v>
      </c>
      <c r="E8">
        <v>0</v>
      </c>
      <c r="F8" t="s">
        <v>34</v>
      </c>
      <c r="G8">
        <v>1</v>
      </c>
      <c r="H8" t="s">
        <v>17</v>
      </c>
      <c r="I8">
        <v>0</v>
      </c>
      <c r="J8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8" s="43">
        <f>IFERROR(SUMIFS(Tabela10[Fod Worth],Tabela10[Drop],DropAnalityka[[#This Row],[Drop]],Tabela10[Grade],DropAnalityka[[#This Row],[Grade]])*DropAnalityka[[#This Row],[Quality/Quantity]],0)</f>
        <v>0</v>
      </c>
      <c r="L8" s="43">
        <f>IFERROR(SUMIFS(Tabela10[Exp Gain only 2*+],Tabela10[Drop],DropAnalityka[[#This Row],[Drop]],Tabela10[Grade],DropAnalityka[[#This Row],[Grade]])*DropAnalityka[[#This Row],[Quality/Quantity]],0)</f>
        <v>800</v>
      </c>
      <c r="O8" t="s">
        <v>205</v>
      </c>
      <c r="P8" t="s">
        <v>26</v>
      </c>
      <c r="Q8" s="1"/>
      <c r="R8">
        <f>R3/40</f>
        <v>862.5</v>
      </c>
      <c r="T8">
        <f>T3/40</f>
        <v>895.55</v>
      </c>
    </row>
    <row r="9" spans="1:24">
      <c r="A9" t="s">
        <v>8</v>
      </c>
      <c r="B9" t="s">
        <v>9</v>
      </c>
      <c r="C9">
        <v>3</v>
      </c>
      <c r="D9">
        <v>1401</v>
      </c>
      <c r="E9">
        <v>0</v>
      </c>
      <c r="F9" t="s">
        <v>57</v>
      </c>
      <c r="G9">
        <v>1</v>
      </c>
      <c r="H9" t="s">
        <v>12</v>
      </c>
      <c r="I9">
        <v>0</v>
      </c>
      <c r="J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" s="43">
        <f>IFERROR(SUMIFS(Tabela10[Fod Worth],Tabela10[Drop],DropAnalityka[[#This Row],[Drop]],Tabela10[Grade],DropAnalityka[[#This Row],[Grade]])*DropAnalityka[[#This Row],[Quality/Quantity]],0)</f>
        <v>11500</v>
      </c>
      <c r="L9" s="43">
        <f>IFERROR(SUMIFS(Tabela10[Exp Gain only 2*+],Tabela10[Drop],DropAnalityka[[#This Row],[Drop]],Tabela10[Grade],DropAnalityka[[#This Row],[Grade]])*DropAnalityka[[#This Row],[Quality/Quantity]],0)</f>
        <v>0</v>
      </c>
    </row>
    <row r="10" spans="1:24">
      <c r="A10" t="s">
        <v>8</v>
      </c>
      <c r="B10" t="s">
        <v>9</v>
      </c>
      <c r="C10">
        <v>3</v>
      </c>
      <c r="D10">
        <v>1705</v>
      </c>
      <c r="E10">
        <v>1</v>
      </c>
      <c r="F10" t="s">
        <v>34</v>
      </c>
      <c r="G10">
        <v>1</v>
      </c>
      <c r="H10" t="s">
        <v>17</v>
      </c>
      <c r="I10">
        <v>0</v>
      </c>
      <c r="J1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0" s="43">
        <f>IFERROR(SUMIFS(Tabela10[Fod Worth],Tabela10[Drop],DropAnalityka[[#This Row],[Drop]],Tabela10[Grade],DropAnalityka[[#This Row],[Grade]])*DropAnalityka[[#This Row],[Quality/Quantity]],0)</f>
        <v>0</v>
      </c>
      <c r="L10" s="43">
        <f>IFERROR(SUMIFS(Tabela10[Exp Gain only 2*+],Tabela10[Drop],DropAnalityka[[#This Row],[Drop]],Tabela10[Grade],DropAnalityka[[#This Row],[Grade]])*DropAnalityka[[#This Row],[Quality/Quantity]],0)</f>
        <v>800</v>
      </c>
      <c r="O10" s="11" t="s">
        <v>260</v>
      </c>
      <c r="P10" s="11" t="s">
        <v>142</v>
      </c>
    </row>
    <row r="11" spans="1:24">
      <c r="A11" t="s">
        <v>8</v>
      </c>
      <c r="B11" t="s">
        <v>9</v>
      </c>
      <c r="C11">
        <v>3</v>
      </c>
      <c r="D11">
        <v>1033</v>
      </c>
      <c r="E11">
        <v>0</v>
      </c>
      <c r="I11">
        <v>720</v>
      </c>
      <c r="J11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11" s="43">
        <f>IFERROR(SUMIFS(Tabela10[Fod Worth],Tabela10[Drop],DropAnalityka[[#This Row],[Drop]],Tabela10[Grade],DropAnalityka[[#This Row],[Grade]])*DropAnalityka[[#This Row],[Quality/Quantity]],0)</f>
        <v>0</v>
      </c>
      <c r="L11" s="43">
        <f>IFERROR(SUMIFS(Tabela10[Exp Gain only 2*+],Tabela10[Drop],DropAnalityka[[#This Row],[Drop]],Tabela10[Grade],DropAnalityka[[#This Row],[Grade]])*DropAnalityka[[#This Row],[Quality/Quantity]],0)</f>
        <v>0</v>
      </c>
      <c r="O11" s="11" t="s">
        <v>64</v>
      </c>
      <c r="P11">
        <v>0</v>
      </c>
      <c r="Q11" t="s">
        <v>17</v>
      </c>
      <c r="R11" t="s">
        <v>12</v>
      </c>
      <c r="S11" t="s">
        <v>26</v>
      </c>
      <c r="T11" t="s">
        <v>27</v>
      </c>
      <c r="U11" t="s">
        <v>28</v>
      </c>
      <c r="V11" t="s">
        <v>29</v>
      </c>
      <c r="W11" t="s">
        <v>65</v>
      </c>
      <c r="X11" t="s">
        <v>66</v>
      </c>
    </row>
    <row r="12" spans="1:24">
      <c r="A12" t="s">
        <v>8</v>
      </c>
      <c r="B12" t="s">
        <v>9</v>
      </c>
      <c r="C12">
        <v>3</v>
      </c>
      <c r="D12">
        <v>645</v>
      </c>
      <c r="E12">
        <v>0</v>
      </c>
      <c r="F12" t="s">
        <v>57</v>
      </c>
      <c r="G12">
        <v>1</v>
      </c>
      <c r="H12" t="s">
        <v>12</v>
      </c>
      <c r="I12">
        <v>0</v>
      </c>
      <c r="J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" s="43">
        <f>IFERROR(SUMIFS(Tabela10[Fod Worth],Tabela10[Drop],DropAnalityka[[#This Row],[Drop]],Tabela10[Grade],DropAnalityka[[#This Row],[Grade]])*DropAnalityka[[#This Row],[Quality/Quantity]],0)</f>
        <v>11500</v>
      </c>
      <c r="L12" s="43">
        <f>IFERROR(SUMIFS(Tabela10[Exp Gain only 2*+],Tabela10[Drop],DropAnalityka[[#This Row],[Drop]],Tabela10[Grade],DropAnalityka[[#This Row],[Grade]])*DropAnalityka[[#This Row],[Quality/Quantity]],0)</f>
        <v>0</v>
      </c>
      <c r="O12" s="12" t="s">
        <v>178</v>
      </c>
      <c r="P12" s="43"/>
      <c r="Q12" s="43">
        <v>35</v>
      </c>
      <c r="R12" s="43">
        <v>6</v>
      </c>
      <c r="S12" s="43">
        <v>3</v>
      </c>
      <c r="T12" s="43">
        <v>46</v>
      </c>
      <c r="U12" s="43">
        <v>43</v>
      </c>
      <c r="V12" s="43">
        <v>10</v>
      </c>
      <c r="W12" s="43">
        <v>4</v>
      </c>
      <c r="X12" s="43">
        <v>147</v>
      </c>
    </row>
    <row r="13" spans="1:24">
      <c r="A13" t="s">
        <v>8</v>
      </c>
      <c r="B13" t="s">
        <v>9</v>
      </c>
      <c r="C13">
        <v>3</v>
      </c>
      <c r="D13">
        <v>1091</v>
      </c>
      <c r="E13">
        <v>4</v>
      </c>
      <c r="I13">
        <v>325</v>
      </c>
      <c r="J13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13" s="43">
        <f>IFERROR(SUMIFS(Tabela10[Fod Worth],Tabela10[Drop],DropAnalityka[[#This Row],[Drop]],Tabela10[Grade],DropAnalityka[[#This Row],[Grade]])*DropAnalityka[[#This Row],[Quality/Quantity]],0)</f>
        <v>0</v>
      </c>
      <c r="L13" s="43">
        <f>IFERROR(SUMIFS(Tabela10[Exp Gain only 2*+],Tabela10[Drop],DropAnalityka[[#This Row],[Drop]],Tabela10[Grade],DropAnalityka[[#This Row],[Grade]])*DropAnalityka[[#This Row],[Quality/Quantity]],0)</f>
        <v>0</v>
      </c>
      <c r="O13" s="13">
        <v>7</v>
      </c>
      <c r="P13" s="43"/>
      <c r="Q13" s="43"/>
      <c r="R13" s="43"/>
      <c r="S13" s="43"/>
      <c r="T13" s="43">
        <v>3</v>
      </c>
      <c r="U13" s="43"/>
      <c r="V13" s="43"/>
      <c r="W13" s="43"/>
      <c r="X13" s="43">
        <v>3</v>
      </c>
    </row>
    <row r="14" spans="1:24">
      <c r="A14" t="s">
        <v>8</v>
      </c>
      <c r="B14" t="s">
        <v>9</v>
      </c>
      <c r="C14">
        <v>3</v>
      </c>
      <c r="D14">
        <v>519</v>
      </c>
      <c r="E14">
        <v>2</v>
      </c>
      <c r="I14">
        <v>487</v>
      </c>
      <c r="J14">
        <f>DropAnalityka[[#This Row],[Sell Drop]]+IFERROR(SUMIFS(Tabela10[Drop Worth],Tabela10[Drop],DropAnalityka[[#This Row],[Drop]],Tabela10[Grade],DropAnalityka[[#This Row],[Grade]])*DropAnalityka[[#This Row],[Quality/Quantity]],0)</f>
        <v>487</v>
      </c>
      <c r="K14" s="43">
        <f>IFERROR(SUMIFS(Tabela10[Fod Worth],Tabela10[Drop],DropAnalityka[[#This Row],[Drop]],Tabela10[Grade],DropAnalityka[[#This Row],[Grade]])*DropAnalityka[[#This Row],[Quality/Quantity]],0)</f>
        <v>0</v>
      </c>
      <c r="L14" s="43">
        <f>IFERROR(SUMIFS(Tabela10[Exp Gain only 2*+],Tabela10[Drop],DropAnalityka[[#This Row],[Drop]],Tabela10[Grade],DropAnalityka[[#This Row],[Grade]])*DropAnalityka[[#This Row],[Quality/Quantity]],0)</f>
        <v>0</v>
      </c>
      <c r="O14" s="13">
        <v>8</v>
      </c>
      <c r="P14" s="43"/>
      <c r="Q14" s="43">
        <v>6</v>
      </c>
      <c r="R14" s="43">
        <v>1</v>
      </c>
      <c r="S14" s="43"/>
      <c r="T14" s="43">
        <v>6</v>
      </c>
      <c r="U14" s="43">
        <v>5</v>
      </c>
      <c r="V14" s="43"/>
      <c r="W14" s="43"/>
      <c r="X14" s="43">
        <v>18</v>
      </c>
    </row>
    <row r="15" spans="1:24">
      <c r="A15" t="s">
        <v>8</v>
      </c>
      <c r="B15" t="s">
        <v>9</v>
      </c>
      <c r="C15">
        <v>3</v>
      </c>
      <c r="D15">
        <v>1378</v>
      </c>
      <c r="E15">
        <v>1</v>
      </c>
      <c r="I15">
        <v>325</v>
      </c>
      <c r="J15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15" s="43">
        <f>IFERROR(SUMIFS(Tabela10[Fod Worth],Tabela10[Drop],DropAnalityka[[#This Row],[Drop]],Tabela10[Grade],DropAnalityka[[#This Row],[Grade]])*DropAnalityka[[#This Row],[Quality/Quantity]],0)</f>
        <v>0</v>
      </c>
      <c r="L15" s="43">
        <f>IFERROR(SUMIFS(Tabela10[Exp Gain only 2*+],Tabela10[Drop],DropAnalityka[[#This Row],[Drop]],Tabela10[Grade],DropAnalityka[[#This Row],[Grade]])*DropAnalityka[[#This Row],[Quality/Quantity]],0)</f>
        <v>0</v>
      </c>
      <c r="O15" s="13">
        <v>9</v>
      </c>
      <c r="P15" s="43"/>
      <c r="Q15" s="43">
        <v>24</v>
      </c>
      <c r="R15" s="43">
        <v>4</v>
      </c>
      <c r="S15" s="43">
        <v>2</v>
      </c>
      <c r="T15" s="43">
        <v>35</v>
      </c>
      <c r="U15" s="43">
        <v>32</v>
      </c>
      <c r="V15" s="43">
        <v>9</v>
      </c>
      <c r="W15" s="43">
        <v>4</v>
      </c>
      <c r="X15" s="43">
        <v>110</v>
      </c>
    </row>
    <row r="16" spans="1:24">
      <c r="A16" t="s">
        <v>8</v>
      </c>
      <c r="B16" t="s">
        <v>9</v>
      </c>
      <c r="C16">
        <v>3</v>
      </c>
      <c r="D16">
        <v>1455</v>
      </c>
      <c r="E16">
        <v>1</v>
      </c>
      <c r="I16">
        <v>325</v>
      </c>
      <c r="J16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16" s="43">
        <f>IFERROR(SUMIFS(Tabela10[Fod Worth],Tabela10[Drop],DropAnalityka[[#This Row],[Drop]],Tabela10[Grade],DropAnalityka[[#This Row],[Grade]])*DropAnalityka[[#This Row],[Quality/Quantity]],0)</f>
        <v>0</v>
      </c>
      <c r="L16" s="43">
        <f>IFERROR(SUMIFS(Tabela10[Exp Gain only 2*+],Tabela10[Drop],DropAnalityka[[#This Row],[Drop]],Tabela10[Grade],DropAnalityka[[#This Row],[Grade]])*DropAnalityka[[#This Row],[Quality/Quantity]],0)</f>
        <v>0</v>
      </c>
      <c r="O16" s="13">
        <v>10</v>
      </c>
      <c r="P16" s="43"/>
      <c r="Q16" s="43">
        <v>5</v>
      </c>
      <c r="R16" s="43">
        <v>1</v>
      </c>
      <c r="S16" s="43">
        <v>1</v>
      </c>
      <c r="T16" s="43">
        <v>2</v>
      </c>
      <c r="U16" s="43">
        <v>6</v>
      </c>
      <c r="V16" s="43">
        <v>1</v>
      </c>
      <c r="W16" s="43"/>
      <c r="X16" s="43">
        <v>16</v>
      </c>
    </row>
    <row r="17" spans="1:24">
      <c r="A17" t="s">
        <v>8</v>
      </c>
      <c r="B17" t="s">
        <v>9</v>
      </c>
      <c r="C17">
        <v>3</v>
      </c>
      <c r="D17">
        <v>790</v>
      </c>
      <c r="E17">
        <v>2</v>
      </c>
      <c r="F17" t="s">
        <v>57</v>
      </c>
      <c r="G17">
        <v>1</v>
      </c>
      <c r="H17" t="s">
        <v>17</v>
      </c>
      <c r="I17">
        <v>0</v>
      </c>
      <c r="J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" s="43">
        <f>IFERROR(SUMIFS(Tabela10[Fod Worth],Tabela10[Drop],DropAnalityka[[#This Row],[Drop]],Tabela10[Grade],DropAnalityka[[#This Row],[Grade]])*DropAnalityka[[#This Row],[Quality/Quantity]],0)</f>
        <v>0</v>
      </c>
      <c r="L17" s="43">
        <f>IFERROR(SUMIFS(Tabela10[Exp Gain only 2*+],Tabela10[Drop],DropAnalityka[[#This Row],[Drop]],Tabela10[Grade],DropAnalityka[[#This Row],[Grade]])*DropAnalityka[[#This Row],[Quality/Quantity]],0)</f>
        <v>0</v>
      </c>
      <c r="O17" s="12" t="s">
        <v>172</v>
      </c>
      <c r="P17" s="43">
        <v>1</v>
      </c>
      <c r="Q17" s="43">
        <v>60</v>
      </c>
      <c r="R17" s="43">
        <v>11</v>
      </c>
      <c r="S17" s="43">
        <v>7</v>
      </c>
      <c r="T17" s="43">
        <v>86</v>
      </c>
      <c r="U17" s="43">
        <v>105</v>
      </c>
      <c r="V17" s="43">
        <v>12</v>
      </c>
      <c r="W17" s="43">
        <v>21</v>
      </c>
      <c r="X17" s="43">
        <v>303</v>
      </c>
    </row>
    <row r="18" spans="1:24">
      <c r="A18" t="s">
        <v>8</v>
      </c>
      <c r="B18" t="s">
        <v>9</v>
      </c>
      <c r="C18">
        <v>3</v>
      </c>
      <c r="D18">
        <v>1881</v>
      </c>
      <c r="E18">
        <v>2</v>
      </c>
      <c r="F18" t="s">
        <v>34</v>
      </c>
      <c r="G18">
        <v>1</v>
      </c>
      <c r="H18" t="s">
        <v>17</v>
      </c>
      <c r="I18">
        <v>0</v>
      </c>
      <c r="J18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8" s="43">
        <f>IFERROR(SUMIFS(Tabela10[Fod Worth],Tabela10[Drop],DropAnalityka[[#This Row],[Drop]],Tabela10[Grade],DropAnalityka[[#This Row],[Grade]])*DropAnalityka[[#This Row],[Quality/Quantity]],0)</f>
        <v>0</v>
      </c>
      <c r="L18" s="43">
        <f>IFERROR(SUMIFS(Tabela10[Exp Gain only 2*+],Tabela10[Drop],DropAnalityka[[#This Row],[Drop]],Tabela10[Grade],DropAnalityka[[#This Row],[Grade]])*DropAnalityka[[#This Row],[Quality/Quantity]],0)</f>
        <v>800</v>
      </c>
      <c r="O18" s="13">
        <v>3</v>
      </c>
      <c r="P18" s="43"/>
      <c r="Q18" s="43"/>
      <c r="R18" s="43"/>
      <c r="S18" s="43"/>
      <c r="T18" s="43"/>
      <c r="U18" s="43"/>
      <c r="V18" s="43"/>
      <c r="W18" s="43">
        <v>1</v>
      </c>
      <c r="X18" s="43">
        <v>1</v>
      </c>
    </row>
    <row r="19" spans="1:24">
      <c r="A19" t="s">
        <v>8</v>
      </c>
      <c r="B19" t="s">
        <v>9</v>
      </c>
      <c r="C19">
        <v>3</v>
      </c>
      <c r="D19">
        <v>1508</v>
      </c>
      <c r="E19">
        <v>0</v>
      </c>
      <c r="I19">
        <v>325</v>
      </c>
      <c r="J19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19" s="43">
        <f>IFERROR(SUMIFS(Tabela10[Fod Worth],Tabela10[Drop],DropAnalityka[[#This Row],[Drop]],Tabela10[Grade],DropAnalityka[[#This Row],[Grade]])*DropAnalityka[[#This Row],[Quality/Quantity]],0)</f>
        <v>0</v>
      </c>
      <c r="L19" s="43">
        <f>IFERROR(SUMIFS(Tabela10[Exp Gain only 2*+],Tabela10[Drop],DropAnalityka[[#This Row],[Drop]],Tabela10[Grade],DropAnalityka[[#This Row],[Grade]])*DropAnalityka[[#This Row],[Quality/Quantity]],0)</f>
        <v>0</v>
      </c>
      <c r="O19" s="13">
        <v>4</v>
      </c>
      <c r="P19" s="43"/>
      <c r="Q19" s="43"/>
      <c r="R19" s="43"/>
      <c r="S19" s="43"/>
      <c r="T19" s="43"/>
      <c r="U19" s="43"/>
      <c r="V19" s="43"/>
      <c r="W19" s="43">
        <v>1</v>
      </c>
      <c r="X19" s="43">
        <v>1</v>
      </c>
    </row>
    <row r="20" spans="1:24">
      <c r="A20" t="s">
        <v>8</v>
      </c>
      <c r="B20" t="s">
        <v>9</v>
      </c>
      <c r="C20">
        <v>3</v>
      </c>
      <c r="D20">
        <v>970</v>
      </c>
      <c r="E20">
        <v>0</v>
      </c>
      <c r="I20">
        <v>433</v>
      </c>
      <c r="J20">
        <f>DropAnalityka[[#This Row],[Sell Drop]]+IFERROR(SUMIFS(Tabela10[Drop Worth],Tabela10[Drop],DropAnalityka[[#This Row],[Drop]],Tabela10[Grade],DropAnalityka[[#This Row],[Grade]])*DropAnalityka[[#This Row],[Quality/Quantity]],0)</f>
        <v>433</v>
      </c>
      <c r="K20" s="43">
        <f>IFERROR(SUMIFS(Tabela10[Fod Worth],Tabela10[Drop],DropAnalityka[[#This Row],[Drop]],Tabela10[Grade],DropAnalityka[[#This Row],[Grade]])*DropAnalityka[[#This Row],[Quality/Quantity]],0)</f>
        <v>0</v>
      </c>
      <c r="L20" s="43">
        <f>IFERROR(SUMIFS(Tabela10[Exp Gain only 2*+],Tabela10[Drop],DropAnalityka[[#This Row],[Drop]],Tabela10[Grade],DropAnalityka[[#This Row],[Grade]])*DropAnalityka[[#This Row],[Quality/Quantity]],0)</f>
        <v>0</v>
      </c>
      <c r="O20" s="13">
        <v>5</v>
      </c>
      <c r="P20" s="43"/>
      <c r="Q20" s="43">
        <v>5</v>
      </c>
      <c r="R20" s="43"/>
      <c r="S20" s="43"/>
      <c r="T20" s="43"/>
      <c r="U20" s="43"/>
      <c r="V20" s="43"/>
      <c r="W20" s="43">
        <v>11</v>
      </c>
      <c r="X20" s="43">
        <v>16</v>
      </c>
    </row>
    <row r="21" spans="1:24">
      <c r="A21" t="s">
        <v>8</v>
      </c>
      <c r="B21" t="s">
        <v>9</v>
      </c>
      <c r="C21">
        <v>3</v>
      </c>
      <c r="D21">
        <v>1863</v>
      </c>
      <c r="E21">
        <v>0</v>
      </c>
      <c r="I21">
        <v>379</v>
      </c>
      <c r="J21">
        <f>DropAnalityka[[#This Row],[Sell Drop]]+IFERROR(SUMIFS(Tabela10[Drop Worth],Tabela10[Drop],DropAnalityka[[#This Row],[Drop]],Tabela10[Grade],DropAnalityka[[#This Row],[Grade]])*DropAnalityka[[#This Row],[Quality/Quantity]],0)</f>
        <v>379</v>
      </c>
      <c r="K21" s="43">
        <f>IFERROR(SUMIFS(Tabela10[Fod Worth],Tabela10[Drop],DropAnalityka[[#This Row],[Drop]],Tabela10[Grade],DropAnalityka[[#This Row],[Grade]])*DropAnalityka[[#This Row],[Quality/Quantity]],0)</f>
        <v>0</v>
      </c>
      <c r="L21" s="43">
        <f>IFERROR(SUMIFS(Tabela10[Exp Gain only 2*+],Tabela10[Drop],DropAnalityka[[#This Row],[Drop]],Tabela10[Grade],DropAnalityka[[#This Row],[Grade]])*DropAnalityka[[#This Row],[Quality/Quantity]],0)</f>
        <v>0</v>
      </c>
      <c r="O21" s="13">
        <v>6</v>
      </c>
      <c r="P21" s="43"/>
      <c r="Q21" s="43">
        <v>3</v>
      </c>
      <c r="R21" s="43">
        <v>1</v>
      </c>
      <c r="S21" s="43"/>
      <c r="T21" s="43">
        <v>1</v>
      </c>
      <c r="U21" s="43"/>
      <c r="V21" s="43"/>
      <c r="W21" s="43">
        <v>6</v>
      </c>
      <c r="X21" s="43">
        <v>11</v>
      </c>
    </row>
    <row r="22" spans="1:24">
      <c r="A22" t="s">
        <v>8</v>
      </c>
      <c r="B22" t="s">
        <v>9</v>
      </c>
      <c r="C22">
        <v>3</v>
      </c>
      <c r="D22">
        <v>1298</v>
      </c>
      <c r="E22">
        <v>1</v>
      </c>
      <c r="F22" t="s">
        <v>57</v>
      </c>
      <c r="G22">
        <v>1</v>
      </c>
      <c r="H22" t="s">
        <v>17</v>
      </c>
      <c r="I22">
        <v>0</v>
      </c>
      <c r="J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2" s="43">
        <f>IFERROR(SUMIFS(Tabela10[Fod Worth],Tabela10[Drop],DropAnalityka[[#This Row],[Drop]],Tabela10[Grade],DropAnalityka[[#This Row],[Grade]])*DropAnalityka[[#This Row],[Quality/Quantity]],0)</f>
        <v>0</v>
      </c>
      <c r="L22" s="43">
        <f>IFERROR(SUMIFS(Tabela10[Exp Gain only 2*+],Tabela10[Drop],DropAnalityka[[#This Row],[Drop]],Tabela10[Grade],DropAnalityka[[#This Row],[Grade]])*DropAnalityka[[#This Row],[Quality/Quantity]],0)</f>
        <v>0</v>
      </c>
      <c r="O22" s="13">
        <v>7</v>
      </c>
      <c r="P22" s="43"/>
      <c r="Q22" s="43">
        <v>17</v>
      </c>
      <c r="R22" s="43">
        <v>1</v>
      </c>
      <c r="S22" s="43">
        <v>3</v>
      </c>
      <c r="T22" s="43">
        <v>23</v>
      </c>
      <c r="U22" s="43">
        <v>5</v>
      </c>
      <c r="V22" s="43"/>
      <c r="W22" s="43">
        <v>1</v>
      </c>
      <c r="X22" s="43">
        <v>50</v>
      </c>
    </row>
    <row r="23" spans="1:24">
      <c r="A23" t="s">
        <v>8</v>
      </c>
      <c r="B23" t="s">
        <v>9</v>
      </c>
      <c r="C23">
        <v>3</v>
      </c>
      <c r="D23">
        <v>867</v>
      </c>
      <c r="E23">
        <v>2</v>
      </c>
      <c r="I23">
        <v>325</v>
      </c>
      <c r="J23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23" s="43">
        <f>IFERROR(SUMIFS(Tabela10[Fod Worth],Tabela10[Drop],DropAnalityka[[#This Row],[Drop]],Tabela10[Grade],DropAnalityka[[#This Row],[Grade]])*DropAnalityka[[#This Row],[Quality/Quantity]],0)</f>
        <v>0</v>
      </c>
      <c r="L23" s="43">
        <f>IFERROR(SUMIFS(Tabela10[Exp Gain only 2*+],Tabela10[Drop],DropAnalityka[[#This Row],[Drop]],Tabela10[Grade],DropAnalityka[[#This Row],[Grade]])*DropAnalityka[[#This Row],[Quality/Quantity]],0)</f>
        <v>0</v>
      </c>
      <c r="O23" s="13">
        <v>8</v>
      </c>
      <c r="P23" s="43"/>
      <c r="Q23" s="43">
        <v>8</v>
      </c>
      <c r="R23" s="43"/>
      <c r="S23" s="43"/>
      <c r="T23" s="43">
        <v>17</v>
      </c>
      <c r="U23" s="43">
        <v>11</v>
      </c>
      <c r="V23" s="43"/>
      <c r="W23" s="43">
        <v>1</v>
      </c>
      <c r="X23" s="43">
        <v>37</v>
      </c>
    </row>
    <row r="24" spans="1:24">
      <c r="A24" t="s">
        <v>8</v>
      </c>
      <c r="B24" t="s">
        <v>9</v>
      </c>
      <c r="C24">
        <v>3</v>
      </c>
      <c r="D24">
        <v>1453</v>
      </c>
      <c r="E24">
        <v>1</v>
      </c>
      <c r="I24">
        <v>325</v>
      </c>
      <c r="J24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24" s="43">
        <f>IFERROR(SUMIFS(Tabela10[Fod Worth],Tabela10[Drop],DropAnalityka[[#This Row],[Drop]],Tabela10[Grade],DropAnalityka[[#This Row],[Grade]])*DropAnalityka[[#This Row],[Quality/Quantity]],0)</f>
        <v>0</v>
      </c>
      <c r="L24" s="43">
        <f>IFERROR(SUMIFS(Tabela10[Exp Gain only 2*+],Tabela10[Drop],DropAnalityka[[#This Row],[Drop]],Tabela10[Grade],DropAnalityka[[#This Row],[Grade]])*DropAnalityka[[#This Row],[Quality/Quantity]],0)</f>
        <v>0</v>
      </c>
      <c r="O24" s="13">
        <v>10</v>
      </c>
      <c r="P24" s="43">
        <v>1</v>
      </c>
      <c r="Q24" s="43">
        <v>27</v>
      </c>
      <c r="R24" s="43">
        <v>9</v>
      </c>
      <c r="S24" s="43">
        <v>4</v>
      </c>
      <c r="T24" s="43">
        <v>45</v>
      </c>
      <c r="U24" s="43">
        <v>89</v>
      </c>
      <c r="V24" s="43">
        <v>12</v>
      </c>
      <c r="W24" s="43"/>
      <c r="X24" s="43">
        <v>187</v>
      </c>
    </row>
    <row r="25" spans="1:24">
      <c r="A25" t="s">
        <v>8</v>
      </c>
      <c r="B25" t="s">
        <v>9</v>
      </c>
      <c r="C25">
        <v>3</v>
      </c>
      <c r="D25">
        <v>1293</v>
      </c>
      <c r="E25">
        <v>0</v>
      </c>
      <c r="F25" t="s">
        <v>34</v>
      </c>
      <c r="G25">
        <v>1</v>
      </c>
      <c r="H25" t="s">
        <v>17</v>
      </c>
      <c r="I25">
        <v>0</v>
      </c>
      <c r="J2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5" s="43">
        <f>IFERROR(SUMIFS(Tabela10[Fod Worth],Tabela10[Drop],DropAnalityka[[#This Row],[Drop]],Tabela10[Grade],DropAnalityka[[#This Row],[Grade]])*DropAnalityka[[#This Row],[Quality/Quantity]],0)</f>
        <v>0</v>
      </c>
      <c r="L25" s="43">
        <f>IFERROR(SUMIFS(Tabela10[Exp Gain only 2*+],Tabela10[Drop],DropAnalityka[[#This Row],[Drop]],Tabela10[Grade],DropAnalityka[[#This Row],[Grade]])*DropAnalityka[[#This Row],[Quality/Quantity]],0)</f>
        <v>800</v>
      </c>
      <c r="O25" s="12" t="s">
        <v>66</v>
      </c>
      <c r="P25" s="43">
        <v>1</v>
      </c>
      <c r="Q25" s="43">
        <v>95</v>
      </c>
      <c r="R25" s="43">
        <v>17</v>
      </c>
      <c r="S25" s="43">
        <v>10</v>
      </c>
      <c r="T25" s="43">
        <v>132</v>
      </c>
      <c r="U25" s="43">
        <v>148</v>
      </c>
      <c r="V25" s="43">
        <v>22</v>
      </c>
      <c r="W25" s="43">
        <v>25</v>
      </c>
      <c r="X25" s="43">
        <v>450</v>
      </c>
    </row>
    <row r="26" spans="1:24">
      <c r="A26" t="s">
        <v>8</v>
      </c>
      <c r="B26" t="s">
        <v>9</v>
      </c>
      <c r="C26">
        <v>3</v>
      </c>
      <c r="D26">
        <v>1406</v>
      </c>
      <c r="E26">
        <v>0</v>
      </c>
      <c r="I26">
        <v>325</v>
      </c>
      <c r="J26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26" s="43">
        <f>IFERROR(SUMIFS(Tabela10[Fod Worth],Tabela10[Drop],DropAnalityka[[#This Row],[Drop]],Tabela10[Grade],DropAnalityka[[#This Row],[Grade]])*DropAnalityka[[#This Row],[Quality/Quantity]],0)</f>
        <v>0</v>
      </c>
      <c r="L26" s="43">
        <f>IFERROR(SUMIFS(Tabela10[Exp Gain only 2*+],Tabela10[Drop],DropAnalityka[[#This Row],[Drop]],Tabela10[Grade],DropAnalityka[[#This Row],[Grade]])*DropAnalityka[[#This Row],[Quality/Quantity]],0)</f>
        <v>0</v>
      </c>
    </row>
    <row r="27" spans="1:24">
      <c r="A27" t="s">
        <v>8</v>
      </c>
      <c r="B27" t="s">
        <v>9</v>
      </c>
      <c r="C27">
        <v>3</v>
      </c>
      <c r="D27">
        <v>1172</v>
      </c>
      <c r="E27">
        <v>1</v>
      </c>
      <c r="F27" t="s">
        <v>34</v>
      </c>
      <c r="G27">
        <v>1</v>
      </c>
      <c r="H27" t="s">
        <v>17</v>
      </c>
      <c r="I27">
        <v>0</v>
      </c>
      <c r="J2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7" s="43">
        <f>IFERROR(SUMIFS(Tabela10[Fod Worth],Tabela10[Drop],DropAnalityka[[#This Row],[Drop]],Tabela10[Grade],DropAnalityka[[#This Row],[Grade]])*DropAnalityka[[#This Row],[Quality/Quantity]],0)</f>
        <v>0</v>
      </c>
      <c r="L27" s="43">
        <f>IFERROR(SUMIFS(Tabela10[Exp Gain only 2*+],Tabela10[Drop],DropAnalityka[[#This Row],[Drop]],Tabela10[Grade],DropAnalityka[[#This Row],[Grade]])*DropAnalityka[[#This Row],[Quality/Quantity]],0)</f>
        <v>800</v>
      </c>
    </row>
    <row r="28" spans="1:24">
      <c r="A28" t="s">
        <v>8</v>
      </c>
      <c r="B28" t="s">
        <v>9</v>
      </c>
      <c r="C28">
        <v>3</v>
      </c>
      <c r="D28">
        <v>1517</v>
      </c>
      <c r="E28">
        <v>2</v>
      </c>
      <c r="I28">
        <v>325</v>
      </c>
      <c r="J28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28" s="43">
        <f>IFERROR(SUMIFS(Tabela10[Fod Worth],Tabela10[Drop],DropAnalityka[[#This Row],[Drop]],Tabela10[Grade],DropAnalityka[[#This Row],[Grade]])*DropAnalityka[[#This Row],[Quality/Quantity]],0)</f>
        <v>0</v>
      </c>
      <c r="L28" s="43">
        <f>IFERROR(SUMIFS(Tabela10[Exp Gain only 2*+],Tabela10[Drop],DropAnalityka[[#This Row],[Drop]],Tabela10[Grade],DropAnalityka[[#This Row],[Grade]])*DropAnalityka[[#This Row],[Quality/Quantity]],0)</f>
        <v>0</v>
      </c>
    </row>
    <row r="29" spans="1:24">
      <c r="A29" t="s">
        <v>8</v>
      </c>
      <c r="B29" t="s">
        <v>9</v>
      </c>
      <c r="C29">
        <v>3</v>
      </c>
      <c r="D29">
        <v>679</v>
      </c>
      <c r="E29">
        <v>0</v>
      </c>
      <c r="I29">
        <v>379</v>
      </c>
      <c r="J29">
        <f>DropAnalityka[[#This Row],[Sell Drop]]+IFERROR(SUMIFS(Tabela10[Drop Worth],Tabela10[Drop],DropAnalityka[[#This Row],[Drop]],Tabela10[Grade],DropAnalityka[[#This Row],[Grade]])*DropAnalityka[[#This Row],[Quality/Quantity]],0)</f>
        <v>379</v>
      </c>
      <c r="K29" s="43">
        <f>IFERROR(SUMIFS(Tabela10[Fod Worth],Tabela10[Drop],DropAnalityka[[#This Row],[Drop]],Tabela10[Grade],DropAnalityka[[#This Row],[Grade]])*DropAnalityka[[#This Row],[Quality/Quantity]],0)</f>
        <v>0</v>
      </c>
      <c r="L29" s="43">
        <f>IFERROR(SUMIFS(Tabela10[Exp Gain only 2*+],Tabela10[Drop],DropAnalityka[[#This Row],[Drop]],Tabela10[Grade],DropAnalityka[[#This Row],[Grade]])*DropAnalityka[[#This Row],[Quality/Quantity]],0)</f>
        <v>0</v>
      </c>
    </row>
    <row r="30" spans="1:24">
      <c r="A30" t="s">
        <v>8</v>
      </c>
      <c r="B30" t="s">
        <v>9</v>
      </c>
      <c r="C30">
        <v>3</v>
      </c>
      <c r="D30">
        <v>1263</v>
      </c>
      <c r="E30">
        <v>0</v>
      </c>
      <c r="I30">
        <v>487</v>
      </c>
      <c r="J30">
        <f>DropAnalityka[[#This Row],[Sell Drop]]+IFERROR(SUMIFS(Tabela10[Drop Worth],Tabela10[Drop],DropAnalityka[[#This Row],[Drop]],Tabela10[Grade],DropAnalityka[[#This Row],[Grade]])*DropAnalityka[[#This Row],[Quality/Quantity]],0)</f>
        <v>487</v>
      </c>
      <c r="K30" s="43">
        <f>IFERROR(SUMIFS(Tabela10[Fod Worth],Tabela10[Drop],DropAnalityka[[#This Row],[Drop]],Tabela10[Grade],DropAnalityka[[#This Row],[Grade]])*DropAnalityka[[#This Row],[Quality/Quantity]],0)</f>
        <v>0</v>
      </c>
      <c r="L30" s="43">
        <f>IFERROR(SUMIFS(Tabela10[Exp Gain only 2*+],Tabela10[Drop],DropAnalityka[[#This Row],[Drop]],Tabela10[Grade],DropAnalityka[[#This Row],[Grade]])*DropAnalityka[[#This Row],[Quality/Quantity]],0)</f>
        <v>0</v>
      </c>
    </row>
    <row r="31" spans="1:24">
      <c r="A31" t="s">
        <v>8</v>
      </c>
      <c r="B31" t="s">
        <v>9</v>
      </c>
      <c r="C31">
        <v>3</v>
      </c>
      <c r="D31">
        <v>497</v>
      </c>
      <c r="E31">
        <v>1</v>
      </c>
      <c r="F31" t="s">
        <v>34</v>
      </c>
      <c r="G31">
        <v>1</v>
      </c>
      <c r="H31" t="s">
        <v>17</v>
      </c>
      <c r="I31">
        <v>0</v>
      </c>
      <c r="J3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31" s="43">
        <f>IFERROR(SUMIFS(Tabela10[Fod Worth],Tabela10[Drop],DropAnalityka[[#This Row],[Drop]],Tabela10[Grade],DropAnalityka[[#This Row],[Grade]])*DropAnalityka[[#This Row],[Quality/Quantity]],0)</f>
        <v>0</v>
      </c>
      <c r="L31" s="43">
        <f>IFERROR(SUMIFS(Tabela10[Exp Gain only 2*+],Tabela10[Drop],DropAnalityka[[#This Row],[Drop]],Tabela10[Grade],DropAnalityka[[#This Row],[Grade]])*DropAnalityka[[#This Row],[Quality/Quantity]],0)</f>
        <v>800</v>
      </c>
    </row>
    <row r="32" spans="1:24">
      <c r="A32" t="s">
        <v>8</v>
      </c>
      <c r="B32" t="s">
        <v>9</v>
      </c>
      <c r="C32">
        <v>3</v>
      </c>
      <c r="D32">
        <v>621</v>
      </c>
      <c r="E32">
        <v>1</v>
      </c>
      <c r="I32">
        <v>720</v>
      </c>
      <c r="J32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32" s="43">
        <f>IFERROR(SUMIFS(Tabela10[Fod Worth],Tabela10[Drop],DropAnalityka[[#This Row],[Drop]],Tabela10[Grade],DropAnalityka[[#This Row],[Grade]])*DropAnalityka[[#This Row],[Quality/Quantity]],0)</f>
        <v>0</v>
      </c>
      <c r="L32" s="43">
        <f>IFERROR(SUMIFS(Tabela10[Exp Gain only 2*+],Tabela10[Drop],DropAnalityka[[#This Row],[Drop]],Tabela10[Grade],DropAnalityka[[#This Row],[Grade]])*DropAnalityka[[#This Row],[Quality/Quantity]],0)</f>
        <v>0</v>
      </c>
    </row>
    <row r="33" spans="1:12">
      <c r="A33" t="s">
        <v>8</v>
      </c>
      <c r="B33" t="s">
        <v>9</v>
      </c>
      <c r="C33">
        <v>3</v>
      </c>
      <c r="D33">
        <v>1165</v>
      </c>
      <c r="E33">
        <v>1</v>
      </c>
      <c r="I33">
        <v>325</v>
      </c>
      <c r="J33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33" s="43">
        <f>IFERROR(SUMIFS(Tabela10[Fod Worth],Tabela10[Drop],DropAnalityka[[#This Row],[Drop]],Tabela10[Grade],DropAnalityka[[#This Row],[Grade]])*DropAnalityka[[#This Row],[Quality/Quantity]],0)</f>
        <v>0</v>
      </c>
      <c r="L33" s="43">
        <f>IFERROR(SUMIFS(Tabela10[Exp Gain only 2*+],Tabela10[Drop],DropAnalityka[[#This Row],[Drop]],Tabela10[Grade],DropAnalityka[[#This Row],[Grade]])*DropAnalityka[[#This Row],[Quality/Quantity]],0)</f>
        <v>0</v>
      </c>
    </row>
    <row r="34" spans="1:12">
      <c r="A34" t="s">
        <v>8</v>
      </c>
      <c r="B34" t="s">
        <v>9</v>
      </c>
      <c r="C34">
        <v>3</v>
      </c>
      <c r="D34">
        <v>1390</v>
      </c>
      <c r="E34">
        <v>1</v>
      </c>
      <c r="F34" t="s">
        <v>34</v>
      </c>
      <c r="G34">
        <v>1</v>
      </c>
      <c r="H34" t="s">
        <v>17</v>
      </c>
      <c r="I34">
        <v>0</v>
      </c>
      <c r="J34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34" s="43">
        <f>IFERROR(SUMIFS(Tabela10[Fod Worth],Tabela10[Drop],DropAnalityka[[#This Row],[Drop]],Tabela10[Grade],DropAnalityka[[#This Row],[Grade]])*DropAnalityka[[#This Row],[Quality/Quantity]],0)</f>
        <v>0</v>
      </c>
      <c r="L34" s="43">
        <f>IFERROR(SUMIFS(Tabela10[Exp Gain only 2*+],Tabela10[Drop],DropAnalityka[[#This Row],[Drop]],Tabela10[Grade],DropAnalityka[[#This Row],[Grade]])*DropAnalityka[[#This Row],[Quality/Quantity]],0)</f>
        <v>800</v>
      </c>
    </row>
    <row r="35" spans="1:12">
      <c r="A35" t="s">
        <v>8</v>
      </c>
      <c r="B35" t="s">
        <v>9</v>
      </c>
      <c r="C35">
        <v>3</v>
      </c>
      <c r="D35">
        <v>999</v>
      </c>
      <c r="E35">
        <v>1</v>
      </c>
      <c r="F35" t="s">
        <v>34</v>
      </c>
      <c r="G35">
        <v>1</v>
      </c>
      <c r="H35" t="s">
        <v>17</v>
      </c>
      <c r="I35">
        <v>0</v>
      </c>
      <c r="J3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35" s="43">
        <f>IFERROR(SUMIFS(Tabela10[Fod Worth],Tabela10[Drop],DropAnalityka[[#This Row],[Drop]],Tabela10[Grade],DropAnalityka[[#This Row],[Grade]])*DropAnalityka[[#This Row],[Quality/Quantity]],0)</f>
        <v>0</v>
      </c>
      <c r="L35" s="43">
        <f>IFERROR(SUMIFS(Tabela10[Exp Gain only 2*+],Tabela10[Drop],DropAnalityka[[#This Row],[Drop]],Tabela10[Grade],DropAnalityka[[#This Row],[Grade]])*DropAnalityka[[#This Row],[Quality/Quantity]],0)</f>
        <v>800</v>
      </c>
    </row>
    <row r="36" spans="1:12">
      <c r="A36" t="s">
        <v>8</v>
      </c>
      <c r="B36" t="s">
        <v>9</v>
      </c>
      <c r="C36">
        <v>3</v>
      </c>
      <c r="D36">
        <v>1117</v>
      </c>
      <c r="E36">
        <v>2</v>
      </c>
      <c r="I36">
        <v>325</v>
      </c>
      <c r="J36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36" s="43">
        <f>IFERROR(SUMIFS(Tabela10[Fod Worth],Tabela10[Drop],DropAnalityka[[#This Row],[Drop]],Tabela10[Grade],DropAnalityka[[#This Row],[Grade]])*DropAnalityka[[#This Row],[Quality/Quantity]],0)</f>
        <v>0</v>
      </c>
      <c r="L36" s="43">
        <f>IFERROR(SUMIFS(Tabela10[Exp Gain only 2*+],Tabela10[Drop],DropAnalityka[[#This Row],[Drop]],Tabela10[Grade],DropAnalityka[[#This Row],[Grade]])*DropAnalityka[[#This Row],[Quality/Quantity]],0)</f>
        <v>0</v>
      </c>
    </row>
    <row r="37" spans="1:12">
      <c r="A37" t="s">
        <v>8</v>
      </c>
      <c r="B37" t="s">
        <v>9</v>
      </c>
      <c r="C37">
        <v>3</v>
      </c>
      <c r="D37">
        <v>794</v>
      </c>
      <c r="E37">
        <v>1</v>
      </c>
      <c r="I37">
        <v>325</v>
      </c>
      <c r="J37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37" s="43">
        <f>IFERROR(SUMIFS(Tabela10[Fod Worth],Tabela10[Drop],DropAnalityka[[#This Row],[Drop]],Tabela10[Grade],DropAnalityka[[#This Row],[Grade]])*DropAnalityka[[#This Row],[Quality/Quantity]],0)</f>
        <v>0</v>
      </c>
      <c r="L37" s="43">
        <f>IFERROR(SUMIFS(Tabela10[Exp Gain only 2*+],Tabela10[Drop],DropAnalityka[[#This Row],[Drop]],Tabela10[Grade],DropAnalityka[[#This Row],[Grade]])*DropAnalityka[[#This Row],[Quality/Quantity]],0)</f>
        <v>0</v>
      </c>
    </row>
    <row r="38" spans="1:12">
      <c r="A38" t="s">
        <v>8</v>
      </c>
      <c r="B38" t="s">
        <v>9</v>
      </c>
      <c r="C38">
        <v>3</v>
      </c>
      <c r="D38">
        <v>1432</v>
      </c>
      <c r="E38">
        <v>1</v>
      </c>
      <c r="I38">
        <v>325</v>
      </c>
      <c r="J38">
        <f>DropAnalityka[[#This Row],[Sell Drop]]+IFERROR(SUMIFS(Tabela10[Drop Worth],Tabela10[Drop],DropAnalityka[[#This Row],[Drop]],Tabela10[Grade],DropAnalityka[[#This Row],[Grade]])*DropAnalityka[[#This Row],[Quality/Quantity]],0)</f>
        <v>325</v>
      </c>
      <c r="K38" s="43">
        <f>IFERROR(SUMIFS(Tabela10[Fod Worth],Tabela10[Drop],DropAnalityka[[#This Row],[Drop]],Tabela10[Grade],DropAnalityka[[#This Row],[Grade]])*DropAnalityka[[#This Row],[Quality/Quantity]],0)</f>
        <v>0</v>
      </c>
      <c r="L38" s="43">
        <f>IFERROR(SUMIFS(Tabela10[Exp Gain only 2*+],Tabela10[Drop],DropAnalityka[[#This Row],[Drop]],Tabela10[Grade],DropAnalityka[[#This Row],[Grade]])*DropAnalityka[[#This Row],[Quality/Quantity]],0)</f>
        <v>0</v>
      </c>
    </row>
    <row r="39" spans="1:12">
      <c r="A39" t="s">
        <v>8</v>
      </c>
      <c r="B39" t="s">
        <v>9</v>
      </c>
      <c r="C39">
        <v>3</v>
      </c>
      <c r="D39">
        <v>1485</v>
      </c>
      <c r="E39">
        <v>0</v>
      </c>
      <c r="I39">
        <v>433</v>
      </c>
      <c r="J39">
        <f>DropAnalityka[[#This Row],[Sell Drop]]+IFERROR(SUMIFS(Tabela10[Drop Worth],Tabela10[Drop],DropAnalityka[[#This Row],[Drop]],Tabela10[Grade],DropAnalityka[[#This Row],[Grade]])*DropAnalityka[[#This Row],[Quality/Quantity]],0)</f>
        <v>433</v>
      </c>
      <c r="K39" s="43">
        <f>IFERROR(SUMIFS(Tabela10[Fod Worth],Tabela10[Drop],DropAnalityka[[#This Row],[Drop]],Tabela10[Grade],DropAnalityka[[#This Row],[Grade]])*DropAnalityka[[#This Row],[Quality/Quantity]],0)</f>
        <v>0</v>
      </c>
      <c r="L39" s="43">
        <f>IFERROR(SUMIFS(Tabela10[Exp Gain only 2*+],Tabela10[Drop],DropAnalityka[[#This Row],[Drop]],Tabela10[Grade],DropAnalityka[[#This Row],[Grade]])*DropAnalityka[[#This Row],[Quality/Quantity]],0)</f>
        <v>0</v>
      </c>
    </row>
    <row r="40" spans="1:12">
      <c r="A40" t="s">
        <v>8</v>
      </c>
      <c r="B40" t="s">
        <v>9</v>
      </c>
      <c r="C40">
        <v>3</v>
      </c>
      <c r="D40">
        <v>1301</v>
      </c>
      <c r="E40">
        <v>1</v>
      </c>
      <c r="I40">
        <v>379</v>
      </c>
      <c r="J40">
        <f>DropAnalityka[[#This Row],[Sell Drop]]+IFERROR(SUMIFS(Tabela10[Drop Worth],Tabela10[Drop],DropAnalityka[[#This Row],[Drop]],Tabela10[Grade],DropAnalityka[[#This Row],[Grade]])*DropAnalityka[[#This Row],[Quality/Quantity]],0)</f>
        <v>379</v>
      </c>
      <c r="K40" s="43">
        <f>IFERROR(SUMIFS(Tabela10[Fod Worth],Tabela10[Drop],DropAnalityka[[#This Row],[Drop]],Tabela10[Grade],DropAnalityka[[#This Row],[Grade]])*DropAnalityka[[#This Row],[Quality/Quantity]],0)</f>
        <v>0</v>
      </c>
      <c r="L40" s="43">
        <f>IFERROR(SUMIFS(Tabela10[Exp Gain only 2*+],Tabela10[Drop],DropAnalityka[[#This Row],[Drop]],Tabela10[Grade],DropAnalityka[[#This Row],[Grade]])*DropAnalityka[[#This Row],[Quality/Quantity]],0)</f>
        <v>0</v>
      </c>
    </row>
    <row r="41" spans="1:12">
      <c r="A41" t="s">
        <v>8</v>
      </c>
      <c r="B41" t="s">
        <v>9</v>
      </c>
      <c r="C41">
        <v>3</v>
      </c>
      <c r="D41">
        <v>1501</v>
      </c>
      <c r="E41">
        <v>0</v>
      </c>
      <c r="I41">
        <v>720</v>
      </c>
      <c r="J41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41" s="43">
        <f>IFERROR(SUMIFS(Tabela10[Fod Worth],Tabela10[Drop],DropAnalityka[[#This Row],[Drop]],Tabela10[Grade],DropAnalityka[[#This Row],[Grade]])*DropAnalityka[[#This Row],[Quality/Quantity]],0)</f>
        <v>0</v>
      </c>
      <c r="L41" s="43">
        <f>IFERROR(SUMIFS(Tabela10[Exp Gain only 2*+],Tabela10[Drop],DropAnalityka[[#This Row],[Drop]],Tabela10[Grade],DropAnalityka[[#This Row],[Grade]])*DropAnalityka[[#This Row],[Quality/Quantity]],0)</f>
        <v>0</v>
      </c>
    </row>
    <row r="42" spans="1:12">
      <c r="A42" t="s">
        <v>8</v>
      </c>
      <c r="B42" t="s">
        <v>30</v>
      </c>
      <c r="C42">
        <v>3</v>
      </c>
      <c r="D42">
        <v>1470</v>
      </c>
      <c r="E42">
        <v>0</v>
      </c>
      <c r="I42">
        <v>1080</v>
      </c>
      <c r="J42">
        <f>DropAnalityka[[#This Row],[Sell Drop]]+IFERROR(SUMIFS(Tabela10[Drop Worth],Tabela10[Drop],DropAnalityka[[#This Row],[Drop]],Tabela10[Grade],DropAnalityka[[#This Row],[Grade]])*DropAnalityka[[#This Row],[Quality/Quantity]],0)</f>
        <v>1080</v>
      </c>
      <c r="K42" s="43">
        <f>IFERROR(SUMIFS(Tabela10[Fod Worth],Tabela10[Drop],DropAnalityka[[#This Row],[Drop]],Tabela10[Grade],DropAnalityka[[#This Row],[Grade]])*DropAnalityka[[#This Row],[Quality/Quantity]],0)</f>
        <v>0</v>
      </c>
      <c r="L42" s="43">
        <f>IFERROR(SUMIFS(Tabela10[Exp Gain only 2*+],Tabela10[Drop],DropAnalityka[[#This Row],[Drop]],Tabela10[Grade],DropAnalityka[[#This Row],[Grade]])*DropAnalityka[[#This Row],[Quality/Quantity]],0)</f>
        <v>0</v>
      </c>
    </row>
    <row r="43" spans="1:12">
      <c r="A43" t="s">
        <v>8</v>
      </c>
      <c r="B43" t="s">
        <v>30</v>
      </c>
      <c r="C43">
        <v>3</v>
      </c>
      <c r="D43">
        <v>1058</v>
      </c>
      <c r="E43">
        <v>1</v>
      </c>
      <c r="F43" t="s">
        <v>34</v>
      </c>
      <c r="G43">
        <v>2</v>
      </c>
      <c r="H43" t="s">
        <v>17</v>
      </c>
      <c r="I43">
        <v>0</v>
      </c>
      <c r="J43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43" s="43">
        <f>IFERROR(SUMIFS(Tabela10[Fod Worth],Tabela10[Drop],DropAnalityka[[#This Row],[Drop]],Tabela10[Grade],DropAnalityka[[#This Row],[Grade]])*DropAnalityka[[#This Row],[Quality/Quantity]],0)</f>
        <v>0</v>
      </c>
      <c r="L43" s="43">
        <f>IFERROR(SUMIFS(Tabela10[Exp Gain only 2*+],Tabela10[Drop],DropAnalityka[[#This Row],[Drop]],Tabela10[Grade],DropAnalityka[[#This Row],[Grade]])*DropAnalityka[[#This Row],[Quality/Quantity]],0)</f>
        <v>1600</v>
      </c>
    </row>
    <row r="44" spans="1:12">
      <c r="A44" t="s">
        <v>31</v>
      </c>
      <c r="B44" t="s">
        <v>9</v>
      </c>
      <c r="C44">
        <v>1</v>
      </c>
      <c r="D44">
        <v>1552</v>
      </c>
      <c r="E44">
        <v>2</v>
      </c>
      <c r="I44">
        <v>2128</v>
      </c>
      <c r="J44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44" s="43">
        <f>IFERROR(SUMIFS(Tabela10[Fod Worth],Tabela10[Drop],DropAnalityka[[#This Row],[Drop]],Tabela10[Grade],DropAnalityka[[#This Row],[Grade]])*DropAnalityka[[#This Row],[Quality/Quantity]],0)</f>
        <v>0</v>
      </c>
      <c r="L44" s="43">
        <f>IFERROR(SUMIFS(Tabela10[Exp Gain only 2*+],Tabela10[Drop],DropAnalityka[[#This Row],[Drop]],Tabela10[Grade],DropAnalityka[[#This Row],[Grade]])*DropAnalityka[[#This Row],[Quality/Quantity]],0)</f>
        <v>0</v>
      </c>
    </row>
    <row r="45" spans="1:12">
      <c r="A45" t="s">
        <v>31</v>
      </c>
      <c r="B45" t="s">
        <v>9</v>
      </c>
      <c r="C45">
        <v>1</v>
      </c>
      <c r="D45">
        <v>1468</v>
      </c>
      <c r="E45">
        <v>1</v>
      </c>
      <c r="F45" t="s">
        <v>34</v>
      </c>
      <c r="G45">
        <v>1</v>
      </c>
      <c r="H45" t="s">
        <v>17</v>
      </c>
      <c r="I45">
        <v>0</v>
      </c>
      <c r="J4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45" s="43">
        <f>IFERROR(SUMIFS(Tabela10[Fod Worth],Tabela10[Drop],DropAnalityka[[#This Row],[Drop]],Tabela10[Grade],DropAnalityka[[#This Row],[Grade]])*DropAnalityka[[#This Row],[Quality/Quantity]],0)</f>
        <v>0</v>
      </c>
      <c r="L45" s="43">
        <f>IFERROR(SUMIFS(Tabela10[Exp Gain only 2*+],Tabela10[Drop],DropAnalityka[[#This Row],[Drop]],Tabela10[Grade],DropAnalityka[[#This Row],[Grade]])*DropAnalityka[[#This Row],[Quality/Quantity]],0)</f>
        <v>800</v>
      </c>
    </row>
    <row r="46" spans="1:12">
      <c r="A46" t="s">
        <v>31</v>
      </c>
      <c r="B46" t="s">
        <v>9</v>
      </c>
      <c r="C46">
        <v>1</v>
      </c>
      <c r="D46">
        <v>1481</v>
      </c>
      <c r="E46">
        <v>1</v>
      </c>
      <c r="I46">
        <v>0</v>
      </c>
      <c r="J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6" s="43">
        <f>IFERROR(SUMIFS(Tabela10[Fod Worth],Tabela10[Drop],DropAnalityka[[#This Row],[Drop]],Tabela10[Grade],DropAnalityka[[#This Row],[Grade]])*DropAnalityka[[#This Row],[Quality/Quantity]],0)</f>
        <v>0</v>
      </c>
      <c r="L46" s="43">
        <f>IFERROR(SUMIFS(Tabela10[Exp Gain only 2*+],Tabela10[Drop],DropAnalityka[[#This Row],[Drop]],Tabela10[Grade],DropAnalityka[[#This Row],[Grade]])*DropAnalityka[[#This Row],[Quality/Quantity]],0)</f>
        <v>0</v>
      </c>
    </row>
    <row r="47" spans="1:12">
      <c r="A47" t="s">
        <v>31</v>
      </c>
      <c r="B47" t="s">
        <v>9</v>
      </c>
      <c r="C47">
        <v>1</v>
      </c>
      <c r="D47">
        <v>1928</v>
      </c>
      <c r="E47">
        <v>1</v>
      </c>
      <c r="I47">
        <v>1824</v>
      </c>
      <c r="J4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47" s="43">
        <f>IFERROR(SUMIFS(Tabela10[Fod Worth],Tabela10[Drop],DropAnalityka[[#This Row],[Drop]],Tabela10[Grade],DropAnalityka[[#This Row],[Grade]])*DropAnalityka[[#This Row],[Quality/Quantity]],0)</f>
        <v>0</v>
      </c>
      <c r="L47" s="43">
        <f>IFERROR(SUMIFS(Tabela10[Exp Gain only 2*+],Tabela10[Drop],DropAnalityka[[#This Row],[Drop]],Tabela10[Grade],DropAnalityka[[#This Row],[Grade]])*DropAnalityka[[#This Row],[Quality/Quantity]],0)</f>
        <v>0</v>
      </c>
    </row>
    <row r="48" spans="1:12">
      <c r="A48" t="s">
        <v>31</v>
      </c>
      <c r="B48" t="s">
        <v>9</v>
      </c>
      <c r="C48">
        <v>1</v>
      </c>
      <c r="D48">
        <v>1273</v>
      </c>
      <c r="E48">
        <v>1</v>
      </c>
      <c r="I48">
        <v>0</v>
      </c>
      <c r="J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8" s="43">
        <f>IFERROR(SUMIFS(Tabela10[Fod Worth],Tabela10[Drop],DropAnalityka[[#This Row],[Drop]],Tabela10[Grade],DropAnalityka[[#This Row],[Grade]])*DropAnalityka[[#This Row],[Quality/Quantity]],0)</f>
        <v>0</v>
      </c>
      <c r="L48" s="43">
        <f>IFERROR(SUMIFS(Tabela10[Exp Gain only 2*+],Tabela10[Drop],DropAnalityka[[#This Row],[Drop]],Tabela10[Grade],DropAnalityka[[#This Row],[Grade]])*DropAnalityka[[#This Row],[Quality/Quantity]],0)</f>
        <v>0</v>
      </c>
    </row>
    <row r="49" spans="1:12">
      <c r="A49" t="s">
        <v>31</v>
      </c>
      <c r="B49" t="s">
        <v>9</v>
      </c>
      <c r="C49">
        <v>1</v>
      </c>
      <c r="D49">
        <v>698</v>
      </c>
      <c r="E49">
        <v>2</v>
      </c>
      <c r="I49">
        <v>892</v>
      </c>
      <c r="J49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49" s="43">
        <f>IFERROR(SUMIFS(Tabela10[Fod Worth],Tabela10[Drop],DropAnalityka[[#This Row],[Drop]],Tabela10[Grade],DropAnalityka[[#This Row],[Grade]])*DropAnalityka[[#This Row],[Quality/Quantity]],0)</f>
        <v>0</v>
      </c>
      <c r="L49" s="43">
        <f>IFERROR(SUMIFS(Tabela10[Exp Gain only 2*+],Tabela10[Drop],DropAnalityka[[#This Row],[Drop]],Tabela10[Grade],DropAnalityka[[#This Row],[Grade]])*DropAnalityka[[#This Row],[Quality/Quantity]],0)</f>
        <v>0</v>
      </c>
    </row>
    <row r="50" spans="1:12">
      <c r="A50" t="s">
        <v>31</v>
      </c>
      <c r="B50" t="s">
        <v>9</v>
      </c>
      <c r="C50">
        <v>1</v>
      </c>
      <c r="D50">
        <v>1500</v>
      </c>
      <c r="E50">
        <v>1</v>
      </c>
      <c r="I50">
        <v>2128</v>
      </c>
      <c r="J50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50" s="43">
        <f>IFERROR(SUMIFS(Tabela10[Fod Worth],Tabela10[Drop],DropAnalityka[[#This Row],[Drop]],Tabela10[Grade],DropAnalityka[[#This Row],[Grade]])*DropAnalityka[[#This Row],[Quality/Quantity]],0)</f>
        <v>0</v>
      </c>
      <c r="L50" s="43">
        <f>IFERROR(SUMIFS(Tabela10[Exp Gain only 2*+],Tabela10[Drop],DropAnalityka[[#This Row],[Drop]],Tabela10[Grade],DropAnalityka[[#This Row],[Grade]])*DropAnalityka[[#This Row],[Quality/Quantity]],0)</f>
        <v>0</v>
      </c>
    </row>
    <row r="51" spans="1:12">
      <c r="A51" t="s">
        <v>31</v>
      </c>
      <c r="B51" t="s">
        <v>9</v>
      </c>
      <c r="C51">
        <v>1</v>
      </c>
      <c r="D51">
        <v>310</v>
      </c>
      <c r="E51">
        <v>1</v>
      </c>
      <c r="F51" t="s">
        <v>34</v>
      </c>
      <c r="G51">
        <v>1</v>
      </c>
      <c r="H51" t="s">
        <v>17</v>
      </c>
      <c r="I51">
        <v>0</v>
      </c>
      <c r="J5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1" s="43">
        <f>IFERROR(SUMIFS(Tabela10[Fod Worth],Tabela10[Drop],DropAnalityka[[#This Row],[Drop]],Tabela10[Grade],DropAnalityka[[#This Row],[Grade]])*DropAnalityka[[#This Row],[Quality/Quantity]],0)</f>
        <v>0</v>
      </c>
      <c r="L51" s="43">
        <f>IFERROR(SUMIFS(Tabela10[Exp Gain only 2*+],Tabela10[Drop],DropAnalityka[[#This Row],[Drop]],Tabela10[Grade],DropAnalityka[[#This Row],[Grade]])*DropAnalityka[[#This Row],[Quality/Quantity]],0)</f>
        <v>800</v>
      </c>
    </row>
    <row r="52" spans="1:12">
      <c r="A52" t="s">
        <v>31</v>
      </c>
      <c r="B52" t="s">
        <v>9</v>
      </c>
      <c r="C52">
        <v>1</v>
      </c>
      <c r="D52">
        <v>1386</v>
      </c>
      <c r="E52">
        <v>0</v>
      </c>
      <c r="I52">
        <v>823</v>
      </c>
      <c r="J52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52" s="43">
        <f>IFERROR(SUMIFS(Tabela10[Fod Worth],Tabela10[Drop],DropAnalityka[[#This Row],[Drop]],Tabela10[Grade],DropAnalityka[[#This Row],[Grade]])*DropAnalityka[[#This Row],[Quality/Quantity]],0)</f>
        <v>0</v>
      </c>
      <c r="L52" s="43">
        <f>IFERROR(SUMIFS(Tabela10[Exp Gain only 2*+],Tabela10[Drop],DropAnalityka[[#This Row],[Drop]],Tabela10[Grade],DropAnalityka[[#This Row],[Grade]])*DropAnalityka[[#This Row],[Quality/Quantity]],0)</f>
        <v>0</v>
      </c>
    </row>
    <row r="53" spans="1:12">
      <c r="A53" t="s">
        <v>31</v>
      </c>
      <c r="B53" t="s">
        <v>9</v>
      </c>
      <c r="C53">
        <v>1</v>
      </c>
      <c r="D53">
        <v>1353</v>
      </c>
      <c r="E53">
        <v>1</v>
      </c>
      <c r="I53">
        <v>1824</v>
      </c>
      <c r="J5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3" s="43">
        <f>IFERROR(SUMIFS(Tabela10[Fod Worth],Tabela10[Drop],DropAnalityka[[#This Row],[Drop]],Tabela10[Grade],DropAnalityka[[#This Row],[Grade]])*DropAnalityka[[#This Row],[Quality/Quantity]],0)</f>
        <v>0</v>
      </c>
      <c r="L53" s="43">
        <f>IFERROR(SUMIFS(Tabela10[Exp Gain only 2*+],Tabela10[Drop],DropAnalityka[[#This Row],[Drop]],Tabela10[Grade],DropAnalityka[[#This Row],[Grade]])*DropAnalityka[[#This Row],[Quality/Quantity]],0)</f>
        <v>0</v>
      </c>
    </row>
    <row r="54" spans="1:12">
      <c r="A54" t="s">
        <v>31</v>
      </c>
      <c r="B54" t="s">
        <v>9</v>
      </c>
      <c r="C54">
        <v>1</v>
      </c>
      <c r="D54">
        <v>1480</v>
      </c>
      <c r="E54">
        <v>1</v>
      </c>
      <c r="F54" t="s">
        <v>34</v>
      </c>
      <c r="G54">
        <v>1</v>
      </c>
      <c r="H54" t="s">
        <v>17</v>
      </c>
      <c r="I54">
        <v>0</v>
      </c>
      <c r="J54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4" s="43">
        <f>IFERROR(SUMIFS(Tabela10[Fod Worth],Tabela10[Drop],DropAnalityka[[#This Row],[Drop]],Tabela10[Grade],DropAnalityka[[#This Row],[Grade]])*DropAnalityka[[#This Row],[Quality/Quantity]],0)</f>
        <v>0</v>
      </c>
      <c r="L54" s="43">
        <f>IFERROR(SUMIFS(Tabela10[Exp Gain only 2*+],Tabela10[Drop],DropAnalityka[[#This Row],[Drop]],Tabela10[Grade],DropAnalityka[[#This Row],[Grade]])*DropAnalityka[[#This Row],[Quality/Quantity]],0)</f>
        <v>800</v>
      </c>
    </row>
    <row r="55" spans="1:12">
      <c r="A55" t="s">
        <v>31</v>
      </c>
      <c r="B55" t="s">
        <v>9</v>
      </c>
      <c r="C55">
        <v>1</v>
      </c>
      <c r="D55">
        <v>1618</v>
      </c>
      <c r="E55">
        <v>1</v>
      </c>
      <c r="F55" t="s">
        <v>34</v>
      </c>
      <c r="G55">
        <v>1</v>
      </c>
      <c r="H55" t="s">
        <v>17</v>
      </c>
      <c r="I55">
        <v>0</v>
      </c>
      <c r="J5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5" s="43">
        <f>IFERROR(SUMIFS(Tabela10[Fod Worth],Tabela10[Drop],DropAnalityka[[#This Row],[Drop]],Tabela10[Grade],DropAnalityka[[#This Row],[Grade]])*DropAnalityka[[#This Row],[Quality/Quantity]],0)</f>
        <v>0</v>
      </c>
      <c r="L55" s="43">
        <f>IFERROR(SUMIFS(Tabela10[Exp Gain only 2*+],Tabela10[Drop],DropAnalityka[[#This Row],[Drop]],Tabela10[Grade],DropAnalityka[[#This Row],[Grade]])*DropAnalityka[[#This Row],[Quality/Quantity]],0)</f>
        <v>800</v>
      </c>
    </row>
    <row r="56" spans="1:12">
      <c r="A56" t="s">
        <v>31</v>
      </c>
      <c r="B56" t="s">
        <v>9</v>
      </c>
      <c r="C56">
        <v>1</v>
      </c>
      <c r="D56">
        <v>1145</v>
      </c>
      <c r="E56">
        <v>3</v>
      </c>
      <c r="I56">
        <v>1824</v>
      </c>
      <c r="J5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6" s="43">
        <f>IFERROR(SUMIFS(Tabela10[Fod Worth],Tabela10[Drop],DropAnalityka[[#This Row],[Drop]],Tabela10[Grade],DropAnalityka[[#This Row],[Grade]])*DropAnalityka[[#This Row],[Quality/Quantity]],0)</f>
        <v>0</v>
      </c>
      <c r="L56" s="43">
        <f>IFERROR(SUMIFS(Tabela10[Exp Gain only 2*+],Tabela10[Drop],DropAnalityka[[#This Row],[Drop]],Tabela10[Grade],DropAnalityka[[#This Row],[Grade]])*DropAnalityka[[#This Row],[Quality/Quantity]],0)</f>
        <v>0</v>
      </c>
    </row>
    <row r="57" spans="1:12">
      <c r="A57" t="s">
        <v>31</v>
      </c>
      <c r="B57" t="s">
        <v>9</v>
      </c>
      <c r="C57">
        <v>1</v>
      </c>
      <c r="D57">
        <v>1164</v>
      </c>
      <c r="E57">
        <v>0</v>
      </c>
      <c r="I57">
        <v>823</v>
      </c>
      <c r="J57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57" s="43">
        <f>IFERROR(SUMIFS(Tabela10[Fod Worth],Tabela10[Drop],DropAnalityka[[#This Row],[Drop]],Tabela10[Grade],DropAnalityka[[#This Row],[Grade]])*DropAnalityka[[#This Row],[Quality/Quantity]],0)</f>
        <v>0</v>
      </c>
      <c r="L57" s="43">
        <f>IFERROR(SUMIFS(Tabela10[Exp Gain only 2*+],Tabela10[Drop],DropAnalityka[[#This Row],[Drop]],Tabela10[Grade],DropAnalityka[[#This Row],[Grade]])*DropAnalityka[[#This Row],[Quality/Quantity]],0)</f>
        <v>0</v>
      </c>
    </row>
    <row r="58" spans="1:12">
      <c r="A58" t="s">
        <v>8</v>
      </c>
      <c r="B58" t="s">
        <v>30</v>
      </c>
      <c r="C58">
        <v>6</v>
      </c>
      <c r="D58">
        <v>1500</v>
      </c>
      <c r="E58">
        <v>1</v>
      </c>
      <c r="I58">
        <v>1152</v>
      </c>
      <c r="J58">
        <f>DropAnalityka[[#This Row],[Sell Drop]]+IFERROR(SUMIFS(Tabela10[Drop Worth],Tabela10[Drop],DropAnalityka[[#This Row],[Drop]],Tabela10[Grade],DropAnalityka[[#This Row],[Grade]])*DropAnalityka[[#This Row],[Quality/Quantity]],0)</f>
        <v>1152</v>
      </c>
      <c r="K58" s="43">
        <f>IFERROR(SUMIFS(Tabela10[Fod Worth],Tabela10[Drop],DropAnalityka[[#This Row],[Drop]],Tabela10[Grade],DropAnalityka[[#This Row],[Grade]])*DropAnalityka[[#This Row],[Quality/Quantity]],0)</f>
        <v>0</v>
      </c>
      <c r="L58" s="43">
        <f>IFERROR(SUMIFS(Tabela10[Exp Gain only 2*+],Tabela10[Drop],DropAnalityka[[#This Row],[Drop]],Tabela10[Grade],DropAnalityka[[#This Row],[Grade]])*DropAnalityka[[#This Row],[Quality/Quantity]],0)</f>
        <v>0</v>
      </c>
    </row>
    <row r="59" spans="1:12">
      <c r="A59" t="s">
        <v>31</v>
      </c>
      <c r="B59" t="s">
        <v>9</v>
      </c>
      <c r="C59">
        <v>1</v>
      </c>
      <c r="D59">
        <v>1215</v>
      </c>
      <c r="E59">
        <v>1</v>
      </c>
      <c r="I59">
        <v>823</v>
      </c>
      <c r="J5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59" s="43">
        <f>IFERROR(SUMIFS(Tabela10[Fod Worth],Tabela10[Drop],DropAnalityka[[#This Row],[Drop]],Tabela10[Grade],DropAnalityka[[#This Row],[Grade]])*DropAnalityka[[#This Row],[Quality/Quantity]],0)</f>
        <v>0</v>
      </c>
      <c r="L59" s="43">
        <f>IFERROR(SUMIFS(Tabela10[Exp Gain only 2*+],Tabela10[Drop],DropAnalityka[[#This Row],[Drop]],Tabela10[Grade],DropAnalityka[[#This Row],[Grade]])*DropAnalityka[[#This Row],[Quality/Quantity]],0)</f>
        <v>0</v>
      </c>
    </row>
    <row r="60" spans="1:12">
      <c r="A60" t="s">
        <v>31</v>
      </c>
      <c r="B60" t="s">
        <v>9</v>
      </c>
      <c r="C60">
        <v>1</v>
      </c>
      <c r="D60">
        <v>1268</v>
      </c>
      <c r="E60">
        <v>2</v>
      </c>
      <c r="I60">
        <v>1824</v>
      </c>
      <c r="J6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0" s="43">
        <f>IFERROR(SUMIFS(Tabela10[Fod Worth],Tabela10[Drop],DropAnalityka[[#This Row],[Drop]],Tabela10[Grade],DropAnalityka[[#This Row],[Grade]])*DropAnalityka[[#This Row],[Quality/Quantity]],0)</f>
        <v>0</v>
      </c>
      <c r="L60" s="43">
        <f>IFERROR(SUMIFS(Tabela10[Exp Gain only 2*+],Tabela10[Drop],DropAnalityka[[#This Row],[Drop]],Tabela10[Grade],DropAnalityka[[#This Row],[Grade]])*DropAnalityka[[#This Row],[Quality/Quantity]],0)</f>
        <v>0</v>
      </c>
    </row>
    <row r="61" spans="1:12">
      <c r="A61" t="s">
        <v>31</v>
      </c>
      <c r="B61" t="s">
        <v>9</v>
      </c>
      <c r="C61">
        <v>1</v>
      </c>
      <c r="D61">
        <v>1694</v>
      </c>
      <c r="E61">
        <v>0</v>
      </c>
      <c r="I61">
        <v>960</v>
      </c>
      <c r="J61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61" s="43">
        <f>IFERROR(SUMIFS(Tabela10[Fod Worth],Tabela10[Drop],DropAnalityka[[#This Row],[Drop]],Tabela10[Grade],DropAnalityka[[#This Row],[Grade]])*DropAnalityka[[#This Row],[Quality/Quantity]],0)</f>
        <v>0</v>
      </c>
      <c r="L61" s="43">
        <f>IFERROR(SUMIFS(Tabela10[Exp Gain only 2*+],Tabela10[Drop],DropAnalityka[[#This Row],[Drop]],Tabela10[Grade],DropAnalityka[[#This Row],[Grade]])*DropAnalityka[[#This Row],[Quality/Quantity]],0)</f>
        <v>0</v>
      </c>
    </row>
    <row r="62" spans="1:12">
      <c r="A62" t="s">
        <v>31</v>
      </c>
      <c r="B62" t="s">
        <v>9</v>
      </c>
      <c r="C62">
        <v>1</v>
      </c>
      <c r="D62">
        <v>1722</v>
      </c>
      <c r="E62">
        <v>1</v>
      </c>
      <c r="I62">
        <v>1824</v>
      </c>
      <c r="J6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" s="43">
        <f>IFERROR(SUMIFS(Tabela10[Fod Worth],Tabela10[Drop],DropAnalityka[[#This Row],[Drop]],Tabela10[Grade],DropAnalityka[[#This Row],[Grade]])*DropAnalityka[[#This Row],[Quality/Quantity]],0)</f>
        <v>0</v>
      </c>
      <c r="L62" s="43">
        <f>IFERROR(SUMIFS(Tabela10[Exp Gain only 2*+],Tabela10[Drop],DropAnalityka[[#This Row],[Drop]],Tabela10[Grade],DropAnalityka[[#This Row],[Grade]])*DropAnalityka[[#This Row],[Quality/Quantity]],0)</f>
        <v>0</v>
      </c>
    </row>
    <row r="63" spans="1:12">
      <c r="A63" t="s">
        <v>31</v>
      </c>
      <c r="B63" t="s">
        <v>9</v>
      </c>
      <c r="C63">
        <v>1</v>
      </c>
      <c r="D63">
        <v>852</v>
      </c>
      <c r="E63">
        <v>0</v>
      </c>
      <c r="I63">
        <v>823</v>
      </c>
      <c r="J63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63" s="43">
        <f>IFERROR(SUMIFS(Tabela10[Fod Worth],Tabela10[Drop],DropAnalityka[[#This Row],[Drop]],Tabela10[Grade],DropAnalityka[[#This Row],[Grade]])*DropAnalityka[[#This Row],[Quality/Quantity]],0)</f>
        <v>0</v>
      </c>
      <c r="L63" s="43">
        <f>IFERROR(SUMIFS(Tabela10[Exp Gain only 2*+],Tabela10[Drop],DropAnalityka[[#This Row],[Drop]],Tabela10[Grade],DropAnalityka[[#This Row],[Grade]])*DropAnalityka[[#This Row],[Quality/Quantity]],0)</f>
        <v>0</v>
      </c>
    </row>
    <row r="64" spans="1:12">
      <c r="A64" t="s">
        <v>31</v>
      </c>
      <c r="B64" t="s">
        <v>9</v>
      </c>
      <c r="C64">
        <v>1</v>
      </c>
      <c r="D64">
        <v>1720</v>
      </c>
      <c r="E64">
        <v>1</v>
      </c>
      <c r="I64">
        <v>892</v>
      </c>
      <c r="J64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64" s="43">
        <f>IFERROR(SUMIFS(Tabela10[Fod Worth],Tabela10[Drop],DropAnalityka[[#This Row],[Drop]],Tabela10[Grade],DropAnalityka[[#This Row],[Grade]])*DropAnalityka[[#This Row],[Quality/Quantity]],0)</f>
        <v>0</v>
      </c>
      <c r="L64" s="43">
        <f>IFERROR(SUMIFS(Tabela10[Exp Gain only 2*+],Tabela10[Drop],DropAnalityka[[#This Row],[Drop]],Tabela10[Grade],DropAnalityka[[#This Row],[Grade]])*DropAnalityka[[#This Row],[Quality/Quantity]],0)</f>
        <v>0</v>
      </c>
    </row>
    <row r="65" spans="1:12">
      <c r="A65" t="s">
        <v>31</v>
      </c>
      <c r="B65" t="s">
        <v>9</v>
      </c>
      <c r="C65">
        <v>1</v>
      </c>
      <c r="D65">
        <v>1162</v>
      </c>
      <c r="E65">
        <v>1</v>
      </c>
      <c r="I65">
        <v>823</v>
      </c>
      <c r="J65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65" s="43">
        <f>IFERROR(SUMIFS(Tabela10[Fod Worth],Tabela10[Drop],DropAnalityka[[#This Row],[Drop]],Tabela10[Grade],DropAnalityka[[#This Row],[Grade]])*DropAnalityka[[#This Row],[Quality/Quantity]],0)</f>
        <v>0</v>
      </c>
      <c r="L65" s="43">
        <f>IFERROR(SUMIFS(Tabela10[Exp Gain only 2*+],Tabela10[Drop],DropAnalityka[[#This Row],[Drop]],Tabela10[Grade],DropAnalityka[[#This Row],[Grade]])*DropAnalityka[[#This Row],[Quality/Quantity]],0)</f>
        <v>0</v>
      </c>
    </row>
    <row r="66" spans="1:12">
      <c r="A66" t="s">
        <v>31</v>
      </c>
      <c r="B66" t="s">
        <v>9</v>
      </c>
      <c r="C66">
        <v>1</v>
      </c>
      <c r="D66">
        <v>1888</v>
      </c>
      <c r="E66">
        <v>2</v>
      </c>
      <c r="F66" t="s">
        <v>34</v>
      </c>
      <c r="G66">
        <v>1</v>
      </c>
      <c r="H66" t="s">
        <v>17</v>
      </c>
      <c r="I66">
        <v>0</v>
      </c>
      <c r="J66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66" s="43">
        <f>IFERROR(SUMIFS(Tabela10[Fod Worth],Tabela10[Drop],DropAnalityka[[#This Row],[Drop]],Tabela10[Grade],DropAnalityka[[#This Row],[Grade]])*DropAnalityka[[#This Row],[Quality/Quantity]],0)</f>
        <v>0</v>
      </c>
      <c r="L66" s="43">
        <f>IFERROR(SUMIFS(Tabela10[Exp Gain only 2*+],Tabela10[Drop],DropAnalityka[[#This Row],[Drop]],Tabela10[Grade],DropAnalityka[[#This Row],[Grade]])*DropAnalityka[[#This Row],[Quality/Quantity]],0)</f>
        <v>800</v>
      </c>
    </row>
    <row r="67" spans="1:12">
      <c r="A67" t="s">
        <v>31</v>
      </c>
      <c r="B67" t="s">
        <v>9</v>
      </c>
      <c r="C67">
        <v>1</v>
      </c>
      <c r="D67">
        <v>703</v>
      </c>
      <c r="E67">
        <v>0</v>
      </c>
      <c r="I67">
        <v>960</v>
      </c>
      <c r="J67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67" s="43">
        <f>IFERROR(SUMIFS(Tabela10[Fod Worth],Tabela10[Drop],DropAnalityka[[#This Row],[Drop]],Tabela10[Grade],DropAnalityka[[#This Row],[Grade]])*DropAnalityka[[#This Row],[Quality/Quantity]],0)</f>
        <v>0</v>
      </c>
      <c r="L67" s="43">
        <f>IFERROR(SUMIFS(Tabela10[Exp Gain only 2*+],Tabela10[Drop],DropAnalityka[[#This Row],[Drop]],Tabela10[Grade],DropAnalityka[[#This Row],[Grade]])*DropAnalityka[[#This Row],[Quality/Quantity]],0)</f>
        <v>0</v>
      </c>
    </row>
    <row r="68" spans="1:12">
      <c r="A68" t="s">
        <v>31</v>
      </c>
      <c r="B68" t="s">
        <v>9</v>
      </c>
      <c r="C68">
        <v>1</v>
      </c>
      <c r="D68">
        <v>1958</v>
      </c>
      <c r="E68">
        <v>2</v>
      </c>
      <c r="F68" t="s">
        <v>34</v>
      </c>
      <c r="G68">
        <v>1</v>
      </c>
      <c r="H68" t="s">
        <v>17</v>
      </c>
      <c r="I68">
        <v>0</v>
      </c>
      <c r="J68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68" s="43">
        <f>IFERROR(SUMIFS(Tabela10[Fod Worth],Tabela10[Drop],DropAnalityka[[#This Row],[Drop]],Tabela10[Grade],DropAnalityka[[#This Row],[Grade]])*DropAnalityka[[#This Row],[Quality/Quantity]],0)</f>
        <v>0</v>
      </c>
      <c r="L68" s="43">
        <f>IFERROR(SUMIFS(Tabela10[Exp Gain only 2*+],Tabela10[Drop],DropAnalityka[[#This Row],[Drop]],Tabela10[Grade],DropAnalityka[[#This Row],[Grade]])*DropAnalityka[[#This Row],[Quality/Quantity]],0)</f>
        <v>800</v>
      </c>
    </row>
    <row r="69" spans="1:12">
      <c r="A69" t="s">
        <v>31</v>
      </c>
      <c r="B69" t="s">
        <v>9</v>
      </c>
      <c r="C69">
        <v>1</v>
      </c>
      <c r="D69">
        <v>1380</v>
      </c>
      <c r="E69">
        <v>1</v>
      </c>
      <c r="I69">
        <v>823</v>
      </c>
      <c r="J6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69" s="43">
        <f>IFERROR(SUMIFS(Tabela10[Fod Worth],Tabela10[Drop],DropAnalityka[[#This Row],[Drop]],Tabela10[Grade],DropAnalityka[[#This Row],[Grade]])*DropAnalityka[[#This Row],[Quality/Quantity]],0)</f>
        <v>0</v>
      </c>
      <c r="L69" s="43">
        <f>IFERROR(SUMIFS(Tabela10[Exp Gain only 2*+],Tabela10[Drop],DropAnalityka[[#This Row],[Drop]],Tabela10[Grade],DropAnalityka[[#This Row],[Grade]])*DropAnalityka[[#This Row],[Quality/Quantity]],0)</f>
        <v>0</v>
      </c>
    </row>
    <row r="70" spans="1:12">
      <c r="A70" t="s">
        <v>8</v>
      </c>
      <c r="B70" t="s">
        <v>30</v>
      </c>
      <c r="C70">
        <v>3</v>
      </c>
      <c r="D70">
        <v>1241</v>
      </c>
      <c r="E70">
        <v>0</v>
      </c>
      <c r="I70">
        <v>720</v>
      </c>
      <c r="J70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0" s="43">
        <f>IFERROR(SUMIFS(Tabela10[Fod Worth],Tabela10[Drop],DropAnalityka[[#This Row],[Drop]],Tabela10[Grade],DropAnalityka[[#This Row],[Grade]])*DropAnalityka[[#This Row],[Quality/Quantity]],0)</f>
        <v>0</v>
      </c>
      <c r="L70" s="43">
        <f>IFERROR(SUMIFS(Tabela10[Exp Gain only 2*+],Tabela10[Drop],DropAnalityka[[#This Row],[Drop]],Tabela10[Grade],DropAnalityka[[#This Row],[Grade]])*DropAnalityka[[#This Row],[Quality/Quantity]],0)</f>
        <v>0</v>
      </c>
    </row>
    <row r="71" spans="1:12">
      <c r="A71" t="s">
        <v>8</v>
      </c>
      <c r="B71" t="s">
        <v>30</v>
      </c>
      <c r="C71">
        <v>3</v>
      </c>
      <c r="D71">
        <v>2522</v>
      </c>
      <c r="E71">
        <v>2</v>
      </c>
      <c r="F71" t="s">
        <v>57</v>
      </c>
      <c r="G71">
        <v>1</v>
      </c>
      <c r="H71" t="s">
        <v>12</v>
      </c>
      <c r="I71">
        <v>0</v>
      </c>
      <c r="J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" s="43">
        <f>IFERROR(SUMIFS(Tabela10[Fod Worth],Tabela10[Drop],DropAnalityka[[#This Row],[Drop]],Tabela10[Grade],DropAnalityka[[#This Row],[Grade]])*DropAnalityka[[#This Row],[Quality/Quantity]],0)</f>
        <v>11500</v>
      </c>
      <c r="L71" s="43">
        <f>IFERROR(SUMIFS(Tabela10[Exp Gain only 2*+],Tabela10[Drop],DropAnalityka[[#This Row],[Drop]],Tabela10[Grade],DropAnalityka[[#This Row],[Grade]])*DropAnalityka[[#This Row],[Quality/Quantity]],0)</f>
        <v>0</v>
      </c>
    </row>
    <row r="72" spans="1:12">
      <c r="A72" t="s">
        <v>8</v>
      </c>
      <c r="B72" t="s">
        <v>30</v>
      </c>
      <c r="C72">
        <v>3</v>
      </c>
      <c r="D72">
        <v>1714</v>
      </c>
      <c r="E72">
        <v>0</v>
      </c>
      <c r="I72">
        <v>720</v>
      </c>
      <c r="J72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2" s="43">
        <f>IFERROR(SUMIFS(Tabela10[Fod Worth],Tabela10[Drop],DropAnalityka[[#This Row],[Drop]],Tabela10[Grade],DropAnalityka[[#This Row],[Grade]])*DropAnalityka[[#This Row],[Quality/Quantity]],0)</f>
        <v>0</v>
      </c>
      <c r="L72" s="43">
        <f>IFERROR(SUMIFS(Tabela10[Exp Gain only 2*+],Tabela10[Drop],DropAnalityka[[#This Row],[Drop]],Tabela10[Grade],DropAnalityka[[#This Row],[Grade]])*DropAnalityka[[#This Row],[Quality/Quantity]],0)</f>
        <v>0</v>
      </c>
    </row>
    <row r="73" spans="1:12">
      <c r="A73" t="s">
        <v>8</v>
      </c>
      <c r="B73" t="s">
        <v>30</v>
      </c>
      <c r="C73">
        <v>3</v>
      </c>
      <c r="D73">
        <v>1068</v>
      </c>
      <c r="E73">
        <v>0</v>
      </c>
      <c r="I73">
        <v>720</v>
      </c>
      <c r="J73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3" s="43">
        <f>IFERROR(SUMIFS(Tabela10[Fod Worth],Tabela10[Drop],DropAnalityka[[#This Row],[Drop]],Tabela10[Grade],DropAnalityka[[#This Row],[Grade]])*DropAnalityka[[#This Row],[Quality/Quantity]],0)</f>
        <v>0</v>
      </c>
      <c r="L73" s="43">
        <f>IFERROR(SUMIFS(Tabela10[Exp Gain only 2*+],Tabela10[Drop],DropAnalityka[[#This Row],[Drop]],Tabela10[Grade],DropAnalityka[[#This Row],[Grade]])*DropAnalityka[[#This Row],[Quality/Quantity]],0)</f>
        <v>0</v>
      </c>
    </row>
    <row r="74" spans="1:12">
      <c r="A74" t="s">
        <v>8</v>
      </c>
      <c r="B74" t="s">
        <v>30</v>
      </c>
      <c r="C74">
        <v>3</v>
      </c>
      <c r="D74">
        <v>1616</v>
      </c>
      <c r="E74">
        <v>0</v>
      </c>
      <c r="I74">
        <v>720</v>
      </c>
      <c r="J74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4" s="43">
        <f>IFERROR(SUMIFS(Tabela10[Fod Worth],Tabela10[Drop],DropAnalityka[[#This Row],[Drop]],Tabela10[Grade],DropAnalityka[[#This Row],[Grade]])*DropAnalityka[[#This Row],[Quality/Quantity]],0)</f>
        <v>0</v>
      </c>
      <c r="L74" s="43">
        <f>IFERROR(SUMIFS(Tabela10[Exp Gain only 2*+],Tabela10[Drop],DropAnalityka[[#This Row],[Drop]],Tabela10[Grade],DropAnalityka[[#This Row],[Grade]])*DropAnalityka[[#This Row],[Quality/Quantity]],0)</f>
        <v>0</v>
      </c>
    </row>
    <row r="75" spans="1:12">
      <c r="A75" t="s">
        <v>8</v>
      </c>
      <c r="B75" t="s">
        <v>30</v>
      </c>
      <c r="C75">
        <v>3</v>
      </c>
      <c r="D75">
        <v>1019</v>
      </c>
      <c r="E75">
        <v>2</v>
      </c>
      <c r="F75" t="s">
        <v>57</v>
      </c>
      <c r="G75">
        <v>1</v>
      </c>
      <c r="H75" t="s">
        <v>12</v>
      </c>
      <c r="I75">
        <v>0</v>
      </c>
      <c r="J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5" s="43">
        <f>IFERROR(SUMIFS(Tabela10[Fod Worth],Tabela10[Drop],DropAnalityka[[#This Row],[Drop]],Tabela10[Grade],DropAnalityka[[#This Row],[Grade]])*DropAnalityka[[#This Row],[Quality/Quantity]],0)</f>
        <v>11500</v>
      </c>
      <c r="L75" s="43">
        <f>IFERROR(SUMIFS(Tabela10[Exp Gain only 2*+],Tabela10[Drop],DropAnalityka[[#This Row],[Drop]],Tabela10[Grade],DropAnalityka[[#This Row],[Grade]])*DropAnalityka[[#This Row],[Quality/Quantity]],0)</f>
        <v>0</v>
      </c>
    </row>
    <row r="76" spans="1:12">
      <c r="A76" t="s">
        <v>8</v>
      </c>
      <c r="B76" t="s">
        <v>30</v>
      </c>
      <c r="C76">
        <v>3</v>
      </c>
      <c r="D76">
        <v>1705</v>
      </c>
      <c r="E76">
        <v>1</v>
      </c>
      <c r="I76">
        <v>1159</v>
      </c>
      <c r="J7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76" s="43">
        <f>IFERROR(SUMIFS(Tabela10[Fod Worth],Tabela10[Drop],DropAnalityka[[#This Row],[Drop]],Tabela10[Grade],DropAnalityka[[#This Row],[Grade]])*DropAnalityka[[#This Row],[Quality/Quantity]],0)</f>
        <v>0</v>
      </c>
      <c r="L76" s="43">
        <f>IFERROR(SUMIFS(Tabela10[Exp Gain only 2*+],Tabela10[Drop],DropAnalityka[[#This Row],[Drop]],Tabela10[Grade],DropAnalityka[[#This Row],[Grade]])*DropAnalityka[[#This Row],[Quality/Quantity]],0)</f>
        <v>0</v>
      </c>
    </row>
    <row r="77" spans="1:12">
      <c r="A77" t="s">
        <v>8</v>
      </c>
      <c r="B77" t="s">
        <v>30</v>
      </c>
      <c r="C77">
        <v>3</v>
      </c>
      <c r="D77">
        <v>1196</v>
      </c>
      <c r="E77">
        <v>1</v>
      </c>
      <c r="F77" t="s">
        <v>34</v>
      </c>
      <c r="G77">
        <v>2</v>
      </c>
      <c r="H77" t="s">
        <v>17</v>
      </c>
      <c r="I77">
        <v>0</v>
      </c>
      <c r="J7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77" s="43">
        <f>IFERROR(SUMIFS(Tabela10[Fod Worth],Tabela10[Drop],DropAnalityka[[#This Row],[Drop]],Tabela10[Grade],DropAnalityka[[#This Row],[Grade]])*DropAnalityka[[#This Row],[Quality/Quantity]],0)</f>
        <v>0</v>
      </c>
      <c r="L77" s="43">
        <f>IFERROR(SUMIFS(Tabela10[Exp Gain only 2*+],Tabela10[Drop],DropAnalityka[[#This Row],[Drop]],Tabela10[Grade],DropAnalityka[[#This Row],[Grade]])*DropAnalityka[[#This Row],[Quality/Quantity]],0)</f>
        <v>1600</v>
      </c>
    </row>
    <row r="78" spans="1:12">
      <c r="A78" t="s">
        <v>8</v>
      </c>
      <c r="B78" t="s">
        <v>30</v>
      </c>
      <c r="C78">
        <v>3</v>
      </c>
      <c r="D78">
        <v>780</v>
      </c>
      <c r="E78">
        <v>1</v>
      </c>
      <c r="I78">
        <v>720</v>
      </c>
      <c r="J78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8" s="43">
        <f>IFERROR(SUMIFS(Tabela10[Fod Worth],Tabela10[Drop],DropAnalityka[[#This Row],[Drop]],Tabela10[Grade],DropAnalityka[[#This Row],[Grade]])*DropAnalityka[[#This Row],[Quality/Quantity]],0)</f>
        <v>0</v>
      </c>
      <c r="L78" s="43">
        <f>IFERROR(SUMIFS(Tabela10[Exp Gain only 2*+],Tabela10[Drop],DropAnalityka[[#This Row],[Drop]],Tabela10[Grade],DropAnalityka[[#This Row],[Grade]])*DropAnalityka[[#This Row],[Quality/Quantity]],0)</f>
        <v>0</v>
      </c>
    </row>
    <row r="79" spans="1:12">
      <c r="A79" t="s">
        <v>8</v>
      </c>
      <c r="B79" t="s">
        <v>30</v>
      </c>
      <c r="C79">
        <v>3</v>
      </c>
      <c r="D79">
        <v>1258</v>
      </c>
      <c r="E79">
        <v>0</v>
      </c>
      <c r="I79">
        <v>720</v>
      </c>
      <c r="J79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79" s="43">
        <f>IFERROR(SUMIFS(Tabela10[Fod Worth],Tabela10[Drop],DropAnalityka[[#This Row],[Drop]],Tabela10[Grade],DropAnalityka[[#This Row],[Grade]])*DropAnalityka[[#This Row],[Quality/Quantity]],0)</f>
        <v>0</v>
      </c>
      <c r="L79" s="43">
        <f>IFERROR(SUMIFS(Tabela10[Exp Gain only 2*+],Tabela10[Drop],DropAnalityka[[#This Row],[Drop]],Tabela10[Grade],DropAnalityka[[#This Row],[Grade]])*DropAnalityka[[#This Row],[Quality/Quantity]],0)</f>
        <v>0</v>
      </c>
    </row>
    <row r="80" spans="1:12">
      <c r="A80" t="s">
        <v>8</v>
      </c>
      <c r="B80" t="s">
        <v>9</v>
      </c>
      <c r="C80">
        <v>3</v>
      </c>
      <c r="D80">
        <v>2183</v>
      </c>
      <c r="E80">
        <v>1</v>
      </c>
      <c r="F80" t="s">
        <v>34</v>
      </c>
      <c r="G80">
        <v>1</v>
      </c>
      <c r="H80" t="s">
        <v>17</v>
      </c>
      <c r="I80">
        <v>0</v>
      </c>
      <c r="J8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80" s="43">
        <f>IFERROR(SUMIFS(Tabela10[Fod Worth],Tabela10[Drop],DropAnalityka[[#This Row],[Drop]],Tabela10[Grade],DropAnalityka[[#This Row],[Grade]])*DropAnalityka[[#This Row],[Quality/Quantity]],0)</f>
        <v>0</v>
      </c>
      <c r="L80" s="43">
        <f>IFERROR(SUMIFS(Tabela10[Exp Gain only 2*+],Tabela10[Drop],DropAnalityka[[#This Row],[Drop]],Tabela10[Grade],DropAnalityka[[#This Row],[Grade]])*DropAnalityka[[#This Row],[Quality/Quantity]],0)</f>
        <v>800</v>
      </c>
    </row>
    <row r="81" spans="1:12">
      <c r="A81" t="s">
        <v>8</v>
      </c>
      <c r="B81" t="s">
        <v>9</v>
      </c>
      <c r="C81">
        <v>3</v>
      </c>
      <c r="D81">
        <v>985</v>
      </c>
      <c r="E81">
        <v>0</v>
      </c>
      <c r="I81">
        <v>720</v>
      </c>
      <c r="J81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81" s="43">
        <f>IFERROR(SUMIFS(Tabela10[Fod Worth],Tabela10[Drop],DropAnalityka[[#This Row],[Drop]],Tabela10[Grade],DropAnalityka[[#This Row],[Grade]])*DropAnalityka[[#This Row],[Quality/Quantity]],0)</f>
        <v>0</v>
      </c>
      <c r="L81" s="43">
        <f>IFERROR(SUMIFS(Tabela10[Exp Gain only 2*+],Tabela10[Drop],DropAnalityka[[#This Row],[Drop]],Tabela10[Grade],DropAnalityka[[#This Row],[Grade]])*DropAnalityka[[#This Row],[Quality/Quantity]],0)</f>
        <v>0</v>
      </c>
    </row>
    <row r="82" spans="1:12">
      <c r="A82" t="s">
        <v>8</v>
      </c>
      <c r="B82" t="s">
        <v>30</v>
      </c>
      <c r="C82">
        <v>3</v>
      </c>
      <c r="D82">
        <v>1518</v>
      </c>
      <c r="E82">
        <v>0</v>
      </c>
      <c r="I82">
        <v>960</v>
      </c>
      <c r="J82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82" s="43">
        <f>IFERROR(SUMIFS(Tabela10[Fod Worth],Tabela10[Drop],DropAnalityka[[#This Row],[Drop]],Tabela10[Grade],DropAnalityka[[#This Row],[Grade]])*DropAnalityka[[#This Row],[Quality/Quantity]],0)</f>
        <v>0</v>
      </c>
      <c r="L82" s="43">
        <f>IFERROR(SUMIFS(Tabela10[Exp Gain only 2*+],Tabela10[Drop],DropAnalityka[[#This Row],[Drop]],Tabela10[Grade],DropAnalityka[[#This Row],[Grade]])*DropAnalityka[[#This Row],[Quality/Quantity]],0)</f>
        <v>0</v>
      </c>
    </row>
    <row r="83" spans="1:12">
      <c r="A83" t="s">
        <v>8</v>
      </c>
      <c r="B83" t="s">
        <v>30</v>
      </c>
      <c r="C83">
        <v>3</v>
      </c>
      <c r="D83">
        <v>1785</v>
      </c>
      <c r="E83">
        <v>3</v>
      </c>
      <c r="I83">
        <v>1159</v>
      </c>
      <c r="J8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83" s="43">
        <f>IFERROR(SUMIFS(Tabela10[Fod Worth],Tabela10[Drop],DropAnalityka[[#This Row],[Drop]],Tabela10[Grade],DropAnalityka[[#This Row],[Grade]])*DropAnalityka[[#This Row],[Quality/Quantity]],0)</f>
        <v>0</v>
      </c>
      <c r="L83" s="43">
        <f>IFERROR(SUMIFS(Tabela10[Exp Gain only 2*+],Tabela10[Drop],DropAnalityka[[#This Row],[Drop]],Tabela10[Grade],DropAnalityka[[#This Row],[Grade]])*DropAnalityka[[#This Row],[Quality/Quantity]],0)</f>
        <v>0</v>
      </c>
    </row>
    <row r="84" spans="1:12">
      <c r="A84" t="s">
        <v>8</v>
      </c>
      <c r="B84" t="s">
        <v>30</v>
      </c>
      <c r="C84">
        <v>3</v>
      </c>
      <c r="D84">
        <v>1866</v>
      </c>
      <c r="E84">
        <v>3</v>
      </c>
      <c r="F84" t="s">
        <v>34</v>
      </c>
      <c r="G84">
        <v>2</v>
      </c>
      <c r="H84" t="s">
        <v>17</v>
      </c>
      <c r="I84">
        <v>0</v>
      </c>
      <c r="J8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84" s="43">
        <f>IFERROR(SUMIFS(Tabela10[Fod Worth],Tabela10[Drop],DropAnalityka[[#This Row],[Drop]],Tabela10[Grade],DropAnalityka[[#This Row],[Grade]])*DropAnalityka[[#This Row],[Quality/Quantity]],0)</f>
        <v>0</v>
      </c>
      <c r="L84" s="43">
        <f>IFERROR(SUMIFS(Tabela10[Exp Gain only 2*+],Tabela10[Drop],DropAnalityka[[#This Row],[Drop]],Tabela10[Grade],DropAnalityka[[#This Row],[Grade]])*DropAnalityka[[#This Row],[Quality/Quantity]],0)</f>
        <v>1600</v>
      </c>
    </row>
    <row r="85" spans="1:12">
      <c r="A85" t="s">
        <v>8</v>
      </c>
      <c r="B85" t="s">
        <v>30</v>
      </c>
      <c r="C85">
        <v>3</v>
      </c>
      <c r="D85">
        <v>1249</v>
      </c>
      <c r="E85">
        <v>1</v>
      </c>
      <c r="I85">
        <v>1546</v>
      </c>
      <c r="J85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85" s="43">
        <f>IFERROR(SUMIFS(Tabela10[Fod Worth],Tabela10[Drop],DropAnalityka[[#This Row],[Drop]],Tabela10[Grade],DropAnalityka[[#This Row],[Grade]])*DropAnalityka[[#This Row],[Quality/Quantity]],0)</f>
        <v>0</v>
      </c>
      <c r="L85" s="43">
        <f>IFERROR(SUMIFS(Tabela10[Exp Gain only 2*+],Tabela10[Drop],DropAnalityka[[#This Row],[Drop]],Tabela10[Grade],DropAnalityka[[#This Row],[Grade]])*DropAnalityka[[#This Row],[Quality/Quantity]],0)</f>
        <v>0</v>
      </c>
    </row>
    <row r="86" spans="1:12">
      <c r="A86" t="s">
        <v>8</v>
      </c>
      <c r="B86" t="s">
        <v>30</v>
      </c>
      <c r="C86">
        <v>3</v>
      </c>
      <c r="D86">
        <v>904</v>
      </c>
      <c r="E86">
        <v>0</v>
      </c>
      <c r="I86">
        <v>1159</v>
      </c>
      <c r="J8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86" s="43">
        <f>IFERROR(SUMIFS(Tabela10[Fod Worth],Tabela10[Drop],DropAnalityka[[#This Row],[Drop]],Tabela10[Grade],DropAnalityka[[#This Row],[Grade]])*DropAnalityka[[#This Row],[Quality/Quantity]],0)</f>
        <v>0</v>
      </c>
      <c r="L86" s="43">
        <f>IFERROR(SUMIFS(Tabela10[Exp Gain only 2*+],Tabela10[Drop],DropAnalityka[[#This Row],[Drop]],Tabela10[Grade],DropAnalityka[[#This Row],[Grade]])*DropAnalityka[[#This Row],[Quality/Quantity]],0)</f>
        <v>0</v>
      </c>
    </row>
    <row r="87" spans="1:12">
      <c r="A87" t="s">
        <v>8</v>
      </c>
      <c r="B87" t="s">
        <v>30</v>
      </c>
      <c r="C87">
        <v>3</v>
      </c>
      <c r="D87">
        <v>1447</v>
      </c>
      <c r="E87">
        <v>0</v>
      </c>
      <c r="F87" t="s">
        <v>34</v>
      </c>
      <c r="G87">
        <v>2</v>
      </c>
      <c r="H87" t="s">
        <v>17</v>
      </c>
      <c r="I87">
        <v>0</v>
      </c>
      <c r="J8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87" s="43">
        <f>IFERROR(SUMIFS(Tabela10[Fod Worth],Tabela10[Drop],DropAnalityka[[#This Row],[Drop]],Tabela10[Grade],DropAnalityka[[#This Row],[Grade]])*DropAnalityka[[#This Row],[Quality/Quantity]],0)</f>
        <v>0</v>
      </c>
      <c r="L87" s="43">
        <f>IFERROR(SUMIFS(Tabela10[Exp Gain only 2*+],Tabela10[Drop],DropAnalityka[[#This Row],[Drop]],Tabela10[Grade],DropAnalityka[[#This Row],[Grade]])*DropAnalityka[[#This Row],[Quality/Quantity]],0)</f>
        <v>1600</v>
      </c>
    </row>
    <row r="88" spans="1:12">
      <c r="A88" t="s">
        <v>8</v>
      </c>
      <c r="B88" t="s">
        <v>30</v>
      </c>
      <c r="C88">
        <v>3</v>
      </c>
      <c r="D88">
        <v>1756</v>
      </c>
      <c r="E88">
        <v>2</v>
      </c>
      <c r="I88">
        <v>720</v>
      </c>
      <c r="J88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88" s="43">
        <f>IFERROR(SUMIFS(Tabela10[Fod Worth],Tabela10[Drop],DropAnalityka[[#This Row],[Drop]],Tabela10[Grade],DropAnalityka[[#This Row],[Grade]])*DropAnalityka[[#This Row],[Quality/Quantity]],0)</f>
        <v>0</v>
      </c>
      <c r="L88" s="43">
        <f>IFERROR(SUMIFS(Tabela10[Exp Gain only 2*+],Tabela10[Drop],DropAnalityka[[#This Row],[Drop]],Tabela10[Grade],DropAnalityka[[#This Row],[Grade]])*DropAnalityka[[#This Row],[Quality/Quantity]],0)</f>
        <v>0</v>
      </c>
    </row>
    <row r="89" spans="1:12">
      <c r="A89" t="s">
        <v>8</v>
      </c>
      <c r="B89" t="s">
        <v>30</v>
      </c>
      <c r="C89">
        <v>3</v>
      </c>
      <c r="D89">
        <v>1070</v>
      </c>
      <c r="E89">
        <v>0</v>
      </c>
      <c r="I89">
        <v>840</v>
      </c>
      <c r="J89">
        <f>DropAnalityka[[#This Row],[Sell Drop]]+IFERROR(SUMIFS(Tabela10[Drop Worth],Tabela10[Drop],DropAnalityka[[#This Row],[Drop]],Tabela10[Grade],DropAnalityka[[#This Row],[Grade]])*DropAnalityka[[#This Row],[Quality/Quantity]],0)</f>
        <v>840</v>
      </c>
      <c r="K89" s="43">
        <f>IFERROR(SUMIFS(Tabela10[Fod Worth],Tabela10[Drop],DropAnalityka[[#This Row],[Drop]],Tabela10[Grade],DropAnalityka[[#This Row],[Grade]])*DropAnalityka[[#This Row],[Quality/Quantity]],0)</f>
        <v>0</v>
      </c>
      <c r="L89" s="43">
        <f>IFERROR(SUMIFS(Tabela10[Exp Gain only 2*+],Tabela10[Drop],DropAnalityka[[#This Row],[Drop]],Tabela10[Grade],DropAnalityka[[#This Row],[Grade]])*DropAnalityka[[#This Row],[Quality/Quantity]],0)</f>
        <v>0</v>
      </c>
    </row>
    <row r="90" spans="1:12">
      <c r="A90" t="s">
        <v>8</v>
      </c>
      <c r="B90" t="s">
        <v>30</v>
      </c>
      <c r="C90">
        <v>3</v>
      </c>
      <c r="D90">
        <v>1710</v>
      </c>
      <c r="E90">
        <v>0</v>
      </c>
      <c r="F90" t="s">
        <v>34</v>
      </c>
      <c r="G90">
        <v>2</v>
      </c>
      <c r="H90" t="s">
        <v>17</v>
      </c>
      <c r="I90">
        <v>0</v>
      </c>
      <c r="J9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0" s="43">
        <f>IFERROR(SUMIFS(Tabela10[Fod Worth],Tabela10[Drop],DropAnalityka[[#This Row],[Drop]],Tabela10[Grade],DropAnalityka[[#This Row],[Grade]])*DropAnalityka[[#This Row],[Quality/Quantity]],0)</f>
        <v>0</v>
      </c>
      <c r="L90" s="43">
        <f>IFERROR(SUMIFS(Tabela10[Exp Gain only 2*+],Tabela10[Drop],DropAnalityka[[#This Row],[Drop]],Tabela10[Grade],DropAnalityka[[#This Row],[Grade]])*DropAnalityka[[#This Row],[Quality/Quantity]],0)</f>
        <v>1600</v>
      </c>
    </row>
    <row r="91" spans="1:12">
      <c r="A91" t="s">
        <v>8</v>
      </c>
      <c r="B91" t="s">
        <v>30</v>
      </c>
      <c r="C91">
        <v>3</v>
      </c>
      <c r="D91">
        <v>1226</v>
      </c>
      <c r="E91">
        <v>0</v>
      </c>
      <c r="I91">
        <v>1159</v>
      </c>
      <c r="J9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91" s="43">
        <f>IFERROR(SUMIFS(Tabela10[Fod Worth],Tabela10[Drop],DropAnalityka[[#This Row],[Drop]],Tabela10[Grade],DropAnalityka[[#This Row],[Grade]])*DropAnalityka[[#This Row],[Quality/Quantity]],0)</f>
        <v>0</v>
      </c>
      <c r="L91" s="43">
        <f>IFERROR(SUMIFS(Tabela10[Exp Gain only 2*+],Tabela10[Drop],DropAnalityka[[#This Row],[Drop]],Tabela10[Grade],DropAnalityka[[#This Row],[Grade]])*DropAnalityka[[#This Row],[Quality/Quantity]],0)</f>
        <v>0</v>
      </c>
    </row>
    <row r="92" spans="1:12">
      <c r="A92" t="s">
        <v>8</v>
      </c>
      <c r="B92" t="s">
        <v>30</v>
      </c>
      <c r="C92">
        <v>3</v>
      </c>
      <c r="D92">
        <v>1124</v>
      </c>
      <c r="E92">
        <v>0</v>
      </c>
      <c r="I92">
        <v>1159</v>
      </c>
      <c r="J9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92" s="43">
        <f>IFERROR(SUMIFS(Tabela10[Fod Worth],Tabela10[Drop],DropAnalityka[[#This Row],[Drop]],Tabela10[Grade],DropAnalityka[[#This Row],[Grade]])*DropAnalityka[[#This Row],[Quality/Quantity]],0)</f>
        <v>0</v>
      </c>
      <c r="L92" s="43">
        <f>IFERROR(SUMIFS(Tabela10[Exp Gain only 2*+],Tabela10[Drop],DropAnalityka[[#This Row],[Drop]],Tabela10[Grade],DropAnalityka[[#This Row],[Grade]])*DropAnalityka[[#This Row],[Quality/Quantity]],0)</f>
        <v>0</v>
      </c>
    </row>
    <row r="93" spans="1:12">
      <c r="A93" t="s">
        <v>8</v>
      </c>
      <c r="B93" t="s">
        <v>30</v>
      </c>
      <c r="C93">
        <v>3</v>
      </c>
      <c r="D93">
        <v>1725</v>
      </c>
      <c r="E93">
        <v>2</v>
      </c>
      <c r="F93" t="s">
        <v>34</v>
      </c>
      <c r="G93">
        <v>2</v>
      </c>
      <c r="H93" t="s">
        <v>17</v>
      </c>
      <c r="I93">
        <v>0</v>
      </c>
      <c r="J93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3" s="43">
        <f>IFERROR(SUMIFS(Tabela10[Fod Worth],Tabela10[Drop],DropAnalityka[[#This Row],[Drop]],Tabela10[Grade],DropAnalityka[[#This Row],[Grade]])*DropAnalityka[[#This Row],[Quality/Quantity]],0)</f>
        <v>0</v>
      </c>
      <c r="L93" s="43">
        <f>IFERROR(SUMIFS(Tabela10[Exp Gain only 2*+],Tabela10[Drop],DropAnalityka[[#This Row],[Drop]],Tabela10[Grade],DropAnalityka[[#This Row],[Grade]])*DropAnalityka[[#This Row],[Quality/Quantity]],0)</f>
        <v>1600</v>
      </c>
    </row>
    <row r="94" spans="1:12">
      <c r="A94" t="s">
        <v>8</v>
      </c>
      <c r="B94" t="s">
        <v>30</v>
      </c>
      <c r="C94">
        <v>3</v>
      </c>
      <c r="D94">
        <v>1933</v>
      </c>
      <c r="E94">
        <v>1</v>
      </c>
      <c r="I94">
        <v>720</v>
      </c>
      <c r="J94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94" s="43">
        <f>IFERROR(SUMIFS(Tabela10[Fod Worth],Tabela10[Drop],DropAnalityka[[#This Row],[Drop]],Tabela10[Grade],DropAnalityka[[#This Row],[Grade]])*DropAnalityka[[#This Row],[Quality/Quantity]],0)</f>
        <v>0</v>
      </c>
      <c r="L94" s="43">
        <f>IFERROR(SUMIFS(Tabela10[Exp Gain only 2*+],Tabela10[Drop],DropAnalityka[[#This Row],[Drop]],Tabela10[Grade],DropAnalityka[[#This Row],[Grade]])*DropAnalityka[[#This Row],[Quality/Quantity]],0)</f>
        <v>0</v>
      </c>
    </row>
    <row r="95" spans="1:12">
      <c r="A95" t="s">
        <v>8</v>
      </c>
      <c r="B95" t="s">
        <v>30</v>
      </c>
      <c r="C95">
        <v>3</v>
      </c>
      <c r="D95">
        <v>1398</v>
      </c>
      <c r="E95">
        <v>2</v>
      </c>
      <c r="F95" t="s">
        <v>34</v>
      </c>
      <c r="G95">
        <v>2</v>
      </c>
      <c r="H95" t="s">
        <v>17</v>
      </c>
      <c r="I95">
        <v>0</v>
      </c>
      <c r="J9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5" s="43">
        <f>IFERROR(SUMIFS(Tabela10[Fod Worth],Tabela10[Drop],DropAnalityka[[#This Row],[Drop]],Tabela10[Grade],DropAnalityka[[#This Row],[Grade]])*DropAnalityka[[#This Row],[Quality/Quantity]],0)</f>
        <v>0</v>
      </c>
      <c r="L95" s="43">
        <f>IFERROR(SUMIFS(Tabela10[Exp Gain only 2*+],Tabela10[Drop],DropAnalityka[[#This Row],[Drop]],Tabela10[Grade],DropAnalityka[[#This Row],[Grade]])*DropAnalityka[[#This Row],[Quality/Quantity]],0)</f>
        <v>1600</v>
      </c>
    </row>
    <row r="96" spans="1:12">
      <c r="A96" t="s">
        <v>8</v>
      </c>
      <c r="B96" t="s">
        <v>30</v>
      </c>
      <c r="C96">
        <v>3</v>
      </c>
      <c r="D96">
        <v>1984</v>
      </c>
      <c r="E96">
        <v>1</v>
      </c>
      <c r="I96">
        <v>720</v>
      </c>
      <c r="J96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96" s="43">
        <f>IFERROR(SUMIFS(Tabela10[Fod Worth],Tabela10[Drop],DropAnalityka[[#This Row],[Drop]],Tabela10[Grade],DropAnalityka[[#This Row],[Grade]])*DropAnalityka[[#This Row],[Quality/Quantity]],0)</f>
        <v>0</v>
      </c>
      <c r="L96" s="43">
        <f>IFERROR(SUMIFS(Tabela10[Exp Gain only 2*+],Tabela10[Drop],DropAnalityka[[#This Row],[Drop]],Tabela10[Grade],DropAnalityka[[#This Row],[Grade]])*DropAnalityka[[#This Row],[Quality/Quantity]],0)</f>
        <v>0</v>
      </c>
    </row>
    <row r="97" spans="1:12">
      <c r="A97" t="s">
        <v>8</v>
      </c>
      <c r="B97" t="s">
        <v>30</v>
      </c>
      <c r="C97">
        <v>3</v>
      </c>
      <c r="D97">
        <v>1093</v>
      </c>
      <c r="E97">
        <v>0</v>
      </c>
      <c r="I97">
        <v>720</v>
      </c>
      <c r="J97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97" s="43">
        <f>IFERROR(SUMIFS(Tabela10[Fod Worth],Tabela10[Drop],DropAnalityka[[#This Row],[Drop]],Tabela10[Grade],DropAnalityka[[#This Row],[Grade]])*DropAnalityka[[#This Row],[Quality/Quantity]],0)</f>
        <v>0</v>
      </c>
      <c r="L97" s="43">
        <f>IFERROR(SUMIFS(Tabela10[Exp Gain only 2*+],Tabela10[Drop],DropAnalityka[[#This Row],[Drop]],Tabela10[Grade],DropAnalityka[[#This Row],[Grade]])*DropAnalityka[[#This Row],[Quality/Quantity]],0)</f>
        <v>0</v>
      </c>
    </row>
    <row r="98" spans="1:12">
      <c r="A98" t="s">
        <v>8</v>
      </c>
      <c r="B98" t="s">
        <v>30</v>
      </c>
      <c r="C98">
        <v>3</v>
      </c>
      <c r="D98">
        <v>1133</v>
      </c>
      <c r="E98">
        <v>2</v>
      </c>
      <c r="I98">
        <v>1159</v>
      </c>
      <c r="J9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98" s="43">
        <f>IFERROR(SUMIFS(Tabela10[Fod Worth],Tabela10[Drop],DropAnalityka[[#This Row],[Drop]],Tabela10[Grade],DropAnalityka[[#This Row],[Grade]])*DropAnalityka[[#This Row],[Quality/Quantity]],0)</f>
        <v>0</v>
      </c>
      <c r="L98" s="43">
        <f>IFERROR(SUMIFS(Tabela10[Exp Gain only 2*+],Tabela10[Drop],DropAnalityka[[#This Row],[Drop]],Tabela10[Grade],DropAnalityka[[#This Row],[Grade]])*DropAnalityka[[#This Row],[Quality/Quantity]],0)</f>
        <v>0</v>
      </c>
    </row>
    <row r="99" spans="1:12">
      <c r="A99" t="s">
        <v>8</v>
      </c>
      <c r="B99" t="s">
        <v>30</v>
      </c>
      <c r="C99">
        <v>3</v>
      </c>
      <c r="D99">
        <v>1193</v>
      </c>
      <c r="E99">
        <v>2</v>
      </c>
      <c r="I99">
        <v>1546</v>
      </c>
      <c r="J99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99" s="43">
        <f>IFERROR(SUMIFS(Tabela10[Fod Worth],Tabela10[Drop],DropAnalityka[[#This Row],[Drop]],Tabela10[Grade],DropAnalityka[[#This Row],[Grade]])*DropAnalityka[[#This Row],[Quality/Quantity]],0)</f>
        <v>0</v>
      </c>
      <c r="L99" s="43">
        <f>IFERROR(SUMIFS(Tabela10[Exp Gain only 2*+],Tabela10[Drop],DropAnalityka[[#This Row],[Drop]],Tabela10[Grade],DropAnalityka[[#This Row],[Grade]])*DropAnalityka[[#This Row],[Quality/Quantity]],0)</f>
        <v>0</v>
      </c>
    </row>
    <row r="100" spans="1:12">
      <c r="A100" t="s">
        <v>8</v>
      </c>
      <c r="B100" t="s">
        <v>30</v>
      </c>
      <c r="C100">
        <v>3</v>
      </c>
      <c r="D100">
        <v>1346</v>
      </c>
      <c r="E100">
        <v>1</v>
      </c>
      <c r="F100" t="s">
        <v>34</v>
      </c>
      <c r="G100">
        <v>2</v>
      </c>
      <c r="H100" t="s">
        <v>17</v>
      </c>
      <c r="I100">
        <v>0</v>
      </c>
      <c r="J10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00" s="43">
        <f>IFERROR(SUMIFS(Tabela10[Fod Worth],Tabela10[Drop],DropAnalityka[[#This Row],[Drop]],Tabela10[Grade],DropAnalityka[[#This Row],[Grade]])*DropAnalityka[[#This Row],[Quality/Quantity]],0)</f>
        <v>0</v>
      </c>
      <c r="L100" s="43">
        <f>IFERROR(SUMIFS(Tabela10[Exp Gain only 2*+],Tabela10[Drop],DropAnalityka[[#This Row],[Drop]],Tabela10[Grade],DropAnalityka[[#This Row],[Grade]])*DropAnalityka[[#This Row],[Quality/Quantity]],0)</f>
        <v>1600</v>
      </c>
    </row>
    <row r="101" spans="1:12">
      <c r="A101" t="s">
        <v>31</v>
      </c>
      <c r="B101" t="s">
        <v>9</v>
      </c>
      <c r="C101">
        <v>1</v>
      </c>
      <c r="D101">
        <v>1167</v>
      </c>
      <c r="E101">
        <v>1</v>
      </c>
      <c r="I101">
        <v>2128</v>
      </c>
      <c r="J101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101" s="43">
        <f>IFERROR(SUMIFS(Tabela10[Fod Worth],Tabela10[Drop],DropAnalityka[[#This Row],[Drop]],Tabela10[Grade],DropAnalityka[[#This Row],[Grade]])*DropAnalityka[[#This Row],[Quality/Quantity]],0)</f>
        <v>0</v>
      </c>
      <c r="L101" s="43">
        <f>IFERROR(SUMIFS(Tabela10[Exp Gain only 2*+],Tabela10[Drop],DropAnalityka[[#This Row],[Drop]],Tabela10[Grade],DropAnalityka[[#This Row],[Grade]])*DropAnalityka[[#This Row],[Quality/Quantity]],0)</f>
        <v>0</v>
      </c>
    </row>
    <row r="102" spans="1:12">
      <c r="A102" t="s">
        <v>31</v>
      </c>
      <c r="B102" t="s">
        <v>9</v>
      </c>
      <c r="C102">
        <v>1</v>
      </c>
      <c r="D102">
        <v>1005</v>
      </c>
      <c r="E102">
        <v>0</v>
      </c>
      <c r="I102">
        <v>1976</v>
      </c>
      <c r="J102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102" s="43">
        <f>IFERROR(SUMIFS(Tabela10[Fod Worth],Tabela10[Drop],DropAnalityka[[#This Row],[Drop]],Tabela10[Grade],DropAnalityka[[#This Row],[Grade]])*DropAnalityka[[#This Row],[Quality/Quantity]],0)</f>
        <v>0</v>
      </c>
      <c r="L102" s="43">
        <f>IFERROR(SUMIFS(Tabela10[Exp Gain only 2*+],Tabela10[Drop],DropAnalityka[[#This Row],[Drop]],Tabela10[Grade],DropAnalityka[[#This Row],[Grade]])*DropAnalityka[[#This Row],[Quality/Quantity]],0)</f>
        <v>0</v>
      </c>
    </row>
    <row r="103" spans="1:12">
      <c r="A103" t="s">
        <v>31</v>
      </c>
      <c r="B103" t="s">
        <v>9</v>
      </c>
      <c r="C103">
        <v>1</v>
      </c>
      <c r="D103">
        <v>1738</v>
      </c>
      <c r="E103">
        <v>0</v>
      </c>
      <c r="I103">
        <v>1824</v>
      </c>
      <c r="J10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3" s="43">
        <f>IFERROR(SUMIFS(Tabela10[Fod Worth],Tabela10[Drop],DropAnalityka[[#This Row],[Drop]],Tabela10[Grade],DropAnalityka[[#This Row],[Grade]])*DropAnalityka[[#This Row],[Quality/Quantity]],0)</f>
        <v>0</v>
      </c>
      <c r="L103" s="43">
        <f>IFERROR(SUMIFS(Tabela10[Exp Gain only 2*+],Tabela10[Drop],DropAnalityka[[#This Row],[Drop]],Tabela10[Grade],DropAnalityka[[#This Row],[Grade]])*DropAnalityka[[#This Row],[Quality/Quantity]],0)</f>
        <v>0</v>
      </c>
    </row>
    <row r="104" spans="1:12">
      <c r="A104" t="s">
        <v>31</v>
      </c>
      <c r="B104" t="s">
        <v>9</v>
      </c>
      <c r="C104">
        <v>1</v>
      </c>
      <c r="D104">
        <v>1440</v>
      </c>
      <c r="E104">
        <v>0</v>
      </c>
      <c r="I104">
        <v>823</v>
      </c>
      <c r="J10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04" s="43">
        <f>IFERROR(SUMIFS(Tabela10[Fod Worth],Tabela10[Drop],DropAnalityka[[#This Row],[Drop]],Tabela10[Grade],DropAnalityka[[#This Row],[Grade]])*DropAnalityka[[#This Row],[Quality/Quantity]],0)</f>
        <v>0</v>
      </c>
      <c r="L104" s="43">
        <f>IFERROR(SUMIFS(Tabela10[Exp Gain only 2*+],Tabela10[Drop],DropAnalityka[[#This Row],[Drop]],Tabela10[Grade],DropAnalityka[[#This Row],[Grade]])*DropAnalityka[[#This Row],[Quality/Quantity]],0)</f>
        <v>0</v>
      </c>
    </row>
    <row r="105" spans="1:12">
      <c r="A105" t="s">
        <v>31</v>
      </c>
      <c r="B105" t="s">
        <v>9</v>
      </c>
      <c r="C105">
        <v>1</v>
      </c>
      <c r="D105">
        <v>632</v>
      </c>
      <c r="E105">
        <v>0</v>
      </c>
      <c r="I105">
        <v>1824</v>
      </c>
      <c r="J10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5" s="43">
        <f>IFERROR(SUMIFS(Tabela10[Fod Worth],Tabela10[Drop],DropAnalityka[[#This Row],[Drop]],Tabela10[Grade],DropAnalityka[[#This Row],[Grade]])*DropAnalityka[[#This Row],[Quality/Quantity]],0)</f>
        <v>0</v>
      </c>
      <c r="L105" s="43">
        <f>IFERROR(SUMIFS(Tabela10[Exp Gain only 2*+],Tabela10[Drop],DropAnalityka[[#This Row],[Drop]],Tabela10[Grade],DropAnalityka[[#This Row],[Grade]])*DropAnalityka[[#This Row],[Quality/Quantity]],0)</f>
        <v>0</v>
      </c>
    </row>
    <row r="106" spans="1:12">
      <c r="A106" t="s">
        <v>31</v>
      </c>
      <c r="B106" t="s">
        <v>9</v>
      </c>
      <c r="C106">
        <v>1</v>
      </c>
      <c r="D106">
        <v>2032</v>
      </c>
      <c r="E106">
        <v>1</v>
      </c>
      <c r="I106">
        <v>2128</v>
      </c>
      <c r="J106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106" s="43">
        <f>IFERROR(SUMIFS(Tabela10[Fod Worth],Tabela10[Drop],DropAnalityka[[#This Row],[Drop]],Tabela10[Grade],DropAnalityka[[#This Row],[Grade]])*DropAnalityka[[#This Row],[Quality/Quantity]],0)</f>
        <v>0</v>
      </c>
      <c r="L106" s="43">
        <f>IFERROR(SUMIFS(Tabela10[Exp Gain only 2*+],Tabela10[Drop],DropAnalityka[[#This Row],[Drop]],Tabela10[Grade],DropAnalityka[[#This Row],[Grade]])*DropAnalityka[[#This Row],[Quality/Quantity]],0)</f>
        <v>0</v>
      </c>
    </row>
    <row r="107" spans="1:12">
      <c r="A107" t="s">
        <v>31</v>
      </c>
      <c r="B107" t="s">
        <v>9</v>
      </c>
      <c r="C107">
        <v>1</v>
      </c>
      <c r="D107">
        <v>559</v>
      </c>
      <c r="E107">
        <v>0</v>
      </c>
      <c r="I107">
        <v>823</v>
      </c>
      <c r="J107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07" s="43">
        <f>IFERROR(SUMIFS(Tabela10[Fod Worth],Tabela10[Drop],DropAnalityka[[#This Row],[Drop]],Tabela10[Grade],DropAnalityka[[#This Row],[Grade]])*DropAnalityka[[#This Row],[Quality/Quantity]],0)</f>
        <v>0</v>
      </c>
      <c r="L107" s="43">
        <f>IFERROR(SUMIFS(Tabela10[Exp Gain only 2*+],Tabela10[Drop],DropAnalityka[[#This Row],[Drop]],Tabela10[Grade],DropAnalityka[[#This Row],[Grade]])*DropAnalityka[[#This Row],[Quality/Quantity]],0)</f>
        <v>0</v>
      </c>
    </row>
    <row r="108" spans="1:12">
      <c r="A108" t="s">
        <v>31</v>
      </c>
      <c r="B108" t="s">
        <v>9</v>
      </c>
      <c r="C108">
        <v>1</v>
      </c>
      <c r="D108">
        <v>1582</v>
      </c>
      <c r="E108">
        <v>0</v>
      </c>
      <c r="I108">
        <v>1824</v>
      </c>
      <c r="J108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" s="43">
        <f>IFERROR(SUMIFS(Tabela10[Fod Worth],Tabela10[Drop],DropAnalityka[[#This Row],[Drop]],Tabela10[Grade],DropAnalityka[[#This Row],[Grade]])*DropAnalityka[[#This Row],[Quality/Quantity]],0)</f>
        <v>0</v>
      </c>
      <c r="L108" s="43">
        <f>IFERROR(SUMIFS(Tabela10[Exp Gain only 2*+],Tabela10[Drop],DropAnalityka[[#This Row],[Drop]],Tabela10[Grade],DropAnalityka[[#This Row],[Grade]])*DropAnalityka[[#This Row],[Quality/Quantity]],0)</f>
        <v>0</v>
      </c>
    </row>
    <row r="109" spans="1:12">
      <c r="A109" t="s">
        <v>31</v>
      </c>
      <c r="B109" t="s">
        <v>9</v>
      </c>
      <c r="C109">
        <v>1</v>
      </c>
      <c r="D109">
        <v>1981</v>
      </c>
      <c r="E109">
        <v>1</v>
      </c>
      <c r="F109" t="s">
        <v>34</v>
      </c>
      <c r="G109">
        <v>1</v>
      </c>
      <c r="H109" t="s">
        <v>17</v>
      </c>
      <c r="I109">
        <v>0</v>
      </c>
      <c r="J109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09" s="43">
        <f>IFERROR(SUMIFS(Tabela10[Fod Worth],Tabela10[Drop],DropAnalityka[[#This Row],[Drop]],Tabela10[Grade],DropAnalityka[[#This Row],[Grade]])*DropAnalityka[[#This Row],[Quality/Quantity]],0)</f>
        <v>0</v>
      </c>
      <c r="L109" s="43">
        <f>IFERROR(SUMIFS(Tabela10[Exp Gain only 2*+],Tabela10[Drop],DropAnalityka[[#This Row],[Drop]],Tabela10[Grade],DropAnalityka[[#This Row],[Grade]])*DropAnalityka[[#This Row],[Quality/Quantity]],0)</f>
        <v>800</v>
      </c>
    </row>
    <row r="110" spans="1:12">
      <c r="A110" t="s">
        <v>31</v>
      </c>
      <c r="B110" t="s">
        <v>9</v>
      </c>
      <c r="C110">
        <v>1</v>
      </c>
      <c r="D110">
        <v>859</v>
      </c>
      <c r="E110">
        <v>2</v>
      </c>
      <c r="I110">
        <v>1824</v>
      </c>
      <c r="J11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10" s="43">
        <f>IFERROR(SUMIFS(Tabela10[Fod Worth],Tabela10[Drop],DropAnalityka[[#This Row],[Drop]],Tabela10[Grade],DropAnalityka[[#This Row],[Grade]])*DropAnalityka[[#This Row],[Quality/Quantity]],0)</f>
        <v>0</v>
      </c>
      <c r="L110" s="43">
        <f>IFERROR(SUMIFS(Tabela10[Exp Gain only 2*+],Tabela10[Drop],DropAnalityka[[#This Row],[Drop]],Tabela10[Grade],DropAnalityka[[#This Row],[Grade]])*DropAnalityka[[#This Row],[Quality/Quantity]],0)</f>
        <v>0</v>
      </c>
    </row>
    <row r="111" spans="1:12">
      <c r="A111" t="s">
        <v>31</v>
      </c>
      <c r="B111" t="s">
        <v>9</v>
      </c>
      <c r="C111">
        <v>1</v>
      </c>
      <c r="D111">
        <v>874</v>
      </c>
      <c r="E111">
        <v>0</v>
      </c>
      <c r="I111">
        <v>1824</v>
      </c>
      <c r="J11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11" s="43">
        <f>IFERROR(SUMIFS(Tabela10[Fod Worth],Tabela10[Drop],DropAnalityka[[#This Row],[Drop]],Tabela10[Grade],DropAnalityka[[#This Row],[Grade]])*DropAnalityka[[#This Row],[Quality/Quantity]],0)</f>
        <v>0</v>
      </c>
      <c r="L111" s="43">
        <f>IFERROR(SUMIFS(Tabela10[Exp Gain only 2*+],Tabela10[Drop],DropAnalityka[[#This Row],[Drop]],Tabela10[Grade],DropAnalityka[[#This Row],[Grade]])*DropAnalityka[[#This Row],[Quality/Quantity]],0)</f>
        <v>0</v>
      </c>
    </row>
    <row r="112" spans="1:12">
      <c r="A112" t="s">
        <v>31</v>
      </c>
      <c r="B112" t="s">
        <v>9</v>
      </c>
      <c r="C112">
        <v>1</v>
      </c>
      <c r="D112">
        <v>1505</v>
      </c>
      <c r="E112">
        <v>0</v>
      </c>
      <c r="I112">
        <v>960</v>
      </c>
      <c r="J112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112" s="43">
        <f>IFERROR(SUMIFS(Tabela10[Fod Worth],Tabela10[Drop],DropAnalityka[[#This Row],[Drop]],Tabela10[Grade],DropAnalityka[[#This Row],[Grade]])*DropAnalityka[[#This Row],[Quality/Quantity]],0)</f>
        <v>0</v>
      </c>
      <c r="L112" s="43">
        <f>IFERROR(SUMIFS(Tabela10[Exp Gain only 2*+],Tabela10[Drop],DropAnalityka[[#This Row],[Drop]],Tabela10[Grade],DropAnalityka[[#This Row],[Grade]])*DropAnalityka[[#This Row],[Quality/Quantity]],0)</f>
        <v>0</v>
      </c>
    </row>
    <row r="113" spans="1:12">
      <c r="A113" t="s">
        <v>31</v>
      </c>
      <c r="B113" t="s">
        <v>9</v>
      </c>
      <c r="C113">
        <v>1</v>
      </c>
      <c r="D113">
        <v>1971</v>
      </c>
      <c r="E113">
        <v>2</v>
      </c>
      <c r="I113">
        <v>823</v>
      </c>
      <c r="J113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13" s="43">
        <f>IFERROR(SUMIFS(Tabela10[Fod Worth],Tabela10[Drop],DropAnalityka[[#This Row],[Drop]],Tabela10[Grade],DropAnalityka[[#This Row],[Grade]])*DropAnalityka[[#This Row],[Quality/Quantity]],0)</f>
        <v>0</v>
      </c>
      <c r="L113" s="43">
        <f>IFERROR(SUMIFS(Tabela10[Exp Gain only 2*+],Tabela10[Drop],DropAnalityka[[#This Row],[Drop]],Tabela10[Grade],DropAnalityka[[#This Row],[Grade]])*DropAnalityka[[#This Row],[Quality/Quantity]],0)</f>
        <v>0</v>
      </c>
    </row>
    <row r="114" spans="1:12">
      <c r="A114" t="s">
        <v>31</v>
      </c>
      <c r="B114" t="s">
        <v>9</v>
      </c>
      <c r="C114">
        <v>1</v>
      </c>
      <c r="D114">
        <v>991</v>
      </c>
      <c r="E114">
        <v>0</v>
      </c>
      <c r="F114" t="s">
        <v>34</v>
      </c>
      <c r="G114">
        <v>1</v>
      </c>
      <c r="H114" t="s">
        <v>17</v>
      </c>
      <c r="I114">
        <v>0</v>
      </c>
      <c r="J114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14" s="43">
        <f>IFERROR(SUMIFS(Tabela10[Fod Worth],Tabela10[Drop],DropAnalityka[[#This Row],[Drop]],Tabela10[Grade],DropAnalityka[[#This Row],[Grade]])*DropAnalityka[[#This Row],[Quality/Quantity]],0)</f>
        <v>0</v>
      </c>
      <c r="L114" s="43">
        <f>IFERROR(SUMIFS(Tabela10[Exp Gain only 2*+],Tabela10[Drop],DropAnalityka[[#This Row],[Drop]],Tabela10[Grade],DropAnalityka[[#This Row],[Grade]])*DropAnalityka[[#This Row],[Quality/Quantity]],0)</f>
        <v>800</v>
      </c>
    </row>
    <row r="115" spans="1:12">
      <c r="A115" t="s">
        <v>31</v>
      </c>
      <c r="B115" t="s">
        <v>9</v>
      </c>
      <c r="C115">
        <v>1</v>
      </c>
      <c r="D115">
        <v>1762</v>
      </c>
      <c r="E115">
        <v>1</v>
      </c>
      <c r="I115">
        <v>1824</v>
      </c>
      <c r="J11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15" s="43">
        <f>IFERROR(SUMIFS(Tabela10[Fod Worth],Tabela10[Drop],DropAnalityka[[#This Row],[Drop]],Tabela10[Grade],DropAnalityka[[#This Row],[Grade]])*DropAnalityka[[#This Row],[Quality/Quantity]],0)</f>
        <v>0</v>
      </c>
      <c r="L115" s="43">
        <f>IFERROR(SUMIFS(Tabela10[Exp Gain only 2*+],Tabela10[Drop],DropAnalityka[[#This Row],[Drop]],Tabela10[Grade],DropAnalityka[[#This Row],[Grade]])*DropAnalityka[[#This Row],[Quality/Quantity]],0)</f>
        <v>0</v>
      </c>
    </row>
    <row r="116" spans="1:12">
      <c r="A116" t="s">
        <v>31</v>
      </c>
      <c r="B116" t="s">
        <v>9</v>
      </c>
      <c r="C116">
        <v>1</v>
      </c>
      <c r="D116">
        <v>1178</v>
      </c>
      <c r="E116">
        <v>1</v>
      </c>
      <c r="I116">
        <v>892</v>
      </c>
      <c r="J116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116" s="43">
        <f>IFERROR(SUMIFS(Tabela10[Fod Worth],Tabela10[Drop],DropAnalityka[[#This Row],[Drop]],Tabela10[Grade],DropAnalityka[[#This Row],[Grade]])*DropAnalityka[[#This Row],[Quality/Quantity]],0)</f>
        <v>0</v>
      </c>
      <c r="L116" s="43">
        <f>IFERROR(SUMIFS(Tabela10[Exp Gain only 2*+],Tabela10[Drop],DropAnalityka[[#This Row],[Drop]],Tabela10[Grade],DropAnalityka[[#This Row],[Grade]])*DropAnalityka[[#This Row],[Quality/Quantity]],0)</f>
        <v>0</v>
      </c>
    </row>
    <row r="117" spans="1:12">
      <c r="A117" t="s">
        <v>31</v>
      </c>
      <c r="B117" t="s">
        <v>9</v>
      </c>
      <c r="C117">
        <v>1</v>
      </c>
      <c r="D117">
        <v>1010</v>
      </c>
      <c r="E117">
        <v>0</v>
      </c>
      <c r="F117" t="s">
        <v>34</v>
      </c>
      <c r="G117">
        <v>1</v>
      </c>
      <c r="H117" t="s">
        <v>17</v>
      </c>
      <c r="I117">
        <v>0</v>
      </c>
      <c r="J11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17" s="43">
        <f>IFERROR(SUMIFS(Tabela10[Fod Worth],Tabela10[Drop],DropAnalityka[[#This Row],[Drop]],Tabela10[Grade],DropAnalityka[[#This Row],[Grade]])*DropAnalityka[[#This Row],[Quality/Quantity]],0)</f>
        <v>0</v>
      </c>
      <c r="L117" s="43">
        <f>IFERROR(SUMIFS(Tabela10[Exp Gain only 2*+],Tabela10[Drop],DropAnalityka[[#This Row],[Drop]],Tabela10[Grade],DropAnalityka[[#This Row],[Grade]])*DropAnalityka[[#This Row],[Quality/Quantity]],0)</f>
        <v>800</v>
      </c>
    </row>
    <row r="118" spans="1:12">
      <c r="A118" t="s">
        <v>8</v>
      </c>
      <c r="B118" t="s">
        <v>30</v>
      </c>
      <c r="C118">
        <v>3</v>
      </c>
      <c r="D118">
        <v>961</v>
      </c>
      <c r="E118">
        <v>0</v>
      </c>
      <c r="I118">
        <v>1159</v>
      </c>
      <c r="J11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118" s="43">
        <f>IFERROR(SUMIFS(Tabela10[Fod Worth],Tabela10[Drop],DropAnalityka[[#This Row],[Drop]],Tabela10[Grade],DropAnalityka[[#This Row],[Grade]])*DropAnalityka[[#This Row],[Quality/Quantity]],0)</f>
        <v>0</v>
      </c>
      <c r="L118" s="43">
        <f>IFERROR(SUMIFS(Tabela10[Exp Gain only 2*+],Tabela10[Drop],DropAnalityka[[#This Row],[Drop]],Tabela10[Grade],DropAnalityka[[#This Row],[Grade]])*DropAnalityka[[#This Row],[Quality/Quantity]],0)</f>
        <v>0</v>
      </c>
    </row>
    <row r="119" spans="1:12">
      <c r="A119" t="s">
        <v>172</v>
      </c>
      <c r="B119" t="s">
        <v>9</v>
      </c>
      <c r="C119">
        <v>3</v>
      </c>
      <c r="D119">
        <v>1603</v>
      </c>
      <c r="E119">
        <v>1</v>
      </c>
      <c r="I119">
        <v>1752</v>
      </c>
      <c r="J119">
        <f>DropAnalityka[[#This Row],[Sell Drop]]+IFERROR(SUMIFS(Tabela10[Drop Worth],Tabela10[Drop],DropAnalityka[[#This Row],[Drop]],Tabela10[Grade],DropAnalityka[[#This Row],[Grade]])*DropAnalityka[[#This Row],[Quality/Quantity]],0)</f>
        <v>1752</v>
      </c>
      <c r="K119" s="43">
        <f>IFERROR(SUMIFS(Tabela10[Fod Worth],Tabela10[Drop],DropAnalityka[[#This Row],[Drop]],Tabela10[Grade],DropAnalityka[[#This Row],[Grade]])*DropAnalityka[[#This Row],[Quality/Quantity]],0)</f>
        <v>0</v>
      </c>
      <c r="L119" s="43">
        <f>IFERROR(SUMIFS(Tabela10[Exp Gain only 2*+],Tabela10[Drop],DropAnalityka[[#This Row],[Drop]],Tabela10[Grade],DropAnalityka[[#This Row],[Grade]])*DropAnalityka[[#This Row],[Quality/Quantity]],0)</f>
        <v>0</v>
      </c>
    </row>
    <row r="120" spans="1:12">
      <c r="A120" t="s">
        <v>36</v>
      </c>
      <c r="B120" t="s">
        <v>9</v>
      </c>
      <c r="C120">
        <v>5</v>
      </c>
      <c r="D120">
        <v>1712</v>
      </c>
      <c r="E120">
        <v>2</v>
      </c>
      <c r="F120" t="s">
        <v>252</v>
      </c>
      <c r="G120">
        <v>2</v>
      </c>
      <c r="H120" t="s">
        <v>270</v>
      </c>
      <c r="I120">
        <v>0</v>
      </c>
      <c r="J1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0" s="43">
        <f>IFERROR(SUMIFS(Tabela10[Fod Worth],Tabela10[Drop],DropAnalityka[[#This Row],[Drop]],Tabela10[Grade],DropAnalityka[[#This Row],[Grade]])*DropAnalityka[[#This Row],[Quality/Quantity]],0)</f>
        <v>0</v>
      </c>
      <c r="L120" s="43">
        <f>IFERROR(SUMIFS(Tabela10[Exp Gain only 2*+],Tabela10[Drop],DropAnalityka[[#This Row],[Drop]],Tabela10[Grade],DropAnalityka[[#This Row],[Grade]])*DropAnalityka[[#This Row],[Quality/Quantity]],0)</f>
        <v>0</v>
      </c>
    </row>
    <row r="121" spans="1:12">
      <c r="A121" t="s">
        <v>8</v>
      </c>
      <c r="B121" t="s">
        <v>30</v>
      </c>
      <c r="C121">
        <v>3</v>
      </c>
      <c r="D121">
        <v>532</v>
      </c>
      <c r="E121">
        <v>2</v>
      </c>
      <c r="I121">
        <v>720</v>
      </c>
      <c r="J121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121" s="43">
        <f>IFERROR(SUMIFS(Tabela10[Fod Worth],Tabela10[Drop],DropAnalityka[[#This Row],[Drop]],Tabela10[Grade],DropAnalityka[[#This Row],[Grade]])*DropAnalityka[[#This Row],[Quality/Quantity]],0)</f>
        <v>0</v>
      </c>
      <c r="L121" s="43">
        <f>IFERROR(SUMIFS(Tabela10[Exp Gain only 2*+],Tabela10[Drop],DropAnalityka[[#This Row],[Drop]],Tabela10[Grade],DropAnalityka[[#This Row],[Grade]])*DropAnalityka[[#This Row],[Quality/Quantity]],0)</f>
        <v>0</v>
      </c>
    </row>
    <row r="122" spans="1:12">
      <c r="A122" t="s">
        <v>8</v>
      </c>
      <c r="B122" t="s">
        <v>30</v>
      </c>
      <c r="C122">
        <v>3</v>
      </c>
      <c r="D122">
        <v>1301</v>
      </c>
      <c r="E122">
        <v>0</v>
      </c>
      <c r="I122">
        <v>1739</v>
      </c>
      <c r="J122">
        <f>DropAnalityka[[#This Row],[Sell Drop]]+IFERROR(SUMIFS(Tabela10[Drop Worth],Tabela10[Drop],DropAnalityka[[#This Row],[Drop]],Tabela10[Grade],DropAnalityka[[#This Row],[Grade]])*DropAnalityka[[#This Row],[Quality/Quantity]],0)</f>
        <v>1739</v>
      </c>
      <c r="K122" s="43">
        <f>IFERROR(SUMIFS(Tabela10[Fod Worth],Tabela10[Drop],DropAnalityka[[#This Row],[Drop]],Tabela10[Grade],DropAnalityka[[#This Row],[Grade]])*DropAnalityka[[#This Row],[Quality/Quantity]],0)</f>
        <v>0</v>
      </c>
      <c r="L122" s="43">
        <f>IFERROR(SUMIFS(Tabela10[Exp Gain only 2*+],Tabela10[Drop],DropAnalityka[[#This Row],[Drop]],Tabela10[Grade],DropAnalityka[[#This Row],[Grade]])*DropAnalityka[[#This Row],[Quality/Quantity]],0)</f>
        <v>0</v>
      </c>
    </row>
    <row r="123" spans="1:12">
      <c r="A123" t="s">
        <v>8</v>
      </c>
      <c r="B123" t="s">
        <v>30</v>
      </c>
      <c r="C123">
        <v>3</v>
      </c>
      <c r="D123">
        <v>1244</v>
      </c>
      <c r="E123">
        <v>0</v>
      </c>
      <c r="I123">
        <v>840</v>
      </c>
      <c r="J123">
        <f>DropAnalityka[[#This Row],[Sell Drop]]+IFERROR(SUMIFS(Tabela10[Drop Worth],Tabela10[Drop],DropAnalityka[[#This Row],[Drop]],Tabela10[Grade],DropAnalityka[[#This Row],[Grade]])*DropAnalityka[[#This Row],[Quality/Quantity]],0)</f>
        <v>840</v>
      </c>
      <c r="K123" s="43">
        <f>IFERROR(SUMIFS(Tabela10[Fod Worth],Tabela10[Drop],DropAnalityka[[#This Row],[Drop]],Tabela10[Grade],DropAnalityka[[#This Row],[Grade]])*DropAnalityka[[#This Row],[Quality/Quantity]],0)</f>
        <v>0</v>
      </c>
      <c r="L123" s="43">
        <f>IFERROR(SUMIFS(Tabela10[Exp Gain only 2*+],Tabela10[Drop],DropAnalityka[[#This Row],[Drop]],Tabela10[Grade],DropAnalityka[[#This Row],[Grade]])*DropAnalityka[[#This Row],[Quality/Quantity]],0)</f>
        <v>0</v>
      </c>
    </row>
    <row r="124" spans="1:12">
      <c r="A124" t="s">
        <v>8</v>
      </c>
      <c r="B124" t="s">
        <v>30</v>
      </c>
      <c r="C124">
        <v>3</v>
      </c>
      <c r="D124">
        <v>1900</v>
      </c>
      <c r="E124">
        <v>0</v>
      </c>
      <c r="F124" t="s">
        <v>34</v>
      </c>
      <c r="G124">
        <v>2</v>
      </c>
      <c r="H124" t="s">
        <v>17</v>
      </c>
      <c r="I124">
        <v>0</v>
      </c>
      <c r="J12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24" s="43">
        <f>IFERROR(SUMIFS(Tabela10[Fod Worth],Tabela10[Drop],DropAnalityka[[#This Row],[Drop]],Tabela10[Grade],DropAnalityka[[#This Row],[Grade]])*DropAnalityka[[#This Row],[Quality/Quantity]],0)</f>
        <v>0</v>
      </c>
      <c r="L124" s="43">
        <f>IFERROR(SUMIFS(Tabela10[Exp Gain only 2*+],Tabela10[Drop],DropAnalityka[[#This Row],[Drop]],Tabela10[Grade],DropAnalityka[[#This Row],[Grade]])*DropAnalityka[[#This Row],[Quality/Quantity]],0)</f>
        <v>1600</v>
      </c>
    </row>
    <row r="125" spans="1:12">
      <c r="A125" t="s">
        <v>8</v>
      </c>
      <c r="B125" t="s">
        <v>30</v>
      </c>
      <c r="C125">
        <v>3</v>
      </c>
      <c r="D125">
        <v>621</v>
      </c>
      <c r="E125">
        <v>1</v>
      </c>
      <c r="F125" t="s">
        <v>34</v>
      </c>
      <c r="G125">
        <v>2</v>
      </c>
      <c r="H125" t="s">
        <v>17</v>
      </c>
      <c r="I125">
        <v>0</v>
      </c>
      <c r="J12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25" s="43">
        <f>IFERROR(SUMIFS(Tabela10[Fod Worth],Tabela10[Drop],DropAnalityka[[#This Row],[Drop]],Tabela10[Grade],DropAnalityka[[#This Row],[Grade]])*DropAnalityka[[#This Row],[Quality/Quantity]],0)</f>
        <v>0</v>
      </c>
      <c r="L125" s="43">
        <f>IFERROR(SUMIFS(Tabela10[Exp Gain only 2*+],Tabela10[Drop],DropAnalityka[[#This Row],[Drop]],Tabela10[Grade],DropAnalityka[[#This Row],[Grade]])*DropAnalityka[[#This Row],[Quality/Quantity]],0)</f>
        <v>1600</v>
      </c>
    </row>
    <row r="126" spans="1:12">
      <c r="A126" t="s">
        <v>8</v>
      </c>
      <c r="B126" t="s">
        <v>30</v>
      </c>
      <c r="C126">
        <v>3</v>
      </c>
      <c r="D126">
        <v>1299</v>
      </c>
      <c r="E126">
        <v>0</v>
      </c>
      <c r="I126">
        <v>1159</v>
      </c>
      <c r="J12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126" s="43">
        <f>IFERROR(SUMIFS(Tabela10[Fod Worth],Tabela10[Drop],DropAnalityka[[#This Row],[Drop]],Tabela10[Grade],DropAnalityka[[#This Row],[Grade]])*DropAnalityka[[#This Row],[Quality/Quantity]],0)</f>
        <v>0</v>
      </c>
      <c r="L126" s="43">
        <f>IFERROR(SUMIFS(Tabela10[Exp Gain only 2*+],Tabela10[Drop],DropAnalityka[[#This Row],[Drop]],Tabela10[Grade],DropAnalityka[[#This Row],[Grade]])*DropAnalityka[[#This Row],[Quality/Quantity]],0)</f>
        <v>0</v>
      </c>
    </row>
    <row r="127" spans="1:12">
      <c r="A127" t="s">
        <v>8</v>
      </c>
      <c r="B127" t="s">
        <v>30</v>
      </c>
      <c r="C127">
        <v>3</v>
      </c>
      <c r="D127">
        <v>1187</v>
      </c>
      <c r="E127">
        <v>1</v>
      </c>
      <c r="I127">
        <v>1159</v>
      </c>
      <c r="J12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127" s="43">
        <f>IFERROR(SUMIFS(Tabela10[Fod Worth],Tabela10[Drop],DropAnalityka[[#This Row],[Drop]],Tabela10[Grade],DropAnalityka[[#This Row],[Grade]])*DropAnalityka[[#This Row],[Quality/Quantity]],0)</f>
        <v>0</v>
      </c>
      <c r="L127" s="43">
        <f>IFERROR(SUMIFS(Tabela10[Exp Gain only 2*+],Tabela10[Drop],DropAnalityka[[#This Row],[Drop]],Tabela10[Grade],DropAnalityka[[#This Row],[Grade]])*DropAnalityka[[#This Row],[Quality/Quantity]],0)</f>
        <v>0</v>
      </c>
    </row>
    <row r="128" spans="1:12">
      <c r="A128" t="s">
        <v>8</v>
      </c>
      <c r="B128" t="s">
        <v>30</v>
      </c>
      <c r="C128">
        <v>3</v>
      </c>
      <c r="D128">
        <v>1395</v>
      </c>
      <c r="E128">
        <v>1</v>
      </c>
      <c r="I128">
        <v>1352</v>
      </c>
      <c r="J128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128" s="43">
        <f>IFERROR(SUMIFS(Tabela10[Fod Worth],Tabela10[Drop],DropAnalityka[[#This Row],[Drop]],Tabela10[Grade],DropAnalityka[[#This Row],[Grade]])*DropAnalityka[[#This Row],[Quality/Quantity]],0)</f>
        <v>0</v>
      </c>
      <c r="L128" s="43">
        <f>IFERROR(SUMIFS(Tabela10[Exp Gain only 2*+],Tabela10[Drop],DropAnalityka[[#This Row],[Drop]],Tabela10[Grade],DropAnalityka[[#This Row],[Grade]])*DropAnalityka[[#This Row],[Quality/Quantity]],0)</f>
        <v>0</v>
      </c>
    </row>
    <row r="129" spans="1:12">
      <c r="A129" t="s">
        <v>8</v>
      </c>
      <c r="B129" t="s">
        <v>30</v>
      </c>
      <c r="C129">
        <v>3</v>
      </c>
      <c r="D129">
        <v>1797</v>
      </c>
      <c r="E129">
        <v>2</v>
      </c>
      <c r="F129" t="s">
        <v>57</v>
      </c>
      <c r="G129">
        <v>1</v>
      </c>
      <c r="H129" t="s">
        <v>12</v>
      </c>
      <c r="I129">
        <v>0</v>
      </c>
      <c r="J1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9" s="43">
        <f>IFERROR(SUMIFS(Tabela10[Fod Worth],Tabela10[Drop],DropAnalityka[[#This Row],[Drop]],Tabela10[Grade],DropAnalityka[[#This Row],[Grade]])*DropAnalityka[[#This Row],[Quality/Quantity]],0)</f>
        <v>11500</v>
      </c>
      <c r="L129" s="43">
        <f>IFERROR(SUMIFS(Tabela10[Exp Gain only 2*+],Tabela10[Drop],DropAnalityka[[#This Row],[Drop]],Tabela10[Grade],DropAnalityka[[#This Row],[Grade]])*DropAnalityka[[#This Row],[Quality/Quantity]],0)</f>
        <v>0</v>
      </c>
    </row>
    <row r="130" spans="1:12">
      <c r="A130" t="s">
        <v>8</v>
      </c>
      <c r="B130" t="s">
        <v>30</v>
      </c>
      <c r="C130">
        <v>3</v>
      </c>
      <c r="D130">
        <v>1295</v>
      </c>
      <c r="E130">
        <v>0</v>
      </c>
      <c r="F130" t="s">
        <v>34</v>
      </c>
      <c r="G130">
        <v>2</v>
      </c>
      <c r="H130" t="s">
        <v>17</v>
      </c>
      <c r="I130">
        <v>0</v>
      </c>
      <c r="J13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30" s="43">
        <f>IFERROR(SUMIFS(Tabela10[Fod Worth],Tabela10[Drop],DropAnalityka[[#This Row],[Drop]],Tabela10[Grade],DropAnalityka[[#This Row],[Grade]])*DropAnalityka[[#This Row],[Quality/Quantity]],0)</f>
        <v>0</v>
      </c>
      <c r="L130" s="43">
        <f>IFERROR(SUMIFS(Tabela10[Exp Gain only 2*+],Tabela10[Drop],DropAnalityka[[#This Row],[Drop]],Tabela10[Grade],DropAnalityka[[#This Row],[Grade]])*DropAnalityka[[#This Row],[Quality/Quantity]],0)</f>
        <v>1600</v>
      </c>
    </row>
    <row r="131" spans="1:12">
      <c r="A131" t="s">
        <v>8</v>
      </c>
      <c r="B131" t="s">
        <v>30</v>
      </c>
      <c r="C131">
        <v>3</v>
      </c>
      <c r="D131">
        <v>2244</v>
      </c>
      <c r="E131">
        <v>2</v>
      </c>
      <c r="F131" t="s">
        <v>58</v>
      </c>
      <c r="G131">
        <v>1</v>
      </c>
      <c r="H131" t="s">
        <v>12</v>
      </c>
      <c r="I131">
        <v>0</v>
      </c>
      <c r="J1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1" s="43">
        <f>IFERROR(SUMIFS(Tabela10[Fod Worth],Tabela10[Drop],DropAnalityka[[#This Row],[Drop]],Tabela10[Grade],DropAnalityka[[#This Row],[Grade]])*DropAnalityka[[#This Row],[Quality/Quantity]],0)</f>
        <v>11500</v>
      </c>
      <c r="L131" s="43">
        <f>IFERROR(SUMIFS(Tabela10[Exp Gain only 2*+],Tabela10[Drop],DropAnalityka[[#This Row],[Drop]],Tabela10[Grade],DropAnalityka[[#This Row],[Grade]])*DropAnalityka[[#This Row],[Quality/Quantity]],0)</f>
        <v>35822</v>
      </c>
    </row>
    <row r="132" spans="1:12">
      <c r="A132" t="s">
        <v>8</v>
      </c>
      <c r="B132" t="s">
        <v>30</v>
      </c>
      <c r="C132">
        <v>3</v>
      </c>
      <c r="D132">
        <v>1719</v>
      </c>
      <c r="E132">
        <v>1</v>
      </c>
      <c r="F132" t="s">
        <v>57</v>
      </c>
      <c r="G132">
        <v>1</v>
      </c>
      <c r="H132" t="s">
        <v>17</v>
      </c>
      <c r="I132">
        <v>0</v>
      </c>
      <c r="J1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2" s="43">
        <f>IFERROR(SUMIFS(Tabela10[Fod Worth],Tabela10[Drop],DropAnalityka[[#This Row],[Drop]],Tabela10[Grade],DropAnalityka[[#This Row],[Grade]])*DropAnalityka[[#This Row],[Quality/Quantity]],0)</f>
        <v>0</v>
      </c>
      <c r="L132" s="43">
        <f>IFERROR(SUMIFS(Tabela10[Exp Gain only 2*+],Tabela10[Drop],DropAnalityka[[#This Row],[Drop]],Tabela10[Grade],DropAnalityka[[#This Row],[Grade]])*DropAnalityka[[#This Row],[Quality/Quantity]],0)</f>
        <v>0</v>
      </c>
    </row>
    <row r="133" spans="1:12">
      <c r="A133" t="s">
        <v>31</v>
      </c>
      <c r="B133" t="s">
        <v>9</v>
      </c>
      <c r="C133">
        <v>1</v>
      </c>
      <c r="D133">
        <v>677</v>
      </c>
      <c r="E133">
        <v>0</v>
      </c>
      <c r="F133" t="s">
        <v>57</v>
      </c>
      <c r="G133">
        <v>1</v>
      </c>
      <c r="H133" t="s">
        <v>12</v>
      </c>
      <c r="I133">
        <v>0</v>
      </c>
      <c r="J1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3" s="43">
        <f>IFERROR(SUMIFS(Tabela10[Fod Worth],Tabela10[Drop],DropAnalityka[[#This Row],[Drop]],Tabela10[Grade],DropAnalityka[[#This Row],[Grade]])*DropAnalityka[[#This Row],[Quality/Quantity]],0)</f>
        <v>11500</v>
      </c>
      <c r="L133" s="43">
        <f>IFERROR(SUMIFS(Tabela10[Exp Gain only 2*+],Tabela10[Drop],DropAnalityka[[#This Row],[Drop]],Tabela10[Grade],DropAnalityka[[#This Row],[Grade]])*DropAnalityka[[#This Row],[Quality/Quantity]],0)</f>
        <v>0</v>
      </c>
    </row>
    <row r="134" spans="1:12">
      <c r="A134" t="s">
        <v>31</v>
      </c>
      <c r="B134" t="s">
        <v>9</v>
      </c>
      <c r="C134">
        <v>1</v>
      </c>
      <c r="D134">
        <v>1098</v>
      </c>
      <c r="E134">
        <v>2</v>
      </c>
      <c r="I134">
        <v>823</v>
      </c>
      <c r="J13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34" s="43">
        <f>IFERROR(SUMIFS(Tabela10[Fod Worth],Tabela10[Drop],DropAnalityka[[#This Row],[Drop]],Tabela10[Grade],DropAnalityka[[#This Row],[Grade]])*DropAnalityka[[#This Row],[Quality/Quantity]],0)</f>
        <v>0</v>
      </c>
      <c r="L134" s="43">
        <f>IFERROR(SUMIFS(Tabela10[Exp Gain only 2*+],Tabela10[Drop],DropAnalityka[[#This Row],[Drop]],Tabela10[Grade],DropAnalityka[[#This Row],[Grade]])*DropAnalityka[[#This Row],[Quality/Quantity]],0)</f>
        <v>0</v>
      </c>
    </row>
    <row r="135" spans="1:12">
      <c r="A135" t="s">
        <v>31</v>
      </c>
      <c r="B135" t="s">
        <v>9</v>
      </c>
      <c r="C135">
        <v>1</v>
      </c>
      <c r="D135">
        <v>1357</v>
      </c>
      <c r="E135">
        <v>1</v>
      </c>
      <c r="F135" t="s">
        <v>34</v>
      </c>
      <c r="G135">
        <v>1</v>
      </c>
      <c r="H135" t="s">
        <v>17</v>
      </c>
      <c r="I135">
        <v>0</v>
      </c>
      <c r="J13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35" s="43">
        <f>IFERROR(SUMIFS(Tabela10[Fod Worth],Tabela10[Drop],DropAnalityka[[#This Row],[Drop]],Tabela10[Grade],DropAnalityka[[#This Row],[Grade]])*DropAnalityka[[#This Row],[Quality/Quantity]],0)</f>
        <v>0</v>
      </c>
      <c r="L135" s="43">
        <f>IFERROR(SUMIFS(Tabela10[Exp Gain only 2*+],Tabela10[Drop],DropAnalityka[[#This Row],[Drop]],Tabela10[Grade],DropAnalityka[[#This Row],[Grade]])*DropAnalityka[[#This Row],[Quality/Quantity]],0)</f>
        <v>800</v>
      </c>
    </row>
    <row r="136" spans="1:12">
      <c r="A136" t="s">
        <v>31</v>
      </c>
      <c r="B136" t="s">
        <v>9</v>
      </c>
      <c r="C136">
        <v>1</v>
      </c>
      <c r="D136">
        <v>871</v>
      </c>
      <c r="E136">
        <v>0</v>
      </c>
      <c r="I136">
        <v>823</v>
      </c>
      <c r="J136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36" s="43">
        <f>IFERROR(SUMIFS(Tabela10[Fod Worth],Tabela10[Drop],DropAnalityka[[#This Row],[Drop]],Tabela10[Grade],DropAnalityka[[#This Row],[Grade]])*DropAnalityka[[#This Row],[Quality/Quantity]],0)</f>
        <v>0</v>
      </c>
      <c r="L136" s="43">
        <f>IFERROR(SUMIFS(Tabela10[Exp Gain only 2*+],Tabela10[Drop],DropAnalityka[[#This Row],[Drop]],Tabela10[Grade],DropAnalityka[[#This Row],[Grade]])*DropAnalityka[[#This Row],[Quality/Quantity]],0)</f>
        <v>0</v>
      </c>
    </row>
    <row r="137" spans="1:12">
      <c r="A137" t="s">
        <v>31</v>
      </c>
      <c r="B137" t="s">
        <v>9</v>
      </c>
      <c r="C137">
        <v>1</v>
      </c>
      <c r="D137">
        <v>1258</v>
      </c>
      <c r="E137">
        <v>0</v>
      </c>
      <c r="F137" t="s">
        <v>57</v>
      </c>
      <c r="G137">
        <v>1</v>
      </c>
      <c r="H137" t="s">
        <v>12</v>
      </c>
      <c r="I137">
        <v>0</v>
      </c>
      <c r="J1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7" s="43">
        <f>IFERROR(SUMIFS(Tabela10[Fod Worth],Tabela10[Drop],DropAnalityka[[#This Row],[Drop]],Tabela10[Grade],DropAnalityka[[#This Row],[Grade]])*DropAnalityka[[#This Row],[Quality/Quantity]],0)</f>
        <v>11500</v>
      </c>
      <c r="L137" s="43">
        <f>IFERROR(SUMIFS(Tabela10[Exp Gain only 2*+],Tabela10[Drop],DropAnalityka[[#This Row],[Drop]],Tabela10[Grade],DropAnalityka[[#This Row],[Grade]])*DropAnalityka[[#This Row],[Quality/Quantity]],0)</f>
        <v>0</v>
      </c>
    </row>
    <row r="138" spans="1:12">
      <c r="A138" t="s">
        <v>31</v>
      </c>
      <c r="B138" t="s">
        <v>9</v>
      </c>
      <c r="C138">
        <v>1</v>
      </c>
      <c r="D138">
        <v>1950</v>
      </c>
      <c r="E138">
        <v>1</v>
      </c>
      <c r="I138">
        <v>823</v>
      </c>
      <c r="J13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38" s="43">
        <f>IFERROR(SUMIFS(Tabela10[Fod Worth],Tabela10[Drop],DropAnalityka[[#This Row],[Drop]],Tabela10[Grade],DropAnalityka[[#This Row],[Grade]])*DropAnalityka[[#This Row],[Quality/Quantity]],0)</f>
        <v>0</v>
      </c>
      <c r="L138" s="43">
        <f>IFERROR(SUMIFS(Tabela10[Exp Gain only 2*+],Tabela10[Drop],DropAnalityka[[#This Row],[Drop]],Tabela10[Grade],DropAnalityka[[#This Row],[Grade]])*DropAnalityka[[#This Row],[Quality/Quantity]],0)</f>
        <v>0</v>
      </c>
    </row>
    <row r="139" spans="1:12">
      <c r="A139" t="s">
        <v>31</v>
      </c>
      <c r="B139" t="s">
        <v>9</v>
      </c>
      <c r="C139">
        <v>1</v>
      </c>
      <c r="D139">
        <v>1467</v>
      </c>
      <c r="E139">
        <v>2</v>
      </c>
      <c r="I139">
        <v>823</v>
      </c>
      <c r="J13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39" s="43">
        <f>IFERROR(SUMIFS(Tabela10[Fod Worth],Tabela10[Drop],DropAnalityka[[#This Row],[Drop]],Tabela10[Grade],DropAnalityka[[#This Row],[Grade]])*DropAnalityka[[#This Row],[Quality/Quantity]],0)</f>
        <v>0</v>
      </c>
      <c r="L139" s="43">
        <f>IFERROR(SUMIFS(Tabela10[Exp Gain only 2*+],Tabela10[Drop],DropAnalityka[[#This Row],[Drop]],Tabela10[Grade],DropAnalityka[[#This Row],[Grade]])*DropAnalityka[[#This Row],[Quality/Quantity]],0)</f>
        <v>0</v>
      </c>
    </row>
    <row r="140" spans="1:12">
      <c r="A140" t="s">
        <v>31</v>
      </c>
      <c r="B140" t="s">
        <v>9</v>
      </c>
      <c r="C140">
        <v>1</v>
      </c>
      <c r="D140">
        <v>2122</v>
      </c>
      <c r="E140">
        <v>3</v>
      </c>
      <c r="F140" t="s">
        <v>34</v>
      </c>
      <c r="G140">
        <v>1</v>
      </c>
      <c r="H140" t="s">
        <v>17</v>
      </c>
      <c r="I140">
        <v>0</v>
      </c>
      <c r="J14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40" s="43">
        <f>IFERROR(SUMIFS(Tabela10[Fod Worth],Tabela10[Drop],DropAnalityka[[#This Row],[Drop]],Tabela10[Grade],DropAnalityka[[#This Row],[Grade]])*DropAnalityka[[#This Row],[Quality/Quantity]],0)</f>
        <v>0</v>
      </c>
      <c r="L140" s="43">
        <f>IFERROR(SUMIFS(Tabela10[Exp Gain only 2*+],Tabela10[Drop],DropAnalityka[[#This Row],[Drop]],Tabela10[Grade],DropAnalityka[[#This Row],[Grade]])*DropAnalityka[[#This Row],[Quality/Quantity]],0)</f>
        <v>800</v>
      </c>
    </row>
    <row r="141" spans="1:12">
      <c r="A141" t="s">
        <v>31</v>
      </c>
      <c r="B141" t="s">
        <v>9</v>
      </c>
      <c r="C141">
        <v>1</v>
      </c>
      <c r="D141">
        <v>1756</v>
      </c>
      <c r="E141">
        <v>0</v>
      </c>
      <c r="I141">
        <v>1824</v>
      </c>
      <c r="J14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41" s="43">
        <f>IFERROR(SUMIFS(Tabela10[Fod Worth],Tabela10[Drop],DropAnalityka[[#This Row],[Drop]],Tabela10[Grade],DropAnalityka[[#This Row],[Grade]])*DropAnalityka[[#This Row],[Quality/Quantity]],0)</f>
        <v>0</v>
      </c>
      <c r="L141" s="43">
        <f>IFERROR(SUMIFS(Tabela10[Exp Gain only 2*+],Tabela10[Drop],DropAnalityka[[#This Row],[Drop]],Tabela10[Grade],DropAnalityka[[#This Row],[Grade]])*DropAnalityka[[#This Row],[Quality/Quantity]],0)</f>
        <v>0</v>
      </c>
    </row>
    <row r="142" spans="1:12">
      <c r="A142" t="s">
        <v>31</v>
      </c>
      <c r="B142" t="s">
        <v>9</v>
      </c>
      <c r="C142">
        <v>1</v>
      </c>
      <c r="D142">
        <v>1403</v>
      </c>
      <c r="E142">
        <v>2</v>
      </c>
      <c r="I142">
        <v>960</v>
      </c>
      <c r="J142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142" s="43">
        <f>IFERROR(SUMIFS(Tabela10[Fod Worth],Tabela10[Drop],DropAnalityka[[#This Row],[Drop]],Tabela10[Grade],DropAnalityka[[#This Row],[Grade]])*DropAnalityka[[#This Row],[Quality/Quantity]],0)</f>
        <v>0</v>
      </c>
      <c r="L142" s="43">
        <f>IFERROR(SUMIFS(Tabela10[Exp Gain only 2*+],Tabela10[Drop],DropAnalityka[[#This Row],[Drop]],Tabela10[Grade],DropAnalityka[[#This Row],[Grade]])*DropAnalityka[[#This Row],[Quality/Quantity]],0)</f>
        <v>0</v>
      </c>
    </row>
    <row r="143" spans="1:12">
      <c r="A143" t="s">
        <v>31</v>
      </c>
      <c r="B143" t="s">
        <v>9</v>
      </c>
      <c r="C143">
        <v>1</v>
      </c>
      <c r="D143">
        <v>1242</v>
      </c>
      <c r="E143">
        <v>0</v>
      </c>
      <c r="I143">
        <v>823</v>
      </c>
      <c r="J143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43" s="43">
        <f>IFERROR(SUMIFS(Tabela10[Fod Worth],Tabela10[Drop],DropAnalityka[[#This Row],[Drop]],Tabela10[Grade],DropAnalityka[[#This Row],[Grade]])*DropAnalityka[[#This Row],[Quality/Quantity]],0)</f>
        <v>0</v>
      </c>
      <c r="L143" s="43">
        <f>IFERROR(SUMIFS(Tabela10[Exp Gain only 2*+],Tabela10[Drop],DropAnalityka[[#This Row],[Drop]],Tabela10[Grade],DropAnalityka[[#This Row],[Grade]])*DropAnalityka[[#This Row],[Quality/Quantity]],0)</f>
        <v>0</v>
      </c>
    </row>
    <row r="144" spans="1:12">
      <c r="A144" t="s">
        <v>31</v>
      </c>
      <c r="B144" t="s">
        <v>9</v>
      </c>
      <c r="C144">
        <v>1</v>
      </c>
      <c r="D144">
        <v>1482</v>
      </c>
      <c r="E144">
        <v>1</v>
      </c>
      <c r="I144">
        <v>892</v>
      </c>
      <c r="J144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144" s="43">
        <f>IFERROR(SUMIFS(Tabela10[Fod Worth],Tabela10[Drop],DropAnalityka[[#This Row],[Drop]],Tabela10[Grade],DropAnalityka[[#This Row],[Grade]])*DropAnalityka[[#This Row],[Quality/Quantity]],0)</f>
        <v>0</v>
      </c>
      <c r="L144" s="43">
        <f>IFERROR(SUMIFS(Tabela10[Exp Gain only 2*+],Tabela10[Drop],DropAnalityka[[#This Row],[Drop]],Tabela10[Grade],DropAnalityka[[#This Row],[Grade]])*DropAnalityka[[#This Row],[Quality/Quantity]],0)</f>
        <v>0</v>
      </c>
    </row>
    <row r="145" spans="1:12">
      <c r="A145" t="s">
        <v>31</v>
      </c>
      <c r="B145" t="s">
        <v>9</v>
      </c>
      <c r="C145">
        <v>1</v>
      </c>
      <c r="D145">
        <v>908</v>
      </c>
      <c r="E145">
        <v>3</v>
      </c>
      <c r="F145" t="s">
        <v>34</v>
      </c>
      <c r="G145">
        <v>1</v>
      </c>
      <c r="H145" t="s">
        <v>17</v>
      </c>
      <c r="I145">
        <v>0</v>
      </c>
      <c r="J14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45" s="43">
        <f>IFERROR(SUMIFS(Tabela10[Fod Worth],Tabela10[Drop],DropAnalityka[[#This Row],[Drop]],Tabela10[Grade],DropAnalityka[[#This Row],[Grade]])*DropAnalityka[[#This Row],[Quality/Quantity]],0)</f>
        <v>0</v>
      </c>
      <c r="L145" s="43">
        <f>IFERROR(SUMIFS(Tabela10[Exp Gain only 2*+],Tabela10[Drop],DropAnalityka[[#This Row],[Drop]],Tabela10[Grade],DropAnalityka[[#This Row],[Grade]])*DropAnalityka[[#This Row],[Quality/Quantity]],0)</f>
        <v>800</v>
      </c>
    </row>
    <row r="146" spans="1:12">
      <c r="A146" t="s">
        <v>31</v>
      </c>
      <c r="B146" t="s">
        <v>9</v>
      </c>
      <c r="C146">
        <v>1</v>
      </c>
      <c r="D146">
        <v>1969</v>
      </c>
      <c r="E146">
        <v>0</v>
      </c>
      <c r="I146">
        <v>823</v>
      </c>
      <c r="J146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46" s="43">
        <f>IFERROR(SUMIFS(Tabela10[Fod Worth],Tabela10[Drop],DropAnalityka[[#This Row],[Drop]],Tabela10[Grade],DropAnalityka[[#This Row],[Grade]])*DropAnalityka[[#This Row],[Quality/Quantity]],0)</f>
        <v>0</v>
      </c>
      <c r="L146" s="43">
        <f>IFERROR(SUMIFS(Tabela10[Exp Gain only 2*+],Tabela10[Drop],DropAnalityka[[#This Row],[Drop]],Tabela10[Grade],DropAnalityka[[#This Row],[Grade]])*DropAnalityka[[#This Row],[Quality/Quantity]],0)</f>
        <v>0</v>
      </c>
    </row>
    <row r="147" spans="1:12">
      <c r="A147" t="s">
        <v>31</v>
      </c>
      <c r="B147" t="s">
        <v>9</v>
      </c>
      <c r="C147">
        <v>1</v>
      </c>
      <c r="D147">
        <v>1354</v>
      </c>
      <c r="E147">
        <v>0</v>
      </c>
      <c r="I147">
        <v>1824</v>
      </c>
      <c r="J14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47" s="43">
        <f>IFERROR(SUMIFS(Tabela10[Fod Worth],Tabela10[Drop],DropAnalityka[[#This Row],[Drop]],Tabela10[Grade],DropAnalityka[[#This Row],[Grade]])*DropAnalityka[[#This Row],[Quality/Quantity]],0)</f>
        <v>0</v>
      </c>
      <c r="L147" s="43">
        <f>IFERROR(SUMIFS(Tabela10[Exp Gain only 2*+],Tabela10[Drop],DropAnalityka[[#This Row],[Drop]],Tabela10[Grade],DropAnalityka[[#This Row],[Grade]])*DropAnalityka[[#This Row],[Quality/Quantity]],0)</f>
        <v>0</v>
      </c>
    </row>
    <row r="148" spans="1:12">
      <c r="A148" t="s">
        <v>31</v>
      </c>
      <c r="B148" t="s">
        <v>9</v>
      </c>
      <c r="C148">
        <v>1</v>
      </c>
      <c r="D148">
        <v>1568</v>
      </c>
      <c r="E148">
        <v>0</v>
      </c>
      <c r="I148">
        <v>823</v>
      </c>
      <c r="J14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48" s="43">
        <f>IFERROR(SUMIFS(Tabela10[Fod Worth],Tabela10[Drop],DropAnalityka[[#This Row],[Drop]],Tabela10[Grade],DropAnalityka[[#This Row],[Grade]])*DropAnalityka[[#This Row],[Quality/Quantity]],0)</f>
        <v>0</v>
      </c>
      <c r="L148" s="43">
        <f>IFERROR(SUMIFS(Tabela10[Exp Gain only 2*+],Tabela10[Drop],DropAnalityka[[#This Row],[Drop]],Tabela10[Grade],DropAnalityka[[#This Row],[Grade]])*DropAnalityka[[#This Row],[Quality/Quantity]],0)</f>
        <v>0</v>
      </c>
    </row>
    <row r="149" spans="1:12">
      <c r="A149" t="s">
        <v>31</v>
      </c>
      <c r="B149" t="s">
        <v>9</v>
      </c>
      <c r="C149">
        <v>1</v>
      </c>
      <c r="D149">
        <v>1520</v>
      </c>
      <c r="E149">
        <v>0</v>
      </c>
      <c r="I149">
        <v>823</v>
      </c>
      <c r="J14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49" s="43">
        <f>IFERROR(SUMIFS(Tabela10[Fod Worth],Tabela10[Drop],DropAnalityka[[#This Row],[Drop]],Tabela10[Grade],DropAnalityka[[#This Row],[Grade]])*DropAnalityka[[#This Row],[Quality/Quantity]],0)</f>
        <v>0</v>
      </c>
      <c r="L149" s="43">
        <f>IFERROR(SUMIFS(Tabela10[Exp Gain only 2*+],Tabela10[Drop],DropAnalityka[[#This Row],[Drop]],Tabela10[Grade],DropAnalityka[[#This Row],[Grade]])*DropAnalityka[[#This Row],[Quality/Quantity]],0)</f>
        <v>0</v>
      </c>
    </row>
    <row r="150" spans="1:12">
      <c r="A150" t="s">
        <v>31</v>
      </c>
      <c r="B150" t="s">
        <v>9</v>
      </c>
      <c r="C150">
        <v>1</v>
      </c>
      <c r="D150">
        <v>1605</v>
      </c>
      <c r="E150">
        <v>0</v>
      </c>
      <c r="F150" t="s">
        <v>34</v>
      </c>
      <c r="G150">
        <v>1</v>
      </c>
      <c r="H150" t="s">
        <v>17</v>
      </c>
      <c r="I150">
        <v>0</v>
      </c>
      <c r="J15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50" s="43">
        <f>IFERROR(SUMIFS(Tabela10[Fod Worth],Tabela10[Drop],DropAnalityka[[#This Row],[Drop]],Tabela10[Grade],DropAnalityka[[#This Row],[Grade]])*DropAnalityka[[#This Row],[Quality/Quantity]],0)</f>
        <v>0</v>
      </c>
      <c r="L150" s="43">
        <f>IFERROR(SUMIFS(Tabela10[Exp Gain only 2*+],Tabela10[Drop],DropAnalityka[[#This Row],[Drop]],Tabela10[Grade],DropAnalityka[[#This Row],[Grade]])*DropAnalityka[[#This Row],[Quality/Quantity]],0)</f>
        <v>800</v>
      </c>
    </row>
    <row r="151" spans="1:12">
      <c r="A151" t="s">
        <v>31</v>
      </c>
      <c r="B151" t="s">
        <v>9</v>
      </c>
      <c r="C151">
        <v>1</v>
      </c>
      <c r="D151">
        <v>1979</v>
      </c>
      <c r="E151">
        <v>1</v>
      </c>
      <c r="I151">
        <v>1824</v>
      </c>
      <c r="J15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51" s="43">
        <f>IFERROR(SUMIFS(Tabela10[Fod Worth],Tabela10[Drop],DropAnalityka[[#This Row],[Drop]],Tabela10[Grade],DropAnalityka[[#This Row],[Grade]])*DropAnalityka[[#This Row],[Quality/Quantity]],0)</f>
        <v>0</v>
      </c>
      <c r="L151" s="43">
        <f>IFERROR(SUMIFS(Tabela10[Exp Gain only 2*+],Tabela10[Drop],DropAnalityka[[#This Row],[Drop]],Tabela10[Grade],DropAnalityka[[#This Row],[Grade]])*DropAnalityka[[#This Row],[Quality/Quantity]],0)</f>
        <v>0</v>
      </c>
    </row>
    <row r="152" spans="1:12">
      <c r="A152" t="s">
        <v>31</v>
      </c>
      <c r="B152" t="s">
        <v>9</v>
      </c>
      <c r="C152">
        <v>1</v>
      </c>
      <c r="D152">
        <v>1846</v>
      </c>
      <c r="E152">
        <v>1</v>
      </c>
      <c r="F152" t="s">
        <v>34</v>
      </c>
      <c r="G152">
        <v>1</v>
      </c>
      <c r="H152" t="s">
        <v>17</v>
      </c>
      <c r="I152">
        <v>0</v>
      </c>
      <c r="J152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52" s="43">
        <f>IFERROR(SUMIFS(Tabela10[Fod Worth],Tabela10[Drop],DropAnalityka[[#This Row],[Drop]],Tabela10[Grade],DropAnalityka[[#This Row],[Grade]])*DropAnalityka[[#This Row],[Quality/Quantity]],0)</f>
        <v>0</v>
      </c>
      <c r="L152" s="43">
        <f>IFERROR(SUMIFS(Tabela10[Exp Gain only 2*+],Tabela10[Drop],DropAnalityka[[#This Row],[Drop]],Tabela10[Grade],DropAnalityka[[#This Row],[Grade]])*DropAnalityka[[#This Row],[Quality/Quantity]],0)</f>
        <v>800</v>
      </c>
    </row>
    <row r="153" spans="1:12">
      <c r="A153" t="s">
        <v>31</v>
      </c>
      <c r="B153" t="s">
        <v>9</v>
      </c>
      <c r="C153">
        <v>1</v>
      </c>
      <c r="D153">
        <v>1861</v>
      </c>
      <c r="E153">
        <v>1</v>
      </c>
      <c r="I153">
        <v>823</v>
      </c>
      <c r="J153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53" s="43">
        <f>IFERROR(SUMIFS(Tabela10[Fod Worth],Tabela10[Drop],DropAnalityka[[#This Row],[Drop]],Tabela10[Grade],DropAnalityka[[#This Row],[Grade]])*DropAnalityka[[#This Row],[Quality/Quantity]],0)</f>
        <v>0</v>
      </c>
      <c r="L153" s="43">
        <f>IFERROR(SUMIFS(Tabela10[Exp Gain only 2*+],Tabela10[Drop],DropAnalityka[[#This Row],[Drop]],Tabela10[Grade],DropAnalityka[[#This Row],[Grade]])*DropAnalityka[[#This Row],[Quality/Quantity]],0)</f>
        <v>0</v>
      </c>
    </row>
    <row r="154" spans="1:12">
      <c r="A154" t="s">
        <v>31</v>
      </c>
      <c r="B154" t="s">
        <v>9</v>
      </c>
      <c r="C154">
        <v>1</v>
      </c>
      <c r="D154">
        <v>1519</v>
      </c>
      <c r="E154">
        <v>3</v>
      </c>
      <c r="F154" t="s">
        <v>34</v>
      </c>
      <c r="G154">
        <v>1</v>
      </c>
      <c r="H154" t="s">
        <v>17</v>
      </c>
      <c r="I154">
        <v>0</v>
      </c>
      <c r="J154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54" s="43">
        <f>IFERROR(SUMIFS(Tabela10[Fod Worth],Tabela10[Drop],DropAnalityka[[#This Row],[Drop]],Tabela10[Grade],DropAnalityka[[#This Row],[Grade]])*DropAnalityka[[#This Row],[Quality/Quantity]],0)</f>
        <v>0</v>
      </c>
      <c r="L154" s="43">
        <f>IFERROR(SUMIFS(Tabela10[Exp Gain only 2*+],Tabela10[Drop],DropAnalityka[[#This Row],[Drop]],Tabela10[Grade],DropAnalityka[[#This Row],[Grade]])*DropAnalityka[[#This Row],[Quality/Quantity]],0)</f>
        <v>800</v>
      </c>
    </row>
    <row r="155" spans="1:12">
      <c r="A155" t="s">
        <v>31</v>
      </c>
      <c r="B155" t="s">
        <v>9</v>
      </c>
      <c r="C155">
        <v>1</v>
      </c>
      <c r="D155">
        <v>1049</v>
      </c>
      <c r="E155">
        <v>1</v>
      </c>
      <c r="I155">
        <v>960</v>
      </c>
      <c r="J155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155" s="43">
        <f>IFERROR(SUMIFS(Tabela10[Fod Worth],Tabela10[Drop],DropAnalityka[[#This Row],[Drop]],Tabela10[Grade],DropAnalityka[[#This Row],[Grade]])*DropAnalityka[[#This Row],[Quality/Quantity]],0)</f>
        <v>0</v>
      </c>
      <c r="L155" s="43">
        <f>IFERROR(SUMIFS(Tabela10[Exp Gain only 2*+],Tabela10[Drop],DropAnalityka[[#This Row],[Drop]],Tabela10[Grade],DropAnalityka[[#This Row],[Grade]])*DropAnalityka[[#This Row],[Quality/Quantity]],0)</f>
        <v>0</v>
      </c>
    </row>
    <row r="156" spans="1:12">
      <c r="A156" t="s">
        <v>31</v>
      </c>
      <c r="B156" t="s">
        <v>9</v>
      </c>
      <c r="C156">
        <v>1</v>
      </c>
      <c r="D156">
        <v>992</v>
      </c>
      <c r="E156">
        <v>1</v>
      </c>
      <c r="I156">
        <v>2128</v>
      </c>
      <c r="J156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156" s="43">
        <f>IFERROR(SUMIFS(Tabela10[Fod Worth],Tabela10[Drop],DropAnalityka[[#This Row],[Drop]],Tabela10[Grade],DropAnalityka[[#This Row],[Grade]])*DropAnalityka[[#This Row],[Quality/Quantity]],0)</f>
        <v>0</v>
      </c>
      <c r="L156" s="43">
        <f>IFERROR(SUMIFS(Tabela10[Exp Gain only 2*+],Tabela10[Drop],DropAnalityka[[#This Row],[Drop]],Tabela10[Grade],DropAnalityka[[#This Row],[Grade]])*DropAnalityka[[#This Row],[Quality/Quantity]],0)</f>
        <v>0</v>
      </c>
    </row>
    <row r="157" spans="1:12">
      <c r="A157" t="s">
        <v>31</v>
      </c>
      <c r="B157" t="s">
        <v>9</v>
      </c>
      <c r="C157">
        <v>1</v>
      </c>
      <c r="D157">
        <v>1441</v>
      </c>
      <c r="E157">
        <v>1</v>
      </c>
      <c r="F157" t="s">
        <v>34</v>
      </c>
      <c r="G157">
        <v>1</v>
      </c>
      <c r="H157" t="s">
        <v>17</v>
      </c>
      <c r="I157">
        <v>0</v>
      </c>
      <c r="J15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57" s="43">
        <f>IFERROR(SUMIFS(Tabela10[Fod Worth],Tabela10[Drop],DropAnalityka[[#This Row],[Drop]],Tabela10[Grade],DropAnalityka[[#This Row],[Grade]])*DropAnalityka[[#This Row],[Quality/Quantity]],0)</f>
        <v>0</v>
      </c>
      <c r="L157" s="43">
        <f>IFERROR(SUMIFS(Tabela10[Exp Gain only 2*+],Tabela10[Drop],DropAnalityka[[#This Row],[Drop]],Tabela10[Grade],DropAnalityka[[#This Row],[Grade]])*DropAnalityka[[#This Row],[Quality/Quantity]],0)</f>
        <v>800</v>
      </c>
    </row>
    <row r="158" spans="1:12">
      <c r="A158" t="s">
        <v>31</v>
      </c>
      <c r="B158" t="s">
        <v>9</v>
      </c>
      <c r="C158">
        <v>1</v>
      </c>
      <c r="D158">
        <v>1549</v>
      </c>
      <c r="E158">
        <v>1</v>
      </c>
      <c r="I158">
        <v>823</v>
      </c>
      <c r="J15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58" s="43">
        <f>IFERROR(SUMIFS(Tabela10[Fod Worth],Tabela10[Drop],DropAnalityka[[#This Row],[Drop]],Tabela10[Grade],DropAnalityka[[#This Row],[Grade]])*DropAnalityka[[#This Row],[Quality/Quantity]],0)</f>
        <v>0</v>
      </c>
      <c r="L158" s="43">
        <f>IFERROR(SUMIFS(Tabela10[Exp Gain only 2*+],Tabela10[Drop],DropAnalityka[[#This Row],[Drop]],Tabela10[Grade],DropAnalityka[[#This Row],[Grade]])*DropAnalityka[[#This Row],[Quality/Quantity]],0)</f>
        <v>0</v>
      </c>
    </row>
    <row r="159" spans="1:12">
      <c r="A159" t="s">
        <v>31</v>
      </c>
      <c r="B159" t="s">
        <v>9</v>
      </c>
      <c r="C159">
        <v>1</v>
      </c>
      <c r="D159">
        <v>1078</v>
      </c>
      <c r="E159">
        <v>0</v>
      </c>
      <c r="I159">
        <v>1824</v>
      </c>
      <c r="J15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59" s="43">
        <f>IFERROR(SUMIFS(Tabela10[Fod Worth],Tabela10[Drop],DropAnalityka[[#This Row],[Drop]],Tabela10[Grade],DropAnalityka[[#This Row],[Grade]])*DropAnalityka[[#This Row],[Quality/Quantity]],0)</f>
        <v>0</v>
      </c>
      <c r="L159" s="43">
        <f>IFERROR(SUMIFS(Tabela10[Exp Gain only 2*+],Tabela10[Drop],DropAnalityka[[#This Row],[Drop]],Tabela10[Grade],DropAnalityka[[#This Row],[Grade]])*DropAnalityka[[#This Row],[Quality/Quantity]],0)</f>
        <v>0</v>
      </c>
    </row>
    <row r="160" spans="1:12">
      <c r="A160" t="s">
        <v>31</v>
      </c>
      <c r="B160" t="s">
        <v>9</v>
      </c>
      <c r="C160">
        <v>1</v>
      </c>
      <c r="D160">
        <v>1900</v>
      </c>
      <c r="E160">
        <v>1</v>
      </c>
      <c r="F160" t="s">
        <v>34</v>
      </c>
      <c r="G160">
        <v>1</v>
      </c>
      <c r="H160" t="s">
        <v>17</v>
      </c>
      <c r="I160">
        <v>0</v>
      </c>
      <c r="J16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0" s="43">
        <f>IFERROR(SUMIFS(Tabela10[Fod Worth],Tabela10[Drop],DropAnalityka[[#This Row],[Drop]],Tabela10[Grade],DropAnalityka[[#This Row],[Grade]])*DropAnalityka[[#This Row],[Quality/Quantity]],0)</f>
        <v>0</v>
      </c>
      <c r="L160" s="43">
        <f>IFERROR(SUMIFS(Tabela10[Exp Gain only 2*+],Tabela10[Drop],DropAnalityka[[#This Row],[Drop]],Tabela10[Grade],DropAnalityka[[#This Row],[Grade]])*DropAnalityka[[#This Row],[Quality/Quantity]],0)</f>
        <v>800</v>
      </c>
    </row>
    <row r="161" spans="1:12">
      <c r="A161" t="s">
        <v>31</v>
      </c>
      <c r="B161" t="s">
        <v>9</v>
      </c>
      <c r="C161">
        <v>1</v>
      </c>
      <c r="D161">
        <v>1954</v>
      </c>
      <c r="E161">
        <v>1</v>
      </c>
      <c r="F161" t="s">
        <v>34</v>
      </c>
      <c r="G161">
        <v>1</v>
      </c>
      <c r="H161" t="s">
        <v>17</v>
      </c>
      <c r="I161">
        <v>0</v>
      </c>
      <c r="J16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1" s="43">
        <f>IFERROR(SUMIFS(Tabela10[Fod Worth],Tabela10[Drop],DropAnalityka[[#This Row],[Drop]],Tabela10[Grade],DropAnalityka[[#This Row],[Grade]])*DropAnalityka[[#This Row],[Quality/Quantity]],0)</f>
        <v>0</v>
      </c>
      <c r="L161" s="43">
        <f>IFERROR(SUMIFS(Tabela10[Exp Gain only 2*+],Tabela10[Drop],DropAnalityka[[#This Row],[Drop]],Tabela10[Grade],DropAnalityka[[#This Row],[Grade]])*DropAnalityka[[#This Row],[Quality/Quantity]],0)</f>
        <v>800</v>
      </c>
    </row>
    <row r="162" spans="1:12">
      <c r="A162" t="s">
        <v>31</v>
      </c>
      <c r="B162" t="s">
        <v>9</v>
      </c>
      <c r="C162">
        <v>1</v>
      </c>
      <c r="D162">
        <v>1261</v>
      </c>
      <c r="E162">
        <v>1</v>
      </c>
      <c r="F162" t="s">
        <v>34</v>
      </c>
      <c r="G162">
        <v>1</v>
      </c>
      <c r="H162" t="s">
        <v>17</v>
      </c>
      <c r="I162">
        <v>0</v>
      </c>
      <c r="J162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2" s="43">
        <f>IFERROR(SUMIFS(Tabela10[Fod Worth],Tabela10[Drop],DropAnalityka[[#This Row],[Drop]],Tabela10[Grade],DropAnalityka[[#This Row],[Grade]])*DropAnalityka[[#This Row],[Quality/Quantity]],0)</f>
        <v>0</v>
      </c>
      <c r="L162" s="43">
        <f>IFERROR(SUMIFS(Tabela10[Exp Gain only 2*+],Tabela10[Drop],DropAnalityka[[#This Row],[Drop]],Tabela10[Grade],DropAnalityka[[#This Row],[Grade]])*DropAnalityka[[#This Row],[Quality/Quantity]],0)</f>
        <v>800</v>
      </c>
    </row>
    <row r="163" spans="1:12">
      <c r="A163" t="s">
        <v>31</v>
      </c>
      <c r="B163" t="s">
        <v>9</v>
      </c>
      <c r="C163">
        <v>1</v>
      </c>
      <c r="D163">
        <v>1559</v>
      </c>
      <c r="E163">
        <v>1</v>
      </c>
      <c r="F163" t="s">
        <v>57</v>
      </c>
      <c r="G163">
        <v>1</v>
      </c>
      <c r="H163" t="s">
        <v>12</v>
      </c>
      <c r="I163">
        <v>0</v>
      </c>
      <c r="J1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" s="43">
        <f>IFERROR(SUMIFS(Tabela10[Fod Worth],Tabela10[Drop],DropAnalityka[[#This Row],[Drop]],Tabela10[Grade],DropAnalityka[[#This Row],[Grade]])*DropAnalityka[[#This Row],[Quality/Quantity]],0)</f>
        <v>11500</v>
      </c>
      <c r="L163" s="43">
        <f>IFERROR(SUMIFS(Tabela10[Exp Gain only 2*+],Tabela10[Drop],DropAnalityka[[#This Row],[Drop]],Tabela10[Grade],DropAnalityka[[#This Row],[Grade]])*DropAnalityka[[#This Row],[Quality/Quantity]],0)</f>
        <v>0</v>
      </c>
    </row>
    <row r="164" spans="1:12">
      <c r="A164" t="s">
        <v>31</v>
      </c>
      <c r="B164" t="s">
        <v>9</v>
      </c>
      <c r="C164">
        <v>1</v>
      </c>
      <c r="D164">
        <v>1232</v>
      </c>
      <c r="E164">
        <v>0</v>
      </c>
      <c r="I164">
        <v>892</v>
      </c>
      <c r="J164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164" s="43">
        <f>IFERROR(SUMIFS(Tabela10[Fod Worth],Tabela10[Drop],DropAnalityka[[#This Row],[Drop]],Tabela10[Grade],DropAnalityka[[#This Row],[Grade]])*DropAnalityka[[#This Row],[Quality/Quantity]],0)</f>
        <v>0</v>
      </c>
      <c r="L164" s="43">
        <f>IFERROR(SUMIFS(Tabela10[Exp Gain only 2*+],Tabela10[Drop],DropAnalityka[[#This Row],[Drop]],Tabela10[Grade],DropAnalityka[[#This Row],[Grade]])*DropAnalityka[[#This Row],[Quality/Quantity]],0)</f>
        <v>0</v>
      </c>
    </row>
    <row r="165" spans="1:12">
      <c r="A165" t="s">
        <v>31</v>
      </c>
      <c r="B165" t="s">
        <v>9</v>
      </c>
      <c r="C165">
        <v>1</v>
      </c>
      <c r="D165">
        <v>1417</v>
      </c>
      <c r="E165">
        <v>0</v>
      </c>
      <c r="I165">
        <v>823</v>
      </c>
      <c r="J165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65" s="43">
        <f>IFERROR(SUMIFS(Tabela10[Fod Worth],Tabela10[Drop],DropAnalityka[[#This Row],[Drop]],Tabela10[Grade],DropAnalityka[[#This Row],[Grade]])*DropAnalityka[[#This Row],[Quality/Quantity]],0)</f>
        <v>0</v>
      </c>
      <c r="L165" s="43">
        <f>IFERROR(SUMIFS(Tabela10[Exp Gain only 2*+],Tabela10[Drop],DropAnalityka[[#This Row],[Drop]],Tabela10[Grade],DropAnalityka[[#This Row],[Grade]])*DropAnalityka[[#This Row],[Quality/Quantity]],0)</f>
        <v>0</v>
      </c>
    </row>
    <row r="166" spans="1:12">
      <c r="A166" t="s">
        <v>31</v>
      </c>
      <c r="B166" t="s">
        <v>9</v>
      </c>
      <c r="C166">
        <v>1</v>
      </c>
      <c r="D166">
        <v>1648</v>
      </c>
      <c r="E166">
        <v>2</v>
      </c>
      <c r="F166" t="s">
        <v>34</v>
      </c>
      <c r="G166">
        <v>1</v>
      </c>
      <c r="H166" t="s">
        <v>17</v>
      </c>
      <c r="I166">
        <v>0</v>
      </c>
      <c r="J166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6" s="43">
        <f>IFERROR(SUMIFS(Tabela10[Fod Worth],Tabela10[Drop],DropAnalityka[[#This Row],[Drop]],Tabela10[Grade],DropAnalityka[[#This Row],[Grade]])*DropAnalityka[[#This Row],[Quality/Quantity]],0)</f>
        <v>0</v>
      </c>
      <c r="L166" s="43">
        <f>IFERROR(SUMIFS(Tabela10[Exp Gain only 2*+],Tabela10[Drop],DropAnalityka[[#This Row],[Drop]],Tabela10[Grade],DropAnalityka[[#This Row],[Grade]])*DropAnalityka[[#This Row],[Quality/Quantity]],0)</f>
        <v>800</v>
      </c>
    </row>
    <row r="167" spans="1:12">
      <c r="A167" t="s">
        <v>31</v>
      </c>
      <c r="B167" t="s">
        <v>9</v>
      </c>
      <c r="C167">
        <v>1</v>
      </c>
      <c r="D167">
        <v>1770</v>
      </c>
      <c r="E167">
        <v>2</v>
      </c>
      <c r="F167" t="s">
        <v>34</v>
      </c>
      <c r="G167">
        <v>1</v>
      </c>
      <c r="H167" t="s">
        <v>17</v>
      </c>
      <c r="I167">
        <v>0</v>
      </c>
      <c r="J16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7" s="43">
        <f>IFERROR(SUMIFS(Tabela10[Fod Worth],Tabela10[Drop],DropAnalityka[[#This Row],[Drop]],Tabela10[Grade],DropAnalityka[[#This Row],[Grade]])*DropAnalityka[[#This Row],[Quality/Quantity]],0)</f>
        <v>0</v>
      </c>
      <c r="L167" s="43">
        <f>IFERROR(SUMIFS(Tabela10[Exp Gain only 2*+],Tabela10[Drop],DropAnalityka[[#This Row],[Drop]],Tabela10[Grade],DropAnalityka[[#This Row],[Grade]])*DropAnalityka[[#This Row],[Quality/Quantity]],0)</f>
        <v>800</v>
      </c>
    </row>
    <row r="168" spans="1:12">
      <c r="A168" t="s">
        <v>31</v>
      </c>
      <c r="B168" t="s">
        <v>9</v>
      </c>
      <c r="C168">
        <v>1</v>
      </c>
      <c r="D168">
        <v>1391</v>
      </c>
      <c r="E168">
        <v>1</v>
      </c>
      <c r="I168">
        <v>823</v>
      </c>
      <c r="J16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68" s="43">
        <f>IFERROR(SUMIFS(Tabela10[Fod Worth],Tabela10[Drop],DropAnalityka[[#This Row],[Drop]],Tabela10[Grade],DropAnalityka[[#This Row],[Grade]])*DropAnalityka[[#This Row],[Quality/Quantity]],0)</f>
        <v>0</v>
      </c>
      <c r="L168" s="43">
        <f>IFERROR(SUMIFS(Tabela10[Exp Gain only 2*+],Tabela10[Drop],DropAnalityka[[#This Row],[Drop]],Tabela10[Grade],DropAnalityka[[#This Row],[Grade]])*DropAnalityka[[#This Row],[Quality/Quantity]],0)</f>
        <v>0</v>
      </c>
    </row>
    <row r="169" spans="1:12">
      <c r="A169" t="s">
        <v>31</v>
      </c>
      <c r="B169" t="s">
        <v>9</v>
      </c>
      <c r="C169">
        <v>1</v>
      </c>
      <c r="D169">
        <v>1192</v>
      </c>
      <c r="E169">
        <v>0</v>
      </c>
      <c r="F169" t="s">
        <v>34</v>
      </c>
      <c r="G169">
        <v>1</v>
      </c>
      <c r="H169" t="s">
        <v>17</v>
      </c>
      <c r="I169">
        <v>0</v>
      </c>
      <c r="J169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69" s="43">
        <f>IFERROR(SUMIFS(Tabela10[Fod Worth],Tabela10[Drop],DropAnalityka[[#This Row],[Drop]],Tabela10[Grade],DropAnalityka[[#This Row],[Grade]])*DropAnalityka[[#This Row],[Quality/Quantity]],0)</f>
        <v>0</v>
      </c>
      <c r="L169" s="43">
        <f>IFERROR(SUMIFS(Tabela10[Exp Gain only 2*+],Tabela10[Drop],DropAnalityka[[#This Row],[Drop]],Tabela10[Grade],DropAnalityka[[#This Row],[Grade]])*DropAnalityka[[#This Row],[Quality/Quantity]],0)</f>
        <v>800</v>
      </c>
    </row>
    <row r="170" spans="1:12">
      <c r="A170" t="s">
        <v>36</v>
      </c>
      <c r="B170" t="s">
        <v>9</v>
      </c>
      <c r="C170">
        <v>4</v>
      </c>
      <c r="D170">
        <v>1346</v>
      </c>
      <c r="E170">
        <v>1</v>
      </c>
      <c r="F170" t="s">
        <v>252</v>
      </c>
      <c r="G170">
        <v>2</v>
      </c>
      <c r="H170" t="s">
        <v>270</v>
      </c>
      <c r="I170">
        <v>0</v>
      </c>
      <c r="J1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" s="43">
        <f>IFERROR(SUMIFS(Tabela10[Fod Worth],Tabela10[Drop],DropAnalityka[[#This Row],[Drop]],Tabela10[Grade],DropAnalityka[[#This Row],[Grade]])*DropAnalityka[[#This Row],[Quality/Quantity]],0)</f>
        <v>0</v>
      </c>
      <c r="L170" s="43">
        <f>IFERROR(SUMIFS(Tabela10[Exp Gain only 2*+],Tabela10[Drop],DropAnalityka[[#This Row],[Drop]],Tabela10[Grade],DropAnalityka[[#This Row],[Grade]])*DropAnalityka[[#This Row],[Quality/Quantity]],0)</f>
        <v>0</v>
      </c>
    </row>
    <row r="171" spans="1:12">
      <c r="A171" t="s">
        <v>36</v>
      </c>
      <c r="B171" t="s">
        <v>9</v>
      </c>
      <c r="C171">
        <v>4</v>
      </c>
      <c r="D171">
        <v>1240</v>
      </c>
      <c r="E171">
        <v>0</v>
      </c>
      <c r="F171" t="s">
        <v>34</v>
      </c>
      <c r="G171">
        <v>2</v>
      </c>
      <c r="H171" t="s">
        <v>17</v>
      </c>
      <c r="I171">
        <v>0</v>
      </c>
      <c r="J171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71" s="43">
        <f>IFERROR(SUMIFS(Tabela10[Fod Worth],Tabela10[Drop],DropAnalityka[[#This Row],[Drop]],Tabela10[Grade],DropAnalityka[[#This Row],[Grade]])*DropAnalityka[[#This Row],[Quality/Quantity]],0)</f>
        <v>0</v>
      </c>
      <c r="L171" s="43">
        <f>IFERROR(SUMIFS(Tabela10[Exp Gain only 2*+],Tabela10[Drop],DropAnalityka[[#This Row],[Drop]],Tabela10[Grade],DropAnalityka[[#This Row],[Grade]])*DropAnalityka[[#This Row],[Quality/Quantity]],0)</f>
        <v>1600</v>
      </c>
    </row>
    <row r="172" spans="1:12">
      <c r="A172" t="s">
        <v>36</v>
      </c>
      <c r="B172" t="s">
        <v>9</v>
      </c>
      <c r="C172">
        <v>4</v>
      </c>
      <c r="D172">
        <v>1238</v>
      </c>
      <c r="E172">
        <v>0</v>
      </c>
      <c r="F172" t="s">
        <v>34</v>
      </c>
      <c r="G172">
        <v>3</v>
      </c>
      <c r="H172" t="s">
        <v>17</v>
      </c>
      <c r="I172">
        <v>0</v>
      </c>
      <c r="J172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72" s="43">
        <f>IFERROR(SUMIFS(Tabela10[Fod Worth],Tabela10[Drop],DropAnalityka[[#This Row],[Drop]],Tabela10[Grade],DropAnalityka[[#This Row],[Grade]])*DropAnalityka[[#This Row],[Quality/Quantity]],0)</f>
        <v>0</v>
      </c>
      <c r="L172" s="43">
        <f>IFERROR(SUMIFS(Tabela10[Exp Gain only 2*+],Tabela10[Drop],DropAnalityka[[#This Row],[Drop]],Tabela10[Grade],DropAnalityka[[#This Row],[Grade]])*DropAnalityka[[#This Row],[Quality/Quantity]],0)</f>
        <v>2400</v>
      </c>
    </row>
    <row r="173" spans="1:12">
      <c r="A173" t="s">
        <v>36</v>
      </c>
      <c r="B173" t="s">
        <v>9</v>
      </c>
      <c r="C173">
        <v>4</v>
      </c>
      <c r="D173">
        <v>1236</v>
      </c>
      <c r="E173">
        <v>1</v>
      </c>
      <c r="F173" t="s">
        <v>34</v>
      </c>
      <c r="G173">
        <v>2</v>
      </c>
      <c r="H173" t="s">
        <v>17</v>
      </c>
      <c r="I173">
        <v>0</v>
      </c>
      <c r="J173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73" s="43">
        <f>IFERROR(SUMIFS(Tabela10[Fod Worth],Tabela10[Drop],DropAnalityka[[#This Row],[Drop]],Tabela10[Grade],DropAnalityka[[#This Row],[Grade]])*DropAnalityka[[#This Row],[Quality/Quantity]],0)</f>
        <v>0</v>
      </c>
      <c r="L173" s="43">
        <f>IFERROR(SUMIFS(Tabela10[Exp Gain only 2*+],Tabela10[Drop],DropAnalityka[[#This Row],[Drop]],Tabela10[Grade],DropAnalityka[[#This Row],[Grade]])*DropAnalityka[[#This Row],[Quality/Quantity]],0)</f>
        <v>1600</v>
      </c>
    </row>
    <row r="174" spans="1:12">
      <c r="A174" t="s">
        <v>36</v>
      </c>
      <c r="B174" t="s">
        <v>9</v>
      </c>
      <c r="C174">
        <v>4</v>
      </c>
      <c r="D174">
        <v>1365</v>
      </c>
      <c r="E174">
        <v>1</v>
      </c>
      <c r="F174" t="s">
        <v>252</v>
      </c>
      <c r="G174">
        <v>1</v>
      </c>
      <c r="H174" t="s">
        <v>292</v>
      </c>
      <c r="I174">
        <v>0</v>
      </c>
      <c r="J1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" s="43">
        <f>IFERROR(SUMIFS(Tabela10[Fod Worth],Tabela10[Drop],DropAnalityka[[#This Row],[Drop]],Tabela10[Grade],DropAnalityka[[#This Row],[Grade]])*DropAnalityka[[#This Row],[Quality/Quantity]],0)</f>
        <v>0</v>
      </c>
      <c r="L174" s="43">
        <f>IFERROR(SUMIFS(Tabela10[Exp Gain only 2*+],Tabela10[Drop],DropAnalityka[[#This Row],[Drop]],Tabela10[Grade],DropAnalityka[[#This Row],[Grade]])*DropAnalityka[[#This Row],[Quality/Quantity]],0)</f>
        <v>0</v>
      </c>
    </row>
    <row r="175" spans="1:12">
      <c r="A175" t="s">
        <v>36</v>
      </c>
      <c r="B175" t="s">
        <v>9</v>
      </c>
      <c r="C175">
        <v>4</v>
      </c>
      <c r="D175">
        <v>1240</v>
      </c>
      <c r="E175">
        <v>1</v>
      </c>
      <c r="F175" t="s">
        <v>34</v>
      </c>
      <c r="G175">
        <v>3</v>
      </c>
      <c r="H175" t="s">
        <v>17</v>
      </c>
      <c r="I175">
        <v>0</v>
      </c>
      <c r="J175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75" s="43">
        <f>IFERROR(SUMIFS(Tabela10[Fod Worth],Tabela10[Drop],DropAnalityka[[#This Row],[Drop]],Tabela10[Grade],DropAnalityka[[#This Row],[Grade]])*DropAnalityka[[#This Row],[Quality/Quantity]],0)</f>
        <v>0</v>
      </c>
      <c r="L175" s="43">
        <f>IFERROR(SUMIFS(Tabela10[Exp Gain only 2*+],Tabela10[Drop],DropAnalityka[[#This Row],[Drop]],Tabela10[Grade],DropAnalityka[[#This Row],[Grade]])*DropAnalityka[[#This Row],[Quality/Quantity]],0)</f>
        <v>2400</v>
      </c>
    </row>
    <row r="176" spans="1:12">
      <c r="A176" t="s">
        <v>36</v>
      </c>
      <c r="B176" t="s">
        <v>9</v>
      </c>
      <c r="C176">
        <v>4</v>
      </c>
      <c r="D176">
        <v>1209</v>
      </c>
      <c r="E176">
        <v>1</v>
      </c>
      <c r="F176" t="s">
        <v>249</v>
      </c>
      <c r="G176">
        <v>2</v>
      </c>
      <c r="H176" t="s">
        <v>270</v>
      </c>
      <c r="I176">
        <v>0</v>
      </c>
      <c r="J1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" s="43">
        <f>IFERROR(SUMIFS(Tabela10[Fod Worth],Tabela10[Drop],DropAnalityka[[#This Row],[Drop]],Tabela10[Grade],DropAnalityka[[#This Row],[Grade]])*DropAnalityka[[#This Row],[Quality/Quantity]],0)</f>
        <v>0</v>
      </c>
      <c r="L176" s="43">
        <f>IFERROR(SUMIFS(Tabela10[Exp Gain only 2*+],Tabela10[Drop],DropAnalityka[[#This Row],[Drop]],Tabela10[Grade],DropAnalityka[[#This Row],[Grade]])*DropAnalityka[[#This Row],[Quality/Quantity]],0)</f>
        <v>0</v>
      </c>
    </row>
    <row r="177" spans="1:12">
      <c r="A177" t="s">
        <v>8</v>
      </c>
      <c r="B177" t="s">
        <v>30</v>
      </c>
      <c r="C177">
        <v>3</v>
      </c>
      <c r="D177">
        <v>1206</v>
      </c>
      <c r="E177">
        <v>0</v>
      </c>
      <c r="J1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" s="43">
        <f>IFERROR(SUMIFS(Tabela10[Fod Worth],Tabela10[Drop],DropAnalityka[[#This Row],[Drop]],Tabela10[Grade],DropAnalityka[[#This Row],[Grade]])*DropAnalityka[[#This Row],[Quality/Quantity]],0)</f>
        <v>0</v>
      </c>
      <c r="L177" s="43">
        <f>IFERROR(SUMIFS(Tabela10[Exp Gain only 2*+],Tabela10[Drop],DropAnalityka[[#This Row],[Drop]],Tabela10[Grade],DropAnalityka[[#This Row],[Grade]])*DropAnalityka[[#This Row],[Quality/Quantity]],0)</f>
        <v>0</v>
      </c>
    </row>
    <row r="178" spans="1:12">
      <c r="A178" t="s">
        <v>59</v>
      </c>
      <c r="B178" t="s">
        <v>32</v>
      </c>
      <c r="C178">
        <v>2</v>
      </c>
      <c r="D178">
        <v>1192</v>
      </c>
      <c r="E178">
        <v>1</v>
      </c>
      <c r="F178" t="s">
        <v>58</v>
      </c>
      <c r="G178">
        <v>1</v>
      </c>
      <c r="H178" t="s">
        <v>12</v>
      </c>
      <c r="I178">
        <v>0</v>
      </c>
      <c r="J1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" s="43">
        <f>IFERROR(SUMIFS(Tabela10[Fod Worth],Tabela10[Drop],DropAnalityka[[#This Row],[Drop]],Tabela10[Grade],DropAnalityka[[#This Row],[Grade]])*DropAnalityka[[#This Row],[Quality/Quantity]],0)</f>
        <v>11500</v>
      </c>
      <c r="L178" s="43">
        <f>IFERROR(SUMIFS(Tabela10[Exp Gain only 2*+],Tabela10[Drop],DropAnalityka[[#This Row],[Drop]],Tabela10[Grade],DropAnalityka[[#This Row],[Grade]])*DropAnalityka[[#This Row],[Quality/Quantity]],0)</f>
        <v>35822</v>
      </c>
    </row>
    <row r="179" spans="1:12">
      <c r="A179" t="s">
        <v>8</v>
      </c>
      <c r="B179" t="s">
        <v>30</v>
      </c>
      <c r="C179">
        <v>3</v>
      </c>
      <c r="D179">
        <v>1212</v>
      </c>
      <c r="E179">
        <v>2</v>
      </c>
      <c r="I179">
        <v>1352</v>
      </c>
      <c r="J179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179" s="43">
        <f>IFERROR(SUMIFS(Tabela10[Fod Worth],Tabela10[Drop],DropAnalityka[[#This Row],[Drop]],Tabela10[Grade],DropAnalityka[[#This Row],[Grade]])*DropAnalityka[[#This Row],[Quality/Quantity]],0)</f>
        <v>0</v>
      </c>
      <c r="L179" s="43">
        <f>IFERROR(SUMIFS(Tabela10[Exp Gain only 2*+],Tabela10[Drop],DropAnalityka[[#This Row],[Drop]],Tabela10[Grade],DropAnalityka[[#This Row],[Grade]])*DropAnalityka[[#This Row],[Quality/Quantity]],0)</f>
        <v>0</v>
      </c>
    </row>
    <row r="180" spans="1:12">
      <c r="A180" t="s">
        <v>8</v>
      </c>
      <c r="B180" t="s">
        <v>30</v>
      </c>
      <c r="C180">
        <v>3</v>
      </c>
      <c r="D180">
        <v>564</v>
      </c>
      <c r="E180">
        <v>0</v>
      </c>
      <c r="F180" t="s">
        <v>57</v>
      </c>
      <c r="G180">
        <v>1</v>
      </c>
      <c r="H180" t="s">
        <v>12</v>
      </c>
      <c r="I180">
        <v>0</v>
      </c>
      <c r="J1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" s="43">
        <f>IFERROR(SUMIFS(Tabela10[Fod Worth],Tabela10[Drop],DropAnalityka[[#This Row],[Drop]],Tabela10[Grade],DropAnalityka[[#This Row],[Grade]])*DropAnalityka[[#This Row],[Quality/Quantity]],0)</f>
        <v>11500</v>
      </c>
      <c r="L180" s="43">
        <f>IFERROR(SUMIFS(Tabela10[Exp Gain only 2*+],Tabela10[Drop],DropAnalityka[[#This Row],[Drop]],Tabela10[Grade],DropAnalityka[[#This Row],[Grade]])*DropAnalityka[[#This Row],[Quality/Quantity]],0)</f>
        <v>0</v>
      </c>
    </row>
    <row r="181" spans="1:12">
      <c r="A181" t="s">
        <v>8</v>
      </c>
      <c r="B181" t="s">
        <v>30</v>
      </c>
      <c r="C181">
        <v>3</v>
      </c>
      <c r="D181">
        <v>2224</v>
      </c>
      <c r="E181">
        <v>2</v>
      </c>
      <c r="F181" t="s">
        <v>34</v>
      </c>
      <c r="G181">
        <v>2</v>
      </c>
      <c r="H181" t="s">
        <v>17</v>
      </c>
      <c r="I181">
        <v>0</v>
      </c>
      <c r="J181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81" s="43">
        <f>IFERROR(SUMIFS(Tabela10[Fod Worth],Tabela10[Drop],DropAnalityka[[#This Row],[Drop]],Tabela10[Grade],DropAnalityka[[#This Row],[Grade]])*DropAnalityka[[#This Row],[Quality/Quantity]],0)</f>
        <v>0</v>
      </c>
      <c r="L181" s="43">
        <f>IFERROR(SUMIFS(Tabela10[Exp Gain only 2*+],Tabela10[Drop],DropAnalityka[[#This Row],[Drop]],Tabela10[Grade],DropAnalityka[[#This Row],[Grade]])*DropAnalityka[[#This Row],[Quality/Quantity]],0)</f>
        <v>1600</v>
      </c>
    </row>
    <row r="182" spans="1:12">
      <c r="A182" t="s">
        <v>8</v>
      </c>
      <c r="B182" t="s">
        <v>30</v>
      </c>
      <c r="C182">
        <v>3</v>
      </c>
      <c r="D182">
        <v>1341</v>
      </c>
      <c r="E182">
        <v>1</v>
      </c>
      <c r="F182" t="s">
        <v>57</v>
      </c>
      <c r="G182">
        <v>1</v>
      </c>
      <c r="H182" t="s">
        <v>17</v>
      </c>
      <c r="I182">
        <v>0</v>
      </c>
      <c r="J1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" s="43">
        <f>IFERROR(SUMIFS(Tabela10[Fod Worth],Tabela10[Drop],DropAnalityka[[#This Row],[Drop]],Tabela10[Grade],DropAnalityka[[#This Row],[Grade]])*DropAnalityka[[#This Row],[Quality/Quantity]],0)</f>
        <v>0</v>
      </c>
      <c r="L182" s="43">
        <f>IFERROR(SUMIFS(Tabela10[Exp Gain only 2*+],Tabela10[Drop],DropAnalityka[[#This Row],[Drop]],Tabela10[Grade],DropAnalityka[[#This Row],[Grade]])*DropAnalityka[[#This Row],[Quality/Quantity]],0)</f>
        <v>0</v>
      </c>
    </row>
    <row r="183" spans="1:12">
      <c r="A183" t="s">
        <v>8</v>
      </c>
      <c r="B183" t="s">
        <v>30</v>
      </c>
      <c r="C183">
        <v>3</v>
      </c>
      <c r="D183">
        <v>1482</v>
      </c>
      <c r="E183">
        <v>0</v>
      </c>
      <c r="I183">
        <v>720</v>
      </c>
      <c r="J183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183" s="43">
        <f>IFERROR(SUMIFS(Tabela10[Fod Worth],Tabela10[Drop],DropAnalityka[[#This Row],[Drop]],Tabela10[Grade],DropAnalityka[[#This Row],[Grade]])*DropAnalityka[[#This Row],[Quality/Quantity]],0)</f>
        <v>0</v>
      </c>
      <c r="L183" s="43">
        <f>IFERROR(SUMIFS(Tabela10[Exp Gain only 2*+],Tabela10[Drop],DropAnalityka[[#This Row],[Drop]],Tabela10[Grade],DropAnalityka[[#This Row],[Grade]])*DropAnalityka[[#This Row],[Quality/Quantity]],0)</f>
        <v>0</v>
      </c>
    </row>
    <row r="184" spans="1:12">
      <c r="A184" t="s">
        <v>8</v>
      </c>
      <c r="B184" t="s">
        <v>30</v>
      </c>
      <c r="C184">
        <v>3</v>
      </c>
      <c r="D184">
        <v>1565</v>
      </c>
      <c r="E184">
        <v>0</v>
      </c>
      <c r="I184">
        <v>720</v>
      </c>
      <c r="J184">
        <f>DropAnalityka[[#This Row],[Sell Drop]]+IFERROR(SUMIFS(Tabela10[Drop Worth],Tabela10[Drop],DropAnalityka[[#This Row],[Drop]],Tabela10[Grade],DropAnalityka[[#This Row],[Grade]])*DropAnalityka[[#This Row],[Quality/Quantity]],0)</f>
        <v>720</v>
      </c>
      <c r="K184" s="43">
        <f>IFERROR(SUMIFS(Tabela10[Fod Worth],Tabela10[Drop],DropAnalityka[[#This Row],[Drop]],Tabela10[Grade],DropAnalityka[[#This Row],[Grade]])*DropAnalityka[[#This Row],[Quality/Quantity]],0)</f>
        <v>0</v>
      </c>
      <c r="L184" s="43">
        <f>IFERROR(SUMIFS(Tabela10[Exp Gain only 2*+],Tabela10[Drop],DropAnalityka[[#This Row],[Drop]],Tabela10[Grade],DropAnalityka[[#This Row],[Grade]])*DropAnalityka[[#This Row],[Quality/Quantity]],0)</f>
        <v>0</v>
      </c>
    </row>
    <row r="185" spans="1:12">
      <c r="A185" t="s">
        <v>8</v>
      </c>
      <c r="B185" t="s">
        <v>30</v>
      </c>
      <c r="C185">
        <v>3</v>
      </c>
      <c r="D185">
        <v>1627</v>
      </c>
      <c r="E185">
        <v>0</v>
      </c>
      <c r="F185" t="s">
        <v>34</v>
      </c>
      <c r="G185">
        <v>2</v>
      </c>
      <c r="H185" t="s">
        <v>17</v>
      </c>
      <c r="I185">
        <v>0</v>
      </c>
      <c r="J18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85" s="43">
        <f>IFERROR(SUMIFS(Tabela10[Fod Worth],Tabela10[Drop],DropAnalityka[[#This Row],[Drop]],Tabela10[Grade],DropAnalityka[[#This Row],[Grade]])*DropAnalityka[[#This Row],[Quality/Quantity]],0)</f>
        <v>0</v>
      </c>
      <c r="L185" s="43">
        <f>IFERROR(SUMIFS(Tabela10[Exp Gain only 2*+],Tabela10[Drop],DropAnalityka[[#This Row],[Drop]],Tabela10[Grade],DropAnalityka[[#This Row],[Grade]])*DropAnalityka[[#This Row],[Quality/Quantity]],0)</f>
        <v>1600</v>
      </c>
    </row>
    <row r="186" spans="1:12">
      <c r="A186" t="s">
        <v>8</v>
      </c>
      <c r="B186" t="s">
        <v>32</v>
      </c>
      <c r="C186">
        <v>3</v>
      </c>
      <c r="D186">
        <v>1597</v>
      </c>
      <c r="E186">
        <v>1</v>
      </c>
      <c r="I186">
        <v>2067</v>
      </c>
      <c r="J18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186" s="43">
        <f>IFERROR(SUMIFS(Tabela10[Fod Worth],Tabela10[Drop],DropAnalityka[[#This Row],[Drop]],Tabela10[Grade],DropAnalityka[[#This Row],[Grade]])*DropAnalityka[[#This Row],[Quality/Quantity]],0)</f>
        <v>0</v>
      </c>
      <c r="L186" s="43">
        <f>IFERROR(SUMIFS(Tabela10[Exp Gain only 2*+],Tabela10[Drop],DropAnalityka[[#This Row],[Drop]],Tabela10[Grade],DropAnalityka[[#This Row],[Grade]])*DropAnalityka[[#This Row],[Quality/Quantity]],0)</f>
        <v>0</v>
      </c>
    </row>
    <row r="187" spans="1:12">
      <c r="A187" t="s">
        <v>8</v>
      </c>
      <c r="B187" t="s">
        <v>32</v>
      </c>
      <c r="C187">
        <v>3</v>
      </c>
      <c r="D187">
        <v>1772</v>
      </c>
      <c r="E187">
        <v>1</v>
      </c>
      <c r="I187">
        <v>1159</v>
      </c>
      <c r="J18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187" s="43">
        <f>IFERROR(SUMIFS(Tabela10[Fod Worth],Tabela10[Drop],DropAnalityka[[#This Row],[Drop]],Tabela10[Grade],DropAnalityka[[#This Row],[Grade]])*DropAnalityka[[#This Row],[Quality/Quantity]],0)</f>
        <v>0</v>
      </c>
      <c r="L187" s="43">
        <f>IFERROR(SUMIFS(Tabela10[Exp Gain only 2*+],Tabela10[Drop],DropAnalityka[[#This Row],[Drop]],Tabela10[Grade],DropAnalityka[[#This Row],[Grade]])*DropAnalityka[[#This Row],[Quality/Quantity]],0)</f>
        <v>0</v>
      </c>
    </row>
    <row r="188" spans="1:12">
      <c r="A188" t="s">
        <v>60</v>
      </c>
      <c r="B188" t="s">
        <v>9</v>
      </c>
      <c r="C188">
        <v>1</v>
      </c>
      <c r="D188">
        <v>1111</v>
      </c>
      <c r="E188">
        <v>1</v>
      </c>
      <c r="I188">
        <v>1824</v>
      </c>
      <c r="J188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88" s="43">
        <f>IFERROR(SUMIFS(Tabela10[Fod Worth],Tabela10[Drop],DropAnalityka[[#This Row],[Drop]],Tabela10[Grade],DropAnalityka[[#This Row],[Grade]])*DropAnalityka[[#This Row],[Quality/Quantity]],0)</f>
        <v>0</v>
      </c>
      <c r="L188" s="43">
        <f>IFERROR(SUMIFS(Tabela10[Exp Gain only 2*+],Tabela10[Drop],DropAnalityka[[#This Row],[Drop]],Tabela10[Grade],DropAnalityka[[#This Row],[Grade]])*DropAnalityka[[#This Row],[Quality/Quantity]],0)</f>
        <v>0</v>
      </c>
    </row>
    <row r="189" spans="1:12">
      <c r="A189" t="s">
        <v>60</v>
      </c>
      <c r="B189" t="s">
        <v>9</v>
      </c>
      <c r="C189">
        <v>2</v>
      </c>
      <c r="D189">
        <v>2526</v>
      </c>
      <c r="E189">
        <v>0</v>
      </c>
      <c r="I189">
        <v>866</v>
      </c>
      <c r="J189">
        <f>DropAnalityka[[#This Row],[Sell Drop]]+IFERROR(SUMIFS(Tabela10[Drop Worth],Tabela10[Drop],DropAnalityka[[#This Row],[Drop]],Tabela10[Grade],DropAnalityka[[#This Row],[Grade]])*DropAnalityka[[#This Row],[Quality/Quantity]],0)</f>
        <v>866</v>
      </c>
      <c r="K189" s="43">
        <f>IFERROR(SUMIFS(Tabela10[Fod Worth],Tabela10[Drop],DropAnalityka[[#This Row],[Drop]],Tabela10[Grade],DropAnalityka[[#This Row],[Grade]])*DropAnalityka[[#This Row],[Quality/Quantity]],0)</f>
        <v>0</v>
      </c>
      <c r="L189" s="43">
        <f>IFERROR(SUMIFS(Tabela10[Exp Gain only 2*+],Tabela10[Drop],DropAnalityka[[#This Row],[Drop]],Tabela10[Grade],DropAnalityka[[#This Row],[Grade]])*DropAnalityka[[#This Row],[Quality/Quantity]],0)</f>
        <v>0</v>
      </c>
    </row>
    <row r="190" spans="1:12">
      <c r="A190" t="s">
        <v>60</v>
      </c>
      <c r="B190" t="s">
        <v>9</v>
      </c>
      <c r="C190">
        <v>3</v>
      </c>
      <c r="D190">
        <v>1458</v>
      </c>
      <c r="E190">
        <v>0</v>
      </c>
      <c r="I190">
        <v>1440</v>
      </c>
      <c r="J190">
        <f>DropAnalityka[[#This Row],[Sell Drop]]+IFERROR(SUMIFS(Tabela10[Drop Worth],Tabela10[Drop],DropAnalityka[[#This Row],[Drop]],Tabela10[Grade],DropAnalityka[[#This Row],[Grade]])*DropAnalityka[[#This Row],[Quality/Quantity]],0)</f>
        <v>1440</v>
      </c>
      <c r="K190" s="43">
        <f>IFERROR(SUMIFS(Tabela10[Fod Worth],Tabela10[Drop],DropAnalityka[[#This Row],[Drop]],Tabela10[Grade],DropAnalityka[[#This Row],[Grade]])*DropAnalityka[[#This Row],[Quality/Quantity]],0)</f>
        <v>0</v>
      </c>
      <c r="L190" s="43">
        <f>IFERROR(SUMIFS(Tabela10[Exp Gain only 2*+],Tabela10[Drop],DropAnalityka[[#This Row],[Drop]],Tabela10[Grade],DropAnalityka[[#This Row],[Grade]])*DropAnalityka[[#This Row],[Quality/Quantity]],0)</f>
        <v>0</v>
      </c>
    </row>
    <row r="191" spans="1:12">
      <c r="A191" t="s">
        <v>60</v>
      </c>
      <c r="B191" t="s">
        <v>9</v>
      </c>
      <c r="C191">
        <v>3</v>
      </c>
      <c r="D191">
        <v>1590</v>
      </c>
      <c r="E191">
        <v>0</v>
      </c>
      <c r="I191">
        <v>1440</v>
      </c>
      <c r="J191">
        <f>DropAnalityka[[#This Row],[Sell Drop]]+IFERROR(SUMIFS(Tabela10[Drop Worth],Tabela10[Drop],DropAnalityka[[#This Row],[Drop]],Tabela10[Grade],DropAnalityka[[#This Row],[Grade]])*DropAnalityka[[#This Row],[Quality/Quantity]],0)</f>
        <v>1440</v>
      </c>
      <c r="K191" s="43">
        <f>IFERROR(SUMIFS(Tabela10[Fod Worth],Tabela10[Drop],DropAnalityka[[#This Row],[Drop]],Tabela10[Grade],DropAnalityka[[#This Row],[Grade]])*DropAnalityka[[#This Row],[Quality/Quantity]],0)</f>
        <v>0</v>
      </c>
      <c r="L191" s="43">
        <f>IFERROR(SUMIFS(Tabela10[Exp Gain only 2*+],Tabela10[Drop],DropAnalityka[[#This Row],[Drop]],Tabela10[Grade],DropAnalityka[[#This Row],[Grade]])*DropAnalityka[[#This Row],[Quality/Quantity]],0)</f>
        <v>0</v>
      </c>
    </row>
    <row r="192" spans="1:12">
      <c r="A192" t="s">
        <v>60</v>
      </c>
      <c r="B192" t="s">
        <v>9</v>
      </c>
      <c r="C192">
        <v>1</v>
      </c>
      <c r="D192">
        <v>1062</v>
      </c>
      <c r="E192">
        <v>0</v>
      </c>
      <c r="I192">
        <v>823</v>
      </c>
      <c r="J192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92" s="43">
        <f>IFERROR(SUMIFS(Tabela10[Fod Worth],Tabela10[Drop],DropAnalityka[[#This Row],[Drop]],Tabela10[Grade],DropAnalityka[[#This Row],[Grade]])*DropAnalityka[[#This Row],[Quality/Quantity]],0)</f>
        <v>0</v>
      </c>
      <c r="L192" s="43">
        <f>IFERROR(SUMIFS(Tabela10[Exp Gain only 2*+],Tabela10[Drop],DropAnalityka[[#This Row],[Drop]],Tabela10[Grade],DropAnalityka[[#This Row],[Grade]])*DropAnalityka[[#This Row],[Quality/Quantity]],0)</f>
        <v>0</v>
      </c>
    </row>
    <row r="193" spans="1:12">
      <c r="A193" t="s">
        <v>60</v>
      </c>
      <c r="B193" t="s">
        <v>9</v>
      </c>
      <c r="C193">
        <v>1</v>
      </c>
      <c r="D193">
        <v>1492</v>
      </c>
      <c r="E193">
        <v>1</v>
      </c>
      <c r="I193">
        <v>1976</v>
      </c>
      <c r="J193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193" s="43">
        <f>IFERROR(SUMIFS(Tabela10[Fod Worth],Tabela10[Drop],DropAnalityka[[#This Row],[Drop]],Tabela10[Grade],DropAnalityka[[#This Row],[Grade]])*DropAnalityka[[#This Row],[Quality/Quantity]],0)</f>
        <v>0</v>
      </c>
      <c r="L193" s="43">
        <f>IFERROR(SUMIFS(Tabela10[Exp Gain only 2*+],Tabela10[Drop],DropAnalityka[[#This Row],[Drop]],Tabela10[Grade],DropAnalityka[[#This Row],[Grade]])*DropAnalityka[[#This Row],[Quality/Quantity]],0)</f>
        <v>0</v>
      </c>
    </row>
    <row r="194" spans="1:12">
      <c r="A194" t="s">
        <v>60</v>
      </c>
      <c r="B194" t="s">
        <v>9</v>
      </c>
      <c r="C194">
        <v>1</v>
      </c>
      <c r="D194">
        <v>1482</v>
      </c>
      <c r="E194">
        <v>1</v>
      </c>
      <c r="I194">
        <v>823</v>
      </c>
      <c r="J19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94" s="43">
        <f>IFERROR(SUMIFS(Tabela10[Fod Worth],Tabela10[Drop],DropAnalityka[[#This Row],[Drop]],Tabela10[Grade],DropAnalityka[[#This Row],[Grade]])*DropAnalityka[[#This Row],[Quality/Quantity]],0)</f>
        <v>0</v>
      </c>
      <c r="L194" s="43">
        <f>IFERROR(SUMIFS(Tabela10[Exp Gain only 2*+],Tabela10[Drop],DropAnalityka[[#This Row],[Drop]],Tabela10[Grade],DropAnalityka[[#This Row],[Grade]])*DropAnalityka[[#This Row],[Quality/Quantity]],0)</f>
        <v>0</v>
      </c>
    </row>
    <row r="195" spans="1:12">
      <c r="A195" t="s">
        <v>60</v>
      </c>
      <c r="B195" t="s">
        <v>9</v>
      </c>
      <c r="C195">
        <v>1</v>
      </c>
      <c r="D195">
        <v>1762</v>
      </c>
      <c r="E195">
        <v>0</v>
      </c>
      <c r="I195">
        <v>823</v>
      </c>
      <c r="J195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95" s="43">
        <f>IFERROR(SUMIFS(Tabela10[Fod Worth],Tabela10[Drop],DropAnalityka[[#This Row],[Drop]],Tabela10[Grade],DropAnalityka[[#This Row],[Grade]])*DropAnalityka[[#This Row],[Quality/Quantity]],0)</f>
        <v>0</v>
      </c>
      <c r="L195" s="43">
        <f>IFERROR(SUMIFS(Tabela10[Exp Gain only 2*+],Tabela10[Drop],DropAnalityka[[#This Row],[Drop]],Tabela10[Grade],DropAnalityka[[#This Row],[Grade]])*DropAnalityka[[#This Row],[Quality/Quantity]],0)</f>
        <v>0</v>
      </c>
    </row>
    <row r="196" spans="1:12">
      <c r="A196" t="s">
        <v>60</v>
      </c>
      <c r="B196" t="s">
        <v>9</v>
      </c>
      <c r="C196">
        <v>1</v>
      </c>
      <c r="D196">
        <v>1391</v>
      </c>
      <c r="E196">
        <v>1</v>
      </c>
      <c r="I196">
        <v>2128</v>
      </c>
      <c r="J196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196" s="43">
        <f>IFERROR(SUMIFS(Tabela10[Fod Worth],Tabela10[Drop],DropAnalityka[[#This Row],[Drop]],Tabela10[Grade],DropAnalityka[[#This Row],[Grade]])*DropAnalityka[[#This Row],[Quality/Quantity]],0)</f>
        <v>0</v>
      </c>
      <c r="L196" s="43">
        <f>IFERROR(SUMIFS(Tabela10[Exp Gain only 2*+],Tabela10[Drop],DropAnalityka[[#This Row],[Drop]],Tabela10[Grade],DropAnalityka[[#This Row],[Grade]])*DropAnalityka[[#This Row],[Quality/Quantity]],0)</f>
        <v>0</v>
      </c>
    </row>
    <row r="197" spans="1:12">
      <c r="A197" t="s">
        <v>60</v>
      </c>
      <c r="B197" t="s">
        <v>9</v>
      </c>
      <c r="C197">
        <v>1</v>
      </c>
      <c r="D197">
        <v>1281</v>
      </c>
      <c r="E197">
        <v>1</v>
      </c>
      <c r="F197" t="s">
        <v>34</v>
      </c>
      <c r="G197">
        <v>1</v>
      </c>
      <c r="H197" t="s">
        <v>17</v>
      </c>
      <c r="I197">
        <v>0</v>
      </c>
      <c r="J19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197" s="43">
        <f>IFERROR(SUMIFS(Tabela10[Fod Worth],Tabela10[Drop],DropAnalityka[[#This Row],[Drop]],Tabela10[Grade],DropAnalityka[[#This Row],[Grade]])*DropAnalityka[[#This Row],[Quality/Quantity]],0)</f>
        <v>0</v>
      </c>
      <c r="L197" s="43">
        <f>IFERROR(SUMIFS(Tabela10[Exp Gain only 2*+],Tabela10[Drop],DropAnalityka[[#This Row],[Drop]],Tabela10[Grade],DropAnalityka[[#This Row],[Grade]])*DropAnalityka[[#This Row],[Quality/Quantity]],0)</f>
        <v>800</v>
      </c>
    </row>
    <row r="198" spans="1:12">
      <c r="A198" t="s">
        <v>60</v>
      </c>
      <c r="B198" t="s">
        <v>9</v>
      </c>
      <c r="C198">
        <v>1</v>
      </c>
      <c r="D198">
        <v>1169</v>
      </c>
      <c r="E198">
        <v>0</v>
      </c>
      <c r="I198">
        <v>823</v>
      </c>
      <c r="J19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198" s="43">
        <f>IFERROR(SUMIFS(Tabela10[Fod Worth],Tabela10[Drop],DropAnalityka[[#This Row],[Drop]],Tabela10[Grade],DropAnalityka[[#This Row],[Grade]])*DropAnalityka[[#This Row],[Quality/Quantity]],0)</f>
        <v>0</v>
      </c>
      <c r="L198" s="43">
        <f>IFERROR(SUMIFS(Tabela10[Exp Gain only 2*+],Tabela10[Drop],DropAnalityka[[#This Row],[Drop]],Tabela10[Grade],DropAnalityka[[#This Row],[Grade]])*DropAnalityka[[#This Row],[Quality/Quantity]],0)</f>
        <v>0</v>
      </c>
    </row>
    <row r="199" spans="1:12">
      <c r="A199" t="s">
        <v>60</v>
      </c>
      <c r="B199" t="s">
        <v>9</v>
      </c>
      <c r="C199">
        <v>1</v>
      </c>
      <c r="D199">
        <v>1657</v>
      </c>
      <c r="E199">
        <v>2</v>
      </c>
      <c r="I199">
        <v>892</v>
      </c>
      <c r="J199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199" s="43">
        <f>IFERROR(SUMIFS(Tabela10[Fod Worth],Tabela10[Drop],DropAnalityka[[#This Row],[Drop]],Tabela10[Grade],DropAnalityka[[#This Row],[Grade]])*DropAnalityka[[#This Row],[Quality/Quantity]],0)</f>
        <v>0</v>
      </c>
      <c r="L199" s="43">
        <f>IFERROR(SUMIFS(Tabela10[Exp Gain only 2*+],Tabela10[Drop],DropAnalityka[[#This Row],[Drop]],Tabela10[Grade],DropAnalityka[[#This Row],[Grade]])*DropAnalityka[[#This Row],[Quality/Quantity]],0)</f>
        <v>0</v>
      </c>
    </row>
    <row r="200" spans="1:12">
      <c r="A200" t="s">
        <v>60</v>
      </c>
      <c r="B200" t="s">
        <v>9</v>
      </c>
      <c r="C200">
        <v>1</v>
      </c>
      <c r="D200">
        <v>1214</v>
      </c>
      <c r="E200">
        <v>0</v>
      </c>
      <c r="F200" t="s">
        <v>34</v>
      </c>
      <c r="G200">
        <v>1</v>
      </c>
      <c r="H200" t="s">
        <v>17</v>
      </c>
      <c r="I200">
        <v>0</v>
      </c>
      <c r="J20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00" s="43">
        <f>IFERROR(SUMIFS(Tabela10[Fod Worth],Tabela10[Drop],DropAnalityka[[#This Row],[Drop]],Tabela10[Grade],DropAnalityka[[#This Row],[Grade]])*DropAnalityka[[#This Row],[Quality/Quantity]],0)</f>
        <v>0</v>
      </c>
      <c r="L200" s="43">
        <f>IFERROR(SUMIFS(Tabela10[Exp Gain only 2*+],Tabela10[Drop],DropAnalityka[[#This Row],[Drop]],Tabela10[Grade],DropAnalityka[[#This Row],[Grade]])*DropAnalityka[[#This Row],[Quality/Quantity]],0)</f>
        <v>800</v>
      </c>
    </row>
    <row r="201" spans="1:12">
      <c r="A201" t="s">
        <v>60</v>
      </c>
      <c r="B201" t="s">
        <v>9</v>
      </c>
      <c r="C201">
        <v>1</v>
      </c>
      <c r="D201">
        <v>1156</v>
      </c>
      <c r="E201">
        <v>0</v>
      </c>
      <c r="F201" t="s">
        <v>34</v>
      </c>
      <c r="G201">
        <v>1</v>
      </c>
      <c r="H201" t="s">
        <v>17</v>
      </c>
      <c r="I201">
        <v>0</v>
      </c>
      <c r="J20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01" s="43">
        <f>IFERROR(SUMIFS(Tabela10[Fod Worth],Tabela10[Drop],DropAnalityka[[#This Row],[Drop]],Tabela10[Grade],DropAnalityka[[#This Row],[Grade]])*DropAnalityka[[#This Row],[Quality/Quantity]],0)</f>
        <v>0</v>
      </c>
      <c r="L201" s="43">
        <f>IFERROR(SUMIFS(Tabela10[Exp Gain only 2*+],Tabela10[Drop],DropAnalityka[[#This Row],[Drop]],Tabela10[Grade],DropAnalityka[[#This Row],[Grade]])*DropAnalityka[[#This Row],[Quality/Quantity]],0)</f>
        <v>800</v>
      </c>
    </row>
    <row r="202" spans="1:12">
      <c r="A202" t="s">
        <v>60</v>
      </c>
      <c r="B202" t="s">
        <v>9</v>
      </c>
      <c r="C202">
        <v>1</v>
      </c>
      <c r="D202">
        <v>1190</v>
      </c>
      <c r="E202">
        <v>2</v>
      </c>
      <c r="I202">
        <v>823</v>
      </c>
      <c r="J202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02" s="43">
        <f>IFERROR(SUMIFS(Tabela10[Fod Worth],Tabela10[Drop],DropAnalityka[[#This Row],[Drop]],Tabela10[Grade],DropAnalityka[[#This Row],[Grade]])*DropAnalityka[[#This Row],[Quality/Quantity]],0)</f>
        <v>0</v>
      </c>
      <c r="L202" s="43">
        <f>IFERROR(SUMIFS(Tabela10[Exp Gain only 2*+],Tabela10[Drop],DropAnalityka[[#This Row],[Drop]],Tabela10[Grade],DropAnalityka[[#This Row],[Grade]])*DropAnalityka[[#This Row],[Quality/Quantity]],0)</f>
        <v>0</v>
      </c>
    </row>
    <row r="203" spans="1:12">
      <c r="A203" t="s">
        <v>60</v>
      </c>
      <c r="B203" t="s">
        <v>9</v>
      </c>
      <c r="C203">
        <v>1</v>
      </c>
      <c r="D203">
        <v>2017</v>
      </c>
      <c r="E203">
        <v>0</v>
      </c>
      <c r="I203">
        <v>960</v>
      </c>
      <c r="J203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203" s="43">
        <f>IFERROR(SUMIFS(Tabela10[Fod Worth],Tabela10[Drop],DropAnalityka[[#This Row],[Drop]],Tabela10[Grade],DropAnalityka[[#This Row],[Grade]])*DropAnalityka[[#This Row],[Quality/Quantity]],0)</f>
        <v>0</v>
      </c>
      <c r="L203" s="43">
        <f>IFERROR(SUMIFS(Tabela10[Exp Gain only 2*+],Tabela10[Drop],DropAnalityka[[#This Row],[Drop]],Tabela10[Grade],DropAnalityka[[#This Row],[Grade]])*DropAnalityka[[#This Row],[Quality/Quantity]],0)</f>
        <v>0</v>
      </c>
    </row>
    <row r="204" spans="1:12">
      <c r="A204" t="s">
        <v>60</v>
      </c>
      <c r="B204" t="s">
        <v>9</v>
      </c>
      <c r="C204">
        <v>1</v>
      </c>
      <c r="D204">
        <v>1407</v>
      </c>
      <c r="E204">
        <v>0</v>
      </c>
      <c r="I204">
        <v>2128</v>
      </c>
      <c r="J204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204" s="43">
        <f>IFERROR(SUMIFS(Tabela10[Fod Worth],Tabela10[Drop],DropAnalityka[[#This Row],[Drop]],Tabela10[Grade],DropAnalityka[[#This Row],[Grade]])*DropAnalityka[[#This Row],[Quality/Quantity]],0)</f>
        <v>0</v>
      </c>
      <c r="L204" s="43">
        <f>IFERROR(SUMIFS(Tabela10[Exp Gain only 2*+],Tabela10[Drop],DropAnalityka[[#This Row],[Drop]],Tabela10[Grade],DropAnalityka[[#This Row],[Grade]])*DropAnalityka[[#This Row],[Quality/Quantity]],0)</f>
        <v>0</v>
      </c>
    </row>
    <row r="205" spans="1:12">
      <c r="A205" t="s">
        <v>60</v>
      </c>
      <c r="B205" t="s">
        <v>9</v>
      </c>
      <c r="C205">
        <v>1</v>
      </c>
      <c r="D205">
        <v>710</v>
      </c>
      <c r="E205">
        <v>1</v>
      </c>
      <c r="I205">
        <v>892</v>
      </c>
      <c r="J205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205" s="43">
        <f>IFERROR(SUMIFS(Tabela10[Fod Worth],Tabela10[Drop],DropAnalityka[[#This Row],[Drop]],Tabela10[Grade],DropAnalityka[[#This Row],[Grade]])*DropAnalityka[[#This Row],[Quality/Quantity]],0)</f>
        <v>0</v>
      </c>
      <c r="L205" s="43">
        <f>IFERROR(SUMIFS(Tabela10[Exp Gain only 2*+],Tabela10[Drop],DropAnalityka[[#This Row],[Drop]],Tabela10[Grade],DropAnalityka[[#This Row],[Grade]])*DropAnalityka[[#This Row],[Quality/Quantity]],0)</f>
        <v>0</v>
      </c>
    </row>
    <row r="206" spans="1:12">
      <c r="A206" t="s">
        <v>60</v>
      </c>
      <c r="B206" t="s">
        <v>9</v>
      </c>
      <c r="C206">
        <v>1</v>
      </c>
      <c r="D206">
        <v>1242</v>
      </c>
      <c r="E206">
        <v>4</v>
      </c>
      <c r="I206">
        <v>960</v>
      </c>
      <c r="J206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206" s="43">
        <f>IFERROR(SUMIFS(Tabela10[Fod Worth],Tabela10[Drop],DropAnalityka[[#This Row],[Drop]],Tabela10[Grade],DropAnalityka[[#This Row],[Grade]])*DropAnalityka[[#This Row],[Quality/Quantity]],0)</f>
        <v>0</v>
      </c>
      <c r="L206" s="43">
        <f>IFERROR(SUMIFS(Tabela10[Exp Gain only 2*+],Tabela10[Drop],DropAnalityka[[#This Row],[Drop]],Tabela10[Grade],DropAnalityka[[#This Row],[Grade]])*DropAnalityka[[#This Row],[Quality/Quantity]],0)</f>
        <v>0</v>
      </c>
    </row>
    <row r="207" spans="1:12">
      <c r="A207" t="s">
        <v>60</v>
      </c>
      <c r="B207" t="s">
        <v>9</v>
      </c>
      <c r="C207">
        <v>1</v>
      </c>
      <c r="D207">
        <v>1757</v>
      </c>
      <c r="E207">
        <v>3</v>
      </c>
      <c r="I207">
        <v>2280</v>
      </c>
      <c r="J207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207" s="43">
        <f>IFERROR(SUMIFS(Tabela10[Fod Worth],Tabela10[Drop],DropAnalityka[[#This Row],[Drop]],Tabela10[Grade],DropAnalityka[[#This Row],[Grade]])*DropAnalityka[[#This Row],[Quality/Quantity]],0)</f>
        <v>0</v>
      </c>
      <c r="L207" s="43">
        <f>IFERROR(SUMIFS(Tabela10[Exp Gain only 2*+],Tabela10[Drop],DropAnalityka[[#This Row],[Drop]],Tabela10[Grade],DropAnalityka[[#This Row],[Grade]])*DropAnalityka[[#This Row],[Quality/Quantity]],0)</f>
        <v>0</v>
      </c>
    </row>
    <row r="208" spans="1:12">
      <c r="A208" t="s">
        <v>60</v>
      </c>
      <c r="B208" t="s">
        <v>9</v>
      </c>
      <c r="C208">
        <v>1</v>
      </c>
      <c r="D208">
        <v>1460</v>
      </c>
      <c r="E208">
        <v>1</v>
      </c>
      <c r="I208">
        <v>823</v>
      </c>
      <c r="J20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08" s="43">
        <f>IFERROR(SUMIFS(Tabela10[Fod Worth],Tabela10[Drop],DropAnalityka[[#This Row],[Drop]],Tabela10[Grade],DropAnalityka[[#This Row],[Grade]])*DropAnalityka[[#This Row],[Quality/Quantity]],0)</f>
        <v>0</v>
      </c>
      <c r="L208" s="43">
        <f>IFERROR(SUMIFS(Tabela10[Exp Gain only 2*+],Tabela10[Drop],DropAnalityka[[#This Row],[Drop]],Tabela10[Grade],DropAnalityka[[#This Row],[Grade]])*DropAnalityka[[#This Row],[Quality/Quantity]],0)</f>
        <v>0</v>
      </c>
    </row>
    <row r="209" spans="1:12">
      <c r="A209" t="s">
        <v>60</v>
      </c>
      <c r="B209" t="s">
        <v>9</v>
      </c>
      <c r="C209">
        <v>1</v>
      </c>
      <c r="D209">
        <v>1307</v>
      </c>
      <c r="E209">
        <v>1</v>
      </c>
      <c r="I209">
        <v>823</v>
      </c>
      <c r="J20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09" s="43">
        <f>IFERROR(SUMIFS(Tabela10[Fod Worth],Tabela10[Drop],DropAnalityka[[#This Row],[Drop]],Tabela10[Grade],DropAnalityka[[#This Row],[Grade]])*DropAnalityka[[#This Row],[Quality/Quantity]],0)</f>
        <v>0</v>
      </c>
      <c r="L209" s="43">
        <f>IFERROR(SUMIFS(Tabela10[Exp Gain only 2*+],Tabela10[Drop],DropAnalityka[[#This Row],[Drop]],Tabela10[Grade],DropAnalityka[[#This Row],[Grade]])*DropAnalityka[[#This Row],[Quality/Quantity]],0)</f>
        <v>0</v>
      </c>
    </row>
    <row r="210" spans="1:12">
      <c r="A210" t="s">
        <v>60</v>
      </c>
      <c r="B210" t="s">
        <v>9</v>
      </c>
      <c r="C210">
        <v>1</v>
      </c>
      <c r="D210">
        <v>1260</v>
      </c>
      <c r="E210">
        <v>1</v>
      </c>
      <c r="I210">
        <v>892</v>
      </c>
      <c r="J210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210" s="43">
        <f>IFERROR(SUMIFS(Tabela10[Fod Worth],Tabela10[Drop],DropAnalityka[[#This Row],[Drop]],Tabela10[Grade],DropAnalityka[[#This Row],[Grade]])*DropAnalityka[[#This Row],[Quality/Quantity]],0)</f>
        <v>0</v>
      </c>
      <c r="L210" s="43">
        <f>IFERROR(SUMIFS(Tabela10[Exp Gain only 2*+],Tabela10[Drop],DropAnalityka[[#This Row],[Drop]],Tabela10[Grade],DropAnalityka[[#This Row],[Grade]])*DropAnalityka[[#This Row],[Quality/Quantity]],0)</f>
        <v>0</v>
      </c>
    </row>
    <row r="211" spans="1:12">
      <c r="A211" t="s">
        <v>60</v>
      </c>
      <c r="B211" t="s">
        <v>9</v>
      </c>
      <c r="C211">
        <v>1</v>
      </c>
      <c r="D211">
        <v>1859</v>
      </c>
      <c r="E211">
        <v>1</v>
      </c>
      <c r="I211">
        <v>823</v>
      </c>
      <c r="J211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11" s="43">
        <f>IFERROR(SUMIFS(Tabela10[Fod Worth],Tabela10[Drop],DropAnalityka[[#This Row],[Drop]],Tabela10[Grade],DropAnalityka[[#This Row],[Grade]])*DropAnalityka[[#This Row],[Quality/Quantity]],0)</f>
        <v>0</v>
      </c>
      <c r="L211" s="43">
        <f>IFERROR(SUMIFS(Tabela10[Exp Gain only 2*+],Tabela10[Drop],DropAnalityka[[#This Row],[Drop]],Tabela10[Grade],DropAnalityka[[#This Row],[Grade]])*DropAnalityka[[#This Row],[Quality/Quantity]],0)</f>
        <v>0</v>
      </c>
    </row>
    <row r="212" spans="1:12">
      <c r="A212" t="s">
        <v>60</v>
      </c>
      <c r="B212" t="s">
        <v>9</v>
      </c>
      <c r="C212">
        <v>1</v>
      </c>
      <c r="D212">
        <v>1744</v>
      </c>
      <c r="E212">
        <v>0</v>
      </c>
      <c r="I212">
        <v>823</v>
      </c>
      <c r="J212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12" s="43">
        <f>IFERROR(SUMIFS(Tabela10[Fod Worth],Tabela10[Drop],DropAnalityka[[#This Row],[Drop]],Tabela10[Grade],DropAnalityka[[#This Row],[Grade]])*DropAnalityka[[#This Row],[Quality/Quantity]],0)</f>
        <v>0</v>
      </c>
      <c r="L212" s="43">
        <f>IFERROR(SUMIFS(Tabela10[Exp Gain only 2*+],Tabela10[Drop],DropAnalityka[[#This Row],[Drop]],Tabela10[Grade],DropAnalityka[[#This Row],[Grade]])*DropAnalityka[[#This Row],[Quality/Quantity]],0)</f>
        <v>0</v>
      </c>
    </row>
    <row r="213" spans="1:12">
      <c r="A213" t="s">
        <v>60</v>
      </c>
      <c r="B213" t="s">
        <v>9</v>
      </c>
      <c r="C213">
        <v>1</v>
      </c>
      <c r="D213">
        <v>1711</v>
      </c>
      <c r="E213">
        <v>1</v>
      </c>
      <c r="I213">
        <v>2280</v>
      </c>
      <c r="J213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213" s="43">
        <f>IFERROR(SUMIFS(Tabela10[Fod Worth],Tabela10[Drop],DropAnalityka[[#This Row],[Drop]],Tabela10[Grade],DropAnalityka[[#This Row],[Grade]])*DropAnalityka[[#This Row],[Quality/Quantity]],0)</f>
        <v>0</v>
      </c>
      <c r="L213" s="43">
        <f>IFERROR(SUMIFS(Tabela10[Exp Gain only 2*+],Tabela10[Drop],DropAnalityka[[#This Row],[Drop]],Tabela10[Grade],DropAnalityka[[#This Row],[Grade]])*DropAnalityka[[#This Row],[Quality/Quantity]],0)</f>
        <v>0</v>
      </c>
    </row>
    <row r="214" spans="1:12">
      <c r="A214" t="s">
        <v>60</v>
      </c>
      <c r="B214" t="s">
        <v>9</v>
      </c>
      <c r="C214">
        <v>1</v>
      </c>
      <c r="D214">
        <v>693</v>
      </c>
      <c r="E214">
        <v>1</v>
      </c>
      <c r="I214">
        <v>2128</v>
      </c>
      <c r="J214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214" s="43">
        <f>IFERROR(SUMIFS(Tabela10[Fod Worth],Tabela10[Drop],DropAnalityka[[#This Row],[Drop]],Tabela10[Grade],DropAnalityka[[#This Row],[Grade]])*DropAnalityka[[#This Row],[Quality/Quantity]],0)</f>
        <v>0</v>
      </c>
      <c r="L214" s="43">
        <f>IFERROR(SUMIFS(Tabela10[Exp Gain only 2*+],Tabela10[Drop],DropAnalityka[[#This Row],[Drop]],Tabela10[Grade],DropAnalityka[[#This Row],[Grade]])*DropAnalityka[[#This Row],[Quality/Quantity]],0)</f>
        <v>0</v>
      </c>
    </row>
    <row r="215" spans="1:12">
      <c r="A215" t="s">
        <v>60</v>
      </c>
      <c r="B215" t="s">
        <v>9</v>
      </c>
      <c r="C215">
        <v>1</v>
      </c>
      <c r="D215">
        <v>1404</v>
      </c>
      <c r="E215">
        <v>0</v>
      </c>
      <c r="F215" t="s">
        <v>57</v>
      </c>
      <c r="G215">
        <v>1</v>
      </c>
      <c r="H215" t="s">
        <v>12</v>
      </c>
      <c r="I215">
        <v>0</v>
      </c>
      <c r="J2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15" s="43">
        <f>IFERROR(SUMIFS(Tabela10[Fod Worth],Tabela10[Drop],DropAnalityka[[#This Row],[Drop]],Tabela10[Grade],DropAnalityka[[#This Row],[Grade]])*DropAnalityka[[#This Row],[Quality/Quantity]],0)</f>
        <v>11500</v>
      </c>
      <c r="L215" s="43">
        <f>IFERROR(SUMIFS(Tabela10[Exp Gain only 2*+],Tabela10[Drop],DropAnalityka[[#This Row],[Drop]],Tabela10[Grade],DropAnalityka[[#This Row],[Grade]])*DropAnalityka[[#This Row],[Quality/Quantity]],0)</f>
        <v>0</v>
      </c>
    </row>
    <row r="216" spans="1:12">
      <c r="A216" t="s">
        <v>60</v>
      </c>
      <c r="B216" t="s">
        <v>9</v>
      </c>
      <c r="C216">
        <v>1</v>
      </c>
      <c r="D216">
        <v>1291</v>
      </c>
      <c r="E216">
        <v>1</v>
      </c>
      <c r="F216" t="s">
        <v>34</v>
      </c>
      <c r="G216">
        <v>1</v>
      </c>
      <c r="H216" t="s">
        <v>17</v>
      </c>
      <c r="I216">
        <v>0</v>
      </c>
      <c r="J216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16" s="43">
        <f>IFERROR(SUMIFS(Tabela10[Fod Worth],Tabela10[Drop],DropAnalityka[[#This Row],[Drop]],Tabela10[Grade],DropAnalityka[[#This Row],[Grade]])*DropAnalityka[[#This Row],[Quality/Quantity]],0)</f>
        <v>0</v>
      </c>
      <c r="L216" s="43">
        <f>IFERROR(SUMIFS(Tabela10[Exp Gain only 2*+],Tabela10[Drop],DropAnalityka[[#This Row],[Drop]],Tabela10[Grade],DropAnalityka[[#This Row],[Grade]])*DropAnalityka[[#This Row],[Quality/Quantity]],0)</f>
        <v>800</v>
      </c>
    </row>
    <row r="217" spans="1:12">
      <c r="A217" t="s">
        <v>60</v>
      </c>
      <c r="B217" t="s">
        <v>9</v>
      </c>
      <c r="C217">
        <v>1</v>
      </c>
      <c r="D217">
        <v>1391</v>
      </c>
      <c r="E217">
        <v>2</v>
      </c>
      <c r="F217" t="s">
        <v>57</v>
      </c>
      <c r="G217">
        <v>1</v>
      </c>
      <c r="H217" t="s">
        <v>12</v>
      </c>
      <c r="I217">
        <v>0</v>
      </c>
      <c r="J2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17" s="43">
        <f>IFERROR(SUMIFS(Tabela10[Fod Worth],Tabela10[Drop],DropAnalityka[[#This Row],[Drop]],Tabela10[Grade],DropAnalityka[[#This Row],[Grade]])*DropAnalityka[[#This Row],[Quality/Quantity]],0)</f>
        <v>11500</v>
      </c>
      <c r="L217" s="43">
        <f>IFERROR(SUMIFS(Tabela10[Exp Gain only 2*+],Tabela10[Drop],DropAnalityka[[#This Row],[Drop]],Tabela10[Grade],DropAnalityka[[#This Row],[Grade]])*DropAnalityka[[#This Row],[Quality/Quantity]],0)</f>
        <v>0</v>
      </c>
    </row>
    <row r="218" spans="1:12">
      <c r="A218" t="s">
        <v>60</v>
      </c>
      <c r="B218" t="s">
        <v>9</v>
      </c>
      <c r="C218">
        <v>1</v>
      </c>
      <c r="D218">
        <v>2322</v>
      </c>
      <c r="E218">
        <v>1</v>
      </c>
      <c r="I218">
        <v>892</v>
      </c>
      <c r="J218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218" s="43">
        <f>IFERROR(SUMIFS(Tabela10[Fod Worth],Tabela10[Drop],DropAnalityka[[#This Row],[Drop]],Tabela10[Grade],DropAnalityka[[#This Row],[Grade]])*DropAnalityka[[#This Row],[Quality/Quantity]],0)</f>
        <v>0</v>
      </c>
      <c r="L218" s="43">
        <f>IFERROR(SUMIFS(Tabela10[Exp Gain only 2*+],Tabela10[Drop],DropAnalityka[[#This Row],[Drop]],Tabela10[Grade],DropAnalityka[[#This Row],[Grade]])*DropAnalityka[[#This Row],[Quality/Quantity]],0)</f>
        <v>0</v>
      </c>
    </row>
    <row r="219" spans="1:12">
      <c r="A219" t="s">
        <v>60</v>
      </c>
      <c r="B219" t="s">
        <v>9</v>
      </c>
      <c r="C219">
        <v>1</v>
      </c>
      <c r="D219">
        <v>1538</v>
      </c>
      <c r="E219">
        <v>2</v>
      </c>
      <c r="I219">
        <v>823</v>
      </c>
      <c r="J21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19" s="43">
        <f>IFERROR(SUMIFS(Tabela10[Fod Worth],Tabela10[Drop],DropAnalityka[[#This Row],[Drop]],Tabela10[Grade],DropAnalityka[[#This Row],[Grade]])*DropAnalityka[[#This Row],[Quality/Quantity]],0)</f>
        <v>0</v>
      </c>
      <c r="L219" s="43">
        <f>IFERROR(SUMIFS(Tabela10[Exp Gain only 2*+],Tabela10[Drop],DropAnalityka[[#This Row],[Drop]],Tabela10[Grade],DropAnalityka[[#This Row],[Grade]])*DropAnalityka[[#This Row],[Quality/Quantity]],0)</f>
        <v>0</v>
      </c>
    </row>
    <row r="220" spans="1:12">
      <c r="A220" t="s">
        <v>60</v>
      </c>
      <c r="B220" t="s">
        <v>9</v>
      </c>
      <c r="C220">
        <v>1</v>
      </c>
      <c r="D220">
        <v>686</v>
      </c>
      <c r="E220">
        <v>0</v>
      </c>
      <c r="I220">
        <v>823</v>
      </c>
      <c r="J220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20" s="43">
        <f>IFERROR(SUMIFS(Tabela10[Fod Worth],Tabela10[Drop],DropAnalityka[[#This Row],[Drop]],Tabela10[Grade],DropAnalityka[[#This Row],[Grade]])*DropAnalityka[[#This Row],[Quality/Quantity]],0)</f>
        <v>0</v>
      </c>
      <c r="L220" s="43">
        <f>IFERROR(SUMIFS(Tabela10[Exp Gain only 2*+],Tabela10[Drop],DropAnalityka[[#This Row],[Drop]],Tabela10[Grade],DropAnalityka[[#This Row],[Grade]])*DropAnalityka[[#This Row],[Quality/Quantity]],0)</f>
        <v>0</v>
      </c>
    </row>
    <row r="221" spans="1:12">
      <c r="A221" t="s">
        <v>60</v>
      </c>
      <c r="B221" t="s">
        <v>9</v>
      </c>
      <c r="C221">
        <v>1</v>
      </c>
      <c r="D221">
        <v>1437</v>
      </c>
      <c r="E221">
        <v>1</v>
      </c>
      <c r="F221" t="s">
        <v>34</v>
      </c>
      <c r="G221">
        <v>1</v>
      </c>
      <c r="H221" t="s">
        <v>17</v>
      </c>
      <c r="I221">
        <v>0</v>
      </c>
      <c r="J22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21" s="43">
        <f>IFERROR(SUMIFS(Tabela10[Fod Worth],Tabela10[Drop],DropAnalityka[[#This Row],[Drop]],Tabela10[Grade],DropAnalityka[[#This Row],[Grade]])*DropAnalityka[[#This Row],[Quality/Quantity]],0)</f>
        <v>0</v>
      </c>
      <c r="L221" s="43">
        <f>IFERROR(SUMIFS(Tabela10[Exp Gain only 2*+],Tabela10[Drop],DropAnalityka[[#This Row],[Drop]],Tabela10[Grade],DropAnalityka[[#This Row],[Grade]])*DropAnalityka[[#This Row],[Quality/Quantity]],0)</f>
        <v>800</v>
      </c>
    </row>
    <row r="222" spans="1:12">
      <c r="A222" t="s">
        <v>60</v>
      </c>
      <c r="B222" t="s">
        <v>9</v>
      </c>
      <c r="C222">
        <v>1</v>
      </c>
      <c r="D222">
        <v>1376</v>
      </c>
      <c r="E222">
        <v>1</v>
      </c>
      <c r="F222" t="s">
        <v>57</v>
      </c>
      <c r="G222">
        <v>1</v>
      </c>
      <c r="H222" t="s">
        <v>12</v>
      </c>
      <c r="I222">
        <v>0</v>
      </c>
      <c r="J2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22" s="43">
        <f>IFERROR(SUMIFS(Tabela10[Fod Worth],Tabela10[Drop],DropAnalityka[[#This Row],[Drop]],Tabela10[Grade],DropAnalityka[[#This Row],[Grade]])*DropAnalityka[[#This Row],[Quality/Quantity]],0)</f>
        <v>11500</v>
      </c>
      <c r="L222" s="43">
        <f>IFERROR(SUMIFS(Tabela10[Exp Gain only 2*+],Tabela10[Drop],DropAnalityka[[#This Row],[Drop]],Tabela10[Grade],DropAnalityka[[#This Row],[Grade]])*DropAnalityka[[#This Row],[Quality/Quantity]],0)</f>
        <v>0</v>
      </c>
    </row>
    <row r="223" spans="1:12">
      <c r="A223" t="s">
        <v>60</v>
      </c>
      <c r="B223" t="s">
        <v>9</v>
      </c>
      <c r="C223">
        <v>1</v>
      </c>
      <c r="D223">
        <v>1953</v>
      </c>
      <c r="E223">
        <v>1</v>
      </c>
      <c r="I223">
        <v>823</v>
      </c>
      <c r="J223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23" s="43">
        <f>IFERROR(SUMIFS(Tabela10[Fod Worth],Tabela10[Drop],DropAnalityka[[#This Row],[Drop]],Tabela10[Grade],DropAnalityka[[#This Row],[Grade]])*DropAnalityka[[#This Row],[Quality/Quantity]],0)</f>
        <v>0</v>
      </c>
      <c r="L223" s="43">
        <f>IFERROR(SUMIFS(Tabela10[Exp Gain only 2*+],Tabela10[Drop],DropAnalityka[[#This Row],[Drop]],Tabela10[Grade],DropAnalityka[[#This Row],[Grade]])*DropAnalityka[[#This Row],[Quality/Quantity]],0)</f>
        <v>0</v>
      </c>
    </row>
    <row r="224" spans="1:12">
      <c r="A224" t="s">
        <v>60</v>
      </c>
      <c r="B224" t="s">
        <v>9</v>
      </c>
      <c r="C224">
        <v>1</v>
      </c>
      <c r="D224">
        <v>1294</v>
      </c>
      <c r="E224">
        <v>0</v>
      </c>
      <c r="I224">
        <v>823</v>
      </c>
      <c r="J22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24" s="43">
        <f>IFERROR(SUMIFS(Tabela10[Fod Worth],Tabela10[Drop],DropAnalityka[[#This Row],[Drop]],Tabela10[Grade],DropAnalityka[[#This Row],[Grade]])*DropAnalityka[[#This Row],[Quality/Quantity]],0)</f>
        <v>0</v>
      </c>
      <c r="L224" s="43">
        <f>IFERROR(SUMIFS(Tabela10[Exp Gain only 2*+],Tabela10[Drop],DropAnalityka[[#This Row],[Drop]],Tabela10[Grade],DropAnalityka[[#This Row],[Grade]])*DropAnalityka[[#This Row],[Quality/Quantity]],0)</f>
        <v>0</v>
      </c>
    </row>
    <row r="225" spans="1:12">
      <c r="A225" t="s">
        <v>60</v>
      </c>
      <c r="B225" t="s">
        <v>9</v>
      </c>
      <c r="C225">
        <v>1</v>
      </c>
      <c r="D225">
        <v>1130</v>
      </c>
      <c r="E225">
        <v>2</v>
      </c>
      <c r="F225" t="s">
        <v>57</v>
      </c>
      <c r="G225">
        <v>1</v>
      </c>
      <c r="H225" t="s">
        <v>12</v>
      </c>
      <c r="I225">
        <v>0</v>
      </c>
      <c r="J2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25" s="43">
        <f>IFERROR(SUMIFS(Tabela10[Fod Worth],Tabela10[Drop],DropAnalityka[[#This Row],[Drop]],Tabela10[Grade],DropAnalityka[[#This Row],[Grade]])*DropAnalityka[[#This Row],[Quality/Quantity]],0)</f>
        <v>11500</v>
      </c>
      <c r="L225" s="43">
        <f>IFERROR(SUMIFS(Tabela10[Exp Gain only 2*+],Tabela10[Drop],DropAnalityka[[#This Row],[Drop]],Tabela10[Grade],DropAnalityka[[#This Row],[Grade]])*DropAnalityka[[#This Row],[Quality/Quantity]],0)</f>
        <v>0</v>
      </c>
    </row>
    <row r="226" spans="1:12">
      <c r="A226" t="s">
        <v>60</v>
      </c>
      <c r="B226" t="s">
        <v>9</v>
      </c>
      <c r="C226">
        <v>1</v>
      </c>
      <c r="D226">
        <v>2414</v>
      </c>
      <c r="E226">
        <v>0</v>
      </c>
      <c r="F226" t="s">
        <v>57</v>
      </c>
      <c r="G226">
        <v>1</v>
      </c>
      <c r="H226" t="s">
        <v>12</v>
      </c>
      <c r="I226">
        <v>0</v>
      </c>
      <c r="J2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26" s="43">
        <f>IFERROR(SUMIFS(Tabela10[Fod Worth],Tabela10[Drop],DropAnalityka[[#This Row],[Drop]],Tabela10[Grade],DropAnalityka[[#This Row],[Grade]])*DropAnalityka[[#This Row],[Quality/Quantity]],0)</f>
        <v>11500</v>
      </c>
      <c r="L226" s="43">
        <f>IFERROR(SUMIFS(Tabela10[Exp Gain only 2*+],Tabela10[Drop],DropAnalityka[[#This Row],[Drop]],Tabela10[Grade],DropAnalityka[[#This Row],[Grade]])*DropAnalityka[[#This Row],[Quality/Quantity]],0)</f>
        <v>0</v>
      </c>
    </row>
    <row r="227" spans="1:12">
      <c r="A227" t="s">
        <v>60</v>
      </c>
      <c r="B227" t="s">
        <v>9</v>
      </c>
      <c r="C227">
        <v>1</v>
      </c>
      <c r="D227">
        <v>1779</v>
      </c>
      <c r="E227">
        <v>1</v>
      </c>
      <c r="F227" t="s">
        <v>57</v>
      </c>
      <c r="G227">
        <v>1</v>
      </c>
      <c r="H227" t="s">
        <v>12</v>
      </c>
      <c r="I227">
        <v>0</v>
      </c>
      <c r="J2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27" s="43">
        <f>IFERROR(SUMIFS(Tabela10[Fod Worth],Tabela10[Drop],DropAnalityka[[#This Row],[Drop]],Tabela10[Grade],DropAnalityka[[#This Row],[Grade]])*DropAnalityka[[#This Row],[Quality/Quantity]],0)</f>
        <v>11500</v>
      </c>
      <c r="L227" s="43">
        <f>IFERROR(SUMIFS(Tabela10[Exp Gain only 2*+],Tabela10[Drop],DropAnalityka[[#This Row],[Drop]],Tabela10[Grade],DropAnalityka[[#This Row],[Grade]])*DropAnalityka[[#This Row],[Quality/Quantity]],0)</f>
        <v>0</v>
      </c>
    </row>
    <row r="228" spans="1:12">
      <c r="A228" t="s">
        <v>60</v>
      </c>
      <c r="B228" t="s">
        <v>9</v>
      </c>
      <c r="C228">
        <v>1</v>
      </c>
      <c r="D228">
        <v>979</v>
      </c>
      <c r="E228">
        <v>1</v>
      </c>
      <c r="I228">
        <v>823</v>
      </c>
      <c r="J22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28" s="43">
        <f>IFERROR(SUMIFS(Tabela10[Fod Worth],Tabela10[Drop],DropAnalityka[[#This Row],[Drop]],Tabela10[Grade],DropAnalityka[[#This Row],[Grade]])*DropAnalityka[[#This Row],[Quality/Quantity]],0)</f>
        <v>0</v>
      </c>
      <c r="L228" s="43">
        <f>IFERROR(SUMIFS(Tabela10[Exp Gain only 2*+],Tabela10[Drop],DropAnalityka[[#This Row],[Drop]],Tabela10[Grade],DropAnalityka[[#This Row],[Grade]])*DropAnalityka[[#This Row],[Quality/Quantity]],0)</f>
        <v>0</v>
      </c>
    </row>
    <row r="229" spans="1:12">
      <c r="A229" t="s">
        <v>60</v>
      </c>
      <c r="B229" t="s">
        <v>9</v>
      </c>
      <c r="C229">
        <v>1</v>
      </c>
      <c r="D229">
        <v>1775</v>
      </c>
      <c r="E229">
        <v>1</v>
      </c>
      <c r="I229">
        <v>1824</v>
      </c>
      <c r="J22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29" s="43">
        <f>IFERROR(SUMIFS(Tabela10[Fod Worth],Tabela10[Drop],DropAnalityka[[#This Row],[Drop]],Tabela10[Grade],DropAnalityka[[#This Row],[Grade]])*DropAnalityka[[#This Row],[Quality/Quantity]],0)</f>
        <v>0</v>
      </c>
      <c r="L229" s="43">
        <f>IFERROR(SUMIFS(Tabela10[Exp Gain only 2*+],Tabela10[Drop],DropAnalityka[[#This Row],[Drop]],Tabela10[Grade],DropAnalityka[[#This Row],[Grade]])*DropAnalityka[[#This Row],[Quality/Quantity]],0)</f>
        <v>0</v>
      </c>
    </row>
    <row r="230" spans="1:12">
      <c r="A230" t="s">
        <v>60</v>
      </c>
      <c r="B230" t="s">
        <v>9</v>
      </c>
      <c r="C230">
        <v>1</v>
      </c>
      <c r="D230">
        <v>2068</v>
      </c>
      <c r="E230">
        <v>2</v>
      </c>
      <c r="F230" t="s">
        <v>57</v>
      </c>
      <c r="G230">
        <v>1</v>
      </c>
      <c r="H230" t="s">
        <v>12</v>
      </c>
      <c r="I230">
        <v>0</v>
      </c>
      <c r="J2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30" s="43">
        <f>IFERROR(SUMIFS(Tabela10[Fod Worth],Tabela10[Drop],DropAnalityka[[#This Row],[Drop]],Tabela10[Grade],DropAnalityka[[#This Row],[Grade]])*DropAnalityka[[#This Row],[Quality/Quantity]],0)</f>
        <v>11500</v>
      </c>
      <c r="L230" s="43">
        <f>IFERROR(SUMIFS(Tabela10[Exp Gain only 2*+],Tabela10[Drop],DropAnalityka[[#This Row],[Drop]],Tabela10[Grade],DropAnalityka[[#This Row],[Grade]])*DropAnalityka[[#This Row],[Quality/Quantity]],0)</f>
        <v>0</v>
      </c>
    </row>
    <row r="231" spans="1:12">
      <c r="A231" t="s">
        <v>60</v>
      </c>
      <c r="B231" t="s">
        <v>9</v>
      </c>
      <c r="C231">
        <v>1</v>
      </c>
      <c r="D231">
        <v>1735</v>
      </c>
      <c r="E231">
        <v>1</v>
      </c>
      <c r="I231">
        <v>823</v>
      </c>
      <c r="J231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31" s="43">
        <f>IFERROR(SUMIFS(Tabela10[Fod Worth],Tabela10[Drop],DropAnalityka[[#This Row],[Drop]],Tabela10[Grade],DropAnalityka[[#This Row],[Grade]])*DropAnalityka[[#This Row],[Quality/Quantity]],0)</f>
        <v>0</v>
      </c>
      <c r="L231" s="43">
        <f>IFERROR(SUMIFS(Tabela10[Exp Gain only 2*+],Tabela10[Drop],DropAnalityka[[#This Row],[Drop]],Tabela10[Grade],DropAnalityka[[#This Row],[Grade]])*DropAnalityka[[#This Row],[Quality/Quantity]],0)</f>
        <v>0</v>
      </c>
    </row>
    <row r="232" spans="1:12">
      <c r="A232" t="s">
        <v>60</v>
      </c>
      <c r="B232" t="s">
        <v>9</v>
      </c>
      <c r="C232">
        <v>1</v>
      </c>
      <c r="D232">
        <v>2104</v>
      </c>
      <c r="E232">
        <v>4</v>
      </c>
      <c r="F232" t="s">
        <v>34</v>
      </c>
      <c r="G232">
        <v>1</v>
      </c>
      <c r="H232" t="s">
        <v>17</v>
      </c>
      <c r="I232">
        <v>0</v>
      </c>
      <c r="J232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32" s="43">
        <f>IFERROR(SUMIFS(Tabela10[Fod Worth],Tabela10[Drop],DropAnalityka[[#This Row],[Drop]],Tabela10[Grade],DropAnalityka[[#This Row],[Grade]])*DropAnalityka[[#This Row],[Quality/Quantity]],0)</f>
        <v>0</v>
      </c>
      <c r="L232" s="43">
        <f>IFERROR(SUMIFS(Tabela10[Exp Gain only 2*+],Tabela10[Drop],DropAnalityka[[#This Row],[Drop]],Tabela10[Grade],DropAnalityka[[#This Row],[Grade]])*DropAnalityka[[#This Row],[Quality/Quantity]],0)</f>
        <v>800</v>
      </c>
    </row>
    <row r="233" spans="1:12">
      <c r="A233" t="s">
        <v>60</v>
      </c>
      <c r="B233" t="s">
        <v>9</v>
      </c>
      <c r="C233">
        <v>1</v>
      </c>
      <c r="D233">
        <v>1385</v>
      </c>
      <c r="E233">
        <v>0</v>
      </c>
      <c r="F233" t="s">
        <v>34</v>
      </c>
      <c r="G233">
        <v>1</v>
      </c>
      <c r="H233" t="s">
        <v>17</v>
      </c>
      <c r="I233">
        <v>0</v>
      </c>
      <c r="J233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33" s="43">
        <f>IFERROR(SUMIFS(Tabela10[Fod Worth],Tabela10[Drop],DropAnalityka[[#This Row],[Drop]],Tabela10[Grade],DropAnalityka[[#This Row],[Grade]])*DropAnalityka[[#This Row],[Quality/Quantity]],0)</f>
        <v>0</v>
      </c>
      <c r="L233" s="43">
        <f>IFERROR(SUMIFS(Tabela10[Exp Gain only 2*+],Tabela10[Drop],DropAnalityka[[#This Row],[Drop]],Tabela10[Grade],DropAnalityka[[#This Row],[Grade]])*DropAnalityka[[#This Row],[Quality/Quantity]],0)</f>
        <v>800</v>
      </c>
    </row>
    <row r="234" spans="1:12">
      <c r="A234" t="s">
        <v>60</v>
      </c>
      <c r="B234" t="s">
        <v>9</v>
      </c>
      <c r="C234">
        <v>1</v>
      </c>
      <c r="D234">
        <v>1562</v>
      </c>
      <c r="E234">
        <v>1</v>
      </c>
      <c r="F234" t="s">
        <v>34</v>
      </c>
      <c r="G234">
        <v>1</v>
      </c>
      <c r="H234" t="s">
        <v>17</v>
      </c>
      <c r="I234">
        <v>0</v>
      </c>
      <c r="J234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34" s="43">
        <f>IFERROR(SUMIFS(Tabela10[Fod Worth],Tabela10[Drop],DropAnalityka[[#This Row],[Drop]],Tabela10[Grade],DropAnalityka[[#This Row],[Grade]])*DropAnalityka[[#This Row],[Quality/Quantity]],0)</f>
        <v>0</v>
      </c>
      <c r="L234" s="43">
        <f>IFERROR(SUMIFS(Tabela10[Exp Gain only 2*+],Tabela10[Drop],DropAnalityka[[#This Row],[Drop]],Tabela10[Grade],DropAnalityka[[#This Row],[Grade]])*DropAnalityka[[#This Row],[Quality/Quantity]],0)</f>
        <v>800</v>
      </c>
    </row>
    <row r="235" spans="1:12">
      <c r="A235" t="s">
        <v>60</v>
      </c>
      <c r="B235" t="s">
        <v>9</v>
      </c>
      <c r="C235">
        <v>1</v>
      </c>
      <c r="D235">
        <v>1650</v>
      </c>
      <c r="E235">
        <v>0</v>
      </c>
      <c r="I235">
        <v>823</v>
      </c>
      <c r="J235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35" s="43">
        <f>IFERROR(SUMIFS(Tabela10[Fod Worth],Tabela10[Drop],DropAnalityka[[#This Row],[Drop]],Tabela10[Grade],DropAnalityka[[#This Row],[Grade]])*DropAnalityka[[#This Row],[Quality/Quantity]],0)</f>
        <v>0</v>
      </c>
      <c r="L235" s="43">
        <f>IFERROR(SUMIFS(Tabela10[Exp Gain only 2*+],Tabela10[Drop],DropAnalityka[[#This Row],[Drop]],Tabela10[Grade],DropAnalityka[[#This Row],[Grade]])*DropAnalityka[[#This Row],[Quality/Quantity]],0)</f>
        <v>0</v>
      </c>
    </row>
    <row r="236" spans="1:12">
      <c r="A236" t="s">
        <v>60</v>
      </c>
      <c r="B236" t="s">
        <v>9</v>
      </c>
      <c r="C236">
        <v>1</v>
      </c>
      <c r="D236">
        <v>1498</v>
      </c>
      <c r="E236">
        <v>1</v>
      </c>
      <c r="I236">
        <v>0</v>
      </c>
      <c r="J2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36" s="43">
        <f>IFERROR(SUMIFS(Tabela10[Fod Worth],Tabela10[Drop],DropAnalityka[[#This Row],[Drop]],Tabela10[Grade],DropAnalityka[[#This Row],[Grade]])*DropAnalityka[[#This Row],[Quality/Quantity]],0)</f>
        <v>0</v>
      </c>
      <c r="L236" s="43">
        <f>IFERROR(SUMIFS(Tabela10[Exp Gain only 2*+],Tabela10[Drop],DropAnalityka[[#This Row],[Drop]],Tabela10[Grade],DropAnalityka[[#This Row],[Grade]])*DropAnalityka[[#This Row],[Quality/Quantity]],0)</f>
        <v>0</v>
      </c>
    </row>
    <row r="237" spans="1:12">
      <c r="A237" t="s">
        <v>60</v>
      </c>
      <c r="B237" t="s">
        <v>9</v>
      </c>
      <c r="C237">
        <v>1</v>
      </c>
      <c r="D237">
        <v>1387</v>
      </c>
      <c r="E237">
        <v>1</v>
      </c>
      <c r="I237">
        <v>823</v>
      </c>
      <c r="J237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37" s="43">
        <f>IFERROR(SUMIFS(Tabela10[Fod Worth],Tabela10[Drop],DropAnalityka[[#This Row],[Drop]],Tabela10[Grade],DropAnalityka[[#This Row],[Grade]])*DropAnalityka[[#This Row],[Quality/Quantity]],0)</f>
        <v>0</v>
      </c>
      <c r="L237" s="43">
        <f>IFERROR(SUMIFS(Tabela10[Exp Gain only 2*+],Tabela10[Drop],DropAnalityka[[#This Row],[Drop]],Tabela10[Grade],DropAnalityka[[#This Row],[Grade]])*DropAnalityka[[#This Row],[Quality/Quantity]],0)</f>
        <v>0</v>
      </c>
    </row>
    <row r="238" spans="1:12">
      <c r="A238" t="s">
        <v>60</v>
      </c>
      <c r="B238" t="s">
        <v>9</v>
      </c>
      <c r="C238">
        <v>1</v>
      </c>
      <c r="D238">
        <v>2065</v>
      </c>
      <c r="E238">
        <v>3</v>
      </c>
      <c r="I238">
        <v>823</v>
      </c>
      <c r="J23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38" s="43">
        <f>IFERROR(SUMIFS(Tabela10[Fod Worth],Tabela10[Drop],DropAnalityka[[#This Row],[Drop]],Tabela10[Grade],DropAnalityka[[#This Row],[Grade]])*DropAnalityka[[#This Row],[Quality/Quantity]],0)</f>
        <v>0</v>
      </c>
      <c r="L238" s="43">
        <f>IFERROR(SUMIFS(Tabela10[Exp Gain only 2*+],Tabela10[Drop],DropAnalityka[[#This Row],[Drop]],Tabela10[Grade],DropAnalityka[[#This Row],[Grade]])*DropAnalityka[[#This Row],[Quality/Quantity]],0)</f>
        <v>0</v>
      </c>
    </row>
    <row r="239" spans="1:12">
      <c r="A239" t="s">
        <v>60</v>
      </c>
      <c r="B239" t="s">
        <v>9</v>
      </c>
      <c r="C239">
        <v>1</v>
      </c>
      <c r="D239">
        <v>1270</v>
      </c>
      <c r="E239">
        <v>1</v>
      </c>
      <c r="I239">
        <v>1824</v>
      </c>
      <c r="J23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39" s="43">
        <f>IFERROR(SUMIFS(Tabela10[Fod Worth],Tabela10[Drop],DropAnalityka[[#This Row],[Drop]],Tabela10[Grade],DropAnalityka[[#This Row],[Grade]])*DropAnalityka[[#This Row],[Quality/Quantity]],0)</f>
        <v>0</v>
      </c>
      <c r="L239" s="43">
        <f>IFERROR(SUMIFS(Tabela10[Exp Gain only 2*+],Tabela10[Drop],DropAnalityka[[#This Row],[Drop]],Tabela10[Grade],DropAnalityka[[#This Row],[Grade]])*DropAnalityka[[#This Row],[Quality/Quantity]],0)</f>
        <v>0</v>
      </c>
    </row>
    <row r="240" spans="1:12">
      <c r="A240" t="s">
        <v>60</v>
      </c>
      <c r="B240" t="s">
        <v>9</v>
      </c>
      <c r="C240">
        <v>1</v>
      </c>
      <c r="D240">
        <v>805</v>
      </c>
      <c r="E240">
        <v>2</v>
      </c>
      <c r="F240" t="s">
        <v>34</v>
      </c>
      <c r="G240">
        <v>1</v>
      </c>
      <c r="H240" t="s">
        <v>17</v>
      </c>
      <c r="I240">
        <v>0</v>
      </c>
      <c r="J240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40" s="43">
        <f>IFERROR(SUMIFS(Tabela10[Fod Worth],Tabela10[Drop],DropAnalityka[[#This Row],[Drop]],Tabela10[Grade],DropAnalityka[[#This Row],[Grade]])*DropAnalityka[[#This Row],[Quality/Quantity]],0)</f>
        <v>0</v>
      </c>
      <c r="L240" s="43">
        <f>IFERROR(SUMIFS(Tabela10[Exp Gain only 2*+],Tabela10[Drop],DropAnalityka[[#This Row],[Drop]],Tabela10[Grade],DropAnalityka[[#This Row],[Grade]])*DropAnalityka[[#This Row],[Quality/Quantity]],0)</f>
        <v>800</v>
      </c>
    </row>
    <row r="241" spans="1:12">
      <c r="A241" t="s">
        <v>60</v>
      </c>
      <c r="B241" t="s">
        <v>9</v>
      </c>
      <c r="C241">
        <v>1</v>
      </c>
      <c r="D241">
        <v>1426</v>
      </c>
      <c r="E241">
        <v>1</v>
      </c>
      <c r="I241">
        <v>0</v>
      </c>
      <c r="J2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41" s="43">
        <f>IFERROR(SUMIFS(Tabela10[Fod Worth],Tabela10[Drop],DropAnalityka[[#This Row],[Drop]],Tabela10[Grade],DropAnalityka[[#This Row],[Grade]])*DropAnalityka[[#This Row],[Quality/Quantity]],0)</f>
        <v>0</v>
      </c>
      <c r="L241" s="43">
        <f>IFERROR(SUMIFS(Tabela10[Exp Gain only 2*+],Tabela10[Drop],DropAnalityka[[#This Row],[Drop]],Tabela10[Grade],DropAnalityka[[#This Row],[Grade]])*DropAnalityka[[#This Row],[Quality/Quantity]],0)</f>
        <v>0</v>
      </c>
    </row>
    <row r="242" spans="1:12">
      <c r="A242" t="s">
        <v>60</v>
      </c>
      <c r="B242" t="s">
        <v>9</v>
      </c>
      <c r="C242">
        <v>1</v>
      </c>
      <c r="D242">
        <v>1985</v>
      </c>
      <c r="E242">
        <v>0</v>
      </c>
      <c r="I242">
        <v>1824</v>
      </c>
      <c r="J24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42" s="43">
        <f>IFERROR(SUMIFS(Tabela10[Fod Worth],Tabela10[Drop],DropAnalityka[[#This Row],[Drop]],Tabela10[Grade],DropAnalityka[[#This Row],[Grade]])*DropAnalityka[[#This Row],[Quality/Quantity]],0)</f>
        <v>0</v>
      </c>
      <c r="L242" s="43">
        <f>IFERROR(SUMIFS(Tabela10[Exp Gain only 2*+],Tabela10[Drop],DropAnalityka[[#This Row],[Drop]],Tabela10[Grade],DropAnalityka[[#This Row],[Grade]])*DropAnalityka[[#This Row],[Quality/Quantity]],0)</f>
        <v>0</v>
      </c>
    </row>
    <row r="243" spans="1:12">
      <c r="A243" t="s">
        <v>60</v>
      </c>
      <c r="B243" t="s">
        <v>9</v>
      </c>
      <c r="C243">
        <v>1</v>
      </c>
      <c r="D243">
        <v>534</v>
      </c>
      <c r="E243">
        <v>0</v>
      </c>
      <c r="I243">
        <v>960</v>
      </c>
      <c r="J243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243" s="43">
        <f>IFERROR(SUMIFS(Tabela10[Fod Worth],Tabela10[Drop],DropAnalityka[[#This Row],[Drop]],Tabela10[Grade],DropAnalityka[[#This Row],[Grade]])*DropAnalityka[[#This Row],[Quality/Quantity]],0)</f>
        <v>0</v>
      </c>
      <c r="L243" s="43">
        <f>IFERROR(SUMIFS(Tabela10[Exp Gain only 2*+],Tabela10[Drop],DropAnalityka[[#This Row],[Drop]],Tabela10[Grade],DropAnalityka[[#This Row],[Grade]])*DropAnalityka[[#This Row],[Quality/Quantity]],0)</f>
        <v>0</v>
      </c>
    </row>
    <row r="244" spans="1:12">
      <c r="A244" t="s">
        <v>60</v>
      </c>
      <c r="B244" t="s">
        <v>9</v>
      </c>
      <c r="C244">
        <v>1</v>
      </c>
      <c r="D244">
        <v>1771</v>
      </c>
      <c r="E244">
        <v>0</v>
      </c>
      <c r="I244">
        <v>823</v>
      </c>
      <c r="J24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44" s="43">
        <f>IFERROR(SUMIFS(Tabela10[Fod Worth],Tabela10[Drop],DropAnalityka[[#This Row],[Drop]],Tabela10[Grade],DropAnalityka[[#This Row],[Grade]])*DropAnalityka[[#This Row],[Quality/Quantity]],0)</f>
        <v>0</v>
      </c>
      <c r="L244" s="43">
        <f>IFERROR(SUMIFS(Tabela10[Exp Gain only 2*+],Tabela10[Drop],DropAnalityka[[#This Row],[Drop]],Tabela10[Grade],DropAnalityka[[#This Row],[Grade]])*DropAnalityka[[#This Row],[Quality/Quantity]],0)</f>
        <v>0</v>
      </c>
    </row>
    <row r="245" spans="1:12">
      <c r="A245" t="s">
        <v>60</v>
      </c>
      <c r="B245" t="s">
        <v>9</v>
      </c>
      <c r="C245">
        <v>1</v>
      </c>
      <c r="D245">
        <v>1455</v>
      </c>
      <c r="E245">
        <v>0</v>
      </c>
      <c r="F245" t="s">
        <v>57</v>
      </c>
      <c r="G245">
        <v>1</v>
      </c>
      <c r="H245" t="s">
        <v>12</v>
      </c>
      <c r="I245">
        <v>0</v>
      </c>
      <c r="J2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45" s="43">
        <f>IFERROR(SUMIFS(Tabela10[Fod Worth],Tabela10[Drop],DropAnalityka[[#This Row],[Drop]],Tabela10[Grade],DropAnalityka[[#This Row],[Grade]])*DropAnalityka[[#This Row],[Quality/Quantity]],0)</f>
        <v>11500</v>
      </c>
      <c r="L245" s="43">
        <f>IFERROR(SUMIFS(Tabela10[Exp Gain only 2*+],Tabela10[Drop],DropAnalityka[[#This Row],[Drop]],Tabela10[Grade],DropAnalityka[[#This Row],[Grade]])*DropAnalityka[[#This Row],[Quality/Quantity]],0)</f>
        <v>0</v>
      </c>
    </row>
    <row r="246" spans="1:12">
      <c r="A246" t="s">
        <v>60</v>
      </c>
      <c r="B246" t="s">
        <v>9</v>
      </c>
      <c r="C246">
        <v>1</v>
      </c>
      <c r="D246">
        <v>1687</v>
      </c>
      <c r="E246">
        <v>0</v>
      </c>
      <c r="I246">
        <v>823</v>
      </c>
      <c r="J246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46" s="43">
        <f>IFERROR(SUMIFS(Tabela10[Fod Worth],Tabela10[Drop],DropAnalityka[[#This Row],[Drop]],Tabela10[Grade],DropAnalityka[[#This Row],[Grade]])*DropAnalityka[[#This Row],[Quality/Quantity]],0)</f>
        <v>0</v>
      </c>
      <c r="L246" s="43">
        <f>IFERROR(SUMIFS(Tabela10[Exp Gain only 2*+],Tabela10[Drop],DropAnalityka[[#This Row],[Drop]],Tabela10[Grade],DropAnalityka[[#This Row],[Grade]])*DropAnalityka[[#This Row],[Quality/Quantity]],0)</f>
        <v>0</v>
      </c>
    </row>
    <row r="247" spans="1:12">
      <c r="A247" t="s">
        <v>60</v>
      </c>
      <c r="B247" t="s">
        <v>9</v>
      </c>
      <c r="C247">
        <v>1</v>
      </c>
      <c r="D247">
        <v>1486</v>
      </c>
      <c r="E247">
        <v>1</v>
      </c>
      <c r="I247">
        <v>823</v>
      </c>
      <c r="J247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47" s="43">
        <f>IFERROR(SUMIFS(Tabela10[Fod Worth],Tabela10[Drop],DropAnalityka[[#This Row],[Drop]],Tabela10[Grade],DropAnalityka[[#This Row],[Grade]])*DropAnalityka[[#This Row],[Quality/Quantity]],0)</f>
        <v>0</v>
      </c>
      <c r="L247" s="43">
        <f>IFERROR(SUMIFS(Tabela10[Exp Gain only 2*+],Tabela10[Drop],DropAnalityka[[#This Row],[Drop]],Tabela10[Grade],DropAnalityka[[#This Row],[Grade]])*DropAnalityka[[#This Row],[Quality/Quantity]],0)</f>
        <v>0</v>
      </c>
    </row>
    <row r="248" spans="1:12">
      <c r="A248" t="s">
        <v>60</v>
      </c>
      <c r="B248" t="s">
        <v>9</v>
      </c>
      <c r="C248">
        <v>1</v>
      </c>
      <c r="D248">
        <v>1799</v>
      </c>
      <c r="E248">
        <v>1</v>
      </c>
      <c r="F248" t="s">
        <v>34</v>
      </c>
      <c r="G248">
        <v>1</v>
      </c>
      <c r="H248" t="s">
        <v>17</v>
      </c>
      <c r="I248">
        <v>0</v>
      </c>
      <c r="J248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48" s="43">
        <f>IFERROR(SUMIFS(Tabela10[Fod Worth],Tabela10[Drop],DropAnalityka[[#This Row],[Drop]],Tabela10[Grade],DropAnalityka[[#This Row],[Grade]])*DropAnalityka[[#This Row],[Quality/Quantity]],0)</f>
        <v>0</v>
      </c>
      <c r="L248" s="43">
        <f>IFERROR(SUMIFS(Tabela10[Exp Gain only 2*+],Tabela10[Drop],DropAnalityka[[#This Row],[Drop]],Tabela10[Grade],DropAnalityka[[#This Row],[Grade]])*DropAnalityka[[#This Row],[Quality/Quantity]],0)</f>
        <v>800</v>
      </c>
    </row>
    <row r="249" spans="1:12">
      <c r="A249" t="s">
        <v>60</v>
      </c>
      <c r="B249" t="s">
        <v>9</v>
      </c>
      <c r="C249">
        <v>1</v>
      </c>
      <c r="D249">
        <v>1437</v>
      </c>
      <c r="E249">
        <v>0</v>
      </c>
      <c r="F249" t="s">
        <v>34</v>
      </c>
      <c r="G249">
        <v>1</v>
      </c>
      <c r="H249" t="s">
        <v>17</v>
      </c>
      <c r="I249">
        <v>0</v>
      </c>
      <c r="J249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49" s="43">
        <f>IFERROR(SUMIFS(Tabela10[Fod Worth],Tabela10[Drop],DropAnalityka[[#This Row],[Drop]],Tabela10[Grade],DropAnalityka[[#This Row],[Grade]])*DropAnalityka[[#This Row],[Quality/Quantity]],0)</f>
        <v>0</v>
      </c>
      <c r="L249" s="43">
        <f>IFERROR(SUMIFS(Tabela10[Exp Gain only 2*+],Tabela10[Drop],DropAnalityka[[#This Row],[Drop]],Tabela10[Grade],DropAnalityka[[#This Row],[Grade]])*DropAnalityka[[#This Row],[Quality/Quantity]],0)</f>
        <v>800</v>
      </c>
    </row>
    <row r="250" spans="1:12">
      <c r="A250" t="s">
        <v>60</v>
      </c>
      <c r="B250" t="s">
        <v>9</v>
      </c>
      <c r="C250">
        <v>1</v>
      </c>
      <c r="D250">
        <v>1653</v>
      </c>
      <c r="E250">
        <v>1</v>
      </c>
      <c r="I250">
        <v>1824</v>
      </c>
      <c r="J25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50" s="43">
        <f>IFERROR(SUMIFS(Tabela10[Fod Worth],Tabela10[Drop],DropAnalityka[[#This Row],[Drop]],Tabela10[Grade],DropAnalityka[[#This Row],[Grade]])*DropAnalityka[[#This Row],[Quality/Quantity]],0)</f>
        <v>0</v>
      </c>
      <c r="L250" s="43">
        <f>IFERROR(SUMIFS(Tabela10[Exp Gain only 2*+],Tabela10[Drop],DropAnalityka[[#This Row],[Drop]],Tabela10[Grade],DropAnalityka[[#This Row],[Grade]])*DropAnalityka[[#This Row],[Quality/Quantity]],0)</f>
        <v>0</v>
      </c>
    </row>
    <row r="251" spans="1:12">
      <c r="A251" t="s">
        <v>60</v>
      </c>
      <c r="B251" t="s">
        <v>9</v>
      </c>
      <c r="C251">
        <v>1</v>
      </c>
      <c r="D251">
        <v>1162</v>
      </c>
      <c r="E251">
        <v>1</v>
      </c>
      <c r="I251">
        <v>823</v>
      </c>
      <c r="J251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51" s="43">
        <f>IFERROR(SUMIFS(Tabela10[Fod Worth],Tabela10[Drop],DropAnalityka[[#This Row],[Drop]],Tabela10[Grade],DropAnalityka[[#This Row],[Grade]])*DropAnalityka[[#This Row],[Quality/Quantity]],0)</f>
        <v>0</v>
      </c>
      <c r="L251" s="43">
        <f>IFERROR(SUMIFS(Tabela10[Exp Gain only 2*+],Tabela10[Drop],DropAnalityka[[#This Row],[Drop]],Tabela10[Grade],DropAnalityka[[#This Row],[Grade]])*DropAnalityka[[#This Row],[Quality/Quantity]],0)</f>
        <v>0</v>
      </c>
    </row>
    <row r="252" spans="1:12">
      <c r="A252" t="s">
        <v>60</v>
      </c>
      <c r="B252" t="s">
        <v>9</v>
      </c>
      <c r="C252">
        <v>1</v>
      </c>
      <c r="D252">
        <v>1535</v>
      </c>
      <c r="E252">
        <v>0</v>
      </c>
      <c r="F252" t="s">
        <v>34</v>
      </c>
      <c r="G252">
        <v>1</v>
      </c>
      <c r="H252" t="s">
        <v>17</v>
      </c>
      <c r="I252">
        <v>0</v>
      </c>
      <c r="J252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52" s="43">
        <f>IFERROR(SUMIFS(Tabela10[Fod Worth],Tabela10[Drop],DropAnalityka[[#This Row],[Drop]],Tabela10[Grade],DropAnalityka[[#This Row],[Grade]])*DropAnalityka[[#This Row],[Quality/Quantity]],0)</f>
        <v>0</v>
      </c>
      <c r="L252" s="43">
        <f>IFERROR(SUMIFS(Tabela10[Exp Gain only 2*+],Tabela10[Drop],DropAnalityka[[#This Row],[Drop]],Tabela10[Grade],DropAnalityka[[#This Row],[Grade]])*DropAnalityka[[#This Row],[Quality/Quantity]],0)</f>
        <v>800</v>
      </c>
    </row>
    <row r="253" spans="1:12">
      <c r="A253" t="s">
        <v>60</v>
      </c>
      <c r="B253" t="s">
        <v>9</v>
      </c>
      <c r="C253">
        <v>1</v>
      </c>
      <c r="D253">
        <v>1913</v>
      </c>
      <c r="E253">
        <v>1</v>
      </c>
      <c r="F253" t="s">
        <v>34</v>
      </c>
      <c r="G253">
        <v>1</v>
      </c>
      <c r="H253" t="s">
        <v>17</v>
      </c>
      <c r="I253">
        <v>0</v>
      </c>
      <c r="J253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53" s="43">
        <f>IFERROR(SUMIFS(Tabela10[Fod Worth],Tabela10[Drop],DropAnalityka[[#This Row],[Drop]],Tabela10[Grade],DropAnalityka[[#This Row],[Grade]])*DropAnalityka[[#This Row],[Quality/Quantity]],0)</f>
        <v>0</v>
      </c>
      <c r="L253" s="43">
        <f>IFERROR(SUMIFS(Tabela10[Exp Gain only 2*+],Tabela10[Drop],DropAnalityka[[#This Row],[Drop]],Tabela10[Grade],DropAnalityka[[#This Row],[Grade]])*DropAnalityka[[#This Row],[Quality/Quantity]],0)</f>
        <v>800</v>
      </c>
    </row>
    <row r="254" spans="1:12">
      <c r="A254" t="s">
        <v>60</v>
      </c>
      <c r="B254" t="s">
        <v>9</v>
      </c>
      <c r="C254">
        <v>1</v>
      </c>
      <c r="D254">
        <v>2320</v>
      </c>
      <c r="E254">
        <v>1</v>
      </c>
      <c r="I254">
        <v>823</v>
      </c>
      <c r="J254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54" s="43">
        <f>IFERROR(SUMIFS(Tabela10[Fod Worth],Tabela10[Drop],DropAnalityka[[#This Row],[Drop]],Tabela10[Grade],DropAnalityka[[#This Row],[Grade]])*DropAnalityka[[#This Row],[Quality/Quantity]],0)</f>
        <v>0</v>
      </c>
      <c r="L254" s="43">
        <f>IFERROR(SUMIFS(Tabela10[Exp Gain only 2*+],Tabela10[Drop],DropAnalityka[[#This Row],[Drop]],Tabela10[Grade],DropAnalityka[[#This Row],[Grade]])*DropAnalityka[[#This Row],[Quality/Quantity]],0)</f>
        <v>0</v>
      </c>
    </row>
    <row r="255" spans="1:12">
      <c r="A255" t="s">
        <v>60</v>
      </c>
      <c r="B255" t="s">
        <v>9</v>
      </c>
      <c r="C255">
        <v>1</v>
      </c>
      <c r="D255">
        <v>1826</v>
      </c>
      <c r="E255">
        <v>1</v>
      </c>
      <c r="I255">
        <v>823</v>
      </c>
      <c r="J255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55" s="43">
        <f>IFERROR(SUMIFS(Tabela10[Fod Worth],Tabela10[Drop],DropAnalityka[[#This Row],[Drop]],Tabela10[Grade],DropAnalityka[[#This Row],[Grade]])*DropAnalityka[[#This Row],[Quality/Quantity]],0)</f>
        <v>0</v>
      </c>
      <c r="L255" s="43">
        <f>IFERROR(SUMIFS(Tabela10[Exp Gain only 2*+],Tabela10[Drop],DropAnalityka[[#This Row],[Drop]],Tabela10[Grade],DropAnalityka[[#This Row],[Grade]])*DropAnalityka[[#This Row],[Quality/Quantity]],0)</f>
        <v>0</v>
      </c>
    </row>
    <row r="256" spans="1:12">
      <c r="A256" t="s">
        <v>60</v>
      </c>
      <c r="B256" t="s">
        <v>9</v>
      </c>
      <c r="C256">
        <v>1</v>
      </c>
      <c r="D256">
        <v>1600</v>
      </c>
      <c r="E256">
        <v>0</v>
      </c>
      <c r="I256">
        <v>2128</v>
      </c>
      <c r="J256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256" s="43">
        <f>IFERROR(SUMIFS(Tabela10[Fod Worth],Tabela10[Drop],DropAnalityka[[#This Row],[Drop]],Tabela10[Grade],DropAnalityka[[#This Row],[Grade]])*DropAnalityka[[#This Row],[Quality/Quantity]],0)</f>
        <v>0</v>
      </c>
      <c r="L256" s="43">
        <f>IFERROR(SUMIFS(Tabela10[Exp Gain only 2*+],Tabela10[Drop],DropAnalityka[[#This Row],[Drop]],Tabela10[Grade],DropAnalityka[[#This Row],[Grade]])*DropAnalityka[[#This Row],[Quality/Quantity]],0)</f>
        <v>0</v>
      </c>
    </row>
    <row r="257" spans="1:13">
      <c r="A257" t="s">
        <v>60</v>
      </c>
      <c r="B257" t="s">
        <v>9</v>
      </c>
      <c r="C257">
        <v>1</v>
      </c>
      <c r="D257">
        <v>1293</v>
      </c>
      <c r="E257">
        <v>1</v>
      </c>
      <c r="I257">
        <v>892</v>
      </c>
      <c r="J257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257" s="43">
        <f>IFERROR(SUMIFS(Tabela10[Fod Worth],Tabela10[Drop],DropAnalityka[[#This Row],[Drop]],Tabela10[Grade],DropAnalityka[[#This Row],[Grade]])*DropAnalityka[[#This Row],[Quality/Quantity]],0)</f>
        <v>0</v>
      </c>
      <c r="L257" s="43">
        <f>IFERROR(SUMIFS(Tabela10[Exp Gain only 2*+],Tabela10[Drop],DropAnalityka[[#This Row],[Drop]],Tabela10[Grade],DropAnalityka[[#This Row],[Grade]])*DropAnalityka[[#This Row],[Quality/Quantity]],0)</f>
        <v>0</v>
      </c>
    </row>
    <row r="258" spans="1:13">
      <c r="A258" t="s">
        <v>60</v>
      </c>
      <c r="B258" t="s">
        <v>9</v>
      </c>
      <c r="C258">
        <v>1</v>
      </c>
      <c r="D258">
        <v>1136</v>
      </c>
      <c r="E258">
        <v>0</v>
      </c>
      <c r="I258">
        <v>823</v>
      </c>
      <c r="J25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58" s="43">
        <f>IFERROR(SUMIFS(Tabela10[Fod Worth],Tabela10[Drop],DropAnalityka[[#This Row],[Drop]],Tabela10[Grade],DropAnalityka[[#This Row],[Grade]])*DropAnalityka[[#This Row],[Quality/Quantity]],0)</f>
        <v>0</v>
      </c>
      <c r="L258" s="43">
        <f>IFERROR(SUMIFS(Tabela10[Exp Gain only 2*+],Tabela10[Drop],DropAnalityka[[#This Row],[Drop]],Tabela10[Grade],DropAnalityka[[#This Row],[Grade]])*DropAnalityka[[#This Row],[Quality/Quantity]],0)</f>
        <v>0</v>
      </c>
    </row>
    <row r="259" spans="1:13">
      <c r="A259" t="s">
        <v>60</v>
      </c>
      <c r="B259" t="s">
        <v>9</v>
      </c>
      <c r="C259">
        <v>1</v>
      </c>
      <c r="D259">
        <v>2791</v>
      </c>
      <c r="E259">
        <v>0</v>
      </c>
      <c r="I259">
        <v>823</v>
      </c>
      <c r="J25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59" s="43">
        <f>IFERROR(SUMIFS(Tabela10[Fod Worth],Tabela10[Drop],DropAnalityka[[#This Row],[Drop]],Tabela10[Grade],DropAnalityka[[#This Row],[Grade]])*DropAnalityka[[#This Row],[Quality/Quantity]],0)</f>
        <v>0</v>
      </c>
      <c r="L259" s="43">
        <f>IFERROR(SUMIFS(Tabela10[Exp Gain only 2*+],Tabela10[Drop],DropAnalityka[[#This Row],[Drop]],Tabela10[Grade],DropAnalityka[[#This Row],[Grade]])*DropAnalityka[[#This Row],[Quality/Quantity]],0)</f>
        <v>0</v>
      </c>
    </row>
    <row r="260" spans="1:13">
      <c r="A260" t="s">
        <v>60</v>
      </c>
      <c r="B260" t="s">
        <v>9</v>
      </c>
      <c r="C260">
        <v>1</v>
      </c>
      <c r="D260">
        <v>3389</v>
      </c>
      <c r="E260">
        <v>1</v>
      </c>
      <c r="I260">
        <v>1976</v>
      </c>
      <c r="J260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260" s="43">
        <f>IFERROR(SUMIFS(Tabela10[Fod Worth],Tabela10[Drop],DropAnalityka[[#This Row],[Drop]],Tabela10[Grade],DropAnalityka[[#This Row],[Grade]])*DropAnalityka[[#This Row],[Quality/Quantity]],0)</f>
        <v>0</v>
      </c>
      <c r="L260" s="43">
        <f>IFERROR(SUMIFS(Tabela10[Exp Gain only 2*+],Tabela10[Drop],DropAnalityka[[#This Row],[Drop]],Tabela10[Grade],DropAnalityka[[#This Row],[Grade]])*DropAnalityka[[#This Row],[Quality/Quantity]],0)</f>
        <v>0</v>
      </c>
    </row>
    <row r="261" spans="1:13">
      <c r="A261" t="s">
        <v>60</v>
      </c>
      <c r="B261" t="s">
        <v>9</v>
      </c>
      <c r="C261">
        <v>1</v>
      </c>
      <c r="D261">
        <v>1297</v>
      </c>
      <c r="E261">
        <v>3</v>
      </c>
      <c r="I261">
        <v>823</v>
      </c>
      <c r="J261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61" s="43">
        <f>IFERROR(SUMIFS(Tabela10[Fod Worth],Tabela10[Drop],DropAnalityka[[#This Row],[Drop]],Tabela10[Grade],DropAnalityka[[#This Row],[Grade]])*DropAnalityka[[#This Row],[Quality/Quantity]],0)</f>
        <v>0</v>
      </c>
      <c r="L261" s="43">
        <f>IFERROR(SUMIFS(Tabela10[Exp Gain only 2*+],Tabela10[Drop],DropAnalityka[[#This Row],[Drop]],Tabela10[Grade],DropAnalityka[[#This Row],[Grade]])*DropAnalityka[[#This Row],[Quality/Quantity]],0)</f>
        <v>0</v>
      </c>
    </row>
    <row r="262" spans="1:13">
      <c r="A262" t="s">
        <v>60</v>
      </c>
      <c r="B262" t="s">
        <v>9</v>
      </c>
      <c r="C262">
        <v>1</v>
      </c>
      <c r="D262">
        <v>1726</v>
      </c>
      <c r="E262">
        <v>1</v>
      </c>
      <c r="I262">
        <v>1824</v>
      </c>
      <c r="J26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62" s="43">
        <f>IFERROR(SUMIFS(Tabela10[Fod Worth],Tabela10[Drop],DropAnalityka[[#This Row],[Drop]],Tabela10[Grade],DropAnalityka[[#This Row],[Grade]])*DropAnalityka[[#This Row],[Quality/Quantity]],0)</f>
        <v>0</v>
      </c>
      <c r="L262" s="43">
        <f>IFERROR(SUMIFS(Tabela10[Exp Gain only 2*+],Tabela10[Drop],DropAnalityka[[#This Row],[Drop]],Tabela10[Grade],DropAnalityka[[#This Row],[Grade]])*DropAnalityka[[#This Row],[Quality/Quantity]],0)</f>
        <v>0</v>
      </c>
    </row>
    <row r="263" spans="1:13">
      <c r="A263" t="s">
        <v>8</v>
      </c>
      <c r="B263" t="s">
        <v>32</v>
      </c>
      <c r="C263">
        <v>3</v>
      </c>
      <c r="D263">
        <v>1484</v>
      </c>
      <c r="E263">
        <v>2</v>
      </c>
      <c r="I263">
        <v>1159</v>
      </c>
      <c r="J26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263" s="43">
        <f>IFERROR(SUMIFS(Tabela10[Fod Worth],Tabela10[Drop],DropAnalityka[[#This Row],[Drop]],Tabela10[Grade],DropAnalityka[[#This Row],[Grade]])*DropAnalityka[[#This Row],[Quality/Quantity]],0)</f>
        <v>0</v>
      </c>
      <c r="L263" s="43">
        <f>IFERROR(SUMIFS(Tabela10[Exp Gain only 2*+],Tabela10[Drop],DropAnalityka[[#This Row],[Drop]],Tabela10[Grade],DropAnalityka[[#This Row],[Grade]])*DropAnalityka[[#This Row],[Quality/Quantity]],0)</f>
        <v>0</v>
      </c>
    </row>
    <row r="264" spans="1:13">
      <c r="A264" t="s">
        <v>8</v>
      </c>
      <c r="B264" t="s">
        <v>32</v>
      </c>
      <c r="C264">
        <v>3</v>
      </c>
      <c r="D264">
        <v>1202</v>
      </c>
      <c r="E264">
        <v>2</v>
      </c>
      <c r="I264">
        <v>1159</v>
      </c>
      <c r="J26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264" s="43">
        <f>IFERROR(SUMIFS(Tabela10[Fod Worth],Tabela10[Drop],DropAnalityka[[#This Row],[Drop]],Tabela10[Grade],DropAnalityka[[#This Row],[Grade]])*DropAnalityka[[#This Row],[Quality/Quantity]],0)</f>
        <v>0</v>
      </c>
      <c r="L264" s="43">
        <f>IFERROR(SUMIFS(Tabela10[Exp Gain only 2*+],Tabela10[Drop],DropAnalityka[[#This Row],[Drop]],Tabela10[Grade],DropAnalityka[[#This Row],[Grade]])*DropAnalityka[[#This Row],[Quality/Quantity]],0)</f>
        <v>0</v>
      </c>
    </row>
    <row r="265" spans="1:13">
      <c r="A265" t="s">
        <v>60</v>
      </c>
      <c r="B265" t="s">
        <v>9</v>
      </c>
      <c r="C265">
        <v>1</v>
      </c>
      <c r="D265">
        <v>562</v>
      </c>
      <c r="E265">
        <v>0</v>
      </c>
      <c r="I265">
        <v>1824</v>
      </c>
      <c r="J26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65" s="43">
        <f>IFERROR(SUMIFS(Tabela10[Fod Worth],Tabela10[Drop],DropAnalityka[[#This Row],[Drop]],Tabela10[Grade],DropAnalityka[[#This Row],[Grade]])*DropAnalityka[[#This Row],[Quality/Quantity]],0)</f>
        <v>0</v>
      </c>
      <c r="L265" s="43">
        <f>IFERROR(SUMIFS(Tabela10[Exp Gain only 2*+],Tabela10[Drop],DropAnalityka[[#This Row],[Drop]],Tabela10[Grade],DropAnalityka[[#This Row],[Grade]])*DropAnalityka[[#This Row],[Quality/Quantity]],0)</f>
        <v>0</v>
      </c>
    </row>
    <row r="266" spans="1:13">
      <c r="A266" t="s">
        <v>60</v>
      </c>
      <c r="B266" t="s">
        <v>9</v>
      </c>
      <c r="C266">
        <v>1</v>
      </c>
      <c r="D266">
        <v>649</v>
      </c>
      <c r="E266">
        <v>1</v>
      </c>
      <c r="I266">
        <v>823</v>
      </c>
      <c r="J266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66" s="43">
        <f>IFERROR(SUMIFS(Tabela10[Fod Worth],Tabela10[Drop],DropAnalityka[[#This Row],[Drop]],Tabela10[Grade],DropAnalityka[[#This Row],[Grade]])*DropAnalityka[[#This Row],[Quality/Quantity]],0)</f>
        <v>0</v>
      </c>
      <c r="L266" s="43">
        <f>IFERROR(SUMIFS(Tabela10[Exp Gain only 2*+],Tabela10[Drop],DropAnalityka[[#This Row],[Drop]],Tabela10[Grade],DropAnalityka[[#This Row],[Grade]])*DropAnalityka[[#This Row],[Quality/Quantity]],0)</f>
        <v>0</v>
      </c>
    </row>
    <row r="267" spans="1:13">
      <c r="A267" t="s">
        <v>60</v>
      </c>
      <c r="B267" t="s">
        <v>9</v>
      </c>
      <c r="C267">
        <v>1</v>
      </c>
      <c r="D267">
        <v>1241</v>
      </c>
      <c r="E267">
        <v>1</v>
      </c>
      <c r="F267" t="s">
        <v>34</v>
      </c>
      <c r="G267">
        <v>1</v>
      </c>
      <c r="H267" t="s">
        <v>17</v>
      </c>
      <c r="I267">
        <v>0</v>
      </c>
      <c r="J267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67" s="43">
        <f>IFERROR(SUMIFS(Tabela10[Fod Worth],Tabela10[Drop],DropAnalityka[[#This Row],[Drop]],Tabela10[Grade],DropAnalityka[[#This Row],[Grade]])*DropAnalityka[[#This Row],[Quality/Quantity]],0)</f>
        <v>0</v>
      </c>
      <c r="L267" s="43">
        <f>IFERROR(SUMIFS(Tabela10[Exp Gain only 2*+],Tabela10[Drop],DropAnalityka[[#This Row],[Drop]],Tabela10[Grade],DropAnalityka[[#This Row],[Grade]])*DropAnalityka[[#This Row],[Quality/Quantity]],0)</f>
        <v>800</v>
      </c>
    </row>
    <row r="268" spans="1:13">
      <c r="A268" t="s">
        <v>60</v>
      </c>
      <c r="B268" t="s">
        <v>9</v>
      </c>
      <c r="C268">
        <v>1</v>
      </c>
      <c r="D268">
        <v>1560</v>
      </c>
      <c r="E268">
        <v>0</v>
      </c>
      <c r="I268">
        <v>823</v>
      </c>
      <c r="J268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68" s="43">
        <f>IFERROR(SUMIFS(Tabela10[Fod Worth],Tabela10[Drop],DropAnalityka[[#This Row],[Drop]],Tabela10[Grade],DropAnalityka[[#This Row],[Grade]])*DropAnalityka[[#This Row],[Quality/Quantity]],0)</f>
        <v>0</v>
      </c>
      <c r="L268" s="43">
        <f>IFERROR(SUMIFS(Tabela10[Exp Gain only 2*+],Tabela10[Drop],DropAnalityka[[#This Row],[Drop]],Tabela10[Grade],DropAnalityka[[#This Row],[Grade]])*DropAnalityka[[#This Row],[Quality/Quantity]],0)</f>
        <v>0</v>
      </c>
      <c r="M268" s="16">
        <v>0.33078703703703705</v>
      </c>
    </row>
    <row r="269" spans="1:13">
      <c r="A269" t="s">
        <v>60</v>
      </c>
      <c r="B269" t="s">
        <v>9</v>
      </c>
      <c r="C269">
        <v>1</v>
      </c>
      <c r="D269">
        <v>1231</v>
      </c>
      <c r="E269">
        <v>1</v>
      </c>
      <c r="F269" t="s">
        <v>34</v>
      </c>
      <c r="G269">
        <v>1</v>
      </c>
      <c r="H269" t="s">
        <v>17</v>
      </c>
      <c r="I269">
        <v>0</v>
      </c>
      <c r="J269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69" s="43">
        <f>IFERROR(SUMIFS(Tabela10[Fod Worth],Tabela10[Drop],DropAnalityka[[#This Row],[Drop]],Tabela10[Grade],DropAnalityka[[#This Row],[Grade]])*DropAnalityka[[#This Row],[Quality/Quantity]],0)</f>
        <v>0</v>
      </c>
      <c r="L269" s="43">
        <f>IFERROR(SUMIFS(Tabela10[Exp Gain only 2*+],Tabela10[Drop],DropAnalityka[[#This Row],[Drop]],Tabela10[Grade],DropAnalityka[[#This Row],[Grade]])*DropAnalityka[[#This Row],[Quality/Quantity]],0)</f>
        <v>800</v>
      </c>
      <c r="M269" s="16">
        <v>0.33269675925925929</v>
      </c>
    </row>
    <row r="270" spans="1:13">
      <c r="A270" t="s">
        <v>60</v>
      </c>
      <c r="B270" t="s">
        <v>9</v>
      </c>
      <c r="C270">
        <v>1</v>
      </c>
      <c r="D270">
        <v>566</v>
      </c>
      <c r="E270">
        <v>1</v>
      </c>
      <c r="I270">
        <v>823</v>
      </c>
      <c r="J270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70" s="43">
        <f>IFERROR(SUMIFS(Tabela10[Fod Worth],Tabela10[Drop],DropAnalityka[[#This Row],[Drop]],Tabela10[Grade],DropAnalityka[[#This Row],[Grade]])*DropAnalityka[[#This Row],[Quality/Quantity]],0)</f>
        <v>0</v>
      </c>
      <c r="L270" s="43">
        <f>IFERROR(SUMIFS(Tabela10[Exp Gain only 2*+],Tabela10[Drop],DropAnalityka[[#This Row],[Drop]],Tabela10[Grade],DropAnalityka[[#This Row],[Grade]])*DropAnalityka[[#This Row],[Quality/Quantity]],0)</f>
        <v>0</v>
      </c>
    </row>
    <row r="271" spans="1:13">
      <c r="A271" t="s">
        <v>60</v>
      </c>
      <c r="B271" t="s">
        <v>9</v>
      </c>
      <c r="C271">
        <v>1</v>
      </c>
      <c r="D271">
        <v>723</v>
      </c>
      <c r="E271">
        <v>1</v>
      </c>
      <c r="F271" t="s">
        <v>34</v>
      </c>
      <c r="G271">
        <v>1</v>
      </c>
      <c r="H271" t="s">
        <v>17</v>
      </c>
      <c r="I271">
        <v>0</v>
      </c>
      <c r="J27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71" s="43">
        <f>IFERROR(SUMIFS(Tabela10[Fod Worth],Tabela10[Drop],DropAnalityka[[#This Row],[Drop]],Tabela10[Grade],DropAnalityka[[#This Row],[Grade]])*DropAnalityka[[#This Row],[Quality/Quantity]],0)</f>
        <v>0</v>
      </c>
      <c r="L271" s="43">
        <f>IFERROR(SUMIFS(Tabela10[Exp Gain only 2*+],Tabela10[Drop],DropAnalityka[[#This Row],[Drop]],Tabela10[Grade],DropAnalityka[[#This Row],[Grade]])*DropAnalityka[[#This Row],[Quality/Quantity]],0)</f>
        <v>800</v>
      </c>
    </row>
    <row r="272" spans="1:13">
      <c r="A272" t="s">
        <v>60</v>
      </c>
      <c r="B272" t="s">
        <v>9</v>
      </c>
      <c r="C272">
        <v>1</v>
      </c>
      <c r="D272">
        <v>1626</v>
      </c>
      <c r="E272">
        <v>1</v>
      </c>
      <c r="I272">
        <v>1824</v>
      </c>
      <c r="J27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72" s="43">
        <f>IFERROR(SUMIFS(Tabela10[Fod Worth],Tabela10[Drop],DropAnalityka[[#This Row],[Drop]],Tabela10[Grade],DropAnalityka[[#This Row],[Grade]])*DropAnalityka[[#This Row],[Quality/Quantity]],0)</f>
        <v>0</v>
      </c>
      <c r="L272" s="43">
        <f>IFERROR(SUMIFS(Tabela10[Exp Gain only 2*+],Tabela10[Drop],DropAnalityka[[#This Row],[Drop]],Tabela10[Grade],DropAnalityka[[#This Row],[Grade]])*DropAnalityka[[#This Row],[Quality/Quantity]],0)</f>
        <v>0</v>
      </c>
    </row>
    <row r="273" spans="1:13">
      <c r="A273" t="s">
        <v>60</v>
      </c>
      <c r="B273" t="s">
        <v>9</v>
      </c>
      <c r="C273">
        <v>1</v>
      </c>
      <c r="D273">
        <v>2033</v>
      </c>
      <c r="E273">
        <v>2</v>
      </c>
      <c r="F273" t="s">
        <v>34</v>
      </c>
      <c r="G273">
        <v>1</v>
      </c>
      <c r="H273" t="s">
        <v>17</v>
      </c>
      <c r="I273">
        <v>0</v>
      </c>
      <c r="J273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73" s="43">
        <f>IFERROR(SUMIFS(Tabela10[Fod Worth],Tabela10[Drop],DropAnalityka[[#This Row],[Drop]],Tabela10[Grade],DropAnalityka[[#This Row],[Grade]])*DropAnalityka[[#This Row],[Quality/Quantity]],0)</f>
        <v>0</v>
      </c>
      <c r="L273" s="43">
        <f>IFERROR(SUMIFS(Tabela10[Exp Gain only 2*+],Tabela10[Drop],DropAnalityka[[#This Row],[Drop]],Tabela10[Grade],DropAnalityka[[#This Row],[Grade]])*DropAnalityka[[#This Row],[Quality/Quantity]],0)</f>
        <v>800</v>
      </c>
    </row>
    <row r="274" spans="1:13">
      <c r="A274" t="s">
        <v>60</v>
      </c>
      <c r="B274" t="s">
        <v>9</v>
      </c>
      <c r="C274">
        <v>1</v>
      </c>
      <c r="D274">
        <v>1600</v>
      </c>
      <c r="E274">
        <v>1</v>
      </c>
      <c r="I274">
        <v>1824</v>
      </c>
      <c r="J27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74" s="43">
        <f>IFERROR(SUMIFS(Tabela10[Fod Worth],Tabela10[Drop],DropAnalityka[[#This Row],[Drop]],Tabela10[Grade],DropAnalityka[[#This Row],[Grade]])*DropAnalityka[[#This Row],[Quality/Quantity]],0)</f>
        <v>0</v>
      </c>
      <c r="L274" s="43">
        <f>IFERROR(SUMIFS(Tabela10[Exp Gain only 2*+],Tabela10[Drop],DropAnalityka[[#This Row],[Drop]],Tabela10[Grade],DropAnalityka[[#This Row],[Grade]])*DropAnalityka[[#This Row],[Quality/Quantity]],0)</f>
        <v>0</v>
      </c>
      <c r="M274" s="16">
        <v>0.34259259259259256</v>
      </c>
    </row>
    <row r="275" spans="1:13">
      <c r="A275" t="s">
        <v>60</v>
      </c>
      <c r="B275" t="s">
        <v>9</v>
      </c>
      <c r="C275">
        <v>1</v>
      </c>
      <c r="D275">
        <v>702</v>
      </c>
      <c r="E275">
        <v>0</v>
      </c>
      <c r="I275">
        <v>1824</v>
      </c>
      <c r="J27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75" s="43">
        <f>IFERROR(SUMIFS(Tabela10[Fod Worth],Tabela10[Drop],DropAnalityka[[#This Row],[Drop]],Tabela10[Grade],DropAnalityka[[#This Row],[Grade]])*DropAnalityka[[#This Row],[Quality/Quantity]],0)</f>
        <v>0</v>
      </c>
      <c r="L275" s="43">
        <f>IFERROR(SUMIFS(Tabela10[Exp Gain only 2*+],Tabela10[Drop],DropAnalityka[[#This Row],[Drop]],Tabela10[Grade],DropAnalityka[[#This Row],[Grade]])*DropAnalityka[[#This Row],[Quality/Quantity]],0)</f>
        <v>0</v>
      </c>
    </row>
    <row r="276" spans="1:13">
      <c r="A276" t="s">
        <v>60</v>
      </c>
      <c r="B276" t="s">
        <v>9</v>
      </c>
      <c r="C276">
        <v>1</v>
      </c>
      <c r="D276">
        <v>1330</v>
      </c>
      <c r="E276">
        <v>0</v>
      </c>
      <c r="F276" t="s">
        <v>34</v>
      </c>
      <c r="G276">
        <v>1</v>
      </c>
      <c r="H276" t="s">
        <v>17</v>
      </c>
      <c r="I276">
        <v>0</v>
      </c>
      <c r="J276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76" s="43">
        <f>IFERROR(SUMIFS(Tabela10[Fod Worth],Tabela10[Drop],DropAnalityka[[#This Row],[Drop]],Tabela10[Grade],DropAnalityka[[#This Row],[Grade]])*DropAnalityka[[#This Row],[Quality/Quantity]],0)</f>
        <v>0</v>
      </c>
      <c r="L276" s="43">
        <f>IFERROR(SUMIFS(Tabela10[Exp Gain only 2*+],Tabela10[Drop],DropAnalityka[[#This Row],[Drop]],Tabela10[Grade],DropAnalityka[[#This Row],[Grade]])*DropAnalityka[[#This Row],[Quality/Quantity]],0)</f>
        <v>800</v>
      </c>
    </row>
    <row r="277" spans="1:13">
      <c r="A277" t="s">
        <v>60</v>
      </c>
      <c r="B277" t="s">
        <v>9</v>
      </c>
      <c r="C277">
        <v>1</v>
      </c>
      <c r="D277">
        <v>1054</v>
      </c>
      <c r="E277">
        <v>0</v>
      </c>
      <c r="F277" t="s">
        <v>57</v>
      </c>
      <c r="G277">
        <v>1</v>
      </c>
      <c r="H277" t="s">
        <v>12</v>
      </c>
      <c r="I277">
        <v>0</v>
      </c>
      <c r="J2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77" s="43">
        <f>IFERROR(SUMIFS(Tabela10[Fod Worth],Tabela10[Drop],DropAnalityka[[#This Row],[Drop]],Tabela10[Grade],DropAnalityka[[#This Row],[Grade]])*DropAnalityka[[#This Row],[Quality/Quantity]],0)</f>
        <v>11500</v>
      </c>
      <c r="L277" s="43">
        <f>IFERROR(SUMIFS(Tabela10[Exp Gain only 2*+],Tabela10[Drop],DropAnalityka[[#This Row],[Drop]],Tabela10[Grade],DropAnalityka[[#This Row],[Grade]])*DropAnalityka[[#This Row],[Quality/Quantity]],0)</f>
        <v>0</v>
      </c>
    </row>
    <row r="278" spans="1:13">
      <c r="A278" t="s">
        <v>60</v>
      </c>
      <c r="B278" t="s">
        <v>9</v>
      </c>
      <c r="C278">
        <v>1</v>
      </c>
      <c r="D278">
        <v>1391</v>
      </c>
      <c r="E278">
        <v>0</v>
      </c>
      <c r="I278">
        <v>1824</v>
      </c>
      <c r="J278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78" s="43">
        <f>IFERROR(SUMIFS(Tabela10[Fod Worth],Tabela10[Drop],DropAnalityka[[#This Row],[Drop]],Tabela10[Grade],DropAnalityka[[#This Row],[Grade]])*DropAnalityka[[#This Row],[Quality/Quantity]],0)</f>
        <v>0</v>
      </c>
      <c r="L278" s="43">
        <f>IFERROR(SUMIFS(Tabela10[Exp Gain only 2*+],Tabela10[Drop],DropAnalityka[[#This Row],[Drop]],Tabela10[Grade],DropAnalityka[[#This Row],[Grade]])*DropAnalityka[[#This Row],[Quality/Quantity]],0)</f>
        <v>0</v>
      </c>
    </row>
    <row r="279" spans="1:13">
      <c r="A279" t="s">
        <v>60</v>
      </c>
      <c r="B279" t="s">
        <v>9</v>
      </c>
      <c r="C279">
        <v>1</v>
      </c>
      <c r="D279">
        <v>1603</v>
      </c>
      <c r="E279">
        <v>2</v>
      </c>
      <c r="I279">
        <v>1824</v>
      </c>
      <c r="J27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279" s="43">
        <f>IFERROR(SUMIFS(Tabela10[Fod Worth],Tabela10[Drop],DropAnalityka[[#This Row],[Drop]],Tabela10[Grade],DropAnalityka[[#This Row],[Grade]])*DropAnalityka[[#This Row],[Quality/Quantity]],0)</f>
        <v>0</v>
      </c>
      <c r="L279" s="43">
        <f>IFERROR(SUMIFS(Tabela10[Exp Gain only 2*+],Tabela10[Drop],DropAnalityka[[#This Row],[Drop]],Tabela10[Grade],DropAnalityka[[#This Row],[Grade]])*DropAnalityka[[#This Row],[Quality/Quantity]],0)</f>
        <v>0</v>
      </c>
    </row>
    <row r="280" spans="1:13">
      <c r="A280" t="s">
        <v>60</v>
      </c>
      <c r="B280" t="s">
        <v>9</v>
      </c>
      <c r="C280">
        <v>1</v>
      </c>
      <c r="D280">
        <v>1415</v>
      </c>
      <c r="E280">
        <v>0</v>
      </c>
      <c r="I280">
        <v>960</v>
      </c>
      <c r="J280">
        <f>DropAnalityka[[#This Row],[Sell Drop]]+IFERROR(SUMIFS(Tabela10[Drop Worth],Tabela10[Drop],DropAnalityka[[#This Row],[Drop]],Tabela10[Grade],DropAnalityka[[#This Row],[Grade]])*DropAnalityka[[#This Row],[Quality/Quantity]],0)</f>
        <v>960</v>
      </c>
      <c r="K280" s="43">
        <f>IFERROR(SUMIFS(Tabela10[Fod Worth],Tabela10[Drop],DropAnalityka[[#This Row],[Drop]],Tabela10[Grade],DropAnalityka[[#This Row],[Grade]])*DropAnalityka[[#This Row],[Quality/Quantity]],0)</f>
        <v>0</v>
      </c>
      <c r="L280" s="43">
        <f>IFERROR(SUMIFS(Tabela10[Exp Gain only 2*+],Tabela10[Drop],DropAnalityka[[#This Row],[Drop]],Tabela10[Grade],DropAnalityka[[#This Row],[Grade]])*DropAnalityka[[#This Row],[Quality/Quantity]],0)</f>
        <v>0</v>
      </c>
    </row>
    <row r="281" spans="1:13">
      <c r="A281" t="s">
        <v>60</v>
      </c>
      <c r="B281" t="s">
        <v>9</v>
      </c>
      <c r="C281">
        <v>1</v>
      </c>
      <c r="D281">
        <v>1206</v>
      </c>
      <c r="E281">
        <v>1</v>
      </c>
      <c r="I281">
        <v>823</v>
      </c>
      <c r="J281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81" s="43">
        <f>IFERROR(SUMIFS(Tabela10[Fod Worth],Tabela10[Drop],DropAnalityka[[#This Row],[Drop]],Tabela10[Grade],DropAnalityka[[#This Row],[Grade]])*DropAnalityka[[#This Row],[Quality/Quantity]],0)</f>
        <v>0</v>
      </c>
      <c r="L281" s="43">
        <f>IFERROR(SUMIFS(Tabela10[Exp Gain only 2*+],Tabela10[Drop],DropAnalityka[[#This Row],[Drop]],Tabela10[Grade],DropAnalityka[[#This Row],[Grade]])*DropAnalityka[[#This Row],[Quality/Quantity]],0)</f>
        <v>0</v>
      </c>
      <c r="M281" s="16">
        <v>0.35532407407407413</v>
      </c>
    </row>
    <row r="282" spans="1:13">
      <c r="A282" t="s">
        <v>31</v>
      </c>
      <c r="B282" t="s">
        <v>9</v>
      </c>
      <c r="C282">
        <v>1</v>
      </c>
      <c r="D282">
        <v>1840</v>
      </c>
      <c r="E282">
        <v>1</v>
      </c>
      <c r="I282">
        <v>823</v>
      </c>
      <c r="J282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282" s="43">
        <f>IFERROR(SUMIFS(Tabela10[Fod Worth],Tabela10[Drop],DropAnalityka[[#This Row],[Drop]],Tabela10[Grade],DropAnalityka[[#This Row],[Grade]])*DropAnalityka[[#This Row],[Quality/Quantity]],0)</f>
        <v>0</v>
      </c>
      <c r="L282" s="43">
        <f>IFERROR(SUMIFS(Tabela10[Exp Gain only 2*+],Tabela10[Drop],DropAnalityka[[#This Row],[Drop]],Tabela10[Grade],DropAnalityka[[#This Row],[Grade]])*DropAnalityka[[#This Row],[Quality/Quantity]],0)</f>
        <v>0</v>
      </c>
      <c r="M282" s="16">
        <v>0.35555555555555557</v>
      </c>
    </row>
    <row r="283" spans="1:13">
      <c r="A283" t="s">
        <v>31</v>
      </c>
      <c r="B283" t="s">
        <v>9</v>
      </c>
      <c r="C283">
        <v>1</v>
      </c>
      <c r="D283">
        <v>1042</v>
      </c>
      <c r="E283">
        <v>0</v>
      </c>
      <c r="F283" t="s">
        <v>34</v>
      </c>
      <c r="G283">
        <v>1</v>
      </c>
      <c r="H283" t="s">
        <v>17</v>
      </c>
      <c r="I283">
        <v>0</v>
      </c>
      <c r="J283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283" s="43">
        <f>IFERROR(SUMIFS(Tabela10[Fod Worth],Tabela10[Drop],DropAnalityka[[#This Row],[Drop]],Tabela10[Grade],DropAnalityka[[#This Row],[Grade]])*DropAnalityka[[#This Row],[Quality/Quantity]],0)</f>
        <v>0</v>
      </c>
      <c r="L283" s="43">
        <f>IFERROR(SUMIFS(Tabela10[Exp Gain only 2*+],Tabela10[Drop],DropAnalityka[[#This Row],[Drop]],Tabela10[Grade],DropAnalityka[[#This Row],[Grade]])*DropAnalityka[[#This Row],[Quality/Quantity]],0)</f>
        <v>800</v>
      </c>
    </row>
    <row r="284" spans="1:13">
      <c r="A284" t="s">
        <v>36</v>
      </c>
      <c r="B284" t="s">
        <v>9</v>
      </c>
      <c r="C284">
        <v>5</v>
      </c>
      <c r="D284">
        <v>1500</v>
      </c>
      <c r="E284">
        <v>0</v>
      </c>
      <c r="F284" t="s">
        <v>252</v>
      </c>
      <c r="G284">
        <v>4</v>
      </c>
      <c r="H284" t="s">
        <v>270</v>
      </c>
      <c r="I284">
        <v>0</v>
      </c>
      <c r="J2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4" s="43">
        <f>IFERROR(SUMIFS(Tabela10[Fod Worth],Tabela10[Drop],DropAnalityka[[#This Row],[Drop]],Tabela10[Grade],DropAnalityka[[#This Row],[Grade]])*DropAnalityka[[#This Row],[Quality/Quantity]],0)</f>
        <v>0</v>
      </c>
      <c r="L284" s="43">
        <f>IFERROR(SUMIFS(Tabela10[Exp Gain only 2*+],Tabela10[Drop],DropAnalityka[[#This Row],[Drop]],Tabela10[Grade],DropAnalityka[[#This Row],[Grade]])*DropAnalityka[[#This Row],[Quality/Quantity]],0)</f>
        <v>0</v>
      </c>
    </row>
    <row r="285" spans="1:13">
      <c r="A285" t="s">
        <v>139</v>
      </c>
      <c r="B285" t="s">
        <v>9</v>
      </c>
      <c r="C285">
        <v>5</v>
      </c>
      <c r="D285">
        <v>1500</v>
      </c>
      <c r="E285">
        <v>0</v>
      </c>
      <c r="F285" t="s">
        <v>272</v>
      </c>
      <c r="G285">
        <v>3</v>
      </c>
      <c r="H285" t="s">
        <v>270</v>
      </c>
      <c r="I285">
        <v>0</v>
      </c>
      <c r="J2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5" s="43">
        <f>IFERROR(SUMIFS(Tabela10[Fod Worth],Tabela10[Drop],DropAnalityka[[#This Row],[Drop]],Tabela10[Grade],DropAnalityka[[#This Row],[Grade]])*DropAnalityka[[#This Row],[Quality/Quantity]],0)</f>
        <v>0</v>
      </c>
      <c r="L285" s="43">
        <f>IFERROR(SUMIFS(Tabela10[Exp Gain only 2*+],Tabela10[Drop],DropAnalityka[[#This Row],[Drop]],Tabela10[Grade],DropAnalityka[[#This Row],[Grade]])*DropAnalityka[[#This Row],[Quality/Quantity]],0)</f>
        <v>0</v>
      </c>
    </row>
    <row r="286" spans="1:13">
      <c r="A286" t="s">
        <v>139</v>
      </c>
      <c r="B286" t="s">
        <v>9</v>
      </c>
      <c r="C286">
        <v>5</v>
      </c>
      <c r="D286">
        <v>1782</v>
      </c>
      <c r="E286">
        <v>0</v>
      </c>
      <c r="F286" t="s">
        <v>272</v>
      </c>
      <c r="G286">
        <v>2</v>
      </c>
      <c r="H286" t="s">
        <v>270</v>
      </c>
      <c r="I286">
        <v>0</v>
      </c>
      <c r="J2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6" s="43">
        <f>IFERROR(SUMIFS(Tabela10[Fod Worth],Tabela10[Drop],DropAnalityka[[#This Row],[Drop]],Tabela10[Grade],DropAnalityka[[#This Row],[Grade]])*DropAnalityka[[#This Row],[Quality/Quantity]],0)</f>
        <v>0</v>
      </c>
      <c r="L286" s="43">
        <f>IFERROR(SUMIFS(Tabela10[Exp Gain only 2*+],Tabela10[Drop],DropAnalityka[[#This Row],[Drop]],Tabela10[Grade],DropAnalityka[[#This Row],[Grade]])*DropAnalityka[[#This Row],[Quality/Quantity]],0)</f>
        <v>0</v>
      </c>
    </row>
    <row r="287" spans="1:13">
      <c r="A287" t="s">
        <v>139</v>
      </c>
      <c r="B287" t="s">
        <v>9</v>
      </c>
      <c r="C287">
        <v>5</v>
      </c>
      <c r="D287">
        <v>1666</v>
      </c>
      <c r="E287">
        <v>1</v>
      </c>
      <c r="F287" t="s">
        <v>272</v>
      </c>
      <c r="G287">
        <v>1</v>
      </c>
      <c r="H287" t="s">
        <v>292</v>
      </c>
      <c r="I287">
        <v>0</v>
      </c>
      <c r="J2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7" s="43">
        <f>IFERROR(SUMIFS(Tabela10[Fod Worth],Tabela10[Drop],DropAnalityka[[#This Row],[Drop]],Tabela10[Grade],DropAnalityka[[#This Row],[Grade]])*DropAnalityka[[#This Row],[Quality/Quantity]],0)</f>
        <v>0</v>
      </c>
      <c r="L287" s="43">
        <f>IFERROR(SUMIFS(Tabela10[Exp Gain only 2*+],Tabela10[Drop],DropAnalityka[[#This Row],[Drop]],Tabela10[Grade],DropAnalityka[[#This Row],[Grade]])*DropAnalityka[[#This Row],[Quality/Quantity]],0)</f>
        <v>0</v>
      </c>
    </row>
    <row r="288" spans="1:13">
      <c r="A288" t="s">
        <v>139</v>
      </c>
      <c r="B288" t="s">
        <v>9</v>
      </c>
      <c r="C288">
        <v>5</v>
      </c>
      <c r="D288">
        <v>1556</v>
      </c>
      <c r="E288">
        <v>0</v>
      </c>
      <c r="F288" t="s">
        <v>272</v>
      </c>
      <c r="G288">
        <v>2</v>
      </c>
      <c r="H288" t="s">
        <v>270</v>
      </c>
      <c r="I288">
        <v>0</v>
      </c>
      <c r="J2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8" s="43">
        <f>IFERROR(SUMIFS(Tabela10[Fod Worth],Tabela10[Drop],DropAnalityka[[#This Row],[Drop]],Tabela10[Grade],DropAnalityka[[#This Row],[Grade]])*DropAnalityka[[#This Row],[Quality/Quantity]],0)</f>
        <v>0</v>
      </c>
      <c r="L288" s="43">
        <f>IFERROR(SUMIFS(Tabela10[Exp Gain only 2*+],Tabela10[Drop],DropAnalityka[[#This Row],[Drop]],Tabela10[Grade],DropAnalityka[[#This Row],[Grade]])*DropAnalityka[[#This Row],[Quality/Quantity]],0)</f>
        <v>0</v>
      </c>
    </row>
    <row r="289" spans="1:12">
      <c r="A289" t="s">
        <v>139</v>
      </c>
      <c r="B289" t="s">
        <v>9</v>
      </c>
      <c r="C289">
        <v>5</v>
      </c>
      <c r="D289">
        <v>2860</v>
      </c>
      <c r="E289">
        <v>0</v>
      </c>
      <c r="F289" t="s">
        <v>272</v>
      </c>
      <c r="G289">
        <v>1</v>
      </c>
      <c r="H289" t="s">
        <v>292</v>
      </c>
      <c r="I289">
        <v>0</v>
      </c>
      <c r="J2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89" s="43">
        <f>IFERROR(SUMIFS(Tabela10[Fod Worth],Tabela10[Drop],DropAnalityka[[#This Row],[Drop]],Tabela10[Grade],DropAnalityka[[#This Row],[Grade]])*DropAnalityka[[#This Row],[Quality/Quantity]],0)</f>
        <v>0</v>
      </c>
      <c r="L289" s="43">
        <f>IFERROR(SUMIFS(Tabela10[Exp Gain only 2*+],Tabela10[Drop],DropAnalityka[[#This Row],[Drop]],Tabela10[Grade],DropAnalityka[[#This Row],[Grade]])*DropAnalityka[[#This Row],[Quality/Quantity]],0)</f>
        <v>0</v>
      </c>
    </row>
    <row r="290" spans="1:12">
      <c r="A290" t="s">
        <v>139</v>
      </c>
      <c r="B290" t="s">
        <v>9</v>
      </c>
      <c r="C290">
        <v>5</v>
      </c>
      <c r="D290">
        <v>2986</v>
      </c>
      <c r="E290">
        <v>0</v>
      </c>
      <c r="F290" t="s">
        <v>272</v>
      </c>
      <c r="G290">
        <v>2</v>
      </c>
      <c r="H290" t="s">
        <v>270</v>
      </c>
      <c r="I290">
        <v>0</v>
      </c>
      <c r="J2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0" s="43">
        <f>IFERROR(SUMIFS(Tabela10[Fod Worth],Tabela10[Drop],DropAnalityka[[#This Row],[Drop]],Tabela10[Grade],DropAnalityka[[#This Row],[Grade]])*DropAnalityka[[#This Row],[Quality/Quantity]],0)</f>
        <v>0</v>
      </c>
      <c r="L290" s="43">
        <f>IFERROR(SUMIFS(Tabela10[Exp Gain only 2*+],Tabela10[Drop],DropAnalityka[[#This Row],[Drop]],Tabela10[Grade],DropAnalityka[[#This Row],[Grade]])*DropAnalityka[[#This Row],[Quality/Quantity]],0)</f>
        <v>0</v>
      </c>
    </row>
    <row r="291" spans="1:12">
      <c r="A291" t="s">
        <v>139</v>
      </c>
      <c r="B291" t="s">
        <v>9</v>
      </c>
      <c r="C291">
        <v>5</v>
      </c>
      <c r="D291">
        <v>3172</v>
      </c>
      <c r="E291">
        <v>1</v>
      </c>
      <c r="F291" t="s">
        <v>140</v>
      </c>
      <c r="G291">
        <v>1</v>
      </c>
      <c r="H291" t="s">
        <v>12</v>
      </c>
      <c r="I291">
        <v>0</v>
      </c>
      <c r="J2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1" s="43">
        <f>IFERROR(SUMIFS(Tabela10[Fod Worth],Tabela10[Drop],DropAnalityka[[#This Row],[Drop]],Tabela10[Grade],DropAnalityka[[#This Row],[Grade]])*DropAnalityka[[#This Row],[Quality/Quantity]],0)</f>
        <v>0</v>
      </c>
      <c r="L291" s="43">
        <f>IFERROR(SUMIFS(Tabela10[Exp Gain only 2*+],Tabela10[Drop],DropAnalityka[[#This Row],[Drop]],Tabela10[Grade],DropAnalityka[[#This Row],[Grade]])*DropAnalityka[[#This Row],[Quality/Quantity]],0)</f>
        <v>0</v>
      </c>
    </row>
    <row r="292" spans="1:12">
      <c r="A292" t="s">
        <v>139</v>
      </c>
      <c r="B292" t="s">
        <v>9</v>
      </c>
      <c r="C292">
        <v>5</v>
      </c>
      <c r="D292">
        <v>1420</v>
      </c>
      <c r="E292">
        <v>0</v>
      </c>
      <c r="F292" t="s">
        <v>272</v>
      </c>
      <c r="G292">
        <v>2</v>
      </c>
      <c r="H292" t="s">
        <v>292</v>
      </c>
      <c r="I292">
        <v>0</v>
      </c>
      <c r="J2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2" s="43">
        <f>IFERROR(SUMIFS(Tabela10[Fod Worth],Tabela10[Drop],DropAnalityka[[#This Row],[Drop]],Tabela10[Grade],DropAnalityka[[#This Row],[Grade]])*DropAnalityka[[#This Row],[Quality/Quantity]],0)</f>
        <v>0</v>
      </c>
      <c r="L292" s="43">
        <f>IFERROR(SUMIFS(Tabela10[Exp Gain only 2*+],Tabela10[Drop],DropAnalityka[[#This Row],[Drop]],Tabela10[Grade],DropAnalityka[[#This Row],[Grade]])*DropAnalityka[[#This Row],[Quality/Quantity]],0)</f>
        <v>0</v>
      </c>
    </row>
    <row r="293" spans="1:12">
      <c r="A293" t="s">
        <v>139</v>
      </c>
      <c r="B293" t="s">
        <v>9</v>
      </c>
      <c r="C293">
        <v>5</v>
      </c>
      <c r="D293">
        <v>1352</v>
      </c>
      <c r="E293">
        <v>0</v>
      </c>
      <c r="F293" t="s">
        <v>272</v>
      </c>
      <c r="G293">
        <v>1</v>
      </c>
      <c r="H293" t="s">
        <v>292</v>
      </c>
      <c r="I293">
        <v>0</v>
      </c>
      <c r="J2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3" s="43">
        <f>IFERROR(SUMIFS(Tabela10[Fod Worth],Tabela10[Drop],DropAnalityka[[#This Row],[Drop]],Tabela10[Grade],DropAnalityka[[#This Row],[Grade]])*DropAnalityka[[#This Row],[Quality/Quantity]],0)</f>
        <v>0</v>
      </c>
      <c r="L293" s="43">
        <f>IFERROR(SUMIFS(Tabela10[Exp Gain only 2*+],Tabela10[Drop],DropAnalityka[[#This Row],[Drop]],Tabela10[Grade],DropAnalityka[[#This Row],[Grade]])*DropAnalityka[[#This Row],[Quality/Quantity]],0)</f>
        <v>0</v>
      </c>
    </row>
    <row r="294" spans="1:12">
      <c r="A294" t="s">
        <v>139</v>
      </c>
      <c r="B294" t="s">
        <v>9</v>
      </c>
      <c r="C294">
        <v>5</v>
      </c>
      <c r="D294">
        <v>1362</v>
      </c>
      <c r="E294">
        <v>0</v>
      </c>
      <c r="F294" t="s">
        <v>34</v>
      </c>
      <c r="G294">
        <v>4</v>
      </c>
      <c r="H294" t="s">
        <v>17</v>
      </c>
      <c r="I294">
        <v>0</v>
      </c>
      <c r="J29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294" s="43">
        <f>IFERROR(SUMIFS(Tabela10[Fod Worth],Tabela10[Drop],DropAnalityka[[#This Row],[Drop]],Tabela10[Grade],DropAnalityka[[#This Row],[Grade]])*DropAnalityka[[#This Row],[Quality/Quantity]],0)</f>
        <v>0</v>
      </c>
      <c r="L294" s="43">
        <f>IFERROR(SUMIFS(Tabela10[Exp Gain only 2*+],Tabela10[Drop],DropAnalityka[[#This Row],[Drop]],Tabela10[Grade],DropAnalityka[[#This Row],[Grade]])*DropAnalityka[[#This Row],[Quality/Quantity]],0)</f>
        <v>3200</v>
      </c>
    </row>
    <row r="295" spans="1:12">
      <c r="A295" t="s">
        <v>139</v>
      </c>
      <c r="B295" t="s">
        <v>9</v>
      </c>
      <c r="C295">
        <v>5</v>
      </c>
      <c r="D295">
        <v>1428</v>
      </c>
      <c r="E295">
        <v>1</v>
      </c>
      <c r="F295" t="s">
        <v>205</v>
      </c>
      <c r="G295">
        <v>3</v>
      </c>
      <c r="H295" t="s">
        <v>26</v>
      </c>
      <c r="I295">
        <v>0</v>
      </c>
      <c r="J2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5" s="43">
        <f>IFERROR(SUMIFS(Tabela10[Fod Worth],Tabela10[Drop],DropAnalityka[[#This Row],[Drop]],Tabela10[Grade],DropAnalityka[[#This Row],[Grade]])*DropAnalityka[[#This Row],[Quality/Quantity]],0)</f>
        <v>2587.5</v>
      </c>
      <c r="L295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296" spans="1:12">
      <c r="A296" t="s">
        <v>139</v>
      </c>
      <c r="B296" t="s">
        <v>9</v>
      </c>
      <c r="C296">
        <v>5</v>
      </c>
      <c r="D296">
        <v>1500</v>
      </c>
      <c r="E296">
        <v>4</v>
      </c>
      <c r="F296" t="s">
        <v>34</v>
      </c>
      <c r="G296">
        <v>2</v>
      </c>
      <c r="H296" t="s">
        <v>17</v>
      </c>
      <c r="I296">
        <v>0</v>
      </c>
      <c r="J296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296" s="43">
        <f>IFERROR(SUMIFS(Tabela10[Fod Worth],Tabela10[Drop],DropAnalityka[[#This Row],[Drop]],Tabela10[Grade],DropAnalityka[[#This Row],[Grade]])*DropAnalityka[[#This Row],[Quality/Quantity]],0)</f>
        <v>0</v>
      </c>
      <c r="L296" s="43">
        <f>IFERROR(SUMIFS(Tabela10[Exp Gain only 2*+],Tabela10[Drop],DropAnalityka[[#This Row],[Drop]],Tabela10[Grade],DropAnalityka[[#This Row],[Grade]])*DropAnalityka[[#This Row],[Quality/Quantity]],0)</f>
        <v>1600</v>
      </c>
    </row>
    <row r="297" spans="1:12">
      <c r="A297" t="s">
        <v>139</v>
      </c>
      <c r="B297" t="s">
        <v>9</v>
      </c>
      <c r="C297">
        <v>5</v>
      </c>
      <c r="D297">
        <v>1559</v>
      </c>
      <c r="E297">
        <v>0</v>
      </c>
      <c r="F297" t="s">
        <v>272</v>
      </c>
      <c r="G297">
        <v>1</v>
      </c>
      <c r="H297" t="s">
        <v>292</v>
      </c>
      <c r="I297">
        <v>0</v>
      </c>
      <c r="J2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7" s="43">
        <f>IFERROR(SUMIFS(Tabela10[Fod Worth],Tabela10[Drop],DropAnalityka[[#This Row],[Drop]],Tabela10[Grade],DropAnalityka[[#This Row],[Grade]])*DropAnalityka[[#This Row],[Quality/Quantity]],0)</f>
        <v>0</v>
      </c>
      <c r="L297" s="43">
        <f>IFERROR(SUMIFS(Tabela10[Exp Gain only 2*+],Tabela10[Drop],DropAnalityka[[#This Row],[Drop]],Tabela10[Grade],DropAnalityka[[#This Row],[Grade]])*DropAnalityka[[#This Row],[Quality/Quantity]],0)</f>
        <v>0</v>
      </c>
    </row>
    <row r="298" spans="1:12">
      <c r="A298" t="s">
        <v>139</v>
      </c>
      <c r="B298" t="s">
        <v>9</v>
      </c>
      <c r="C298">
        <v>5</v>
      </c>
      <c r="D298">
        <v>1600</v>
      </c>
      <c r="E298">
        <v>0</v>
      </c>
      <c r="F298" t="s">
        <v>272</v>
      </c>
      <c r="G298">
        <v>3</v>
      </c>
      <c r="H298" t="s">
        <v>292</v>
      </c>
      <c r="I298">
        <v>0</v>
      </c>
      <c r="J2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298" s="43">
        <f>IFERROR(SUMIFS(Tabela10[Fod Worth],Tabela10[Drop],DropAnalityka[[#This Row],[Drop]],Tabela10[Grade],DropAnalityka[[#This Row],[Grade]])*DropAnalityka[[#This Row],[Quality/Quantity]],0)</f>
        <v>0</v>
      </c>
      <c r="L298" s="43">
        <f>IFERROR(SUMIFS(Tabela10[Exp Gain only 2*+],Tabela10[Drop],DropAnalityka[[#This Row],[Drop]],Tabela10[Grade],DropAnalityka[[#This Row],[Grade]])*DropAnalityka[[#This Row],[Quality/Quantity]],0)</f>
        <v>0</v>
      </c>
    </row>
    <row r="299" spans="1:12">
      <c r="A299" t="s">
        <v>139</v>
      </c>
      <c r="B299" t="s">
        <v>9</v>
      </c>
      <c r="C299">
        <v>5</v>
      </c>
      <c r="D299">
        <v>1480</v>
      </c>
      <c r="E299">
        <v>1</v>
      </c>
      <c r="F299" t="s">
        <v>34</v>
      </c>
      <c r="G299">
        <v>2</v>
      </c>
      <c r="H299" t="s">
        <v>17</v>
      </c>
      <c r="I299">
        <v>0</v>
      </c>
      <c r="J299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299" s="43">
        <f>IFERROR(SUMIFS(Tabela10[Fod Worth],Tabela10[Drop],DropAnalityka[[#This Row],[Drop]],Tabela10[Grade],DropAnalityka[[#This Row],[Grade]])*DropAnalityka[[#This Row],[Quality/Quantity]],0)</f>
        <v>0</v>
      </c>
      <c r="L299" s="43">
        <f>IFERROR(SUMIFS(Tabela10[Exp Gain only 2*+],Tabela10[Drop],DropAnalityka[[#This Row],[Drop]],Tabela10[Grade],DropAnalityka[[#This Row],[Grade]])*DropAnalityka[[#This Row],[Quality/Quantity]],0)</f>
        <v>1600</v>
      </c>
    </row>
    <row r="300" spans="1:12">
      <c r="A300" t="s">
        <v>139</v>
      </c>
      <c r="B300" t="s">
        <v>9</v>
      </c>
      <c r="C300">
        <v>5</v>
      </c>
      <c r="D300">
        <v>1389</v>
      </c>
      <c r="E300">
        <v>0</v>
      </c>
      <c r="F300" t="s">
        <v>272</v>
      </c>
      <c r="G300">
        <v>4</v>
      </c>
      <c r="H300" t="s">
        <v>270</v>
      </c>
      <c r="I300">
        <v>0</v>
      </c>
      <c r="J3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00" s="43">
        <f>IFERROR(SUMIFS(Tabela10[Fod Worth],Tabela10[Drop],DropAnalityka[[#This Row],[Drop]],Tabela10[Grade],DropAnalityka[[#This Row],[Grade]])*DropAnalityka[[#This Row],[Quality/Quantity]],0)</f>
        <v>0</v>
      </c>
      <c r="L300" s="43">
        <f>IFERROR(SUMIFS(Tabela10[Exp Gain only 2*+],Tabela10[Drop],DropAnalityka[[#This Row],[Drop]],Tabela10[Grade],DropAnalityka[[#This Row],[Grade]])*DropAnalityka[[#This Row],[Quality/Quantity]],0)</f>
        <v>0</v>
      </c>
    </row>
    <row r="301" spans="1:12">
      <c r="A301" t="s">
        <v>31</v>
      </c>
      <c r="B301" t="s">
        <v>30</v>
      </c>
      <c r="C301">
        <v>1</v>
      </c>
      <c r="D301">
        <v>1617</v>
      </c>
      <c r="E301">
        <v>1</v>
      </c>
      <c r="I301">
        <v>1824</v>
      </c>
      <c r="J30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01" s="43">
        <f>IFERROR(SUMIFS(Tabela10[Fod Worth],Tabela10[Drop],DropAnalityka[[#This Row],[Drop]],Tabela10[Grade],DropAnalityka[[#This Row],[Grade]])*DropAnalityka[[#This Row],[Quality/Quantity]],0)</f>
        <v>0</v>
      </c>
      <c r="L301" s="43">
        <f>IFERROR(SUMIFS(Tabela10[Exp Gain only 2*+],Tabela10[Drop],DropAnalityka[[#This Row],[Drop]],Tabela10[Grade],DropAnalityka[[#This Row],[Grade]])*DropAnalityka[[#This Row],[Quality/Quantity]],0)</f>
        <v>0</v>
      </c>
    </row>
    <row r="302" spans="1:12">
      <c r="A302" t="s">
        <v>31</v>
      </c>
      <c r="B302" t="s">
        <v>30</v>
      </c>
      <c r="C302">
        <v>1</v>
      </c>
      <c r="D302">
        <v>1347</v>
      </c>
      <c r="E302">
        <v>1</v>
      </c>
      <c r="F302" t="s">
        <v>57</v>
      </c>
      <c r="G302">
        <v>1</v>
      </c>
      <c r="H302" t="s">
        <v>12</v>
      </c>
      <c r="I302">
        <v>0</v>
      </c>
      <c r="J3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02" s="43">
        <f>IFERROR(SUMIFS(Tabela10[Fod Worth],Tabela10[Drop],DropAnalityka[[#This Row],[Drop]],Tabela10[Grade],DropAnalityka[[#This Row],[Grade]])*DropAnalityka[[#This Row],[Quality/Quantity]],0)</f>
        <v>11500</v>
      </c>
      <c r="L302" s="43">
        <f>IFERROR(SUMIFS(Tabela10[Exp Gain only 2*+],Tabela10[Drop],DropAnalityka[[#This Row],[Drop]],Tabela10[Grade],DropAnalityka[[#This Row],[Grade]])*DropAnalityka[[#This Row],[Quality/Quantity]],0)</f>
        <v>0</v>
      </c>
    </row>
    <row r="303" spans="1:12">
      <c r="A303" t="s">
        <v>31</v>
      </c>
      <c r="B303" t="s">
        <v>30</v>
      </c>
      <c r="C303">
        <v>1</v>
      </c>
      <c r="D303">
        <v>2050</v>
      </c>
      <c r="E303">
        <v>0</v>
      </c>
      <c r="I303">
        <v>3182</v>
      </c>
      <c r="J303">
        <f>DropAnalityka[[#This Row],[Sell Drop]]+IFERROR(SUMIFS(Tabela10[Drop Worth],Tabela10[Drop],DropAnalityka[[#This Row],[Drop]],Tabela10[Grade],DropAnalityka[[#This Row],[Grade]])*DropAnalityka[[#This Row],[Quality/Quantity]],0)</f>
        <v>3182</v>
      </c>
      <c r="K303" s="43">
        <f>IFERROR(SUMIFS(Tabela10[Fod Worth],Tabela10[Drop],DropAnalityka[[#This Row],[Drop]],Tabela10[Grade],DropAnalityka[[#This Row],[Grade]])*DropAnalityka[[#This Row],[Quality/Quantity]],0)</f>
        <v>0</v>
      </c>
      <c r="L303" s="43">
        <f>IFERROR(SUMIFS(Tabela10[Exp Gain only 2*+],Tabela10[Drop],DropAnalityka[[#This Row],[Drop]],Tabela10[Grade],DropAnalityka[[#This Row],[Grade]])*DropAnalityka[[#This Row],[Quality/Quantity]],0)</f>
        <v>0</v>
      </c>
    </row>
    <row r="304" spans="1:12">
      <c r="A304" t="s">
        <v>31</v>
      </c>
      <c r="B304" t="s">
        <v>30</v>
      </c>
      <c r="C304">
        <v>1</v>
      </c>
      <c r="D304">
        <v>999</v>
      </c>
      <c r="E304">
        <v>2</v>
      </c>
      <c r="I304">
        <v>2937</v>
      </c>
      <c r="J304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04" s="43">
        <f>IFERROR(SUMIFS(Tabela10[Fod Worth],Tabela10[Drop],DropAnalityka[[#This Row],[Drop]],Tabela10[Grade],DropAnalityka[[#This Row],[Grade]])*DropAnalityka[[#This Row],[Quality/Quantity]],0)</f>
        <v>0</v>
      </c>
      <c r="L304" s="43">
        <f>IFERROR(SUMIFS(Tabela10[Exp Gain only 2*+],Tabela10[Drop],DropAnalityka[[#This Row],[Drop]],Tabela10[Grade],DropAnalityka[[#This Row],[Grade]])*DropAnalityka[[#This Row],[Quality/Quantity]],0)</f>
        <v>0</v>
      </c>
    </row>
    <row r="305" spans="1:12">
      <c r="A305" t="s">
        <v>31</v>
      </c>
      <c r="B305" t="s">
        <v>30</v>
      </c>
      <c r="C305">
        <v>1</v>
      </c>
      <c r="D305">
        <v>1097</v>
      </c>
      <c r="E305">
        <v>1</v>
      </c>
      <c r="I305">
        <v>2937</v>
      </c>
      <c r="J305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05" s="43">
        <f>IFERROR(SUMIFS(Tabela10[Fod Worth],Tabela10[Drop],DropAnalityka[[#This Row],[Drop]],Tabela10[Grade],DropAnalityka[[#This Row],[Grade]])*DropAnalityka[[#This Row],[Quality/Quantity]],0)</f>
        <v>0</v>
      </c>
      <c r="L305" s="43">
        <f>IFERROR(SUMIFS(Tabela10[Exp Gain only 2*+],Tabela10[Drop],DropAnalityka[[#This Row],[Drop]],Tabela10[Grade],DropAnalityka[[#This Row],[Grade]])*DropAnalityka[[#This Row],[Quality/Quantity]],0)</f>
        <v>0</v>
      </c>
    </row>
    <row r="306" spans="1:12">
      <c r="A306" t="s">
        <v>31</v>
      </c>
      <c r="B306" t="s">
        <v>30</v>
      </c>
      <c r="C306">
        <v>1</v>
      </c>
      <c r="D306">
        <v>1283</v>
      </c>
      <c r="E306">
        <v>1</v>
      </c>
      <c r="I306">
        <v>1824</v>
      </c>
      <c r="J30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06" s="43">
        <f>IFERROR(SUMIFS(Tabela10[Fod Worth],Tabela10[Drop],DropAnalityka[[#This Row],[Drop]],Tabela10[Grade],DropAnalityka[[#This Row],[Grade]])*DropAnalityka[[#This Row],[Quality/Quantity]],0)</f>
        <v>0</v>
      </c>
      <c r="L306" s="43">
        <f>IFERROR(SUMIFS(Tabela10[Exp Gain only 2*+],Tabela10[Drop],DropAnalityka[[#This Row],[Drop]],Tabela10[Grade],DropAnalityka[[#This Row],[Grade]])*DropAnalityka[[#This Row],[Quality/Quantity]],0)</f>
        <v>0</v>
      </c>
    </row>
    <row r="307" spans="1:12">
      <c r="A307" t="s">
        <v>31</v>
      </c>
      <c r="B307" t="s">
        <v>30</v>
      </c>
      <c r="C307">
        <v>1</v>
      </c>
      <c r="D307">
        <v>1407</v>
      </c>
      <c r="E307">
        <v>0</v>
      </c>
      <c r="F307" t="s">
        <v>34</v>
      </c>
      <c r="G307">
        <v>2</v>
      </c>
      <c r="H307" t="s">
        <v>17</v>
      </c>
      <c r="I307">
        <v>0</v>
      </c>
      <c r="J30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07" s="43">
        <f>IFERROR(SUMIFS(Tabela10[Fod Worth],Tabela10[Drop],DropAnalityka[[#This Row],[Drop]],Tabela10[Grade],DropAnalityka[[#This Row],[Grade]])*DropAnalityka[[#This Row],[Quality/Quantity]],0)</f>
        <v>0</v>
      </c>
      <c r="L307" s="43">
        <f>IFERROR(SUMIFS(Tabela10[Exp Gain only 2*+],Tabela10[Drop],DropAnalityka[[#This Row],[Drop]],Tabela10[Grade],DropAnalityka[[#This Row],[Grade]])*DropAnalityka[[#This Row],[Quality/Quantity]],0)</f>
        <v>1600</v>
      </c>
    </row>
    <row r="308" spans="1:12">
      <c r="A308" t="s">
        <v>31</v>
      </c>
      <c r="B308" t="s">
        <v>30</v>
      </c>
      <c r="C308">
        <v>1</v>
      </c>
      <c r="D308">
        <v>1280</v>
      </c>
      <c r="E308">
        <v>0</v>
      </c>
      <c r="I308">
        <v>3182</v>
      </c>
      <c r="J308">
        <f>DropAnalityka[[#This Row],[Sell Drop]]+IFERROR(SUMIFS(Tabela10[Drop Worth],Tabela10[Drop],DropAnalityka[[#This Row],[Drop]],Tabela10[Grade],DropAnalityka[[#This Row],[Grade]])*DropAnalityka[[#This Row],[Quality/Quantity]],0)</f>
        <v>3182</v>
      </c>
      <c r="K308" s="43">
        <f>IFERROR(SUMIFS(Tabela10[Fod Worth],Tabela10[Drop],DropAnalityka[[#This Row],[Drop]],Tabela10[Grade],DropAnalityka[[#This Row],[Grade]])*DropAnalityka[[#This Row],[Quality/Quantity]],0)</f>
        <v>0</v>
      </c>
      <c r="L308" s="43">
        <f>IFERROR(SUMIFS(Tabela10[Exp Gain only 2*+],Tabela10[Drop],DropAnalityka[[#This Row],[Drop]],Tabela10[Grade],DropAnalityka[[#This Row],[Grade]])*DropAnalityka[[#This Row],[Quality/Quantity]],0)</f>
        <v>0</v>
      </c>
    </row>
    <row r="309" spans="1:12">
      <c r="A309" t="s">
        <v>31</v>
      </c>
      <c r="B309" t="s">
        <v>30</v>
      </c>
      <c r="C309">
        <v>1</v>
      </c>
      <c r="D309">
        <v>1506</v>
      </c>
      <c r="E309">
        <v>1</v>
      </c>
      <c r="F309" t="s">
        <v>143</v>
      </c>
      <c r="G309">
        <v>1</v>
      </c>
      <c r="I309">
        <v>0</v>
      </c>
      <c r="J3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09" s="43">
        <f>IFERROR(SUMIFS(Tabela10[Fod Worth],Tabela10[Drop],DropAnalityka[[#This Row],[Drop]],Tabela10[Grade],DropAnalityka[[#This Row],[Grade]])*DropAnalityka[[#This Row],[Quality/Quantity]],0)</f>
        <v>0</v>
      </c>
      <c r="L309" s="43">
        <f>IFERROR(SUMIFS(Tabela10[Exp Gain only 2*+],Tabela10[Drop],DropAnalityka[[#This Row],[Drop]],Tabela10[Grade],DropAnalityka[[#This Row],[Grade]])*DropAnalityka[[#This Row],[Quality/Quantity]],0)</f>
        <v>0</v>
      </c>
    </row>
    <row r="310" spans="1:12">
      <c r="A310" t="s">
        <v>31</v>
      </c>
      <c r="B310" t="s">
        <v>30</v>
      </c>
      <c r="C310">
        <v>1</v>
      </c>
      <c r="D310">
        <v>1513</v>
      </c>
      <c r="E310">
        <v>0</v>
      </c>
      <c r="F310" t="s">
        <v>57</v>
      </c>
      <c r="G310">
        <v>1</v>
      </c>
      <c r="H310" t="s">
        <v>26</v>
      </c>
      <c r="I310">
        <v>0</v>
      </c>
      <c r="J3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10" s="43">
        <f>IFERROR(SUMIFS(Tabela10[Fod Worth],Tabela10[Drop],DropAnalityka[[#This Row],[Drop]],Tabela10[Grade],DropAnalityka[[#This Row],[Grade]])*DropAnalityka[[#This Row],[Quality/Quantity]],0)</f>
        <v>34500</v>
      </c>
      <c r="L310" s="43">
        <f>IFERROR(SUMIFS(Tabela10[Exp Gain only 2*+],Tabela10[Drop],DropAnalityka[[#This Row],[Drop]],Tabela10[Grade],DropAnalityka[[#This Row],[Grade]])*DropAnalityka[[#This Row],[Quality/Quantity]],0)</f>
        <v>35822</v>
      </c>
    </row>
    <row r="311" spans="1:12">
      <c r="A311" t="s">
        <v>31</v>
      </c>
      <c r="B311" t="s">
        <v>30</v>
      </c>
      <c r="C311">
        <v>1</v>
      </c>
      <c r="D311">
        <v>1334</v>
      </c>
      <c r="E311">
        <v>0</v>
      </c>
      <c r="I311">
        <v>1824</v>
      </c>
      <c r="J31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11" s="43">
        <f>IFERROR(SUMIFS(Tabela10[Fod Worth],Tabela10[Drop],DropAnalityka[[#This Row],[Drop]],Tabela10[Grade],DropAnalityka[[#This Row],[Grade]])*DropAnalityka[[#This Row],[Quality/Quantity]],0)</f>
        <v>0</v>
      </c>
      <c r="L311" s="43">
        <f>IFERROR(SUMIFS(Tabela10[Exp Gain only 2*+],Tabela10[Drop],DropAnalityka[[#This Row],[Drop]],Tabela10[Grade],DropAnalityka[[#This Row],[Grade]])*DropAnalityka[[#This Row],[Quality/Quantity]],0)</f>
        <v>0</v>
      </c>
    </row>
    <row r="312" spans="1:12">
      <c r="A312" t="s">
        <v>31</v>
      </c>
      <c r="B312" t="s">
        <v>30</v>
      </c>
      <c r="C312">
        <v>1</v>
      </c>
      <c r="D312">
        <v>1572</v>
      </c>
      <c r="E312">
        <v>0</v>
      </c>
      <c r="F312" t="s">
        <v>58</v>
      </c>
      <c r="G312">
        <v>1</v>
      </c>
      <c r="H312" t="s">
        <v>12</v>
      </c>
      <c r="I312">
        <v>0</v>
      </c>
      <c r="J3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12" s="43">
        <f>IFERROR(SUMIFS(Tabela10[Fod Worth],Tabela10[Drop],DropAnalityka[[#This Row],[Drop]],Tabela10[Grade],DropAnalityka[[#This Row],[Grade]])*DropAnalityka[[#This Row],[Quality/Quantity]],0)</f>
        <v>11500</v>
      </c>
      <c r="L312" s="43">
        <f>IFERROR(SUMIFS(Tabela10[Exp Gain only 2*+],Tabela10[Drop],DropAnalityka[[#This Row],[Drop]],Tabela10[Grade],DropAnalityka[[#This Row],[Grade]])*DropAnalityka[[#This Row],[Quality/Quantity]],0)</f>
        <v>35822</v>
      </c>
    </row>
    <row r="313" spans="1:12">
      <c r="A313" t="s">
        <v>31</v>
      </c>
      <c r="B313" t="s">
        <v>30</v>
      </c>
      <c r="C313">
        <v>1</v>
      </c>
      <c r="D313">
        <v>1645</v>
      </c>
      <c r="E313">
        <v>1</v>
      </c>
      <c r="I313">
        <v>1824</v>
      </c>
      <c r="J31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13" s="43">
        <f>IFERROR(SUMIFS(Tabela10[Fod Worth],Tabela10[Drop],DropAnalityka[[#This Row],[Drop]],Tabela10[Grade],DropAnalityka[[#This Row],[Grade]])*DropAnalityka[[#This Row],[Quality/Quantity]],0)</f>
        <v>0</v>
      </c>
      <c r="L313" s="43">
        <f>IFERROR(SUMIFS(Tabela10[Exp Gain only 2*+],Tabela10[Drop],DropAnalityka[[#This Row],[Drop]],Tabela10[Grade],DropAnalityka[[#This Row],[Grade]])*DropAnalityka[[#This Row],[Quality/Quantity]],0)</f>
        <v>0</v>
      </c>
    </row>
    <row r="314" spans="1:12">
      <c r="A314" t="s">
        <v>31</v>
      </c>
      <c r="B314" t="s">
        <v>30</v>
      </c>
      <c r="C314">
        <v>1</v>
      </c>
      <c r="D314">
        <v>2042</v>
      </c>
      <c r="E314">
        <v>0</v>
      </c>
      <c r="F314" t="s">
        <v>34</v>
      </c>
      <c r="G314">
        <v>2</v>
      </c>
      <c r="H314" t="s">
        <v>17</v>
      </c>
      <c r="I314">
        <v>0</v>
      </c>
      <c r="J31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14" s="43">
        <f>IFERROR(SUMIFS(Tabela10[Fod Worth],Tabela10[Drop],DropAnalityka[[#This Row],[Drop]],Tabela10[Grade],DropAnalityka[[#This Row],[Grade]])*DropAnalityka[[#This Row],[Quality/Quantity]],0)</f>
        <v>0</v>
      </c>
      <c r="L314" s="43">
        <f>IFERROR(SUMIFS(Tabela10[Exp Gain only 2*+],Tabela10[Drop],DropAnalityka[[#This Row],[Drop]],Tabela10[Grade],DropAnalityka[[#This Row],[Grade]])*DropAnalityka[[#This Row],[Quality/Quantity]],0)</f>
        <v>1600</v>
      </c>
    </row>
    <row r="315" spans="1:12">
      <c r="A315" t="s">
        <v>31</v>
      </c>
      <c r="B315" t="s">
        <v>30</v>
      </c>
      <c r="C315">
        <v>1</v>
      </c>
      <c r="D315">
        <v>1221</v>
      </c>
      <c r="E315">
        <v>1</v>
      </c>
      <c r="I315">
        <v>2937</v>
      </c>
      <c r="J315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15" s="43">
        <f>IFERROR(SUMIFS(Tabela10[Fod Worth],Tabela10[Drop],DropAnalityka[[#This Row],[Drop]],Tabela10[Grade],DropAnalityka[[#This Row],[Grade]])*DropAnalityka[[#This Row],[Quality/Quantity]],0)</f>
        <v>0</v>
      </c>
      <c r="L315" s="43">
        <f>IFERROR(SUMIFS(Tabela10[Exp Gain only 2*+],Tabela10[Drop],DropAnalityka[[#This Row],[Drop]],Tabela10[Grade],DropAnalityka[[#This Row],[Grade]])*DropAnalityka[[#This Row],[Quality/Quantity]],0)</f>
        <v>0</v>
      </c>
    </row>
    <row r="316" spans="1:12">
      <c r="A316" t="s">
        <v>31</v>
      </c>
      <c r="B316" t="s">
        <v>30</v>
      </c>
      <c r="C316">
        <v>1</v>
      </c>
      <c r="D316">
        <v>1320</v>
      </c>
      <c r="E316">
        <v>1</v>
      </c>
      <c r="I316">
        <v>1824</v>
      </c>
      <c r="J31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16" s="43">
        <f>IFERROR(SUMIFS(Tabela10[Fod Worth],Tabela10[Drop],DropAnalityka[[#This Row],[Drop]],Tabela10[Grade],DropAnalityka[[#This Row],[Grade]])*DropAnalityka[[#This Row],[Quality/Quantity]],0)</f>
        <v>0</v>
      </c>
      <c r="L316" s="43">
        <f>IFERROR(SUMIFS(Tabela10[Exp Gain only 2*+],Tabela10[Drop],DropAnalityka[[#This Row],[Drop]],Tabela10[Grade],DropAnalityka[[#This Row],[Grade]])*DropAnalityka[[#This Row],[Quality/Quantity]],0)</f>
        <v>0</v>
      </c>
    </row>
    <row r="317" spans="1:12">
      <c r="A317" t="s">
        <v>31</v>
      </c>
      <c r="B317" t="s">
        <v>30</v>
      </c>
      <c r="C317">
        <v>1</v>
      </c>
      <c r="D317">
        <v>1157</v>
      </c>
      <c r="E317">
        <v>1</v>
      </c>
      <c r="I317">
        <v>1824</v>
      </c>
      <c r="J31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17" s="43">
        <f>IFERROR(SUMIFS(Tabela10[Fod Worth],Tabela10[Drop],DropAnalityka[[#This Row],[Drop]],Tabela10[Grade],DropAnalityka[[#This Row],[Grade]])*DropAnalityka[[#This Row],[Quality/Quantity]],0)</f>
        <v>0</v>
      </c>
      <c r="L317" s="43">
        <f>IFERROR(SUMIFS(Tabela10[Exp Gain only 2*+],Tabela10[Drop],DropAnalityka[[#This Row],[Drop]],Tabela10[Grade],DropAnalityka[[#This Row],[Grade]])*DropAnalityka[[#This Row],[Quality/Quantity]],0)</f>
        <v>0</v>
      </c>
    </row>
    <row r="318" spans="1:12">
      <c r="A318" t="s">
        <v>31</v>
      </c>
      <c r="B318" t="s">
        <v>30</v>
      </c>
      <c r="C318">
        <v>1</v>
      </c>
      <c r="D318">
        <v>1815</v>
      </c>
      <c r="E318">
        <v>0</v>
      </c>
      <c r="I318">
        <v>2937</v>
      </c>
      <c r="J318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18" s="43">
        <f>IFERROR(SUMIFS(Tabela10[Fod Worth],Tabela10[Drop],DropAnalityka[[#This Row],[Drop]],Tabela10[Grade],DropAnalityka[[#This Row],[Grade]])*DropAnalityka[[#This Row],[Quality/Quantity]],0)</f>
        <v>0</v>
      </c>
      <c r="L318" s="43">
        <f>IFERROR(SUMIFS(Tabela10[Exp Gain only 2*+],Tabela10[Drop],DropAnalityka[[#This Row],[Drop]],Tabela10[Grade],DropAnalityka[[#This Row],[Grade]])*DropAnalityka[[#This Row],[Quality/Quantity]],0)</f>
        <v>0</v>
      </c>
    </row>
    <row r="319" spans="1:12">
      <c r="A319" t="s">
        <v>31</v>
      </c>
      <c r="B319" t="s">
        <v>30</v>
      </c>
      <c r="C319">
        <v>1</v>
      </c>
      <c r="D319">
        <v>1800</v>
      </c>
      <c r="E319">
        <v>0</v>
      </c>
      <c r="F319" t="s">
        <v>34</v>
      </c>
      <c r="G319">
        <v>2</v>
      </c>
      <c r="H319" t="s">
        <v>17</v>
      </c>
      <c r="I319">
        <v>0</v>
      </c>
      <c r="J319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19" s="43">
        <f>IFERROR(SUMIFS(Tabela10[Fod Worth],Tabela10[Drop],DropAnalityka[[#This Row],[Drop]],Tabela10[Grade],DropAnalityka[[#This Row],[Grade]])*DropAnalityka[[#This Row],[Quality/Quantity]],0)</f>
        <v>0</v>
      </c>
      <c r="L319" s="43">
        <f>IFERROR(SUMIFS(Tabela10[Exp Gain only 2*+],Tabela10[Drop],DropAnalityka[[#This Row],[Drop]],Tabela10[Grade],DropAnalityka[[#This Row],[Grade]])*DropAnalityka[[#This Row],[Quality/Quantity]],0)</f>
        <v>1600</v>
      </c>
    </row>
    <row r="320" spans="1:12">
      <c r="A320" t="s">
        <v>31</v>
      </c>
      <c r="B320" t="s">
        <v>30</v>
      </c>
      <c r="C320">
        <v>1</v>
      </c>
      <c r="D320">
        <v>2178</v>
      </c>
      <c r="E320">
        <v>4</v>
      </c>
      <c r="I320">
        <v>2128</v>
      </c>
      <c r="J320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320" s="43">
        <f>IFERROR(SUMIFS(Tabela10[Fod Worth],Tabela10[Drop],DropAnalityka[[#This Row],[Drop]],Tabela10[Grade],DropAnalityka[[#This Row],[Grade]])*DropAnalityka[[#This Row],[Quality/Quantity]],0)</f>
        <v>0</v>
      </c>
      <c r="L320" s="43">
        <f>IFERROR(SUMIFS(Tabela10[Exp Gain only 2*+],Tabela10[Drop],DropAnalityka[[#This Row],[Drop]],Tabela10[Grade],DropAnalityka[[#This Row],[Grade]])*DropAnalityka[[#This Row],[Quality/Quantity]],0)</f>
        <v>0</v>
      </c>
    </row>
    <row r="321" spans="1:12">
      <c r="A321" t="s">
        <v>31</v>
      </c>
      <c r="B321" t="s">
        <v>30</v>
      </c>
      <c r="C321">
        <v>1</v>
      </c>
      <c r="D321">
        <v>1708</v>
      </c>
      <c r="E321">
        <v>1</v>
      </c>
      <c r="I321">
        <v>1824</v>
      </c>
      <c r="J32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21" s="43">
        <f>IFERROR(SUMIFS(Tabela10[Fod Worth],Tabela10[Drop],DropAnalityka[[#This Row],[Drop]],Tabela10[Grade],DropAnalityka[[#This Row],[Grade]])*DropAnalityka[[#This Row],[Quality/Quantity]],0)</f>
        <v>0</v>
      </c>
      <c r="L321" s="43">
        <f>IFERROR(SUMIFS(Tabela10[Exp Gain only 2*+],Tabela10[Drop],DropAnalityka[[#This Row],[Drop]],Tabela10[Grade],DropAnalityka[[#This Row],[Grade]])*DropAnalityka[[#This Row],[Quality/Quantity]],0)</f>
        <v>0</v>
      </c>
    </row>
    <row r="322" spans="1:12">
      <c r="A322" t="s">
        <v>31</v>
      </c>
      <c r="B322" t="s">
        <v>30</v>
      </c>
      <c r="C322">
        <v>1</v>
      </c>
      <c r="D322">
        <v>1277</v>
      </c>
      <c r="E322">
        <v>2</v>
      </c>
      <c r="I322">
        <v>1824</v>
      </c>
      <c r="J32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22" s="43">
        <f>IFERROR(SUMIFS(Tabela10[Fod Worth],Tabela10[Drop],DropAnalityka[[#This Row],[Drop]],Tabela10[Grade],DropAnalityka[[#This Row],[Grade]])*DropAnalityka[[#This Row],[Quality/Quantity]],0)</f>
        <v>0</v>
      </c>
      <c r="L322" s="43">
        <f>IFERROR(SUMIFS(Tabela10[Exp Gain only 2*+],Tabela10[Drop],DropAnalityka[[#This Row],[Drop]],Tabela10[Grade],DropAnalityka[[#This Row],[Grade]])*DropAnalityka[[#This Row],[Quality/Quantity]],0)</f>
        <v>0</v>
      </c>
    </row>
    <row r="323" spans="1:12">
      <c r="A323" t="s">
        <v>31</v>
      </c>
      <c r="B323" t="s">
        <v>30</v>
      </c>
      <c r="C323">
        <v>1</v>
      </c>
      <c r="D323">
        <v>2156</v>
      </c>
      <c r="E323">
        <v>1</v>
      </c>
      <c r="I323">
        <v>2937</v>
      </c>
      <c r="J323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23" s="43">
        <f>IFERROR(SUMIFS(Tabela10[Fod Worth],Tabela10[Drop],DropAnalityka[[#This Row],[Drop]],Tabela10[Grade],DropAnalityka[[#This Row],[Grade]])*DropAnalityka[[#This Row],[Quality/Quantity]],0)</f>
        <v>0</v>
      </c>
      <c r="L323" s="43">
        <f>IFERROR(SUMIFS(Tabela10[Exp Gain only 2*+],Tabela10[Drop],DropAnalityka[[#This Row],[Drop]],Tabela10[Grade],DropAnalityka[[#This Row],[Grade]])*DropAnalityka[[#This Row],[Quality/Quantity]],0)</f>
        <v>0</v>
      </c>
    </row>
    <row r="324" spans="1:12">
      <c r="A324" t="s">
        <v>31</v>
      </c>
      <c r="B324" t="s">
        <v>30</v>
      </c>
      <c r="C324">
        <v>1</v>
      </c>
      <c r="D324">
        <v>1698</v>
      </c>
      <c r="E324">
        <v>0</v>
      </c>
      <c r="F324" t="s">
        <v>34</v>
      </c>
      <c r="G324">
        <v>2</v>
      </c>
      <c r="H324" t="s">
        <v>17</v>
      </c>
      <c r="I324">
        <v>0</v>
      </c>
      <c r="J32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24" s="43">
        <f>IFERROR(SUMIFS(Tabela10[Fod Worth],Tabela10[Drop],DropAnalityka[[#This Row],[Drop]],Tabela10[Grade],DropAnalityka[[#This Row],[Grade]])*DropAnalityka[[#This Row],[Quality/Quantity]],0)</f>
        <v>0</v>
      </c>
      <c r="L324" s="43">
        <f>IFERROR(SUMIFS(Tabela10[Exp Gain only 2*+],Tabela10[Drop],DropAnalityka[[#This Row],[Drop]],Tabela10[Grade],DropAnalityka[[#This Row],[Grade]])*DropAnalityka[[#This Row],[Quality/Quantity]],0)</f>
        <v>1600</v>
      </c>
    </row>
    <row r="325" spans="1:12">
      <c r="A325" t="s">
        <v>31</v>
      </c>
      <c r="B325" t="s">
        <v>30</v>
      </c>
      <c r="C325">
        <v>1</v>
      </c>
      <c r="D325">
        <v>783</v>
      </c>
      <c r="E325">
        <v>0</v>
      </c>
      <c r="I325">
        <v>1834</v>
      </c>
      <c r="J325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25" s="43">
        <f>IFERROR(SUMIFS(Tabela10[Fod Worth],Tabela10[Drop],DropAnalityka[[#This Row],[Drop]],Tabela10[Grade],DropAnalityka[[#This Row],[Grade]])*DropAnalityka[[#This Row],[Quality/Quantity]],0)</f>
        <v>0</v>
      </c>
      <c r="L325" s="43">
        <f>IFERROR(SUMIFS(Tabela10[Exp Gain only 2*+],Tabela10[Drop],DropAnalityka[[#This Row],[Drop]],Tabela10[Grade],DropAnalityka[[#This Row],[Grade]])*DropAnalityka[[#This Row],[Quality/Quantity]],0)</f>
        <v>0</v>
      </c>
    </row>
    <row r="326" spans="1:12">
      <c r="A326" t="s">
        <v>31</v>
      </c>
      <c r="B326" t="s">
        <v>30</v>
      </c>
      <c r="C326">
        <v>1</v>
      </c>
      <c r="D326">
        <v>1255</v>
      </c>
      <c r="E326">
        <v>0</v>
      </c>
      <c r="I326">
        <v>1834</v>
      </c>
      <c r="J326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26" s="43">
        <f>IFERROR(SUMIFS(Tabela10[Fod Worth],Tabela10[Drop],DropAnalityka[[#This Row],[Drop]],Tabela10[Grade],DropAnalityka[[#This Row],[Grade]])*DropAnalityka[[#This Row],[Quality/Quantity]],0)</f>
        <v>0</v>
      </c>
      <c r="L326" s="43">
        <f>IFERROR(SUMIFS(Tabela10[Exp Gain only 2*+],Tabela10[Drop],DropAnalityka[[#This Row],[Drop]],Tabela10[Grade],DropAnalityka[[#This Row],[Grade]])*DropAnalityka[[#This Row],[Quality/Quantity]],0)</f>
        <v>0</v>
      </c>
    </row>
    <row r="327" spans="1:12">
      <c r="A327" t="s">
        <v>31</v>
      </c>
      <c r="B327" t="s">
        <v>30</v>
      </c>
      <c r="C327">
        <v>1</v>
      </c>
      <c r="D327">
        <v>1504</v>
      </c>
      <c r="E327">
        <v>1</v>
      </c>
      <c r="I327">
        <v>2937</v>
      </c>
      <c r="J327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27" s="43">
        <f>IFERROR(SUMIFS(Tabela10[Fod Worth],Tabela10[Drop],DropAnalityka[[#This Row],[Drop]],Tabela10[Grade],DropAnalityka[[#This Row],[Grade]])*DropAnalityka[[#This Row],[Quality/Quantity]],0)</f>
        <v>0</v>
      </c>
      <c r="L327" s="43">
        <f>IFERROR(SUMIFS(Tabela10[Exp Gain only 2*+],Tabela10[Drop],DropAnalityka[[#This Row],[Drop]],Tabela10[Grade],DropAnalityka[[#This Row],[Grade]])*DropAnalityka[[#This Row],[Quality/Quantity]],0)</f>
        <v>0</v>
      </c>
    </row>
    <row r="328" spans="1:12">
      <c r="A328" t="s">
        <v>31</v>
      </c>
      <c r="B328" t="s">
        <v>30</v>
      </c>
      <c r="C328">
        <v>1</v>
      </c>
      <c r="D328">
        <v>1439</v>
      </c>
      <c r="E328">
        <v>0</v>
      </c>
      <c r="I328">
        <v>1834</v>
      </c>
      <c r="J328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28" s="43">
        <f>IFERROR(SUMIFS(Tabela10[Fod Worth],Tabela10[Drop],DropAnalityka[[#This Row],[Drop]],Tabela10[Grade],DropAnalityka[[#This Row],[Grade]])*DropAnalityka[[#This Row],[Quality/Quantity]],0)</f>
        <v>0</v>
      </c>
      <c r="L328" s="43">
        <f>IFERROR(SUMIFS(Tabela10[Exp Gain only 2*+],Tabela10[Drop],DropAnalityka[[#This Row],[Drop]],Tabela10[Grade],DropAnalityka[[#This Row],[Grade]])*DropAnalityka[[#This Row],[Quality/Quantity]],0)</f>
        <v>0</v>
      </c>
    </row>
    <row r="329" spans="1:12">
      <c r="A329" t="s">
        <v>31</v>
      </c>
      <c r="B329" t="s">
        <v>30</v>
      </c>
      <c r="C329">
        <v>1</v>
      </c>
      <c r="D329">
        <v>1508</v>
      </c>
      <c r="E329">
        <v>1</v>
      </c>
      <c r="F329" t="s">
        <v>57</v>
      </c>
      <c r="G329">
        <v>1</v>
      </c>
      <c r="H329" t="s">
        <v>12</v>
      </c>
      <c r="I329">
        <v>0</v>
      </c>
      <c r="J3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29" s="43">
        <f>IFERROR(SUMIFS(Tabela10[Fod Worth],Tabela10[Drop],DropAnalityka[[#This Row],[Drop]],Tabela10[Grade],DropAnalityka[[#This Row],[Grade]])*DropAnalityka[[#This Row],[Quality/Quantity]],0)</f>
        <v>11500</v>
      </c>
      <c r="L329" s="43">
        <f>IFERROR(SUMIFS(Tabela10[Exp Gain only 2*+],Tabela10[Drop],DropAnalityka[[#This Row],[Drop]],Tabela10[Grade],DropAnalityka[[#This Row],[Grade]])*DropAnalityka[[#This Row],[Quality/Quantity]],0)</f>
        <v>0</v>
      </c>
    </row>
    <row r="330" spans="1:12">
      <c r="A330" t="s">
        <v>31</v>
      </c>
      <c r="B330" t="s">
        <v>30</v>
      </c>
      <c r="C330">
        <v>1</v>
      </c>
      <c r="D330">
        <v>2502</v>
      </c>
      <c r="E330">
        <v>2</v>
      </c>
      <c r="F330" t="s">
        <v>57</v>
      </c>
      <c r="G330">
        <v>1</v>
      </c>
      <c r="H330" t="s">
        <v>12</v>
      </c>
      <c r="I330">
        <v>0</v>
      </c>
      <c r="J3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30" s="43">
        <f>IFERROR(SUMIFS(Tabela10[Fod Worth],Tabela10[Drop],DropAnalityka[[#This Row],[Drop]],Tabela10[Grade],DropAnalityka[[#This Row],[Grade]])*DropAnalityka[[#This Row],[Quality/Quantity]],0)</f>
        <v>11500</v>
      </c>
      <c r="L330" s="43">
        <f>IFERROR(SUMIFS(Tabela10[Exp Gain only 2*+],Tabela10[Drop],DropAnalityka[[#This Row],[Drop]],Tabela10[Grade],DropAnalityka[[#This Row],[Grade]])*DropAnalityka[[#This Row],[Quality/Quantity]],0)</f>
        <v>0</v>
      </c>
    </row>
    <row r="331" spans="1:12">
      <c r="A331" t="s">
        <v>31</v>
      </c>
      <c r="B331" t="s">
        <v>30</v>
      </c>
      <c r="C331">
        <v>1</v>
      </c>
      <c r="D331">
        <v>1786</v>
      </c>
      <c r="E331">
        <v>1</v>
      </c>
      <c r="I331">
        <v>1834</v>
      </c>
      <c r="J331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31" s="43">
        <f>IFERROR(SUMIFS(Tabela10[Fod Worth],Tabela10[Drop],DropAnalityka[[#This Row],[Drop]],Tabela10[Grade],DropAnalityka[[#This Row],[Grade]])*DropAnalityka[[#This Row],[Quality/Quantity]],0)</f>
        <v>0</v>
      </c>
      <c r="L331" s="43">
        <f>IFERROR(SUMIFS(Tabela10[Exp Gain only 2*+],Tabela10[Drop],DropAnalityka[[#This Row],[Drop]],Tabela10[Grade],DropAnalityka[[#This Row],[Grade]])*DropAnalityka[[#This Row],[Quality/Quantity]],0)</f>
        <v>0</v>
      </c>
    </row>
    <row r="332" spans="1:12">
      <c r="A332" t="s">
        <v>31</v>
      </c>
      <c r="B332" t="s">
        <v>30</v>
      </c>
      <c r="C332">
        <v>1</v>
      </c>
      <c r="D332">
        <v>1673</v>
      </c>
      <c r="E332">
        <v>3</v>
      </c>
      <c r="I332">
        <v>2280</v>
      </c>
      <c r="J332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332" s="43">
        <f>IFERROR(SUMIFS(Tabela10[Fod Worth],Tabela10[Drop],DropAnalityka[[#This Row],[Drop]],Tabela10[Grade],DropAnalityka[[#This Row],[Grade]])*DropAnalityka[[#This Row],[Quality/Quantity]],0)</f>
        <v>0</v>
      </c>
      <c r="L332" s="43">
        <f>IFERROR(SUMIFS(Tabela10[Exp Gain only 2*+],Tabela10[Drop],DropAnalityka[[#This Row],[Drop]],Tabela10[Grade],DropAnalityka[[#This Row],[Grade]])*DropAnalityka[[#This Row],[Quality/Quantity]],0)</f>
        <v>0</v>
      </c>
    </row>
    <row r="333" spans="1:12">
      <c r="A333" t="s">
        <v>31</v>
      </c>
      <c r="B333" t="s">
        <v>30</v>
      </c>
      <c r="C333">
        <v>2</v>
      </c>
      <c r="D333">
        <v>1387</v>
      </c>
      <c r="E333">
        <v>1</v>
      </c>
      <c r="I333">
        <v>2080</v>
      </c>
      <c r="J333">
        <f>DropAnalityka[[#This Row],[Sell Drop]]+IFERROR(SUMIFS(Tabela10[Drop Worth],Tabela10[Drop],DropAnalityka[[#This Row],[Drop]],Tabela10[Grade],DropAnalityka[[#This Row],[Grade]])*DropAnalityka[[#This Row],[Quality/Quantity]],0)</f>
        <v>2080</v>
      </c>
      <c r="K333" s="43">
        <f>IFERROR(SUMIFS(Tabela10[Fod Worth],Tabela10[Drop],DropAnalityka[[#This Row],[Drop]],Tabela10[Grade],DropAnalityka[[#This Row],[Grade]])*DropAnalityka[[#This Row],[Quality/Quantity]],0)</f>
        <v>0</v>
      </c>
      <c r="L333" s="43">
        <f>IFERROR(SUMIFS(Tabela10[Exp Gain only 2*+],Tabela10[Drop],DropAnalityka[[#This Row],[Drop]],Tabela10[Grade],DropAnalityka[[#This Row],[Grade]])*DropAnalityka[[#This Row],[Quality/Quantity]],0)</f>
        <v>0</v>
      </c>
    </row>
    <row r="334" spans="1:12">
      <c r="A334" t="s">
        <v>172</v>
      </c>
      <c r="B334" t="s">
        <v>9</v>
      </c>
      <c r="C334">
        <v>4</v>
      </c>
      <c r="D334">
        <v>1657</v>
      </c>
      <c r="E334">
        <v>2</v>
      </c>
      <c r="I334">
        <v>3168</v>
      </c>
      <c r="J334">
        <f>DropAnalityka[[#This Row],[Sell Drop]]+IFERROR(SUMIFS(Tabela10[Drop Worth],Tabela10[Drop],DropAnalityka[[#This Row],[Drop]],Tabela10[Grade],DropAnalityka[[#This Row],[Grade]])*DropAnalityka[[#This Row],[Quality/Quantity]],0)</f>
        <v>3168</v>
      </c>
      <c r="K334" s="43">
        <f>IFERROR(SUMIFS(Tabela10[Fod Worth],Tabela10[Drop],DropAnalityka[[#This Row],[Drop]],Tabela10[Grade],DropAnalityka[[#This Row],[Grade]])*DropAnalityka[[#This Row],[Quality/Quantity]],0)</f>
        <v>0</v>
      </c>
      <c r="L334" s="43">
        <f>IFERROR(SUMIFS(Tabela10[Exp Gain only 2*+],Tabela10[Drop],DropAnalityka[[#This Row],[Drop]],Tabela10[Grade],DropAnalityka[[#This Row],[Grade]])*DropAnalityka[[#This Row],[Quality/Quantity]],0)</f>
        <v>0</v>
      </c>
    </row>
    <row r="335" spans="1:12">
      <c r="A335" t="s">
        <v>36</v>
      </c>
      <c r="B335" t="s">
        <v>9</v>
      </c>
      <c r="C335">
        <v>5</v>
      </c>
      <c r="D335">
        <v>1000</v>
      </c>
      <c r="E335">
        <v>0</v>
      </c>
      <c r="F335" t="s">
        <v>252</v>
      </c>
      <c r="G335">
        <v>1</v>
      </c>
      <c r="H335" t="s">
        <v>292</v>
      </c>
      <c r="I335">
        <v>0</v>
      </c>
      <c r="J3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35" s="43">
        <f>IFERROR(SUMIFS(Tabela10[Fod Worth],Tabela10[Drop],DropAnalityka[[#This Row],[Drop]],Tabela10[Grade],DropAnalityka[[#This Row],[Grade]])*DropAnalityka[[#This Row],[Quality/Quantity]],0)</f>
        <v>0</v>
      </c>
      <c r="L335" s="43">
        <f>IFERROR(SUMIFS(Tabela10[Exp Gain only 2*+],Tabela10[Drop],DropAnalityka[[#This Row],[Drop]],Tabela10[Grade],DropAnalityka[[#This Row],[Grade]])*DropAnalityka[[#This Row],[Quality/Quantity]],0)</f>
        <v>0</v>
      </c>
    </row>
    <row r="336" spans="1:12">
      <c r="A336" t="s">
        <v>173</v>
      </c>
      <c r="B336" t="s">
        <v>9</v>
      </c>
      <c r="C336">
        <v>5</v>
      </c>
      <c r="D336">
        <v>1000</v>
      </c>
      <c r="E336">
        <v>0</v>
      </c>
      <c r="F336" t="s">
        <v>251</v>
      </c>
      <c r="G336">
        <v>5</v>
      </c>
      <c r="H336" t="s">
        <v>270</v>
      </c>
      <c r="I336">
        <v>0</v>
      </c>
      <c r="J3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36" s="43">
        <f>IFERROR(SUMIFS(Tabela10[Fod Worth],Tabela10[Drop],DropAnalityka[[#This Row],[Drop]],Tabela10[Grade],DropAnalityka[[#This Row],[Grade]])*DropAnalityka[[#This Row],[Quality/Quantity]],0)</f>
        <v>0</v>
      </c>
      <c r="L336" s="43">
        <f>IFERROR(SUMIFS(Tabela10[Exp Gain only 2*+],Tabela10[Drop],DropAnalityka[[#This Row],[Drop]],Tabela10[Grade],DropAnalityka[[#This Row],[Grade]])*DropAnalityka[[#This Row],[Quality/Quantity]],0)</f>
        <v>0</v>
      </c>
    </row>
    <row r="337" spans="1:12">
      <c r="A337" t="s">
        <v>8</v>
      </c>
      <c r="B337" t="s">
        <v>32</v>
      </c>
      <c r="C337">
        <v>3</v>
      </c>
      <c r="D337">
        <v>1659</v>
      </c>
      <c r="E337">
        <v>4</v>
      </c>
      <c r="I337">
        <v>2067</v>
      </c>
      <c r="J337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37" s="43">
        <f>IFERROR(SUMIFS(Tabela10[Fod Worth],Tabela10[Drop],DropAnalityka[[#This Row],[Drop]],Tabela10[Grade],DropAnalityka[[#This Row],[Grade]])*DropAnalityka[[#This Row],[Quality/Quantity]],0)</f>
        <v>0</v>
      </c>
      <c r="L337" s="43">
        <f>IFERROR(SUMIFS(Tabela10[Exp Gain only 2*+],Tabela10[Drop],DropAnalityka[[#This Row],[Drop]],Tabela10[Grade],DropAnalityka[[#This Row],[Grade]])*DropAnalityka[[#This Row],[Quality/Quantity]],0)</f>
        <v>0</v>
      </c>
    </row>
    <row r="338" spans="1:12">
      <c r="A338" t="s">
        <v>8</v>
      </c>
      <c r="B338" t="s">
        <v>32</v>
      </c>
      <c r="C338">
        <v>3</v>
      </c>
      <c r="D338">
        <v>1881</v>
      </c>
      <c r="E338">
        <v>1</v>
      </c>
      <c r="I338">
        <v>1159</v>
      </c>
      <c r="J33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38" s="43">
        <f>IFERROR(SUMIFS(Tabela10[Fod Worth],Tabela10[Drop],DropAnalityka[[#This Row],[Drop]],Tabela10[Grade],DropAnalityka[[#This Row],[Grade]])*DropAnalityka[[#This Row],[Quality/Quantity]],0)</f>
        <v>0</v>
      </c>
      <c r="L338" s="43">
        <f>IFERROR(SUMIFS(Tabela10[Exp Gain only 2*+],Tabela10[Drop],DropAnalityka[[#This Row],[Drop]],Tabela10[Grade],DropAnalityka[[#This Row],[Grade]])*DropAnalityka[[#This Row],[Quality/Quantity]],0)</f>
        <v>0</v>
      </c>
    </row>
    <row r="339" spans="1:12">
      <c r="A339" t="s">
        <v>8</v>
      </c>
      <c r="B339" t="s">
        <v>32</v>
      </c>
      <c r="C339">
        <v>3</v>
      </c>
      <c r="D339">
        <v>2446</v>
      </c>
      <c r="E339">
        <v>1</v>
      </c>
      <c r="I339">
        <v>1159</v>
      </c>
      <c r="J339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39" s="43">
        <f>IFERROR(SUMIFS(Tabela10[Fod Worth],Tabela10[Drop],DropAnalityka[[#This Row],[Drop]],Tabela10[Grade],DropAnalityka[[#This Row],[Grade]])*DropAnalityka[[#This Row],[Quality/Quantity]],0)</f>
        <v>0</v>
      </c>
      <c r="L339" s="43">
        <f>IFERROR(SUMIFS(Tabela10[Exp Gain only 2*+],Tabela10[Drop],DropAnalityka[[#This Row],[Drop]],Tabela10[Grade],DropAnalityka[[#This Row],[Grade]])*DropAnalityka[[#This Row],[Quality/Quantity]],0)</f>
        <v>0</v>
      </c>
    </row>
    <row r="340" spans="1:12">
      <c r="A340" t="s">
        <v>8</v>
      </c>
      <c r="B340" t="s">
        <v>32</v>
      </c>
      <c r="C340">
        <v>3</v>
      </c>
      <c r="D340">
        <v>1899</v>
      </c>
      <c r="E340">
        <v>0</v>
      </c>
      <c r="I340">
        <v>1352</v>
      </c>
      <c r="J340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340" s="43">
        <f>IFERROR(SUMIFS(Tabela10[Fod Worth],Tabela10[Drop],DropAnalityka[[#This Row],[Drop]],Tabela10[Grade],DropAnalityka[[#This Row],[Grade]])*DropAnalityka[[#This Row],[Quality/Quantity]],0)</f>
        <v>0</v>
      </c>
      <c r="L340" s="43">
        <f>IFERROR(SUMIFS(Tabela10[Exp Gain only 2*+],Tabela10[Drop],DropAnalityka[[#This Row],[Drop]],Tabela10[Grade],DropAnalityka[[#This Row],[Grade]])*DropAnalityka[[#This Row],[Quality/Quantity]],0)</f>
        <v>0</v>
      </c>
    </row>
    <row r="341" spans="1:12">
      <c r="A341" t="s">
        <v>8</v>
      </c>
      <c r="B341" t="s">
        <v>32</v>
      </c>
      <c r="C341">
        <v>3</v>
      </c>
      <c r="D341">
        <v>1480</v>
      </c>
      <c r="E341">
        <v>1</v>
      </c>
      <c r="I341">
        <v>1159</v>
      </c>
      <c r="J34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41" s="43">
        <f>IFERROR(SUMIFS(Tabela10[Fod Worth],Tabela10[Drop],DropAnalityka[[#This Row],[Drop]],Tabela10[Grade],DropAnalityka[[#This Row],[Grade]])*DropAnalityka[[#This Row],[Quality/Quantity]],0)</f>
        <v>0</v>
      </c>
      <c r="L341" s="43">
        <f>IFERROR(SUMIFS(Tabela10[Exp Gain only 2*+],Tabela10[Drop],DropAnalityka[[#This Row],[Drop]],Tabela10[Grade],DropAnalityka[[#This Row],[Grade]])*DropAnalityka[[#This Row],[Quality/Quantity]],0)</f>
        <v>0</v>
      </c>
    </row>
    <row r="342" spans="1:12">
      <c r="A342" t="s">
        <v>8</v>
      </c>
      <c r="B342" t="s">
        <v>32</v>
      </c>
      <c r="C342">
        <v>3</v>
      </c>
      <c r="D342">
        <v>1725</v>
      </c>
      <c r="E342">
        <v>2</v>
      </c>
      <c r="I342">
        <v>1159</v>
      </c>
      <c r="J34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42" s="43">
        <f>IFERROR(SUMIFS(Tabela10[Fod Worth],Tabela10[Drop],DropAnalityka[[#This Row],[Drop]],Tabela10[Grade],DropAnalityka[[#This Row],[Grade]])*DropAnalityka[[#This Row],[Quality/Quantity]],0)</f>
        <v>0</v>
      </c>
      <c r="L342" s="43">
        <f>IFERROR(SUMIFS(Tabela10[Exp Gain only 2*+],Tabela10[Drop],DropAnalityka[[#This Row],[Drop]],Tabela10[Grade],DropAnalityka[[#This Row],[Grade]])*DropAnalityka[[#This Row],[Quality/Quantity]],0)</f>
        <v>0</v>
      </c>
    </row>
    <row r="343" spans="1:12">
      <c r="A343" t="s">
        <v>8</v>
      </c>
      <c r="B343" t="s">
        <v>32</v>
      </c>
      <c r="C343">
        <v>3</v>
      </c>
      <c r="D343">
        <v>1343</v>
      </c>
      <c r="E343">
        <v>0</v>
      </c>
      <c r="F343" t="s">
        <v>34</v>
      </c>
      <c r="G343">
        <v>3</v>
      </c>
      <c r="H343" t="s">
        <v>17</v>
      </c>
      <c r="I343">
        <v>0</v>
      </c>
      <c r="J34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43" s="43">
        <f>IFERROR(SUMIFS(Tabela10[Fod Worth],Tabela10[Drop],DropAnalityka[[#This Row],[Drop]],Tabela10[Grade],DropAnalityka[[#This Row],[Grade]])*DropAnalityka[[#This Row],[Quality/Quantity]],0)</f>
        <v>0</v>
      </c>
      <c r="L343" s="43">
        <f>IFERROR(SUMIFS(Tabela10[Exp Gain only 2*+],Tabela10[Drop],DropAnalityka[[#This Row],[Drop]],Tabela10[Grade],DropAnalityka[[#This Row],[Grade]])*DropAnalityka[[#This Row],[Quality/Quantity]],0)</f>
        <v>2400</v>
      </c>
    </row>
    <row r="344" spans="1:12">
      <c r="A344" t="s">
        <v>8</v>
      </c>
      <c r="B344" t="s">
        <v>32</v>
      </c>
      <c r="C344">
        <v>3</v>
      </c>
      <c r="D344">
        <v>2733</v>
      </c>
      <c r="E344">
        <v>0</v>
      </c>
      <c r="I344">
        <v>1159</v>
      </c>
      <c r="J34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44" s="43">
        <f>IFERROR(SUMIFS(Tabela10[Fod Worth],Tabela10[Drop],DropAnalityka[[#This Row],[Drop]],Tabela10[Grade],DropAnalityka[[#This Row],[Grade]])*DropAnalityka[[#This Row],[Quality/Quantity]],0)</f>
        <v>0</v>
      </c>
      <c r="L344" s="43">
        <f>IFERROR(SUMIFS(Tabela10[Exp Gain only 2*+],Tabela10[Drop],DropAnalityka[[#This Row],[Drop]],Tabela10[Grade],DropAnalityka[[#This Row],[Grade]])*DropAnalityka[[#This Row],[Quality/Quantity]],0)</f>
        <v>0</v>
      </c>
    </row>
    <row r="345" spans="1:12">
      <c r="A345" t="s">
        <v>8</v>
      </c>
      <c r="B345" t="s">
        <v>32</v>
      </c>
      <c r="C345">
        <v>3</v>
      </c>
      <c r="D345">
        <v>2196</v>
      </c>
      <c r="E345">
        <v>0</v>
      </c>
      <c r="I345">
        <v>1159</v>
      </c>
      <c r="J34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45" s="43">
        <f>IFERROR(SUMIFS(Tabela10[Fod Worth],Tabela10[Drop],DropAnalityka[[#This Row],[Drop]],Tabela10[Grade],DropAnalityka[[#This Row],[Grade]])*DropAnalityka[[#This Row],[Quality/Quantity]],0)</f>
        <v>0</v>
      </c>
      <c r="L345" s="43">
        <f>IFERROR(SUMIFS(Tabela10[Exp Gain only 2*+],Tabela10[Drop],DropAnalityka[[#This Row],[Drop]],Tabela10[Grade],DropAnalityka[[#This Row],[Grade]])*DropAnalityka[[#This Row],[Quality/Quantity]],0)</f>
        <v>0</v>
      </c>
    </row>
    <row r="346" spans="1:12">
      <c r="A346" t="s">
        <v>8</v>
      </c>
      <c r="B346" t="s">
        <v>32</v>
      </c>
      <c r="C346">
        <v>3</v>
      </c>
      <c r="D346">
        <v>1326</v>
      </c>
      <c r="E346">
        <v>0</v>
      </c>
      <c r="I346">
        <v>1159</v>
      </c>
      <c r="J34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46" s="43">
        <f>IFERROR(SUMIFS(Tabela10[Fod Worth],Tabela10[Drop],DropAnalityka[[#This Row],[Drop]],Tabela10[Grade],DropAnalityka[[#This Row],[Grade]])*DropAnalityka[[#This Row],[Quality/Quantity]],0)</f>
        <v>0</v>
      </c>
      <c r="L346" s="43">
        <f>IFERROR(SUMIFS(Tabela10[Exp Gain only 2*+],Tabela10[Drop],DropAnalityka[[#This Row],[Drop]],Tabela10[Grade],DropAnalityka[[#This Row],[Grade]])*DropAnalityka[[#This Row],[Quality/Quantity]],0)</f>
        <v>0</v>
      </c>
    </row>
    <row r="347" spans="1:12">
      <c r="A347" t="s">
        <v>8</v>
      </c>
      <c r="B347" t="s">
        <v>32</v>
      </c>
      <c r="C347">
        <v>3</v>
      </c>
      <c r="D347">
        <v>2012</v>
      </c>
      <c r="E347">
        <v>0</v>
      </c>
      <c r="F347" t="s">
        <v>143</v>
      </c>
      <c r="I347">
        <v>0</v>
      </c>
      <c r="J3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47" s="43">
        <f>IFERROR(SUMIFS(Tabela10[Fod Worth],Tabela10[Drop],DropAnalityka[[#This Row],[Drop]],Tabela10[Grade],DropAnalityka[[#This Row],[Grade]])*DropAnalityka[[#This Row],[Quality/Quantity]],0)</f>
        <v>0</v>
      </c>
      <c r="L347" s="43">
        <f>IFERROR(SUMIFS(Tabela10[Exp Gain only 2*+],Tabela10[Drop],DropAnalityka[[#This Row],[Drop]],Tabela10[Grade],DropAnalityka[[#This Row],[Grade]])*DropAnalityka[[#This Row],[Quality/Quantity]],0)</f>
        <v>0</v>
      </c>
    </row>
    <row r="348" spans="1:12">
      <c r="A348" t="s">
        <v>8</v>
      </c>
      <c r="B348" t="s">
        <v>32</v>
      </c>
      <c r="C348">
        <v>3</v>
      </c>
      <c r="D348">
        <v>1970</v>
      </c>
      <c r="E348">
        <v>1</v>
      </c>
      <c r="I348">
        <v>1546</v>
      </c>
      <c r="J348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348" s="43">
        <f>IFERROR(SUMIFS(Tabela10[Fod Worth],Tabela10[Drop],DropAnalityka[[#This Row],[Drop]],Tabela10[Grade],DropAnalityka[[#This Row],[Grade]])*DropAnalityka[[#This Row],[Quality/Quantity]],0)</f>
        <v>0</v>
      </c>
      <c r="L348" s="43">
        <f>IFERROR(SUMIFS(Tabela10[Exp Gain only 2*+],Tabela10[Drop],DropAnalityka[[#This Row],[Drop]],Tabela10[Grade],DropAnalityka[[#This Row],[Grade]])*DropAnalityka[[#This Row],[Quality/Quantity]],0)</f>
        <v>0</v>
      </c>
    </row>
    <row r="349" spans="1:12">
      <c r="A349" t="s">
        <v>8</v>
      </c>
      <c r="B349" t="s">
        <v>32</v>
      </c>
      <c r="C349">
        <v>3</v>
      </c>
      <c r="D349">
        <v>779</v>
      </c>
      <c r="E349">
        <v>1</v>
      </c>
      <c r="F349" t="s">
        <v>34</v>
      </c>
      <c r="G349">
        <v>3</v>
      </c>
      <c r="H349" t="s">
        <v>17</v>
      </c>
      <c r="I349">
        <v>0</v>
      </c>
      <c r="J349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49" s="43">
        <f>IFERROR(SUMIFS(Tabela10[Fod Worth],Tabela10[Drop],DropAnalityka[[#This Row],[Drop]],Tabela10[Grade],DropAnalityka[[#This Row],[Grade]])*DropAnalityka[[#This Row],[Quality/Quantity]],0)</f>
        <v>0</v>
      </c>
      <c r="L349" s="43">
        <f>IFERROR(SUMIFS(Tabela10[Exp Gain only 2*+],Tabela10[Drop],DropAnalityka[[#This Row],[Drop]],Tabela10[Grade],DropAnalityka[[#This Row],[Grade]])*DropAnalityka[[#This Row],[Quality/Quantity]],0)</f>
        <v>2400</v>
      </c>
    </row>
    <row r="350" spans="1:12">
      <c r="A350" t="s">
        <v>8</v>
      </c>
      <c r="B350" t="s">
        <v>32</v>
      </c>
      <c r="C350">
        <v>3</v>
      </c>
      <c r="D350">
        <v>2074</v>
      </c>
      <c r="E350">
        <v>1</v>
      </c>
      <c r="I350">
        <v>1159</v>
      </c>
      <c r="J35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50" s="43">
        <f>IFERROR(SUMIFS(Tabela10[Fod Worth],Tabela10[Drop],DropAnalityka[[#This Row],[Drop]],Tabela10[Grade],DropAnalityka[[#This Row],[Grade]])*DropAnalityka[[#This Row],[Quality/Quantity]],0)</f>
        <v>0</v>
      </c>
      <c r="L350" s="43">
        <f>IFERROR(SUMIFS(Tabela10[Exp Gain only 2*+],Tabela10[Drop],DropAnalityka[[#This Row],[Drop]],Tabela10[Grade],DropAnalityka[[#This Row],[Grade]])*DropAnalityka[[#This Row],[Quality/Quantity]],0)</f>
        <v>0</v>
      </c>
    </row>
    <row r="351" spans="1:12">
      <c r="A351" t="s">
        <v>8</v>
      </c>
      <c r="B351" t="s">
        <v>32</v>
      </c>
      <c r="C351">
        <v>3</v>
      </c>
      <c r="D351">
        <v>1672</v>
      </c>
      <c r="E351">
        <v>0</v>
      </c>
      <c r="I351">
        <v>1159</v>
      </c>
      <c r="J35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51" s="43">
        <f>IFERROR(SUMIFS(Tabela10[Fod Worth],Tabela10[Drop],DropAnalityka[[#This Row],[Drop]],Tabela10[Grade],DropAnalityka[[#This Row],[Grade]])*DropAnalityka[[#This Row],[Quality/Quantity]],0)</f>
        <v>0</v>
      </c>
      <c r="L351" s="43">
        <f>IFERROR(SUMIFS(Tabela10[Exp Gain only 2*+],Tabela10[Drop],DropAnalityka[[#This Row],[Drop]],Tabela10[Grade],DropAnalityka[[#This Row],[Grade]])*DropAnalityka[[#This Row],[Quality/Quantity]],0)</f>
        <v>0</v>
      </c>
    </row>
    <row r="352" spans="1:12">
      <c r="A352" t="s">
        <v>8</v>
      </c>
      <c r="B352" t="s">
        <v>32</v>
      </c>
      <c r="C352">
        <v>3</v>
      </c>
      <c r="D352">
        <v>823</v>
      </c>
      <c r="E352">
        <v>0</v>
      </c>
      <c r="I352">
        <v>1159</v>
      </c>
      <c r="J35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52" s="43">
        <f>IFERROR(SUMIFS(Tabela10[Fod Worth],Tabela10[Drop],DropAnalityka[[#This Row],[Drop]],Tabela10[Grade],DropAnalityka[[#This Row],[Grade]])*DropAnalityka[[#This Row],[Quality/Quantity]],0)</f>
        <v>0</v>
      </c>
      <c r="L352" s="43">
        <f>IFERROR(SUMIFS(Tabela10[Exp Gain only 2*+],Tabela10[Drop],DropAnalityka[[#This Row],[Drop]],Tabela10[Grade],DropAnalityka[[#This Row],[Grade]])*DropAnalityka[[#This Row],[Quality/Quantity]],0)</f>
        <v>0</v>
      </c>
    </row>
    <row r="353" spans="1:12">
      <c r="A353" t="s">
        <v>8</v>
      </c>
      <c r="B353" t="s">
        <v>32</v>
      </c>
      <c r="C353">
        <v>3</v>
      </c>
      <c r="D353">
        <v>1454</v>
      </c>
      <c r="E353">
        <v>3</v>
      </c>
      <c r="I353">
        <v>1159</v>
      </c>
      <c r="J35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53" s="43">
        <f>IFERROR(SUMIFS(Tabela10[Fod Worth],Tabela10[Drop],DropAnalityka[[#This Row],[Drop]],Tabela10[Grade],DropAnalityka[[#This Row],[Grade]])*DropAnalityka[[#This Row],[Quality/Quantity]],0)</f>
        <v>0</v>
      </c>
      <c r="L353" s="43">
        <f>IFERROR(SUMIFS(Tabela10[Exp Gain only 2*+],Tabela10[Drop],DropAnalityka[[#This Row],[Drop]],Tabela10[Grade],DropAnalityka[[#This Row],[Grade]])*DropAnalityka[[#This Row],[Quality/Quantity]],0)</f>
        <v>0</v>
      </c>
    </row>
    <row r="354" spans="1:12">
      <c r="A354" t="s">
        <v>8</v>
      </c>
      <c r="B354" t="s">
        <v>32</v>
      </c>
      <c r="C354">
        <v>3</v>
      </c>
      <c r="D354">
        <v>1264</v>
      </c>
      <c r="E354">
        <v>2</v>
      </c>
      <c r="F354" t="s">
        <v>34</v>
      </c>
      <c r="G354">
        <v>3</v>
      </c>
      <c r="H354" t="s">
        <v>17</v>
      </c>
      <c r="I354">
        <v>0</v>
      </c>
      <c r="J354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54" s="43">
        <f>IFERROR(SUMIFS(Tabela10[Fod Worth],Tabela10[Drop],DropAnalityka[[#This Row],[Drop]],Tabela10[Grade],DropAnalityka[[#This Row],[Grade]])*DropAnalityka[[#This Row],[Quality/Quantity]],0)</f>
        <v>0</v>
      </c>
      <c r="L354" s="43">
        <f>IFERROR(SUMIFS(Tabela10[Exp Gain only 2*+],Tabela10[Drop],DropAnalityka[[#This Row],[Drop]],Tabela10[Grade],DropAnalityka[[#This Row],[Grade]])*DropAnalityka[[#This Row],[Quality/Quantity]],0)</f>
        <v>2400</v>
      </c>
    </row>
    <row r="355" spans="1:12">
      <c r="A355" t="s">
        <v>8</v>
      </c>
      <c r="B355" t="s">
        <v>32</v>
      </c>
      <c r="C355">
        <v>3</v>
      </c>
      <c r="D355">
        <v>1755</v>
      </c>
      <c r="E355">
        <v>0</v>
      </c>
      <c r="I355">
        <v>2757</v>
      </c>
      <c r="J355">
        <f>DropAnalityka[[#This Row],[Sell Drop]]+IFERROR(SUMIFS(Tabela10[Drop Worth],Tabela10[Drop],DropAnalityka[[#This Row],[Drop]],Tabela10[Grade],DropAnalityka[[#This Row],[Grade]])*DropAnalityka[[#This Row],[Quality/Quantity]],0)</f>
        <v>2757</v>
      </c>
      <c r="K355" s="43">
        <f>IFERROR(SUMIFS(Tabela10[Fod Worth],Tabela10[Drop],DropAnalityka[[#This Row],[Drop]],Tabela10[Grade],DropAnalityka[[#This Row],[Grade]])*DropAnalityka[[#This Row],[Quality/Quantity]],0)</f>
        <v>0</v>
      </c>
      <c r="L355" s="43">
        <f>IFERROR(SUMIFS(Tabela10[Exp Gain only 2*+],Tabela10[Drop],DropAnalityka[[#This Row],[Drop]],Tabela10[Grade],DropAnalityka[[#This Row],[Grade]])*DropAnalityka[[#This Row],[Quality/Quantity]],0)</f>
        <v>0</v>
      </c>
    </row>
    <row r="356" spans="1:12">
      <c r="A356" t="s">
        <v>31</v>
      </c>
      <c r="B356" t="s">
        <v>30</v>
      </c>
      <c r="C356">
        <v>1</v>
      </c>
      <c r="D356">
        <v>1277</v>
      </c>
      <c r="E356">
        <v>1</v>
      </c>
      <c r="I356">
        <v>1824</v>
      </c>
      <c r="J35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56" s="43">
        <f>IFERROR(SUMIFS(Tabela10[Fod Worth],Tabela10[Drop],DropAnalityka[[#This Row],[Drop]],Tabela10[Grade],DropAnalityka[[#This Row],[Grade]])*DropAnalityka[[#This Row],[Quality/Quantity]],0)</f>
        <v>0</v>
      </c>
      <c r="L356" s="43">
        <f>IFERROR(SUMIFS(Tabela10[Exp Gain only 2*+],Tabela10[Drop],DropAnalityka[[#This Row],[Drop]],Tabela10[Grade],DropAnalityka[[#This Row],[Grade]])*DropAnalityka[[#This Row],[Quality/Quantity]],0)</f>
        <v>0</v>
      </c>
    </row>
    <row r="357" spans="1:12">
      <c r="A357" t="s">
        <v>31</v>
      </c>
      <c r="B357" t="s">
        <v>30</v>
      </c>
      <c r="C357">
        <v>1</v>
      </c>
      <c r="D357">
        <v>2049</v>
      </c>
      <c r="E357">
        <v>0</v>
      </c>
      <c r="I357">
        <v>2937</v>
      </c>
      <c r="J357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357" s="43">
        <f>IFERROR(SUMIFS(Tabela10[Fod Worth],Tabela10[Drop],DropAnalityka[[#This Row],[Drop]],Tabela10[Grade],DropAnalityka[[#This Row],[Grade]])*DropAnalityka[[#This Row],[Quality/Quantity]],0)</f>
        <v>0</v>
      </c>
      <c r="L357" s="43">
        <f>IFERROR(SUMIFS(Tabela10[Exp Gain only 2*+],Tabela10[Drop],DropAnalityka[[#This Row],[Drop]],Tabela10[Grade],DropAnalityka[[#This Row],[Grade]])*DropAnalityka[[#This Row],[Quality/Quantity]],0)</f>
        <v>0</v>
      </c>
    </row>
    <row r="358" spans="1:12">
      <c r="A358" t="s">
        <v>31</v>
      </c>
      <c r="B358" t="s">
        <v>30</v>
      </c>
      <c r="C358">
        <v>1</v>
      </c>
      <c r="D358">
        <v>1892</v>
      </c>
      <c r="E358">
        <v>1</v>
      </c>
      <c r="I358">
        <v>3400</v>
      </c>
      <c r="J358">
        <f>DropAnalityka[[#This Row],[Sell Drop]]+IFERROR(SUMIFS(Tabela10[Drop Worth],Tabela10[Drop],DropAnalityka[[#This Row],[Drop]],Tabela10[Grade],DropAnalityka[[#This Row],[Grade]])*DropAnalityka[[#This Row],[Quality/Quantity]],0)</f>
        <v>3400</v>
      </c>
      <c r="K358" s="43">
        <f>IFERROR(SUMIFS(Tabela10[Fod Worth],Tabela10[Drop],DropAnalityka[[#This Row],[Drop]],Tabela10[Grade],DropAnalityka[[#This Row],[Grade]])*DropAnalityka[[#This Row],[Quality/Quantity]],0)</f>
        <v>0</v>
      </c>
      <c r="L358" s="43">
        <f>IFERROR(SUMIFS(Tabela10[Exp Gain only 2*+],Tabela10[Drop],DropAnalityka[[#This Row],[Drop]],Tabela10[Grade],DropAnalityka[[#This Row],[Grade]])*DropAnalityka[[#This Row],[Quality/Quantity]],0)</f>
        <v>0</v>
      </c>
    </row>
    <row r="359" spans="1:12">
      <c r="A359" t="s">
        <v>31</v>
      </c>
      <c r="B359" t="s">
        <v>30</v>
      </c>
      <c r="C359">
        <v>1</v>
      </c>
      <c r="D359">
        <v>2348</v>
      </c>
      <c r="E359">
        <v>0</v>
      </c>
      <c r="I359">
        <v>1824</v>
      </c>
      <c r="J35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59" s="43">
        <f>IFERROR(SUMIFS(Tabela10[Fod Worth],Tabela10[Drop],DropAnalityka[[#This Row],[Drop]],Tabela10[Grade],DropAnalityka[[#This Row],[Grade]])*DropAnalityka[[#This Row],[Quality/Quantity]],0)</f>
        <v>0</v>
      </c>
      <c r="L359" s="43">
        <f>IFERROR(SUMIFS(Tabela10[Exp Gain only 2*+],Tabela10[Drop],DropAnalityka[[#This Row],[Drop]],Tabela10[Grade],DropAnalityka[[#This Row],[Grade]])*DropAnalityka[[#This Row],[Quality/Quantity]],0)</f>
        <v>0</v>
      </c>
    </row>
    <row r="360" spans="1:12">
      <c r="A360" t="s">
        <v>31</v>
      </c>
      <c r="B360" t="s">
        <v>30</v>
      </c>
      <c r="C360">
        <v>1</v>
      </c>
      <c r="D360">
        <v>1998</v>
      </c>
      <c r="E360">
        <v>1</v>
      </c>
      <c r="F360" t="s">
        <v>34</v>
      </c>
      <c r="G360">
        <v>2</v>
      </c>
      <c r="H360" t="s">
        <v>17</v>
      </c>
      <c r="I360">
        <v>0</v>
      </c>
      <c r="J36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60" s="43">
        <f>IFERROR(SUMIFS(Tabela10[Fod Worth],Tabela10[Drop],DropAnalityka[[#This Row],[Drop]],Tabela10[Grade],DropAnalityka[[#This Row],[Grade]])*DropAnalityka[[#This Row],[Quality/Quantity]],0)</f>
        <v>0</v>
      </c>
      <c r="L360" s="43">
        <f>IFERROR(SUMIFS(Tabela10[Exp Gain only 2*+],Tabela10[Drop],DropAnalityka[[#This Row],[Drop]],Tabela10[Grade],DropAnalityka[[#This Row],[Grade]])*DropAnalityka[[#This Row],[Quality/Quantity]],0)</f>
        <v>1600</v>
      </c>
    </row>
    <row r="361" spans="1:12">
      <c r="A361" t="s">
        <v>31</v>
      </c>
      <c r="B361" t="s">
        <v>30</v>
      </c>
      <c r="C361">
        <v>1</v>
      </c>
      <c r="D361">
        <v>1962</v>
      </c>
      <c r="E361">
        <v>1</v>
      </c>
      <c r="I361">
        <v>1824</v>
      </c>
      <c r="J36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61" s="43">
        <f>IFERROR(SUMIFS(Tabela10[Fod Worth],Tabela10[Drop],DropAnalityka[[#This Row],[Drop]],Tabela10[Grade],DropAnalityka[[#This Row],[Grade]])*DropAnalityka[[#This Row],[Quality/Quantity]],0)</f>
        <v>0</v>
      </c>
      <c r="L361" s="43">
        <f>IFERROR(SUMIFS(Tabela10[Exp Gain only 2*+],Tabela10[Drop],DropAnalityka[[#This Row],[Drop]],Tabela10[Grade],DropAnalityka[[#This Row],[Grade]])*DropAnalityka[[#This Row],[Quality/Quantity]],0)</f>
        <v>0</v>
      </c>
    </row>
    <row r="362" spans="1:12">
      <c r="A362" t="s">
        <v>31</v>
      </c>
      <c r="B362" t="s">
        <v>30</v>
      </c>
      <c r="C362">
        <v>1</v>
      </c>
      <c r="D362">
        <v>2010</v>
      </c>
      <c r="E362">
        <v>1</v>
      </c>
      <c r="I362">
        <v>1824</v>
      </c>
      <c r="J36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362" s="43">
        <f>IFERROR(SUMIFS(Tabela10[Fod Worth],Tabela10[Drop],DropAnalityka[[#This Row],[Drop]],Tabela10[Grade],DropAnalityka[[#This Row],[Grade]])*DropAnalityka[[#This Row],[Quality/Quantity]],0)</f>
        <v>0</v>
      </c>
      <c r="L362" s="43">
        <f>IFERROR(SUMIFS(Tabela10[Exp Gain only 2*+],Tabela10[Drop],DropAnalityka[[#This Row],[Drop]],Tabela10[Grade],DropAnalityka[[#This Row],[Grade]])*DropAnalityka[[#This Row],[Quality/Quantity]],0)</f>
        <v>0</v>
      </c>
    </row>
    <row r="363" spans="1:12">
      <c r="A363" t="s">
        <v>31</v>
      </c>
      <c r="B363" t="s">
        <v>30</v>
      </c>
      <c r="C363">
        <v>1</v>
      </c>
      <c r="D363">
        <v>1676</v>
      </c>
      <c r="E363">
        <v>1</v>
      </c>
      <c r="I363">
        <v>1976</v>
      </c>
      <c r="J363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363" s="43">
        <f>IFERROR(SUMIFS(Tabela10[Fod Worth],Tabela10[Drop],DropAnalityka[[#This Row],[Drop]],Tabela10[Grade],DropAnalityka[[#This Row],[Grade]])*DropAnalityka[[#This Row],[Quality/Quantity]],0)</f>
        <v>0</v>
      </c>
      <c r="L363" s="43">
        <f>IFERROR(SUMIFS(Tabela10[Exp Gain only 2*+],Tabela10[Drop],DropAnalityka[[#This Row],[Drop]],Tabela10[Grade],DropAnalityka[[#This Row],[Grade]])*DropAnalityka[[#This Row],[Quality/Quantity]],0)</f>
        <v>0</v>
      </c>
    </row>
    <row r="364" spans="1:12">
      <c r="A364" t="s">
        <v>31</v>
      </c>
      <c r="B364" t="s">
        <v>30</v>
      </c>
      <c r="C364">
        <v>1</v>
      </c>
      <c r="D364">
        <v>709</v>
      </c>
      <c r="E364">
        <v>0</v>
      </c>
      <c r="F364" t="s">
        <v>34</v>
      </c>
      <c r="G364">
        <v>2</v>
      </c>
      <c r="H364" t="s">
        <v>17</v>
      </c>
      <c r="I364">
        <v>0</v>
      </c>
      <c r="J36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64" s="43">
        <f>IFERROR(SUMIFS(Tabela10[Fod Worth],Tabela10[Drop],DropAnalityka[[#This Row],[Drop]],Tabela10[Grade],DropAnalityka[[#This Row],[Grade]])*DropAnalityka[[#This Row],[Quality/Quantity]],0)</f>
        <v>0</v>
      </c>
      <c r="L364" s="43">
        <f>IFERROR(SUMIFS(Tabela10[Exp Gain only 2*+],Tabela10[Drop],DropAnalityka[[#This Row],[Drop]],Tabela10[Grade],DropAnalityka[[#This Row],[Grade]])*DropAnalityka[[#This Row],[Quality/Quantity]],0)</f>
        <v>1600</v>
      </c>
    </row>
    <row r="365" spans="1:12">
      <c r="A365" t="s">
        <v>31</v>
      </c>
      <c r="B365" t="s">
        <v>30</v>
      </c>
      <c r="C365">
        <v>1</v>
      </c>
      <c r="D365">
        <v>2619</v>
      </c>
      <c r="E365">
        <v>1</v>
      </c>
      <c r="I365">
        <v>1834</v>
      </c>
      <c r="J365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65" s="43">
        <f>IFERROR(SUMIFS(Tabela10[Fod Worth],Tabela10[Drop],DropAnalityka[[#This Row],[Drop]],Tabela10[Grade],DropAnalityka[[#This Row],[Grade]])*DropAnalityka[[#This Row],[Quality/Quantity]],0)</f>
        <v>0</v>
      </c>
      <c r="L365" s="43">
        <f>IFERROR(SUMIFS(Tabela10[Exp Gain only 2*+],Tabela10[Drop],DropAnalityka[[#This Row],[Drop]],Tabela10[Grade],DropAnalityka[[#This Row],[Grade]])*DropAnalityka[[#This Row],[Quality/Quantity]],0)</f>
        <v>0</v>
      </c>
    </row>
    <row r="366" spans="1:12">
      <c r="A366" t="s">
        <v>31</v>
      </c>
      <c r="B366" t="s">
        <v>30</v>
      </c>
      <c r="C366">
        <v>1</v>
      </c>
      <c r="D366">
        <v>1880</v>
      </c>
      <c r="E366">
        <v>0</v>
      </c>
      <c r="I366">
        <v>1834</v>
      </c>
      <c r="J366">
        <f>DropAnalityka[[#This Row],[Sell Drop]]+IFERROR(SUMIFS(Tabela10[Drop Worth],Tabela10[Drop],DropAnalityka[[#This Row],[Drop]],Tabela10[Grade],DropAnalityka[[#This Row],[Grade]])*DropAnalityka[[#This Row],[Quality/Quantity]],0)</f>
        <v>1834</v>
      </c>
      <c r="K366" s="43">
        <f>IFERROR(SUMIFS(Tabela10[Fod Worth],Tabela10[Drop],DropAnalityka[[#This Row],[Drop]],Tabela10[Grade],DropAnalityka[[#This Row],[Grade]])*DropAnalityka[[#This Row],[Quality/Quantity]],0)</f>
        <v>0</v>
      </c>
      <c r="L366" s="43">
        <f>IFERROR(SUMIFS(Tabela10[Exp Gain only 2*+],Tabela10[Drop],DropAnalityka[[#This Row],[Drop]],Tabela10[Grade],DropAnalityka[[#This Row],[Grade]])*DropAnalityka[[#This Row],[Quality/Quantity]],0)</f>
        <v>0</v>
      </c>
    </row>
    <row r="367" spans="1:12">
      <c r="A367" t="s">
        <v>172</v>
      </c>
      <c r="B367" t="s">
        <v>9</v>
      </c>
      <c r="C367">
        <v>5</v>
      </c>
      <c r="D367">
        <v>2351</v>
      </c>
      <c r="E367">
        <v>2</v>
      </c>
      <c r="I367">
        <v>3100</v>
      </c>
      <c r="J367">
        <f>DropAnalityka[[#This Row],[Sell Drop]]+IFERROR(SUMIFS(Tabela10[Drop Worth],Tabela10[Drop],DropAnalityka[[#This Row],[Drop]],Tabela10[Grade],DropAnalityka[[#This Row],[Grade]])*DropAnalityka[[#This Row],[Quality/Quantity]],0)</f>
        <v>3100</v>
      </c>
      <c r="K367" s="43">
        <f>IFERROR(SUMIFS(Tabela10[Fod Worth],Tabela10[Drop],DropAnalityka[[#This Row],[Drop]],Tabela10[Grade],DropAnalityka[[#This Row],[Grade]])*DropAnalityka[[#This Row],[Quality/Quantity]],0)</f>
        <v>0</v>
      </c>
      <c r="L367" s="43">
        <f>IFERROR(SUMIFS(Tabela10[Exp Gain only 2*+],Tabela10[Drop],DropAnalityka[[#This Row],[Drop]],Tabela10[Grade],DropAnalityka[[#This Row],[Grade]])*DropAnalityka[[#This Row],[Quality/Quantity]],0)</f>
        <v>0</v>
      </c>
    </row>
    <row r="368" spans="1:12">
      <c r="A368" t="s">
        <v>172</v>
      </c>
      <c r="B368" t="s">
        <v>9</v>
      </c>
      <c r="C368">
        <v>5</v>
      </c>
      <c r="D368">
        <v>2200</v>
      </c>
      <c r="E368">
        <v>4</v>
      </c>
      <c r="I368">
        <v>1300</v>
      </c>
      <c r="J368">
        <f>DropAnalityka[[#This Row],[Sell Drop]]+IFERROR(SUMIFS(Tabela10[Drop Worth],Tabela10[Drop],DropAnalityka[[#This Row],[Drop]],Tabela10[Grade],DropAnalityka[[#This Row],[Grade]])*DropAnalityka[[#This Row],[Quality/Quantity]],0)</f>
        <v>1300</v>
      </c>
      <c r="K368" s="43">
        <f>IFERROR(SUMIFS(Tabela10[Fod Worth],Tabela10[Drop],DropAnalityka[[#This Row],[Drop]],Tabela10[Grade],DropAnalityka[[#This Row],[Grade]])*DropAnalityka[[#This Row],[Quality/Quantity]],0)</f>
        <v>0</v>
      </c>
      <c r="L368" s="43">
        <f>IFERROR(SUMIFS(Tabela10[Exp Gain only 2*+],Tabela10[Drop],DropAnalityka[[#This Row],[Drop]],Tabela10[Grade],DropAnalityka[[#This Row],[Grade]])*DropAnalityka[[#This Row],[Quality/Quantity]],0)</f>
        <v>0</v>
      </c>
    </row>
    <row r="369" spans="1:12">
      <c r="A369" t="s">
        <v>172</v>
      </c>
      <c r="B369" t="s">
        <v>9</v>
      </c>
      <c r="C369">
        <v>5</v>
      </c>
      <c r="D369">
        <v>1737</v>
      </c>
      <c r="E369">
        <v>2</v>
      </c>
      <c r="I369">
        <v>1649</v>
      </c>
      <c r="J369">
        <f>DropAnalityka[[#This Row],[Sell Drop]]+IFERROR(SUMIFS(Tabela10[Drop Worth],Tabela10[Drop],DropAnalityka[[#This Row],[Drop]],Tabela10[Grade],DropAnalityka[[#This Row],[Grade]])*DropAnalityka[[#This Row],[Quality/Quantity]],0)</f>
        <v>1649</v>
      </c>
      <c r="K369" s="43">
        <f>IFERROR(SUMIFS(Tabela10[Fod Worth],Tabela10[Drop],DropAnalityka[[#This Row],[Drop]],Tabela10[Grade],DropAnalityka[[#This Row],[Grade]])*DropAnalityka[[#This Row],[Quality/Quantity]],0)</f>
        <v>0</v>
      </c>
      <c r="L369" s="43">
        <f>IFERROR(SUMIFS(Tabela10[Exp Gain only 2*+],Tabela10[Drop],DropAnalityka[[#This Row],[Drop]],Tabela10[Grade],DropAnalityka[[#This Row],[Grade]])*DropAnalityka[[#This Row],[Quality/Quantity]],0)</f>
        <v>0</v>
      </c>
    </row>
    <row r="370" spans="1:12">
      <c r="A370" t="s">
        <v>172</v>
      </c>
      <c r="B370" t="s">
        <v>9</v>
      </c>
      <c r="C370">
        <v>5</v>
      </c>
      <c r="D370">
        <v>2547</v>
      </c>
      <c r="E370">
        <v>2</v>
      </c>
      <c r="F370" t="s">
        <v>143</v>
      </c>
      <c r="I370">
        <v>0</v>
      </c>
      <c r="J3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370" s="43">
        <f>IFERROR(SUMIFS(Tabela10[Fod Worth],Tabela10[Drop],DropAnalityka[[#This Row],[Drop]],Tabela10[Grade],DropAnalityka[[#This Row],[Grade]])*DropAnalityka[[#This Row],[Quality/Quantity]],0)</f>
        <v>0</v>
      </c>
      <c r="L370" s="43">
        <f>IFERROR(SUMIFS(Tabela10[Exp Gain only 2*+],Tabela10[Drop],DropAnalityka[[#This Row],[Drop]],Tabela10[Grade],DropAnalityka[[#This Row],[Grade]])*DropAnalityka[[#This Row],[Quality/Quantity]],0)</f>
        <v>0</v>
      </c>
    </row>
    <row r="371" spans="1:12">
      <c r="A371" t="s">
        <v>172</v>
      </c>
      <c r="B371" t="s">
        <v>9</v>
      </c>
      <c r="C371">
        <v>5</v>
      </c>
      <c r="D371">
        <v>2230</v>
      </c>
      <c r="E371">
        <v>2</v>
      </c>
      <c r="F371" t="s">
        <v>34</v>
      </c>
      <c r="G371">
        <v>2</v>
      </c>
      <c r="H371" t="s">
        <v>17</v>
      </c>
      <c r="I371">
        <v>0</v>
      </c>
      <c r="J371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371" s="43">
        <f>IFERROR(SUMIFS(Tabela10[Fod Worth],Tabela10[Drop],DropAnalityka[[#This Row],[Drop]],Tabela10[Grade],DropAnalityka[[#This Row],[Grade]])*DropAnalityka[[#This Row],[Quality/Quantity]],0)</f>
        <v>0</v>
      </c>
      <c r="L371" s="43">
        <f>IFERROR(SUMIFS(Tabela10[Exp Gain only 2*+],Tabela10[Drop],DropAnalityka[[#This Row],[Drop]],Tabela10[Grade],DropAnalityka[[#This Row],[Grade]])*DropAnalityka[[#This Row],[Quality/Quantity]],0)</f>
        <v>1600</v>
      </c>
    </row>
    <row r="372" spans="1:12">
      <c r="A372" t="s">
        <v>172</v>
      </c>
      <c r="B372" t="s">
        <v>9</v>
      </c>
      <c r="C372">
        <v>5</v>
      </c>
      <c r="D372">
        <v>2500</v>
      </c>
      <c r="E372">
        <v>2</v>
      </c>
      <c r="F372" t="s">
        <v>34</v>
      </c>
      <c r="G372">
        <v>3</v>
      </c>
      <c r="H372" t="s">
        <v>17</v>
      </c>
      <c r="I372">
        <v>0</v>
      </c>
      <c r="J372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72" s="43">
        <f>IFERROR(SUMIFS(Tabela10[Fod Worth],Tabela10[Drop],DropAnalityka[[#This Row],[Drop]],Tabela10[Grade],DropAnalityka[[#This Row],[Grade]])*DropAnalityka[[#This Row],[Quality/Quantity]],0)</f>
        <v>0</v>
      </c>
      <c r="L372" s="43">
        <f>IFERROR(SUMIFS(Tabela10[Exp Gain only 2*+],Tabela10[Drop],DropAnalityka[[#This Row],[Drop]],Tabela10[Grade],DropAnalityka[[#This Row],[Grade]])*DropAnalityka[[#This Row],[Quality/Quantity]],0)</f>
        <v>2400</v>
      </c>
    </row>
    <row r="373" spans="1:12">
      <c r="A373" t="s">
        <v>172</v>
      </c>
      <c r="B373" t="s">
        <v>9</v>
      </c>
      <c r="C373">
        <v>5</v>
      </c>
      <c r="D373">
        <v>2677</v>
      </c>
      <c r="E373">
        <v>1</v>
      </c>
      <c r="I373">
        <v>8882</v>
      </c>
      <c r="J373">
        <f>DropAnalityka[[#This Row],[Sell Drop]]+IFERROR(SUMIFS(Tabela10[Drop Worth],Tabela10[Drop],DropAnalityka[[#This Row],[Drop]],Tabela10[Grade],DropAnalityka[[#This Row],[Grade]])*DropAnalityka[[#This Row],[Quality/Quantity]],0)</f>
        <v>8882</v>
      </c>
      <c r="K373" s="43">
        <f>IFERROR(SUMIFS(Tabela10[Fod Worth],Tabela10[Drop],DropAnalityka[[#This Row],[Drop]],Tabela10[Grade],DropAnalityka[[#This Row],[Grade]])*DropAnalityka[[#This Row],[Quality/Quantity]],0)</f>
        <v>0</v>
      </c>
      <c r="L373" s="43">
        <f>IFERROR(SUMIFS(Tabela10[Exp Gain only 2*+],Tabela10[Drop],DropAnalityka[[#This Row],[Drop]],Tabela10[Grade],DropAnalityka[[#This Row],[Grade]])*DropAnalityka[[#This Row],[Quality/Quantity]],0)</f>
        <v>0</v>
      </c>
    </row>
    <row r="374" spans="1:12">
      <c r="A374" t="s">
        <v>172</v>
      </c>
      <c r="B374" t="s">
        <v>9</v>
      </c>
      <c r="C374">
        <v>5</v>
      </c>
      <c r="D374">
        <v>2500</v>
      </c>
      <c r="E374">
        <v>1</v>
      </c>
      <c r="I374">
        <v>4134</v>
      </c>
      <c r="J374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374" s="43">
        <f>IFERROR(SUMIFS(Tabela10[Fod Worth],Tabela10[Drop],DropAnalityka[[#This Row],[Drop]],Tabela10[Grade],DropAnalityka[[#This Row],[Grade]])*DropAnalityka[[#This Row],[Quality/Quantity]],0)</f>
        <v>0</v>
      </c>
      <c r="L374" s="43">
        <f>IFERROR(SUMIFS(Tabela10[Exp Gain only 2*+],Tabela10[Drop],DropAnalityka[[#This Row],[Drop]],Tabela10[Grade],DropAnalityka[[#This Row],[Grade]])*DropAnalityka[[#This Row],[Quality/Quantity]],0)</f>
        <v>0</v>
      </c>
    </row>
    <row r="375" spans="1:12">
      <c r="A375" t="s">
        <v>172</v>
      </c>
      <c r="B375" t="s">
        <v>9</v>
      </c>
      <c r="C375">
        <v>5</v>
      </c>
      <c r="D375">
        <v>2751</v>
      </c>
      <c r="E375">
        <v>0</v>
      </c>
      <c r="I375">
        <v>6615</v>
      </c>
      <c r="J375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375" s="43">
        <f>IFERROR(SUMIFS(Tabela10[Fod Worth],Tabela10[Drop],DropAnalityka[[#This Row],[Drop]],Tabela10[Grade],DropAnalityka[[#This Row],[Grade]])*DropAnalityka[[#This Row],[Quality/Quantity]],0)</f>
        <v>0</v>
      </c>
      <c r="L375" s="43">
        <f>IFERROR(SUMIFS(Tabela10[Exp Gain only 2*+],Tabela10[Drop],DropAnalityka[[#This Row],[Drop]],Tabela10[Grade],DropAnalityka[[#This Row],[Grade]])*DropAnalityka[[#This Row],[Quality/Quantity]],0)</f>
        <v>0</v>
      </c>
    </row>
    <row r="376" spans="1:12">
      <c r="A376" t="s">
        <v>172</v>
      </c>
      <c r="B376" t="s">
        <v>9</v>
      </c>
      <c r="C376">
        <v>5</v>
      </c>
      <c r="D376">
        <v>2004</v>
      </c>
      <c r="E376">
        <v>2</v>
      </c>
      <c r="I376">
        <v>13770</v>
      </c>
      <c r="J376">
        <f>DropAnalityka[[#This Row],[Sell Drop]]+IFERROR(SUMIFS(Tabela10[Drop Worth],Tabela10[Drop],DropAnalityka[[#This Row],[Drop]],Tabela10[Grade],DropAnalityka[[#This Row],[Grade]])*DropAnalityka[[#This Row],[Quality/Quantity]],0)</f>
        <v>13770</v>
      </c>
      <c r="K376" s="43">
        <f>IFERROR(SUMIFS(Tabela10[Fod Worth],Tabela10[Drop],DropAnalityka[[#This Row],[Drop]],Tabela10[Grade],DropAnalityka[[#This Row],[Grade]])*DropAnalityka[[#This Row],[Quality/Quantity]],0)</f>
        <v>0</v>
      </c>
      <c r="L376" s="43">
        <f>IFERROR(SUMIFS(Tabela10[Exp Gain only 2*+],Tabela10[Drop],DropAnalityka[[#This Row],[Drop]],Tabela10[Grade],DropAnalityka[[#This Row],[Grade]])*DropAnalityka[[#This Row],[Quality/Quantity]],0)</f>
        <v>0</v>
      </c>
    </row>
    <row r="377" spans="1:12">
      <c r="A377" t="s">
        <v>172</v>
      </c>
      <c r="B377" t="s">
        <v>9</v>
      </c>
      <c r="C377">
        <v>5</v>
      </c>
      <c r="D377">
        <v>1787</v>
      </c>
      <c r="E377">
        <v>3</v>
      </c>
      <c r="I377">
        <v>4134</v>
      </c>
      <c r="J377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377" s="43">
        <f>IFERROR(SUMIFS(Tabela10[Fod Worth],Tabela10[Drop],DropAnalityka[[#This Row],[Drop]],Tabela10[Grade],DropAnalityka[[#This Row],[Grade]])*DropAnalityka[[#This Row],[Quality/Quantity]],0)</f>
        <v>0</v>
      </c>
      <c r="L377" s="43">
        <f>IFERROR(SUMIFS(Tabela10[Exp Gain only 2*+],Tabela10[Drop],DropAnalityka[[#This Row],[Drop]],Tabela10[Grade],DropAnalityka[[#This Row],[Grade]])*DropAnalityka[[#This Row],[Quality/Quantity]],0)</f>
        <v>0</v>
      </c>
    </row>
    <row r="378" spans="1:12">
      <c r="A378" t="s">
        <v>172</v>
      </c>
      <c r="B378" t="s">
        <v>9</v>
      </c>
      <c r="C378">
        <v>5</v>
      </c>
      <c r="D378">
        <v>2747</v>
      </c>
      <c r="E378">
        <v>1</v>
      </c>
      <c r="I378">
        <v>3720</v>
      </c>
      <c r="J378">
        <f>DropAnalityka[[#This Row],[Sell Drop]]+IFERROR(SUMIFS(Tabela10[Drop Worth],Tabela10[Drop],DropAnalityka[[#This Row],[Drop]],Tabela10[Grade],DropAnalityka[[#This Row],[Grade]])*DropAnalityka[[#This Row],[Quality/Quantity]],0)</f>
        <v>3720</v>
      </c>
      <c r="K378" s="43">
        <f>IFERROR(SUMIFS(Tabela10[Fod Worth],Tabela10[Drop],DropAnalityka[[#This Row],[Drop]],Tabela10[Grade],DropAnalityka[[#This Row],[Grade]])*DropAnalityka[[#This Row],[Quality/Quantity]],0)</f>
        <v>0</v>
      </c>
      <c r="L378" s="43">
        <f>IFERROR(SUMIFS(Tabela10[Exp Gain only 2*+],Tabela10[Drop],DropAnalityka[[#This Row],[Drop]],Tabela10[Grade],DropAnalityka[[#This Row],[Grade]])*DropAnalityka[[#This Row],[Quality/Quantity]],0)</f>
        <v>0</v>
      </c>
    </row>
    <row r="379" spans="1:12">
      <c r="A379" t="s">
        <v>172</v>
      </c>
      <c r="B379" t="s">
        <v>9</v>
      </c>
      <c r="C379">
        <v>5</v>
      </c>
      <c r="D379">
        <v>2105</v>
      </c>
      <c r="E379">
        <v>0</v>
      </c>
      <c r="F379" t="s">
        <v>34</v>
      </c>
      <c r="G379">
        <v>3</v>
      </c>
      <c r="H379" t="s">
        <v>17</v>
      </c>
      <c r="I379">
        <v>0</v>
      </c>
      <c r="J379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79" s="43">
        <f>IFERROR(SUMIFS(Tabela10[Fod Worth],Tabela10[Drop],DropAnalityka[[#This Row],[Drop]],Tabela10[Grade],DropAnalityka[[#This Row],[Grade]])*DropAnalityka[[#This Row],[Quality/Quantity]],0)</f>
        <v>0</v>
      </c>
      <c r="L379" s="43">
        <f>IFERROR(SUMIFS(Tabela10[Exp Gain only 2*+],Tabela10[Drop],DropAnalityka[[#This Row],[Drop]],Tabela10[Grade],DropAnalityka[[#This Row],[Grade]])*DropAnalityka[[#This Row],[Quality/Quantity]],0)</f>
        <v>2400</v>
      </c>
    </row>
    <row r="380" spans="1:12">
      <c r="A380" t="s">
        <v>172</v>
      </c>
      <c r="B380" t="s">
        <v>9</v>
      </c>
      <c r="C380">
        <v>5</v>
      </c>
      <c r="D380">
        <v>2230</v>
      </c>
      <c r="E380">
        <v>2</v>
      </c>
      <c r="I380">
        <v>2067</v>
      </c>
      <c r="J38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80" s="43">
        <f>IFERROR(SUMIFS(Tabela10[Fod Worth],Tabela10[Drop],DropAnalityka[[#This Row],[Drop]],Tabela10[Grade],DropAnalityka[[#This Row],[Grade]])*DropAnalityka[[#This Row],[Quality/Quantity]],0)</f>
        <v>0</v>
      </c>
      <c r="L380" s="43">
        <f>IFERROR(SUMIFS(Tabela10[Exp Gain only 2*+],Tabela10[Drop],DropAnalityka[[#This Row],[Drop]],Tabela10[Grade],DropAnalityka[[#This Row],[Grade]])*DropAnalityka[[#This Row],[Quality/Quantity]],0)</f>
        <v>0</v>
      </c>
    </row>
    <row r="381" spans="1:12">
      <c r="A381" t="s">
        <v>172</v>
      </c>
      <c r="B381" t="s">
        <v>9</v>
      </c>
      <c r="C381">
        <v>5</v>
      </c>
      <c r="D381">
        <v>2236</v>
      </c>
      <c r="E381">
        <v>1</v>
      </c>
      <c r="F381" t="s">
        <v>34</v>
      </c>
      <c r="G381">
        <v>4</v>
      </c>
      <c r="H381" t="s">
        <v>17</v>
      </c>
      <c r="I381">
        <v>0</v>
      </c>
      <c r="J38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381" s="43">
        <f>IFERROR(SUMIFS(Tabela10[Fod Worth],Tabela10[Drop],DropAnalityka[[#This Row],[Drop]],Tabela10[Grade],DropAnalityka[[#This Row],[Grade]])*DropAnalityka[[#This Row],[Quality/Quantity]],0)</f>
        <v>0</v>
      </c>
      <c r="L381" s="43">
        <f>IFERROR(SUMIFS(Tabela10[Exp Gain only 2*+],Tabela10[Drop],DropAnalityka[[#This Row],[Drop]],Tabela10[Grade],DropAnalityka[[#This Row],[Grade]])*DropAnalityka[[#This Row],[Quality/Quantity]],0)</f>
        <v>3200</v>
      </c>
    </row>
    <row r="382" spans="1:12">
      <c r="A382" t="s">
        <v>172</v>
      </c>
      <c r="B382" t="s">
        <v>9</v>
      </c>
      <c r="C382">
        <v>5</v>
      </c>
      <c r="D382">
        <v>2339</v>
      </c>
      <c r="E382">
        <v>3</v>
      </c>
      <c r="F382" t="s">
        <v>34</v>
      </c>
      <c r="G382">
        <v>4</v>
      </c>
      <c r="H382" t="s">
        <v>17</v>
      </c>
      <c r="I382">
        <v>0</v>
      </c>
      <c r="J38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382" s="43">
        <f>IFERROR(SUMIFS(Tabela10[Fod Worth],Tabela10[Drop],DropAnalityka[[#This Row],[Drop]],Tabela10[Grade],DropAnalityka[[#This Row],[Grade]])*DropAnalityka[[#This Row],[Quality/Quantity]],0)</f>
        <v>0</v>
      </c>
      <c r="L382" s="43">
        <f>IFERROR(SUMIFS(Tabela10[Exp Gain only 2*+],Tabela10[Drop],DropAnalityka[[#This Row],[Drop]],Tabela10[Grade],DropAnalityka[[#This Row],[Grade]])*DropAnalityka[[#This Row],[Quality/Quantity]],0)</f>
        <v>3200</v>
      </c>
    </row>
    <row r="383" spans="1:12">
      <c r="A383" t="s">
        <v>8</v>
      </c>
      <c r="B383" t="s">
        <v>32</v>
      </c>
      <c r="C383">
        <v>3</v>
      </c>
      <c r="D383">
        <v>1396</v>
      </c>
      <c r="E383">
        <v>2</v>
      </c>
      <c r="I383">
        <v>1159</v>
      </c>
      <c r="J38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83" s="43">
        <f>IFERROR(SUMIFS(Tabela10[Fod Worth],Tabela10[Drop],DropAnalityka[[#This Row],[Drop]],Tabela10[Grade],DropAnalityka[[#This Row],[Grade]])*DropAnalityka[[#This Row],[Quality/Quantity]],0)</f>
        <v>0</v>
      </c>
      <c r="L383" s="43">
        <f>IFERROR(SUMIFS(Tabela10[Exp Gain only 2*+],Tabela10[Drop],DropAnalityka[[#This Row],[Drop]],Tabela10[Grade],DropAnalityka[[#This Row],[Grade]])*DropAnalityka[[#This Row],[Quality/Quantity]],0)</f>
        <v>0</v>
      </c>
    </row>
    <row r="384" spans="1:12">
      <c r="A384" t="s">
        <v>8</v>
      </c>
      <c r="B384" t="s">
        <v>32</v>
      </c>
      <c r="C384">
        <v>3</v>
      </c>
      <c r="D384">
        <v>1382</v>
      </c>
      <c r="E384">
        <v>1</v>
      </c>
      <c r="F384" t="s">
        <v>34</v>
      </c>
      <c r="G384">
        <v>3</v>
      </c>
      <c r="H384" t="s">
        <v>17</v>
      </c>
      <c r="I384">
        <v>0</v>
      </c>
      <c r="J384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384" s="43">
        <f>IFERROR(SUMIFS(Tabela10[Fod Worth],Tabela10[Drop],DropAnalityka[[#This Row],[Drop]],Tabela10[Grade],DropAnalityka[[#This Row],[Grade]])*DropAnalityka[[#This Row],[Quality/Quantity]],0)</f>
        <v>0</v>
      </c>
      <c r="L384" s="43">
        <f>IFERROR(SUMIFS(Tabela10[Exp Gain only 2*+],Tabela10[Drop],DropAnalityka[[#This Row],[Drop]],Tabela10[Grade],DropAnalityka[[#This Row],[Grade]])*DropAnalityka[[#This Row],[Quality/Quantity]],0)</f>
        <v>2400</v>
      </c>
    </row>
    <row r="385" spans="1:12">
      <c r="A385" t="s">
        <v>8</v>
      </c>
      <c r="B385" t="s">
        <v>32</v>
      </c>
      <c r="C385">
        <v>3</v>
      </c>
      <c r="D385">
        <v>823</v>
      </c>
      <c r="E385">
        <v>1</v>
      </c>
      <c r="I385">
        <v>1159</v>
      </c>
      <c r="J38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85" s="43">
        <f>IFERROR(SUMIFS(Tabela10[Fod Worth],Tabela10[Drop],DropAnalityka[[#This Row],[Drop]],Tabela10[Grade],DropAnalityka[[#This Row],[Grade]])*DropAnalityka[[#This Row],[Quality/Quantity]],0)</f>
        <v>0</v>
      </c>
      <c r="L385" s="43">
        <f>IFERROR(SUMIFS(Tabela10[Exp Gain only 2*+],Tabela10[Drop],DropAnalityka[[#This Row],[Drop]],Tabela10[Grade],DropAnalityka[[#This Row],[Grade]])*DropAnalityka[[#This Row],[Quality/Quantity]],0)</f>
        <v>0</v>
      </c>
    </row>
    <row r="386" spans="1:12">
      <c r="A386" t="s">
        <v>8</v>
      </c>
      <c r="B386" t="s">
        <v>32</v>
      </c>
      <c r="C386">
        <v>3</v>
      </c>
      <c r="D386">
        <v>1300</v>
      </c>
      <c r="E386">
        <v>2</v>
      </c>
      <c r="I386">
        <v>1159</v>
      </c>
      <c r="J38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86" s="43">
        <f>IFERROR(SUMIFS(Tabela10[Fod Worth],Tabela10[Drop],DropAnalityka[[#This Row],[Drop]],Tabela10[Grade],DropAnalityka[[#This Row],[Grade]])*DropAnalityka[[#This Row],[Quality/Quantity]],0)</f>
        <v>0</v>
      </c>
      <c r="L386" s="43">
        <f>IFERROR(SUMIFS(Tabela10[Exp Gain only 2*+],Tabela10[Drop],DropAnalityka[[#This Row],[Drop]],Tabela10[Grade],DropAnalityka[[#This Row],[Grade]])*DropAnalityka[[#This Row],[Quality/Quantity]],0)</f>
        <v>0</v>
      </c>
    </row>
    <row r="387" spans="1:12">
      <c r="A387" t="s">
        <v>8</v>
      </c>
      <c r="B387" t="s">
        <v>32</v>
      </c>
      <c r="C387">
        <v>3</v>
      </c>
      <c r="D387">
        <v>1617</v>
      </c>
      <c r="E387">
        <v>0</v>
      </c>
      <c r="I387">
        <v>1159</v>
      </c>
      <c r="J38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87" s="43">
        <f>IFERROR(SUMIFS(Tabela10[Fod Worth],Tabela10[Drop],DropAnalityka[[#This Row],[Drop]],Tabela10[Grade],DropAnalityka[[#This Row],[Grade]])*DropAnalityka[[#This Row],[Quality/Quantity]],0)</f>
        <v>0</v>
      </c>
      <c r="L387" s="43">
        <f>IFERROR(SUMIFS(Tabela10[Exp Gain only 2*+],Tabela10[Drop],DropAnalityka[[#This Row],[Drop]],Tabela10[Grade],DropAnalityka[[#This Row],[Grade]])*DropAnalityka[[#This Row],[Quality/Quantity]],0)</f>
        <v>0</v>
      </c>
    </row>
    <row r="388" spans="1:12">
      <c r="A388" t="s">
        <v>8</v>
      </c>
      <c r="B388" t="s">
        <v>32</v>
      </c>
      <c r="C388">
        <v>3</v>
      </c>
      <c r="D388">
        <v>1669</v>
      </c>
      <c r="E388">
        <v>2</v>
      </c>
      <c r="I388">
        <v>2067</v>
      </c>
      <c r="J388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88" s="43">
        <f>IFERROR(SUMIFS(Tabela10[Fod Worth],Tabela10[Drop],DropAnalityka[[#This Row],[Drop]],Tabela10[Grade],DropAnalityka[[#This Row],[Grade]])*DropAnalityka[[#This Row],[Quality/Quantity]],0)</f>
        <v>0</v>
      </c>
      <c r="L388" s="43">
        <f>IFERROR(SUMIFS(Tabela10[Exp Gain only 2*+],Tabela10[Drop],DropAnalityka[[#This Row],[Drop]],Tabela10[Grade],DropAnalityka[[#This Row],[Grade]])*DropAnalityka[[#This Row],[Quality/Quantity]],0)</f>
        <v>0</v>
      </c>
    </row>
    <row r="389" spans="1:12">
      <c r="A389" t="s">
        <v>8</v>
      </c>
      <c r="B389" t="s">
        <v>32</v>
      </c>
      <c r="C389">
        <v>3</v>
      </c>
      <c r="D389">
        <v>1400</v>
      </c>
      <c r="E389">
        <v>0</v>
      </c>
      <c r="I389">
        <v>2067</v>
      </c>
      <c r="J389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89" s="43">
        <f>IFERROR(SUMIFS(Tabela10[Fod Worth],Tabela10[Drop],DropAnalityka[[#This Row],[Drop]],Tabela10[Grade],DropAnalityka[[#This Row],[Grade]])*DropAnalityka[[#This Row],[Quality/Quantity]],0)</f>
        <v>0</v>
      </c>
      <c r="L389" s="43">
        <f>IFERROR(SUMIFS(Tabela10[Exp Gain only 2*+],Tabela10[Drop],DropAnalityka[[#This Row],[Drop]],Tabela10[Grade],DropAnalityka[[#This Row],[Grade]])*DropAnalityka[[#This Row],[Quality/Quantity]],0)</f>
        <v>0</v>
      </c>
    </row>
    <row r="390" spans="1:12">
      <c r="A390" t="s">
        <v>8</v>
      </c>
      <c r="B390" t="s">
        <v>32</v>
      </c>
      <c r="C390">
        <v>3</v>
      </c>
      <c r="D390">
        <v>1299</v>
      </c>
      <c r="E390">
        <v>1</v>
      </c>
      <c r="I390">
        <v>1159</v>
      </c>
      <c r="J39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90" s="43">
        <f>IFERROR(SUMIFS(Tabela10[Fod Worth],Tabela10[Drop],DropAnalityka[[#This Row],[Drop]],Tabela10[Grade],DropAnalityka[[#This Row],[Grade]])*DropAnalityka[[#This Row],[Quality/Quantity]],0)</f>
        <v>0</v>
      </c>
      <c r="L390" s="43">
        <f>IFERROR(SUMIFS(Tabela10[Exp Gain only 2*+],Tabela10[Drop],DropAnalityka[[#This Row],[Drop]],Tabela10[Grade],DropAnalityka[[#This Row],[Grade]])*DropAnalityka[[#This Row],[Quality/Quantity]],0)</f>
        <v>0</v>
      </c>
    </row>
    <row r="391" spans="1:12">
      <c r="A391" t="s">
        <v>8</v>
      </c>
      <c r="B391" t="s">
        <v>32</v>
      </c>
      <c r="C391">
        <v>3</v>
      </c>
      <c r="D391">
        <v>1135</v>
      </c>
      <c r="E391">
        <v>1</v>
      </c>
      <c r="I391">
        <v>1159</v>
      </c>
      <c r="J39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91" s="43">
        <f>IFERROR(SUMIFS(Tabela10[Fod Worth],Tabela10[Drop],DropAnalityka[[#This Row],[Drop]],Tabela10[Grade],DropAnalityka[[#This Row],[Grade]])*DropAnalityka[[#This Row],[Quality/Quantity]],0)</f>
        <v>0</v>
      </c>
      <c r="L391" s="43">
        <f>IFERROR(SUMIFS(Tabela10[Exp Gain only 2*+],Tabela10[Drop],DropAnalityka[[#This Row],[Drop]],Tabela10[Grade],DropAnalityka[[#This Row],[Grade]])*DropAnalityka[[#This Row],[Quality/Quantity]],0)</f>
        <v>0</v>
      </c>
    </row>
    <row r="392" spans="1:12">
      <c r="A392" t="s">
        <v>8</v>
      </c>
      <c r="B392" t="s">
        <v>32</v>
      </c>
      <c r="C392">
        <v>3</v>
      </c>
      <c r="D392">
        <v>1659</v>
      </c>
      <c r="E392">
        <v>1</v>
      </c>
      <c r="I392">
        <v>1546</v>
      </c>
      <c r="J392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392" s="43">
        <f>IFERROR(SUMIFS(Tabela10[Fod Worth],Tabela10[Drop],DropAnalityka[[#This Row],[Drop]],Tabela10[Grade],DropAnalityka[[#This Row],[Grade]])*DropAnalityka[[#This Row],[Quality/Quantity]],0)</f>
        <v>0</v>
      </c>
      <c r="L392" s="43">
        <f>IFERROR(SUMIFS(Tabela10[Exp Gain only 2*+],Tabela10[Drop],DropAnalityka[[#This Row],[Drop]],Tabela10[Grade],DropAnalityka[[#This Row],[Grade]])*DropAnalityka[[#This Row],[Quality/Quantity]],0)</f>
        <v>0</v>
      </c>
    </row>
    <row r="393" spans="1:12">
      <c r="A393" t="s">
        <v>8</v>
      </c>
      <c r="B393" t="s">
        <v>32</v>
      </c>
      <c r="C393">
        <v>3</v>
      </c>
      <c r="D393">
        <v>1820</v>
      </c>
      <c r="E393">
        <v>2</v>
      </c>
      <c r="I393">
        <v>1159</v>
      </c>
      <c r="J39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93" s="43">
        <f>IFERROR(SUMIFS(Tabela10[Fod Worth],Tabela10[Drop],DropAnalityka[[#This Row],[Drop]],Tabela10[Grade],DropAnalityka[[#This Row],[Grade]])*DropAnalityka[[#This Row],[Quality/Quantity]],0)</f>
        <v>0</v>
      </c>
      <c r="L393" s="43">
        <f>IFERROR(SUMIFS(Tabela10[Exp Gain only 2*+],Tabela10[Drop],DropAnalityka[[#This Row],[Drop]],Tabela10[Grade],DropAnalityka[[#This Row],[Grade]])*DropAnalityka[[#This Row],[Quality/Quantity]],0)</f>
        <v>0</v>
      </c>
    </row>
    <row r="394" spans="1:12">
      <c r="A394" t="s">
        <v>8</v>
      </c>
      <c r="B394" t="s">
        <v>32</v>
      </c>
      <c r="C394">
        <v>3</v>
      </c>
      <c r="D394">
        <v>1567</v>
      </c>
      <c r="E394">
        <v>1</v>
      </c>
      <c r="I394">
        <v>1352</v>
      </c>
      <c r="J394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394" s="43">
        <f>IFERROR(SUMIFS(Tabela10[Fod Worth],Tabela10[Drop],DropAnalityka[[#This Row],[Drop]],Tabela10[Grade],DropAnalityka[[#This Row],[Grade]])*DropAnalityka[[#This Row],[Quality/Quantity]],0)</f>
        <v>0</v>
      </c>
      <c r="L394" s="43">
        <f>IFERROR(SUMIFS(Tabela10[Exp Gain only 2*+],Tabela10[Drop],DropAnalityka[[#This Row],[Drop]],Tabela10[Grade],DropAnalityka[[#This Row],[Grade]])*DropAnalityka[[#This Row],[Quality/Quantity]],0)</f>
        <v>0</v>
      </c>
    </row>
    <row r="395" spans="1:12">
      <c r="A395" t="s">
        <v>8</v>
      </c>
      <c r="B395" t="s">
        <v>32</v>
      </c>
      <c r="C395">
        <v>3</v>
      </c>
      <c r="D395">
        <v>1417</v>
      </c>
      <c r="E395">
        <v>1</v>
      </c>
      <c r="I395">
        <v>2067</v>
      </c>
      <c r="J395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95" s="43">
        <f>IFERROR(SUMIFS(Tabela10[Fod Worth],Tabela10[Drop],DropAnalityka[[#This Row],[Drop]],Tabela10[Grade],DropAnalityka[[#This Row],[Grade]])*DropAnalityka[[#This Row],[Quality/Quantity]],0)</f>
        <v>0</v>
      </c>
      <c r="L395" s="43">
        <f>IFERROR(SUMIFS(Tabela10[Exp Gain only 2*+],Tabela10[Drop],DropAnalityka[[#This Row],[Drop]],Tabela10[Grade],DropAnalityka[[#This Row],[Grade]])*DropAnalityka[[#This Row],[Quality/Quantity]],0)</f>
        <v>0</v>
      </c>
    </row>
    <row r="396" spans="1:12">
      <c r="A396" t="s">
        <v>8</v>
      </c>
      <c r="B396" t="s">
        <v>32</v>
      </c>
      <c r="C396">
        <v>3</v>
      </c>
      <c r="D396">
        <v>1149</v>
      </c>
      <c r="E396">
        <v>0</v>
      </c>
      <c r="I396">
        <v>1546</v>
      </c>
      <c r="J396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396" s="43">
        <f>IFERROR(SUMIFS(Tabela10[Fod Worth],Tabela10[Drop],DropAnalityka[[#This Row],[Drop]],Tabela10[Grade],DropAnalityka[[#This Row],[Grade]])*DropAnalityka[[#This Row],[Quality/Quantity]],0)</f>
        <v>0</v>
      </c>
      <c r="L396" s="43">
        <f>IFERROR(SUMIFS(Tabela10[Exp Gain only 2*+],Tabela10[Drop],DropAnalityka[[#This Row],[Drop]],Tabela10[Grade],DropAnalityka[[#This Row],[Grade]])*DropAnalityka[[#This Row],[Quality/Quantity]],0)</f>
        <v>0</v>
      </c>
    </row>
    <row r="397" spans="1:12">
      <c r="A397" t="s">
        <v>8</v>
      </c>
      <c r="B397" t="s">
        <v>32</v>
      </c>
      <c r="C397">
        <v>3</v>
      </c>
      <c r="D397">
        <v>999</v>
      </c>
      <c r="E397">
        <v>2</v>
      </c>
      <c r="I397">
        <v>2067</v>
      </c>
      <c r="J397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397" s="43">
        <f>IFERROR(SUMIFS(Tabela10[Fod Worth],Tabela10[Drop],DropAnalityka[[#This Row],[Drop]],Tabela10[Grade],DropAnalityka[[#This Row],[Grade]])*DropAnalityka[[#This Row],[Quality/Quantity]],0)</f>
        <v>0</v>
      </c>
      <c r="L397" s="43">
        <f>IFERROR(SUMIFS(Tabela10[Exp Gain only 2*+],Tabela10[Drop],DropAnalityka[[#This Row],[Drop]],Tabela10[Grade],DropAnalityka[[#This Row],[Grade]])*DropAnalityka[[#This Row],[Quality/Quantity]],0)</f>
        <v>0</v>
      </c>
    </row>
    <row r="398" spans="1:12">
      <c r="A398" t="s">
        <v>8</v>
      </c>
      <c r="B398" t="s">
        <v>32</v>
      </c>
      <c r="C398">
        <v>3</v>
      </c>
      <c r="D398">
        <v>1041</v>
      </c>
      <c r="E398">
        <v>1</v>
      </c>
      <c r="I398">
        <v>1159</v>
      </c>
      <c r="J39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398" s="43">
        <f>IFERROR(SUMIFS(Tabela10[Fod Worth],Tabela10[Drop],DropAnalityka[[#This Row],[Drop]],Tabela10[Grade],DropAnalityka[[#This Row],[Grade]])*DropAnalityka[[#This Row],[Quality/Quantity]],0)</f>
        <v>0</v>
      </c>
      <c r="L398" s="43">
        <f>IFERROR(SUMIFS(Tabela10[Exp Gain only 2*+],Tabela10[Drop],DropAnalityka[[#This Row],[Drop]],Tabela10[Grade],DropAnalityka[[#This Row],[Grade]])*DropAnalityka[[#This Row],[Quality/Quantity]],0)</f>
        <v>0</v>
      </c>
    </row>
    <row r="399" spans="1:12">
      <c r="A399" t="s">
        <v>8</v>
      </c>
      <c r="B399" t="s">
        <v>32</v>
      </c>
      <c r="C399">
        <v>3</v>
      </c>
      <c r="D399">
        <v>1428</v>
      </c>
      <c r="E399">
        <v>1</v>
      </c>
      <c r="I399">
        <v>1352</v>
      </c>
      <c r="J399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399" s="43">
        <f>IFERROR(SUMIFS(Tabela10[Fod Worth],Tabela10[Drop],DropAnalityka[[#This Row],[Drop]],Tabela10[Grade],DropAnalityka[[#This Row],[Grade]])*DropAnalityka[[#This Row],[Quality/Quantity]],0)</f>
        <v>0</v>
      </c>
      <c r="L399" s="43">
        <f>IFERROR(SUMIFS(Tabela10[Exp Gain only 2*+],Tabela10[Drop],DropAnalityka[[#This Row],[Drop]],Tabela10[Grade],DropAnalityka[[#This Row],[Grade]])*DropAnalityka[[#This Row],[Quality/Quantity]],0)</f>
        <v>0</v>
      </c>
    </row>
    <row r="400" spans="1:12">
      <c r="A400" t="s">
        <v>8</v>
      </c>
      <c r="B400" t="s">
        <v>32</v>
      </c>
      <c r="C400">
        <v>3</v>
      </c>
      <c r="D400">
        <v>1853</v>
      </c>
      <c r="E400">
        <v>0</v>
      </c>
      <c r="F400" t="s">
        <v>34</v>
      </c>
      <c r="G400">
        <v>3</v>
      </c>
      <c r="H400" t="s">
        <v>17</v>
      </c>
      <c r="I400">
        <v>0</v>
      </c>
      <c r="J400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00" s="43">
        <f>IFERROR(SUMIFS(Tabela10[Fod Worth],Tabela10[Drop],DropAnalityka[[#This Row],[Drop]],Tabela10[Grade],DropAnalityka[[#This Row],[Grade]])*DropAnalityka[[#This Row],[Quality/Quantity]],0)</f>
        <v>0</v>
      </c>
      <c r="L400" s="43">
        <f>IFERROR(SUMIFS(Tabela10[Exp Gain only 2*+],Tabela10[Drop],DropAnalityka[[#This Row],[Drop]],Tabela10[Grade],DropAnalityka[[#This Row],[Grade]])*DropAnalityka[[#This Row],[Quality/Quantity]],0)</f>
        <v>2400</v>
      </c>
    </row>
    <row r="401" spans="1:12">
      <c r="A401" t="s">
        <v>8</v>
      </c>
      <c r="B401" t="s">
        <v>32</v>
      </c>
      <c r="C401">
        <v>3</v>
      </c>
      <c r="D401">
        <v>2455</v>
      </c>
      <c r="E401">
        <v>2</v>
      </c>
      <c r="I401">
        <v>1159</v>
      </c>
      <c r="J40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01" s="43">
        <f>IFERROR(SUMIFS(Tabela10[Fod Worth],Tabela10[Drop],DropAnalityka[[#This Row],[Drop]],Tabela10[Grade],DropAnalityka[[#This Row],[Grade]])*DropAnalityka[[#This Row],[Quality/Quantity]],0)</f>
        <v>0</v>
      </c>
      <c r="L401" s="43">
        <f>IFERROR(SUMIFS(Tabela10[Exp Gain only 2*+],Tabela10[Drop],DropAnalityka[[#This Row],[Drop]],Tabela10[Grade],DropAnalityka[[#This Row],[Grade]])*DropAnalityka[[#This Row],[Quality/Quantity]],0)</f>
        <v>0</v>
      </c>
    </row>
    <row r="402" spans="1:12">
      <c r="A402" t="s">
        <v>8</v>
      </c>
      <c r="B402" t="s">
        <v>32</v>
      </c>
      <c r="C402">
        <v>3</v>
      </c>
      <c r="D402">
        <v>1681</v>
      </c>
      <c r="E402">
        <v>1</v>
      </c>
      <c r="I402">
        <v>1546</v>
      </c>
      <c r="J402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402" s="43">
        <f>IFERROR(SUMIFS(Tabela10[Fod Worth],Tabela10[Drop],DropAnalityka[[#This Row],[Drop]],Tabela10[Grade],DropAnalityka[[#This Row],[Grade]])*DropAnalityka[[#This Row],[Quality/Quantity]],0)</f>
        <v>0</v>
      </c>
      <c r="L402" s="43">
        <f>IFERROR(SUMIFS(Tabela10[Exp Gain only 2*+],Tabela10[Drop],DropAnalityka[[#This Row],[Drop]],Tabela10[Grade],DropAnalityka[[#This Row],[Grade]])*DropAnalityka[[#This Row],[Quality/Quantity]],0)</f>
        <v>0</v>
      </c>
    </row>
    <row r="403" spans="1:12">
      <c r="A403" t="s">
        <v>8</v>
      </c>
      <c r="B403" t="s">
        <v>32</v>
      </c>
      <c r="C403">
        <v>3</v>
      </c>
      <c r="D403">
        <v>824</v>
      </c>
      <c r="E403">
        <v>0</v>
      </c>
      <c r="F403" t="s">
        <v>34</v>
      </c>
      <c r="G403">
        <v>3</v>
      </c>
      <c r="H403" t="s">
        <v>17</v>
      </c>
      <c r="I403">
        <v>0</v>
      </c>
      <c r="J40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03" s="43">
        <f>IFERROR(SUMIFS(Tabela10[Fod Worth],Tabela10[Drop],DropAnalityka[[#This Row],[Drop]],Tabela10[Grade],DropAnalityka[[#This Row],[Grade]])*DropAnalityka[[#This Row],[Quality/Quantity]],0)</f>
        <v>0</v>
      </c>
      <c r="L403" s="43">
        <f>IFERROR(SUMIFS(Tabela10[Exp Gain only 2*+],Tabela10[Drop],DropAnalityka[[#This Row],[Drop]],Tabela10[Grade],DropAnalityka[[#This Row],[Grade]])*DropAnalityka[[#This Row],[Quality/Quantity]],0)</f>
        <v>2400</v>
      </c>
    </row>
    <row r="404" spans="1:12">
      <c r="A404" t="s">
        <v>8</v>
      </c>
      <c r="B404" t="s">
        <v>32</v>
      </c>
      <c r="C404">
        <v>3</v>
      </c>
      <c r="D404">
        <v>1214</v>
      </c>
      <c r="E404">
        <v>1</v>
      </c>
      <c r="I404">
        <v>1159</v>
      </c>
      <c r="J40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04" s="43">
        <f>IFERROR(SUMIFS(Tabela10[Fod Worth],Tabela10[Drop],DropAnalityka[[#This Row],[Drop]],Tabela10[Grade],DropAnalityka[[#This Row],[Grade]])*DropAnalityka[[#This Row],[Quality/Quantity]],0)</f>
        <v>0</v>
      </c>
      <c r="L404" s="43">
        <f>IFERROR(SUMIFS(Tabela10[Exp Gain only 2*+],Tabela10[Drop],DropAnalityka[[#This Row],[Drop]],Tabela10[Grade],DropAnalityka[[#This Row],[Grade]])*DropAnalityka[[#This Row],[Quality/Quantity]],0)</f>
        <v>0</v>
      </c>
    </row>
    <row r="405" spans="1:12">
      <c r="A405" t="s">
        <v>8</v>
      </c>
      <c r="B405" t="s">
        <v>32</v>
      </c>
      <c r="C405">
        <v>3</v>
      </c>
      <c r="D405">
        <v>1917</v>
      </c>
      <c r="E405">
        <v>2</v>
      </c>
      <c r="I405">
        <v>1159</v>
      </c>
      <c r="J40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05" s="43">
        <f>IFERROR(SUMIFS(Tabela10[Fod Worth],Tabela10[Drop],DropAnalityka[[#This Row],[Drop]],Tabela10[Grade],DropAnalityka[[#This Row],[Grade]])*DropAnalityka[[#This Row],[Quality/Quantity]],0)</f>
        <v>0</v>
      </c>
      <c r="L405" s="43">
        <f>IFERROR(SUMIFS(Tabela10[Exp Gain only 2*+],Tabela10[Drop],DropAnalityka[[#This Row],[Drop]],Tabela10[Grade],DropAnalityka[[#This Row],[Grade]])*DropAnalityka[[#This Row],[Quality/Quantity]],0)</f>
        <v>0</v>
      </c>
    </row>
    <row r="406" spans="1:12">
      <c r="A406" t="s">
        <v>8</v>
      </c>
      <c r="B406" t="s">
        <v>32</v>
      </c>
      <c r="C406">
        <v>3</v>
      </c>
      <c r="D406">
        <v>404</v>
      </c>
      <c r="E406">
        <v>0</v>
      </c>
      <c r="I406">
        <v>2067</v>
      </c>
      <c r="J40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06" s="43">
        <f>IFERROR(SUMIFS(Tabela10[Fod Worth],Tabela10[Drop],DropAnalityka[[#This Row],[Drop]],Tabela10[Grade],DropAnalityka[[#This Row],[Grade]])*DropAnalityka[[#This Row],[Quality/Quantity]],0)</f>
        <v>0</v>
      </c>
      <c r="L406" s="43">
        <f>IFERROR(SUMIFS(Tabela10[Exp Gain only 2*+],Tabela10[Drop],DropAnalityka[[#This Row],[Drop]],Tabela10[Grade],DropAnalityka[[#This Row],[Grade]])*DropAnalityka[[#This Row],[Quality/Quantity]],0)</f>
        <v>0</v>
      </c>
    </row>
    <row r="407" spans="1:12">
      <c r="A407" t="s">
        <v>8</v>
      </c>
      <c r="B407" t="s">
        <v>32</v>
      </c>
      <c r="C407">
        <v>3</v>
      </c>
      <c r="D407">
        <v>991</v>
      </c>
      <c r="E407">
        <v>0</v>
      </c>
      <c r="I407">
        <v>1159</v>
      </c>
      <c r="J40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07" s="43">
        <f>IFERROR(SUMIFS(Tabela10[Fod Worth],Tabela10[Drop],DropAnalityka[[#This Row],[Drop]],Tabela10[Grade],DropAnalityka[[#This Row],[Grade]])*DropAnalityka[[#This Row],[Quality/Quantity]],0)</f>
        <v>0</v>
      </c>
      <c r="L407" s="43">
        <f>IFERROR(SUMIFS(Tabela10[Exp Gain only 2*+],Tabela10[Drop],DropAnalityka[[#This Row],[Drop]],Tabela10[Grade],DropAnalityka[[#This Row],[Grade]])*DropAnalityka[[#This Row],[Quality/Quantity]],0)</f>
        <v>0</v>
      </c>
    </row>
    <row r="408" spans="1:12">
      <c r="A408" t="s">
        <v>8</v>
      </c>
      <c r="B408" t="s">
        <v>32</v>
      </c>
      <c r="C408">
        <v>3</v>
      </c>
      <c r="D408">
        <v>1585</v>
      </c>
      <c r="E408">
        <v>0</v>
      </c>
      <c r="I408">
        <v>1159</v>
      </c>
      <c r="J40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08" s="43">
        <f>IFERROR(SUMIFS(Tabela10[Fod Worth],Tabela10[Drop],DropAnalityka[[#This Row],[Drop]],Tabela10[Grade],DropAnalityka[[#This Row],[Grade]])*DropAnalityka[[#This Row],[Quality/Quantity]],0)</f>
        <v>0</v>
      </c>
      <c r="L408" s="43">
        <f>IFERROR(SUMIFS(Tabela10[Exp Gain only 2*+],Tabela10[Drop],DropAnalityka[[#This Row],[Drop]],Tabela10[Grade],DropAnalityka[[#This Row],[Grade]])*DropAnalityka[[#This Row],[Quality/Quantity]],0)</f>
        <v>0</v>
      </c>
    </row>
    <row r="409" spans="1:12">
      <c r="A409" t="s">
        <v>8</v>
      </c>
      <c r="B409" t="s">
        <v>32</v>
      </c>
      <c r="C409">
        <v>3</v>
      </c>
      <c r="D409">
        <v>1099</v>
      </c>
      <c r="E409">
        <v>1</v>
      </c>
      <c r="I409">
        <v>1352</v>
      </c>
      <c r="J409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409" s="43">
        <f>IFERROR(SUMIFS(Tabela10[Fod Worth],Tabela10[Drop],DropAnalityka[[#This Row],[Drop]],Tabela10[Grade],DropAnalityka[[#This Row],[Grade]])*DropAnalityka[[#This Row],[Quality/Quantity]],0)</f>
        <v>0</v>
      </c>
      <c r="L409" s="43">
        <f>IFERROR(SUMIFS(Tabela10[Exp Gain only 2*+],Tabela10[Drop],DropAnalityka[[#This Row],[Drop]],Tabela10[Grade],DropAnalityka[[#This Row],[Grade]])*DropAnalityka[[#This Row],[Quality/Quantity]],0)</f>
        <v>0</v>
      </c>
    </row>
    <row r="410" spans="1:12">
      <c r="A410" t="s">
        <v>8</v>
      </c>
      <c r="B410" t="s">
        <v>32</v>
      </c>
      <c r="C410">
        <v>3</v>
      </c>
      <c r="D410">
        <v>1444</v>
      </c>
      <c r="E410">
        <v>0</v>
      </c>
      <c r="I410">
        <v>1739</v>
      </c>
      <c r="J410">
        <f>DropAnalityka[[#This Row],[Sell Drop]]+IFERROR(SUMIFS(Tabela10[Drop Worth],Tabela10[Drop],DropAnalityka[[#This Row],[Drop]],Tabela10[Grade],DropAnalityka[[#This Row],[Grade]])*DropAnalityka[[#This Row],[Quality/Quantity]],0)</f>
        <v>1739</v>
      </c>
      <c r="K410" s="43">
        <f>IFERROR(SUMIFS(Tabela10[Fod Worth],Tabela10[Drop],DropAnalityka[[#This Row],[Drop]],Tabela10[Grade],DropAnalityka[[#This Row],[Grade]])*DropAnalityka[[#This Row],[Quality/Quantity]],0)</f>
        <v>0</v>
      </c>
      <c r="L410" s="43">
        <f>IFERROR(SUMIFS(Tabela10[Exp Gain only 2*+],Tabela10[Drop],DropAnalityka[[#This Row],[Drop]],Tabela10[Grade],DropAnalityka[[#This Row],[Grade]])*DropAnalityka[[#This Row],[Quality/Quantity]],0)</f>
        <v>0</v>
      </c>
    </row>
    <row r="411" spans="1:12">
      <c r="A411" t="s">
        <v>8</v>
      </c>
      <c r="B411" t="s">
        <v>32</v>
      </c>
      <c r="C411">
        <v>3</v>
      </c>
      <c r="D411">
        <v>1206</v>
      </c>
      <c r="E411">
        <v>1</v>
      </c>
      <c r="I411">
        <v>1159</v>
      </c>
      <c r="J41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11" s="43">
        <f>IFERROR(SUMIFS(Tabela10[Fod Worth],Tabela10[Drop],DropAnalityka[[#This Row],[Drop]],Tabela10[Grade],DropAnalityka[[#This Row],[Grade]])*DropAnalityka[[#This Row],[Quality/Quantity]],0)</f>
        <v>0</v>
      </c>
      <c r="L411" s="43">
        <f>IFERROR(SUMIFS(Tabela10[Exp Gain only 2*+],Tabela10[Drop],DropAnalityka[[#This Row],[Drop]],Tabela10[Grade],DropAnalityka[[#This Row],[Grade]])*DropAnalityka[[#This Row],[Quality/Quantity]],0)</f>
        <v>0</v>
      </c>
    </row>
    <row r="412" spans="1:12">
      <c r="A412" t="s">
        <v>8</v>
      </c>
      <c r="B412" t="s">
        <v>32</v>
      </c>
      <c r="C412">
        <v>3</v>
      </c>
      <c r="D412">
        <v>2034</v>
      </c>
      <c r="E412">
        <v>3</v>
      </c>
      <c r="I412">
        <v>1159</v>
      </c>
      <c r="J41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12" s="43">
        <f>IFERROR(SUMIFS(Tabela10[Fod Worth],Tabela10[Drop],DropAnalityka[[#This Row],[Drop]],Tabela10[Grade],DropAnalityka[[#This Row],[Grade]])*DropAnalityka[[#This Row],[Quality/Quantity]],0)</f>
        <v>0</v>
      </c>
      <c r="L412" s="43">
        <f>IFERROR(SUMIFS(Tabela10[Exp Gain only 2*+],Tabela10[Drop],DropAnalityka[[#This Row],[Drop]],Tabela10[Grade],DropAnalityka[[#This Row],[Grade]])*DropAnalityka[[#This Row],[Quality/Quantity]],0)</f>
        <v>0</v>
      </c>
    </row>
    <row r="413" spans="1:12">
      <c r="A413" t="s">
        <v>8</v>
      </c>
      <c r="B413" t="s">
        <v>32</v>
      </c>
      <c r="C413">
        <v>3</v>
      </c>
      <c r="D413">
        <v>2474</v>
      </c>
      <c r="E413">
        <v>0</v>
      </c>
      <c r="F413" t="s">
        <v>34</v>
      </c>
      <c r="G413">
        <v>3</v>
      </c>
      <c r="H413" t="s">
        <v>17</v>
      </c>
      <c r="I413">
        <v>0</v>
      </c>
      <c r="J41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13" s="43">
        <f>IFERROR(SUMIFS(Tabela10[Fod Worth],Tabela10[Drop],DropAnalityka[[#This Row],[Drop]],Tabela10[Grade],DropAnalityka[[#This Row],[Grade]])*DropAnalityka[[#This Row],[Quality/Quantity]],0)</f>
        <v>0</v>
      </c>
      <c r="L413" s="43">
        <f>IFERROR(SUMIFS(Tabela10[Exp Gain only 2*+],Tabela10[Drop],DropAnalityka[[#This Row],[Drop]],Tabela10[Grade],DropAnalityka[[#This Row],[Grade]])*DropAnalityka[[#This Row],[Quality/Quantity]],0)</f>
        <v>2400</v>
      </c>
    </row>
    <row r="414" spans="1:12">
      <c r="A414" t="s">
        <v>8</v>
      </c>
      <c r="B414" t="s">
        <v>32</v>
      </c>
      <c r="C414">
        <v>3</v>
      </c>
      <c r="D414">
        <v>1210</v>
      </c>
      <c r="E414">
        <v>2</v>
      </c>
      <c r="I414">
        <v>1352</v>
      </c>
      <c r="J414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414" s="43">
        <f>IFERROR(SUMIFS(Tabela10[Fod Worth],Tabela10[Drop],DropAnalityka[[#This Row],[Drop]],Tabela10[Grade],DropAnalityka[[#This Row],[Grade]])*DropAnalityka[[#This Row],[Quality/Quantity]],0)</f>
        <v>0</v>
      </c>
      <c r="L414" s="43">
        <f>IFERROR(SUMIFS(Tabela10[Exp Gain only 2*+],Tabela10[Drop],DropAnalityka[[#This Row],[Drop]],Tabela10[Grade],DropAnalityka[[#This Row],[Grade]])*DropAnalityka[[#This Row],[Quality/Quantity]],0)</f>
        <v>0</v>
      </c>
    </row>
    <row r="415" spans="1:12">
      <c r="A415" t="s">
        <v>8</v>
      </c>
      <c r="B415" t="s">
        <v>32</v>
      </c>
      <c r="C415">
        <v>3</v>
      </c>
      <c r="D415">
        <v>1838</v>
      </c>
      <c r="E415">
        <v>0</v>
      </c>
      <c r="I415">
        <v>1159</v>
      </c>
      <c r="J41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15" s="43">
        <f>IFERROR(SUMIFS(Tabela10[Fod Worth],Tabela10[Drop],DropAnalityka[[#This Row],[Drop]],Tabela10[Grade],DropAnalityka[[#This Row],[Grade]])*DropAnalityka[[#This Row],[Quality/Quantity]],0)</f>
        <v>0</v>
      </c>
      <c r="L415" s="43">
        <f>IFERROR(SUMIFS(Tabela10[Exp Gain only 2*+],Tabela10[Drop],DropAnalityka[[#This Row],[Drop]],Tabela10[Grade],DropAnalityka[[#This Row],[Grade]])*DropAnalityka[[#This Row],[Quality/Quantity]],0)</f>
        <v>0</v>
      </c>
    </row>
    <row r="416" spans="1:12">
      <c r="A416" t="s">
        <v>8</v>
      </c>
      <c r="B416" t="s">
        <v>32</v>
      </c>
      <c r="C416">
        <v>3</v>
      </c>
      <c r="D416">
        <v>1620</v>
      </c>
      <c r="E416">
        <v>1</v>
      </c>
      <c r="I416">
        <v>1159</v>
      </c>
      <c r="J41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16" s="43">
        <f>IFERROR(SUMIFS(Tabela10[Fod Worth],Tabela10[Drop],DropAnalityka[[#This Row],[Drop]],Tabela10[Grade],DropAnalityka[[#This Row],[Grade]])*DropAnalityka[[#This Row],[Quality/Quantity]],0)</f>
        <v>0</v>
      </c>
      <c r="L416" s="43">
        <f>IFERROR(SUMIFS(Tabela10[Exp Gain only 2*+],Tabela10[Drop],DropAnalityka[[#This Row],[Drop]],Tabela10[Grade],DropAnalityka[[#This Row],[Grade]])*DropAnalityka[[#This Row],[Quality/Quantity]],0)</f>
        <v>0</v>
      </c>
    </row>
    <row r="417" spans="1:12">
      <c r="A417" t="s">
        <v>8</v>
      </c>
      <c r="B417" t="s">
        <v>32</v>
      </c>
      <c r="C417">
        <v>3</v>
      </c>
      <c r="D417">
        <v>1629</v>
      </c>
      <c r="E417">
        <v>1</v>
      </c>
      <c r="I417">
        <v>2750</v>
      </c>
      <c r="J417">
        <f>DropAnalityka[[#This Row],[Sell Drop]]+IFERROR(SUMIFS(Tabela10[Drop Worth],Tabela10[Drop],DropAnalityka[[#This Row],[Drop]],Tabela10[Grade],DropAnalityka[[#This Row],[Grade]])*DropAnalityka[[#This Row],[Quality/Quantity]],0)</f>
        <v>2750</v>
      </c>
      <c r="K417" s="43">
        <f>IFERROR(SUMIFS(Tabela10[Fod Worth],Tabela10[Drop],DropAnalityka[[#This Row],[Drop]],Tabela10[Grade],DropAnalityka[[#This Row],[Grade]])*DropAnalityka[[#This Row],[Quality/Quantity]],0)</f>
        <v>0</v>
      </c>
      <c r="L417" s="43">
        <f>IFERROR(SUMIFS(Tabela10[Exp Gain only 2*+],Tabela10[Drop],DropAnalityka[[#This Row],[Drop]],Tabela10[Grade],DropAnalityka[[#This Row],[Grade]])*DropAnalityka[[#This Row],[Quality/Quantity]],0)</f>
        <v>0</v>
      </c>
    </row>
    <row r="418" spans="1:12">
      <c r="A418" t="s">
        <v>8</v>
      </c>
      <c r="B418" t="s">
        <v>32</v>
      </c>
      <c r="C418">
        <v>3</v>
      </c>
      <c r="D418">
        <v>1374</v>
      </c>
      <c r="E418">
        <v>1</v>
      </c>
      <c r="F418" t="s">
        <v>34</v>
      </c>
      <c r="G418">
        <v>3</v>
      </c>
      <c r="H418" t="s">
        <v>17</v>
      </c>
      <c r="I418">
        <v>0</v>
      </c>
      <c r="J418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18" s="43">
        <f>IFERROR(SUMIFS(Tabela10[Fod Worth],Tabela10[Drop],DropAnalityka[[#This Row],[Drop]],Tabela10[Grade],DropAnalityka[[#This Row],[Grade]])*DropAnalityka[[#This Row],[Quality/Quantity]],0)</f>
        <v>0</v>
      </c>
      <c r="L418" s="43">
        <f>IFERROR(SUMIFS(Tabela10[Exp Gain only 2*+],Tabela10[Drop],DropAnalityka[[#This Row],[Drop]],Tabela10[Grade],DropAnalityka[[#This Row],[Grade]])*DropAnalityka[[#This Row],[Quality/Quantity]],0)</f>
        <v>2400</v>
      </c>
    </row>
    <row r="419" spans="1:12">
      <c r="A419" t="s">
        <v>8</v>
      </c>
      <c r="B419" t="s">
        <v>32</v>
      </c>
      <c r="C419">
        <v>3</v>
      </c>
      <c r="D419">
        <v>1637</v>
      </c>
      <c r="E419">
        <v>0</v>
      </c>
      <c r="I419">
        <v>1352</v>
      </c>
      <c r="J419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419" s="43">
        <f>IFERROR(SUMIFS(Tabela10[Fod Worth],Tabela10[Drop],DropAnalityka[[#This Row],[Drop]],Tabela10[Grade],DropAnalityka[[#This Row],[Grade]])*DropAnalityka[[#This Row],[Quality/Quantity]],0)</f>
        <v>0</v>
      </c>
      <c r="L419" s="43">
        <f>IFERROR(SUMIFS(Tabela10[Exp Gain only 2*+],Tabela10[Drop],DropAnalityka[[#This Row],[Drop]],Tabela10[Grade],DropAnalityka[[#This Row],[Grade]])*DropAnalityka[[#This Row],[Quality/Quantity]],0)</f>
        <v>0</v>
      </c>
    </row>
    <row r="420" spans="1:12">
      <c r="A420" t="s">
        <v>8</v>
      </c>
      <c r="B420" t="s">
        <v>32</v>
      </c>
      <c r="C420">
        <v>3</v>
      </c>
      <c r="D420">
        <v>1846</v>
      </c>
      <c r="E420">
        <v>1</v>
      </c>
      <c r="I420">
        <v>1159</v>
      </c>
      <c r="J42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20" s="43">
        <f>IFERROR(SUMIFS(Tabela10[Fod Worth],Tabela10[Drop],DropAnalityka[[#This Row],[Drop]],Tabela10[Grade],DropAnalityka[[#This Row],[Grade]])*DropAnalityka[[#This Row],[Quality/Quantity]],0)</f>
        <v>0</v>
      </c>
      <c r="L420" s="43">
        <f>IFERROR(SUMIFS(Tabela10[Exp Gain only 2*+],Tabela10[Drop],DropAnalityka[[#This Row],[Drop]],Tabela10[Grade],DropAnalityka[[#This Row],[Grade]])*DropAnalityka[[#This Row],[Quality/Quantity]],0)</f>
        <v>0</v>
      </c>
    </row>
    <row r="421" spans="1:12">
      <c r="A421" t="s">
        <v>8</v>
      </c>
      <c r="B421" t="s">
        <v>32</v>
      </c>
      <c r="C421">
        <v>3</v>
      </c>
      <c r="D421">
        <v>1617</v>
      </c>
      <c r="E421">
        <v>1</v>
      </c>
      <c r="I421">
        <v>2756</v>
      </c>
      <c r="J421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421" s="43">
        <f>IFERROR(SUMIFS(Tabela10[Fod Worth],Tabela10[Drop],DropAnalityka[[#This Row],[Drop]],Tabela10[Grade],DropAnalityka[[#This Row],[Grade]])*DropAnalityka[[#This Row],[Quality/Quantity]],0)</f>
        <v>0</v>
      </c>
      <c r="L421" s="43">
        <f>IFERROR(SUMIFS(Tabela10[Exp Gain only 2*+],Tabela10[Drop],DropAnalityka[[#This Row],[Drop]],Tabela10[Grade],DropAnalityka[[#This Row],[Grade]])*DropAnalityka[[#This Row],[Quality/Quantity]],0)</f>
        <v>0</v>
      </c>
    </row>
    <row r="422" spans="1:12">
      <c r="A422" t="s">
        <v>8</v>
      </c>
      <c r="B422" t="s">
        <v>32</v>
      </c>
      <c r="C422">
        <v>3</v>
      </c>
      <c r="D422">
        <v>1585</v>
      </c>
      <c r="E422">
        <v>0</v>
      </c>
      <c r="F422" t="s">
        <v>34</v>
      </c>
      <c r="G422">
        <v>3</v>
      </c>
      <c r="H422" t="s">
        <v>17</v>
      </c>
      <c r="I422">
        <v>0</v>
      </c>
      <c r="J422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22" s="43">
        <f>IFERROR(SUMIFS(Tabela10[Fod Worth],Tabela10[Drop],DropAnalityka[[#This Row],[Drop]],Tabela10[Grade],DropAnalityka[[#This Row],[Grade]])*DropAnalityka[[#This Row],[Quality/Quantity]],0)</f>
        <v>0</v>
      </c>
      <c r="L422" s="43">
        <f>IFERROR(SUMIFS(Tabela10[Exp Gain only 2*+],Tabela10[Drop],DropAnalityka[[#This Row],[Drop]],Tabela10[Grade],DropAnalityka[[#This Row],[Grade]])*DropAnalityka[[#This Row],[Quality/Quantity]],0)</f>
        <v>2400</v>
      </c>
    </row>
    <row r="423" spans="1:12">
      <c r="A423" t="s">
        <v>8</v>
      </c>
      <c r="B423" t="s">
        <v>32</v>
      </c>
      <c r="C423">
        <v>3</v>
      </c>
      <c r="D423">
        <v>1585</v>
      </c>
      <c r="E423">
        <v>0</v>
      </c>
      <c r="F423" t="s">
        <v>34</v>
      </c>
      <c r="G423">
        <v>3</v>
      </c>
      <c r="H423" t="s">
        <v>17</v>
      </c>
      <c r="I423">
        <v>0</v>
      </c>
      <c r="J42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23" s="43">
        <f>IFERROR(SUMIFS(Tabela10[Fod Worth],Tabela10[Drop],DropAnalityka[[#This Row],[Drop]],Tabela10[Grade],DropAnalityka[[#This Row],[Grade]])*DropAnalityka[[#This Row],[Quality/Quantity]],0)</f>
        <v>0</v>
      </c>
      <c r="L423" s="43">
        <f>IFERROR(SUMIFS(Tabela10[Exp Gain only 2*+],Tabela10[Drop],DropAnalityka[[#This Row],[Drop]],Tabela10[Grade],DropAnalityka[[#This Row],[Grade]])*DropAnalityka[[#This Row],[Quality/Quantity]],0)</f>
        <v>2400</v>
      </c>
    </row>
    <row r="424" spans="1:12">
      <c r="A424" t="s">
        <v>8</v>
      </c>
      <c r="B424" t="s">
        <v>32</v>
      </c>
      <c r="C424">
        <v>3</v>
      </c>
      <c r="D424">
        <v>1990</v>
      </c>
      <c r="E424">
        <v>0</v>
      </c>
      <c r="I424">
        <v>1159</v>
      </c>
      <c r="J42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24" s="43">
        <f>IFERROR(SUMIFS(Tabela10[Fod Worth],Tabela10[Drop],DropAnalityka[[#This Row],[Drop]],Tabela10[Grade],DropAnalityka[[#This Row],[Grade]])*DropAnalityka[[#This Row],[Quality/Quantity]],0)</f>
        <v>0</v>
      </c>
      <c r="L424" s="43">
        <f>IFERROR(SUMIFS(Tabela10[Exp Gain only 2*+],Tabela10[Drop],DropAnalityka[[#This Row],[Drop]],Tabela10[Grade],DropAnalityka[[#This Row],[Grade]])*DropAnalityka[[#This Row],[Quality/Quantity]],0)</f>
        <v>0</v>
      </c>
    </row>
    <row r="425" spans="1:12">
      <c r="A425" t="s">
        <v>8</v>
      </c>
      <c r="B425" t="s">
        <v>32</v>
      </c>
      <c r="C425">
        <v>3</v>
      </c>
      <c r="D425">
        <v>1186</v>
      </c>
      <c r="E425">
        <v>1</v>
      </c>
      <c r="I425">
        <v>2756</v>
      </c>
      <c r="J425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425" s="43">
        <f>IFERROR(SUMIFS(Tabela10[Fod Worth],Tabela10[Drop],DropAnalityka[[#This Row],[Drop]],Tabela10[Grade],DropAnalityka[[#This Row],[Grade]])*DropAnalityka[[#This Row],[Quality/Quantity]],0)</f>
        <v>0</v>
      </c>
      <c r="L425" s="43">
        <f>IFERROR(SUMIFS(Tabela10[Exp Gain only 2*+],Tabela10[Drop],DropAnalityka[[#This Row],[Drop]],Tabela10[Grade],DropAnalityka[[#This Row],[Grade]])*DropAnalityka[[#This Row],[Quality/Quantity]],0)</f>
        <v>0</v>
      </c>
    </row>
    <row r="426" spans="1:12">
      <c r="A426" t="s">
        <v>8</v>
      </c>
      <c r="B426" t="s">
        <v>32</v>
      </c>
      <c r="C426">
        <v>3</v>
      </c>
      <c r="D426">
        <v>1193</v>
      </c>
      <c r="E426">
        <v>2</v>
      </c>
      <c r="I426">
        <v>1159</v>
      </c>
      <c r="J42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26" s="43">
        <f>IFERROR(SUMIFS(Tabela10[Fod Worth],Tabela10[Drop],DropAnalityka[[#This Row],[Drop]],Tabela10[Grade],DropAnalityka[[#This Row],[Grade]])*DropAnalityka[[#This Row],[Quality/Quantity]],0)</f>
        <v>0</v>
      </c>
      <c r="L426" s="43">
        <f>IFERROR(SUMIFS(Tabela10[Exp Gain only 2*+],Tabela10[Drop],DropAnalityka[[#This Row],[Drop]],Tabela10[Grade],DropAnalityka[[#This Row],[Grade]])*DropAnalityka[[#This Row],[Quality/Quantity]],0)</f>
        <v>0</v>
      </c>
    </row>
    <row r="427" spans="1:12">
      <c r="A427" t="s">
        <v>8</v>
      </c>
      <c r="B427" t="s">
        <v>32</v>
      </c>
      <c r="C427">
        <v>3</v>
      </c>
      <c r="D427">
        <v>1223</v>
      </c>
      <c r="E427">
        <v>0</v>
      </c>
      <c r="I427">
        <v>2067</v>
      </c>
      <c r="J427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27" s="43">
        <f>IFERROR(SUMIFS(Tabela10[Fod Worth],Tabela10[Drop],DropAnalityka[[#This Row],[Drop]],Tabela10[Grade],DropAnalityka[[#This Row],[Grade]])*DropAnalityka[[#This Row],[Quality/Quantity]],0)</f>
        <v>0</v>
      </c>
      <c r="L427" s="43">
        <f>IFERROR(SUMIFS(Tabela10[Exp Gain only 2*+],Tabela10[Drop],DropAnalityka[[#This Row],[Drop]],Tabela10[Grade],DropAnalityka[[#This Row],[Grade]])*DropAnalityka[[#This Row],[Quality/Quantity]],0)</f>
        <v>0</v>
      </c>
    </row>
    <row r="428" spans="1:12">
      <c r="A428" t="s">
        <v>8</v>
      </c>
      <c r="B428" t="s">
        <v>32</v>
      </c>
      <c r="C428">
        <v>3</v>
      </c>
      <c r="D428">
        <v>1833</v>
      </c>
      <c r="E428">
        <v>0</v>
      </c>
      <c r="I428">
        <v>2067</v>
      </c>
      <c r="J428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28" s="43">
        <f>IFERROR(SUMIFS(Tabela10[Fod Worth],Tabela10[Drop],DropAnalityka[[#This Row],[Drop]],Tabela10[Grade],DropAnalityka[[#This Row],[Grade]])*DropAnalityka[[#This Row],[Quality/Quantity]],0)</f>
        <v>0</v>
      </c>
      <c r="L428" s="43">
        <f>IFERROR(SUMIFS(Tabela10[Exp Gain only 2*+],Tabela10[Drop],DropAnalityka[[#This Row],[Drop]],Tabela10[Grade],DropAnalityka[[#This Row],[Grade]])*DropAnalityka[[#This Row],[Quality/Quantity]],0)</f>
        <v>0</v>
      </c>
    </row>
    <row r="429" spans="1:12">
      <c r="A429" t="s">
        <v>8</v>
      </c>
      <c r="B429" t="s">
        <v>32</v>
      </c>
      <c r="C429">
        <v>3</v>
      </c>
      <c r="D429">
        <v>1601</v>
      </c>
      <c r="E429">
        <v>1</v>
      </c>
      <c r="I429">
        <v>2067</v>
      </c>
      <c r="J429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29" s="43">
        <f>IFERROR(SUMIFS(Tabela10[Fod Worth],Tabela10[Drop],DropAnalityka[[#This Row],[Drop]],Tabela10[Grade],DropAnalityka[[#This Row],[Grade]])*DropAnalityka[[#This Row],[Quality/Quantity]],0)</f>
        <v>0</v>
      </c>
      <c r="L429" s="43">
        <f>IFERROR(SUMIFS(Tabela10[Exp Gain only 2*+],Tabela10[Drop],DropAnalityka[[#This Row],[Drop]],Tabela10[Grade],DropAnalityka[[#This Row],[Grade]])*DropAnalityka[[#This Row],[Quality/Quantity]],0)</f>
        <v>0</v>
      </c>
    </row>
    <row r="430" spans="1:12">
      <c r="A430" t="s">
        <v>8</v>
      </c>
      <c r="B430" t="s">
        <v>32</v>
      </c>
      <c r="C430">
        <v>3</v>
      </c>
      <c r="D430">
        <v>1381</v>
      </c>
      <c r="E430">
        <v>0</v>
      </c>
      <c r="I430">
        <v>2067</v>
      </c>
      <c r="J43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30" s="43">
        <f>IFERROR(SUMIFS(Tabela10[Fod Worth],Tabela10[Drop],DropAnalityka[[#This Row],[Drop]],Tabela10[Grade],DropAnalityka[[#This Row],[Grade]])*DropAnalityka[[#This Row],[Quality/Quantity]],0)</f>
        <v>0</v>
      </c>
      <c r="L430" s="43">
        <f>IFERROR(SUMIFS(Tabela10[Exp Gain only 2*+],Tabela10[Drop],DropAnalityka[[#This Row],[Drop]],Tabela10[Grade],DropAnalityka[[#This Row],[Grade]])*DropAnalityka[[#This Row],[Quality/Quantity]],0)</f>
        <v>0</v>
      </c>
    </row>
    <row r="431" spans="1:12">
      <c r="A431" t="s">
        <v>8</v>
      </c>
      <c r="B431" t="s">
        <v>32</v>
      </c>
      <c r="C431">
        <v>3</v>
      </c>
      <c r="D431">
        <v>1472</v>
      </c>
      <c r="E431">
        <v>3</v>
      </c>
      <c r="I431">
        <v>1159</v>
      </c>
      <c r="J43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31" s="43">
        <f>IFERROR(SUMIFS(Tabela10[Fod Worth],Tabela10[Drop],DropAnalityka[[#This Row],[Drop]],Tabela10[Grade],DropAnalityka[[#This Row],[Grade]])*DropAnalityka[[#This Row],[Quality/Quantity]],0)</f>
        <v>0</v>
      </c>
      <c r="L431" s="43">
        <f>IFERROR(SUMIFS(Tabela10[Exp Gain only 2*+],Tabela10[Drop],DropAnalityka[[#This Row],[Drop]],Tabela10[Grade],DropAnalityka[[#This Row],[Grade]])*DropAnalityka[[#This Row],[Quality/Quantity]],0)</f>
        <v>0</v>
      </c>
    </row>
    <row r="432" spans="1:12">
      <c r="A432" t="s">
        <v>8</v>
      </c>
      <c r="B432" t="s">
        <v>32</v>
      </c>
      <c r="C432">
        <v>3</v>
      </c>
      <c r="D432">
        <v>1210</v>
      </c>
      <c r="E432">
        <v>1</v>
      </c>
      <c r="I432">
        <v>1159</v>
      </c>
      <c r="J43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32" s="43">
        <f>IFERROR(SUMIFS(Tabela10[Fod Worth],Tabela10[Drop],DropAnalityka[[#This Row],[Drop]],Tabela10[Grade],DropAnalityka[[#This Row],[Grade]])*DropAnalityka[[#This Row],[Quality/Quantity]],0)</f>
        <v>0</v>
      </c>
      <c r="L432" s="43">
        <f>IFERROR(SUMIFS(Tabela10[Exp Gain only 2*+],Tabela10[Drop],DropAnalityka[[#This Row],[Drop]],Tabela10[Grade],DropAnalityka[[#This Row],[Grade]])*DropAnalityka[[#This Row],[Quality/Quantity]],0)</f>
        <v>0</v>
      </c>
    </row>
    <row r="433" spans="1:12">
      <c r="A433" t="s">
        <v>8</v>
      </c>
      <c r="B433" t="s">
        <v>32</v>
      </c>
      <c r="C433">
        <v>3</v>
      </c>
      <c r="D433">
        <v>1469</v>
      </c>
      <c r="E433">
        <v>1</v>
      </c>
      <c r="F433" t="s">
        <v>57</v>
      </c>
      <c r="G433">
        <v>1</v>
      </c>
      <c r="H433" t="s">
        <v>12</v>
      </c>
      <c r="I433">
        <v>0</v>
      </c>
      <c r="J4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33" s="43">
        <f>IFERROR(SUMIFS(Tabela10[Fod Worth],Tabela10[Drop],DropAnalityka[[#This Row],[Drop]],Tabela10[Grade],DropAnalityka[[#This Row],[Grade]])*DropAnalityka[[#This Row],[Quality/Quantity]],0)</f>
        <v>11500</v>
      </c>
      <c r="L433" s="43">
        <f>IFERROR(SUMIFS(Tabela10[Exp Gain only 2*+],Tabela10[Drop],DropAnalityka[[#This Row],[Drop]],Tabela10[Grade],DropAnalityka[[#This Row],[Grade]])*DropAnalityka[[#This Row],[Quality/Quantity]],0)</f>
        <v>0</v>
      </c>
    </row>
    <row r="434" spans="1:12">
      <c r="A434" t="s">
        <v>8</v>
      </c>
      <c r="B434" t="s">
        <v>32</v>
      </c>
      <c r="C434">
        <v>3</v>
      </c>
      <c r="D434">
        <v>1035</v>
      </c>
      <c r="E434">
        <v>1</v>
      </c>
      <c r="I434">
        <v>2067</v>
      </c>
      <c r="J434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34" s="43">
        <f>IFERROR(SUMIFS(Tabela10[Fod Worth],Tabela10[Drop],DropAnalityka[[#This Row],[Drop]],Tabela10[Grade],DropAnalityka[[#This Row],[Grade]])*DropAnalityka[[#This Row],[Quality/Quantity]],0)</f>
        <v>0</v>
      </c>
      <c r="L434" s="43">
        <f>IFERROR(SUMIFS(Tabela10[Exp Gain only 2*+],Tabela10[Drop],DropAnalityka[[#This Row],[Drop]],Tabela10[Grade],DropAnalityka[[#This Row],[Grade]])*DropAnalityka[[#This Row],[Quality/Quantity]],0)</f>
        <v>0</v>
      </c>
    </row>
    <row r="435" spans="1:12">
      <c r="A435" t="s">
        <v>8</v>
      </c>
      <c r="B435" t="s">
        <v>32</v>
      </c>
      <c r="C435">
        <v>3</v>
      </c>
      <c r="D435">
        <v>1877</v>
      </c>
      <c r="E435">
        <v>1</v>
      </c>
      <c r="F435" t="s">
        <v>34</v>
      </c>
      <c r="G435">
        <v>3</v>
      </c>
      <c r="H435" t="s">
        <v>17</v>
      </c>
      <c r="I435">
        <v>0</v>
      </c>
      <c r="J435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35" s="43">
        <f>IFERROR(SUMIFS(Tabela10[Fod Worth],Tabela10[Drop],DropAnalityka[[#This Row],[Drop]],Tabela10[Grade],DropAnalityka[[#This Row],[Grade]])*DropAnalityka[[#This Row],[Quality/Quantity]],0)</f>
        <v>0</v>
      </c>
      <c r="L435" s="43">
        <f>IFERROR(SUMIFS(Tabela10[Exp Gain only 2*+],Tabela10[Drop],DropAnalityka[[#This Row],[Drop]],Tabela10[Grade],DropAnalityka[[#This Row],[Grade]])*DropAnalityka[[#This Row],[Quality/Quantity]],0)</f>
        <v>2400</v>
      </c>
    </row>
    <row r="436" spans="1:12">
      <c r="A436" t="s">
        <v>8</v>
      </c>
      <c r="B436" t="s">
        <v>32</v>
      </c>
      <c r="C436">
        <v>3</v>
      </c>
      <c r="D436">
        <v>849</v>
      </c>
      <c r="E436">
        <v>1</v>
      </c>
      <c r="F436" t="s">
        <v>34</v>
      </c>
      <c r="G436">
        <v>3</v>
      </c>
      <c r="H436" t="s">
        <v>17</v>
      </c>
      <c r="I436">
        <v>0</v>
      </c>
      <c r="J436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36" s="43">
        <f>IFERROR(SUMIFS(Tabela10[Fod Worth],Tabela10[Drop],DropAnalityka[[#This Row],[Drop]],Tabela10[Grade],DropAnalityka[[#This Row],[Grade]])*DropAnalityka[[#This Row],[Quality/Quantity]],0)</f>
        <v>0</v>
      </c>
      <c r="L436" s="43">
        <f>IFERROR(SUMIFS(Tabela10[Exp Gain only 2*+],Tabela10[Drop],DropAnalityka[[#This Row],[Drop]],Tabela10[Grade],DropAnalityka[[#This Row],[Grade]])*DropAnalityka[[#This Row],[Quality/Quantity]],0)</f>
        <v>2400</v>
      </c>
    </row>
    <row r="437" spans="1:12">
      <c r="A437" t="s">
        <v>8</v>
      </c>
      <c r="B437" t="s">
        <v>32</v>
      </c>
      <c r="C437">
        <v>3</v>
      </c>
      <c r="D437">
        <v>1261</v>
      </c>
      <c r="E437">
        <v>1</v>
      </c>
      <c r="F437" t="s">
        <v>34</v>
      </c>
      <c r="G437">
        <v>3</v>
      </c>
      <c r="H437" t="s">
        <v>17</v>
      </c>
      <c r="I437">
        <v>0</v>
      </c>
      <c r="J437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37" s="43">
        <f>IFERROR(SUMIFS(Tabela10[Fod Worth],Tabela10[Drop],DropAnalityka[[#This Row],[Drop]],Tabela10[Grade],DropAnalityka[[#This Row],[Grade]])*DropAnalityka[[#This Row],[Quality/Quantity]],0)</f>
        <v>0</v>
      </c>
      <c r="L437" s="43">
        <f>IFERROR(SUMIFS(Tabela10[Exp Gain only 2*+],Tabela10[Drop],DropAnalityka[[#This Row],[Drop]],Tabela10[Grade],DropAnalityka[[#This Row],[Grade]])*DropAnalityka[[#This Row],[Quality/Quantity]],0)</f>
        <v>2400</v>
      </c>
    </row>
    <row r="438" spans="1:12">
      <c r="A438" t="s">
        <v>8</v>
      </c>
      <c r="B438" t="s">
        <v>32</v>
      </c>
      <c r="C438">
        <v>3</v>
      </c>
      <c r="D438">
        <v>2271</v>
      </c>
      <c r="E438">
        <v>1</v>
      </c>
      <c r="F438" t="s">
        <v>34</v>
      </c>
      <c r="G438">
        <v>3</v>
      </c>
      <c r="H438" t="s">
        <v>17</v>
      </c>
      <c r="I438">
        <v>0</v>
      </c>
      <c r="J438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38" s="43">
        <f>IFERROR(SUMIFS(Tabela10[Fod Worth],Tabela10[Drop],DropAnalityka[[#This Row],[Drop]],Tabela10[Grade],DropAnalityka[[#This Row],[Grade]])*DropAnalityka[[#This Row],[Quality/Quantity]],0)</f>
        <v>0</v>
      </c>
      <c r="L438" s="43">
        <f>IFERROR(SUMIFS(Tabela10[Exp Gain only 2*+],Tabela10[Drop],DropAnalityka[[#This Row],[Drop]],Tabela10[Grade],DropAnalityka[[#This Row],[Grade]])*DropAnalityka[[#This Row],[Quality/Quantity]],0)</f>
        <v>2400</v>
      </c>
    </row>
    <row r="439" spans="1:12">
      <c r="A439" t="s">
        <v>8</v>
      </c>
      <c r="B439" t="s">
        <v>32</v>
      </c>
      <c r="C439">
        <v>3</v>
      </c>
      <c r="D439">
        <v>1066</v>
      </c>
      <c r="E439">
        <v>0</v>
      </c>
      <c r="F439" t="s">
        <v>58</v>
      </c>
      <c r="G439">
        <v>1</v>
      </c>
      <c r="H439" t="s">
        <v>12</v>
      </c>
      <c r="I439">
        <v>0</v>
      </c>
      <c r="J4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39" s="43">
        <f>IFERROR(SUMIFS(Tabela10[Fod Worth],Tabela10[Drop],DropAnalityka[[#This Row],[Drop]],Tabela10[Grade],DropAnalityka[[#This Row],[Grade]])*DropAnalityka[[#This Row],[Quality/Quantity]],0)</f>
        <v>11500</v>
      </c>
      <c r="L439" s="43">
        <f>IFERROR(SUMIFS(Tabela10[Exp Gain only 2*+],Tabela10[Drop],DropAnalityka[[#This Row],[Drop]],Tabela10[Grade],DropAnalityka[[#This Row],[Grade]])*DropAnalityka[[#This Row],[Quality/Quantity]],0)</f>
        <v>35822</v>
      </c>
    </row>
    <row r="440" spans="1:12">
      <c r="A440" t="s">
        <v>8</v>
      </c>
      <c r="B440" t="s">
        <v>32</v>
      </c>
      <c r="C440">
        <v>3</v>
      </c>
      <c r="D440">
        <v>1217</v>
      </c>
      <c r="E440">
        <v>0</v>
      </c>
      <c r="I440">
        <v>1159</v>
      </c>
      <c r="J44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0" s="43">
        <f>IFERROR(SUMIFS(Tabela10[Fod Worth],Tabela10[Drop],DropAnalityka[[#This Row],[Drop]],Tabela10[Grade],DropAnalityka[[#This Row],[Grade]])*DropAnalityka[[#This Row],[Quality/Quantity]],0)</f>
        <v>0</v>
      </c>
      <c r="L440" s="43">
        <f>IFERROR(SUMIFS(Tabela10[Exp Gain only 2*+],Tabela10[Drop],DropAnalityka[[#This Row],[Drop]],Tabela10[Grade],DropAnalityka[[#This Row],[Grade]])*DropAnalityka[[#This Row],[Quality/Quantity]],0)</f>
        <v>0</v>
      </c>
    </row>
    <row r="441" spans="1:12">
      <c r="A441" t="s">
        <v>8</v>
      </c>
      <c r="B441" t="s">
        <v>32</v>
      </c>
      <c r="C441">
        <v>3</v>
      </c>
      <c r="D441">
        <v>1369</v>
      </c>
      <c r="E441">
        <v>0</v>
      </c>
      <c r="F441" t="s">
        <v>57</v>
      </c>
      <c r="G441">
        <v>1</v>
      </c>
      <c r="H441" t="s">
        <v>26</v>
      </c>
      <c r="J4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41" s="43">
        <f>IFERROR(SUMIFS(Tabela10[Fod Worth],Tabela10[Drop],DropAnalityka[[#This Row],[Drop]],Tabela10[Grade],DropAnalityka[[#This Row],[Grade]])*DropAnalityka[[#This Row],[Quality/Quantity]],0)</f>
        <v>34500</v>
      </c>
      <c r="L441" s="43">
        <f>IFERROR(SUMIFS(Tabela10[Exp Gain only 2*+],Tabela10[Drop],DropAnalityka[[#This Row],[Drop]],Tabela10[Grade],DropAnalityka[[#This Row],[Grade]])*DropAnalityka[[#This Row],[Quality/Quantity]],0)</f>
        <v>35822</v>
      </c>
    </row>
    <row r="442" spans="1:12">
      <c r="A442" t="s">
        <v>8</v>
      </c>
      <c r="B442" t="s">
        <v>32</v>
      </c>
      <c r="C442">
        <v>3</v>
      </c>
      <c r="D442">
        <v>1200</v>
      </c>
      <c r="E442">
        <v>1</v>
      </c>
      <c r="I442">
        <v>1546</v>
      </c>
      <c r="J442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442" s="43">
        <f>IFERROR(SUMIFS(Tabela10[Fod Worth],Tabela10[Drop],DropAnalityka[[#This Row],[Drop]],Tabela10[Grade],DropAnalityka[[#This Row],[Grade]])*DropAnalityka[[#This Row],[Quality/Quantity]],0)</f>
        <v>0</v>
      </c>
      <c r="L442" s="43">
        <f>IFERROR(SUMIFS(Tabela10[Exp Gain only 2*+],Tabela10[Drop],DropAnalityka[[#This Row],[Drop]],Tabela10[Grade],DropAnalityka[[#This Row],[Grade]])*DropAnalityka[[#This Row],[Quality/Quantity]],0)</f>
        <v>0</v>
      </c>
    </row>
    <row r="443" spans="1:12">
      <c r="A443" t="s">
        <v>8</v>
      </c>
      <c r="B443" t="s">
        <v>32</v>
      </c>
      <c r="C443">
        <v>3</v>
      </c>
      <c r="D443">
        <v>2084</v>
      </c>
      <c r="E443">
        <v>1</v>
      </c>
      <c r="I443">
        <v>1159</v>
      </c>
      <c r="J443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3" s="43">
        <f>IFERROR(SUMIFS(Tabela10[Fod Worth],Tabela10[Drop],DropAnalityka[[#This Row],[Drop]],Tabela10[Grade],DropAnalityka[[#This Row],[Grade]])*DropAnalityka[[#This Row],[Quality/Quantity]],0)</f>
        <v>0</v>
      </c>
      <c r="L443" s="43">
        <f>IFERROR(SUMIFS(Tabela10[Exp Gain only 2*+],Tabela10[Drop],DropAnalityka[[#This Row],[Drop]],Tabela10[Grade],DropAnalityka[[#This Row],[Grade]])*DropAnalityka[[#This Row],[Quality/Quantity]],0)</f>
        <v>0</v>
      </c>
    </row>
    <row r="444" spans="1:12">
      <c r="A444" t="s">
        <v>8</v>
      </c>
      <c r="B444" t="s">
        <v>32</v>
      </c>
      <c r="C444">
        <v>3</v>
      </c>
      <c r="D444">
        <v>1041</v>
      </c>
      <c r="E444">
        <v>2</v>
      </c>
      <c r="I444">
        <v>1159</v>
      </c>
      <c r="J44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4" s="43">
        <f>IFERROR(SUMIFS(Tabela10[Fod Worth],Tabela10[Drop],DropAnalityka[[#This Row],[Drop]],Tabela10[Grade],DropAnalityka[[#This Row],[Grade]])*DropAnalityka[[#This Row],[Quality/Quantity]],0)</f>
        <v>0</v>
      </c>
      <c r="L444" s="43">
        <f>IFERROR(SUMIFS(Tabela10[Exp Gain only 2*+],Tabela10[Drop],DropAnalityka[[#This Row],[Drop]],Tabela10[Grade],DropAnalityka[[#This Row],[Grade]])*DropAnalityka[[#This Row],[Quality/Quantity]],0)</f>
        <v>0</v>
      </c>
    </row>
    <row r="445" spans="1:12">
      <c r="A445" t="s">
        <v>8</v>
      </c>
      <c r="B445" t="s">
        <v>32</v>
      </c>
      <c r="C445">
        <v>3</v>
      </c>
      <c r="D445">
        <v>1173</v>
      </c>
      <c r="E445">
        <v>0</v>
      </c>
      <c r="F445" t="s">
        <v>34</v>
      </c>
      <c r="G445">
        <v>3</v>
      </c>
      <c r="H445" t="s">
        <v>17</v>
      </c>
      <c r="I445">
        <v>0</v>
      </c>
      <c r="J445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45" s="43">
        <f>IFERROR(SUMIFS(Tabela10[Fod Worth],Tabela10[Drop],DropAnalityka[[#This Row],[Drop]],Tabela10[Grade],DropAnalityka[[#This Row],[Grade]])*DropAnalityka[[#This Row],[Quality/Quantity]],0)</f>
        <v>0</v>
      </c>
      <c r="L445" s="43">
        <f>IFERROR(SUMIFS(Tabela10[Exp Gain only 2*+],Tabela10[Drop],DropAnalityka[[#This Row],[Drop]],Tabela10[Grade],DropAnalityka[[#This Row],[Grade]])*DropAnalityka[[#This Row],[Quality/Quantity]],0)</f>
        <v>2400</v>
      </c>
    </row>
    <row r="446" spans="1:12">
      <c r="A446" t="s">
        <v>8</v>
      </c>
      <c r="B446" t="s">
        <v>32</v>
      </c>
      <c r="C446">
        <v>3</v>
      </c>
      <c r="D446">
        <v>1203</v>
      </c>
      <c r="E446">
        <v>0</v>
      </c>
      <c r="I446">
        <v>1159</v>
      </c>
      <c r="J44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6" s="43">
        <f>IFERROR(SUMIFS(Tabela10[Fod Worth],Tabela10[Drop],DropAnalityka[[#This Row],[Drop]],Tabela10[Grade],DropAnalityka[[#This Row],[Grade]])*DropAnalityka[[#This Row],[Quality/Quantity]],0)</f>
        <v>0</v>
      </c>
      <c r="L446" s="43">
        <f>IFERROR(SUMIFS(Tabela10[Exp Gain only 2*+],Tabela10[Drop],DropAnalityka[[#This Row],[Drop]],Tabela10[Grade],DropAnalityka[[#This Row],[Grade]])*DropAnalityka[[#This Row],[Quality/Quantity]],0)</f>
        <v>0</v>
      </c>
    </row>
    <row r="447" spans="1:12">
      <c r="A447" t="s">
        <v>8</v>
      </c>
      <c r="B447" t="s">
        <v>32</v>
      </c>
      <c r="C447">
        <v>3</v>
      </c>
      <c r="D447">
        <v>1265</v>
      </c>
      <c r="E447">
        <v>0</v>
      </c>
      <c r="I447">
        <v>1159</v>
      </c>
      <c r="J44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7" s="43">
        <f>IFERROR(SUMIFS(Tabela10[Fod Worth],Tabela10[Drop],DropAnalityka[[#This Row],[Drop]],Tabela10[Grade],DropAnalityka[[#This Row],[Grade]])*DropAnalityka[[#This Row],[Quality/Quantity]],0)</f>
        <v>0</v>
      </c>
      <c r="L447" s="43">
        <f>IFERROR(SUMIFS(Tabela10[Exp Gain only 2*+],Tabela10[Drop],DropAnalityka[[#This Row],[Drop]],Tabela10[Grade],DropAnalityka[[#This Row],[Grade]])*DropAnalityka[[#This Row],[Quality/Quantity]],0)</f>
        <v>0</v>
      </c>
    </row>
    <row r="448" spans="1:12">
      <c r="A448" t="s">
        <v>8</v>
      </c>
      <c r="B448" t="s">
        <v>32</v>
      </c>
      <c r="C448">
        <v>3</v>
      </c>
      <c r="D448">
        <v>1133</v>
      </c>
      <c r="E448">
        <v>0</v>
      </c>
      <c r="I448">
        <v>1159</v>
      </c>
      <c r="J44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48" s="43">
        <f>IFERROR(SUMIFS(Tabela10[Fod Worth],Tabela10[Drop],DropAnalityka[[#This Row],[Drop]],Tabela10[Grade],DropAnalityka[[#This Row],[Grade]])*DropAnalityka[[#This Row],[Quality/Quantity]],0)</f>
        <v>0</v>
      </c>
      <c r="L448" s="43">
        <f>IFERROR(SUMIFS(Tabela10[Exp Gain only 2*+],Tabela10[Drop],DropAnalityka[[#This Row],[Drop]],Tabela10[Grade],DropAnalityka[[#This Row],[Grade]])*DropAnalityka[[#This Row],[Quality/Quantity]],0)</f>
        <v>0</v>
      </c>
    </row>
    <row r="449" spans="1:12">
      <c r="A449" t="s">
        <v>8</v>
      </c>
      <c r="B449" t="s">
        <v>32</v>
      </c>
      <c r="C449">
        <v>3</v>
      </c>
      <c r="D449">
        <v>967</v>
      </c>
      <c r="E449">
        <v>1</v>
      </c>
      <c r="F449" t="s">
        <v>57</v>
      </c>
      <c r="G449">
        <v>1</v>
      </c>
      <c r="H449" t="s">
        <v>17</v>
      </c>
      <c r="I449">
        <v>0</v>
      </c>
      <c r="J4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49" s="43">
        <f>IFERROR(SUMIFS(Tabela10[Fod Worth],Tabela10[Drop],DropAnalityka[[#This Row],[Drop]],Tabela10[Grade],DropAnalityka[[#This Row],[Grade]])*DropAnalityka[[#This Row],[Quality/Quantity]],0)</f>
        <v>0</v>
      </c>
      <c r="L449" s="43">
        <f>IFERROR(SUMIFS(Tabela10[Exp Gain only 2*+],Tabela10[Drop],DropAnalityka[[#This Row],[Drop]],Tabela10[Grade],DropAnalityka[[#This Row],[Grade]])*DropAnalityka[[#This Row],[Quality/Quantity]],0)</f>
        <v>0</v>
      </c>
    </row>
    <row r="450" spans="1:12">
      <c r="A450" t="s">
        <v>8</v>
      </c>
      <c r="B450" t="s">
        <v>32</v>
      </c>
      <c r="C450">
        <v>3</v>
      </c>
      <c r="D450">
        <v>2246</v>
      </c>
      <c r="E450">
        <v>1</v>
      </c>
      <c r="I450">
        <v>2067</v>
      </c>
      <c r="J45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50" s="43">
        <f>IFERROR(SUMIFS(Tabela10[Fod Worth],Tabela10[Drop],DropAnalityka[[#This Row],[Drop]],Tabela10[Grade],DropAnalityka[[#This Row],[Grade]])*DropAnalityka[[#This Row],[Quality/Quantity]],0)</f>
        <v>0</v>
      </c>
      <c r="L450" s="43">
        <f>IFERROR(SUMIFS(Tabela10[Exp Gain only 2*+],Tabela10[Drop],DropAnalityka[[#This Row],[Drop]],Tabela10[Grade],DropAnalityka[[#This Row],[Grade]])*DropAnalityka[[#This Row],[Quality/Quantity]],0)</f>
        <v>0</v>
      </c>
    </row>
    <row r="451" spans="1:12">
      <c r="A451" t="s">
        <v>8</v>
      </c>
      <c r="B451" t="s">
        <v>32</v>
      </c>
      <c r="C451">
        <v>3</v>
      </c>
      <c r="D451">
        <v>1423</v>
      </c>
      <c r="E451">
        <v>2</v>
      </c>
      <c r="I451">
        <v>1159</v>
      </c>
      <c r="J45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51" s="43">
        <f>IFERROR(SUMIFS(Tabela10[Fod Worth],Tabela10[Drop],DropAnalityka[[#This Row],[Drop]],Tabela10[Grade],DropAnalityka[[#This Row],[Grade]])*DropAnalityka[[#This Row],[Quality/Quantity]],0)</f>
        <v>0</v>
      </c>
      <c r="L451" s="43">
        <f>IFERROR(SUMIFS(Tabela10[Exp Gain only 2*+],Tabela10[Drop],DropAnalityka[[#This Row],[Drop]],Tabela10[Grade],DropAnalityka[[#This Row],[Grade]])*DropAnalityka[[#This Row],[Quality/Quantity]],0)</f>
        <v>0</v>
      </c>
    </row>
    <row r="452" spans="1:12">
      <c r="A452" t="s">
        <v>8</v>
      </c>
      <c r="B452" t="s">
        <v>32</v>
      </c>
      <c r="C452">
        <v>3</v>
      </c>
      <c r="D452">
        <v>1858</v>
      </c>
      <c r="E452">
        <v>0</v>
      </c>
      <c r="I452">
        <v>2067</v>
      </c>
      <c r="J452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52" s="43">
        <f>IFERROR(SUMIFS(Tabela10[Fod Worth],Tabela10[Drop],DropAnalityka[[#This Row],[Drop]],Tabela10[Grade],DropAnalityka[[#This Row],[Grade]])*DropAnalityka[[#This Row],[Quality/Quantity]],0)</f>
        <v>0</v>
      </c>
      <c r="L452" s="43">
        <f>IFERROR(SUMIFS(Tabela10[Exp Gain only 2*+],Tabela10[Drop],DropAnalityka[[#This Row],[Drop]],Tabela10[Grade],DropAnalityka[[#This Row],[Grade]])*DropAnalityka[[#This Row],[Quality/Quantity]],0)</f>
        <v>0</v>
      </c>
    </row>
    <row r="453" spans="1:12">
      <c r="A453" t="s">
        <v>8</v>
      </c>
      <c r="B453" t="s">
        <v>32</v>
      </c>
      <c r="C453">
        <v>3</v>
      </c>
      <c r="D453">
        <v>1423</v>
      </c>
      <c r="E453">
        <v>1</v>
      </c>
      <c r="I453">
        <v>1546</v>
      </c>
      <c r="J453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453" s="43">
        <f>IFERROR(SUMIFS(Tabela10[Fod Worth],Tabela10[Drop],DropAnalityka[[#This Row],[Drop]],Tabela10[Grade],DropAnalityka[[#This Row],[Grade]])*DropAnalityka[[#This Row],[Quality/Quantity]],0)</f>
        <v>0</v>
      </c>
      <c r="L453" s="43">
        <f>IFERROR(SUMIFS(Tabela10[Exp Gain only 2*+],Tabela10[Drop],DropAnalityka[[#This Row],[Drop]],Tabela10[Grade],DropAnalityka[[#This Row],[Grade]])*DropAnalityka[[#This Row],[Quality/Quantity]],0)</f>
        <v>0</v>
      </c>
    </row>
    <row r="454" spans="1:12">
      <c r="A454" t="s">
        <v>8</v>
      </c>
      <c r="B454" t="s">
        <v>32</v>
      </c>
      <c r="C454">
        <v>3</v>
      </c>
      <c r="D454">
        <v>2042</v>
      </c>
      <c r="E454">
        <v>1</v>
      </c>
      <c r="I454">
        <v>1159</v>
      </c>
      <c r="J45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54" s="43">
        <f>IFERROR(SUMIFS(Tabela10[Fod Worth],Tabela10[Drop],DropAnalityka[[#This Row],[Drop]],Tabela10[Grade],DropAnalityka[[#This Row],[Grade]])*DropAnalityka[[#This Row],[Quality/Quantity]],0)</f>
        <v>0</v>
      </c>
      <c r="L454" s="43">
        <f>IFERROR(SUMIFS(Tabela10[Exp Gain only 2*+],Tabela10[Drop],DropAnalityka[[#This Row],[Drop]],Tabela10[Grade],DropAnalityka[[#This Row],[Grade]])*DropAnalityka[[#This Row],[Quality/Quantity]],0)</f>
        <v>0</v>
      </c>
    </row>
    <row r="455" spans="1:12">
      <c r="A455" t="s">
        <v>8</v>
      </c>
      <c r="B455" t="s">
        <v>32</v>
      </c>
      <c r="C455">
        <v>3</v>
      </c>
      <c r="D455">
        <v>2001</v>
      </c>
      <c r="E455">
        <v>1</v>
      </c>
      <c r="F455" t="s">
        <v>57</v>
      </c>
      <c r="G455">
        <v>1</v>
      </c>
      <c r="H455" t="s">
        <v>17</v>
      </c>
      <c r="I455">
        <v>0</v>
      </c>
      <c r="J4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55" s="43">
        <f>IFERROR(SUMIFS(Tabela10[Fod Worth],Tabela10[Drop],DropAnalityka[[#This Row],[Drop]],Tabela10[Grade],DropAnalityka[[#This Row],[Grade]])*DropAnalityka[[#This Row],[Quality/Quantity]],0)</f>
        <v>0</v>
      </c>
      <c r="L455" s="43">
        <f>IFERROR(SUMIFS(Tabela10[Exp Gain only 2*+],Tabela10[Drop],DropAnalityka[[#This Row],[Drop]],Tabela10[Grade],DropAnalityka[[#This Row],[Grade]])*DropAnalityka[[#This Row],[Quality/Quantity]],0)</f>
        <v>0</v>
      </c>
    </row>
    <row r="456" spans="1:12">
      <c r="A456" t="s">
        <v>8</v>
      </c>
      <c r="B456" t="s">
        <v>32</v>
      </c>
      <c r="C456">
        <v>3</v>
      </c>
      <c r="D456">
        <v>1540</v>
      </c>
      <c r="E456">
        <v>0</v>
      </c>
      <c r="F456" t="s">
        <v>57</v>
      </c>
      <c r="G456">
        <v>1</v>
      </c>
      <c r="H456" t="s">
        <v>17</v>
      </c>
      <c r="I456">
        <v>0</v>
      </c>
      <c r="J4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56" s="43">
        <f>IFERROR(SUMIFS(Tabela10[Fod Worth],Tabela10[Drop],DropAnalityka[[#This Row],[Drop]],Tabela10[Grade],DropAnalityka[[#This Row],[Grade]])*DropAnalityka[[#This Row],[Quality/Quantity]],0)</f>
        <v>0</v>
      </c>
      <c r="L456" s="43">
        <f>IFERROR(SUMIFS(Tabela10[Exp Gain only 2*+],Tabela10[Drop],DropAnalityka[[#This Row],[Drop]],Tabela10[Grade],DropAnalityka[[#This Row],[Grade]])*DropAnalityka[[#This Row],[Quality/Quantity]],0)</f>
        <v>0</v>
      </c>
    </row>
    <row r="457" spans="1:12">
      <c r="A457" t="s">
        <v>8</v>
      </c>
      <c r="B457" t="s">
        <v>32</v>
      </c>
      <c r="C457">
        <v>3</v>
      </c>
      <c r="D457">
        <v>1699</v>
      </c>
      <c r="E457">
        <v>1</v>
      </c>
      <c r="I457">
        <v>2067</v>
      </c>
      <c r="J457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57" s="43">
        <f>IFERROR(SUMIFS(Tabela10[Fod Worth],Tabela10[Drop],DropAnalityka[[#This Row],[Drop]],Tabela10[Grade],DropAnalityka[[#This Row],[Grade]])*DropAnalityka[[#This Row],[Quality/Quantity]],0)</f>
        <v>0</v>
      </c>
      <c r="L457" s="43">
        <f>IFERROR(SUMIFS(Tabela10[Exp Gain only 2*+],Tabela10[Drop],DropAnalityka[[#This Row],[Drop]],Tabela10[Grade],DropAnalityka[[#This Row],[Grade]])*DropAnalityka[[#This Row],[Quality/Quantity]],0)</f>
        <v>0</v>
      </c>
    </row>
    <row r="458" spans="1:12">
      <c r="A458" t="s">
        <v>8</v>
      </c>
      <c r="B458" t="s">
        <v>32</v>
      </c>
      <c r="C458">
        <v>3</v>
      </c>
      <c r="D458">
        <v>1916</v>
      </c>
      <c r="E458">
        <v>1</v>
      </c>
      <c r="I458">
        <v>1159</v>
      </c>
      <c r="J45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58" s="43">
        <f>IFERROR(SUMIFS(Tabela10[Fod Worth],Tabela10[Drop],DropAnalityka[[#This Row],[Drop]],Tabela10[Grade],DropAnalityka[[#This Row],[Grade]])*DropAnalityka[[#This Row],[Quality/Quantity]],0)</f>
        <v>0</v>
      </c>
      <c r="L458" s="43">
        <f>IFERROR(SUMIFS(Tabela10[Exp Gain only 2*+],Tabela10[Drop],DropAnalityka[[#This Row],[Drop]],Tabela10[Grade],DropAnalityka[[#This Row],[Grade]])*DropAnalityka[[#This Row],[Quality/Quantity]],0)</f>
        <v>0</v>
      </c>
    </row>
    <row r="459" spans="1:12">
      <c r="A459" t="s">
        <v>8</v>
      </c>
      <c r="B459" t="s">
        <v>32</v>
      </c>
      <c r="C459">
        <v>3</v>
      </c>
      <c r="D459">
        <v>2501</v>
      </c>
      <c r="E459">
        <v>0</v>
      </c>
      <c r="I459">
        <v>2067</v>
      </c>
      <c r="J459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59" s="43">
        <f>IFERROR(SUMIFS(Tabela10[Fod Worth],Tabela10[Drop],DropAnalityka[[#This Row],[Drop]],Tabela10[Grade],DropAnalityka[[#This Row],[Grade]])*DropAnalityka[[#This Row],[Quality/Quantity]],0)</f>
        <v>0</v>
      </c>
      <c r="L459" s="43">
        <f>IFERROR(SUMIFS(Tabela10[Exp Gain only 2*+],Tabela10[Drop],DropAnalityka[[#This Row],[Drop]],Tabela10[Grade],DropAnalityka[[#This Row],[Grade]])*DropAnalityka[[#This Row],[Quality/Quantity]],0)</f>
        <v>0</v>
      </c>
    </row>
    <row r="460" spans="1:12">
      <c r="A460" t="s">
        <v>8</v>
      </c>
      <c r="B460" t="s">
        <v>32</v>
      </c>
      <c r="C460">
        <v>3</v>
      </c>
      <c r="D460">
        <v>1812</v>
      </c>
      <c r="E460">
        <v>1</v>
      </c>
      <c r="F460" t="s">
        <v>34</v>
      </c>
      <c r="G460">
        <v>3</v>
      </c>
      <c r="H460" t="s">
        <v>17</v>
      </c>
      <c r="I460">
        <v>0</v>
      </c>
      <c r="J460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60" s="43">
        <f>IFERROR(SUMIFS(Tabela10[Fod Worth],Tabela10[Drop],DropAnalityka[[#This Row],[Drop]],Tabela10[Grade],DropAnalityka[[#This Row],[Grade]])*DropAnalityka[[#This Row],[Quality/Quantity]],0)</f>
        <v>0</v>
      </c>
      <c r="L460" s="43">
        <f>IFERROR(SUMIFS(Tabela10[Exp Gain only 2*+],Tabela10[Drop],DropAnalityka[[#This Row],[Drop]],Tabela10[Grade],DropAnalityka[[#This Row],[Grade]])*DropAnalityka[[#This Row],[Quality/Quantity]],0)</f>
        <v>2400</v>
      </c>
    </row>
    <row r="461" spans="1:12">
      <c r="A461" t="s">
        <v>8</v>
      </c>
      <c r="B461" t="s">
        <v>32</v>
      </c>
      <c r="C461">
        <v>3</v>
      </c>
      <c r="D461">
        <v>1215</v>
      </c>
      <c r="E461">
        <v>0</v>
      </c>
      <c r="I461">
        <v>1159</v>
      </c>
      <c r="J46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61" s="43">
        <f>IFERROR(SUMIFS(Tabela10[Fod Worth],Tabela10[Drop],DropAnalityka[[#This Row],[Drop]],Tabela10[Grade],DropAnalityka[[#This Row],[Grade]])*DropAnalityka[[#This Row],[Quality/Quantity]],0)</f>
        <v>0</v>
      </c>
      <c r="L461" s="43">
        <f>IFERROR(SUMIFS(Tabela10[Exp Gain only 2*+],Tabela10[Drop],DropAnalityka[[#This Row],[Drop]],Tabela10[Grade],DropAnalityka[[#This Row],[Grade]])*DropAnalityka[[#This Row],[Quality/Quantity]],0)</f>
        <v>0</v>
      </c>
    </row>
    <row r="462" spans="1:12">
      <c r="A462" t="s">
        <v>8</v>
      </c>
      <c r="B462" t="s">
        <v>32</v>
      </c>
      <c r="C462">
        <v>3</v>
      </c>
      <c r="D462">
        <v>422</v>
      </c>
      <c r="E462">
        <v>1</v>
      </c>
      <c r="I462">
        <v>2756</v>
      </c>
      <c r="J462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462" s="43">
        <f>IFERROR(SUMIFS(Tabela10[Fod Worth],Tabela10[Drop],DropAnalityka[[#This Row],[Drop]],Tabela10[Grade],DropAnalityka[[#This Row],[Grade]])*DropAnalityka[[#This Row],[Quality/Quantity]],0)</f>
        <v>0</v>
      </c>
      <c r="L462" s="43">
        <f>IFERROR(SUMIFS(Tabela10[Exp Gain only 2*+],Tabela10[Drop],DropAnalityka[[#This Row],[Drop]],Tabela10[Grade],DropAnalityka[[#This Row],[Grade]])*DropAnalityka[[#This Row],[Quality/Quantity]],0)</f>
        <v>0</v>
      </c>
    </row>
    <row r="463" spans="1:12">
      <c r="A463" t="s">
        <v>8</v>
      </c>
      <c r="B463" t="s">
        <v>32</v>
      </c>
      <c r="C463">
        <v>3</v>
      </c>
      <c r="D463">
        <v>1105</v>
      </c>
      <c r="E463">
        <v>0</v>
      </c>
      <c r="F463" t="s">
        <v>57</v>
      </c>
      <c r="G463">
        <v>1</v>
      </c>
      <c r="H463" t="s">
        <v>12</v>
      </c>
      <c r="I463">
        <v>0</v>
      </c>
      <c r="J4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63" s="43">
        <f>IFERROR(SUMIFS(Tabela10[Fod Worth],Tabela10[Drop],DropAnalityka[[#This Row],[Drop]],Tabela10[Grade],DropAnalityka[[#This Row],[Grade]])*DropAnalityka[[#This Row],[Quality/Quantity]],0)</f>
        <v>11500</v>
      </c>
      <c r="L463" s="43">
        <f>IFERROR(SUMIFS(Tabela10[Exp Gain only 2*+],Tabela10[Drop],DropAnalityka[[#This Row],[Drop]],Tabela10[Grade],DropAnalityka[[#This Row],[Grade]])*DropAnalityka[[#This Row],[Quality/Quantity]],0)</f>
        <v>0</v>
      </c>
    </row>
    <row r="464" spans="1:12">
      <c r="A464" t="s">
        <v>8</v>
      </c>
      <c r="B464" t="s">
        <v>32</v>
      </c>
      <c r="C464">
        <v>3</v>
      </c>
      <c r="D464">
        <v>821</v>
      </c>
      <c r="E464">
        <v>1</v>
      </c>
      <c r="I464">
        <v>1159</v>
      </c>
      <c r="J46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64" s="43">
        <f>IFERROR(SUMIFS(Tabela10[Fod Worth],Tabela10[Drop],DropAnalityka[[#This Row],[Drop]],Tabela10[Grade],DropAnalityka[[#This Row],[Grade]])*DropAnalityka[[#This Row],[Quality/Quantity]],0)</f>
        <v>0</v>
      </c>
      <c r="L464" s="43">
        <f>IFERROR(SUMIFS(Tabela10[Exp Gain only 2*+],Tabela10[Drop],DropAnalityka[[#This Row],[Drop]],Tabela10[Grade],DropAnalityka[[#This Row],[Grade]])*DropAnalityka[[#This Row],[Quality/Quantity]],0)</f>
        <v>0</v>
      </c>
    </row>
    <row r="465" spans="1:12">
      <c r="A465" t="s">
        <v>8</v>
      </c>
      <c r="B465" t="s">
        <v>32</v>
      </c>
      <c r="C465">
        <v>3</v>
      </c>
      <c r="D465">
        <v>1748</v>
      </c>
      <c r="E465">
        <v>1</v>
      </c>
      <c r="F465" t="s">
        <v>143</v>
      </c>
      <c r="I465">
        <v>0</v>
      </c>
      <c r="J4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65" s="43">
        <f>IFERROR(SUMIFS(Tabela10[Fod Worth],Tabela10[Drop],DropAnalityka[[#This Row],[Drop]],Tabela10[Grade],DropAnalityka[[#This Row],[Grade]])*DropAnalityka[[#This Row],[Quality/Quantity]],0)</f>
        <v>0</v>
      </c>
      <c r="L465" s="43">
        <f>IFERROR(SUMIFS(Tabela10[Exp Gain only 2*+],Tabela10[Drop],DropAnalityka[[#This Row],[Drop]],Tabela10[Grade],DropAnalityka[[#This Row],[Grade]])*DropAnalityka[[#This Row],[Quality/Quantity]],0)</f>
        <v>0</v>
      </c>
    </row>
    <row r="466" spans="1:12">
      <c r="A466" t="s">
        <v>8</v>
      </c>
      <c r="B466" t="s">
        <v>32</v>
      </c>
      <c r="C466">
        <v>3</v>
      </c>
      <c r="D466">
        <v>1840</v>
      </c>
      <c r="E466">
        <v>0</v>
      </c>
      <c r="F466" t="s">
        <v>143</v>
      </c>
      <c r="I466">
        <v>0</v>
      </c>
      <c r="J4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66" s="43">
        <f>IFERROR(SUMIFS(Tabela10[Fod Worth],Tabela10[Drop],DropAnalityka[[#This Row],[Drop]],Tabela10[Grade],DropAnalityka[[#This Row],[Grade]])*DropAnalityka[[#This Row],[Quality/Quantity]],0)</f>
        <v>0</v>
      </c>
      <c r="L466" s="43">
        <f>IFERROR(SUMIFS(Tabela10[Exp Gain only 2*+],Tabela10[Drop],DropAnalityka[[#This Row],[Drop]],Tabela10[Grade],DropAnalityka[[#This Row],[Grade]])*DropAnalityka[[#This Row],[Quality/Quantity]],0)</f>
        <v>0</v>
      </c>
    </row>
    <row r="467" spans="1:12">
      <c r="A467" t="s">
        <v>8</v>
      </c>
      <c r="B467" t="s">
        <v>32</v>
      </c>
      <c r="C467">
        <v>3</v>
      </c>
      <c r="D467">
        <v>1395</v>
      </c>
      <c r="E467">
        <v>2</v>
      </c>
      <c r="I467">
        <v>1159</v>
      </c>
      <c r="J46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67" s="43">
        <f>IFERROR(SUMIFS(Tabela10[Fod Worth],Tabela10[Drop],DropAnalityka[[#This Row],[Drop]],Tabela10[Grade],DropAnalityka[[#This Row],[Grade]])*DropAnalityka[[#This Row],[Quality/Quantity]],0)</f>
        <v>0</v>
      </c>
      <c r="L467" s="43">
        <f>IFERROR(SUMIFS(Tabela10[Exp Gain only 2*+],Tabela10[Drop],DropAnalityka[[#This Row],[Drop]],Tabela10[Grade],DropAnalityka[[#This Row],[Grade]])*DropAnalityka[[#This Row],[Quality/Quantity]],0)</f>
        <v>0</v>
      </c>
    </row>
    <row r="468" spans="1:12">
      <c r="A468" t="s">
        <v>8</v>
      </c>
      <c r="B468" t="s">
        <v>32</v>
      </c>
      <c r="C468">
        <v>3</v>
      </c>
      <c r="D468">
        <v>1292</v>
      </c>
      <c r="E468">
        <v>2</v>
      </c>
      <c r="I468">
        <v>1159</v>
      </c>
      <c r="J46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68" s="43">
        <f>IFERROR(SUMIFS(Tabela10[Fod Worth],Tabela10[Drop],DropAnalityka[[#This Row],[Drop]],Tabela10[Grade],DropAnalityka[[#This Row],[Grade]])*DropAnalityka[[#This Row],[Quality/Quantity]],0)</f>
        <v>0</v>
      </c>
      <c r="L468" s="43">
        <f>IFERROR(SUMIFS(Tabela10[Exp Gain only 2*+],Tabela10[Drop],DropAnalityka[[#This Row],[Drop]],Tabela10[Grade],DropAnalityka[[#This Row],[Grade]])*DropAnalityka[[#This Row],[Quality/Quantity]],0)</f>
        <v>0</v>
      </c>
    </row>
    <row r="469" spans="1:12">
      <c r="A469" t="s">
        <v>8</v>
      </c>
      <c r="B469" t="s">
        <v>32</v>
      </c>
      <c r="C469">
        <v>3</v>
      </c>
      <c r="D469">
        <v>1574</v>
      </c>
      <c r="E469">
        <v>0</v>
      </c>
      <c r="I469">
        <v>1159</v>
      </c>
      <c r="J469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69" s="43">
        <f>IFERROR(SUMIFS(Tabela10[Fod Worth],Tabela10[Drop],DropAnalityka[[#This Row],[Drop]],Tabela10[Grade],DropAnalityka[[#This Row],[Grade]])*DropAnalityka[[#This Row],[Quality/Quantity]],0)</f>
        <v>0</v>
      </c>
      <c r="L469" s="43">
        <f>IFERROR(SUMIFS(Tabela10[Exp Gain only 2*+],Tabela10[Drop],DropAnalityka[[#This Row],[Drop]],Tabela10[Grade],DropAnalityka[[#This Row],[Grade]])*DropAnalityka[[#This Row],[Quality/Quantity]],0)</f>
        <v>0</v>
      </c>
    </row>
    <row r="470" spans="1:12">
      <c r="A470" t="s">
        <v>8</v>
      </c>
      <c r="B470" t="s">
        <v>32</v>
      </c>
      <c r="C470">
        <v>3</v>
      </c>
      <c r="D470">
        <v>1388</v>
      </c>
      <c r="E470">
        <v>0</v>
      </c>
      <c r="I470">
        <v>1159</v>
      </c>
      <c r="J47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70" s="43">
        <f>IFERROR(SUMIFS(Tabela10[Fod Worth],Tabela10[Drop],DropAnalityka[[#This Row],[Drop]],Tabela10[Grade],DropAnalityka[[#This Row],[Grade]])*DropAnalityka[[#This Row],[Quality/Quantity]],0)</f>
        <v>0</v>
      </c>
      <c r="L470" s="43">
        <f>IFERROR(SUMIFS(Tabela10[Exp Gain only 2*+],Tabela10[Drop],DropAnalityka[[#This Row],[Drop]],Tabela10[Grade],DropAnalityka[[#This Row],[Grade]])*DropAnalityka[[#This Row],[Quality/Quantity]],0)</f>
        <v>0</v>
      </c>
    </row>
    <row r="471" spans="1:12">
      <c r="A471" t="s">
        <v>8</v>
      </c>
      <c r="B471" t="s">
        <v>32</v>
      </c>
      <c r="C471">
        <v>3</v>
      </c>
      <c r="D471">
        <v>3326</v>
      </c>
      <c r="E471">
        <v>0</v>
      </c>
      <c r="F471" t="s">
        <v>34</v>
      </c>
      <c r="G471">
        <v>3</v>
      </c>
      <c r="H471" t="s">
        <v>17</v>
      </c>
      <c r="I471">
        <v>0</v>
      </c>
      <c r="J471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71" s="43">
        <f>IFERROR(SUMIFS(Tabela10[Fod Worth],Tabela10[Drop],DropAnalityka[[#This Row],[Drop]],Tabela10[Grade],DropAnalityka[[#This Row],[Grade]])*DropAnalityka[[#This Row],[Quality/Quantity]],0)</f>
        <v>0</v>
      </c>
      <c r="L471" s="43">
        <f>IFERROR(SUMIFS(Tabela10[Exp Gain only 2*+],Tabela10[Drop],DropAnalityka[[#This Row],[Drop]],Tabela10[Grade],DropAnalityka[[#This Row],[Grade]])*DropAnalityka[[#This Row],[Quality/Quantity]],0)</f>
        <v>2400</v>
      </c>
    </row>
    <row r="472" spans="1:12">
      <c r="A472" t="s">
        <v>8</v>
      </c>
      <c r="B472" t="s">
        <v>32</v>
      </c>
      <c r="C472">
        <v>3</v>
      </c>
      <c r="D472">
        <v>999</v>
      </c>
      <c r="E472">
        <v>1</v>
      </c>
      <c r="F472" t="s">
        <v>143</v>
      </c>
      <c r="I472">
        <v>0</v>
      </c>
      <c r="J4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72" s="43">
        <f>IFERROR(SUMIFS(Tabela10[Fod Worth],Tabela10[Drop],DropAnalityka[[#This Row],[Drop]],Tabela10[Grade],DropAnalityka[[#This Row],[Grade]])*DropAnalityka[[#This Row],[Quality/Quantity]],0)</f>
        <v>0</v>
      </c>
      <c r="L472" s="43">
        <f>IFERROR(SUMIFS(Tabela10[Exp Gain only 2*+],Tabela10[Drop],DropAnalityka[[#This Row],[Drop]],Tabela10[Grade],DropAnalityka[[#This Row],[Grade]])*DropAnalityka[[#This Row],[Quality/Quantity]],0)</f>
        <v>0</v>
      </c>
    </row>
    <row r="473" spans="1:12">
      <c r="A473" t="s">
        <v>8</v>
      </c>
      <c r="B473" t="s">
        <v>32</v>
      </c>
      <c r="C473">
        <v>3</v>
      </c>
      <c r="D473">
        <v>1225</v>
      </c>
      <c r="E473">
        <v>0</v>
      </c>
      <c r="I473">
        <v>2411</v>
      </c>
      <c r="J473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473" s="43">
        <f>IFERROR(SUMIFS(Tabela10[Fod Worth],Tabela10[Drop],DropAnalityka[[#This Row],[Drop]],Tabela10[Grade],DropAnalityka[[#This Row],[Grade]])*DropAnalityka[[#This Row],[Quality/Quantity]],0)</f>
        <v>0</v>
      </c>
      <c r="L473" s="43">
        <f>IFERROR(SUMIFS(Tabela10[Exp Gain only 2*+],Tabela10[Drop],DropAnalityka[[#This Row],[Drop]],Tabela10[Grade],DropAnalityka[[#This Row],[Grade]])*DropAnalityka[[#This Row],[Quality/Quantity]],0)</f>
        <v>0</v>
      </c>
    </row>
    <row r="474" spans="1:12">
      <c r="A474" t="s">
        <v>8</v>
      </c>
      <c r="B474" t="s">
        <v>32</v>
      </c>
      <c r="C474">
        <v>3</v>
      </c>
      <c r="D474">
        <v>1362</v>
      </c>
      <c r="E474">
        <v>2</v>
      </c>
      <c r="F474" t="s">
        <v>57</v>
      </c>
      <c r="G474">
        <v>1</v>
      </c>
      <c r="H474" t="s">
        <v>17</v>
      </c>
      <c r="J4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74" s="43">
        <f>IFERROR(SUMIFS(Tabela10[Fod Worth],Tabela10[Drop],DropAnalityka[[#This Row],[Drop]],Tabela10[Grade],DropAnalityka[[#This Row],[Grade]])*DropAnalityka[[#This Row],[Quality/Quantity]],0)</f>
        <v>0</v>
      </c>
      <c r="L474" s="43">
        <f>IFERROR(SUMIFS(Tabela10[Exp Gain only 2*+],Tabela10[Drop],DropAnalityka[[#This Row],[Drop]],Tabela10[Grade],DropAnalityka[[#This Row],[Grade]])*DropAnalityka[[#This Row],[Quality/Quantity]],0)</f>
        <v>0</v>
      </c>
    </row>
    <row r="475" spans="1:12">
      <c r="A475" t="s">
        <v>8</v>
      </c>
      <c r="B475" t="s">
        <v>32</v>
      </c>
      <c r="C475">
        <v>3</v>
      </c>
      <c r="D475">
        <v>1149</v>
      </c>
      <c r="E475">
        <v>2</v>
      </c>
      <c r="I475">
        <v>1159</v>
      </c>
      <c r="J47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75" s="43">
        <f>IFERROR(SUMIFS(Tabela10[Fod Worth],Tabela10[Drop],DropAnalityka[[#This Row],[Drop]],Tabela10[Grade],DropAnalityka[[#This Row],[Grade]])*DropAnalityka[[#This Row],[Quality/Quantity]],0)</f>
        <v>0</v>
      </c>
      <c r="L475" s="43">
        <f>IFERROR(SUMIFS(Tabela10[Exp Gain only 2*+],Tabela10[Drop],DropAnalityka[[#This Row],[Drop]],Tabela10[Grade],DropAnalityka[[#This Row],[Grade]])*DropAnalityka[[#This Row],[Quality/Quantity]],0)</f>
        <v>0</v>
      </c>
    </row>
    <row r="476" spans="1:12">
      <c r="A476" t="s">
        <v>8</v>
      </c>
      <c r="B476" t="s">
        <v>32</v>
      </c>
      <c r="C476">
        <v>3</v>
      </c>
      <c r="D476">
        <v>1186</v>
      </c>
      <c r="E476">
        <v>1</v>
      </c>
      <c r="I476">
        <v>2067</v>
      </c>
      <c r="J47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76" s="43">
        <f>IFERROR(SUMIFS(Tabela10[Fod Worth],Tabela10[Drop],DropAnalityka[[#This Row],[Drop]],Tabela10[Grade],DropAnalityka[[#This Row],[Grade]])*DropAnalityka[[#This Row],[Quality/Quantity]],0)</f>
        <v>0</v>
      </c>
      <c r="L476" s="43">
        <f>IFERROR(SUMIFS(Tabela10[Exp Gain only 2*+],Tabela10[Drop],DropAnalityka[[#This Row],[Drop]],Tabela10[Grade],DropAnalityka[[#This Row],[Grade]])*DropAnalityka[[#This Row],[Quality/Quantity]],0)</f>
        <v>0</v>
      </c>
    </row>
    <row r="477" spans="1:12">
      <c r="A477" t="s">
        <v>8</v>
      </c>
      <c r="B477" t="s">
        <v>32</v>
      </c>
      <c r="C477">
        <v>3</v>
      </c>
      <c r="D477">
        <v>1366</v>
      </c>
      <c r="E477">
        <v>1</v>
      </c>
      <c r="I477">
        <v>2411</v>
      </c>
      <c r="J477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477" s="43">
        <f>IFERROR(SUMIFS(Tabela10[Fod Worth],Tabela10[Drop],DropAnalityka[[#This Row],[Drop]],Tabela10[Grade],DropAnalityka[[#This Row],[Grade]])*DropAnalityka[[#This Row],[Quality/Quantity]],0)</f>
        <v>0</v>
      </c>
      <c r="L477" s="43">
        <f>IFERROR(SUMIFS(Tabela10[Exp Gain only 2*+],Tabela10[Drop],DropAnalityka[[#This Row],[Drop]],Tabela10[Grade],DropAnalityka[[#This Row],[Grade]])*DropAnalityka[[#This Row],[Quality/Quantity]],0)</f>
        <v>0</v>
      </c>
    </row>
    <row r="478" spans="1:12">
      <c r="A478" t="s">
        <v>8</v>
      </c>
      <c r="B478" t="s">
        <v>32</v>
      </c>
      <c r="C478">
        <v>3</v>
      </c>
      <c r="D478">
        <v>2407</v>
      </c>
      <c r="E478">
        <v>4</v>
      </c>
      <c r="F478" t="s">
        <v>57</v>
      </c>
      <c r="G478">
        <v>1</v>
      </c>
      <c r="H478" t="s">
        <v>12</v>
      </c>
      <c r="I478">
        <v>0</v>
      </c>
      <c r="J4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78" s="43">
        <f>IFERROR(SUMIFS(Tabela10[Fod Worth],Tabela10[Drop],DropAnalityka[[#This Row],[Drop]],Tabela10[Grade],DropAnalityka[[#This Row],[Grade]])*DropAnalityka[[#This Row],[Quality/Quantity]],0)</f>
        <v>11500</v>
      </c>
      <c r="L478" s="43">
        <f>IFERROR(SUMIFS(Tabela10[Exp Gain only 2*+],Tabela10[Drop],DropAnalityka[[#This Row],[Drop]],Tabela10[Grade],DropAnalityka[[#This Row],[Grade]])*DropAnalityka[[#This Row],[Quality/Quantity]],0)</f>
        <v>0</v>
      </c>
    </row>
    <row r="479" spans="1:12">
      <c r="A479" t="s">
        <v>8</v>
      </c>
      <c r="B479" t="s">
        <v>32</v>
      </c>
      <c r="C479">
        <v>3</v>
      </c>
      <c r="D479">
        <v>2050</v>
      </c>
      <c r="E479">
        <v>1</v>
      </c>
      <c r="I479">
        <v>2067</v>
      </c>
      <c r="J479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79" s="43">
        <f>IFERROR(SUMIFS(Tabela10[Fod Worth],Tabela10[Drop],DropAnalityka[[#This Row],[Drop]],Tabela10[Grade],DropAnalityka[[#This Row],[Grade]])*DropAnalityka[[#This Row],[Quality/Quantity]],0)</f>
        <v>0</v>
      </c>
      <c r="L479" s="43">
        <f>IFERROR(SUMIFS(Tabela10[Exp Gain only 2*+],Tabela10[Drop],DropAnalityka[[#This Row],[Drop]],Tabela10[Grade],DropAnalityka[[#This Row],[Grade]])*DropAnalityka[[#This Row],[Quality/Quantity]],0)</f>
        <v>0</v>
      </c>
    </row>
    <row r="480" spans="1:12">
      <c r="A480" t="s">
        <v>8</v>
      </c>
      <c r="B480" t="s">
        <v>32</v>
      </c>
      <c r="C480">
        <v>3</v>
      </c>
      <c r="D480">
        <v>2063</v>
      </c>
      <c r="E480">
        <v>1</v>
      </c>
      <c r="F480" t="s">
        <v>57</v>
      </c>
      <c r="G480">
        <v>1</v>
      </c>
      <c r="H480" t="s">
        <v>17</v>
      </c>
      <c r="J4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80" s="43">
        <f>IFERROR(SUMIFS(Tabela10[Fod Worth],Tabela10[Drop],DropAnalityka[[#This Row],[Drop]],Tabela10[Grade],DropAnalityka[[#This Row],[Grade]])*DropAnalityka[[#This Row],[Quality/Quantity]],0)</f>
        <v>0</v>
      </c>
      <c r="L480" s="43">
        <f>IFERROR(SUMIFS(Tabela10[Exp Gain only 2*+],Tabela10[Drop],DropAnalityka[[#This Row],[Drop]],Tabela10[Grade],DropAnalityka[[#This Row],[Grade]])*DropAnalityka[[#This Row],[Quality/Quantity]],0)</f>
        <v>0</v>
      </c>
    </row>
    <row r="481" spans="1:12">
      <c r="A481" t="s">
        <v>8</v>
      </c>
      <c r="B481" t="s">
        <v>32</v>
      </c>
      <c r="C481">
        <v>3</v>
      </c>
      <c r="D481">
        <v>1086</v>
      </c>
      <c r="E481">
        <v>0</v>
      </c>
      <c r="I481">
        <v>1546</v>
      </c>
      <c r="J481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481" s="43">
        <f>IFERROR(SUMIFS(Tabela10[Fod Worth],Tabela10[Drop],DropAnalityka[[#This Row],[Drop]],Tabela10[Grade],DropAnalityka[[#This Row],[Grade]])*DropAnalityka[[#This Row],[Quality/Quantity]],0)</f>
        <v>0</v>
      </c>
      <c r="L481" s="43">
        <f>IFERROR(SUMIFS(Tabela10[Exp Gain only 2*+],Tabela10[Drop],DropAnalityka[[#This Row],[Drop]],Tabela10[Grade],DropAnalityka[[#This Row],[Grade]])*DropAnalityka[[#This Row],[Quality/Quantity]],0)</f>
        <v>0</v>
      </c>
    </row>
    <row r="482" spans="1:12">
      <c r="A482" t="s">
        <v>8</v>
      </c>
      <c r="B482" t="s">
        <v>32</v>
      </c>
      <c r="C482">
        <v>3</v>
      </c>
      <c r="D482">
        <v>1248</v>
      </c>
      <c r="E482">
        <v>2</v>
      </c>
      <c r="F482" t="s">
        <v>34</v>
      </c>
      <c r="G482">
        <v>3</v>
      </c>
      <c r="H482" t="s">
        <v>17</v>
      </c>
      <c r="I482">
        <v>0</v>
      </c>
      <c r="J482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482" s="43">
        <f>IFERROR(SUMIFS(Tabela10[Fod Worth],Tabela10[Drop],DropAnalityka[[#This Row],[Drop]],Tabela10[Grade],DropAnalityka[[#This Row],[Grade]])*DropAnalityka[[#This Row],[Quality/Quantity]],0)</f>
        <v>0</v>
      </c>
      <c r="L482" s="43">
        <f>IFERROR(SUMIFS(Tabela10[Exp Gain only 2*+],Tabela10[Drop],DropAnalityka[[#This Row],[Drop]],Tabela10[Grade],DropAnalityka[[#This Row],[Grade]])*DropAnalityka[[#This Row],[Quality/Quantity]],0)</f>
        <v>2400</v>
      </c>
    </row>
    <row r="483" spans="1:12">
      <c r="A483" t="s">
        <v>8</v>
      </c>
      <c r="B483" t="s">
        <v>32</v>
      </c>
      <c r="C483">
        <v>3</v>
      </c>
      <c r="D483">
        <v>1342</v>
      </c>
      <c r="E483">
        <v>1</v>
      </c>
      <c r="F483" t="s">
        <v>143</v>
      </c>
      <c r="I483">
        <v>0</v>
      </c>
      <c r="J4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83" s="43">
        <f>IFERROR(SUMIFS(Tabela10[Fod Worth],Tabela10[Drop],DropAnalityka[[#This Row],[Drop]],Tabela10[Grade],DropAnalityka[[#This Row],[Grade]])*DropAnalityka[[#This Row],[Quality/Quantity]],0)</f>
        <v>0</v>
      </c>
      <c r="L483" s="43">
        <f>IFERROR(SUMIFS(Tabela10[Exp Gain only 2*+],Tabela10[Drop],DropAnalityka[[#This Row],[Drop]],Tabela10[Grade],DropAnalityka[[#This Row],[Grade]])*DropAnalityka[[#This Row],[Quality/Quantity]],0)</f>
        <v>0</v>
      </c>
    </row>
    <row r="484" spans="1:12">
      <c r="A484" t="s">
        <v>8</v>
      </c>
      <c r="B484" t="s">
        <v>32</v>
      </c>
      <c r="C484">
        <v>3</v>
      </c>
      <c r="D484">
        <v>2048</v>
      </c>
      <c r="E484">
        <v>0</v>
      </c>
      <c r="I484">
        <v>1159</v>
      </c>
      <c r="J48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84" s="43">
        <f>IFERROR(SUMIFS(Tabela10[Fod Worth],Tabela10[Drop],DropAnalityka[[#This Row],[Drop]],Tabela10[Grade],DropAnalityka[[#This Row],[Grade]])*DropAnalityka[[#This Row],[Quality/Quantity]],0)</f>
        <v>0</v>
      </c>
      <c r="L484" s="43">
        <f>IFERROR(SUMIFS(Tabela10[Exp Gain only 2*+],Tabela10[Drop],DropAnalityka[[#This Row],[Drop]],Tabela10[Grade],DropAnalityka[[#This Row],[Grade]])*DropAnalityka[[#This Row],[Quality/Quantity]],0)</f>
        <v>0</v>
      </c>
    </row>
    <row r="485" spans="1:12">
      <c r="A485" t="s">
        <v>8</v>
      </c>
      <c r="B485" t="s">
        <v>32</v>
      </c>
      <c r="C485">
        <v>3</v>
      </c>
      <c r="D485">
        <v>2152</v>
      </c>
      <c r="E485">
        <v>2</v>
      </c>
      <c r="F485" t="s">
        <v>57</v>
      </c>
      <c r="G485">
        <v>1</v>
      </c>
      <c r="H485" t="s">
        <v>17</v>
      </c>
      <c r="I485">
        <v>0</v>
      </c>
      <c r="J4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85" s="43">
        <f>IFERROR(SUMIFS(Tabela10[Fod Worth],Tabela10[Drop],DropAnalityka[[#This Row],[Drop]],Tabela10[Grade],DropAnalityka[[#This Row],[Grade]])*DropAnalityka[[#This Row],[Quality/Quantity]],0)</f>
        <v>0</v>
      </c>
      <c r="L485" s="43">
        <f>IFERROR(SUMIFS(Tabela10[Exp Gain only 2*+],Tabela10[Drop],DropAnalityka[[#This Row],[Drop]],Tabela10[Grade],DropAnalityka[[#This Row],[Grade]])*DropAnalityka[[#This Row],[Quality/Quantity]],0)</f>
        <v>0</v>
      </c>
    </row>
    <row r="486" spans="1:12">
      <c r="A486" t="s">
        <v>8</v>
      </c>
      <c r="B486" t="s">
        <v>32</v>
      </c>
      <c r="C486">
        <v>3</v>
      </c>
      <c r="D486">
        <v>1171</v>
      </c>
      <c r="E486">
        <v>1</v>
      </c>
      <c r="I486">
        <v>2067</v>
      </c>
      <c r="J48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86" s="43">
        <f>IFERROR(SUMIFS(Tabela10[Fod Worth],Tabela10[Drop],DropAnalityka[[#This Row],[Drop]],Tabela10[Grade],DropAnalityka[[#This Row],[Grade]])*DropAnalityka[[#This Row],[Quality/Quantity]],0)</f>
        <v>0</v>
      </c>
      <c r="L486" s="43">
        <f>IFERROR(SUMIFS(Tabela10[Exp Gain only 2*+],Tabela10[Drop],DropAnalityka[[#This Row],[Drop]],Tabela10[Grade],DropAnalityka[[#This Row],[Grade]])*DropAnalityka[[#This Row],[Quality/Quantity]],0)</f>
        <v>0</v>
      </c>
    </row>
    <row r="487" spans="1:12">
      <c r="A487" t="s">
        <v>8</v>
      </c>
      <c r="B487" t="s">
        <v>32</v>
      </c>
      <c r="C487">
        <v>3</v>
      </c>
      <c r="D487">
        <v>2951</v>
      </c>
      <c r="E487">
        <v>2</v>
      </c>
      <c r="I487">
        <v>2411</v>
      </c>
      <c r="J487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487" s="43">
        <f>IFERROR(SUMIFS(Tabela10[Fod Worth],Tabela10[Drop],DropAnalityka[[#This Row],[Drop]],Tabela10[Grade],DropAnalityka[[#This Row],[Grade]])*DropAnalityka[[#This Row],[Quality/Quantity]],0)</f>
        <v>0</v>
      </c>
      <c r="L487" s="43">
        <f>IFERROR(SUMIFS(Tabela10[Exp Gain only 2*+],Tabela10[Drop],DropAnalityka[[#This Row],[Drop]],Tabela10[Grade],DropAnalityka[[#This Row],[Grade]])*DropAnalityka[[#This Row],[Quality/Quantity]],0)</f>
        <v>0</v>
      </c>
    </row>
    <row r="488" spans="1:12">
      <c r="A488" t="s">
        <v>8</v>
      </c>
      <c r="B488" t="s">
        <v>32</v>
      </c>
      <c r="C488">
        <v>3</v>
      </c>
      <c r="D488">
        <v>1340</v>
      </c>
      <c r="E488">
        <v>0</v>
      </c>
      <c r="I488">
        <v>1159</v>
      </c>
      <c r="J48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88" s="43">
        <f>IFERROR(SUMIFS(Tabela10[Fod Worth],Tabela10[Drop],DropAnalityka[[#This Row],[Drop]],Tabela10[Grade],DropAnalityka[[#This Row],[Grade]])*DropAnalityka[[#This Row],[Quality/Quantity]],0)</f>
        <v>0</v>
      </c>
      <c r="L488" s="43">
        <f>IFERROR(SUMIFS(Tabela10[Exp Gain only 2*+],Tabela10[Drop],DropAnalityka[[#This Row],[Drop]],Tabela10[Grade],DropAnalityka[[#This Row],[Grade]])*DropAnalityka[[#This Row],[Quality/Quantity]],0)</f>
        <v>0</v>
      </c>
    </row>
    <row r="489" spans="1:12">
      <c r="A489" t="s">
        <v>8</v>
      </c>
      <c r="B489" t="s">
        <v>32</v>
      </c>
      <c r="C489">
        <v>3</v>
      </c>
      <c r="D489">
        <v>1120</v>
      </c>
      <c r="E489">
        <v>1</v>
      </c>
      <c r="I489">
        <v>1546</v>
      </c>
      <c r="J489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489" s="43">
        <f>IFERROR(SUMIFS(Tabela10[Fod Worth],Tabela10[Drop],DropAnalityka[[#This Row],[Drop]],Tabela10[Grade],DropAnalityka[[#This Row],[Grade]])*DropAnalityka[[#This Row],[Quality/Quantity]],0)</f>
        <v>0</v>
      </c>
      <c r="L489" s="43">
        <f>IFERROR(SUMIFS(Tabela10[Exp Gain only 2*+],Tabela10[Drop],DropAnalityka[[#This Row],[Drop]],Tabela10[Grade],DropAnalityka[[#This Row],[Grade]])*DropAnalityka[[#This Row],[Quality/Quantity]],0)</f>
        <v>0</v>
      </c>
    </row>
    <row r="490" spans="1:12">
      <c r="A490" t="s">
        <v>8</v>
      </c>
      <c r="B490" t="s">
        <v>32</v>
      </c>
      <c r="C490">
        <v>3</v>
      </c>
      <c r="D490">
        <v>805</v>
      </c>
      <c r="E490">
        <v>1</v>
      </c>
      <c r="I490">
        <v>2067</v>
      </c>
      <c r="J49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90" s="43">
        <f>IFERROR(SUMIFS(Tabela10[Fod Worth],Tabela10[Drop],DropAnalityka[[#This Row],[Drop]],Tabela10[Grade],DropAnalityka[[#This Row],[Grade]])*DropAnalityka[[#This Row],[Quality/Quantity]],0)</f>
        <v>0</v>
      </c>
      <c r="L490" s="43">
        <f>IFERROR(SUMIFS(Tabela10[Exp Gain only 2*+],Tabela10[Drop],DropAnalityka[[#This Row],[Drop]],Tabela10[Grade],DropAnalityka[[#This Row],[Grade]])*DropAnalityka[[#This Row],[Quality/Quantity]],0)</f>
        <v>0</v>
      </c>
    </row>
    <row r="491" spans="1:12">
      <c r="A491" t="s">
        <v>8</v>
      </c>
      <c r="B491" t="s">
        <v>32</v>
      </c>
      <c r="C491">
        <v>3</v>
      </c>
      <c r="D491">
        <v>1611</v>
      </c>
      <c r="E491">
        <v>3</v>
      </c>
      <c r="I491">
        <v>1159</v>
      </c>
      <c r="J49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91" s="43">
        <f>IFERROR(SUMIFS(Tabela10[Fod Worth],Tabela10[Drop],DropAnalityka[[#This Row],[Drop]],Tabela10[Grade],DropAnalityka[[#This Row],[Grade]])*DropAnalityka[[#This Row],[Quality/Quantity]],0)</f>
        <v>0</v>
      </c>
      <c r="L491" s="43">
        <f>IFERROR(SUMIFS(Tabela10[Exp Gain only 2*+],Tabela10[Drop],DropAnalityka[[#This Row],[Drop]],Tabela10[Grade],DropAnalityka[[#This Row],[Grade]])*DropAnalityka[[#This Row],[Quality/Quantity]],0)</f>
        <v>0</v>
      </c>
    </row>
    <row r="492" spans="1:12">
      <c r="A492" t="s">
        <v>8</v>
      </c>
      <c r="B492" t="s">
        <v>32</v>
      </c>
      <c r="C492">
        <v>3</v>
      </c>
      <c r="D492">
        <v>1332</v>
      </c>
      <c r="E492">
        <v>0</v>
      </c>
      <c r="I492">
        <v>1159</v>
      </c>
      <c r="J49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92" s="43">
        <f>IFERROR(SUMIFS(Tabela10[Fod Worth],Tabela10[Drop],DropAnalityka[[#This Row],[Drop]],Tabela10[Grade],DropAnalityka[[#This Row],[Grade]])*DropAnalityka[[#This Row],[Quality/Quantity]],0)</f>
        <v>0</v>
      </c>
      <c r="L492" s="43">
        <f>IFERROR(SUMIFS(Tabela10[Exp Gain only 2*+],Tabela10[Drop],DropAnalityka[[#This Row],[Drop]],Tabela10[Grade],DropAnalityka[[#This Row],[Grade]])*DropAnalityka[[#This Row],[Quality/Quantity]],0)</f>
        <v>0</v>
      </c>
    </row>
    <row r="493" spans="1:12">
      <c r="A493" t="s">
        <v>8</v>
      </c>
      <c r="B493" t="s">
        <v>32</v>
      </c>
      <c r="C493">
        <v>3</v>
      </c>
      <c r="D493">
        <v>1613</v>
      </c>
      <c r="E493">
        <v>1</v>
      </c>
      <c r="I493">
        <v>2411</v>
      </c>
      <c r="J493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493" s="43">
        <f>IFERROR(SUMIFS(Tabela10[Fod Worth],Tabela10[Drop],DropAnalityka[[#This Row],[Drop]],Tabela10[Grade],DropAnalityka[[#This Row],[Grade]])*DropAnalityka[[#This Row],[Quality/Quantity]],0)</f>
        <v>0</v>
      </c>
      <c r="L493" s="43">
        <f>IFERROR(SUMIFS(Tabela10[Exp Gain only 2*+],Tabela10[Drop],DropAnalityka[[#This Row],[Drop]],Tabela10[Grade],DropAnalityka[[#This Row],[Grade]])*DropAnalityka[[#This Row],[Quality/Quantity]],0)</f>
        <v>0</v>
      </c>
    </row>
    <row r="494" spans="1:12">
      <c r="A494" t="s">
        <v>8</v>
      </c>
      <c r="B494" t="s">
        <v>32</v>
      </c>
      <c r="C494">
        <v>3</v>
      </c>
      <c r="D494">
        <v>1375</v>
      </c>
      <c r="E494">
        <v>1</v>
      </c>
      <c r="I494">
        <v>1159</v>
      </c>
      <c r="J49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94" s="43">
        <f>IFERROR(SUMIFS(Tabela10[Fod Worth],Tabela10[Drop],DropAnalityka[[#This Row],[Drop]],Tabela10[Grade],DropAnalityka[[#This Row],[Grade]])*DropAnalityka[[#This Row],[Quality/Quantity]],0)</f>
        <v>0</v>
      </c>
      <c r="L494" s="43">
        <f>IFERROR(SUMIFS(Tabela10[Exp Gain only 2*+],Tabela10[Drop],DropAnalityka[[#This Row],[Drop]],Tabela10[Grade],DropAnalityka[[#This Row],[Grade]])*DropAnalityka[[#This Row],[Quality/Quantity]],0)</f>
        <v>0</v>
      </c>
    </row>
    <row r="495" spans="1:12">
      <c r="A495" t="s">
        <v>8</v>
      </c>
      <c r="B495" t="s">
        <v>32</v>
      </c>
      <c r="C495">
        <v>3</v>
      </c>
      <c r="D495">
        <v>1277</v>
      </c>
      <c r="E495">
        <v>1</v>
      </c>
      <c r="I495">
        <v>1159</v>
      </c>
      <c r="J49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95" s="43">
        <f>IFERROR(SUMIFS(Tabela10[Fod Worth],Tabela10[Drop],DropAnalityka[[#This Row],[Drop]],Tabela10[Grade],DropAnalityka[[#This Row],[Grade]])*DropAnalityka[[#This Row],[Quality/Quantity]],0)</f>
        <v>0</v>
      </c>
      <c r="L495" s="43">
        <f>IFERROR(SUMIFS(Tabela10[Exp Gain only 2*+],Tabela10[Drop],DropAnalityka[[#This Row],[Drop]],Tabela10[Grade],DropAnalityka[[#This Row],[Grade]])*DropAnalityka[[#This Row],[Quality/Quantity]],0)</f>
        <v>0</v>
      </c>
    </row>
    <row r="496" spans="1:12">
      <c r="A496" t="s">
        <v>8</v>
      </c>
      <c r="B496" t="s">
        <v>32</v>
      </c>
      <c r="C496">
        <v>3</v>
      </c>
      <c r="D496">
        <v>1167</v>
      </c>
      <c r="E496">
        <v>0</v>
      </c>
      <c r="I496">
        <v>2067</v>
      </c>
      <c r="J49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496" s="43">
        <f>IFERROR(SUMIFS(Tabela10[Fod Worth],Tabela10[Drop],DropAnalityka[[#This Row],[Drop]],Tabela10[Grade],DropAnalityka[[#This Row],[Grade]])*DropAnalityka[[#This Row],[Quality/Quantity]],0)</f>
        <v>0</v>
      </c>
      <c r="L496" s="43">
        <f>IFERROR(SUMIFS(Tabela10[Exp Gain only 2*+],Tabela10[Drop],DropAnalityka[[#This Row],[Drop]],Tabela10[Grade],DropAnalityka[[#This Row],[Grade]])*DropAnalityka[[#This Row],[Quality/Quantity]],0)</f>
        <v>0</v>
      </c>
    </row>
    <row r="497" spans="1:12">
      <c r="A497" t="s">
        <v>8</v>
      </c>
      <c r="B497" t="s">
        <v>32</v>
      </c>
      <c r="C497">
        <v>3</v>
      </c>
      <c r="D497">
        <v>1156</v>
      </c>
      <c r="E497">
        <v>2</v>
      </c>
      <c r="I497">
        <v>1352</v>
      </c>
      <c r="J497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497" s="43">
        <f>IFERROR(SUMIFS(Tabela10[Fod Worth],Tabela10[Drop],DropAnalityka[[#This Row],[Drop]],Tabela10[Grade],DropAnalityka[[#This Row],[Grade]])*DropAnalityka[[#This Row],[Quality/Quantity]],0)</f>
        <v>0</v>
      </c>
      <c r="L497" s="43">
        <f>IFERROR(SUMIFS(Tabela10[Exp Gain only 2*+],Tabela10[Drop],DropAnalityka[[#This Row],[Drop]],Tabela10[Grade],DropAnalityka[[#This Row],[Grade]])*DropAnalityka[[#This Row],[Quality/Quantity]],0)</f>
        <v>0</v>
      </c>
    </row>
    <row r="498" spans="1:12">
      <c r="A498" t="s">
        <v>8</v>
      </c>
      <c r="B498" t="s">
        <v>32</v>
      </c>
      <c r="C498">
        <v>3</v>
      </c>
      <c r="D498">
        <v>1404</v>
      </c>
      <c r="E498">
        <v>0</v>
      </c>
      <c r="F498" t="s">
        <v>57</v>
      </c>
      <c r="G498">
        <v>1</v>
      </c>
      <c r="H498" t="s">
        <v>26</v>
      </c>
      <c r="I498">
        <v>0</v>
      </c>
      <c r="J4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498" s="43">
        <f>IFERROR(SUMIFS(Tabela10[Fod Worth],Tabela10[Drop],DropAnalityka[[#This Row],[Drop]],Tabela10[Grade],DropAnalityka[[#This Row],[Grade]])*DropAnalityka[[#This Row],[Quality/Quantity]],0)</f>
        <v>34500</v>
      </c>
      <c r="L498" s="43">
        <f>IFERROR(SUMIFS(Tabela10[Exp Gain only 2*+],Tabela10[Drop],DropAnalityka[[#This Row],[Drop]],Tabela10[Grade],DropAnalityka[[#This Row],[Grade]])*DropAnalityka[[#This Row],[Quality/Quantity]],0)</f>
        <v>35822</v>
      </c>
    </row>
    <row r="499" spans="1:12">
      <c r="A499" t="s">
        <v>8</v>
      </c>
      <c r="B499" t="s">
        <v>32</v>
      </c>
      <c r="C499">
        <v>3</v>
      </c>
      <c r="D499">
        <v>1462</v>
      </c>
      <c r="E499">
        <v>0</v>
      </c>
      <c r="I499">
        <v>1159</v>
      </c>
      <c r="J499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499" s="43">
        <f>IFERROR(SUMIFS(Tabela10[Fod Worth],Tabela10[Drop],DropAnalityka[[#This Row],[Drop]],Tabela10[Grade],DropAnalityka[[#This Row],[Grade]])*DropAnalityka[[#This Row],[Quality/Quantity]],0)</f>
        <v>0</v>
      </c>
      <c r="L499" s="43">
        <f>IFERROR(SUMIFS(Tabela10[Exp Gain only 2*+],Tabela10[Drop],DropAnalityka[[#This Row],[Drop]],Tabela10[Grade],DropAnalityka[[#This Row],[Grade]])*DropAnalityka[[#This Row],[Quality/Quantity]],0)</f>
        <v>0</v>
      </c>
    </row>
    <row r="500" spans="1:12">
      <c r="A500" t="s">
        <v>8</v>
      </c>
      <c r="B500" t="s">
        <v>32</v>
      </c>
      <c r="C500">
        <v>3</v>
      </c>
      <c r="D500">
        <v>1957</v>
      </c>
      <c r="E500">
        <v>2</v>
      </c>
      <c r="F500" t="s">
        <v>143</v>
      </c>
      <c r="I500">
        <v>0</v>
      </c>
      <c r="J5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00" s="43">
        <f>IFERROR(SUMIFS(Tabela10[Fod Worth],Tabela10[Drop],DropAnalityka[[#This Row],[Drop]],Tabela10[Grade],DropAnalityka[[#This Row],[Grade]])*DropAnalityka[[#This Row],[Quality/Quantity]],0)</f>
        <v>0</v>
      </c>
      <c r="L500" s="43">
        <f>IFERROR(SUMIFS(Tabela10[Exp Gain only 2*+],Tabela10[Drop],DropAnalityka[[#This Row],[Drop]],Tabela10[Grade],DropAnalityka[[#This Row],[Grade]])*DropAnalityka[[#This Row],[Quality/Quantity]],0)</f>
        <v>0</v>
      </c>
    </row>
    <row r="501" spans="1:12">
      <c r="A501" t="s">
        <v>8</v>
      </c>
      <c r="B501" t="s">
        <v>32</v>
      </c>
      <c r="C501">
        <v>3</v>
      </c>
      <c r="D501">
        <v>1051</v>
      </c>
      <c r="E501">
        <v>0</v>
      </c>
      <c r="I501">
        <v>2411</v>
      </c>
      <c r="J501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501" s="43">
        <f>IFERROR(SUMIFS(Tabela10[Fod Worth],Tabela10[Drop],DropAnalityka[[#This Row],[Drop]],Tabela10[Grade],DropAnalityka[[#This Row],[Grade]])*DropAnalityka[[#This Row],[Quality/Quantity]],0)</f>
        <v>0</v>
      </c>
      <c r="L501" s="43">
        <f>IFERROR(SUMIFS(Tabela10[Exp Gain only 2*+],Tabela10[Drop],DropAnalityka[[#This Row],[Drop]],Tabela10[Grade],DropAnalityka[[#This Row],[Grade]])*DropAnalityka[[#This Row],[Quality/Quantity]],0)</f>
        <v>0</v>
      </c>
    </row>
    <row r="502" spans="1:12">
      <c r="A502" t="s">
        <v>8</v>
      </c>
      <c r="B502" t="s">
        <v>32</v>
      </c>
      <c r="C502">
        <v>3</v>
      </c>
      <c r="D502">
        <v>1187</v>
      </c>
      <c r="E502">
        <v>2</v>
      </c>
      <c r="I502">
        <v>1159</v>
      </c>
      <c r="J50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502" s="43">
        <f>IFERROR(SUMIFS(Tabela10[Fod Worth],Tabela10[Drop],DropAnalityka[[#This Row],[Drop]],Tabela10[Grade],DropAnalityka[[#This Row],[Grade]])*DropAnalityka[[#This Row],[Quality/Quantity]],0)</f>
        <v>0</v>
      </c>
      <c r="L502" s="43">
        <f>IFERROR(SUMIFS(Tabela10[Exp Gain only 2*+],Tabela10[Drop],DropAnalityka[[#This Row],[Drop]],Tabela10[Grade],DropAnalityka[[#This Row],[Grade]])*DropAnalityka[[#This Row],[Quality/Quantity]],0)</f>
        <v>0</v>
      </c>
    </row>
    <row r="503" spans="1:12">
      <c r="A503" t="s">
        <v>8</v>
      </c>
      <c r="B503" t="s">
        <v>32</v>
      </c>
      <c r="C503">
        <v>3</v>
      </c>
      <c r="D503">
        <v>1798</v>
      </c>
      <c r="E503">
        <v>2</v>
      </c>
      <c r="F503" t="s">
        <v>34</v>
      </c>
      <c r="G503">
        <v>3</v>
      </c>
      <c r="H503" t="s">
        <v>17</v>
      </c>
      <c r="I503">
        <v>0</v>
      </c>
      <c r="J50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503" s="43">
        <f>IFERROR(SUMIFS(Tabela10[Fod Worth],Tabela10[Drop],DropAnalityka[[#This Row],[Drop]],Tabela10[Grade],DropAnalityka[[#This Row],[Grade]])*DropAnalityka[[#This Row],[Quality/Quantity]],0)</f>
        <v>0</v>
      </c>
      <c r="L503" s="43">
        <f>IFERROR(SUMIFS(Tabela10[Exp Gain only 2*+],Tabela10[Drop],DropAnalityka[[#This Row],[Drop]],Tabela10[Grade],DropAnalityka[[#This Row],[Grade]])*DropAnalityka[[#This Row],[Quality/Quantity]],0)</f>
        <v>2400</v>
      </c>
    </row>
    <row r="504" spans="1:12">
      <c r="A504" t="s">
        <v>8</v>
      </c>
      <c r="B504" t="s">
        <v>32</v>
      </c>
      <c r="C504">
        <v>3</v>
      </c>
      <c r="D504">
        <v>1909</v>
      </c>
      <c r="E504">
        <v>3</v>
      </c>
      <c r="I504">
        <v>1159</v>
      </c>
      <c r="J504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504" s="43">
        <f>IFERROR(SUMIFS(Tabela10[Fod Worth],Tabela10[Drop],DropAnalityka[[#This Row],[Drop]],Tabela10[Grade],DropAnalityka[[#This Row],[Grade]])*DropAnalityka[[#This Row],[Quality/Quantity]],0)</f>
        <v>0</v>
      </c>
      <c r="L504" s="43">
        <f>IFERROR(SUMIFS(Tabela10[Exp Gain only 2*+],Tabela10[Drop],DropAnalityka[[#This Row],[Drop]],Tabela10[Grade],DropAnalityka[[#This Row],[Grade]])*DropAnalityka[[#This Row],[Quality/Quantity]],0)</f>
        <v>0</v>
      </c>
    </row>
    <row r="505" spans="1:12">
      <c r="A505" t="s">
        <v>8</v>
      </c>
      <c r="B505" t="s">
        <v>32</v>
      </c>
      <c r="C505">
        <v>3</v>
      </c>
      <c r="D505">
        <v>829</v>
      </c>
      <c r="E505">
        <v>2</v>
      </c>
      <c r="I505">
        <v>1159</v>
      </c>
      <c r="J50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505" s="43">
        <f>IFERROR(SUMIFS(Tabela10[Fod Worth],Tabela10[Drop],DropAnalityka[[#This Row],[Drop]],Tabela10[Grade],DropAnalityka[[#This Row],[Grade]])*DropAnalityka[[#This Row],[Quality/Quantity]],0)</f>
        <v>0</v>
      </c>
      <c r="L505" s="43">
        <f>IFERROR(SUMIFS(Tabela10[Exp Gain only 2*+],Tabela10[Drop],DropAnalityka[[#This Row],[Drop]],Tabela10[Grade],DropAnalityka[[#This Row],[Grade]])*DropAnalityka[[#This Row],[Quality/Quantity]],0)</f>
        <v>0</v>
      </c>
    </row>
    <row r="506" spans="1:12">
      <c r="A506" t="s">
        <v>8</v>
      </c>
      <c r="B506" t="s">
        <v>32</v>
      </c>
      <c r="C506">
        <v>3</v>
      </c>
      <c r="D506">
        <v>1201</v>
      </c>
      <c r="E506">
        <v>2</v>
      </c>
      <c r="F506" t="s">
        <v>34</v>
      </c>
      <c r="G506">
        <v>3</v>
      </c>
      <c r="H506" t="s">
        <v>17</v>
      </c>
      <c r="I506">
        <v>0</v>
      </c>
      <c r="J506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506" s="43">
        <f>IFERROR(SUMIFS(Tabela10[Fod Worth],Tabela10[Drop],DropAnalityka[[#This Row],[Drop]],Tabela10[Grade],DropAnalityka[[#This Row],[Grade]])*DropAnalityka[[#This Row],[Quality/Quantity]],0)</f>
        <v>0</v>
      </c>
      <c r="L506" s="43">
        <f>IFERROR(SUMIFS(Tabela10[Exp Gain only 2*+],Tabela10[Drop],DropAnalityka[[#This Row],[Drop]],Tabela10[Grade],DropAnalityka[[#This Row],[Grade]])*DropAnalityka[[#This Row],[Quality/Quantity]],0)</f>
        <v>2400</v>
      </c>
    </row>
    <row r="507" spans="1:12">
      <c r="A507" t="s">
        <v>8</v>
      </c>
      <c r="B507" t="s">
        <v>32</v>
      </c>
      <c r="C507">
        <v>3</v>
      </c>
      <c r="D507">
        <v>1770</v>
      </c>
      <c r="E507">
        <v>0</v>
      </c>
      <c r="I507">
        <v>1159</v>
      </c>
      <c r="J50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507" s="43">
        <f>IFERROR(SUMIFS(Tabela10[Fod Worth],Tabela10[Drop],DropAnalityka[[#This Row],[Drop]],Tabela10[Grade],DropAnalityka[[#This Row],[Grade]])*DropAnalityka[[#This Row],[Quality/Quantity]],0)</f>
        <v>0</v>
      </c>
      <c r="L507" s="43">
        <f>IFERROR(SUMIFS(Tabela10[Exp Gain only 2*+],Tabela10[Drop],DropAnalityka[[#This Row],[Drop]],Tabela10[Grade],DropAnalityka[[#This Row],[Grade]])*DropAnalityka[[#This Row],[Quality/Quantity]],0)</f>
        <v>0</v>
      </c>
    </row>
    <row r="508" spans="1:12">
      <c r="A508" t="s">
        <v>8</v>
      </c>
      <c r="B508" t="s">
        <v>32</v>
      </c>
      <c r="C508">
        <v>3</v>
      </c>
      <c r="D508">
        <v>1190</v>
      </c>
      <c r="E508">
        <v>0</v>
      </c>
      <c r="I508">
        <v>1739</v>
      </c>
      <c r="J508">
        <f>DropAnalityka[[#This Row],[Sell Drop]]+IFERROR(SUMIFS(Tabela10[Drop Worth],Tabela10[Drop],DropAnalityka[[#This Row],[Drop]],Tabela10[Grade],DropAnalityka[[#This Row],[Grade]])*DropAnalityka[[#This Row],[Quality/Quantity]],0)</f>
        <v>1739</v>
      </c>
      <c r="K508" s="43">
        <f>IFERROR(SUMIFS(Tabela10[Fod Worth],Tabela10[Drop],DropAnalityka[[#This Row],[Drop]],Tabela10[Grade],DropAnalityka[[#This Row],[Grade]])*DropAnalityka[[#This Row],[Quality/Quantity]],0)</f>
        <v>0</v>
      </c>
      <c r="L508" s="43">
        <f>IFERROR(SUMIFS(Tabela10[Exp Gain only 2*+],Tabela10[Drop],DropAnalityka[[#This Row],[Drop]],Tabela10[Grade],DropAnalityka[[#This Row],[Grade]])*DropAnalityka[[#This Row],[Quality/Quantity]],0)</f>
        <v>0</v>
      </c>
    </row>
    <row r="509" spans="1:12">
      <c r="A509" t="s">
        <v>60</v>
      </c>
      <c r="B509" t="s">
        <v>9</v>
      </c>
      <c r="C509">
        <v>1</v>
      </c>
      <c r="D509">
        <v>849</v>
      </c>
      <c r="E509">
        <v>2</v>
      </c>
      <c r="I509">
        <v>823</v>
      </c>
      <c r="J509">
        <f>DropAnalityka[[#This Row],[Sell Drop]]+IFERROR(SUMIFS(Tabela10[Drop Worth],Tabela10[Drop],DropAnalityka[[#This Row],[Drop]],Tabela10[Grade],DropAnalityka[[#This Row],[Grade]])*DropAnalityka[[#This Row],[Quality/Quantity]],0)</f>
        <v>823</v>
      </c>
      <c r="K509" s="43">
        <f>IFERROR(SUMIFS(Tabela10[Fod Worth],Tabela10[Drop],DropAnalityka[[#This Row],[Drop]],Tabela10[Grade],DropAnalityka[[#This Row],[Grade]])*DropAnalityka[[#This Row],[Quality/Quantity]],0)</f>
        <v>0</v>
      </c>
      <c r="L509" s="43">
        <f>IFERROR(SUMIFS(Tabela10[Exp Gain only 2*+],Tabela10[Drop],DropAnalityka[[#This Row],[Drop]],Tabela10[Grade],DropAnalityka[[#This Row],[Grade]])*DropAnalityka[[#This Row],[Quality/Quantity]],0)</f>
        <v>0</v>
      </c>
    </row>
    <row r="510" spans="1:12">
      <c r="A510" t="s">
        <v>60</v>
      </c>
      <c r="B510" t="s">
        <v>9</v>
      </c>
      <c r="C510">
        <v>1</v>
      </c>
      <c r="D510">
        <v>1244</v>
      </c>
      <c r="E510">
        <v>2</v>
      </c>
      <c r="I510">
        <v>1976</v>
      </c>
      <c r="J510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510" s="43">
        <f>IFERROR(SUMIFS(Tabela10[Fod Worth],Tabela10[Drop],DropAnalityka[[#This Row],[Drop]],Tabela10[Grade],DropAnalityka[[#This Row],[Grade]])*DropAnalityka[[#This Row],[Quality/Quantity]],0)</f>
        <v>0</v>
      </c>
      <c r="L510" s="43">
        <f>IFERROR(SUMIFS(Tabela10[Exp Gain only 2*+],Tabela10[Drop],DropAnalityka[[#This Row],[Drop]],Tabela10[Grade],DropAnalityka[[#This Row],[Grade]])*DropAnalityka[[#This Row],[Quality/Quantity]],0)</f>
        <v>0</v>
      </c>
    </row>
    <row r="511" spans="1:12">
      <c r="A511" t="s">
        <v>60</v>
      </c>
      <c r="B511" t="s">
        <v>9</v>
      </c>
      <c r="C511">
        <v>1</v>
      </c>
      <c r="D511">
        <v>1902</v>
      </c>
      <c r="E511">
        <v>2</v>
      </c>
      <c r="F511" t="s">
        <v>34</v>
      </c>
      <c r="G511">
        <v>1</v>
      </c>
      <c r="H511" t="s">
        <v>17</v>
      </c>
      <c r="I511">
        <v>0</v>
      </c>
      <c r="J511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11" s="43">
        <f>IFERROR(SUMIFS(Tabela10[Fod Worth],Tabela10[Drop],DropAnalityka[[#This Row],[Drop]],Tabela10[Grade],DropAnalityka[[#This Row],[Grade]])*DropAnalityka[[#This Row],[Quality/Quantity]],0)</f>
        <v>0</v>
      </c>
      <c r="L511" s="43">
        <f>IFERROR(SUMIFS(Tabela10[Exp Gain only 2*+],Tabela10[Drop],DropAnalityka[[#This Row],[Drop]],Tabela10[Grade],DropAnalityka[[#This Row],[Grade]])*DropAnalityka[[#This Row],[Quality/Quantity]],0)</f>
        <v>800</v>
      </c>
    </row>
    <row r="512" spans="1:12">
      <c r="A512" t="s">
        <v>60</v>
      </c>
      <c r="B512" t="s">
        <v>9</v>
      </c>
      <c r="C512">
        <v>1</v>
      </c>
      <c r="D512">
        <v>1295</v>
      </c>
      <c r="E512">
        <v>0</v>
      </c>
      <c r="I512">
        <v>1976</v>
      </c>
      <c r="J512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512" s="43">
        <f>IFERROR(SUMIFS(Tabela10[Fod Worth],Tabela10[Drop],DropAnalityka[[#This Row],[Drop]],Tabela10[Grade],DropAnalityka[[#This Row],[Grade]])*DropAnalityka[[#This Row],[Quality/Quantity]],0)</f>
        <v>0</v>
      </c>
      <c r="L512" s="43">
        <f>IFERROR(SUMIFS(Tabela10[Exp Gain only 2*+],Tabela10[Drop],DropAnalityka[[#This Row],[Drop]],Tabela10[Grade],DropAnalityka[[#This Row],[Grade]])*DropAnalityka[[#This Row],[Quality/Quantity]],0)</f>
        <v>0</v>
      </c>
    </row>
    <row r="513" spans="1:12">
      <c r="A513" t="s">
        <v>60</v>
      </c>
      <c r="B513" t="s">
        <v>9</v>
      </c>
      <c r="C513">
        <v>1</v>
      </c>
      <c r="D513">
        <v>993</v>
      </c>
      <c r="E513">
        <v>0</v>
      </c>
      <c r="F513" t="s">
        <v>34</v>
      </c>
      <c r="G513">
        <v>1</v>
      </c>
      <c r="H513" t="s">
        <v>17</v>
      </c>
      <c r="I513">
        <v>0</v>
      </c>
      <c r="J513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13" s="43">
        <f>IFERROR(SUMIFS(Tabela10[Fod Worth],Tabela10[Drop],DropAnalityka[[#This Row],[Drop]],Tabela10[Grade],DropAnalityka[[#This Row],[Grade]])*DropAnalityka[[#This Row],[Quality/Quantity]],0)</f>
        <v>0</v>
      </c>
      <c r="L513" s="43">
        <f>IFERROR(SUMIFS(Tabela10[Exp Gain only 2*+],Tabela10[Drop],DropAnalityka[[#This Row],[Drop]],Tabela10[Grade],DropAnalityka[[#This Row],[Grade]])*DropAnalityka[[#This Row],[Quality/Quantity]],0)</f>
        <v>800</v>
      </c>
    </row>
    <row r="514" spans="1:12">
      <c r="A514" t="s">
        <v>60</v>
      </c>
      <c r="B514" t="s">
        <v>9</v>
      </c>
      <c r="C514">
        <v>1</v>
      </c>
      <c r="D514">
        <v>1238</v>
      </c>
      <c r="E514">
        <v>0</v>
      </c>
      <c r="I514">
        <v>892</v>
      </c>
      <c r="J514">
        <f>DropAnalityka[[#This Row],[Sell Drop]]+IFERROR(SUMIFS(Tabela10[Drop Worth],Tabela10[Drop],DropAnalityka[[#This Row],[Drop]],Tabela10[Grade],DropAnalityka[[#This Row],[Grade]])*DropAnalityka[[#This Row],[Quality/Quantity]],0)</f>
        <v>892</v>
      </c>
      <c r="K514" s="43">
        <f>IFERROR(SUMIFS(Tabela10[Fod Worth],Tabela10[Drop],DropAnalityka[[#This Row],[Drop]],Tabela10[Grade],DropAnalityka[[#This Row],[Grade]])*DropAnalityka[[#This Row],[Quality/Quantity]],0)</f>
        <v>0</v>
      </c>
      <c r="L514" s="43">
        <f>IFERROR(SUMIFS(Tabela10[Exp Gain only 2*+],Tabela10[Drop],DropAnalityka[[#This Row],[Drop]],Tabela10[Grade],DropAnalityka[[#This Row],[Grade]])*DropAnalityka[[#This Row],[Quality/Quantity]],0)</f>
        <v>0</v>
      </c>
    </row>
    <row r="515" spans="1:12">
      <c r="A515" t="s">
        <v>60</v>
      </c>
      <c r="B515" t="s">
        <v>9</v>
      </c>
      <c r="C515">
        <v>1</v>
      </c>
      <c r="D515">
        <v>1277</v>
      </c>
      <c r="E515">
        <v>0</v>
      </c>
      <c r="F515" t="s">
        <v>34</v>
      </c>
      <c r="G515">
        <v>1</v>
      </c>
      <c r="H515" t="s">
        <v>17</v>
      </c>
      <c r="I515">
        <v>0</v>
      </c>
      <c r="J515">
        <f>DropAnalityka[[#This Row],[Sell Drop]]+IFERROR(SUMIFS(Tabela10[Drop Worth],Tabela10[Drop],DropAnalityka[[#This Row],[Drop]],Tabela10[Grade],DropAnalityka[[#This Row],[Grade]])*DropAnalityka[[#This Row],[Quality/Quantity]],0)</f>
        <v>2000</v>
      </c>
      <c r="K515" s="43">
        <f>IFERROR(SUMIFS(Tabela10[Fod Worth],Tabela10[Drop],DropAnalityka[[#This Row],[Drop]],Tabela10[Grade],DropAnalityka[[#This Row],[Grade]])*DropAnalityka[[#This Row],[Quality/Quantity]],0)</f>
        <v>0</v>
      </c>
      <c r="L515" s="43">
        <f>IFERROR(SUMIFS(Tabela10[Exp Gain only 2*+],Tabela10[Drop],DropAnalityka[[#This Row],[Drop]],Tabela10[Grade],DropAnalityka[[#This Row],[Grade]])*DropAnalityka[[#This Row],[Quality/Quantity]],0)</f>
        <v>800</v>
      </c>
    </row>
    <row r="516" spans="1:12">
      <c r="A516" t="s">
        <v>8</v>
      </c>
      <c r="B516" t="s">
        <v>30</v>
      </c>
      <c r="C516">
        <v>3</v>
      </c>
      <c r="D516">
        <v>2474</v>
      </c>
      <c r="E516">
        <v>3</v>
      </c>
      <c r="F516" t="s">
        <v>34</v>
      </c>
      <c r="G516">
        <v>2</v>
      </c>
      <c r="H516" t="s">
        <v>17</v>
      </c>
      <c r="I516">
        <v>0</v>
      </c>
      <c r="J516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516" s="43">
        <f>IFERROR(SUMIFS(Tabela10[Fod Worth],Tabela10[Drop],DropAnalityka[[#This Row],[Drop]],Tabela10[Grade],DropAnalityka[[#This Row],[Grade]])*DropAnalityka[[#This Row],[Quality/Quantity]],0)</f>
        <v>0</v>
      </c>
      <c r="L516" s="43">
        <f>IFERROR(SUMIFS(Tabela10[Exp Gain only 2*+],Tabela10[Drop],DropAnalityka[[#This Row],[Drop]],Tabela10[Grade],DropAnalityka[[#This Row],[Grade]])*DropAnalityka[[#This Row],[Quality/Quantity]],0)</f>
        <v>1600</v>
      </c>
    </row>
    <row r="517" spans="1:12">
      <c r="A517" t="s">
        <v>8</v>
      </c>
      <c r="B517" t="s">
        <v>32</v>
      </c>
      <c r="C517">
        <v>3</v>
      </c>
      <c r="D517">
        <v>920</v>
      </c>
      <c r="E517">
        <v>2</v>
      </c>
      <c r="F517" t="s">
        <v>34</v>
      </c>
      <c r="G517">
        <v>3</v>
      </c>
      <c r="H517" t="s">
        <v>17</v>
      </c>
      <c r="I517">
        <v>0</v>
      </c>
      <c r="J517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517" s="43">
        <f>IFERROR(SUMIFS(Tabela10[Fod Worth],Tabela10[Drop],DropAnalityka[[#This Row],[Drop]],Tabela10[Grade],DropAnalityka[[#This Row],[Grade]])*DropAnalityka[[#This Row],[Quality/Quantity]],0)</f>
        <v>0</v>
      </c>
      <c r="L517" s="43">
        <f>IFERROR(SUMIFS(Tabela10[Exp Gain only 2*+],Tabela10[Drop],DropAnalityka[[#This Row],[Drop]],Tabela10[Grade],DropAnalityka[[#This Row],[Grade]])*DropAnalityka[[#This Row],[Quality/Quantity]],0)</f>
        <v>2400</v>
      </c>
    </row>
    <row r="518" spans="1:12">
      <c r="A518" t="s">
        <v>8</v>
      </c>
      <c r="B518" t="s">
        <v>32</v>
      </c>
      <c r="C518">
        <v>3</v>
      </c>
      <c r="D518">
        <v>1475</v>
      </c>
      <c r="E518">
        <v>3</v>
      </c>
      <c r="I518">
        <v>2756</v>
      </c>
      <c r="J518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518" s="43">
        <f>IFERROR(SUMIFS(Tabela10[Fod Worth],Tabela10[Drop],DropAnalityka[[#This Row],[Drop]],Tabela10[Grade],DropAnalityka[[#This Row],[Grade]])*DropAnalityka[[#This Row],[Quality/Quantity]],0)</f>
        <v>0</v>
      </c>
      <c r="L518" s="43">
        <f>IFERROR(SUMIFS(Tabela10[Exp Gain only 2*+],Tabela10[Drop],DropAnalityka[[#This Row],[Drop]],Tabela10[Grade],DropAnalityka[[#This Row],[Grade]])*DropAnalityka[[#This Row],[Quality/Quantity]],0)</f>
        <v>0</v>
      </c>
    </row>
    <row r="519" spans="1:12">
      <c r="A519" t="s">
        <v>8</v>
      </c>
      <c r="B519" t="s">
        <v>32</v>
      </c>
      <c r="C519">
        <v>3</v>
      </c>
      <c r="D519">
        <v>1500</v>
      </c>
      <c r="E519">
        <v>3</v>
      </c>
      <c r="F519" t="s">
        <v>57</v>
      </c>
      <c r="G519">
        <v>1</v>
      </c>
      <c r="H519" t="s">
        <v>26</v>
      </c>
      <c r="I519">
        <v>0</v>
      </c>
      <c r="J5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19" s="43">
        <f>IFERROR(SUMIFS(Tabela10[Fod Worth],Tabela10[Drop],DropAnalityka[[#This Row],[Drop]],Tabela10[Grade],DropAnalityka[[#This Row],[Grade]])*DropAnalityka[[#This Row],[Quality/Quantity]],0)</f>
        <v>34500</v>
      </c>
      <c r="L519" s="43">
        <f>IFERROR(SUMIFS(Tabela10[Exp Gain only 2*+],Tabela10[Drop],DropAnalityka[[#This Row],[Drop]],Tabela10[Grade],DropAnalityka[[#This Row],[Grade]])*DropAnalityka[[#This Row],[Quality/Quantity]],0)</f>
        <v>35822</v>
      </c>
    </row>
    <row r="520" spans="1:12">
      <c r="A520" t="s">
        <v>8</v>
      </c>
      <c r="B520" t="s">
        <v>32</v>
      </c>
      <c r="C520">
        <v>3</v>
      </c>
      <c r="D520">
        <v>2329</v>
      </c>
      <c r="E520">
        <v>2</v>
      </c>
      <c r="I520">
        <v>2067</v>
      </c>
      <c r="J52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520" s="43">
        <f>IFERROR(SUMIFS(Tabela10[Fod Worth],Tabela10[Drop],DropAnalityka[[#This Row],[Drop]],Tabela10[Grade],DropAnalityka[[#This Row],[Grade]])*DropAnalityka[[#This Row],[Quality/Quantity]],0)</f>
        <v>0</v>
      </c>
      <c r="L520" s="43">
        <f>IFERROR(SUMIFS(Tabela10[Exp Gain only 2*+],Tabela10[Drop],DropAnalityka[[#This Row],[Drop]],Tabela10[Grade],DropAnalityka[[#This Row],[Grade]])*DropAnalityka[[#This Row],[Quality/Quantity]],0)</f>
        <v>0</v>
      </c>
    </row>
    <row r="521" spans="1:12">
      <c r="A521" t="s">
        <v>36</v>
      </c>
      <c r="B521" t="s">
        <v>9</v>
      </c>
      <c r="C521">
        <v>7</v>
      </c>
      <c r="D521">
        <v>2340</v>
      </c>
      <c r="E521">
        <v>0</v>
      </c>
      <c r="F521" t="s">
        <v>252</v>
      </c>
      <c r="G521">
        <v>1</v>
      </c>
      <c r="H521" t="s">
        <v>292</v>
      </c>
      <c r="I521">
        <v>0</v>
      </c>
      <c r="J5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21" s="43">
        <f>IFERROR(SUMIFS(Tabela10[Fod Worth],Tabela10[Drop],DropAnalityka[[#This Row],[Drop]],Tabela10[Grade],DropAnalityka[[#This Row],[Grade]])*DropAnalityka[[#This Row],[Quality/Quantity]],0)</f>
        <v>0</v>
      </c>
      <c r="L521" s="43">
        <f>IFERROR(SUMIFS(Tabela10[Exp Gain only 2*+],Tabela10[Drop],DropAnalityka[[#This Row],[Drop]],Tabela10[Grade],DropAnalityka[[#This Row],[Grade]])*DropAnalityka[[#This Row],[Quality/Quantity]],0)</f>
        <v>0</v>
      </c>
    </row>
    <row r="522" spans="1:12">
      <c r="A522" t="s">
        <v>36</v>
      </c>
      <c r="B522" t="s">
        <v>9</v>
      </c>
      <c r="C522">
        <v>7</v>
      </c>
      <c r="D522">
        <v>2340</v>
      </c>
      <c r="E522">
        <v>0</v>
      </c>
      <c r="F522" t="s">
        <v>252</v>
      </c>
      <c r="G522">
        <v>1</v>
      </c>
      <c r="H522" t="s">
        <v>292</v>
      </c>
      <c r="I522">
        <v>0</v>
      </c>
      <c r="J5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22" s="43">
        <f>IFERROR(SUMIFS(Tabela10[Fod Worth],Tabela10[Drop],DropAnalityka[[#This Row],[Drop]],Tabela10[Grade],DropAnalityka[[#This Row],[Grade]])*DropAnalityka[[#This Row],[Quality/Quantity]],0)</f>
        <v>0</v>
      </c>
      <c r="L522" s="43">
        <f>IFERROR(SUMIFS(Tabela10[Exp Gain only 2*+],Tabela10[Drop],DropAnalityka[[#This Row],[Drop]],Tabela10[Grade],DropAnalityka[[#This Row],[Grade]])*DropAnalityka[[#This Row],[Quality/Quantity]],0)</f>
        <v>0</v>
      </c>
    </row>
    <row r="523" spans="1:12">
      <c r="A523" t="s">
        <v>36</v>
      </c>
      <c r="B523" t="s">
        <v>9</v>
      </c>
      <c r="C523">
        <v>7</v>
      </c>
      <c r="D523">
        <v>2182</v>
      </c>
      <c r="E523">
        <v>0</v>
      </c>
      <c r="F523" t="s">
        <v>252</v>
      </c>
      <c r="G523">
        <v>4</v>
      </c>
      <c r="H523" t="s">
        <v>270</v>
      </c>
      <c r="I523">
        <v>0</v>
      </c>
      <c r="J5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23" s="43">
        <f>IFERROR(SUMIFS(Tabela10[Fod Worth],Tabela10[Drop],DropAnalityka[[#This Row],[Drop]],Tabela10[Grade],DropAnalityka[[#This Row],[Grade]])*DropAnalityka[[#This Row],[Quality/Quantity]],0)</f>
        <v>0</v>
      </c>
      <c r="L523" s="43">
        <f>IFERROR(SUMIFS(Tabela10[Exp Gain only 2*+],Tabela10[Drop],DropAnalityka[[#This Row],[Drop]],Tabela10[Grade],DropAnalityka[[#This Row],[Grade]])*DropAnalityka[[#This Row],[Quality/Quantity]],0)</f>
        <v>0</v>
      </c>
    </row>
    <row r="524" spans="1:12">
      <c r="A524" s="10" t="s">
        <v>172</v>
      </c>
      <c r="B524" t="s">
        <v>9</v>
      </c>
      <c r="C524">
        <v>6</v>
      </c>
      <c r="D524">
        <v>2090</v>
      </c>
      <c r="E524">
        <v>2</v>
      </c>
      <c r="I524">
        <v>1971</v>
      </c>
      <c r="J524">
        <f>DropAnalityka[[#This Row],[Sell Drop]]+IFERROR(SUMIFS(Tabela10[Drop Worth],Tabela10[Drop],DropAnalityka[[#This Row],[Drop]],Tabela10[Grade],DropAnalityka[[#This Row],[Grade]])*DropAnalityka[[#This Row],[Quality/Quantity]],0)</f>
        <v>1971</v>
      </c>
      <c r="K524" s="43">
        <f>IFERROR(SUMIFS(Tabela10[Fod Worth],Tabela10[Drop],DropAnalityka[[#This Row],[Drop]],Tabela10[Grade],DropAnalityka[[#This Row],[Grade]])*DropAnalityka[[#This Row],[Quality/Quantity]],0)</f>
        <v>0</v>
      </c>
      <c r="L524" s="43">
        <f>IFERROR(SUMIFS(Tabela10[Exp Gain only 2*+],Tabela10[Drop],DropAnalityka[[#This Row],[Drop]],Tabela10[Grade],DropAnalityka[[#This Row],[Grade]])*DropAnalityka[[#This Row],[Quality/Quantity]],0)</f>
        <v>0</v>
      </c>
    </row>
    <row r="525" spans="1:12">
      <c r="A525" s="10" t="s">
        <v>172</v>
      </c>
      <c r="B525" t="s">
        <v>9</v>
      </c>
      <c r="C525">
        <v>6</v>
      </c>
      <c r="D525">
        <v>2783</v>
      </c>
      <c r="E525">
        <v>2</v>
      </c>
      <c r="F525" t="s">
        <v>34</v>
      </c>
      <c r="G525">
        <v>3</v>
      </c>
      <c r="H525" t="s">
        <v>17</v>
      </c>
      <c r="I525">
        <v>0</v>
      </c>
      <c r="J525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525" s="43">
        <f>IFERROR(SUMIFS(Tabela10[Fod Worth],Tabela10[Drop],DropAnalityka[[#This Row],[Drop]],Tabela10[Grade],DropAnalityka[[#This Row],[Grade]])*DropAnalityka[[#This Row],[Quality/Quantity]],0)</f>
        <v>0</v>
      </c>
      <c r="L525" s="43">
        <f>IFERROR(SUMIFS(Tabela10[Exp Gain only 2*+],Tabela10[Drop],DropAnalityka[[#This Row],[Drop]],Tabela10[Grade],DropAnalityka[[#This Row],[Grade]])*DropAnalityka[[#This Row],[Quality/Quantity]],0)</f>
        <v>2400</v>
      </c>
    </row>
    <row r="526" spans="1:12">
      <c r="A526" s="10" t="s">
        <v>172</v>
      </c>
      <c r="B526" t="s">
        <v>9</v>
      </c>
      <c r="C526">
        <v>6</v>
      </c>
      <c r="D526">
        <v>2090</v>
      </c>
      <c r="E526">
        <v>0</v>
      </c>
      <c r="I526">
        <v>12000</v>
      </c>
      <c r="J526">
        <f>DropAnalityka[[#This Row],[Sell Drop]]+IFERROR(SUMIFS(Tabela10[Drop Worth],Tabela10[Drop],DropAnalityka[[#This Row],[Drop]],Tabela10[Grade],DropAnalityka[[#This Row],[Grade]])*DropAnalityka[[#This Row],[Quality/Quantity]],0)</f>
        <v>12000</v>
      </c>
      <c r="K526" s="43">
        <f>IFERROR(SUMIFS(Tabela10[Fod Worth],Tabela10[Drop],DropAnalityka[[#This Row],[Drop]],Tabela10[Grade],DropAnalityka[[#This Row],[Grade]])*DropAnalityka[[#This Row],[Quality/Quantity]],0)</f>
        <v>0</v>
      </c>
      <c r="L526" s="43">
        <f>IFERROR(SUMIFS(Tabela10[Exp Gain only 2*+],Tabela10[Drop],DropAnalityka[[#This Row],[Drop]],Tabela10[Grade],DropAnalityka[[#This Row],[Grade]])*DropAnalityka[[#This Row],[Quality/Quantity]],0)</f>
        <v>0</v>
      </c>
    </row>
    <row r="527" spans="1:12">
      <c r="A527" s="10" t="s">
        <v>172</v>
      </c>
      <c r="B527" t="s">
        <v>9</v>
      </c>
      <c r="C527">
        <v>6</v>
      </c>
      <c r="D527">
        <v>2367</v>
      </c>
      <c r="E527">
        <v>0</v>
      </c>
      <c r="F527" t="s">
        <v>58</v>
      </c>
      <c r="G527">
        <v>1</v>
      </c>
      <c r="H527" t="s">
        <v>12</v>
      </c>
      <c r="I527">
        <v>0</v>
      </c>
      <c r="J5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27" s="43">
        <f>IFERROR(SUMIFS(Tabela10[Fod Worth],Tabela10[Drop],DropAnalityka[[#This Row],[Drop]],Tabela10[Grade],DropAnalityka[[#This Row],[Grade]])*DropAnalityka[[#This Row],[Quality/Quantity]],0)</f>
        <v>11500</v>
      </c>
      <c r="L527" s="43">
        <f>IFERROR(SUMIFS(Tabela10[Exp Gain only 2*+],Tabela10[Drop],DropAnalityka[[#This Row],[Drop]],Tabela10[Grade],DropAnalityka[[#This Row],[Grade]])*DropAnalityka[[#This Row],[Quality/Quantity]],0)</f>
        <v>35822</v>
      </c>
    </row>
    <row r="528" spans="1:12">
      <c r="A528" s="10" t="s">
        <v>172</v>
      </c>
      <c r="B528" t="s">
        <v>9</v>
      </c>
      <c r="C528">
        <v>6</v>
      </c>
      <c r="D528">
        <v>3236</v>
      </c>
      <c r="E528">
        <v>1</v>
      </c>
      <c r="I528">
        <v>1236</v>
      </c>
      <c r="J528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528" s="43">
        <f>IFERROR(SUMIFS(Tabela10[Fod Worth],Tabela10[Drop],DropAnalityka[[#This Row],[Drop]],Tabela10[Grade],DropAnalityka[[#This Row],[Grade]])*DropAnalityka[[#This Row],[Quality/Quantity]],0)</f>
        <v>0</v>
      </c>
      <c r="L528" s="43">
        <f>IFERROR(SUMIFS(Tabela10[Exp Gain only 2*+],Tabela10[Drop],DropAnalityka[[#This Row],[Drop]],Tabela10[Grade],DropAnalityka[[#This Row],[Grade]])*DropAnalityka[[#This Row],[Quality/Quantity]],0)</f>
        <v>0</v>
      </c>
    </row>
    <row r="529" spans="1:12">
      <c r="A529" s="10" t="s">
        <v>172</v>
      </c>
      <c r="B529" t="s">
        <v>9</v>
      </c>
      <c r="C529">
        <v>6</v>
      </c>
      <c r="D529">
        <v>2638</v>
      </c>
      <c r="E529">
        <v>0</v>
      </c>
      <c r="F529" t="s">
        <v>143</v>
      </c>
      <c r="I529">
        <v>0</v>
      </c>
      <c r="J5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29" s="43">
        <f>IFERROR(SUMIFS(Tabela10[Fod Worth],Tabela10[Drop],DropAnalityka[[#This Row],[Drop]],Tabela10[Grade],DropAnalityka[[#This Row],[Grade]])*DropAnalityka[[#This Row],[Quality/Quantity]],0)</f>
        <v>0</v>
      </c>
      <c r="L529" s="43">
        <f>IFERROR(SUMIFS(Tabela10[Exp Gain only 2*+],Tabela10[Drop],DropAnalityka[[#This Row],[Drop]],Tabela10[Grade],DropAnalityka[[#This Row],[Grade]])*DropAnalityka[[#This Row],[Quality/Quantity]],0)</f>
        <v>0</v>
      </c>
    </row>
    <row r="530" spans="1:12">
      <c r="A530" s="10" t="s">
        <v>172</v>
      </c>
      <c r="B530" t="s">
        <v>9</v>
      </c>
      <c r="C530">
        <v>6</v>
      </c>
      <c r="D530">
        <v>2603</v>
      </c>
      <c r="E530">
        <v>0</v>
      </c>
      <c r="F530" t="s">
        <v>34</v>
      </c>
      <c r="G530">
        <v>4</v>
      </c>
      <c r="H530" t="s">
        <v>17</v>
      </c>
      <c r="I530">
        <v>0</v>
      </c>
      <c r="J53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30" s="43">
        <f>IFERROR(SUMIFS(Tabela10[Fod Worth],Tabela10[Drop],DropAnalityka[[#This Row],[Drop]],Tabela10[Grade],DropAnalityka[[#This Row],[Grade]])*DropAnalityka[[#This Row],[Quality/Quantity]],0)</f>
        <v>0</v>
      </c>
      <c r="L530" s="43">
        <f>IFERROR(SUMIFS(Tabela10[Exp Gain only 2*+],Tabela10[Drop],DropAnalityka[[#This Row],[Drop]],Tabela10[Grade],DropAnalityka[[#This Row],[Grade]])*DropAnalityka[[#This Row],[Quality/Quantity]],0)</f>
        <v>3200</v>
      </c>
    </row>
    <row r="531" spans="1:12">
      <c r="A531" s="10" t="s">
        <v>172</v>
      </c>
      <c r="B531" t="s">
        <v>9</v>
      </c>
      <c r="C531">
        <v>6</v>
      </c>
      <c r="D531">
        <v>2600</v>
      </c>
      <c r="E531">
        <v>2</v>
      </c>
      <c r="I531">
        <v>3916</v>
      </c>
      <c r="J531">
        <f>DropAnalityka[[#This Row],[Sell Drop]]+IFERROR(SUMIFS(Tabela10[Drop Worth],Tabela10[Drop],DropAnalityka[[#This Row],[Drop]],Tabela10[Grade],DropAnalityka[[#This Row],[Grade]])*DropAnalityka[[#This Row],[Quality/Quantity]],0)</f>
        <v>3916</v>
      </c>
      <c r="K531" s="43">
        <f>IFERROR(SUMIFS(Tabela10[Fod Worth],Tabela10[Drop],DropAnalityka[[#This Row],[Drop]],Tabela10[Grade],DropAnalityka[[#This Row],[Grade]])*DropAnalityka[[#This Row],[Quality/Quantity]],0)</f>
        <v>0</v>
      </c>
      <c r="L531" s="43">
        <f>IFERROR(SUMIFS(Tabela10[Exp Gain only 2*+],Tabela10[Drop],DropAnalityka[[#This Row],[Drop]],Tabela10[Grade],DropAnalityka[[#This Row],[Grade]])*DropAnalityka[[#This Row],[Quality/Quantity]],0)</f>
        <v>0</v>
      </c>
    </row>
    <row r="532" spans="1:12">
      <c r="A532" s="10" t="s">
        <v>172</v>
      </c>
      <c r="B532" t="s">
        <v>9</v>
      </c>
      <c r="C532">
        <v>6</v>
      </c>
      <c r="D532">
        <v>2913</v>
      </c>
      <c r="E532">
        <v>0</v>
      </c>
      <c r="I532">
        <v>3789</v>
      </c>
      <c r="J532">
        <f>DropAnalityka[[#This Row],[Sell Drop]]+IFERROR(SUMIFS(Tabela10[Drop Worth],Tabela10[Drop],DropAnalityka[[#This Row],[Drop]],Tabela10[Grade],DropAnalityka[[#This Row],[Grade]])*DropAnalityka[[#This Row],[Quality/Quantity]],0)</f>
        <v>3789</v>
      </c>
      <c r="K532" s="43">
        <f>IFERROR(SUMIFS(Tabela10[Fod Worth],Tabela10[Drop],DropAnalityka[[#This Row],[Drop]],Tabela10[Grade],DropAnalityka[[#This Row],[Grade]])*DropAnalityka[[#This Row],[Quality/Quantity]],0)</f>
        <v>0</v>
      </c>
      <c r="L532" s="43">
        <f>IFERROR(SUMIFS(Tabela10[Exp Gain only 2*+],Tabela10[Drop],DropAnalityka[[#This Row],[Drop]],Tabela10[Grade],DropAnalityka[[#This Row],[Grade]])*DropAnalityka[[#This Row],[Quality/Quantity]],0)</f>
        <v>0</v>
      </c>
    </row>
    <row r="533" spans="1:12">
      <c r="A533" s="10" t="s">
        <v>172</v>
      </c>
      <c r="B533" t="s">
        <v>9</v>
      </c>
      <c r="C533">
        <v>6</v>
      </c>
      <c r="D533">
        <v>2460</v>
      </c>
      <c r="E533">
        <v>1</v>
      </c>
      <c r="F533" t="s">
        <v>34</v>
      </c>
      <c r="G533">
        <v>4</v>
      </c>
      <c r="H533" t="s">
        <v>17</v>
      </c>
      <c r="I533">
        <v>0</v>
      </c>
      <c r="J53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33" s="43">
        <f>IFERROR(SUMIFS(Tabela10[Fod Worth],Tabela10[Drop],DropAnalityka[[#This Row],[Drop]],Tabela10[Grade],DropAnalityka[[#This Row],[Grade]])*DropAnalityka[[#This Row],[Quality/Quantity]],0)</f>
        <v>0</v>
      </c>
      <c r="L533" s="43">
        <f>IFERROR(SUMIFS(Tabela10[Exp Gain only 2*+],Tabela10[Drop],DropAnalityka[[#This Row],[Drop]],Tabela10[Grade],DropAnalityka[[#This Row],[Grade]])*DropAnalityka[[#This Row],[Quality/Quantity]],0)</f>
        <v>3200</v>
      </c>
    </row>
    <row r="534" spans="1:12">
      <c r="A534" s="10" t="s">
        <v>207</v>
      </c>
      <c r="B534" t="s">
        <v>9</v>
      </c>
      <c r="C534">
        <v>8</v>
      </c>
      <c r="D534">
        <v>2498</v>
      </c>
      <c r="E534">
        <v>2</v>
      </c>
      <c r="F534" t="s">
        <v>249</v>
      </c>
      <c r="G534">
        <v>3</v>
      </c>
      <c r="H534" t="s">
        <v>270</v>
      </c>
      <c r="I534">
        <v>0</v>
      </c>
      <c r="J5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4" s="43">
        <f>IFERROR(SUMIFS(Tabela10[Fod Worth],Tabela10[Drop],DropAnalityka[[#This Row],[Drop]],Tabela10[Grade],DropAnalityka[[#This Row],[Grade]])*DropAnalityka[[#This Row],[Quality/Quantity]],0)</f>
        <v>0</v>
      </c>
      <c r="L534" s="43">
        <f>IFERROR(SUMIFS(Tabela10[Exp Gain only 2*+],Tabela10[Drop],DropAnalityka[[#This Row],[Drop]],Tabela10[Grade],DropAnalityka[[#This Row],[Grade]])*DropAnalityka[[#This Row],[Quality/Quantity]],0)</f>
        <v>0</v>
      </c>
    </row>
    <row r="535" spans="1:12">
      <c r="A535" s="10" t="s">
        <v>207</v>
      </c>
      <c r="B535" t="s">
        <v>9</v>
      </c>
      <c r="C535">
        <v>7</v>
      </c>
      <c r="D535">
        <v>2073</v>
      </c>
      <c r="E535">
        <v>0</v>
      </c>
      <c r="F535" t="s">
        <v>249</v>
      </c>
      <c r="G535">
        <v>1</v>
      </c>
      <c r="H535" t="s">
        <v>292</v>
      </c>
      <c r="I535">
        <v>0</v>
      </c>
      <c r="J5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5" s="43">
        <f>IFERROR(SUMIFS(Tabela10[Fod Worth],Tabela10[Drop],DropAnalityka[[#This Row],[Drop]],Tabela10[Grade],DropAnalityka[[#This Row],[Grade]])*DropAnalityka[[#This Row],[Quality/Quantity]],0)</f>
        <v>0</v>
      </c>
      <c r="L535" s="43">
        <f>IFERROR(SUMIFS(Tabela10[Exp Gain only 2*+],Tabela10[Drop],DropAnalityka[[#This Row],[Drop]],Tabela10[Grade],DropAnalityka[[#This Row],[Grade]])*DropAnalityka[[#This Row],[Quality/Quantity]],0)</f>
        <v>0</v>
      </c>
    </row>
    <row r="536" spans="1:12">
      <c r="A536" s="10" t="s">
        <v>207</v>
      </c>
      <c r="B536" t="s">
        <v>9</v>
      </c>
      <c r="C536">
        <v>7</v>
      </c>
      <c r="D536">
        <v>2143</v>
      </c>
      <c r="E536">
        <v>0</v>
      </c>
      <c r="F536" t="s">
        <v>249</v>
      </c>
      <c r="G536">
        <v>3</v>
      </c>
      <c r="H536" t="s">
        <v>270</v>
      </c>
      <c r="I536">
        <v>0</v>
      </c>
      <c r="J5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6" s="43">
        <f>IFERROR(SUMIFS(Tabela10[Fod Worth],Tabela10[Drop],DropAnalityka[[#This Row],[Drop]],Tabela10[Grade],DropAnalityka[[#This Row],[Grade]])*DropAnalityka[[#This Row],[Quality/Quantity]],0)</f>
        <v>0</v>
      </c>
      <c r="L536" s="43">
        <f>IFERROR(SUMIFS(Tabela10[Exp Gain only 2*+],Tabela10[Drop],DropAnalityka[[#This Row],[Drop]],Tabela10[Grade],DropAnalityka[[#This Row],[Grade]])*DropAnalityka[[#This Row],[Quality/Quantity]],0)</f>
        <v>0</v>
      </c>
    </row>
    <row r="537" spans="1:12">
      <c r="A537" s="10" t="s">
        <v>207</v>
      </c>
      <c r="B537" t="s">
        <v>9</v>
      </c>
      <c r="C537">
        <v>7</v>
      </c>
      <c r="D537">
        <v>1852</v>
      </c>
      <c r="E537">
        <v>1</v>
      </c>
      <c r="F537" t="s">
        <v>249</v>
      </c>
      <c r="G537">
        <v>1</v>
      </c>
      <c r="H537" t="s">
        <v>292</v>
      </c>
      <c r="I537">
        <v>0</v>
      </c>
      <c r="J5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7" s="43">
        <f>IFERROR(SUMIFS(Tabela10[Fod Worth],Tabela10[Drop],DropAnalityka[[#This Row],[Drop]],Tabela10[Grade],DropAnalityka[[#This Row],[Grade]])*DropAnalityka[[#This Row],[Quality/Quantity]],0)</f>
        <v>0</v>
      </c>
      <c r="L537" s="43">
        <f>IFERROR(SUMIFS(Tabela10[Exp Gain only 2*+],Tabela10[Drop],DropAnalityka[[#This Row],[Drop]],Tabela10[Grade],DropAnalityka[[#This Row],[Grade]])*DropAnalityka[[#This Row],[Quality/Quantity]],0)</f>
        <v>0</v>
      </c>
    </row>
    <row r="538" spans="1:12">
      <c r="A538" s="10" t="s">
        <v>207</v>
      </c>
      <c r="B538" t="s">
        <v>9</v>
      </c>
      <c r="C538">
        <v>7</v>
      </c>
      <c r="D538">
        <v>2417</v>
      </c>
      <c r="E538">
        <v>0</v>
      </c>
      <c r="F538" t="s">
        <v>205</v>
      </c>
      <c r="G538">
        <v>1</v>
      </c>
      <c r="H538" t="s">
        <v>26</v>
      </c>
      <c r="I538">
        <v>0</v>
      </c>
      <c r="J5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8" s="43">
        <f>IFERROR(SUMIFS(Tabela10[Fod Worth],Tabela10[Drop],DropAnalityka[[#This Row],[Drop]],Tabela10[Grade],DropAnalityka[[#This Row],[Grade]])*DropAnalityka[[#This Row],[Quality/Quantity]],0)</f>
        <v>862.5</v>
      </c>
      <c r="L538" s="43">
        <f>IFERROR(SUMIFS(Tabela10[Exp Gain only 2*+],Tabela10[Drop],DropAnalityka[[#This Row],[Drop]],Tabela10[Grade],DropAnalityka[[#This Row],[Grade]])*DropAnalityka[[#This Row],[Quality/Quantity]],0)</f>
        <v>895.55</v>
      </c>
    </row>
    <row r="539" spans="1:12">
      <c r="A539" s="10" t="s">
        <v>207</v>
      </c>
      <c r="B539" t="s">
        <v>9</v>
      </c>
      <c r="C539">
        <v>8</v>
      </c>
      <c r="D539">
        <v>2146</v>
      </c>
      <c r="E539">
        <v>0</v>
      </c>
      <c r="F539" t="s">
        <v>249</v>
      </c>
      <c r="G539">
        <v>2</v>
      </c>
      <c r="H539" t="s">
        <v>292</v>
      </c>
      <c r="I539">
        <v>0</v>
      </c>
      <c r="J5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39" s="43">
        <f>IFERROR(SUMIFS(Tabela10[Fod Worth],Tabela10[Drop],DropAnalityka[[#This Row],[Drop]],Tabela10[Grade],DropAnalityka[[#This Row],[Grade]])*DropAnalityka[[#This Row],[Quality/Quantity]],0)</f>
        <v>0</v>
      </c>
      <c r="L539" s="43">
        <f>IFERROR(SUMIFS(Tabela10[Exp Gain only 2*+],Tabela10[Drop],DropAnalityka[[#This Row],[Drop]],Tabela10[Grade],DropAnalityka[[#This Row],[Grade]])*DropAnalityka[[#This Row],[Quality/Quantity]],0)</f>
        <v>0</v>
      </c>
    </row>
    <row r="540" spans="1:12">
      <c r="A540" s="10" t="s">
        <v>207</v>
      </c>
      <c r="B540" t="s">
        <v>9</v>
      </c>
      <c r="C540">
        <v>8</v>
      </c>
      <c r="D540">
        <v>2968</v>
      </c>
      <c r="E540">
        <v>0</v>
      </c>
      <c r="F540" t="s">
        <v>34</v>
      </c>
      <c r="G540">
        <v>4</v>
      </c>
      <c r="H540" t="s">
        <v>17</v>
      </c>
      <c r="I540">
        <v>0</v>
      </c>
      <c r="J54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40" s="43">
        <f>IFERROR(SUMIFS(Tabela10[Fod Worth],Tabela10[Drop],DropAnalityka[[#This Row],[Drop]],Tabela10[Grade],DropAnalityka[[#This Row],[Grade]])*DropAnalityka[[#This Row],[Quality/Quantity]],0)</f>
        <v>0</v>
      </c>
      <c r="L540" s="43">
        <f>IFERROR(SUMIFS(Tabela10[Exp Gain only 2*+],Tabela10[Drop],DropAnalityka[[#This Row],[Drop]],Tabela10[Grade],DropAnalityka[[#This Row],[Grade]])*DropAnalityka[[#This Row],[Quality/Quantity]],0)</f>
        <v>3200</v>
      </c>
    </row>
    <row r="541" spans="1:12">
      <c r="A541" s="10" t="s">
        <v>207</v>
      </c>
      <c r="B541" t="s">
        <v>9</v>
      </c>
      <c r="C541">
        <v>8</v>
      </c>
      <c r="D541">
        <v>2237</v>
      </c>
      <c r="E541">
        <v>0</v>
      </c>
      <c r="F541" t="s">
        <v>34</v>
      </c>
      <c r="G541">
        <v>4</v>
      </c>
      <c r="H541" t="s">
        <v>17</v>
      </c>
      <c r="I541">
        <v>0</v>
      </c>
      <c r="J54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41" s="43">
        <f>IFERROR(SUMIFS(Tabela10[Fod Worth],Tabela10[Drop],DropAnalityka[[#This Row],[Drop]],Tabela10[Grade],DropAnalityka[[#This Row],[Grade]])*DropAnalityka[[#This Row],[Quality/Quantity]],0)</f>
        <v>0</v>
      </c>
      <c r="L541" s="43">
        <f>IFERROR(SUMIFS(Tabela10[Exp Gain only 2*+],Tabela10[Drop],DropAnalityka[[#This Row],[Drop]],Tabela10[Grade],DropAnalityka[[#This Row],[Grade]])*DropAnalityka[[#This Row],[Quality/Quantity]],0)</f>
        <v>3200</v>
      </c>
    </row>
    <row r="542" spans="1:12">
      <c r="A542" s="10" t="s">
        <v>207</v>
      </c>
      <c r="B542" t="s">
        <v>9</v>
      </c>
      <c r="C542">
        <v>8</v>
      </c>
      <c r="D542">
        <v>2223</v>
      </c>
      <c r="E542">
        <v>1</v>
      </c>
      <c r="F542" t="s">
        <v>249</v>
      </c>
      <c r="G542">
        <v>5</v>
      </c>
      <c r="H542" t="s">
        <v>270</v>
      </c>
      <c r="I542">
        <v>0</v>
      </c>
      <c r="J5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2" s="43">
        <f>IFERROR(SUMIFS(Tabela10[Fod Worth],Tabela10[Drop],DropAnalityka[[#This Row],[Drop]],Tabela10[Grade],DropAnalityka[[#This Row],[Grade]])*DropAnalityka[[#This Row],[Quality/Quantity]],0)</f>
        <v>0</v>
      </c>
      <c r="L542" s="43">
        <f>IFERROR(SUMIFS(Tabela10[Exp Gain only 2*+],Tabela10[Drop],DropAnalityka[[#This Row],[Drop]],Tabela10[Grade],DropAnalityka[[#This Row],[Grade]])*DropAnalityka[[#This Row],[Quality/Quantity]],0)</f>
        <v>0</v>
      </c>
    </row>
    <row r="543" spans="1:12">
      <c r="A543" s="10" t="s">
        <v>207</v>
      </c>
      <c r="B543" t="s">
        <v>9</v>
      </c>
      <c r="C543">
        <v>8</v>
      </c>
      <c r="D543">
        <v>2246</v>
      </c>
      <c r="E543">
        <v>2</v>
      </c>
      <c r="F543" t="s">
        <v>34</v>
      </c>
      <c r="G543">
        <v>4</v>
      </c>
      <c r="H543" t="s">
        <v>17</v>
      </c>
      <c r="I543">
        <v>0</v>
      </c>
      <c r="J54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43" s="43">
        <f>IFERROR(SUMIFS(Tabela10[Fod Worth],Tabela10[Drop],DropAnalityka[[#This Row],[Drop]],Tabela10[Grade],DropAnalityka[[#This Row],[Grade]])*DropAnalityka[[#This Row],[Quality/Quantity]],0)</f>
        <v>0</v>
      </c>
      <c r="L543" s="43">
        <f>IFERROR(SUMIFS(Tabela10[Exp Gain only 2*+],Tabela10[Drop],DropAnalityka[[#This Row],[Drop]],Tabela10[Grade],DropAnalityka[[#This Row],[Grade]])*DropAnalityka[[#This Row],[Quality/Quantity]],0)</f>
        <v>3200</v>
      </c>
    </row>
    <row r="544" spans="1:12">
      <c r="A544" s="10" t="s">
        <v>207</v>
      </c>
      <c r="B544" t="s">
        <v>9</v>
      </c>
      <c r="C544">
        <v>8</v>
      </c>
      <c r="D544">
        <v>1945</v>
      </c>
      <c r="E544">
        <v>0</v>
      </c>
      <c r="F544" t="s">
        <v>34</v>
      </c>
      <c r="G544">
        <v>4</v>
      </c>
      <c r="H544" t="s">
        <v>17</v>
      </c>
      <c r="I544">
        <v>0</v>
      </c>
      <c r="J54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44" s="43">
        <f>IFERROR(SUMIFS(Tabela10[Fod Worth],Tabela10[Drop],DropAnalityka[[#This Row],[Drop]],Tabela10[Grade],DropAnalityka[[#This Row],[Grade]])*DropAnalityka[[#This Row],[Quality/Quantity]],0)</f>
        <v>0</v>
      </c>
      <c r="L544" s="43">
        <f>IFERROR(SUMIFS(Tabela10[Exp Gain only 2*+],Tabela10[Drop],DropAnalityka[[#This Row],[Drop]],Tabela10[Grade],DropAnalityka[[#This Row],[Grade]])*DropAnalityka[[#This Row],[Quality/Quantity]],0)</f>
        <v>3200</v>
      </c>
    </row>
    <row r="545" spans="1:12">
      <c r="A545" s="10" t="s">
        <v>207</v>
      </c>
      <c r="B545" t="s">
        <v>9</v>
      </c>
      <c r="C545">
        <v>8</v>
      </c>
      <c r="D545">
        <v>2404</v>
      </c>
      <c r="E545">
        <v>1</v>
      </c>
      <c r="F545" t="s">
        <v>249</v>
      </c>
      <c r="G545">
        <v>4</v>
      </c>
      <c r="H545" t="s">
        <v>270</v>
      </c>
      <c r="I545">
        <v>0</v>
      </c>
      <c r="J5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5" s="43">
        <f>IFERROR(SUMIFS(Tabela10[Fod Worth],Tabela10[Drop],DropAnalityka[[#This Row],[Drop]],Tabela10[Grade],DropAnalityka[[#This Row],[Grade]])*DropAnalityka[[#This Row],[Quality/Quantity]],0)</f>
        <v>0</v>
      </c>
      <c r="L545" s="43">
        <f>IFERROR(SUMIFS(Tabela10[Exp Gain only 2*+],Tabela10[Drop],DropAnalityka[[#This Row],[Drop]],Tabela10[Grade],DropAnalityka[[#This Row],[Grade]])*DropAnalityka[[#This Row],[Quality/Quantity]],0)</f>
        <v>0</v>
      </c>
    </row>
    <row r="546" spans="1:12">
      <c r="A546" s="10" t="s">
        <v>207</v>
      </c>
      <c r="B546" t="s">
        <v>9</v>
      </c>
      <c r="C546">
        <v>8</v>
      </c>
      <c r="D546">
        <v>3017</v>
      </c>
      <c r="E546">
        <v>1</v>
      </c>
      <c r="F546" t="s">
        <v>249</v>
      </c>
      <c r="G546">
        <v>4</v>
      </c>
      <c r="H546" t="s">
        <v>270</v>
      </c>
      <c r="I546">
        <v>0</v>
      </c>
      <c r="J5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6" s="43">
        <f>IFERROR(SUMIFS(Tabela10[Fod Worth],Tabela10[Drop],DropAnalityka[[#This Row],[Drop]],Tabela10[Grade],DropAnalityka[[#This Row],[Grade]])*DropAnalityka[[#This Row],[Quality/Quantity]],0)</f>
        <v>0</v>
      </c>
      <c r="L546" s="43">
        <f>IFERROR(SUMIFS(Tabela10[Exp Gain only 2*+],Tabela10[Drop],DropAnalityka[[#This Row],[Drop]],Tabela10[Grade],DropAnalityka[[#This Row],[Grade]])*DropAnalityka[[#This Row],[Quality/Quantity]],0)</f>
        <v>0</v>
      </c>
    </row>
    <row r="547" spans="1:12">
      <c r="A547" s="10" t="s">
        <v>207</v>
      </c>
      <c r="B547" t="s">
        <v>9</v>
      </c>
      <c r="C547">
        <v>8</v>
      </c>
      <c r="D547">
        <v>2175</v>
      </c>
      <c r="E547">
        <v>0</v>
      </c>
      <c r="F547" t="s">
        <v>143</v>
      </c>
      <c r="G547">
        <v>1</v>
      </c>
      <c r="I547">
        <v>0</v>
      </c>
      <c r="J5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7" s="43">
        <f>IFERROR(SUMIFS(Tabela10[Fod Worth],Tabela10[Drop],DropAnalityka[[#This Row],[Drop]],Tabela10[Grade],DropAnalityka[[#This Row],[Grade]])*DropAnalityka[[#This Row],[Quality/Quantity]],0)</f>
        <v>0</v>
      </c>
      <c r="L547" s="43">
        <f>IFERROR(SUMIFS(Tabela10[Exp Gain only 2*+],Tabela10[Drop],DropAnalityka[[#This Row],[Drop]],Tabela10[Grade],DropAnalityka[[#This Row],[Grade]])*DropAnalityka[[#This Row],[Quality/Quantity]],0)</f>
        <v>0</v>
      </c>
    </row>
    <row r="548" spans="1:12">
      <c r="A548" s="10" t="s">
        <v>207</v>
      </c>
      <c r="B548" t="s">
        <v>9</v>
      </c>
      <c r="C548">
        <v>8</v>
      </c>
      <c r="D548">
        <v>2276</v>
      </c>
      <c r="E548">
        <v>0</v>
      </c>
      <c r="F548" t="s">
        <v>249</v>
      </c>
      <c r="G548">
        <v>4</v>
      </c>
      <c r="H548" t="s">
        <v>270</v>
      </c>
      <c r="I548">
        <v>0</v>
      </c>
      <c r="J5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8" s="43">
        <f>IFERROR(SUMIFS(Tabela10[Fod Worth],Tabela10[Drop],DropAnalityka[[#This Row],[Drop]],Tabela10[Grade],DropAnalityka[[#This Row],[Grade]])*DropAnalityka[[#This Row],[Quality/Quantity]],0)</f>
        <v>0</v>
      </c>
      <c r="L548" s="43">
        <f>IFERROR(SUMIFS(Tabela10[Exp Gain only 2*+],Tabela10[Drop],DropAnalityka[[#This Row],[Drop]],Tabela10[Grade],DropAnalityka[[#This Row],[Grade]])*DropAnalityka[[#This Row],[Quality/Quantity]],0)</f>
        <v>0</v>
      </c>
    </row>
    <row r="549" spans="1:12">
      <c r="A549" s="10" t="s">
        <v>207</v>
      </c>
      <c r="B549" t="s">
        <v>9</v>
      </c>
      <c r="C549">
        <v>8</v>
      </c>
      <c r="D549">
        <v>2576</v>
      </c>
      <c r="E549">
        <v>3</v>
      </c>
      <c r="F549" t="s">
        <v>249</v>
      </c>
      <c r="G549">
        <v>4</v>
      </c>
      <c r="H549" t="s">
        <v>270</v>
      </c>
      <c r="I549">
        <v>0</v>
      </c>
      <c r="J5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49" s="43">
        <f>IFERROR(SUMIFS(Tabela10[Fod Worth],Tabela10[Drop],DropAnalityka[[#This Row],[Drop]],Tabela10[Grade],DropAnalityka[[#This Row],[Grade]])*DropAnalityka[[#This Row],[Quality/Quantity]],0)</f>
        <v>0</v>
      </c>
      <c r="L549" s="43">
        <f>IFERROR(SUMIFS(Tabela10[Exp Gain only 2*+],Tabela10[Drop],DropAnalityka[[#This Row],[Drop]],Tabela10[Grade],DropAnalityka[[#This Row],[Grade]])*DropAnalityka[[#This Row],[Quality/Quantity]],0)</f>
        <v>0</v>
      </c>
    </row>
    <row r="550" spans="1:12">
      <c r="A550" s="10" t="s">
        <v>207</v>
      </c>
      <c r="B550" t="s">
        <v>9</v>
      </c>
      <c r="C550">
        <v>8</v>
      </c>
      <c r="D550">
        <v>2058</v>
      </c>
      <c r="E550">
        <v>1</v>
      </c>
      <c r="F550" t="s">
        <v>249</v>
      </c>
      <c r="G550">
        <v>5</v>
      </c>
      <c r="H550" t="s">
        <v>270</v>
      </c>
      <c r="I550">
        <v>0</v>
      </c>
      <c r="J5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0" s="43">
        <f>IFERROR(SUMIFS(Tabela10[Fod Worth],Tabela10[Drop],DropAnalityka[[#This Row],[Drop]],Tabela10[Grade],DropAnalityka[[#This Row],[Grade]])*DropAnalityka[[#This Row],[Quality/Quantity]],0)</f>
        <v>0</v>
      </c>
      <c r="L550" s="43">
        <f>IFERROR(SUMIFS(Tabela10[Exp Gain only 2*+],Tabela10[Drop],DropAnalityka[[#This Row],[Drop]],Tabela10[Grade],DropAnalityka[[#This Row],[Grade]])*DropAnalityka[[#This Row],[Quality/Quantity]],0)</f>
        <v>0</v>
      </c>
    </row>
    <row r="551" spans="1:12">
      <c r="A551" s="10" t="s">
        <v>207</v>
      </c>
      <c r="B551" t="s">
        <v>9</v>
      </c>
      <c r="C551">
        <v>8</v>
      </c>
      <c r="D551">
        <v>2086</v>
      </c>
      <c r="E551">
        <v>1</v>
      </c>
      <c r="F551" t="s">
        <v>34</v>
      </c>
      <c r="G551">
        <v>4</v>
      </c>
      <c r="H551" t="s">
        <v>17</v>
      </c>
      <c r="I551">
        <v>0</v>
      </c>
      <c r="J55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51" s="43">
        <f>IFERROR(SUMIFS(Tabela10[Fod Worth],Tabela10[Drop],DropAnalityka[[#This Row],[Drop]],Tabela10[Grade],DropAnalityka[[#This Row],[Grade]])*DropAnalityka[[#This Row],[Quality/Quantity]],0)</f>
        <v>0</v>
      </c>
      <c r="L551" s="43">
        <f>IFERROR(SUMIFS(Tabela10[Exp Gain only 2*+],Tabela10[Drop],DropAnalityka[[#This Row],[Drop]],Tabela10[Grade],DropAnalityka[[#This Row],[Grade]])*DropAnalityka[[#This Row],[Quality/Quantity]],0)</f>
        <v>3200</v>
      </c>
    </row>
    <row r="552" spans="1:12">
      <c r="A552" s="10" t="s">
        <v>207</v>
      </c>
      <c r="B552" t="s">
        <v>9</v>
      </c>
      <c r="C552">
        <v>8</v>
      </c>
      <c r="D552">
        <v>2586</v>
      </c>
      <c r="E552">
        <v>3</v>
      </c>
      <c r="F552" t="s">
        <v>34</v>
      </c>
      <c r="G552">
        <v>4</v>
      </c>
      <c r="H552" t="s">
        <v>17</v>
      </c>
      <c r="I552">
        <v>0</v>
      </c>
      <c r="J55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52" s="43">
        <f>IFERROR(SUMIFS(Tabela10[Fod Worth],Tabela10[Drop],DropAnalityka[[#This Row],[Drop]],Tabela10[Grade],DropAnalityka[[#This Row],[Grade]])*DropAnalityka[[#This Row],[Quality/Quantity]],0)</f>
        <v>0</v>
      </c>
      <c r="L552" s="43">
        <f>IFERROR(SUMIFS(Tabela10[Exp Gain only 2*+],Tabela10[Drop],DropAnalityka[[#This Row],[Drop]],Tabela10[Grade],DropAnalityka[[#This Row],[Grade]])*DropAnalityka[[#This Row],[Quality/Quantity]],0)</f>
        <v>3200</v>
      </c>
    </row>
    <row r="553" spans="1:12">
      <c r="A553" s="10" t="s">
        <v>207</v>
      </c>
      <c r="B553" t="s">
        <v>9</v>
      </c>
      <c r="C553">
        <v>8</v>
      </c>
      <c r="D553">
        <v>2500</v>
      </c>
      <c r="E553">
        <v>1</v>
      </c>
      <c r="F553" t="s">
        <v>34</v>
      </c>
      <c r="G553">
        <v>5</v>
      </c>
      <c r="H553" t="s">
        <v>17</v>
      </c>
      <c r="I553">
        <v>0</v>
      </c>
      <c r="J553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553" s="43">
        <f>IFERROR(SUMIFS(Tabela10[Fod Worth],Tabela10[Drop],DropAnalityka[[#This Row],[Drop]],Tabela10[Grade],DropAnalityka[[#This Row],[Grade]])*DropAnalityka[[#This Row],[Quality/Quantity]],0)</f>
        <v>0</v>
      </c>
      <c r="L553" s="43">
        <f>IFERROR(SUMIFS(Tabela10[Exp Gain only 2*+],Tabela10[Drop],DropAnalityka[[#This Row],[Drop]],Tabela10[Grade],DropAnalityka[[#This Row],[Grade]])*DropAnalityka[[#This Row],[Quality/Quantity]],0)</f>
        <v>4000</v>
      </c>
    </row>
    <row r="554" spans="1:12">
      <c r="A554" s="10" t="s">
        <v>207</v>
      </c>
      <c r="B554" t="s">
        <v>9</v>
      </c>
      <c r="C554">
        <v>8</v>
      </c>
      <c r="D554">
        <v>2526</v>
      </c>
      <c r="E554">
        <v>0</v>
      </c>
      <c r="F554" t="s">
        <v>249</v>
      </c>
      <c r="G554">
        <v>1</v>
      </c>
      <c r="H554" t="s">
        <v>271</v>
      </c>
      <c r="I554">
        <v>0</v>
      </c>
      <c r="J5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4" s="43">
        <f>IFERROR(SUMIFS(Tabela10[Fod Worth],Tabela10[Drop],DropAnalityka[[#This Row],[Drop]],Tabela10[Grade],DropAnalityka[[#This Row],[Grade]])*DropAnalityka[[#This Row],[Quality/Quantity]],0)</f>
        <v>0</v>
      </c>
      <c r="L554" s="43">
        <f>IFERROR(SUMIFS(Tabela10[Exp Gain only 2*+],Tabela10[Drop],DropAnalityka[[#This Row],[Drop]],Tabela10[Grade],DropAnalityka[[#This Row],[Grade]])*DropAnalityka[[#This Row],[Quality/Quantity]],0)</f>
        <v>0</v>
      </c>
    </row>
    <row r="555" spans="1:12">
      <c r="A555" s="10" t="s">
        <v>207</v>
      </c>
      <c r="B555" t="s">
        <v>9</v>
      </c>
      <c r="C555">
        <v>8</v>
      </c>
      <c r="D555">
        <v>2483</v>
      </c>
      <c r="E555">
        <v>3</v>
      </c>
      <c r="F555" t="s">
        <v>249</v>
      </c>
      <c r="G555">
        <v>1</v>
      </c>
      <c r="H555" t="s">
        <v>271</v>
      </c>
      <c r="I555">
        <v>0</v>
      </c>
      <c r="J5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5" s="43">
        <f>IFERROR(SUMIFS(Tabela10[Fod Worth],Tabela10[Drop],DropAnalityka[[#This Row],[Drop]],Tabela10[Grade],DropAnalityka[[#This Row],[Grade]])*DropAnalityka[[#This Row],[Quality/Quantity]],0)</f>
        <v>0</v>
      </c>
      <c r="L555" s="43">
        <f>IFERROR(SUMIFS(Tabela10[Exp Gain only 2*+],Tabela10[Drop],DropAnalityka[[#This Row],[Drop]],Tabela10[Grade],DropAnalityka[[#This Row],[Grade]])*DropAnalityka[[#This Row],[Quality/Quantity]],0)</f>
        <v>0</v>
      </c>
    </row>
    <row r="556" spans="1:12">
      <c r="A556" s="10" t="s">
        <v>207</v>
      </c>
      <c r="B556" t="s">
        <v>9</v>
      </c>
      <c r="C556">
        <v>8</v>
      </c>
      <c r="D556">
        <v>2491</v>
      </c>
      <c r="E556">
        <v>0</v>
      </c>
      <c r="F556" t="s">
        <v>223</v>
      </c>
      <c r="G556" t="s">
        <v>290</v>
      </c>
      <c r="H556" t="s">
        <v>26</v>
      </c>
      <c r="I556">
        <v>0</v>
      </c>
      <c r="J5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6" s="43">
        <f>IFERROR(SUMIFS(Tabela10[Fod Worth],Tabela10[Drop],DropAnalityka[[#This Row],[Drop]],Tabela10[Grade],DropAnalityka[[#This Row],[Grade]])*DropAnalityka[[#This Row],[Quality/Quantity]],0)</f>
        <v>0</v>
      </c>
      <c r="L556" s="43">
        <f>IFERROR(SUMIFS(Tabela10[Exp Gain only 2*+],Tabela10[Drop],DropAnalityka[[#This Row],[Drop]],Tabela10[Grade],DropAnalityka[[#This Row],[Grade]])*DropAnalityka[[#This Row],[Quality/Quantity]],0)</f>
        <v>0</v>
      </c>
    </row>
    <row r="557" spans="1:12">
      <c r="A557" s="10" t="s">
        <v>207</v>
      </c>
      <c r="B557" t="s">
        <v>9</v>
      </c>
      <c r="C557">
        <v>8</v>
      </c>
      <c r="D557">
        <v>2730</v>
      </c>
      <c r="E557">
        <v>0</v>
      </c>
      <c r="F557" t="s">
        <v>34</v>
      </c>
      <c r="G557">
        <v>4</v>
      </c>
      <c r="H557" t="s">
        <v>17</v>
      </c>
      <c r="I557">
        <v>0</v>
      </c>
      <c r="J557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57" s="43">
        <f>IFERROR(SUMIFS(Tabela10[Fod Worth],Tabela10[Drop],DropAnalityka[[#This Row],[Drop]],Tabela10[Grade],DropAnalityka[[#This Row],[Grade]])*DropAnalityka[[#This Row],[Quality/Quantity]],0)</f>
        <v>0</v>
      </c>
      <c r="L557" s="43">
        <f>IFERROR(SUMIFS(Tabela10[Exp Gain only 2*+],Tabela10[Drop],DropAnalityka[[#This Row],[Drop]],Tabela10[Grade],DropAnalityka[[#This Row],[Grade]])*DropAnalityka[[#This Row],[Quality/Quantity]],0)</f>
        <v>3200</v>
      </c>
    </row>
    <row r="558" spans="1:12">
      <c r="A558" s="10" t="s">
        <v>207</v>
      </c>
      <c r="B558" t="s">
        <v>9</v>
      </c>
      <c r="C558">
        <v>8</v>
      </c>
      <c r="D558">
        <v>2671</v>
      </c>
      <c r="E558">
        <v>2</v>
      </c>
      <c r="F558" t="s">
        <v>249</v>
      </c>
      <c r="G558">
        <v>4</v>
      </c>
      <c r="H558" t="s">
        <v>270</v>
      </c>
      <c r="I558">
        <v>0</v>
      </c>
      <c r="J5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8" s="43">
        <f>IFERROR(SUMIFS(Tabela10[Fod Worth],Tabela10[Drop],DropAnalityka[[#This Row],[Drop]],Tabela10[Grade],DropAnalityka[[#This Row],[Grade]])*DropAnalityka[[#This Row],[Quality/Quantity]],0)</f>
        <v>0</v>
      </c>
      <c r="L558" s="43">
        <f>IFERROR(SUMIFS(Tabela10[Exp Gain only 2*+],Tabela10[Drop],DropAnalityka[[#This Row],[Drop]],Tabela10[Grade],DropAnalityka[[#This Row],[Grade]])*DropAnalityka[[#This Row],[Quality/Quantity]],0)</f>
        <v>0</v>
      </c>
    </row>
    <row r="559" spans="1:12">
      <c r="A559" s="10" t="s">
        <v>207</v>
      </c>
      <c r="B559" t="s">
        <v>9</v>
      </c>
      <c r="C559">
        <v>8</v>
      </c>
      <c r="D559">
        <v>2186</v>
      </c>
      <c r="E559">
        <v>1</v>
      </c>
      <c r="F559" t="s">
        <v>206</v>
      </c>
      <c r="G559">
        <v>1</v>
      </c>
      <c r="H559" t="s">
        <v>17</v>
      </c>
      <c r="I559">
        <v>0</v>
      </c>
      <c r="J5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59" s="43">
        <f>IFERROR(SUMIFS(Tabela10[Fod Worth],Tabela10[Drop],DropAnalityka[[#This Row],[Drop]],Tabela10[Grade],DropAnalityka[[#This Row],[Grade]])*DropAnalityka[[#This Row],[Quality/Quantity]],0)</f>
        <v>0</v>
      </c>
      <c r="L559" s="43">
        <f>IFERROR(SUMIFS(Tabela10[Exp Gain only 2*+],Tabela10[Drop],DropAnalityka[[#This Row],[Drop]],Tabela10[Grade],DropAnalityka[[#This Row],[Grade]])*DropAnalityka[[#This Row],[Quality/Quantity]],0)</f>
        <v>0</v>
      </c>
    </row>
    <row r="560" spans="1:12">
      <c r="A560" s="10" t="s">
        <v>207</v>
      </c>
      <c r="B560" t="s">
        <v>9</v>
      </c>
      <c r="C560">
        <v>8</v>
      </c>
      <c r="D560">
        <v>2316</v>
      </c>
      <c r="E560">
        <v>0</v>
      </c>
      <c r="F560" t="s">
        <v>249</v>
      </c>
      <c r="G560">
        <v>3</v>
      </c>
      <c r="H560" t="s">
        <v>270</v>
      </c>
      <c r="I560">
        <v>0</v>
      </c>
      <c r="J5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0" s="43">
        <f>IFERROR(SUMIFS(Tabela10[Fod Worth],Tabela10[Drop],DropAnalityka[[#This Row],[Drop]],Tabela10[Grade],DropAnalityka[[#This Row],[Grade]])*DropAnalityka[[#This Row],[Quality/Quantity]],0)</f>
        <v>0</v>
      </c>
      <c r="L560" s="43">
        <f>IFERROR(SUMIFS(Tabela10[Exp Gain only 2*+],Tabela10[Drop],DropAnalityka[[#This Row],[Drop]],Tabela10[Grade],DropAnalityka[[#This Row],[Grade]])*DropAnalityka[[#This Row],[Quality/Quantity]],0)</f>
        <v>0</v>
      </c>
    </row>
    <row r="561" spans="1:12">
      <c r="A561" s="10" t="s">
        <v>207</v>
      </c>
      <c r="B561" t="s">
        <v>9</v>
      </c>
      <c r="C561">
        <v>8</v>
      </c>
      <c r="D561">
        <v>2046</v>
      </c>
      <c r="E561">
        <v>1</v>
      </c>
      <c r="F561" t="s">
        <v>249</v>
      </c>
      <c r="G561">
        <v>4</v>
      </c>
      <c r="H561" t="s">
        <v>270</v>
      </c>
      <c r="I561">
        <v>0</v>
      </c>
      <c r="J5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1" s="43">
        <f>IFERROR(SUMIFS(Tabela10[Fod Worth],Tabela10[Drop],DropAnalityka[[#This Row],[Drop]],Tabela10[Grade],DropAnalityka[[#This Row],[Grade]])*DropAnalityka[[#This Row],[Quality/Quantity]],0)</f>
        <v>0</v>
      </c>
      <c r="L561" s="43">
        <f>IFERROR(SUMIFS(Tabela10[Exp Gain only 2*+],Tabela10[Drop],DropAnalityka[[#This Row],[Drop]],Tabela10[Grade],DropAnalityka[[#This Row],[Grade]])*DropAnalityka[[#This Row],[Quality/Quantity]],0)</f>
        <v>0</v>
      </c>
    </row>
    <row r="562" spans="1:12">
      <c r="A562" s="10" t="s">
        <v>207</v>
      </c>
      <c r="B562" t="s">
        <v>9</v>
      </c>
      <c r="C562">
        <v>8</v>
      </c>
      <c r="D562">
        <v>2303</v>
      </c>
      <c r="E562">
        <v>3</v>
      </c>
      <c r="F562" t="s">
        <v>249</v>
      </c>
      <c r="G562">
        <v>1</v>
      </c>
      <c r="H562" t="s">
        <v>292</v>
      </c>
      <c r="I562">
        <v>0</v>
      </c>
      <c r="J5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2" s="43">
        <f>IFERROR(SUMIFS(Tabela10[Fod Worth],Tabela10[Drop],DropAnalityka[[#This Row],[Drop]],Tabela10[Grade],DropAnalityka[[#This Row],[Grade]])*DropAnalityka[[#This Row],[Quality/Quantity]],0)</f>
        <v>0</v>
      </c>
      <c r="L562" s="43">
        <f>IFERROR(SUMIFS(Tabela10[Exp Gain only 2*+],Tabela10[Drop],DropAnalityka[[#This Row],[Drop]],Tabela10[Grade],DropAnalityka[[#This Row],[Grade]])*DropAnalityka[[#This Row],[Quality/Quantity]],0)</f>
        <v>0</v>
      </c>
    </row>
    <row r="563" spans="1:12">
      <c r="A563" s="10" t="s">
        <v>207</v>
      </c>
      <c r="B563" t="s">
        <v>9</v>
      </c>
      <c r="C563">
        <v>8</v>
      </c>
      <c r="D563">
        <v>2396</v>
      </c>
      <c r="E563">
        <v>1</v>
      </c>
      <c r="F563" t="s">
        <v>249</v>
      </c>
      <c r="G563">
        <v>1</v>
      </c>
      <c r="H563" t="s">
        <v>292</v>
      </c>
      <c r="I563">
        <v>0</v>
      </c>
      <c r="J5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3" s="43">
        <f>IFERROR(SUMIFS(Tabela10[Fod Worth],Tabela10[Drop],DropAnalityka[[#This Row],[Drop]],Tabela10[Grade],DropAnalityka[[#This Row],[Grade]])*DropAnalityka[[#This Row],[Quality/Quantity]],0)</f>
        <v>0</v>
      </c>
      <c r="L563" s="43">
        <f>IFERROR(SUMIFS(Tabela10[Exp Gain only 2*+],Tabela10[Drop],DropAnalityka[[#This Row],[Drop]],Tabela10[Grade],DropAnalityka[[#This Row],[Grade]])*DropAnalityka[[#This Row],[Quality/Quantity]],0)</f>
        <v>0</v>
      </c>
    </row>
    <row r="564" spans="1:12">
      <c r="A564" s="10" t="s">
        <v>207</v>
      </c>
      <c r="B564" t="s">
        <v>9</v>
      </c>
      <c r="C564">
        <v>8</v>
      </c>
      <c r="D564">
        <v>2325</v>
      </c>
      <c r="E564">
        <v>1</v>
      </c>
      <c r="F564" t="s">
        <v>249</v>
      </c>
      <c r="G564">
        <v>2</v>
      </c>
      <c r="H564" t="s">
        <v>271</v>
      </c>
      <c r="I564">
        <v>0</v>
      </c>
      <c r="J5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4" s="43">
        <f>IFERROR(SUMIFS(Tabela10[Fod Worth],Tabela10[Drop],DropAnalityka[[#This Row],[Drop]],Tabela10[Grade],DropAnalityka[[#This Row],[Grade]])*DropAnalityka[[#This Row],[Quality/Quantity]],0)</f>
        <v>0</v>
      </c>
      <c r="L564" s="43">
        <f>IFERROR(SUMIFS(Tabela10[Exp Gain only 2*+],Tabela10[Drop],DropAnalityka[[#This Row],[Drop]],Tabela10[Grade],DropAnalityka[[#This Row],[Grade]])*DropAnalityka[[#This Row],[Quality/Quantity]],0)</f>
        <v>0</v>
      </c>
    </row>
    <row r="565" spans="1:12">
      <c r="A565" s="10" t="s">
        <v>207</v>
      </c>
      <c r="B565" t="s">
        <v>9</v>
      </c>
      <c r="C565">
        <v>8</v>
      </c>
      <c r="D565">
        <v>2398</v>
      </c>
      <c r="E565">
        <v>1</v>
      </c>
      <c r="F565" t="s">
        <v>249</v>
      </c>
      <c r="G565">
        <v>3</v>
      </c>
      <c r="H565" t="s">
        <v>270</v>
      </c>
      <c r="I565">
        <v>0</v>
      </c>
      <c r="J5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5" s="43">
        <f>IFERROR(SUMIFS(Tabela10[Fod Worth],Tabela10[Drop],DropAnalityka[[#This Row],[Drop]],Tabela10[Grade],DropAnalityka[[#This Row],[Grade]])*DropAnalityka[[#This Row],[Quality/Quantity]],0)</f>
        <v>0</v>
      </c>
      <c r="L565" s="43">
        <f>IFERROR(SUMIFS(Tabela10[Exp Gain only 2*+],Tabela10[Drop],DropAnalityka[[#This Row],[Drop]],Tabela10[Grade],DropAnalityka[[#This Row],[Grade]])*DropAnalityka[[#This Row],[Quality/Quantity]],0)</f>
        <v>0</v>
      </c>
    </row>
    <row r="566" spans="1:12">
      <c r="A566" s="10" t="s">
        <v>207</v>
      </c>
      <c r="B566" t="s">
        <v>9</v>
      </c>
      <c r="C566">
        <v>8</v>
      </c>
      <c r="D566">
        <v>2668</v>
      </c>
      <c r="E566">
        <v>0</v>
      </c>
      <c r="F566" t="s">
        <v>249</v>
      </c>
      <c r="G566">
        <v>3</v>
      </c>
      <c r="H566" t="s">
        <v>271</v>
      </c>
      <c r="I566">
        <v>0</v>
      </c>
      <c r="J5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6" s="43">
        <f>IFERROR(SUMIFS(Tabela10[Fod Worth],Tabela10[Drop],DropAnalityka[[#This Row],[Drop]],Tabela10[Grade],DropAnalityka[[#This Row],[Grade]])*DropAnalityka[[#This Row],[Quality/Quantity]],0)</f>
        <v>0</v>
      </c>
      <c r="L566" s="43">
        <f>IFERROR(SUMIFS(Tabela10[Exp Gain only 2*+],Tabela10[Drop],DropAnalityka[[#This Row],[Drop]],Tabela10[Grade],DropAnalityka[[#This Row],[Grade]])*DropAnalityka[[#This Row],[Quality/Quantity]],0)</f>
        <v>0</v>
      </c>
    </row>
    <row r="567" spans="1:12">
      <c r="A567" s="10" t="s">
        <v>36</v>
      </c>
      <c r="B567" t="s">
        <v>9</v>
      </c>
      <c r="C567">
        <v>7</v>
      </c>
      <c r="D567">
        <v>3002</v>
      </c>
      <c r="E567">
        <v>2</v>
      </c>
      <c r="F567" t="s">
        <v>252</v>
      </c>
      <c r="G567">
        <v>2</v>
      </c>
      <c r="H567" t="s">
        <v>292</v>
      </c>
      <c r="I567">
        <v>0</v>
      </c>
      <c r="J5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7" s="43">
        <f>IFERROR(SUMIFS(Tabela10[Fod Worth],Tabela10[Drop],DropAnalityka[[#This Row],[Drop]],Tabela10[Grade],DropAnalityka[[#This Row],[Grade]])*DropAnalityka[[#This Row],[Quality/Quantity]],0)</f>
        <v>0</v>
      </c>
      <c r="L567" s="43">
        <f>IFERROR(SUMIFS(Tabela10[Exp Gain only 2*+],Tabela10[Drop],DropAnalityka[[#This Row],[Drop]],Tabela10[Grade],DropAnalityka[[#This Row],[Grade]])*DropAnalityka[[#This Row],[Quality/Quantity]],0)</f>
        <v>0</v>
      </c>
    </row>
    <row r="568" spans="1:12">
      <c r="A568" s="10" t="s">
        <v>36</v>
      </c>
      <c r="B568" t="s">
        <v>9</v>
      </c>
      <c r="C568">
        <v>7</v>
      </c>
      <c r="D568">
        <v>2021</v>
      </c>
      <c r="E568">
        <v>1</v>
      </c>
      <c r="F568" t="s">
        <v>252</v>
      </c>
      <c r="G568">
        <v>1</v>
      </c>
      <c r="H568" t="s">
        <v>292</v>
      </c>
      <c r="I568">
        <v>0</v>
      </c>
      <c r="J5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8" s="43">
        <f>IFERROR(SUMIFS(Tabela10[Fod Worth],Tabela10[Drop],DropAnalityka[[#This Row],[Drop]],Tabela10[Grade],DropAnalityka[[#This Row],[Grade]])*DropAnalityka[[#This Row],[Quality/Quantity]],0)</f>
        <v>0</v>
      </c>
      <c r="L568" s="43">
        <f>IFERROR(SUMIFS(Tabela10[Exp Gain only 2*+],Tabela10[Drop],DropAnalityka[[#This Row],[Drop]],Tabela10[Grade],DropAnalityka[[#This Row],[Grade]])*DropAnalityka[[#This Row],[Quality/Quantity]],0)</f>
        <v>0</v>
      </c>
    </row>
    <row r="569" spans="1:12">
      <c r="A569" s="10" t="s">
        <v>36</v>
      </c>
      <c r="B569" t="s">
        <v>9</v>
      </c>
      <c r="C569">
        <v>7</v>
      </c>
      <c r="D569">
        <v>2168</v>
      </c>
      <c r="E569">
        <v>0</v>
      </c>
      <c r="F569" t="s">
        <v>252</v>
      </c>
      <c r="G569">
        <v>4</v>
      </c>
      <c r="H569" t="s">
        <v>270</v>
      </c>
      <c r="I569">
        <v>0</v>
      </c>
      <c r="J5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69" s="43">
        <f>IFERROR(SUMIFS(Tabela10[Fod Worth],Tabela10[Drop],DropAnalityka[[#This Row],[Drop]],Tabela10[Grade],DropAnalityka[[#This Row],[Grade]])*DropAnalityka[[#This Row],[Quality/Quantity]],0)</f>
        <v>0</v>
      </c>
      <c r="L569" s="43">
        <f>IFERROR(SUMIFS(Tabela10[Exp Gain only 2*+],Tabela10[Drop],DropAnalityka[[#This Row],[Drop]],Tabela10[Grade],DropAnalityka[[#This Row],[Grade]])*DropAnalityka[[#This Row],[Quality/Quantity]],0)</f>
        <v>0</v>
      </c>
    </row>
    <row r="570" spans="1:12">
      <c r="A570" s="10" t="s">
        <v>36</v>
      </c>
      <c r="B570" t="s">
        <v>9</v>
      </c>
      <c r="C570">
        <v>7</v>
      </c>
      <c r="D570">
        <v>2540</v>
      </c>
      <c r="E570">
        <v>3</v>
      </c>
      <c r="F570" t="s">
        <v>252</v>
      </c>
      <c r="G570">
        <v>1</v>
      </c>
      <c r="H570" t="s">
        <v>292</v>
      </c>
      <c r="I570">
        <v>0</v>
      </c>
      <c r="J5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0" s="43">
        <f>IFERROR(SUMIFS(Tabela10[Fod Worth],Tabela10[Drop],DropAnalityka[[#This Row],[Drop]],Tabela10[Grade],DropAnalityka[[#This Row],[Grade]])*DropAnalityka[[#This Row],[Quality/Quantity]],0)</f>
        <v>0</v>
      </c>
      <c r="L570" s="43">
        <f>IFERROR(SUMIFS(Tabela10[Exp Gain only 2*+],Tabela10[Drop],DropAnalityka[[#This Row],[Drop]],Tabela10[Grade],DropAnalityka[[#This Row],[Grade]])*DropAnalityka[[#This Row],[Quality/Quantity]],0)</f>
        <v>0</v>
      </c>
    </row>
    <row r="571" spans="1:12">
      <c r="A571" s="10" t="s">
        <v>36</v>
      </c>
      <c r="B571" t="s">
        <v>9</v>
      </c>
      <c r="C571">
        <v>7</v>
      </c>
      <c r="D571">
        <v>2251</v>
      </c>
      <c r="E571">
        <v>1</v>
      </c>
      <c r="F571" t="s">
        <v>252</v>
      </c>
      <c r="G571">
        <v>1</v>
      </c>
      <c r="H571" t="s">
        <v>292</v>
      </c>
      <c r="I571">
        <v>0</v>
      </c>
      <c r="J5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1" s="43">
        <f>IFERROR(SUMIFS(Tabela10[Fod Worth],Tabela10[Drop],DropAnalityka[[#This Row],[Drop]],Tabela10[Grade],DropAnalityka[[#This Row],[Grade]])*DropAnalityka[[#This Row],[Quality/Quantity]],0)</f>
        <v>0</v>
      </c>
      <c r="L571" s="43">
        <f>IFERROR(SUMIFS(Tabela10[Exp Gain only 2*+],Tabela10[Drop],DropAnalityka[[#This Row],[Drop]],Tabela10[Grade],DropAnalityka[[#This Row],[Grade]])*DropAnalityka[[#This Row],[Quality/Quantity]],0)</f>
        <v>0</v>
      </c>
    </row>
    <row r="572" spans="1:12">
      <c r="A572" s="10" t="s">
        <v>36</v>
      </c>
      <c r="B572" t="s">
        <v>9</v>
      </c>
      <c r="C572">
        <v>7</v>
      </c>
      <c r="D572">
        <v>2591</v>
      </c>
      <c r="E572">
        <v>1</v>
      </c>
      <c r="F572" t="s">
        <v>252</v>
      </c>
      <c r="G572">
        <v>4</v>
      </c>
      <c r="H572" t="s">
        <v>270</v>
      </c>
      <c r="I572">
        <v>0</v>
      </c>
      <c r="J5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2" s="43">
        <f>IFERROR(SUMIFS(Tabela10[Fod Worth],Tabela10[Drop],DropAnalityka[[#This Row],[Drop]],Tabela10[Grade],DropAnalityka[[#This Row],[Grade]])*DropAnalityka[[#This Row],[Quality/Quantity]],0)</f>
        <v>0</v>
      </c>
      <c r="L572" s="43">
        <f>IFERROR(SUMIFS(Tabela10[Exp Gain only 2*+],Tabela10[Drop],DropAnalityka[[#This Row],[Drop]],Tabela10[Grade],DropAnalityka[[#This Row],[Grade]])*DropAnalityka[[#This Row],[Quality/Quantity]],0)</f>
        <v>0</v>
      </c>
    </row>
    <row r="573" spans="1:12">
      <c r="A573" s="10" t="s">
        <v>36</v>
      </c>
      <c r="B573" t="s">
        <v>9</v>
      </c>
      <c r="C573">
        <v>7</v>
      </c>
      <c r="D573">
        <v>2238</v>
      </c>
      <c r="E573">
        <v>1</v>
      </c>
      <c r="F573" t="s">
        <v>252</v>
      </c>
      <c r="G573">
        <v>3</v>
      </c>
      <c r="H573" t="s">
        <v>292</v>
      </c>
      <c r="I573">
        <v>0</v>
      </c>
      <c r="J5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3" s="43">
        <f>IFERROR(SUMIFS(Tabela10[Fod Worth],Tabela10[Drop],DropAnalityka[[#This Row],[Drop]],Tabela10[Grade],DropAnalityka[[#This Row],[Grade]])*DropAnalityka[[#This Row],[Quality/Quantity]],0)</f>
        <v>0</v>
      </c>
      <c r="L573" s="43">
        <f>IFERROR(SUMIFS(Tabela10[Exp Gain only 2*+],Tabela10[Drop],DropAnalityka[[#This Row],[Drop]],Tabela10[Grade],DropAnalityka[[#This Row],[Grade]])*DropAnalityka[[#This Row],[Quality/Quantity]],0)</f>
        <v>0</v>
      </c>
    </row>
    <row r="574" spans="1:12">
      <c r="A574" s="10" t="s">
        <v>36</v>
      </c>
      <c r="B574" t="s">
        <v>9</v>
      </c>
      <c r="C574">
        <v>7</v>
      </c>
      <c r="D574">
        <v>2506</v>
      </c>
      <c r="E574">
        <v>0</v>
      </c>
      <c r="F574" t="s">
        <v>252</v>
      </c>
      <c r="G574">
        <v>3</v>
      </c>
      <c r="H574" t="s">
        <v>292</v>
      </c>
      <c r="I574">
        <v>0</v>
      </c>
      <c r="J5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4" s="43">
        <f>IFERROR(SUMIFS(Tabela10[Fod Worth],Tabela10[Drop],DropAnalityka[[#This Row],[Drop]],Tabela10[Grade],DropAnalityka[[#This Row],[Grade]])*DropAnalityka[[#This Row],[Quality/Quantity]],0)</f>
        <v>0</v>
      </c>
      <c r="L574" s="43">
        <f>IFERROR(SUMIFS(Tabela10[Exp Gain only 2*+],Tabela10[Drop],DropAnalityka[[#This Row],[Drop]],Tabela10[Grade],DropAnalityka[[#This Row],[Grade]])*DropAnalityka[[#This Row],[Quality/Quantity]],0)</f>
        <v>0</v>
      </c>
    </row>
    <row r="575" spans="1:12">
      <c r="A575" s="10" t="s">
        <v>36</v>
      </c>
      <c r="B575" t="s">
        <v>9</v>
      </c>
      <c r="C575">
        <v>7</v>
      </c>
      <c r="D575">
        <v>2339</v>
      </c>
      <c r="E575">
        <v>0</v>
      </c>
      <c r="F575" t="s">
        <v>252</v>
      </c>
      <c r="G575">
        <v>4</v>
      </c>
      <c r="H575" t="s">
        <v>270</v>
      </c>
      <c r="I575">
        <v>0</v>
      </c>
      <c r="J5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5" s="43">
        <f>IFERROR(SUMIFS(Tabela10[Fod Worth],Tabela10[Drop],DropAnalityka[[#This Row],[Drop]],Tabela10[Grade],DropAnalityka[[#This Row],[Grade]])*DropAnalityka[[#This Row],[Quality/Quantity]],0)</f>
        <v>0</v>
      </c>
      <c r="L575" s="43">
        <f>IFERROR(SUMIFS(Tabela10[Exp Gain only 2*+],Tabela10[Drop],DropAnalityka[[#This Row],[Drop]],Tabela10[Grade],DropAnalityka[[#This Row],[Grade]])*DropAnalityka[[#This Row],[Quality/Quantity]],0)</f>
        <v>0</v>
      </c>
    </row>
    <row r="576" spans="1:12">
      <c r="A576" s="10" t="s">
        <v>36</v>
      </c>
      <c r="B576" t="s">
        <v>9</v>
      </c>
      <c r="C576">
        <v>7</v>
      </c>
      <c r="D576">
        <v>2207</v>
      </c>
      <c r="E576">
        <v>1</v>
      </c>
      <c r="F576" t="s">
        <v>252</v>
      </c>
      <c r="G576">
        <v>3</v>
      </c>
      <c r="H576" t="s">
        <v>270</v>
      </c>
      <c r="I576">
        <v>0</v>
      </c>
      <c r="J5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6" s="43">
        <f>IFERROR(SUMIFS(Tabela10[Fod Worth],Tabela10[Drop],DropAnalityka[[#This Row],[Drop]],Tabela10[Grade],DropAnalityka[[#This Row],[Grade]])*DropAnalityka[[#This Row],[Quality/Quantity]],0)</f>
        <v>0</v>
      </c>
      <c r="L576" s="43">
        <f>IFERROR(SUMIFS(Tabela10[Exp Gain only 2*+],Tabela10[Drop],DropAnalityka[[#This Row],[Drop]],Tabela10[Grade],DropAnalityka[[#This Row],[Grade]])*DropAnalityka[[#This Row],[Quality/Quantity]],0)</f>
        <v>0</v>
      </c>
    </row>
    <row r="577" spans="1:12">
      <c r="A577" s="10" t="s">
        <v>36</v>
      </c>
      <c r="B577" t="s">
        <v>9</v>
      </c>
      <c r="C577">
        <v>7</v>
      </c>
      <c r="D577">
        <v>1988</v>
      </c>
      <c r="E577">
        <v>0</v>
      </c>
      <c r="F577" t="s">
        <v>249</v>
      </c>
      <c r="G577">
        <v>3</v>
      </c>
      <c r="H577" t="s">
        <v>270</v>
      </c>
      <c r="I577">
        <v>0</v>
      </c>
      <c r="J5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7" s="43">
        <f>IFERROR(SUMIFS(Tabela10[Fod Worth],Tabela10[Drop],DropAnalityka[[#This Row],[Drop]],Tabela10[Grade],DropAnalityka[[#This Row],[Grade]])*DropAnalityka[[#This Row],[Quality/Quantity]],0)</f>
        <v>0</v>
      </c>
      <c r="L577" s="43">
        <f>IFERROR(SUMIFS(Tabela10[Exp Gain only 2*+],Tabela10[Drop],DropAnalityka[[#This Row],[Drop]],Tabela10[Grade],DropAnalityka[[#This Row],[Grade]])*DropAnalityka[[#This Row],[Quality/Quantity]],0)</f>
        <v>0</v>
      </c>
    </row>
    <row r="578" spans="1:12">
      <c r="A578" s="10" t="s">
        <v>36</v>
      </c>
      <c r="B578" t="s">
        <v>9</v>
      </c>
      <c r="C578">
        <v>7</v>
      </c>
      <c r="D578">
        <v>2659</v>
      </c>
      <c r="E578">
        <v>0</v>
      </c>
      <c r="F578" t="s">
        <v>252</v>
      </c>
      <c r="G578">
        <v>5</v>
      </c>
      <c r="H578" t="s">
        <v>270</v>
      </c>
      <c r="I578">
        <v>0</v>
      </c>
      <c r="J5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78" s="43">
        <f>IFERROR(SUMIFS(Tabela10[Fod Worth],Tabela10[Drop],DropAnalityka[[#This Row],[Drop]],Tabela10[Grade],DropAnalityka[[#This Row],[Grade]])*DropAnalityka[[#This Row],[Quality/Quantity]],0)</f>
        <v>0</v>
      </c>
      <c r="L578" s="43">
        <f>IFERROR(SUMIFS(Tabela10[Exp Gain only 2*+],Tabela10[Drop],DropAnalityka[[#This Row],[Drop]],Tabela10[Grade],DropAnalityka[[#This Row],[Grade]])*DropAnalityka[[#This Row],[Quality/Quantity]],0)</f>
        <v>0</v>
      </c>
    </row>
    <row r="579" spans="1:12">
      <c r="A579" s="10" t="s">
        <v>36</v>
      </c>
      <c r="B579" t="s">
        <v>9</v>
      </c>
      <c r="C579">
        <v>7</v>
      </c>
      <c r="D579">
        <v>2237</v>
      </c>
      <c r="E579">
        <v>0</v>
      </c>
      <c r="F579" t="s">
        <v>34</v>
      </c>
      <c r="G579">
        <v>4</v>
      </c>
      <c r="H579" t="s">
        <v>17</v>
      </c>
      <c r="I579">
        <v>0</v>
      </c>
      <c r="J57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579" s="43">
        <f>IFERROR(SUMIFS(Tabela10[Fod Worth],Tabela10[Drop],DropAnalityka[[#This Row],[Drop]],Tabela10[Grade],DropAnalityka[[#This Row],[Grade]])*DropAnalityka[[#This Row],[Quality/Quantity]],0)</f>
        <v>0</v>
      </c>
      <c r="L579" s="43">
        <f>IFERROR(SUMIFS(Tabela10[Exp Gain only 2*+],Tabela10[Drop],DropAnalityka[[#This Row],[Drop]],Tabela10[Grade],DropAnalityka[[#This Row],[Grade]])*DropAnalityka[[#This Row],[Quality/Quantity]],0)</f>
        <v>3200</v>
      </c>
    </row>
    <row r="580" spans="1:12">
      <c r="A580" s="10" t="s">
        <v>36</v>
      </c>
      <c r="B580" t="s">
        <v>9</v>
      </c>
      <c r="C580">
        <v>7</v>
      </c>
      <c r="D580">
        <v>2137</v>
      </c>
      <c r="E580">
        <v>1</v>
      </c>
      <c r="F580" t="s">
        <v>143</v>
      </c>
      <c r="G580">
        <v>1</v>
      </c>
      <c r="I580">
        <v>0</v>
      </c>
      <c r="J5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80" s="43">
        <f>IFERROR(SUMIFS(Tabela10[Fod Worth],Tabela10[Drop],DropAnalityka[[#This Row],[Drop]],Tabela10[Grade],DropAnalityka[[#This Row],[Grade]])*DropAnalityka[[#This Row],[Quality/Quantity]],0)</f>
        <v>0</v>
      </c>
      <c r="L580" s="43">
        <f>IFERROR(SUMIFS(Tabela10[Exp Gain only 2*+],Tabela10[Drop],DropAnalityka[[#This Row],[Drop]],Tabela10[Grade],DropAnalityka[[#This Row],[Grade]])*DropAnalityka[[#This Row],[Quality/Quantity]],0)</f>
        <v>0</v>
      </c>
    </row>
    <row r="581" spans="1:12">
      <c r="A581" s="10" t="s">
        <v>36</v>
      </c>
      <c r="B581" t="s">
        <v>9</v>
      </c>
      <c r="C581">
        <v>7</v>
      </c>
      <c r="D581">
        <v>2588</v>
      </c>
      <c r="E581">
        <v>1</v>
      </c>
      <c r="F581" t="s">
        <v>252</v>
      </c>
      <c r="G581">
        <v>3</v>
      </c>
      <c r="H581" t="s">
        <v>270</v>
      </c>
      <c r="I581">
        <v>0</v>
      </c>
      <c r="J5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81" s="43">
        <f>IFERROR(SUMIFS(Tabela10[Fod Worth],Tabela10[Drop],DropAnalityka[[#This Row],[Drop]],Tabela10[Grade],DropAnalityka[[#This Row],[Grade]])*DropAnalityka[[#This Row],[Quality/Quantity]],0)</f>
        <v>0</v>
      </c>
      <c r="L581" s="43">
        <f>IFERROR(SUMIFS(Tabela10[Exp Gain only 2*+],Tabela10[Drop],DropAnalityka[[#This Row],[Drop]],Tabela10[Grade],DropAnalityka[[#This Row],[Grade]])*DropAnalityka[[#This Row],[Quality/Quantity]],0)</f>
        <v>0</v>
      </c>
    </row>
    <row r="582" spans="1:12">
      <c r="A582" s="10" t="s">
        <v>36</v>
      </c>
      <c r="B582" t="s">
        <v>9</v>
      </c>
      <c r="C582">
        <v>7</v>
      </c>
      <c r="D582">
        <v>2248</v>
      </c>
      <c r="E582">
        <v>1</v>
      </c>
      <c r="F582" t="s">
        <v>252</v>
      </c>
      <c r="G582">
        <v>2</v>
      </c>
      <c r="H582" t="s">
        <v>271</v>
      </c>
      <c r="I582">
        <v>0</v>
      </c>
      <c r="J5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82" s="43">
        <f>IFERROR(SUMIFS(Tabela10[Fod Worth],Tabela10[Drop],DropAnalityka[[#This Row],[Drop]],Tabela10[Grade],DropAnalityka[[#This Row],[Grade]])*DropAnalityka[[#This Row],[Quality/Quantity]],0)</f>
        <v>0</v>
      </c>
      <c r="L582" s="43">
        <f>IFERROR(SUMIFS(Tabela10[Exp Gain only 2*+],Tabela10[Drop],DropAnalityka[[#This Row],[Drop]],Tabela10[Grade],DropAnalityka[[#This Row],[Grade]])*DropAnalityka[[#This Row],[Quality/Quantity]],0)</f>
        <v>0</v>
      </c>
    </row>
    <row r="583" spans="1:12">
      <c r="A583" s="10" t="s">
        <v>172</v>
      </c>
      <c r="B583" t="s">
        <v>9</v>
      </c>
      <c r="C583">
        <v>6</v>
      </c>
      <c r="D583">
        <v>2097</v>
      </c>
      <c r="E583">
        <v>2</v>
      </c>
      <c r="F583" t="s">
        <v>258</v>
      </c>
      <c r="G583">
        <v>1</v>
      </c>
      <c r="H583" t="s">
        <v>27</v>
      </c>
      <c r="I583">
        <v>3307</v>
      </c>
      <c r="J583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583" s="43">
        <f>IFERROR(SUMIFS(Tabela10[Fod Worth],Tabela10[Drop],DropAnalityka[[#This Row],[Drop]],Tabela10[Grade],DropAnalityka[[#This Row],[Grade]])*DropAnalityka[[#This Row],[Quality/Quantity]],0)</f>
        <v>0</v>
      </c>
      <c r="L583" s="43">
        <f>IFERROR(SUMIFS(Tabela10[Exp Gain only 2*+],Tabela10[Drop],DropAnalityka[[#This Row],[Drop]],Tabela10[Grade],DropAnalityka[[#This Row],[Grade]])*DropAnalityka[[#This Row],[Quality/Quantity]],0)</f>
        <v>0</v>
      </c>
    </row>
    <row r="584" spans="1:12">
      <c r="A584" s="10" t="s">
        <v>31</v>
      </c>
      <c r="B584" t="s">
        <v>30</v>
      </c>
      <c r="C584">
        <v>11</v>
      </c>
      <c r="D584">
        <v>707</v>
      </c>
      <c r="E584">
        <v>1</v>
      </c>
      <c r="I584">
        <v>1824</v>
      </c>
      <c r="J58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84" s="43">
        <f>IFERROR(SUMIFS(Tabela10[Fod Worth],Tabela10[Drop],DropAnalityka[[#This Row],[Drop]],Tabela10[Grade],DropAnalityka[[#This Row],[Grade]])*DropAnalityka[[#This Row],[Quality/Quantity]],0)</f>
        <v>0</v>
      </c>
      <c r="L584" s="43">
        <f>IFERROR(SUMIFS(Tabela10[Exp Gain only 2*+],Tabela10[Drop],DropAnalityka[[#This Row],[Drop]],Tabela10[Grade],DropAnalityka[[#This Row],[Grade]])*DropAnalityka[[#This Row],[Quality/Quantity]],0)</f>
        <v>0</v>
      </c>
    </row>
    <row r="585" spans="1:12">
      <c r="A585" s="10" t="s">
        <v>31</v>
      </c>
      <c r="B585" t="s">
        <v>30</v>
      </c>
      <c r="C585">
        <v>11</v>
      </c>
      <c r="D585">
        <v>1504</v>
      </c>
      <c r="E585">
        <v>1</v>
      </c>
      <c r="F585" t="s">
        <v>57</v>
      </c>
      <c r="G585">
        <v>1</v>
      </c>
      <c r="H585" t="s">
        <v>12</v>
      </c>
      <c r="I585">
        <v>0</v>
      </c>
      <c r="J5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85" s="43">
        <f>IFERROR(SUMIFS(Tabela10[Fod Worth],Tabela10[Drop],DropAnalityka[[#This Row],[Drop]],Tabela10[Grade],DropAnalityka[[#This Row],[Grade]])*DropAnalityka[[#This Row],[Quality/Quantity]],0)</f>
        <v>11500</v>
      </c>
      <c r="L585" s="43">
        <f>IFERROR(SUMIFS(Tabela10[Exp Gain only 2*+],Tabela10[Drop],DropAnalityka[[#This Row],[Drop]],Tabela10[Grade],DropAnalityka[[#This Row],[Grade]])*DropAnalityka[[#This Row],[Quality/Quantity]],0)</f>
        <v>0</v>
      </c>
    </row>
    <row r="586" spans="1:12">
      <c r="A586" s="10" t="s">
        <v>31</v>
      </c>
      <c r="B586" t="s">
        <v>30</v>
      </c>
      <c r="C586">
        <v>11</v>
      </c>
      <c r="D586">
        <v>1442</v>
      </c>
      <c r="E586">
        <v>1</v>
      </c>
      <c r="F586" t="s">
        <v>57</v>
      </c>
      <c r="G586">
        <v>1</v>
      </c>
      <c r="H586" t="s">
        <v>12</v>
      </c>
      <c r="I586">
        <v>0</v>
      </c>
      <c r="J5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586" s="43">
        <f>IFERROR(SUMIFS(Tabela10[Fod Worth],Tabela10[Drop],DropAnalityka[[#This Row],[Drop]],Tabela10[Grade],DropAnalityka[[#This Row],[Grade]])*DropAnalityka[[#This Row],[Quality/Quantity]],0)</f>
        <v>11500</v>
      </c>
      <c r="L586" s="43">
        <f>IFERROR(SUMIFS(Tabela10[Exp Gain only 2*+],Tabela10[Drop],DropAnalityka[[#This Row],[Drop]],Tabela10[Grade],DropAnalityka[[#This Row],[Grade]])*DropAnalityka[[#This Row],[Quality/Quantity]],0)</f>
        <v>0</v>
      </c>
    </row>
    <row r="587" spans="1:12">
      <c r="A587" s="10" t="s">
        <v>31</v>
      </c>
      <c r="B587" t="s">
        <v>30</v>
      </c>
      <c r="C587">
        <v>11</v>
      </c>
      <c r="D587">
        <v>1510</v>
      </c>
      <c r="E587">
        <v>0</v>
      </c>
      <c r="I587">
        <v>1824</v>
      </c>
      <c r="J58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87" s="43">
        <f>IFERROR(SUMIFS(Tabela10[Fod Worth],Tabela10[Drop],DropAnalityka[[#This Row],[Drop]],Tabela10[Grade],DropAnalityka[[#This Row],[Grade]])*DropAnalityka[[#This Row],[Quality/Quantity]],0)</f>
        <v>0</v>
      </c>
      <c r="L587" s="43">
        <f>IFERROR(SUMIFS(Tabela10[Exp Gain only 2*+],Tabela10[Drop],DropAnalityka[[#This Row],[Drop]],Tabela10[Grade],DropAnalityka[[#This Row],[Grade]])*DropAnalityka[[#This Row],[Quality/Quantity]],0)</f>
        <v>0</v>
      </c>
    </row>
    <row r="588" spans="1:12">
      <c r="A588" s="10" t="s">
        <v>31</v>
      </c>
      <c r="B588" t="s">
        <v>30</v>
      </c>
      <c r="C588">
        <v>11</v>
      </c>
      <c r="D588">
        <v>1606</v>
      </c>
      <c r="E588">
        <v>0</v>
      </c>
      <c r="F588" t="s">
        <v>34</v>
      </c>
      <c r="G588">
        <v>2</v>
      </c>
      <c r="H588" t="s">
        <v>17</v>
      </c>
      <c r="I588">
        <v>0</v>
      </c>
      <c r="J58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588" s="43">
        <f>IFERROR(SUMIFS(Tabela10[Fod Worth],Tabela10[Drop],DropAnalityka[[#This Row],[Drop]],Tabela10[Grade],DropAnalityka[[#This Row],[Grade]])*DropAnalityka[[#This Row],[Quality/Quantity]],0)</f>
        <v>0</v>
      </c>
      <c r="L588" s="43">
        <f>IFERROR(SUMIFS(Tabela10[Exp Gain only 2*+],Tabela10[Drop],DropAnalityka[[#This Row],[Drop]],Tabela10[Grade],DropAnalityka[[#This Row],[Grade]])*DropAnalityka[[#This Row],[Quality/Quantity]],0)</f>
        <v>1600</v>
      </c>
    </row>
    <row r="589" spans="1:12">
      <c r="A589" s="10" t="s">
        <v>31</v>
      </c>
      <c r="B589" t="s">
        <v>30</v>
      </c>
      <c r="C589">
        <v>11</v>
      </c>
      <c r="D589">
        <v>1532</v>
      </c>
      <c r="E589">
        <v>1</v>
      </c>
      <c r="F589" t="s">
        <v>34</v>
      </c>
      <c r="G589">
        <v>2</v>
      </c>
      <c r="H589" t="s">
        <v>17</v>
      </c>
      <c r="I589">
        <v>0</v>
      </c>
      <c r="J589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589" s="43">
        <f>IFERROR(SUMIFS(Tabela10[Fod Worth],Tabela10[Drop],DropAnalityka[[#This Row],[Drop]],Tabela10[Grade],DropAnalityka[[#This Row],[Grade]])*DropAnalityka[[#This Row],[Quality/Quantity]],0)</f>
        <v>0</v>
      </c>
      <c r="L589" s="43">
        <f>IFERROR(SUMIFS(Tabela10[Exp Gain only 2*+],Tabela10[Drop],DropAnalityka[[#This Row],[Drop]],Tabela10[Grade],DropAnalityka[[#This Row],[Grade]])*DropAnalityka[[#This Row],[Quality/Quantity]],0)</f>
        <v>1600</v>
      </c>
    </row>
    <row r="590" spans="1:12">
      <c r="A590" s="10" t="s">
        <v>31</v>
      </c>
      <c r="B590" t="s">
        <v>30</v>
      </c>
      <c r="C590">
        <v>11</v>
      </c>
      <c r="D590">
        <v>1918</v>
      </c>
      <c r="E590">
        <v>0</v>
      </c>
      <c r="I590">
        <v>1824</v>
      </c>
      <c r="J59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90" s="43">
        <f>IFERROR(SUMIFS(Tabela10[Fod Worth],Tabela10[Drop],DropAnalityka[[#This Row],[Drop]],Tabela10[Grade],DropAnalityka[[#This Row],[Grade]])*DropAnalityka[[#This Row],[Quality/Quantity]],0)</f>
        <v>0</v>
      </c>
      <c r="L590" s="43">
        <f>IFERROR(SUMIFS(Tabela10[Exp Gain only 2*+],Tabela10[Drop],DropAnalityka[[#This Row],[Drop]],Tabela10[Grade],DropAnalityka[[#This Row],[Grade]])*DropAnalityka[[#This Row],[Quality/Quantity]],0)</f>
        <v>0</v>
      </c>
    </row>
    <row r="591" spans="1:12">
      <c r="A591" s="10" t="s">
        <v>31</v>
      </c>
      <c r="B591" t="s">
        <v>30</v>
      </c>
      <c r="C591">
        <v>11</v>
      </c>
      <c r="D591">
        <v>2175</v>
      </c>
      <c r="E591">
        <v>2</v>
      </c>
      <c r="F591" t="s">
        <v>34</v>
      </c>
      <c r="G591">
        <v>2</v>
      </c>
      <c r="H591" t="s">
        <v>17</v>
      </c>
      <c r="I591">
        <v>0</v>
      </c>
      <c r="J591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591" s="43">
        <f>IFERROR(SUMIFS(Tabela10[Fod Worth],Tabela10[Drop],DropAnalityka[[#This Row],[Drop]],Tabela10[Grade],DropAnalityka[[#This Row],[Grade]])*DropAnalityka[[#This Row],[Quality/Quantity]],0)</f>
        <v>0</v>
      </c>
      <c r="L591" s="43">
        <f>IFERROR(SUMIFS(Tabela10[Exp Gain only 2*+],Tabela10[Drop],DropAnalityka[[#This Row],[Drop]],Tabela10[Grade],DropAnalityka[[#This Row],[Grade]])*DropAnalityka[[#This Row],[Quality/Quantity]],0)</f>
        <v>1600</v>
      </c>
    </row>
    <row r="592" spans="1:12">
      <c r="A592" s="10" t="s">
        <v>31</v>
      </c>
      <c r="B592" t="s">
        <v>30</v>
      </c>
      <c r="C592">
        <v>11</v>
      </c>
      <c r="D592">
        <v>1952</v>
      </c>
      <c r="E592">
        <v>2</v>
      </c>
      <c r="I592">
        <v>3182</v>
      </c>
      <c r="J592">
        <f>DropAnalityka[[#This Row],[Sell Drop]]+IFERROR(SUMIFS(Tabela10[Drop Worth],Tabela10[Drop],DropAnalityka[[#This Row],[Drop]],Tabela10[Grade],DropAnalityka[[#This Row],[Grade]])*DropAnalityka[[#This Row],[Quality/Quantity]],0)</f>
        <v>3182</v>
      </c>
      <c r="K592" s="43">
        <f>IFERROR(SUMIFS(Tabela10[Fod Worth],Tabela10[Drop],DropAnalityka[[#This Row],[Drop]],Tabela10[Grade],DropAnalityka[[#This Row],[Grade]])*DropAnalityka[[#This Row],[Quality/Quantity]],0)</f>
        <v>0</v>
      </c>
      <c r="L592" s="43">
        <f>IFERROR(SUMIFS(Tabela10[Exp Gain only 2*+],Tabela10[Drop],DropAnalityka[[#This Row],[Drop]],Tabela10[Grade],DropAnalityka[[#This Row],[Grade]])*DropAnalityka[[#This Row],[Quality/Quantity]],0)</f>
        <v>0</v>
      </c>
    </row>
    <row r="593" spans="1:12">
      <c r="A593" s="10" t="s">
        <v>31</v>
      </c>
      <c r="B593" t="s">
        <v>30</v>
      </c>
      <c r="C593">
        <v>11</v>
      </c>
      <c r="D593">
        <v>2050</v>
      </c>
      <c r="E593">
        <v>0</v>
      </c>
      <c r="I593">
        <v>3427</v>
      </c>
      <c r="J593">
        <f>DropAnalityka[[#This Row],[Sell Drop]]+IFERROR(SUMIFS(Tabela10[Drop Worth],Tabela10[Drop],DropAnalityka[[#This Row],[Drop]],Tabela10[Grade],DropAnalityka[[#This Row],[Grade]])*DropAnalityka[[#This Row],[Quality/Quantity]],0)</f>
        <v>3427</v>
      </c>
      <c r="K593" s="43">
        <f>IFERROR(SUMIFS(Tabela10[Fod Worth],Tabela10[Drop],DropAnalityka[[#This Row],[Drop]],Tabela10[Grade],DropAnalityka[[#This Row],[Grade]])*DropAnalityka[[#This Row],[Quality/Quantity]],0)</f>
        <v>0</v>
      </c>
      <c r="L593" s="43">
        <f>IFERROR(SUMIFS(Tabela10[Exp Gain only 2*+],Tabela10[Drop],DropAnalityka[[#This Row],[Drop]],Tabela10[Grade],DropAnalityka[[#This Row],[Grade]])*DropAnalityka[[#This Row],[Quality/Quantity]],0)</f>
        <v>0</v>
      </c>
    </row>
    <row r="594" spans="1:12">
      <c r="A594" s="10" t="s">
        <v>31</v>
      </c>
      <c r="B594" t="s">
        <v>30</v>
      </c>
      <c r="C594">
        <v>11</v>
      </c>
      <c r="D594">
        <v>1235</v>
      </c>
      <c r="E594">
        <v>0</v>
      </c>
      <c r="I594">
        <v>1824</v>
      </c>
      <c r="J59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94" s="43">
        <f>IFERROR(SUMIFS(Tabela10[Fod Worth],Tabela10[Drop],DropAnalityka[[#This Row],[Drop]],Tabela10[Grade],DropAnalityka[[#This Row],[Grade]])*DropAnalityka[[#This Row],[Quality/Quantity]],0)</f>
        <v>0</v>
      </c>
      <c r="L594" s="43">
        <f>IFERROR(SUMIFS(Tabela10[Exp Gain only 2*+],Tabela10[Drop],DropAnalityka[[#This Row],[Drop]],Tabela10[Grade],DropAnalityka[[#This Row],[Grade]])*DropAnalityka[[#This Row],[Quality/Quantity]],0)</f>
        <v>0</v>
      </c>
    </row>
    <row r="595" spans="1:12">
      <c r="A595" s="10" t="s">
        <v>31</v>
      </c>
      <c r="B595" t="s">
        <v>30</v>
      </c>
      <c r="C595">
        <v>11</v>
      </c>
      <c r="D595">
        <v>1960</v>
      </c>
      <c r="E595">
        <v>0</v>
      </c>
      <c r="I595">
        <v>1824</v>
      </c>
      <c r="J59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95" s="43">
        <f>IFERROR(SUMIFS(Tabela10[Fod Worth],Tabela10[Drop],DropAnalityka[[#This Row],[Drop]],Tabela10[Grade],DropAnalityka[[#This Row],[Grade]])*DropAnalityka[[#This Row],[Quality/Quantity]],0)</f>
        <v>0</v>
      </c>
      <c r="L595" s="43">
        <f>IFERROR(SUMIFS(Tabela10[Exp Gain only 2*+],Tabela10[Drop],DropAnalityka[[#This Row],[Drop]],Tabela10[Grade],DropAnalityka[[#This Row],[Grade]])*DropAnalityka[[#This Row],[Quality/Quantity]],0)</f>
        <v>0</v>
      </c>
    </row>
    <row r="596" spans="1:12">
      <c r="A596" s="10" t="s">
        <v>31</v>
      </c>
      <c r="B596" t="s">
        <v>30</v>
      </c>
      <c r="C596">
        <v>11</v>
      </c>
      <c r="D596">
        <v>1632</v>
      </c>
      <c r="E596">
        <v>0</v>
      </c>
      <c r="I596">
        <v>1824</v>
      </c>
      <c r="J59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96" s="43">
        <f>IFERROR(SUMIFS(Tabela10[Fod Worth],Tabela10[Drop],DropAnalityka[[#This Row],[Drop]],Tabela10[Grade],DropAnalityka[[#This Row],[Grade]])*DropAnalityka[[#This Row],[Quality/Quantity]],0)</f>
        <v>0</v>
      </c>
      <c r="L596" s="43">
        <f>IFERROR(SUMIFS(Tabela10[Exp Gain only 2*+],Tabela10[Drop],DropAnalityka[[#This Row],[Drop]],Tabela10[Grade],DropAnalityka[[#This Row],[Grade]])*DropAnalityka[[#This Row],[Quality/Quantity]],0)</f>
        <v>0</v>
      </c>
    </row>
    <row r="597" spans="1:12">
      <c r="A597" s="10" t="s">
        <v>31</v>
      </c>
      <c r="B597" t="s">
        <v>30</v>
      </c>
      <c r="C597">
        <v>11</v>
      </c>
      <c r="D597">
        <v>1128</v>
      </c>
      <c r="E597">
        <v>0</v>
      </c>
      <c r="I597">
        <v>1824</v>
      </c>
      <c r="J59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597" s="43">
        <f>IFERROR(SUMIFS(Tabela10[Fod Worth],Tabela10[Drop],DropAnalityka[[#This Row],[Drop]],Tabela10[Grade],DropAnalityka[[#This Row],[Grade]])*DropAnalityka[[#This Row],[Quality/Quantity]],0)</f>
        <v>0</v>
      </c>
      <c r="L597" s="43">
        <f>IFERROR(SUMIFS(Tabela10[Exp Gain only 2*+],Tabela10[Drop],DropAnalityka[[#This Row],[Drop]],Tabela10[Grade],DropAnalityka[[#This Row],[Grade]])*DropAnalityka[[#This Row],[Quality/Quantity]],0)</f>
        <v>0</v>
      </c>
    </row>
    <row r="598" spans="1:12">
      <c r="A598" s="10" t="s">
        <v>31</v>
      </c>
      <c r="B598" t="s">
        <v>30</v>
      </c>
      <c r="C598">
        <v>11</v>
      </c>
      <c r="D598">
        <v>1864</v>
      </c>
      <c r="E598">
        <v>1</v>
      </c>
      <c r="F598" t="s">
        <v>34</v>
      </c>
      <c r="G598">
        <v>2</v>
      </c>
      <c r="H598" t="s">
        <v>17</v>
      </c>
      <c r="I598">
        <v>0</v>
      </c>
      <c r="J59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598" s="43">
        <f>IFERROR(SUMIFS(Tabela10[Fod Worth],Tabela10[Drop],DropAnalityka[[#This Row],[Drop]],Tabela10[Grade],DropAnalityka[[#This Row],[Grade]])*DropAnalityka[[#This Row],[Quality/Quantity]],0)</f>
        <v>0</v>
      </c>
      <c r="L598" s="43">
        <f>IFERROR(SUMIFS(Tabela10[Exp Gain only 2*+],Tabela10[Drop],DropAnalityka[[#This Row],[Drop]],Tabela10[Grade],DropAnalityka[[#This Row],[Grade]])*DropAnalityka[[#This Row],[Quality/Quantity]],0)</f>
        <v>1600</v>
      </c>
    </row>
    <row r="599" spans="1:12">
      <c r="A599" s="10" t="s">
        <v>31</v>
      </c>
      <c r="B599" t="s">
        <v>30</v>
      </c>
      <c r="C599">
        <v>11</v>
      </c>
      <c r="D599">
        <v>1372</v>
      </c>
      <c r="E599">
        <v>0</v>
      </c>
      <c r="I599">
        <v>2280</v>
      </c>
      <c r="J599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599" s="43">
        <f>IFERROR(SUMIFS(Tabela10[Fod Worth],Tabela10[Drop],DropAnalityka[[#This Row],[Drop]],Tabela10[Grade],DropAnalityka[[#This Row],[Grade]])*DropAnalityka[[#This Row],[Quality/Quantity]],0)</f>
        <v>0</v>
      </c>
      <c r="L599" s="43">
        <f>IFERROR(SUMIFS(Tabela10[Exp Gain only 2*+],Tabela10[Drop],DropAnalityka[[#This Row],[Drop]],Tabela10[Grade],DropAnalityka[[#This Row],[Grade]])*DropAnalityka[[#This Row],[Quality/Quantity]],0)</f>
        <v>0</v>
      </c>
    </row>
    <row r="600" spans="1:12">
      <c r="A600" s="10" t="s">
        <v>31</v>
      </c>
      <c r="B600" t="s">
        <v>30</v>
      </c>
      <c r="C600">
        <v>11</v>
      </c>
      <c r="D600">
        <v>1560</v>
      </c>
      <c r="E600">
        <v>3</v>
      </c>
      <c r="I600">
        <v>1824</v>
      </c>
      <c r="J60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00" s="43">
        <f>IFERROR(SUMIFS(Tabela10[Fod Worth],Tabela10[Drop],DropAnalityka[[#This Row],[Drop]],Tabela10[Grade],DropAnalityka[[#This Row],[Grade]])*DropAnalityka[[#This Row],[Quality/Quantity]],0)</f>
        <v>0</v>
      </c>
      <c r="L600" s="43">
        <f>IFERROR(SUMIFS(Tabela10[Exp Gain only 2*+],Tabela10[Drop],DropAnalityka[[#This Row],[Drop]],Tabela10[Grade],DropAnalityka[[#This Row],[Grade]])*DropAnalityka[[#This Row],[Quality/Quantity]],0)</f>
        <v>0</v>
      </c>
    </row>
    <row r="601" spans="1:12">
      <c r="A601" s="10" t="s">
        <v>31</v>
      </c>
      <c r="B601" t="s">
        <v>30</v>
      </c>
      <c r="C601">
        <v>11</v>
      </c>
      <c r="D601">
        <v>971</v>
      </c>
      <c r="E601">
        <v>1</v>
      </c>
      <c r="I601">
        <v>1824</v>
      </c>
      <c r="J60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01" s="43">
        <f>IFERROR(SUMIFS(Tabela10[Fod Worth],Tabela10[Drop],DropAnalityka[[#This Row],[Drop]],Tabela10[Grade],DropAnalityka[[#This Row],[Grade]])*DropAnalityka[[#This Row],[Quality/Quantity]],0)</f>
        <v>0</v>
      </c>
      <c r="L601" s="43">
        <f>IFERROR(SUMIFS(Tabela10[Exp Gain only 2*+],Tabela10[Drop],DropAnalityka[[#This Row],[Drop]],Tabela10[Grade],DropAnalityka[[#This Row],[Grade]])*DropAnalityka[[#This Row],[Quality/Quantity]],0)</f>
        <v>0</v>
      </c>
    </row>
    <row r="602" spans="1:12">
      <c r="A602" s="10" t="s">
        <v>31</v>
      </c>
      <c r="B602" t="s">
        <v>30</v>
      </c>
      <c r="C602">
        <v>11</v>
      </c>
      <c r="D602">
        <v>1750</v>
      </c>
      <c r="E602">
        <v>2</v>
      </c>
      <c r="I602">
        <v>2128</v>
      </c>
      <c r="J602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602" s="43">
        <f>IFERROR(SUMIFS(Tabela10[Fod Worth],Tabela10[Drop],DropAnalityka[[#This Row],[Drop]],Tabela10[Grade],DropAnalityka[[#This Row],[Grade]])*DropAnalityka[[#This Row],[Quality/Quantity]],0)</f>
        <v>0</v>
      </c>
      <c r="L602" s="43">
        <f>IFERROR(SUMIFS(Tabela10[Exp Gain only 2*+],Tabela10[Drop],DropAnalityka[[#This Row],[Drop]],Tabela10[Grade],DropAnalityka[[#This Row],[Grade]])*DropAnalityka[[#This Row],[Quality/Quantity]],0)</f>
        <v>0</v>
      </c>
    </row>
    <row r="603" spans="1:12">
      <c r="A603" s="10" t="s">
        <v>31</v>
      </c>
      <c r="B603" t="s">
        <v>30</v>
      </c>
      <c r="C603">
        <v>11</v>
      </c>
      <c r="D603">
        <v>586</v>
      </c>
      <c r="E603">
        <v>1</v>
      </c>
      <c r="F603" t="s">
        <v>57</v>
      </c>
      <c r="G603">
        <v>1</v>
      </c>
      <c r="H603" t="s">
        <v>12</v>
      </c>
      <c r="I603">
        <v>0</v>
      </c>
      <c r="J6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03" s="43">
        <f>IFERROR(SUMIFS(Tabela10[Fod Worth],Tabela10[Drop],DropAnalityka[[#This Row],[Drop]],Tabela10[Grade],DropAnalityka[[#This Row],[Grade]])*DropAnalityka[[#This Row],[Quality/Quantity]],0)</f>
        <v>11500</v>
      </c>
      <c r="L603" s="43">
        <f>IFERROR(SUMIFS(Tabela10[Exp Gain only 2*+],Tabela10[Drop],DropAnalityka[[#This Row],[Drop]],Tabela10[Grade],DropAnalityka[[#This Row],[Grade]])*DropAnalityka[[#This Row],[Quality/Quantity]],0)</f>
        <v>0</v>
      </c>
    </row>
    <row r="604" spans="1:12">
      <c r="A604" s="10" t="s">
        <v>31</v>
      </c>
      <c r="B604" t="s">
        <v>30</v>
      </c>
      <c r="C604">
        <v>11</v>
      </c>
      <c r="D604">
        <v>1287</v>
      </c>
      <c r="E604">
        <v>4</v>
      </c>
      <c r="F604" t="s">
        <v>34</v>
      </c>
      <c r="G604">
        <v>2</v>
      </c>
      <c r="H604" t="s">
        <v>17</v>
      </c>
      <c r="I604">
        <v>0</v>
      </c>
      <c r="J60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04" s="43">
        <f>IFERROR(SUMIFS(Tabela10[Fod Worth],Tabela10[Drop],DropAnalityka[[#This Row],[Drop]],Tabela10[Grade],DropAnalityka[[#This Row],[Grade]])*DropAnalityka[[#This Row],[Quality/Quantity]],0)</f>
        <v>0</v>
      </c>
      <c r="L604" s="43">
        <f>IFERROR(SUMIFS(Tabela10[Exp Gain only 2*+],Tabela10[Drop],DropAnalityka[[#This Row],[Drop]],Tabela10[Grade],DropAnalityka[[#This Row],[Grade]])*DropAnalityka[[#This Row],[Quality/Quantity]],0)</f>
        <v>1600</v>
      </c>
    </row>
    <row r="605" spans="1:12">
      <c r="A605" s="10" t="s">
        <v>31</v>
      </c>
      <c r="B605" t="s">
        <v>30</v>
      </c>
      <c r="C605">
        <v>11</v>
      </c>
      <c r="D605">
        <v>1485</v>
      </c>
      <c r="E605">
        <v>1</v>
      </c>
      <c r="F605" t="s">
        <v>34</v>
      </c>
      <c r="G605">
        <v>2</v>
      </c>
      <c r="H605" t="s">
        <v>17</v>
      </c>
      <c r="I605">
        <v>0</v>
      </c>
      <c r="J60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05" s="43">
        <f>IFERROR(SUMIFS(Tabela10[Fod Worth],Tabela10[Drop],DropAnalityka[[#This Row],[Drop]],Tabela10[Grade],DropAnalityka[[#This Row],[Grade]])*DropAnalityka[[#This Row],[Quality/Quantity]],0)</f>
        <v>0</v>
      </c>
      <c r="L605" s="43">
        <f>IFERROR(SUMIFS(Tabela10[Exp Gain only 2*+],Tabela10[Drop],DropAnalityka[[#This Row],[Drop]],Tabela10[Grade],DropAnalityka[[#This Row],[Grade]])*DropAnalityka[[#This Row],[Quality/Quantity]],0)</f>
        <v>1600</v>
      </c>
    </row>
    <row r="606" spans="1:12">
      <c r="A606" s="10" t="s">
        <v>31</v>
      </c>
      <c r="B606" t="s">
        <v>30</v>
      </c>
      <c r="C606">
        <v>11</v>
      </c>
      <c r="D606">
        <v>2328</v>
      </c>
      <c r="E606">
        <v>2</v>
      </c>
      <c r="I606">
        <v>1824</v>
      </c>
      <c r="J60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06" s="43">
        <f>IFERROR(SUMIFS(Tabela10[Fod Worth],Tabela10[Drop],DropAnalityka[[#This Row],[Drop]],Tabela10[Grade],DropAnalityka[[#This Row],[Grade]])*DropAnalityka[[#This Row],[Quality/Quantity]],0)</f>
        <v>0</v>
      </c>
      <c r="L606" s="43">
        <f>IFERROR(SUMIFS(Tabela10[Exp Gain only 2*+],Tabela10[Drop],DropAnalityka[[#This Row],[Drop]],Tabela10[Grade],DropAnalityka[[#This Row],[Grade]])*DropAnalityka[[#This Row],[Quality/Quantity]],0)</f>
        <v>0</v>
      </c>
    </row>
    <row r="607" spans="1:12">
      <c r="A607" s="10" t="s">
        <v>31</v>
      </c>
      <c r="B607" t="s">
        <v>30</v>
      </c>
      <c r="C607">
        <v>11</v>
      </c>
      <c r="D607">
        <v>1784</v>
      </c>
      <c r="E607">
        <v>1</v>
      </c>
      <c r="F607" t="s">
        <v>34</v>
      </c>
      <c r="G607">
        <v>2</v>
      </c>
      <c r="H607" t="s">
        <v>17</v>
      </c>
      <c r="I607">
        <v>0</v>
      </c>
      <c r="J60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07" s="43">
        <f>IFERROR(SUMIFS(Tabela10[Fod Worth],Tabela10[Drop],DropAnalityka[[#This Row],[Drop]],Tabela10[Grade],DropAnalityka[[#This Row],[Grade]])*DropAnalityka[[#This Row],[Quality/Quantity]],0)</f>
        <v>0</v>
      </c>
      <c r="L607" s="43">
        <f>IFERROR(SUMIFS(Tabela10[Exp Gain only 2*+],Tabela10[Drop],DropAnalityka[[#This Row],[Drop]],Tabela10[Grade],DropAnalityka[[#This Row],[Grade]])*DropAnalityka[[#This Row],[Quality/Quantity]],0)</f>
        <v>1600</v>
      </c>
    </row>
    <row r="608" spans="1:12">
      <c r="A608" s="10" t="s">
        <v>31</v>
      </c>
      <c r="B608" t="s">
        <v>30</v>
      </c>
      <c r="C608">
        <v>11</v>
      </c>
      <c r="D608">
        <v>2122</v>
      </c>
      <c r="E608">
        <v>2</v>
      </c>
      <c r="I608">
        <v>1976</v>
      </c>
      <c r="J608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608" s="43">
        <f>IFERROR(SUMIFS(Tabela10[Fod Worth],Tabela10[Drop],DropAnalityka[[#This Row],[Drop]],Tabela10[Grade],DropAnalityka[[#This Row],[Grade]])*DropAnalityka[[#This Row],[Quality/Quantity]],0)</f>
        <v>0</v>
      </c>
      <c r="L608" s="43">
        <f>IFERROR(SUMIFS(Tabela10[Exp Gain only 2*+],Tabela10[Drop],DropAnalityka[[#This Row],[Drop]],Tabela10[Grade],DropAnalityka[[#This Row],[Grade]])*DropAnalityka[[#This Row],[Quality/Quantity]],0)</f>
        <v>0</v>
      </c>
    </row>
    <row r="609" spans="1:12">
      <c r="A609" s="10" t="s">
        <v>31</v>
      </c>
      <c r="B609" t="s">
        <v>30</v>
      </c>
      <c r="C609">
        <v>11</v>
      </c>
      <c r="D609">
        <v>1311</v>
      </c>
      <c r="E609">
        <v>0</v>
      </c>
      <c r="I609">
        <v>1824</v>
      </c>
      <c r="J60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09" s="43">
        <f>IFERROR(SUMIFS(Tabela10[Fod Worth],Tabela10[Drop],DropAnalityka[[#This Row],[Drop]],Tabela10[Grade],DropAnalityka[[#This Row],[Grade]])*DropAnalityka[[#This Row],[Quality/Quantity]],0)</f>
        <v>0</v>
      </c>
      <c r="L609" s="43">
        <f>IFERROR(SUMIFS(Tabela10[Exp Gain only 2*+],Tabela10[Drop],DropAnalityka[[#This Row],[Drop]],Tabela10[Grade],DropAnalityka[[#This Row],[Grade]])*DropAnalityka[[#This Row],[Quality/Quantity]],0)</f>
        <v>0</v>
      </c>
    </row>
    <row r="610" spans="1:12">
      <c r="A610" s="10" t="s">
        <v>31</v>
      </c>
      <c r="B610" t="s">
        <v>30</v>
      </c>
      <c r="C610">
        <v>11</v>
      </c>
      <c r="D610">
        <v>1185</v>
      </c>
      <c r="E610">
        <v>0</v>
      </c>
      <c r="F610" t="s">
        <v>57</v>
      </c>
      <c r="G610">
        <v>1</v>
      </c>
      <c r="H610" t="s">
        <v>12</v>
      </c>
      <c r="I610">
        <v>0</v>
      </c>
      <c r="J6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10" s="43">
        <f>IFERROR(SUMIFS(Tabela10[Fod Worth],Tabela10[Drop],DropAnalityka[[#This Row],[Drop]],Tabela10[Grade],DropAnalityka[[#This Row],[Grade]])*DropAnalityka[[#This Row],[Quality/Quantity]],0)</f>
        <v>11500</v>
      </c>
      <c r="L610" s="43">
        <f>IFERROR(SUMIFS(Tabela10[Exp Gain only 2*+],Tabela10[Drop],DropAnalityka[[#This Row],[Drop]],Tabela10[Grade],DropAnalityka[[#This Row],[Grade]])*DropAnalityka[[#This Row],[Quality/Quantity]],0)</f>
        <v>0</v>
      </c>
    </row>
    <row r="611" spans="1:12">
      <c r="A611" s="10" t="s">
        <v>31</v>
      </c>
      <c r="B611" t="s">
        <v>30</v>
      </c>
      <c r="C611">
        <v>11</v>
      </c>
      <c r="D611">
        <v>1211</v>
      </c>
      <c r="E611">
        <v>1</v>
      </c>
      <c r="I611">
        <v>2937</v>
      </c>
      <c r="J61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611" s="43">
        <f>IFERROR(SUMIFS(Tabela10[Fod Worth],Tabela10[Drop],DropAnalityka[[#This Row],[Drop]],Tabela10[Grade],DropAnalityka[[#This Row],[Grade]])*DropAnalityka[[#This Row],[Quality/Quantity]],0)</f>
        <v>0</v>
      </c>
      <c r="L611" s="43">
        <f>IFERROR(SUMIFS(Tabela10[Exp Gain only 2*+],Tabela10[Drop],DropAnalityka[[#This Row],[Drop]],Tabela10[Grade],DropAnalityka[[#This Row],[Grade]])*DropAnalityka[[#This Row],[Quality/Quantity]],0)</f>
        <v>0</v>
      </c>
    </row>
    <row r="612" spans="1:12">
      <c r="A612" s="10" t="s">
        <v>31</v>
      </c>
      <c r="B612" t="s">
        <v>30</v>
      </c>
      <c r="C612">
        <v>11</v>
      </c>
      <c r="D612">
        <v>1078</v>
      </c>
      <c r="E612">
        <v>1</v>
      </c>
      <c r="I612">
        <v>1824</v>
      </c>
      <c r="J61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12" s="43">
        <f>IFERROR(SUMIFS(Tabela10[Fod Worth],Tabela10[Drop],DropAnalityka[[#This Row],[Drop]],Tabela10[Grade],DropAnalityka[[#This Row],[Grade]])*DropAnalityka[[#This Row],[Quality/Quantity]],0)</f>
        <v>0</v>
      </c>
      <c r="L612" s="43">
        <f>IFERROR(SUMIFS(Tabela10[Exp Gain only 2*+],Tabela10[Drop],DropAnalityka[[#This Row],[Drop]],Tabela10[Grade],DropAnalityka[[#This Row],[Grade]])*DropAnalityka[[#This Row],[Quality/Quantity]],0)</f>
        <v>0</v>
      </c>
    </row>
    <row r="613" spans="1:12">
      <c r="A613" s="10" t="s">
        <v>31</v>
      </c>
      <c r="B613" t="s">
        <v>30</v>
      </c>
      <c r="C613">
        <v>11</v>
      </c>
      <c r="D613">
        <v>1832</v>
      </c>
      <c r="E613">
        <v>1</v>
      </c>
      <c r="I613">
        <v>1824</v>
      </c>
      <c r="J61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13" s="43">
        <f>IFERROR(SUMIFS(Tabela10[Fod Worth],Tabela10[Drop],DropAnalityka[[#This Row],[Drop]],Tabela10[Grade],DropAnalityka[[#This Row],[Grade]])*DropAnalityka[[#This Row],[Quality/Quantity]],0)</f>
        <v>0</v>
      </c>
      <c r="L613" s="43">
        <f>IFERROR(SUMIFS(Tabela10[Exp Gain only 2*+],Tabela10[Drop],DropAnalityka[[#This Row],[Drop]],Tabela10[Grade],DropAnalityka[[#This Row],[Grade]])*DropAnalityka[[#This Row],[Quality/Quantity]],0)</f>
        <v>0</v>
      </c>
    </row>
    <row r="614" spans="1:12">
      <c r="A614" s="10" t="s">
        <v>31</v>
      </c>
      <c r="B614" t="s">
        <v>30</v>
      </c>
      <c r="C614">
        <v>11</v>
      </c>
      <c r="D614">
        <v>1974</v>
      </c>
      <c r="E614">
        <v>1</v>
      </c>
      <c r="I614">
        <v>3427</v>
      </c>
      <c r="J614">
        <f>DropAnalityka[[#This Row],[Sell Drop]]+IFERROR(SUMIFS(Tabela10[Drop Worth],Tabela10[Drop],DropAnalityka[[#This Row],[Drop]],Tabela10[Grade],DropAnalityka[[#This Row],[Grade]])*DropAnalityka[[#This Row],[Quality/Quantity]],0)</f>
        <v>3427</v>
      </c>
      <c r="K614" s="43">
        <f>IFERROR(SUMIFS(Tabela10[Fod Worth],Tabela10[Drop],DropAnalityka[[#This Row],[Drop]],Tabela10[Grade],DropAnalityka[[#This Row],[Grade]])*DropAnalityka[[#This Row],[Quality/Quantity]],0)</f>
        <v>0</v>
      </c>
      <c r="L614" s="43">
        <f>IFERROR(SUMIFS(Tabela10[Exp Gain only 2*+],Tabela10[Drop],DropAnalityka[[#This Row],[Drop]],Tabela10[Grade],DropAnalityka[[#This Row],[Grade]])*DropAnalityka[[#This Row],[Quality/Quantity]],0)</f>
        <v>0</v>
      </c>
    </row>
    <row r="615" spans="1:12">
      <c r="A615" s="10" t="s">
        <v>8</v>
      </c>
      <c r="B615" t="s">
        <v>32</v>
      </c>
      <c r="C615">
        <v>3</v>
      </c>
      <c r="D615">
        <v>1628</v>
      </c>
      <c r="E615">
        <v>2</v>
      </c>
      <c r="I615">
        <v>1159</v>
      </c>
      <c r="J61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15" s="43">
        <f>IFERROR(SUMIFS(Tabela10[Fod Worth],Tabela10[Drop],DropAnalityka[[#This Row],[Drop]],Tabela10[Grade],DropAnalityka[[#This Row],[Grade]])*DropAnalityka[[#This Row],[Quality/Quantity]],0)</f>
        <v>0</v>
      </c>
      <c r="L615" s="43">
        <f>IFERROR(SUMIFS(Tabela10[Exp Gain only 2*+],Tabela10[Drop],DropAnalityka[[#This Row],[Drop]],Tabela10[Grade],DropAnalityka[[#This Row],[Grade]])*DropAnalityka[[#This Row],[Quality/Quantity]],0)</f>
        <v>0</v>
      </c>
    </row>
    <row r="616" spans="1:12">
      <c r="A616" s="10" t="s">
        <v>8</v>
      </c>
      <c r="B616" t="s">
        <v>32</v>
      </c>
      <c r="C616">
        <v>3</v>
      </c>
      <c r="D616">
        <v>1636</v>
      </c>
      <c r="E616">
        <v>2</v>
      </c>
      <c r="I616">
        <v>1159</v>
      </c>
      <c r="J616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16" s="43">
        <f>IFERROR(SUMIFS(Tabela10[Fod Worth],Tabela10[Drop],DropAnalityka[[#This Row],[Drop]],Tabela10[Grade],DropAnalityka[[#This Row],[Grade]])*DropAnalityka[[#This Row],[Quality/Quantity]],0)</f>
        <v>0</v>
      </c>
      <c r="L616" s="43">
        <f>IFERROR(SUMIFS(Tabela10[Exp Gain only 2*+],Tabela10[Drop],DropAnalityka[[#This Row],[Drop]],Tabela10[Grade],DropAnalityka[[#This Row],[Grade]])*DropAnalityka[[#This Row],[Quality/Quantity]],0)</f>
        <v>0</v>
      </c>
    </row>
    <row r="617" spans="1:12">
      <c r="A617" s="10" t="s">
        <v>8</v>
      </c>
      <c r="B617" t="s">
        <v>32</v>
      </c>
      <c r="C617">
        <v>3</v>
      </c>
      <c r="D617">
        <v>2219</v>
      </c>
      <c r="E617">
        <v>0</v>
      </c>
      <c r="I617">
        <v>1159</v>
      </c>
      <c r="J617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17" s="43">
        <f>IFERROR(SUMIFS(Tabela10[Fod Worth],Tabela10[Drop],DropAnalityka[[#This Row],[Drop]],Tabela10[Grade],DropAnalityka[[#This Row],[Grade]])*DropAnalityka[[#This Row],[Quality/Quantity]],0)</f>
        <v>0</v>
      </c>
      <c r="L617" s="43">
        <f>IFERROR(SUMIFS(Tabela10[Exp Gain only 2*+],Tabela10[Drop],DropAnalityka[[#This Row],[Drop]],Tabela10[Grade],DropAnalityka[[#This Row],[Grade]])*DropAnalityka[[#This Row],[Quality/Quantity]],0)</f>
        <v>0</v>
      </c>
    </row>
    <row r="618" spans="1:12">
      <c r="A618" s="10" t="s">
        <v>31</v>
      </c>
      <c r="B618" t="s">
        <v>30</v>
      </c>
      <c r="C618">
        <v>11</v>
      </c>
      <c r="D618">
        <v>2000</v>
      </c>
      <c r="E618">
        <v>2</v>
      </c>
      <c r="F618" t="s">
        <v>34</v>
      </c>
      <c r="G618">
        <v>2</v>
      </c>
      <c r="H618" t="s">
        <v>17</v>
      </c>
      <c r="I618">
        <v>0</v>
      </c>
      <c r="J61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18" s="43">
        <f>IFERROR(SUMIFS(Tabela10[Fod Worth],Tabela10[Drop],DropAnalityka[[#This Row],[Drop]],Tabela10[Grade],DropAnalityka[[#This Row],[Grade]])*DropAnalityka[[#This Row],[Quality/Quantity]],0)</f>
        <v>0</v>
      </c>
      <c r="L618" s="43">
        <f>IFERROR(SUMIFS(Tabela10[Exp Gain only 2*+],Tabela10[Drop],DropAnalityka[[#This Row],[Drop]],Tabela10[Grade],DropAnalityka[[#This Row],[Grade]])*DropAnalityka[[#This Row],[Quality/Quantity]],0)</f>
        <v>1600</v>
      </c>
    </row>
    <row r="619" spans="1:12">
      <c r="A619" s="10" t="s">
        <v>31</v>
      </c>
      <c r="B619" t="s">
        <v>30</v>
      </c>
      <c r="C619">
        <v>11</v>
      </c>
      <c r="D619">
        <v>1918</v>
      </c>
      <c r="E619">
        <v>0</v>
      </c>
      <c r="F619" t="s">
        <v>34</v>
      </c>
      <c r="G619">
        <v>2</v>
      </c>
      <c r="H619" t="s">
        <v>17</v>
      </c>
      <c r="I619">
        <v>0</v>
      </c>
      <c r="J619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19" s="43">
        <f>IFERROR(SUMIFS(Tabela10[Fod Worth],Tabela10[Drop],DropAnalityka[[#This Row],[Drop]],Tabela10[Grade],DropAnalityka[[#This Row],[Grade]])*DropAnalityka[[#This Row],[Quality/Quantity]],0)</f>
        <v>0</v>
      </c>
      <c r="L619" s="43">
        <f>IFERROR(SUMIFS(Tabela10[Exp Gain only 2*+],Tabela10[Drop],DropAnalityka[[#This Row],[Drop]],Tabela10[Grade],DropAnalityka[[#This Row],[Grade]])*DropAnalityka[[#This Row],[Quality/Quantity]],0)</f>
        <v>1600</v>
      </c>
    </row>
    <row r="620" spans="1:12">
      <c r="A620" s="10" t="s">
        <v>31</v>
      </c>
      <c r="B620" t="s">
        <v>30</v>
      </c>
      <c r="C620">
        <v>11</v>
      </c>
      <c r="D620">
        <v>1961</v>
      </c>
      <c r="E620">
        <v>1</v>
      </c>
      <c r="F620" t="s">
        <v>34</v>
      </c>
      <c r="G620">
        <v>2</v>
      </c>
      <c r="H620" t="s">
        <v>17</v>
      </c>
      <c r="I620">
        <v>0</v>
      </c>
      <c r="J62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20" s="43">
        <f>IFERROR(SUMIFS(Tabela10[Fod Worth],Tabela10[Drop],DropAnalityka[[#This Row],[Drop]],Tabela10[Grade],DropAnalityka[[#This Row],[Grade]])*DropAnalityka[[#This Row],[Quality/Quantity]],0)</f>
        <v>0</v>
      </c>
      <c r="L620" s="43">
        <f>IFERROR(SUMIFS(Tabela10[Exp Gain only 2*+],Tabela10[Drop],DropAnalityka[[#This Row],[Drop]],Tabela10[Grade],DropAnalityka[[#This Row],[Grade]])*DropAnalityka[[#This Row],[Quality/Quantity]],0)</f>
        <v>1600</v>
      </c>
    </row>
    <row r="621" spans="1:12">
      <c r="A621" s="10" t="s">
        <v>31</v>
      </c>
      <c r="B621" t="s">
        <v>30</v>
      </c>
      <c r="C621">
        <v>11</v>
      </c>
      <c r="D621">
        <v>1686</v>
      </c>
      <c r="E621">
        <v>1</v>
      </c>
      <c r="I621">
        <v>1824</v>
      </c>
      <c r="J62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1" s="43">
        <f>IFERROR(SUMIFS(Tabela10[Fod Worth],Tabela10[Drop],DropAnalityka[[#This Row],[Drop]],Tabela10[Grade],DropAnalityka[[#This Row],[Grade]])*DropAnalityka[[#This Row],[Quality/Quantity]],0)</f>
        <v>0</v>
      </c>
      <c r="L621" s="43">
        <f>IFERROR(SUMIFS(Tabela10[Exp Gain only 2*+],Tabela10[Drop],DropAnalityka[[#This Row],[Drop]],Tabela10[Grade],DropAnalityka[[#This Row],[Grade]])*DropAnalityka[[#This Row],[Quality/Quantity]],0)</f>
        <v>0</v>
      </c>
    </row>
    <row r="622" spans="1:12">
      <c r="A622" s="10" t="s">
        <v>31</v>
      </c>
      <c r="B622" t="s">
        <v>30</v>
      </c>
      <c r="C622">
        <v>11</v>
      </c>
      <c r="D622">
        <v>1336</v>
      </c>
      <c r="E622">
        <v>1</v>
      </c>
      <c r="I622">
        <v>1976</v>
      </c>
      <c r="J622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622" s="43">
        <f>IFERROR(SUMIFS(Tabela10[Fod Worth],Tabela10[Drop],DropAnalityka[[#This Row],[Drop]],Tabela10[Grade],DropAnalityka[[#This Row],[Grade]])*DropAnalityka[[#This Row],[Quality/Quantity]],0)</f>
        <v>0</v>
      </c>
      <c r="L622" s="43">
        <f>IFERROR(SUMIFS(Tabela10[Exp Gain only 2*+],Tabela10[Drop],DropAnalityka[[#This Row],[Drop]],Tabela10[Grade],DropAnalityka[[#This Row],[Grade]])*DropAnalityka[[#This Row],[Quality/Quantity]],0)</f>
        <v>0</v>
      </c>
    </row>
    <row r="623" spans="1:12">
      <c r="A623" s="10" t="s">
        <v>31</v>
      </c>
      <c r="B623" t="s">
        <v>30</v>
      </c>
      <c r="C623">
        <v>11</v>
      </c>
      <c r="D623">
        <v>2019</v>
      </c>
      <c r="E623">
        <v>2</v>
      </c>
      <c r="I623">
        <v>1976</v>
      </c>
      <c r="J623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623" s="43">
        <f>IFERROR(SUMIFS(Tabela10[Fod Worth],Tabela10[Drop],DropAnalityka[[#This Row],[Drop]],Tabela10[Grade],DropAnalityka[[#This Row],[Grade]])*DropAnalityka[[#This Row],[Quality/Quantity]],0)</f>
        <v>0</v>
      </c>
      <c r="L623" s="43">
        <f>IFERROR(SUMIFS(Tabela10[Exp Gain only 2*+],Tabela10[Drop],DropAnalityka[[#This Row],[Drop]],Tabela10[Grade],DropAnalityka[[#This Row],[Grade]])*DropAnalityka[[#This Row],[Quality/Quantity]],0)</f>
        <v>0</v>
      </c>
    </row>
    <row r="624" spans="1:12">
      <c r="A624" s="10" t="s">
        <v>31</v>
      </c>
      <c r="B624" t="s">
        <v>30</v>
      </c>
      <c r="C624">
        <v>11</v>
      </c>
      <c r="D624">
        <v>2327</v>
      </c>
      <c r="E624">
        <v>1</v>
      </c>
      <c r="I624">
        <v>1824</v>
      </c>
      <c r="J62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4" s="43">
        <f>IFERROR(SUMIFS(Tabela10[Fod Worth],Tabela10[Drop],DropAnalityka[[#This Row],[Drop]],Tabela10[Grade],DropAnalityka[[#This Row],[Grade]])*DropAnalityka[[#This Row],[Quality/Quantity]],0)</f>
        <v>0</v>
      </c>
      <c r="L624" s="43">
        <f>IFERROR(SUMIFS(Tabela10[Exp Gain only 2*+],Tabela10[Drop],DropAnalityka[[#This Row],[Drop]],Tabela10[Grade],DropAnalityka[[#This Row],[Grade]])*DropAnalityka[[#This Row],[Quality/Quantity]],0)</f>
        <v>0</v>
      </c>
    </row>
    <row r="625" spans="1:12">
      <c r="A625" s="10" t="s">
        <v>31</v>
      </c>
      <c r="B625" t="s">
        <v>30</v>
      </c>
      <c r="C625">
        <v>11</v>
      </c>
      <c r="D625">
        <v>1196</v>
      </c>
      <c r="E625">
        <v>0</v>
      </c>
      <c r="I625">
        <v>1824</v>
      </c>
      <c r="J62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5" s="43">
        <f>IFERROR(SUMIFS(Tabela10[Fod Worth],Tabela10[Drop],DropAnalityka[[#This Row],[Drop]],Tabela10[Grade],DropAnalityka[[#This Row],[Grade]])*DropAnalityka[[#This Row],[Quality/Quantity]],0)</f>
        <v>0</v>
      </c>
      <c r="L625" s="43">
        <f>IFERROR(SUMIFS(Tabela10[Exp Gain only 2*+],Tabela10[Drop],DropAnalityka[[#This Row],[Drop]],Tabela10[Grade],DropAnalityka[[#This Row],[Grade]])*DropAnalityka[[#This Row],[Quality/Quantity]],0)</f>
        <v>0</v>
      </c>
    </row>
    <row r="626" spans="1:12">
      <c r="A626" s="10" t="s">
        <v>31</v>
      </c>
      <c r="B626" t="s">
        <v>30</v>
      </c>
      <c r="C626">
        <v>11</v>
      </c>
      <c r="D626">
        <v>1637</v>
      </c>
      <c r="E626">
        <v>0</v>
      </c>
      <c r="I626">
        <v>2937</v>
      </c>
      <c r="J626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626" s="43">
        <f>IFERROR(SUMIFS(Tabela10[Fod Worth],Tabela10[Drop],DropAnalityka[[#This Row],[Drop]],Tabela10[Grade],DropAnalityka[[#This Row],[Grade]])*DropAnalityka[[#This Row],[Quality/Quantity]],0)</f>
        <v>0</v>
      </c>
      <c r="L626" s="43">
        <f>IFERROR(SUMIFS(Tabela10[Exp Gain only 2*+],Tabela10[Drop],DropAnalityka[[#This Row],[Drop]],Tabela10[Grade],DropAnalityka[[#This Row],[Grade]])*DropAnalityka[[#This Row],[Quality/Quantity]],0)</f>
        <v>0</v>
      </c>
    </row>
    <row r="627" spans="1:12">
      <c r="A627" s="10" t="s">
        <v>31</v>
      </c>
      <c r="B627" t="s">
        <v>30</v>
      </c>
      <c r="C627">
        <v>11</v>
      </c>
      <c r="D627">
        <v>1391</v>
      </c>
      <c r="E627">
        <v>2</v>
      </c>
      <c r="I627">
        <v>1824</v>
      </c>
      <c r="J62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7" s="43">
        <f>IFERROR(SUMIFS(Tabela10[Fod Worth],Tabela10[Drop],DropAnalityka[[#This Row],[Drop]],Tabela10[Grade],DropAnalityka[[#This Row],[Grade]])*DropAnalityka[[#This Row],[Quality/Quantity]],0)</f>
        <v>0</v>
      </c>
      <c r="L627" s="43">
        <f>IFERROR(SUMIFS(Tabela10[Exp Gain only 2*+],Tabela10[Drop],DropAnalityka[[#This Row],[Drop]],Tabela10[Grade],DropAnalityka[[#This Row],[Grade]])*DropAnalityka[[#This Row],[Quality/Quantity]],0)</f>
        <v>0</v>
      </c>
    </row>
    <row r="628" spans="1:12">
      <c r="A628" s="10" t="s">
        <v>31</v>
      </c>
      <c r="B628" t="s">
        <v>30</v>
      </c>
      <c r="C628">
        <v>11</v>
      </c>
      <c r="D628">
        <v>895</v>
      </c>
      <c r="E628">
        <v>0</v>
      </c>
      <c r="I628">
        <v>1824</v>
      </c>
      <c r="J628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8" s="43">
        <f>IFERROR(SUMIFS(Tabela10[Fod Worth],Tabela10[Drop],DropAnalityka[[#This Row],[Drop]],Tabela10[Grade],DropAnalityka[[#This Row],[Grade]])*DropAnalityka[[#This Row],[Quality/Quantity]],0)</f>
        <v>0</v>
      </c>
      <c r="L628" s="43">
        <f>IFERROR(SUMIFS(Tabela10[Exp Gain only 2*+],Tabela10[Drop],DropAnalityka[[#This Row],[Drop]],Tabela10[Grade],DropAnalityka[[#This Row],[Grade]])*DropAnalityka[[#This Row],[Quality/Quantity]],0)</f>
        <v>0</v>
      </c>
    </row>
    <row r="629" spans="1:12">
      <c r="A629" s="10" t="s">
        <v>31</v>
      </c>
      <c r="B629" t="s">
        <v>30</v>
      </c>
      <c r="C629">
        <v>11</v>
      </c>
      <c r="D629">
        <v>1297</v>
      </c>
      <c r="E629">
        <v>0</v>
      </c>
      <c r="I629">
        <v>1824</v>
      </c>
      <c r="J62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29" s="43">
        <f>IFERROR(SUMIFS(Tabela10[Fod Worth],Tabela10[Drop],DropAnalityka[[#This Row],[Drop]],Tabela10[Grade],DropAnalityka[[#This Row],[Grade]])*DropAnalityka[[#This Row],[Quality/Quantity]],0)</f>
        <v>0</v>
      </c>
      <c r="L629" s="43">
        <f>IFERROR(SUMIFS(Tabela10[Exp Gain only 2*+],Tabela10[Drop],DropAnalityka[[#This Row],[Drop]],Tabela10[Grade],DropAnalityka[[#This Row],[Grade]])*DropAnalityka[[#This Row],[Quality/Quantity]],0)</f>
        <v>0</v>
      </c>
    </row>
    <row r="630" spans="1:12">
      <c r="A630" s="10" t="s">
        <v>31</v>
      </c>
      <c r="B630" t="s">
        <v>30</v>
      </c>
      <c r="C630">
        <v>11</v>
      </c>
      <c r="D630">
        <v>1906</v>
      </c>
      <c r="E630">
        <v>1</v>
      </c>
      <c r="I630">
        <v>1824</v>
      </c>
      <c r="J63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30" s="43">
        <f>IFERROR(SUMIFS(Tabela10[Fod Worth],Tabela10[Drop],DropAnalityka[[#This Row],[Drop]],Tabela10[Grade],DropAnalityka[[#This Row],[Grade]])*DropAnalityka[[#This Row],[Quality/Quantity]],0)</f>
        <v>0</v>
      </c>
      <c r="L630" s="43">
        <f>IFERROR(SUMIFS(Tabela10[Exp Gain only 2*+],Tabela10[Drop],DropAnalityka[[#This Row],[Drop]],Tabela10[Grade],DropAnalityka[[#This Row],[Grade]])*DropAnalityka[[#This Row],[Quality/Quantity]],0)</f>
        <v>0</v>
      </c>
    </row>
    <row r="631" spans="1:12">
      <c r="A631" s="10" t="s">
        <v>31</v>
      </c>
      <c r="B631" t="s">
        <v>30</v>
      </c>
      <c r="C631">
        <v>11</v>
      </c>
      <c r="D631">
        <v>1554</v>
      </c>
      <c r="E631">
        <v>0</v>
      </c>
      <c r="I631">
        <v>2937</v>
      </c>
      <c r="J63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631" s="43">
        <f>IFERROR(SUMIFS(Tabela10[Fod Worth],Tabela10[Drop],DropAnalityka[[#This Row],[Drop]],Tabela10[Grade],DropAnalityka[[#This Row],[Grade]])*DropAnalityka[[#This Row],[Quality/Quantity]],0)</f>
        <v>0</v>
      </c>
      <c r="L631" s="43">
        <f>IFERROR(SUMIFS(Tabela10[Exp Gain only 2*+],Tabela10[Drop],DropAnalityka[[#This Row],[Drop]],Tabela10[Grade],DropAnalityka[[#This Row],[Grade]])*DropAnalityka[[#This Row],[Quality/Quantity]],0)</f>
        <v>0</v>
      </c>
    </row>
    <row r="632" spans="1:12">
      <c r="A632" s="10" t="s">
        <v>31</v>
      </c>
      <c r="B632" t="s">
        <v>30</v>
      </c>
      <c r="C632">
        <v>11</v>
      </c>
      <c r="D632">
        <v>1561</v>
      </c>
      <c r="E632">
        <v>0</v>
      </c>
      <c r="I632">
        <v>3182</v>
      </c>
      <c r="J632">
        <f>DropAnalityka[[#This Row],[Sell Drop]]+IFERROR(SUMIFS(Tabela10[Drop Worth],Tabela10[Drop],DropAnalityka[[#This Row],[Drop]],Tabela10[Grade],DropAnalityka[[#This Row],[Grade]])*DropAnalityka[[#This Row],[Quality/Quantity]],0)</f>
        <v>3182</v>
      </c>
      <c r="K632" s="43">
        <f>IFERROR(SUMIFS(Tabela10[Fod Worth],Tabela10[Drop],DropAnalityka[[#This Row],[Drop]],Tabela10[Grade],DropAnalityka[[#This Row],[Grade]])*DropAnalityka[[#This Row],[Quality/Quantity]],0)</f>
        <v>0</v>
      </c>
      <c r="L632" s="43">
        <f>IFERROR(SUMIFS(Tabela10[Exp Gain only 2*+],Tabela10[Drop],DropAnalityka[[#This Row],[Drop]],Tabela10[Grade],DropAnalityka[[#This Row],[Grade]])*DropAnalityka[[#This Row],[Quality/Quantity]],0)</f>
        <v>0</v>
      </c>
    </row>
    <row r="633" spans="1:12">
      <c r="A633" s="10" t="s">
        <v>31</v>
      </c>
      <c r="B633" t="s">
        <v>30</v>
      </c>
      <c r="C633">
        <v>11</v>
      </c>
      <c r="D633">
        <v>1059</v>
      </c>
      <c r="E633">
        <v>0</v>
      </c>
      <c r="I633">
        <v>2128</v>
      </c>
      <c r="J633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633" s="43">
        <f>IFERROR(SUMIFS(Tabela10[Fod Worth],Tabela10[Drop],DropAnalityka[[#This Row],[Drop]],Tabela10[Grade],DropAnalityka[[#This Row],[Grade]])*DropAnalityka[[#This Row],[Quality/Quantity]],0)</f>
        <v>0</v>
      </c>
      <c r="L633" s="43">
        <f>IFERROR(SUMIFS(Tabela10[Exp Gain only 2*+],Tabela10[Drop],DropAnalityka[[#This Row],[Drop]],Tabela10[Grade],DropAnalityka[[#This Row],[Grade]])*DropAnalityka[[#This Row],[Quality/Quantity]],0)</f>
        <v>0</v>
      </c>
    </row>
    <row r="634" spans="1:12">
      <c r="A634" s="10" t="s">
        <v>31</v>
      </c>
      <c r="B634" t="s">
        <v>30</v>
      </c>
      <c r="C634">
        <v>11</v>
      </c>
      <c r="D634">
        <v>1954</v>
      </c>
      <c r="E634">
        <v>0</v>
      </c>
      <c r="F634" t="s">
        <v>34</v>
      </c>
      <c r="G634">
        <v>2</v>
      </c>
      <c r="H634" t="s">
        <v>17</v>
      </c>
      <c r="I634">
        <v>0</v>
      </c>
      <c r="J63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634" s="43">
        <f>IFERROR(SUMIFS(Tabela10[Fod Worth],Tabela10[Drop],DropAnalityka[[#This Row],[Drop]],Tabela10[Grade],DropAnalityka[[#This Row],[Grade]])*DropAnalityka[[#This Row],[Quality/Quantity]],0)</f>
        <v>0</v>
      </c>
      <c r="L634" s="43">
        <f>IFERROR(SUMIFS(Tabela10[Exp Gain only 2*+],Tabela10[Drop],DropAnalityka[[#This Row],[Drop]],Tabela10[Grade],DropAnalityka[[#This Row],[Grade]])*DropAnalityka[[#This Row],[Quality/Quantity]],0)</f>
        <v>1600</v>
      </c>
    </row>
    <row r="635" spans="1:12">
      <c r="A635" t="s">
        <v>8</v>
      </c>
      <c r="B635" t="s">
        <v>32</v>
      </c>
      <c r="C635">
        <v>13</v>
      </c>
      <c r="D635">
        <v>1836</v>
      </c>
      <c r="E635">
        <v>1</v>
      </c>
      <c r="I635">
        <v>1352</v>
      </c>
      <c r="J635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635" s="43">
        <f>IFERROR(SUMIFS(Tabela10[Fod Worth],Tabela10[Drop],DropAnalityka[[#This Row],[Drop]],Tabela10[Grade],DropAnalityka[[#This Row],[Grade]])*DropAnalityka[[#This Row],[Quality/Quantity]],0)</f>
        <v>0</v>
      </c>
      <c r="L635" s="43">
        <f>IFERROR(SUMIFS(Tabela10[Exp Gain only 2*+],Tabela10[Drop],DropAnalityka[[#This Row],[Drop]],Tabela10[Grade],DropAnalityka[[#This Row],[Grade]])*DropAnalityka[[#This Row],[Quality/Quantity]],0)</f>
        <v>0</v>
      </c>
    </row>
    <row r="636" spans="1:12">
      <c r="A636" t="s">
        <v>8</v>
      </c>
      <c r="B636" t="s">
        <v>32</v>
      </c>
      <c r="C636">
        <v>13</v>
      </c>
      <c r="D636">
        <v>1596</v>
      </c>
      <c r="E636">
        <v>1</v>
      </c>
      <c r="F636" t="s">
        <v>34</v>
      </c>
      <c r="G636">
        <v>3</v>
      </c>
      <c r="H636" t="s">
        <v>17</v>
      </c>
      <c r="I636">
        <v>0</v>
      </c>
      <c r="J636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636" s="43">
        <f>IFERROR(SUMIFS(Tabela10[Fod Worth],Tabela10[Drop],DropAnalityka[[#This Row],[Drop]],Tabela10[Grade],DropAnalityka[[#This Row],[Grade]])*DropAnalityka[[#This Row],[Quality/Quantity]],0)</f>
        <v>0</v>
      </c>
      <c r="L636" s="43">
        <f>IFERROR(SUMIFS(Tabela10[Exp Gain only 2*+],Tabela10[Drop],DropAnalityka[[#This Row],[Drop]],Tabela10[Grade],DropAnalityka[[#This Row],[Grade]])*DropAnalityka[[#This Row],[Quality/Quantity]],0)</f>
        <v>2400</v>
      </c>
    </row>
    <row r="637" spans="1:12">
      <c r="A637" t="s">
        <v>8</v>
      </c>
      <c r="B637" t="s">
        <v>32</v>
      </c>
      <c r="C637">
        <v>13</v>
      </c>
      <c r="D637">
        <v>1249</v>
      </c>
      <c r="E637">
        <v>1</v>
      </c>
      <c r="I637">
        <v>1352</v>
      </c>
      <c r="J637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637" s="43">
        <f>IFERROR(SUMIFS(Tabela10[Fod Worth],Tabela10[Drop],DropAnalityka[[#This Row],[Drop]],Tabela10[Grade],DropAnalityka[[#This Row],[Grade]])*DropAnalityka[[#This Row],[Quality/Quantity]],0)</f>
        <v>0</v>
      </c>
      <c r="L637" s="43">
        <f>IFERROR(SUMIFS(Tabela10[Exp Gain only 2*+],Tabela10[Drop],DropAnalityka[[#This Row],[Drop]],Tabela10[Grade],DropAnalityka[[#This Row],[Grade]])*DropAnalityka[[#This Row],[Quality/Quantity]],0)</f>
        <v>0</v>
      </c>
    </row>
    <row r="638" spans="1:12">
      <c r="A638" t="s">
        <v>8</v>
      </c>
      <c r="B638" t="s">
        <v>32</v>
      </c>
      <c r="C638">
        <v>13</v>
      </c>
      <c r="D638">
        <v>1211</v>
      </c>
      <c r="E638">
        <v>1</v>
      </c>
      <c r="I638">
        <v>1352</v>
      </c>
      <c r="J638">
        <f>DropAnalityka[[#This Row],[Sell Drop]]+IFERROR(SUMIFS(Tabela10[Drop Worth],Tabela10[Drop],DropAnalityka[[#This Row],[Drop]],Tabela10[Grade],DropAnalityka[[#This Row],[Grade]])*DropAnalityka[[#This Row],[Quality/Quantity]],0)</f>
        <v>1352</v>
      </c>
      <c r="K638" s="43">
        <f>IFERROR(SUMIFS(Tabela10[Fod Worth],Tabela10[Drop],DropAnalityka[[#This Row],[Drop]],Tabela10[Grade],DropAnalityka[[#This Row],[Grade]])*DropAnalityka[[#This Row],[Quality/Quantity]],0)</f>
        <v>0</v>
      </c>
      <c r="L638" s="43">
        <f>IFERROR(SUMIFS(Tabela10[Exp Gain only 2*+],Tabela10[Drop],DropAnalityka[[#This Row],[Drop]],Tabela10[Grade],DropAnalityka[[#This Row],[Grade]])*DropAnalityka[[#This Row],[Quality/Quantity]],0)</f>
        <v>0</v>
      </c>
    </row>
    <row r="639" spans="1:12">
      <c r="A639" t="s">
        <v>8</v>
      </c>
      <c r="B639" t="s">
        <v>32</v>
      </c>
      <c r="C639">
        <v>13</v>
      </c>
      <c r="D639">
        <v>1264</v>
      </c>
      <c r="E639">
        <v>2</v>
      </c>
      <c r="I639">
        <v>2411</v>
      </c>
      <c r="J639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639" s="43">
        <f>IFERROR(SUMIFS(Tabela10[Fod Worth],Tabela10[Drop],DropAnalityka[[#This Row],[Drop]],Tabela10[Grade],DropAnalityka[[#This Row],[Grade]])*DropAnalityka[[#This Row],[Quality/Quantity]],0)</f>
        <v>0</v>
      </c>
      <c r="L639" s="43">
        <f>IFERROR(SUMIFS(Tabela10[Exp Gain only 2*+],Tabela10[Drop],DropAnalityka[[#This Row],[Drop]],Tabela10[Grade],DropAnalityka[[#This Row],[Grade]])*DropAnalityka[[#This Row],[Quality/Quantity]],0)</f>
        <v>0</v>
      </c>
    </row>
    <row r="640" spans="1:12">
      <c r="A640" t="s">
        <v>8</v>
      </c>
      <c r="B640" t="s">
        <v>32</v>
      </c>
      <c r="C640">
        <v>13</v>
      </c>
      <c r="D640">
        <v>2595</v>
      </c>
      <c r="E640">
        <v>0</v>
      </c>
      <c r="I640">
        <v>2067</v>
      </c>
      <c r="J640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640" s="43">
        <f>IFERROR(SUMIFS(Tabela10[Fod Worth],Tabela10[Drop],DropAnalityka[[#This Row],[Drop]],Tabela10[Grade],DropAnalityka[[#This Row],[Grade]])*DropAnalityka[[#This Row],[Quality/Quantity]],0)</f>
        <v>0</v>
      </c>
      <c r="L640" s="43">
        <f>IFERROR(SUMIFS(Tabela10[Exp Gain only 2*+],Tabela10[Drop],DropAnalityka[[#This Row],[Drop]],Tabela10[Grade],DropAnalityka[[#This Row],[Grade]])*DropAnalityka[[#This Row],[Quality/Quantity]],0)</f>
        <v>0</v>
      </c>
    </row>
    <row r="641" spans="1:13">
      <c r="A641" t="s">
        <v>8</v>
      </c>
      <c r="B641" t="s">
        <v>32</v>
      </c>
      <c r="C641">
        <v>13</v>
      </c>
      <c r="D641">
        <v>1424</v>
      </c>
      <c r="E641">
        <v>2</v>
      </c>
      <c r="I641">
        <v>1159</v>
      </c>
      <c r="J64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41" s="43">
        <f>IFERROR(SUMIFS(Tabela10[Fod Worth],Tabela10[Drop],DropAnalityka[[#This Row],[Drop]],Tabela10[Grade],DropAnalityka[[#This Row],[Grade]])*DropAnalityka[[#This Row],[Quality/Quantity]],0)</f>
        <v>0</v>
      </c>
      <c r="L641" s="43">
        <f>IFERROR(SUMIFS(Tabela10[Exp Gain only 2*+],Tabela10[Drop],DropAnalityka[[#This Row],[Drop]],Tabela10[Grade],DropAnalityka[[#This Row],[Grade]])*DropAnalityka[[#This Row],[Quality/Quantity]],0)</f>
        <v>0</v>
      </c>
    </row>
    <row r="642" spans="1:13">
      <c r="A642" t="s">
        <v>8</v>
      </c>
      <c r="B642" t="s">
        <v>32</v>
      </c>
      <c r="C642">
        <v>13</v>
      </c>
      <c r="D642">
        <v>1971</v>
      </c>
      <c r="E642">
        <v>1</v>
      </c>
      <c r="I642">
        <v>1159</v>
      </c>
      <c r="J642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42" s="43">
        <f>IFERROR(SUMIFS(Tabela10[Fod Worth],Tabela10[Drop],DropAnalityka[[#This Row],[Drop]],Tabela10[Grade],DropAnalityka[[#This Row],[Grade]])*DropAnalityka[[#This Row],[Quality/Quantity]],0)</f>
        <v>0</v>
      </c>
      <c r="L642" s="43">
        <f>IFERROR(SUMIFS(Tabela10[Exp Gain only 2*+],Tabela10[Drop],DropAnalityka[[#This Row],[Drop]],Tabela10[Grade],DropAnalityka[[#This Row],[Grade]])*DropAnalityka[[#This Row],[Quality/Quantity]],0)</f>
        <v>0</v>
      </c>
    </row>
    <row r="643" spans="1:13">
      <c r="A643" t="s">
        <v>8</v>
      </c>
      <c r="B643" t="s">
        <v>32</v>
      </c>
      <c r="C643">
        <v>13</v>
      </c>
      <c r="D643">
        <v>2145</v>
      </c>
      <c r="E643">
        <v>0</v>
      </c>
      <c r="I643">
        <v>2067</v>
      </c>
      <c r="J643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643" s="43">
        <f>IFERROR(SUMIFS(Tabela10[Fod Worth],Tabela10[Drop],DropAnalityka[[#This Row],[Drop]],Tabela10[Grade],DropAnalityka[[#This Row],[Grade]])*DropAnalityka[[#This Row],[Quality/Quantity]],0)</f>
        <v>0</v>
      </c>
      <c r="L643" s="43">
        <f>IFERROR(SUMIFS(Tabela10[Exp Gain only 2*+],Tabela10[Drop],DropAnalityka[[#This Row],[Drop]],Tabela10[Grade],DropAnalityka[[#This Row],[Grade]])*DropAnalityka[[#This Row],[Quality/Quantity]],0)</f>
        <v>0</v>
      </c>
    </row>
    <row r="644" spans="1:13">
      <c r="A644" t="s">
        <v>8</v>
      </c>
      <c r="B644" t="s">
        <v>32</v>
      </c>
      <c r="C644">
        <v>13</v>
      </c>
      <c r="D644">
        <v>2223</v>
      </c>
      <c r="E644">
        <v>0</v>
      </c>
      <c r="I644">
        <v>1546</v>
      </c>
      <c r="J644">
        <f>DropAnalityka[[#This Row],[Sell Drop]]+IFERROR(SUMIFS(Tabela10[Drop Worth],Tabela10[Drop],DropAnalityka[[#This Row],[Drop]],Tabela10[Grade],DropAnalityka[[#This Row],[Grade]])*DropAnalityka[[#This Row],[Quality/Quantity]],0)</f>
        <v>1546</v>
      </c>
      <c r="K644" s="43">
        <f>IFERROR(SUMIFS(Tabela10[Fod Worth],Tabela10[Drop],DropAnalityka[[#This Row],[Drop]],Tabela10[Grade],DropAnalityka[[#This Row],[Grade]])*DropAnalityka[[#This Row],[Quality/Quantity]],0)</f>
        <v>0</v>
      </c>
      <c r="L644" s="43">
        <f>IFERROR(SUMIFS(Tabela10[Exp Gain only 2*+],Tabela10[Drop],DropAnalityka[[#This Row],[Drop]],Tabela10[Grade],DropAnalityka[[#This Row],[Grade]])*DropAnalityka[[#This Row],[Quality/Quantity]],0)</f>
        <v>0</v>
      </c>
    </row>
    <row r="645" spans="1:13">
      <c r="A645" t="s">
        <v>8</v>
      </c>
      <c r="B645" t="s">
        <v>32</v>
      </c>
      <c r="C645">
        <v>13</v>
      </c>
      <c r="D645">
        <v>2364</v>
      </c>
      <c r="E645">
        <v>1</v>
      </c>
      <c r="I645">
        <v>1159</v>
      </c>
      <c r="J645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45" s="43">
        <f>IFERROR(SUMIFS(Tabela10[Fod Worth],Tabela10[Drop],DropAnalityka[[#This Row],[Drop]],Tabela10[Grade],DropAnalityka[[#This Row],[Grade]])*DropAnalityka[[#This Row],[Quality/Quantity]],0)</f>
        <v>0</v>
      </c>
      <c r="L645" s="43">
        <f>IFERROR(SUMIFS(Tabela10[Exp Gain only 2*+],Tabela10[Drop],DropAnalityka[[#This Row],[Drop]],Tabela10[Grade],DropAnalityka[[#This Row],[Grade]])*DropAnalityka[[#This Row],[Quality/Quantity]],0)</f>
        <v>0</v>
      </c>
    </row>
    <row r="646" spans="1:13">
      <c r="A646" t="s">
        <v>8</v>
      </c>
      <c r="B646" t="s">
        <v>32</v>
      </c>
      <c r="C646">
        <v>13</v>
      </c>
      <c r="D646">
        <v>781</v>
      </c>
      <c r="E646">
        <v>0</v>
      </c>
      <c r="I646">
        <v>2067</v>
      </c>
      <c r="J646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646" s="43">
        <f>IFERROR(SUMIFS(Tabela10[Fod Worth],Tabela10[Drop],DropAnalityka[[#This Row],[Drop]],Tabela10[Grade],DropAnalityka[[#This Row],[Grade]])*DropAnalityka[[#This Row],[Quality/Quantity]],0)</f>
        <v>0</v>
      </c>
      <c r="L646" s="43">
        <f>IFERROR(SUMIFS(Tabela10[Exp Gain only 2*+],Tabela10[Drop],DropAnalityka[[#This Row],[Drop]],Tabela10[Grade],DropAnalityka[[#This Row],[Grade]])*DropAnalityka[[#This Row],[Quality/Quantity]],0)</f>
        <v>0</v>
      </c>
    </row>
    <row r="647" spans="1:13">
      <c r="A647" t="s">
        <v>8</v>
      </c>
      <c r="B647" t="s">
        <v>32</v>
      </c>
      <c r="C647">
        <v>13</v>
      </c>
      <c r="D647">
        <v>904</v>
      </c>
      <c r="E647">
        <v>2</v>
      </c>
      <c r="F647" t="s">
        <v>34</v>
      </c>
      <c r="G647">
        <v>3</v>
      </c>
      <c r="H647" t="s">
        <v>17</v>
      </c>
      <c r="I647">
        <v>0</v>
      </c>
      <c r="J647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647" s="43">
        <f>IFERROR(SUMIFS(Tabela10[Fod Worth],Tabela10[Drop],DropAnalityka[[#This Row],[Drop]],Tabela10[Grade],DropAnalityka[[#This Row],[Grade]])*DropAnalityka[[#This Row],[Quality/Quantity]],0)</f>
        <v>0</v>
      </c>
      <c r="L647" s="43">
        <f>IFERROR(SUMIFS(Tabela10[Exp Gain only 2*+],Tabela10[Drop],DropAnalityka[[#This Row],[Drop]],Tabela10[Grade],DropAnalityka[[#This Row],[Grade]])*DropAnalityka[[#This Row],[Quality/Quantity]],0)</f>
        <v>2400</v>
      </c>
    </row>
    <row r="648" spans="1:13">
      <c r="A648" t="s">
        <v>8</v>
      </c>
      <c r="B648" t="s">
        <v>32</v>
      </c>
      <c r="C648">
        <v>13</v>
      </c>
      <c r="D648">
        <v>1500</v>
      </c>
      <c r="E648">
        <v>0</v>
      </c>
      <c r="I648">
        <v>1159</v>
      </c>
      <c r="J648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48" s="43">
        <f>IFERROR(SUMIFS(Tabela10[Fod Worth],Tabela10[Drop],DropAnalityka[[#This Row],[Drop]],Tabela10[Grade],DropAnalityka[[#This Row],[Grade]])*DropAnalityka[[#This Row],[Quality/Quantity]],0)</f>
        <v>0</v>
      </c>
      <c r="L648" s="43">
        <f>IFERROR(SUMIFS(Tabela10[Exp Gain only 2*+],Tabela10[Drop],DropAnalityka[[#This Row],[Drop]],Tabela10[Grade],DropAnalityka[[#This Row],[Grade]])*DropAnalityka[[#This Row],[Quality/Quantity]],0)</f>
        <v>0</v>
      </c>
    </row>
    <row r="649" spans="1:13">
      <c r="A649" t="s">
        <v>8</v>
      </c>
      <c r="B649" t="s">
        <v>32</v>
      </c>
      <c r="C649">
        <v>13</v>
      </c>
      <c r="D649">
        <v>1071</v>
      </c>
      <c r="E649">
        <v>0</v>
      </c>
      <c r="I649">
        <v>1159</v>
      </c>
      <c r="J649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49" s="43">
        <f>IFERROR(SUMIFS(Tabela10[Fod Worth],Tabela10[Drop],DropAnalityka[[#This Row],[Drop]],Tabela10[Grade],DropAnalityka[[#This Row],[Grade]])*DropAnalityka[[#This Row],[Quality/Quantity]],0)</f>
        <v>0</v>
      </c>
      <c r="L649" s="43">
        <f>IFERROR(SUMIFS(Tabela10[Exp Gain only 2*+],Tabela10[Drop],DropAnalityka[[#This Row],[Drop]],Tabela10[Grade],DropAnalityka[[#This Row],[Grade]])*DropAnalityka[[#This Row],[Quality/Quantity]],0)</f>
        <v>0</v>
      </c>
    </row>
    <row r="650" spans="1:13">
      <c r="A650" t="s">
        <v>8</v>
      </c>
      <c r="B650" t="s">
        <v>32</v>
      </c>
      <c r="C650">
        <v>13</v>
      </c>
      <c r="D650">
        <v>1683</v>
      </c>
      <c r="E650">
        <v>2</v>
      </c>
      <c r="I650">
        <v>1159</v>
      </c>
      <c r="J650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50" s="43">
        <f>IFERROR(SUMIFS(Tabela10[Fod Worth],Tabela10[Drop],DropAnalityka[[#This Row],[Drop]],Tabela10[Grade],DropAnalityka[[#This Row],[Grade]])*DropAnalityka[[#This Row],[Quality/Quantity]],0)</f>
        <v>0</v>
      </c>
      <c r="L650" s="43">
        <f>IFERROR(SUMIFS(Tabela10[Exp Gain only 2*+],Tabela10[Drop],DropAnalityka[[#This Row],[Drop]],Tabela10[Grade],DropAnalityka[[#This Row],[Grade]])*DropAnalityka[[#This Row],[Quality/Quantity]],0)</f>
        <v>0</v>
      </c>
    </row>
    <row r="651" spans="1:13">
      <c r="A651" t="s">
        <v>8</v>
      </c>
      <c r="B651" t="s">
        <v>32</v>
      </c>
      <c r="C651">
        <v>13</v>
      </c>
      <c r="D651">
        <v>1102</v>
      </c>
      <c r="E651">
        <v>0</v>
      </c>
      <c r="I651">
        <v>1159</v>
      </c>
      <c r="J651">
        <f>DropAnalityka[[#This Row],[Sell Drop]]+IFERROR(SUMIFS(Tabela10[Drop Worth],Tabela10[Drop],DropAnalityka[[#This Row],[Drop]],Tabela10[Grade],DropAnalityka[[#This Row],[Grade]])*DropAnalityka[[#This Row],[Quality/Quantity]],0)</f>
        <v>1159</v>
      </c>
      <c r="K651" s="43">
        <f>IFERROR(SUMIFS(Tabela10[Fod Worth],Tabela10[Drop],DropAnalityka[[#This Row],[Drop]],Tabela10[Grade],DropAnalityka[[#This Row],[Grade]])*DropAnalityka[[#This Row],[Quality/Quantity]],0)</f>
        <v>0</v>
      </c>
      <c r="L651" s="43">
        <f>IFERROR(SUMIFS(Tabela10[Exp Gain only 2*+],Tabela10[Drop],DropAnalityka[[#This Row],[Drop]],Tabela10[Grade],DropAnalityka[[#This Row],[Grade]])*DropAnalityka[[#This Row],[Quality/Quantity]],0)</f>
        <v>0</v>
      </c>
    </row>
    <row r="652" spans="1:13">
      <c r="A652" t="s">
        <v>8</v>
      </c>
      <c r="B652" t="s">
        <v>32</v>
      </c>
      <c r="C652">
        <v>13</v>
      </c>
      <c r="D652">
        <v>1495</v>
      </c>
      <c r="E652">
        <v>1</v>
      </c>
      <c r="F652" t="s">
        <v>34</v>
      </c>
      <c r="G652">
        <v>3</v>
      </c>
      <c r="H652" t="s">
        <v>17</v>
      </c>
      <c r="I652">
        <v>0</v>
      </c>
      <c r="J652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652" s="43">
        <f>IFERROR(SUMIFS(Tabela10[Fod Worth],Tabela10[Drop],DropAnalityka[[#This Row],[Drop]],Tabela10[Grade],DropAnalityka[[#This Row],[Grade]])*DropAnalityka[[#This Row],[Quality/Quantity]],0)</f>
        <v>0</v>
      </c>
      <c r="L652" s="43">
        <f>IFERROR(SUMIFS(Tabela10[Exp Gain only 2*+],Tabela10[Drop],DropAnalityka[[#This Row],[Drop]],Tabela10[Grade],DropAnalityka[[#This Row],[Grade]])*DropAnalityka[[#This Row],[Quality/Quantity]],0)</f>
        <v>2400</v>
      </c>
      <c r="M652">
        <v>92</v>
      </c>
    </row>
    <row r="653" spans="1:13">
      <c r="A653" t="s">
        <v>31</v>
      </c>
      <c r="B653" t="s">
        <v>30</v>
      </c>
      <c r="C653">
        <v>11</v>
      </c>
      <c r="D653">
        <v>946</v>
      </c>
      <c r="E653">
        <v>0</v>
      </c>
      <c r="I653">
        <v>1824</v>
      </c>
      <c r="J65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53" s="43">
        <f>IFERROR(SUMIFS(Tabela10[Fod Worth],Tabela10[Drop],DropAnalityka[[#This Row],[Drop]],Tabela10[Grade],DropAnalityka[[#This Row],[Grade]])*DropAnalityka[[#This Row],[Quality/Quantity]],0)</f>
        <v>0</v>
      </c>
      <c r="L653" s="43">
        <f>IFERROR(SUMIFS(Tabela10[Exp Gain only 2*+],Tabela10[Drop],DropAnalityka[[#This Row],[Drop]],Tabela10[Grade],DropAnalityka[[#This Row],[Grade]])*DropAnalityka[[#This Row],[Quality/Quantity]],0)</f>
        <v>0</v>
      </c>
    </row>
    <row r="654" spans="1:13">
      <c r="A654" s="10" t="s">
        <v>36</v>
      </c>
      <c r="B654" t="s">
        <v>9</v>
      </c>
      <c r="C654">
        <v>7</v>
      </c>
      <c r="D654">
        <v>2381</v>
      </c>
      <c r="E654">
        <v>2</v>
      </c>
      <c r="F654" t="s">
        <v>252</v>
      </c>
      <c r="G654">
        <v>4</v>
      </c>
      <c r="H654" t="s">
        <v>270</v>
      </c>
      <c r="I654">
        <v>0</v>
      </c>
      <c r="J6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54" s="43">
        <f>IFERROR(SUMIFS(Tabela10[Fod Worth],Tabela10[Drop],DropAnalityka[[#This Row],[Drop]],Tabela10[Grade],DropAnalityka[[#This Row],[Grade]])*DropAnalityka[[#This Row],[Quality/Quantity]],0)</f>
        <v>0</v>
      </c>
      <c r="L654" s="43">
        <f>IFERROR(SUMIFS(Tabela10[Exp Gain only 2*+],Tabela10[Drop],DropAnalityka[[#This Row],[Drop]],Tabela10[Grade],DropAnalityka[[#This Row],[Grade]])*DropAnalityka[[#This Row],[Quality/Quantity]],0)</f>
        <v>0</v>
      </c>
    </row>
    <row r="655" spans="1:13">
      <c r="A655" s="10" t="s">
        <v>36</v>
      </c>
      <c r="B655" t="s">
        <v>9</v>
      </c>
      <c r="C655">
        <v>7</v>
      </c>
      <c r="D655">
        <v>2191</v>
      </c>
      <c r="E655">
        <v>1</v>
      </c>
      <c r="F655" t="s">
        <v>252</v>
      </c>
      <c r="G655">
        <v>1</v>
      </c>
      <c r="H655" t="s">
        <v>271</v>
      </c>
      <c r="I655">
        <v>0</v>
      </c>
      <c r="J6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55" s="43">
        <f>IFERROR(SUMIFS(Tabela10[Fod Worth],Tabela10[Drop],DropAnalityka[[#This Row],[Drop]],Tabela10[Grade],DropAnalityka[[#This Row],[Grade]])*DropAnalityka[[#This Row],[Quality/Quantity]],0)</f>
        <v>0</v>
      </c>
      <c r="L655" s="43">
        <f>IFERROR(SUMIFS(Tabela10[Exp Gain only 2*+],Tabela10[Drop],DropAnalityka[[#This Row],[Drop]],Tabela10[Grade],DropAnalityka[[#This Row],[Grade]])*DropAnalityka[[#This Row],[Quality/Quantity]],0)</f>
        <v>0</v>
      </c>
    </row>
    <row r="656" spans="1:13">
      <c r="A656" s="10" t="s">
        <v>36</v>
      </c>
      <c r="B656" t="s">
        <v>9</v>
      </c>
      <c r="C656">
        <v>7</v>
      </c>
      <c r="D656">
        <v>2209</v>
      </c>
      <c r="E656">
        <v>0</v>
      </c>
      <c r="F656" t="s">
        <v>252</v>
      </c>
      <c r="G656">
        <v>1</v>
      </c>
      <c r="H656" t="s">
        <v>292</v>
      </c>
      <c r="I656">
        <v>0</v>
      </c>
      <c r="J6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56" s="43">
        <f>IFERROR(SUMIFS(Tabela10[Fod Worth],Tabela10[Drop],DropAnalityka[[#This Row],[Drop]],Tabela10[Grade],DropAnalityka[[#This Row],[Grade]])*DropAnalityka[[#This Row],[Quality/Quantity]],0)</f>
        <v>0</v>
      </c>
      <c r="L656" s="43">
        <f>IFERROR(SUMIFS(Tabela10[Exp Gain only 2*+],Tabela10[Drop],DropAnalityka[[#This Row],[Drop]],Tabela10[Grade],DropAnalityka[[#This Row],[Grade]])*DropAnalityka[[#This Row],[Quality/Quantity]],0)</f>
        <v>0</v>
      </c>
    </row>
    <row r="657" spans="1:12">
      <c r="A657" s="10" t="s">
        <v>36</v>
      </c>
      <c r="B657" t="s">
        <v>9</v>
      </c>
      <c r="C657">
        <v>7</v>
      </c>
      <c r="D657">
        <v>2202</v>
      </c>
      <c r="E657">
        <v>1</v>
      </c>
      <c r="F657" t="s">
        <v>249</v>
      </c>
      <c r="G657">
        <v>1</v>
      </c>
      <c r="H657" t="s">
        <v>292</v>
      </c>
      <c r="I657">
        <v>0</v>
      </c>
      <c r="J6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57" s="43">
        <f>IFERROR(SUMIFS(Tabela10[Fod Worth],Tabela10[Drop],DropAnalityka[[#This Row],[Drop]],Tabela10[Grade],DropAnalityka[[#This Row],[Grade]])*DropAnalityka[[#This Row],[Quality/Quantity]],0)</f>
        <v>0</v>
      </c>
      <c r="L657" s="43">
        <f>IFERROR(SUMIFS(Tabela10[Exp Gain only 2*+],Tabela10[Drop],DropAnalityka[[#This Row],[Drop]],Tabela10[Grade],DropAnalityka[[#This Row],[Grade]])*DropAnalityka[[#This Row],[Quality/Quantity]],0)</f>
        <v>0</v>
      </c>
    </row>
    <row r="658" spans="1:12">
      <c r="A658" s="10" t="s">
        <v>36</v>
      </c>
      <c r="B658" t="s">
        <v>9</v>
      </c>
      <c r="C658">
        <v>7</v>
      </c>
      <c r="D658">
        <v>2118</v>
      </c>
      <c r="E658">
        <v>0</v>
      </c>
      <c r="F658" t="s">
        <v>34</v>
      </c>
      <c r="G658">
        <v>4</v>
      </c>
      <c r="H658" t="s">
        <v>17</v>
      </c>
      <c r="I658">
        <v>0</v>
      </c>
      <c r="J658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658" s="43">
        <f>IFERROR(SUMIFS(Tabela10[Fod Worth],Tabela10[Drop],DropAnalityka[[#This Row],[Drop]],Tabela10[Grade],DropAnalityka[[#This Row],[Grade]])*DropAnalityka[[#This Row],[Quality/Quantity]],0)</f>
        <v>0</v>
      </c>
      <c r="L658" s="43">
        <f>IFERROR(SUMIFS(Tabela10[Exp Gain only 2*+],Tabela10[Drop],DropAnalityka[[#This Row],[Drop]],Tabela10[Grade],DropAnalityka[[#This Row],[Grade]])*DropAnalityka[[#This Row],[Quality/Quantity]],0)</f>
        <v>3200</v>
      </c>
    </row>
    <row r="659" spans="1:12">
      <c r="A659" s="10" t="s">
        <v>36</v>
      </c>
      <c r="B659" t="s">
        <v>9</v>
      </c>
      <c r="C659">
        <v>7</v>
      </c>
      <c r="D659">
        <v>2413</v>
      </c>
      <c r="E659">
        <v>1</v>
      </c>
      <c r="F659" t="s">
        <v>252</v>
      </c>
      <c r="G659">
        <v>1</v>
      </c>
      <c r="H659" t="s">
        <v>292</v>
      </c>
      <c r="I659">
        <v>0</v>
      </c>
      <c r="J6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59" s="43">
        <f>IFERROR(SUMIFS(Tabela10[Fod Worth],Tabela10[Drop],DropAnalityka[[#This Row],[Drop]],Tabela10[Grade],DropAnalityka[[#This Row],[Grade]])*DropAnalityka[[#This Row],[Quality/Quantity]],0)</f>
        <v>0</v>
      </c>
      <c r="L659" s="43">
        <f>IFERROR(SUMIFS(Tabela10[Exp Gain only 2*+],Tabela10[Drop],DropAnalityka[[#This Row],[Drop]],Tabela10[Grade],DropAnalityka[[#This Row],[Grade]])*DropAnalityka[[#This Row],[Quality/Quantity]],0)</f>
        <v>0</v>
      </c>
    </row>
    <row r="660" spans="1:12">
      <c r="A660" s="10" t="s">
        <v>36</v>
      </c>
      <c r="B660" t="s">
        <v>9</v>
      </c>
      <c r="C660">
        <v>7</v>
      </c>
      <c r="D660">
        <v>2546</v>
      </c>
      <c r="E660">
        <v>2</v>
      </c>
      <c r="F660" t="s">
        <v>34</v>
      </c>
      <c r="G660">
        <v>4</v>
      </c>
      <c r="H660" t="s">
        <v>17</v>
      </c>
      <c r="I660">
        <v>0</v>
      </c>
      <c r="J66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660" s="43">
        <f>IFERROR(SUMIFS(Tabela10[Fod Worth],Tabela10[Drop],DropAnalityka[[#This Row],[Drop]],Tabela10[Grade],DropAnalityka[[#This Row],[Grade]])*DropAnalityka[[#This Row],[Quality/Quantity]],0)</f>
        <v>0</v>
      </c>
      <c r="L660" s="43">
        <f>IFERROR(SUMIFS(Tabela10[Exp Gain only 2*+],Tabela10[Drop],DropAnalityka[[#This Row],[Drop]],Tabela10[Grade],DropAnalityka[[#This Row],[Grade]])*DropAnalityka[[#This Row],[Quality/Quantity]],0)</f>
        <v>3200</v>
      </c>
    </row>
    <row r="661" spans="1:12">
      <c r="A661" s="10" t="s">
        <v>36</v>
      </c>
      <c r="B661" t="s">
        <v>9</v>
      </c>
      <c r="C661">
        <v>7</v>
      </c>
      <c r="D661">
        <v>1950</v>
      </c>
      <c r="E661">
        <v>0</v>
      </c>
      <c r="F661" t="s">
        <v>252</v>
      </c>
      <c r="G661">
        <v>1</v>
      </c>
      <c r="H661" t="s">
        <v>292</v>
      </c>
      <c r="I661">
        <v>0</v>
      </c>
      <c r="J6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1" s="43">
        <f>IFERROR(SUMIFS(Tabela10[Fod Worth],Tabela10[Drop],DropAnalityka[[#This Row],[Drop]],Tabela10[Grade],DropAnalityka[[#This Row],[Grade]])*DropAnalityka[[#This Row],[Quality/Quantity]],0)</f>
        <v>0</v>
      </c>
      <c r="L661" s="43">
        <f>IFERROR(SUMIFS(Tabela10[Exp Gain only 2*+],Tabela10[Drop],DropAnalityka[[#This Row],[Drop]],Tabela10[Grade],DropAnalityka[[#This Row],[Grade]])*DropAnalityka[[#This Row],[Quality/Quantity]],0)</f>
        <v>0</v>
      </c>
    </row>
    <row r="662" spans="1:12">
      <c r="A662" s="10" t="s">
        <v>36</v>
      </c>
      <c r="B662" t="s">
        <v>9</v>
      </c>
      <c r="C662">
        <v>7</v>
      </c>
      <c r="D662">
        <v>2444</v>
      </c>
      <c r="E662">
        <v>1</v>
      </c>
      <c r="F662" t="s">
        <v>252</v>
      </c>
      <c r="G662">
        <v>5</v>
      </c>
      <c r="H662" t="s">
        <v>270</v>
      </c>
      <c r="I662">
        <v>0</v>
      </c>
      <c r="J6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2" s="43">
        <f>IFERROR(SUMIFS(Tabela10[Fod Worth],Tabela10[Drop],DropAnalityka[[#This Row],[Drop]],Tabela10[Grade],DropAnalityka[[#This Row],[Grade]])*DropAnalityka[[#This Row],[Quality/Quantity]],0)</f>
        <v>0</v>
      </c>
      <c r="L662" s="43">
        <f>IFERROR(SUMIFS(Tabela10[Exp Gain only 2*+],Tabela10[Drop],DropAnalityka[[#This Row],[Drop]],Tabela10[Grade],DropAnalityka[[#This Row],[Grade]])*DropAnalityka[[#This Row],[Quality/Quantity]],0)</f>
        <v>0</v>
      </c>
    </row>
    <row r="663" spans="1:12">
      <c r="A663" s="10" t="s">
        <v>36</v>
      </c>
      <c r="B663" t="s">
        <v>9</v>
      </c>
      <c r="C663">
        <v>7</v>
      </c>
      <c r="D663">
        <v>2293</v>
      </c>
      <c r="E663">
        <v>1</v>
      </c>
      <c r="F663" t="s">
        <v>252</v>
      </c>
      <c r="G663">
        <v>4</v>
      </c>
      <c r="H663" t="s">
        <v>270</v>
      </c>
      <c r="I663">
        <v>0</v>
      </c>
      <c r="J6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3" s="43">
        <f>IFERROR(SUMIFS(Tabela10[Fod Worth],Tabela10[Drop],DropAnalityka[[#This Row],[Drop]],Tabela10[Grade],DropAnalityka[[#This Row],[Grade]])*DropAnalityka[[#This Row],[Quality/Quantity]],0)</f>
        <v>0</v>
      </c>
      <c r="L663" s="43">
        <f>IFERROR(SUMIFS(Tabela10[Exp Gain only 2*+],Tabela10[Drop],DropAnalityka[[#This Row],[Drop]],Tabela10[Grade],DropAnalityka[[#This Row],[Grade]])*DropAnalityka[[#This Row],[Quality/Quantity]],0)</f>
        <v>0</v>
      </c>
    </row>
    <row r="664" spans="1:12">
      <c r="A664" s="10" t="s">
        <v>36</v>
      </c>
      <c r="B664" t="s">
        <v>9</v>
      </c>
      <c r="C664">
        <v>7</v>
      </c>
      <c r="D664">
        <v>2100</v>
      </c>
      <c r="E664">
        <v>0</v>
      </c>
      <c r="F664" t="s">
        <v>252</v>
      </c>
      <c r="G664">
        <v>2</v>
      </c>
      <c r="H664" t="s">
        <v>292</v>
      </c>
      <c r="I664">
        <v>0</v>
      </c>
      <c r="J6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4" s="43">
        <f>IFERROR(SUMIFS(Tabela10[Fod Worth],Tabela10[Drop],DropAnalityka[[#This Row],[Drop]],Tabela10[Grade],DropAnalityka[[#This Row],[Grade]])*DropAnalityka[[#This Row],[Quality/Quantity]],0)</f>
        <v>0</v>
      </c>
      <c r="L664" s="43">
        <f>IFERROR(SUMIFS(Tabela10[Exp Gain only 2*+],Tabela10[Drop],DropAnalityka[[#This Row],[Drop]],Tabela10[Grade],DropAnalityka[[#This Row],[Grade]])*DropAnalityka[[#This Row],[Quality/Quantity]],0)</f>
        <v>0</v>
      </c>
    </row>
    <row r="665" spans="1:12">
      <c r="A665" s="10" t="s">
        <v>36</v>
      </c>
      <c r="B665" t="s">
        <v>9</v>
      </c>
      <c r="C665">
        <v>7</v>
      </c>
      <c r="D665">
        <v>2235</v>
      </c>
      <c r="E665">
        <v>1</v>
      </c>
      <c r="F665" t="s">
        <v>252</v>
      </c>
      <c r="G665">
        <v>1</v>
      </c>
      <c r="H665" t="s">
        <v>292</v>
      </c>
      <c r="I665">
        <v>0</v>
      </c>
      <c r="J6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5" s="43">
        <f>IFERROR(SUMIFS(Tabela10[Fod Worth],Tabela10[Drop],DropAnalityka[[#This Row],[Drop]],Tabela10[Grade],DropAnalityka[[#This Row],[Grade]])*DropAnalityka[[#This Row],[Quality/Quantity]],0)</f>
        <v>0</v>
      </c>
      <c r="L665" s="43">
        <f>IFERROR(SUMIFS(Tabela10[Exp Gain only 2*+],Tabela10[Drop],DropAnalityka[[#This Row],[Drop]],Tabela10[Grade],DropAnalityka[[#This Row],[Grade]])*DropAnalityka[[#This Row],[Quality/Quantity]],0)</f>
        <v>0</v>
      </c>
    </row>
    <row r="666" spans="1:12">
      <c r="A666" s="10" t="s">
        <v>36</v>
      </c>
      <c r="B666" t="s">
        <v>9</v>
      </c>
      <c r="C666">
        <v>7</v>
      </c>
      <c r="D666">
        <v>2213</v>
      </c>
      <c r="E666">
        <v>0</v>
      </c>
      <c r="F666" t="s">
        <v>252</v>
      </c>
      <c r="G666">
        <v>3</v>
      </c>
      <c r="H666" t="s">
        <v>270</v>
      </c>
      <c r="I666">
        <v>0</v>
      </c>
      <c r="J6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6" s="43">
        <f>IFERROR(SUMIFS(Tabela10[Fod Worth],Tabela10[Drop],DropAnalityka[[#This Row],[Drop]],Tabela10[Grade],DropAnalityka[[#This Row],[Grade]])*DropAnalityka[[#This Row],[Quality/Quantity]],0)</f>
        <v>0</v>
      </c>
      <c r="L666" s="43">
        <f>IFERROR(SUMIFS(Tabela10[Exp Gain only 2*+],Tabela10[Drop],DropAnalityka[[#This Row],[Drop]],Tabela10[Grade],DropAnalityka[[#This Row],[Grade]])*DropAnalityka[[#This Row],[Quality/Quantity]],0)</f>
        <v>0</v>
      </c>
    </row>
    <row r="667" spans="1:12">
      <c r="A667" s="10" t="s">
        <v>36</v>
      </c>
      <c r="B667" t="s">
        <v>9</v>
      </c>
      <c r="C667">
        <v>7</v>
      </c>
      <c r="D667">
        <v>2376</v>
      </c>
      <c r="E667">
        <v>1</v>
      </c>
      <c r="F667" t="s">
        <v>250</v>
      </c>
      <c r="G667">
        <v>1</v>
      </c>
      <c r="H667" t="s">
        <v>292</v>
      </c>
      <c r="I667">
        <v>0</v>
      </c>
      <c r="J6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7" s="43">
        <f>IFERROR(SUMIFS(Tabela10[Fod Worth],Tabela10[Drop],DropAnalityka[[#This Row],[Drop]],Tabela10[Grade],DropAnalityka[[#This Row],[Grade]])*DropAnalityka[[#This Row],[Quality/Quantity]],0)</f>
        <v>0</v>
      </c>
      <c r="L667" s="43">
        <f>IFERROR(SUMIFS(Tabela10[Exp Gain only 2*+],Tabela10[Drop],DropAnalityka[[#This Row],[Drop]],Tabela10[Grade],DropAnalityka[[#This Row],[Grade]])*DropAnalityka[[#This Row],[Quality/Quantity]],0)</f>
        <v>0</v>
      </c>
    </row>
    <row r="668" spans="1:12">
      <c r="A668" s="10" t="s">
        <v>36</v>
      </c>
      <c r="B668" t="s">
        <v>9</v>
      </c>
      <c r="C668">
        <v>7</v>
      </c>
      <c r="D668">
        <v>2190</v>
      </c>
      <c r="E668">
        <v>0</v>
      </c>
      <c r="F668" t="s">
        <v>250</v>
      </c>
      <c r="G668">
        <v>2</v>
      </c>
      <c r="H668" t="s">
        <v>292</v>
      </c>
      <c r="I668">
        <v>0</v>
      </c>
      <c r="J6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8" s="43">
        <f>IFERROR(SUMIFS(Tabela10[Fod Worth],Tabela10[Drop],DropAnalityka[[#This Row],[Drop]],Tabela10[Grade],DropAnalityka[[#This Row],[Grade]])*DropAnalityka[[#This Row],[Quality/Quantity]],0)</f>
        <v>0</v>
      </c>
      <c r="L668" s="43">
        <f>IFERROR(SUMIFS(Tabela10[Exp Gain only 2*+],Tabela10[Drop],DropAnalityka[[#This Row],[Drop]],Tabela10[Grade],DropAnalityka[[#This Row],[Grade]])*DropAnalityka[[#This Row],[Quality/Quantity]],0)</f>
        <v>0</v>
      </c>
    </row>
    <row r="669" spans="1:12">
      <c r="A669" s="10" t="s">
        <v>36</v>
      </c>
      <c r="B669" t="s">
        <v>9</v>
      </c>
      <c r="C669">
        <v>7</v>
      </c>
      <c r="D669">
        <v>2435</v>
      </c>
      <c r="E669">
        <v>1</v>
      </c>
      <c r="F669" t="s">
        <v>252</v>
      </c>
      <c r="G669">
        <v>5</v>
      </c>
      <c r="H669" t="s">
        <v>270</v>
      </c>
      <c r="I669">
        <v>0</v>
      </c>
      <c r="J6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69" s="43">
        <f>IFERROR(SUMIFS(Tabela10[Fod Worth],Tabela10[Drop],DropAnalityka[[#This Row],[Drop]],Tabela10[Grade],DropAnalityka[[#This Row],[Grade]])*DropAnalityka[[#This Row],[Quality/Quantity]],0)</f>
        <v>0</v>
      </c>
      <c r="L669" s="43">
        <f>IFERROR(SUMIFS(Tabela10[Exp Gain only 2*+],Tabela10[Drop],DropAnalityka[[#This Row],[Drop]],Tabela10[Grade],DropAnalityka[[#This Row],[Grade]])*DropAnalityka[[#This Row],[Quality/Quantity]],0)</f>
        <v>0</v>
      </c>
    </row>
    <row r="670" spans="1:12">
      <c r="A670" s="10" t="s">
        <v>36</v>
      </c>
      <c r="B670" t="s">
        <v>9</v>
      </c>
      <c r="C670">
        <v>7</v>
      </c>
      <c r="D670">
        <v>2777</v>
      </c>
      <c r="E670">
        <v>0</v>
      </c>
      <c r="F670" t="s">
        <v>58</v>
      </c>
      <c r="G670">
        <v>1</v>
      </c>
      <c r="H670" t="s">
        <v>12</v>
      </c>
      <c r="I670">
        <v>0</v>
      </c>
      <c r="J6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0" s="43">
        <f>IFERROR(SUMIFS(Tabela10[Fod Worth],Tabela10[Drop],DropAnalityka[[#This Row],[Drop]],Tabela10[Grade],DropAnalityka[[#This Row],[Grade]])*DropAnalityka[[#This Row],[Quality/Quantity]],0)</f>
        <v>11500</v>
      </c>
      <c r="L670" s="43">
        <f>IFERROR(SUMIFS(Tabela10[Exp Gain only 2*+],Tabela10[Drop],DropAnalityka[[#This Row],[Drop]],Tabela10[Grade],DropAnalityka[[#This Row],[Grade]])*DropAnalityka[[#This Row],[Quality/Quantity]],0)</f>
        <v>35822</v>
      </c>
    </row>
    <row r="671" spans="1:12">
      <c r="A671" s="10" t="s">
        <v>36</v>
      </c>
      <c r="B671" t="s">
        <v>9</v>
      </c>
      <c r="C671">
        <v>7</v>
      </c>
      <c r="D671">
        <v>2127</v>
      </c>
      <c r="E671">
        <v>0</v>
      </c>
      <c r="F671" t="s">
        <v>252</v>
      </c>
      <c r="G671">
        <v>3</v>
      </c>
      <c r="H671" t="s">
        <v>270</v>
      </c>
      <c r="I671">
        <v>0</v>
      </c>
      <c r="J6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1" s="43">
        <f>IFERROR(SUMIFS(Tabela10[Fod Worth],Tabela10[Drop],DropAnalityka[[#This Row],[Drop]],Tabela10[Grade],DropAnalityka[[#This Row],[Grade]])*DropAnalityka[[#This Row],[Quality/Quantity]],0)</f>
        <v>0</v>
      </c>
      <c r="L671" s="43">
        <f>IFERROR(SUMIFS(Tabela10[Exp Gain only 2*+],Tabela10[Drop],DropAnalityka[[#This Row],[Drop]],Tabela10[Grade],DropAnalityka[[#This Row],[Grade]])*DropAnalityka[[#This Row],[Quality/Quantity]],0)</f>
        <v>0</v>
      </c>
    </row>
    <row r="672" spans="1:12">
      <c r="A672" s="10" t="s">
        <v>36</v>
      </c>
      <c r="B672" t="s">
        <v>9</v>
      </c>
      <c r="C672">
        <v>7</v>
      </c>
      <c r="D672">
        <v>2217</v>
      </c>
      <c r="E672">
        <v>1</v>
      </c>
      <c r="F672" t="s">
        <v>252</v>
      </c>
      <c r="G672">
        <v>4</v>
      </c>
      <c r="H672" t="s">
        <v>270</v>
      </c>
      <c r="I672">
        <v>0</v>
      </c>
      <c r="J6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2" s="43">
        <f>IFERROR(SUMIFS(Tabela10[Fod Worth],Tabela10[Drop],DropAnalityka[[#This Row],[Drop]],Tabela10[Grade],DropAnalityka[[#This Row],[Grade]])*DropAnalityka[[#This Row],[Quality/Quantity]],0)</f>
        <v>0</v>
      </c>
      <c r="L672" s="43">
        <f>IFERROR(SUMIFS(Tabela10[Exp Gain only 2*+],Tabela10[Drop],DropAnalityka[[#This Row],[Drop]],Tabela10[Grade],DropAnalityka[[#This Row],[Grade]])*DropAnalityka[[#This Row],[Quality/Quantity]],0)</f>
        <v>0</v>
      </c>
    </row>
    <row r="673" spans="1:12">
      <c r="A673" s="10" t="s">
        <v>36</v>
      </c>
      <c r="B673" t="s">
        <v>9</v>
      </c>
      <c r="C673">
        <v>7</v>
      </c>
      <c r="D673">
        <v>2126</v>
      </c>
      <c r="E673">
        <v>0</v>
      </c>
      <c r="F673" t="s">
        <v>250</v>
      </c>
      <c r="G673">
        <v>3</v>
      </c>
      <c r="H673" t="s">
        <v>292</v>
      </c>
      <c r="I673">
        <v>0</v>
      </c>
      <c r="J6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3" s="43">
        <f>IFERROR(SUMIFS(Tabela10[Fod Worth],Tabela10[Drop],DropAnalityka[[#This Row],[Drop]],Tabela10[Grade],DropAnalityka[[#This Row],[Grade]])*DropAnalityka[[#This Row],[Quality/Quantity]],0)</f>
        <v>0</v>
      </c>
      <c r="L673" s="43">
        <f>IFERROR(SUMIFS(Tabela10[Exp Gain only 2*+],Tabela10[Drop],DropAnalityka[[#This Row],[Drop]],Tabela10[Grade],DropAnalityka[[#This Row],[Grade]])*DropAnalityka[[#This Row],[Quality/Quantity]],0)</f>
        <v>0</v>
      </c>
    </row>
    <row r="674" spans="1:12">
      <c r="A674" s="10" t="s">
        <v>36</v>
      </c>
      <c r="B674" t="s">
        <v>9</v>
      </c>
      <c r="C674">
        <v>7</v>
      </c>
      <c r="D674">
        <v>2061</v>
      </c>
      <c r="E674">
        <v>0</v>
      </c>
      <c r="F674" t="s">
        <v>252</v>
      </c>
      <c r="G674">
        <v>5</v>
      </c>
      <c r="H674" t="s">
        <v>270</v>
      </c>
      <c r="I674">
        <v>0</v>
      </c>
      <c r="J6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4" s="43">
        <f>IFERROR(SUMIFS(Tabela10[Fod Worth],Tabela10[Drop],DropAnalityka[[#This Row],[Drop]],Tabela10[Grade],DropAnalityka[[#This Row],[Grade]])*DropAnalityka[[#This Row],[Quality/Quantity]],0)</f>
        <v>0</v>
      </c>
      <c r="L674" s="43">
        <f>IFERROR(SUMIFS(Tabela10[Exp Gain only 2*+],Tabela10[Drop],DropAnalityka[[#This Row],[Drop]],Tabela10[Grade],DropAnalityka[[#This Row],[Grade]])*DropAnalityka[[#This Row],[Quality/Quantity]],0)</f>
        <v>0</v>
      </c>
    </row>
    <row r="675" spans="1:12">
      <c r="A675" s="10" t="s">
        <v>36</v>
      </c>
      <c r="B675" t="s">
        <v>9</v>
      </c>
      <c r="C675">
        <v>7</v>
      </c>
      <c r="D675">
        <v>1946</v>
      </c>
      <c r="E675">
        <v>0</v>
      </c>
      <c r="F675" t="s">
        <v>18</v>
      </c>
      <c r="G675">
        <v>2</v>
      </c>
      <c r="H675" t="s">
        <v>271</v>
      </c>
      <c r="I675">
        <v>0</v>
      </c>
      <c r="J6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5" s="43">
        <f>IFERROR(SUMIFS(Tabela10[Fod Worth],Tabela10[Drop],DropAnalityka[[#This Row],[Drop]],Tabela10[Grade],DropAnalityka[[#This Row],[Grade]])*DropAnalityka[[#This Row],[Quality/Quantity]],0)</f>
        <v>0</v>
      </c>
      <c r="L675" s="43">
        <f>IFERROR(SUMIFS(Tabela10[Exp Gain only 2*+],Tabela10[Drop],DropAnalityka[[#This Row],[Drop]],Tabela10[Grade],DropAnalityka[[#This Row],[Grade]])*DropAnalityka[[#This Row],[Quality/Quantity]],0)</f>
        <v>0</v>
      </c>
    </row>
    <row r="676" spans="1:12">
      <c r="A676" s="10" t="s">
        <v>36</v>
      </c>
      <c r="B676" t="s">
        <v>9</v>
      </c>
      <c r="C676">
        <v>7</v>
      </c>
      <c r="D676">
        <v>2497</v>
      </c>
      <c r="E676">
        <v>1</v>
      </c>
      <c r="F676" t="s">
        <v>252</v>
      </c>
      <c r="G676">
        <v>5</v>
      </c>
      <c r="H676" t="s">
        <v>270</v>
      </c>
      <c r="I676">
        <v>0</v>
      </c>
      <c r="J6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6" s="43">
        <f>IFERROR(SUMIFS(Tabela10[Fod Worth],Tabela10[Drop],DropAnalityka[[#This Row],[Drop]],Tabela10[Grade],DropAnalityka[[#This Row],[Grade]])*DropAnalityka[[#This Row],[Quality/Quantity]],0)</f>
        <v>0</v>
      </c>
      <c r="L676" s="43">
        <f>IFERROR(SUMIFS(Tabela10[Exp Gain only 2*+],Tabela10[Drop],DropAnalityka[[#This Row],[Drop]],Tabela10[Grade],DropAnalityka[[#This Row],[Grade]])*DropAnalityka[[#This Row],[Quality/Quantity]],0)</f>
        <v>0</v>
      </c>
    </row>
    <row r="677" spans="1:12">
      <c r="A677" s="10" t="s">
        <v>36</v>
      </c>
      <c r="B677" t="s">
        <v>9</v>
      </c>
      <c r="C677">
        <v>7</v>
      </c>
      <c r="D677">
        <v>1941</v>
      </c>
      <c r="E677">
        <v>0</v>
      </c>
      <c r="F677" t="s">
        <v>250</v>
      </c>
      <c r="G677">
        <v>1</v>
      </c>
      <c r="H677" t="s">
        <v>292</v>
      </c>
      <c r="I677">
        <v>0</v>
      </c>
      <c r="J6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77" s="43">
        <f>IFERROR(SUMIFS(Tabela10[Fod Worth],Tabela10[Drop],DropAnalityka[[#This Row],[Drop]],Tabela10[Grade],DropAnalityka[[#This Row],[Grade]])*DropAnalityka[[#This Row],[Quality/Quantity]],0)</f>
        <v>0</v>
      </c>
      <c r="L677" s="43">
        <f>IFERROR(SUMIFS(Tabela10[Exp Gain only 2*+],Tabela10[Drop],DropAnalityka[[#This Row],[Drop]],Tabela10[Grade],DropAnalityka[[#This Row],[Grade]])*DropAnalityka[[#This Row],[Quality/Quantity]],0)</f>
        <v>0</v>
      </c>
    </row>
    <row r="678" spans="1:12">
      <c r="A678" t="s">
        <v>172</v>
      </c>
      <c r="B678" t="s">
        <v>9</v>
      </c>
      <c r="C678">
        <v>8</v>
      </c>
      <c r="D678">
        <v>3681</v>
      </c>
      <c r="E678">
        <v>1</v>
      </c>
      <c r="F678" t="s">
        <v>258</v>
      </c>
      <c r="G678">
        <v>1</v>
      </c>
      <c r="H678" t="s">
        <v>27</v>
      </c>
      <c r="I678">
        <v>3300</v>
      </c>
      <c r="J678">
        <f>DropAnalityka[[#This Row],[Sell Drop]]+IFERROR(SUMIFS(Tabela10[Drop Worth],Tabela10[Drop],DropAnalityka[[#This Row],[Drop]],Tabela10[Grade],DropAnalityka[[#This Row],[Grade]])*DropAnalityka[[#This Row],[Quality/Quantity]],0)</f>
        <v>3300</v>
      </c>
      <c r="K678" s="43">
        <f>IFERROR(SUMIFS(Tabela10[Fod Worth],Tabela10[Drop],DropAnalityka[[#This Row],[Drop]],Tabela10[Grade],DropAnalityka[[#This Row],[Grade]])*DropAnalityka[[#This Row],[Quality/Quantity]],0)</f>
        <v>0</v>
      </c>
      <c r="L678" s="43">
        <f>IFERROR(SUMIFS(Tabela10[Exp Gain only 2*+],Tabela10[Drop],DropAnalityka[[#This Row],[Drop]],Tabela10[Grade],DropAnalityka[[#This Row],[Grade]])*DropAnalityka[[#This Row],[Quality/Quantity]],0)</f>
        <v>0</v>
      </c>
    </row>
    <row r="679" spans="1:12">
      <c r="A679" t="s">
        <v>60</v>
      </c>
      <c r="B679" t="s">
        <v>30</v>
      </c>
      <c r="C679">
        <v>1</v>
      </c>
      <c r="D679">
        <v>830</v>
      </c>
      <c r="E679">
        <v>0</v>
      </c>
      <c r="I679">
        <v>1824</v>
      </c>
      <c r="J67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79" s="43">
        <f>IFERROR(SUMIFS(Tabela10[Fod Worth],Tabela10[Drop],DropAnalityka[[#This Row],[Drop]],Tabela10[Grade],DropAnalityka[[#This Row],[Grade]])*DropAnalityka[[#This Row],[Quality/Quantity]],0)</f>
        <v>0</v>
      </c>
      <c r="L679" s="43">
        <f>IFERROR(SUMIFS(Tabela10[Exp Gain only 2*+],Tabela10[Drop],DropAnalityka[[#This Row],[Drop]],Tabela10[Grade],DropAnalityka[[#This Row],[Grade]])*DropAnalityka[[#This Row],[Quality/Quantity]],0)</f>
        <v>0</v>
      </c>
    </row>
    <row r="680" spans="1:12">
      <c r="A680" t="s">
        <v>60</v>
      </c>
      <c r="B680" t="s">
        <v>30</v>
      </c>
      <c r="C680">
        <v>1</v>
      </c>
      <c r="D680">
        <v>1949</v>
      </c>
      <c r="E680">
        <v>4</v>
      </c>
      <c r="I680">
        <v>1824</v>
      </c>
      <c r="J68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0" s="43">
        <f>IFERROR(SUMIFS(Tabela10[Fod Worth],Tabela10[Drop],DropAnalityka[[#This Row],[Drop]],Tabela10[Grade],DropAnalityka[[#This Row],[Grade]])*DropAnalityka[[#This Row],[Quality/Quantity]],0)</f>
        <v>0</v>
      </c>
      <c r="L680" s="43">
        <f>IFERROR(SUMIFS(Tabela10[Exp Gain only 2*+],Tabela10[Drop],DropAnalityka[[#This Row],[Drop]],Tabela10[Grade],DropAnalityka[[#This Row],[Grade]])*DropAnalityka[[#This Row],[Quality/Quantity]],0)</f>
        <v>0</v>
      </c>
    </row>
    <row r="681" spans="1:12">
      <c r="A681" t="s">
        <v>60</v>
      </c>
      <c r="B681" t="s">
        <v>30</v>
      </c>
      <c r="C681">
        <v>1</v>
      </c>
      <c r="D681">
        <v>1975</v>
      </c>
      <c r="E681">
        <v>1</v>
      </c>
      <c r="I681">
        <v>1824</v>
      </c>
      <c r="J681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1" s="43">
        <f>IFERROR(SUMIFS(Tabela10[Fod Worth],Tabela10[Drop],DropAnalityka[[#This Row],[Drop]],Tabela10[Grade],DropAnalityka[[#This Row],[Grade]])*DropAnalityka[[#This Row],[Quality/Quantity]],0)</f>
        <v>0</v>
      </c>
      <c r="L681" s="43">
        <f>IFERROR(SUMIFS(Tabela10[Exp Gain only 2*+],Tabela10[Drop],DropAnalityka[[#This Row],[Drop]],Tabela10[Grade],DropAnalityka[[#This Row],[Grade]])*DropAnalityka[[#This Row],[Quality/Quantity]],0)</f>
        <v>0</v>
      </c>
    </row>
    <row r="682" spans="1:12">
      <c r="A682" t="s">
        <v>60</v>
      </c>
      <c r="B682" t="s">
        <v>30</v>
      </c>
      <c r="C682">
        <v>1</v>
      </c>
      <c r="D682">
        <v>1446</v>
      </c>
      <c r="E682">
        <v>0</v>
      </c>
      <c r="I682">
        <v>1824</v>
      </c>
      <c r="J68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2" s="43">
        <f>IFERROR(SUMIFS(Tabela10[Fod Worth],Tabela10[Drop],DropAnalityka[[#This Row],[Drop]],Tabela10[Grade],DropAnalityka[[#This Row],[Grade]])*DropAnalityka[[#This Row],[Quality/Quantity]],0)</f>
        <v>0</v>
      </c>
      <c r="L682" s="43">
        <f>IFERROR(SUMIFS(Tabela10[Exp Gain only 2*+],Tabela10[Drop],DropAnalityka[[#This Row],[Drop]],Tabela10[Grade],DropAnalityka[[#This Row],[Grade]])*DropAnalityka[[#This Row],[Quality/Quantity]],0)</f>
        <v>0</v>
      </c>
    </row>
    <row r="683" spans="1:12">
      <c r="A683" t="s">
        <v>60</v>
      </c>
      <c r="B683" t="s">
        <v>30</v>
      </c>
      <c r="C683">
        <v>1</v>
      </c>
      <c r="D683">
        <v>891</v>
      </c>
      <c r="E683">
        <v>2</v>
      </c>
      <c r="I683">
        <v>1824</v>
      </c>
      <c r="J68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3" s="43">
        <f>IFERROR(SUMIFS(Tabela10[Fod Worth],Tabela10[Drop],DropAnalityka[[#This Row],[Drop]],Tabela10[Grade],DropAnalityka[[#This Row],[Grade]])*DropAnalityka[[#This Row],[Quality/Quantity]],0)</f>
        <v>0</v>
      </c>
      <c r="L683" s="43">
        <f>IFERROR(SUMIFS(Tabela10[Exp Gain only 2*+],Tabela10[Drop],DropAnalityka[[#This Row],[Drop]],Tabela10[Grade],DropAnalityka[[#This Row],[Grade]])*DropAnalityka[[#This Row],[Quality/Quantity]],0)</f>
        <v>0</v>
      </c>
    </row>
    <row r="684" spans="1:12">
      <c r="A684" t="s">
        <v>60</v>
      </c>
      <c r="B684" t="s">
        <v>30</v>
      </c>
      <c r="C684">
        <v>1</v>
      </c>
      <c r="D684">
        <v>1724</v>
      </c>
      <c r="E684">
        <v>1</v>
      </c>
      <c r="I684">
        <v>2128</v>
      </c>
      <c r="J684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684" s="43">
        <f>IFERROR(SUMIFS(Tabela10[Fod Worth],Tabela10[Drop],DropAnalityka[[#This Row],[Drop]],Tabela10[Grade],DropAnalityka[[#This Row],[Grade]])*DropAnalityka[[#This Row],[Quality/Quantity]],0)</f>
        <v>0</v>
      </c>
      <c r="L684" s="43">
        <f>IFERROR(SUMIFS(Tabela10[Exp Gain only 2*+],Tabela10[Drop],DropAnalityka[[#This Row],[Drop]],Tabela10[Grade],DropAnalityka[[#This Row],[Grade]])*DropAnalityka[[#This Row],[Quality/Quantity]],0)</f>
        <v>0</v>
      </c>
    </row>
    <row r="685" spans="1:12">
      <c r="A685" t="s">
        <v>60</v>
      </c>
      <c r="B685" t="s">
        <v>30</v>
      </c>
      <c r="C685">
        <v>1</v>
      </c>
      <c r="D685">
        <v>1612</v>
      </c>
      <c r="E685">
        <v>1</v>
      </c>
      <c r="I685">
        <v>1824</v>
      </c>
      <c r="J68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5" s="43">
        <f>IFERROR(SUMIFS(Tabela10[Fod Worth],Tabela10[Drop],DropAnalityka[[#This Row],[Drop]],Tabela10[Grade],DropAnalityka[[#This Row],[Grade]])*DropAnalityka[[#This Row],[Quality/Quantity]],0)</f>
        <v>0</v>
      </c>
      <c r="L685" s="43">
        <f>IFERROR(SUMIFS(Tabela10[Exp Gain only 2*+],Tabela10[Drop],DropAnalityka[[#This Row],[Drop]],Tabela10[Grade],DropAnalityka[[#This Row],[Grade]])*DropAnalityka[[#This Row],[Quality/Quantity]],0)</f>
        <v>0</v>
      </c>
    </row>
    <row r="686" spans="1:12">
      <c r="A686" t="s">
        <v>60</v>
      </c>
      <c r="B686" t="s">
        <v>30</v>
      </c>
      <c r="C686">
        <v>1</v>
      </c>
      <c r="D686">
        <v>1367</v>
      </c>
      <c r="E686">
        <v>1</v>
      </c>
      <c r="I686">
        <v>1824</v>
      </c>
      <c r="J68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686" s="43">
        <f>IFERROR(SUMIFS(Tabela10[Fod Worth],Tabela10[Drop],DropAnalityka[[#This Row],[Drop]],Tabela10[Grade],DropAnalityka[[#This Row],[Grade]])*DropAnalityka[[#This Row],[Quality/Quantity]],0)</f>
        <v>0</v>
      </c>
      <c r="L686" s="43">
        <f>IFERROR(SUMIFS(Tabela10[Exp Gain only 2*+],Tabela10[Drop],DropAnalityka[[#This Row],[Drop]],Tabela10[Grade],DropAnalityka[[#This Row],[Grade]])*DropAnalityka[[#This Row],[Quality/Quantity]],0)</f>
        <v>0</v>
      </c>
    </row>
    <row r="687" spans="1:12">
      <c r="A687" t="s">
        <v>60</v>
      </c>
      <c r="B687" t="s">
        <v>30</v>
      </c>
      <c r="C687">
        <v>1</v>
      </c>
      <c r="D687">
        <v>1529</v>
      </c>
      <c r="E687">
        <v>0</v>
      </c>
      <c r="I687">
        <v>2937</v>
      </c>
      <c r="J687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687" s="43">
        <f>IFERROR(SUMIFS(Tabela10[Fod Worth],Tabela10[Drop],DropAnalityka[[#This Row],[Drop]],Tabela10[Grade],DropAnalityka[[#This Row],[Grade]])*DropAnalityka[[#This Row],[Quality/Quantity]],0)</f>
        <v>0</v>
      </c>
      <c r="L687" s="43">
        <f>IFERROR(SUMIFS(Tabela10[Exp Gain only 2*+],Tabela10[Drop],DropAnalityka[[#This Row],[Drop]],Tabela10[Grade],DropAnalityka[[#This Row],[Grade]])*DropAnalityka[[#This Row],[Quality/Quantity]],0)</f>
        <v>0</v>
      </c>
    </row>
    <row r="688" spans="1:12">
      <c r="A688" s="10" t="s">
        <v>36</v>
      </c>
      <c r="B688" t="s">
        <v>9</v>
      </c>
      <c r="C688">
        <v>7</v>
      </c>
      <c r="D688">
        <v>2489</v>
      </c>
      <c r="E688">
        <v>0</v>
      </c>
      <c r="F688" t="s">
        <v>34</v>
      </c>
      <c r="G688">
        <v>4</v>
      </c>
      <c r="H688" t="s">
        <v>17</v>
      </c>
      <c r="I688">
        <v>0</v>
      </c>
      <c r="J688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688" s="43">
        <f>IFERROR(SUMIFS(Tabela10[Fod Worth],Tabela10[Drop],DropAnalityka[[#This Row],[Drop]],Tabela10[Grade],DropAnalityka[[#This Row],[Grade]])*DropAnalityka[[#This Row],[Quality/Quantity]],0)</f>
        <v>0</v>
      </c>
      <c r="L688" s="43">
        <f>IFERROR(SUMIFS(Tabela10[Exp Gain only 2*+],Tabela10[Drop],DropAnalityka[[#This Row],[Drop]],Tabela10[Grade],DropAnalityka[[#This Row],[Grade]])*DropAnalityka[[#This Row],[Quality/Quantity]],0)</f>
        <v>3200</v>
      </c>
    </row>
    <row r="689" spans="1:12">
      <c r="A689" s="10" t="s">
        <v>36</v>
      </c>
      <c r="B689" t="s">
        <v>9</v>
      </c>
      <c r="C689">
        <v>7</v>
      </c>
      <c r="D689">
        <v>2683</v>
      </c>
      <c r="E689">
        <v>0</v>
      </c>
      <c r="F689" t="s">
        <v>252</v>
      </c>
      <c r="G689">
        <v>1</v>
      </c>
      <c r="H689" t="s">
        <v>292</v>
      </c>
      <c r="I689">
        <v>0</v>
      </c>
      <c r="J6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89" s="43">
        <f>IFERROR(SUMIFS(Tabela10[Fod Worth],Tabela10[Drop],DropAnalityka[[#This Row],[Drop]],Tabela10[Grade],DropAnalityka[[#This Row],[Grade]])*DropAnalityka[[#This Row],[Quality/Quantity]],0)</f>
        <v>0</v>
      </c>
      <c r="L689" s="43">
        <f>IFERROR(SUMIFS(Tabela10[Exp Gain only 2*+],Tabela10[Drop],DropAnalityka[[#This Row],[Drop]],Tabela10[Grade],DropAnalityka[[#This Row],[Grade]])*DropAnalityka[[#This Row],[Quality/Quantity]],0)</f>
        <v>0</v>
      </c>
    </row>
    <row r="690" spans="1:12">
      <c r="A690" s="10" t="s">
        <v>36</v>
      </c>
      <c r="B690" t="s">
        <v>9</v>
      </c>
      <c r="C690">
        <v>7</v>
      </c>
      <c r="D690">
        <v>2361</v>
      </c>
      <c r="E690">
        <v>3</v>
      </c>
      <c r="F690" t="s">
        <v>252</v>
      </c>
      <c r="G690">
        <v>1</v>
      </c>
      <c r="H690" t="s">
        <v>271</v>
      </c>
      <c r="I690">
        <v>0</v>
      </c>
      <c r="J6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0" s="43">
        <f>IFERROR(SUMIFS(Tabela10[Fod Worth],Tabela10[Drop],DropAnalityka[[#This Row],[Drop]],Tabela10[Grade],DropAnalityka[[#This Row],[Grade]])*DropAnalityka[[#This Row],[Quality/Quantity]],0)</f>
        <v>0</v>
      </c>
      <c r="L690" s="43">
        <f>IFERROR(SUMIFS(Tabela10[Exp Gain only 2*+],Tabela10[Drop],DropAnalityka[[#This Row],[Drop]],Tabela10[Grade],DropAnalityka[[#This Row],[Grade]])*DropAnalityka[[#This Row],[Quality/Quantity]],0)</f>
        <v>0</v>
      </c>
    </row>
    <row r="691" spans="1:12">
      <c r="A691" s="10" t="s">
        <v>36</v>
      </c>
      <c r="B691" t="s">
        <v>9</v>
      </c>
      <c r="C691">
        <v>7</v>
      </c>
      <c r="D691">
        <v>2012</v>
      </c>
      <c r="E691">
        <v>1</v>
      </c>
      <c r="F691" t="s">
        <v>252</v>
      </c>
      <c r="G691">
        <v>1</v>
      </c>
      <c r="H691" t="s">
        <v>292</v>
      </c>
      <c r="I691">
        <v>0</v>
      </c>
      <c r="J6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1" s="43">
        <f>IFERROR(SUMIFS(Tabela10[Fod Worth],Tabela10[Drop],DropAnalityka[[#This Row],[Drop]],Tabela10[Grade],DropAnalityka[[#This Row],[Grade]])*DropAnalityka[[#This Row],[Quality/Quantity]],0)</f>
        <v>0</v>
      </c>
      <c r="L691" s="43">
        <f>IFERROR(SUMIFS(Tabela10[Exp Gain only 2*+],Tabela10[Drop],DropAnalityka[[#This Row],[Drop]],Tabela10[Grade],DropAnalityka[[#This Row],[Grade]])*DropAnalityka[[#This Row],[Quality/Quantity]],0)</f>
        <v>0</v>
      </c>
    </row>
    <row r="692" spans="1:12">
      <c r="A692" s="10" t="s">
        <v>36</v>
      </c>
      <c r="B692" t="s">
        <v>9</v>
      </c>
      <c r="C692">
        <v>7</v>
      </c>
      <c r="D692">
        <v>2525</v>
      </c>
      <c r="E692">
        <v>0</v>
      </c>
      <c r="F692" t="s">
        <v>250</v>
      </c>
      <c r="G692">
        <v>1</v>
      </c>
      <c r="H692" t="s">
        <v>292</v>
      </c>
      <c r="I692">
        <v>0</v>
      </c>
      <c r="J6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2" s="43">
        <f>IFERROR(SUMIFS(Tabela10[Fod Worth],Tabela10[Drop],DropAnalityka[[#This Row],[Drop]],Tabela10[Grade],DropAnalityka[[#This Row],[Grade]])*DropAnalityka[[#This Row],[Quality/Quantity]],0)</f>
        <v>0</v>
      </c>
      <c r="L692" s="43">
        <f>IFERROR(SUMIFS(Tabela10[Exp Gain only 2*+],Tabela10[Drop],DropAnalityka[[#This Row],[Drop]],Tabela10[Grade],DropAnalityka[[#This Row],[Grade]])*DropAnalityka[[#This Row],[Quality/Quantity]],0)</f>
        <v>0</v>
      </c>
    </row>
    <row r="693" spans="1:12">
      <c r="A693" s="10" t="s">
        <v>36</v>
      </c>
      <c r="B693" t="s">
        <v>9</v>
      </c>
      <c r="C693">
        <v>7</v>
      </c>
      <c r="D693">
        <v>2271</v>
      </c>
      <c r="E693">
        <v>0</v>
      </c>
      <c r="F693" t="s">
        <v>252</v>
      </c>
      <c r="G693">
        <v>4</v>
      </c>
      <c r="H693" t="s">
        <v>270</v>
      </c>
      <c r="I693">
        <v>0</v>
      </c>
      <c r="J6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3" s="43">
        <f>IFERROR(SUMIFS(Tabela10[Fod Worth],Tabela10[Drop],DropAnalityka[[#This Row],[Drop]],Tabela10[Grade],DropAnalityka[[#This Row],[Grade]])*DropAnalityka[[#This Row],[Quality/Quantity]],0)</f>
        <v>0</v>
      </c>
      <c r="L693" s="43">
        <f>IFERROR(SUMIFS(Tabela10[Exp Gain only 2*+],Tabela10[Drop],DropAnalityka[[#This Row],[Drop]],Tabela10[Grade],DropAnalityka[[#This Row],[Grade]])*DropAnalityka[[#This Row],[Quality/Quantity]],0)</f>
        <v>0</v>
      </c>
    </row>
    <row r="694" spans="1:12">
      <c r="A694" s="10" t="s">
        <v>36</v>
      </c>
      <c r="B694" t="s">
        <v>9</v>
      </c>
      <c r="C694">
        <v>7</v>
      </c>
      <c r="D694">
        <v>2602</v>
      </c>
      <c r="E694">
        <v>1</v>
      </c>
      <c r="F694" t="s">
        <v>18</v>
      </c>
      <c r="G694">
        <v>1</v>
      </c>
      <c r="H694" t="s">
        <v>271</v>
      </c>
      <c r="I694">
        <v>0</v>
      </c>
      <c r="J6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4" s="43">
        <f>IFERROR(SUMIFS(Tabela10[Fod Worth],Tabela10[Drop],DropAnalityka[[#This Row],[Drop]],Tabela10[Grade],DropAnalityka[[#This Row],[Grade]])*DropAnalityka[[#This Row],[Quality/Quantity]],0)</f>
        <v>0</v>
      </c>
      <c r="L694" s="43">
        <f>IFERROR(SUMIFS(Tabela10[Exp Gain only 2*+],Tabela10[Drop],DropAnalityka[[#This Row],[Drop]],Tabela10[Grade],DropAnalityka[[#This Row],[Grade]])*DropAnalityka[[#This Row],[Quality/Quantity]],0)</f>
        <v>0</v>
      </c>
    </row>
    <row r="695" spans="1:12">
      <c r="A695" s="10" t="s">
        <v>36</v>
      </c>
      <c r="B695" t="s">
        <v>9</v>
      </c>
      <c r="C695">
        <v>7</v>
      </c>
      <c r="D695">
        <v>2453</v>
      </c>
      <c r="E695">
        <v>0</v>
      </c>
      <c r="F695" t="s">
        <v>252</v>
      </c>
      <c r="G695">
        <v>1</v>
      </c>
      <c r="H695" t="s">
        <v>292</v>
      </c>
      <c r="I695">
        <v>0</v>
      </c>
      <c r="J6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5" s="43">
        <f>IFERROR(SUMIFS(Tabela10[Fod Worth],Tabela10[Drop],DropAnalityka[[#This Row],[Drop]],Tabela10[Grade],DropAnalityka[[#This Row],[Grade]])*DropAnalityka[[#This Row],[Quality/Quantity]],0)</f>
        <v>0</v>
      </c>
      <c r="L695" s="43">
        <f>IFERROR(SUMIFS(Tabela10[Exp Gain only 2*+],Tabela10[Drop],DropAnalityka[[#This Row],[Drop]],Tabela10[Grade],DropAnalityka[[#This Row],[Grade]])*DropAnalityka[[#This Row],[Quality/Quantity]],0)</f>
        <v>0</v>
      </c>
    </row>
    <row r="696" spans="1:12">
      <c r="A696" s="10" t="s">
        <v>36</v>
      </c>
      <c r="B696" t="s">
        <v>9</v>
      </c>
      <c r="C696">
        <v>7</v>
      </c>
      <c r="D696">
        <v>2244</v>
      </c>
      <c r="E696">
        <v>0</v>
      </c>
      <c r="F696" t="s">
        <v>252</v>
      </c>
      <c r="G696">
        <v>5</v>
      </c>
      <c r="H696" t="s">
        <v>270</v>
      </c>
      <c r="I696">
        <v>0</v>
      </c>
      <c r="J6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6" s="43">
        <f>IFERROR(SUMIFS(Tabela10[Fod Worth],Tabela10[Drop],DropAnalityka[[#This Row],[Drop]],Tabela10[Grade],DropAnalityka[[#This Row],[Grade]])*DropAnalityka[[#This Row],[Quality/Quantity]],0)</f>
        <v>0</v>
      </c>
      <c r="L696" s="43">
        <f>IFERROR(SUMIFS(Tabela10[Exp Gain only 2*+],Tabela10[Drop],DropAnalityka[[#This Row],[Drop]],Tabela10[Grade],DropAnalityka[[#This Row],[Grade]])*DropAnalityka[[#This Row],[Quality/Quantity]],0)</f>
        <v>0</v>
      </c>
    </row>
    <row r="697" spans="1:12">
      <c r="A697" s="10" t="s">
        <v>36</v>
      </c>
      <c r="B697" t="s">
        <v>9</v>
      </c>
      <c r="C697">
        <v>7</v>
      </c>
      <c r="D697">
        <v>2817</v>
      </c>
      <c r="E697">
        <v>0</v>
      </c>
      <c r="F697" t="s">
        <v>252</v>
      </c>
      <c r="G697">
        <v>1</v>
      </c>
      <c r="H697" t="s">
        <v>271</v>
      </c>
      <c r="I697">
        <v>0</v>
      </c>
      <c r="J6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7" s="43">
        <f>IFERROR(SUMIFS(Tabela10[Fod Worth],Tabela10[Drop],DropAnalityka[[#This Row],[Drop]],Tabela10[Grade],DropAnalityka[[#This Row],[Grade]])*DropAnalityka[[#This Row],[Quality/Quantity]],0)</f>
        <v>0</v>
      </c>
      <c r="L697" s="43">
        <f>IFERROR(SUMIFS(Tabela10[Exp Gain only 2*+],Tabela10[Drop],DropAnalityka[[#This Row],[Drop]],Tabela10[Grade],DropAnalityka[[#This Row],[Grade]])*DropAnalityka[[#This Row],[Quality/Quantity]],0)</f>
        <v>0</v>
      </c>
    </row>
    <row r="698" spans="1:12">
      <c r="A698" s="10" t="s">
        <v>36</v>
      </c>
      <c r="B698" t="s">
        <v>9</v>
      </c>
      <c r="C698">
        <v>7</v>
      </c>
      <c r="D698">
        <v>2234</v>
      </c>
      <c r="E698">
        <v>1</v>
      </c>
      <c r="F698" t="s">
        <v>252</v>
      </c>
      <c r="G698">
        <v>3</v>
      </c>
      <c r="H698" t="s">
        <v>270</v>
      </c>
      <c r="I698">
        <v>0</v>
      </c>
      <c r="J6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698" s="43">
        <f>IFERROR(SUMIFS(Tabela10[Fod Worth],Tabela10[Drop],DropAnalityka[[#This Row],[Drop]],Tabela10[Grade],DropAnalityka[[#This Row],[Grade]])*DropAnalityka[[#This Row],[Quality/Quantity]],0)</f>
        <v>0</v>
      </c>
      <c r="L698" s="43">
        <f>IFERROR(SUMIFS(Tabela10[Exp Gain only 2*+],Tabela10[Drop],DropAnalityka[[#This Row],[Drop]],Tabela10[Grade],DropAnalityka[[#This Row],[Grade]])*DropAnalityka[[#This Row],[Quality/Quantity]],0)</f>
        <v>0</v>
      </c>
    </row>
    <row r="699" spans="1:12">
      <c r="A699" s="10" t="s">
        <v>36</v>
      </c>
      <c r="B699" t="s">
        <v>9</v>
      </c>
      <c r="C699">
        <v>7</v>
      </c>
      <c r="D699">
        <v>2463</v>
      </c>
      <c r="E699">
        <v>0</v>
      </c>
      <c r="F699" t="s">
        <v>34</v>
      </c>
      <c r="G699">
        <v>4</v>
      </c>
      <c r="H699" t="s">
        <v>17</v>
      </c>
      <c r="I699">
        <v>0</v>
      </c>
      <c r="J69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699" s="43">
        <f>IFERROR(SUMIFS(Tabela10[Fod Worth],Tabela10[Drop],DropAnalityka[[#This Row],[Drop]],Tabela10[Grade],DropAnalityka[[#This Row],[Grade]])*DropAnalityka[[#This Row],[Quality/Quantity]],0)</f>
        <v>0</v>
      </c>
      <c r="L699" s="43">
        <f>IFERROR(SUMIFS(Tabela10[Exp Gain only 2*+],Tabela10[Drop],DropAnalityka[[#This Row],[Drop]],Tabela10[Grade],DropAnalityka[[#This Row],[Grade]])*DropAnalityka[[#This Row],[Quality/Quantity]],0)</f>
        <v>3200</v>
      </c>
    </row>
    <row r="700" spans="1:12">
      <c r="A700" s="10" t="s">
        <v>36</v>
      </c>
      <c r="B700" t="s">
        <v>9</v>
      </c>
      <c r="C700">
        <v>7</v>
      </c>
      <c r="D700">
        <v>2474</v>
      </c>
      <c r="E700">
        <v>0</v>
      </c>
      <c r="F700" t="s">
        <v>252</v>
      </c>
      <c r="G700">
        <v>5</v>
      </c>
      <c r="H700" t="s">
        <v>270</v>
      </c>
      <c r="I700">
        <v>0</v>
      </c>
      <c r="J7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0" s="43">
        <f>IFERROR(SUMIFS(Tabela10[Fod Worth],Tabela10[Drop],DropAnalityka[[#This Row],[Drop]],Tabela10[Grade],DropAnalityka[[#This Row],[Grade]])*DropAnalityka[[#This Row],[Quality/Quantity]],0)</f>
        <v>0</v>
      </c>
      <c r="L700" s="43">
        <f>IFERROR(SUMIFS(Tabela10[Exp Gain only 2*+],Tabela10[Drop],DropAnalityka[[#This Row],[Drop]],Tabela10[Grade],DropAnalityka[[#This Row],[Grade]])*DropAnalityka[[#This Row],[Quality/Quantity]],0)</f>
        <v>0</v>
      </c>
    </row>
    <row r="701" spans="1:12">
      <c r="A701" s="10" t="s">
        <v>36</v>
      </c>
      <c r="B701" t="s">
        <v>9</v>
      </c>
      <c r="C701">
        <v>7</v>
      </c>
      <c r="D701">
        <v>2455</v>
      </c>
      <c r="E701">
        <v>0</v>
      </c>
      <c r="F701" t="s">
        <v>252</v>
      </c>
      <c r="G701">
        <v>1</v>
      </c>
      <c r="H701" t="s">
        <v>292</v>
      </c>
      <c r="I701">
        <v>0</v>
      </c>
      <c r="J7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1" s="43">
        <f>IFERROR(SUMIFS(Tabela10[Fod Worth],Tabela10[Drop],DropAnalityka[[#This Row],[Drop]],Tabela10[Grade],DropAnalityka[[#This Row],[Grade]])*DropAnalityka[[#This Row],[Quality/Quantity]],0)</f>
        <v>0</v>
      </c>
      <c r="L701" s="43">
        <f>IFERROR(SUMIFS(Tabela10[Exp Gain only 2*+],Tabela10[Drop],DropAnalityka[[#This Row],[Drop]],Tabela10[Grade],DropAnalityka[[#This Row],[Grade]])*DropAnalityka[[#This Row],[Quality/Quantity]],0)</f>
        <v>0</v>
      </c>
    </row>
    <row r="702" spans="1:12">
      <c r="A702" s="10" t="s">
        <v>36</v>
      </c>
      <c r="B702" t="s">
        <v>9</v>
      </c>
      <c r="C702">
        <v>7</v>
      </c>
      <c r="D702">
        <v>2373</v>
      </c>
      <c r="E702">
        <v>1</v>
      </c>
      <c r="F702" t="s">
        <v>252</v>
      </c>
      <c r="G702">
        <v>1</v>
      </c>
      <c r="H702" t="s">
        <v>271</v>
      </c>
      <c r="I702">
        <v>0</v>
      </c>
      <c r="J7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2" s="43">
        <f>IFERROR(SUMIFS(Tabela10[Fod Worth],Tabela10[Drop],DropAnalityka[[#This Row],[Drop]],Tabela10[Grade],DropAnalityka[[#This Row],[Grade]])*DropAnalityka[[#This Row],[Quality/Quantity]],0)</f>
        <v>0</v>
      </c>
      <c r="L702" s="43">
        <f>IFERROR(SUMIFS(Tabela10[Exp Gain only 2*+],Tabela10[Drop],DropAnalityka[[#This Row],[Drop]],Tabela10[Grade],DropAnalityka[[#This Row],[Grade]])*DropAnalityka[[#This Row],[Quality/Quantity]],0)</f>
        <v>0</v>
      </c>
    </row>
    <row r="703" spans="1:12">
      <c r="A703" s="10" t="s">
        <v>36</v>
      </c>
      <c r="B703" t="s">
        <v>9</v>
      </c>
      <c r="C703">
        <v>7</v>
      </c>
      <c r="D703">
        <v>2131</v>
      </c>
      <c r="E703">
        <v>1</v>
      </c>
      <c r="F703" t="s">
        <v>252</v>
      </c>
      <c r="G703">
        <v>1</v>
      </c>
      <c r="H703" t="s">
        <v>292</v>
      </c>
      <c r="I703">
        <v>0</v>
      </c>
      <c r="J7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3" s="43">
        <f>IFERROR(SUMIFS(Tabela10[Fod Worth],Tabela10[Drop],DropAnalityka[[#This Row],[Drop]],Tabela10[Grade],DropAnalityka[[#This Row],[Grade]])*DropAnalityka[[#This Row],[Quality/Quantity]],0)</f>
        <v>0</v>
      </c>
      <c r="L703" s="43">
        <f>IFERROR(SUMIFS(Tabela10[Exp Gain only 2*+],Tabela10[Drop],DropAnalityka[[#This Row],[Drop]],Tabela10[Grade],DropAnalityka[[#This Row],[Grade]])*DropAnalityka[[#This Row],[Quality/Quantity]],0)</f>
        <v>0</v>
      </c>
    </row>
    <row r="704" spans="1:12">
      <c r="A704" s="10" t="s">
        <v>36</v>
      </c>
      <c r="B704" t="s">
        <v>9</v>
      </c>
      <c r="C704">
        <v>7</v>
      </c>
      <c r="D704">
        <v>2300</v>
      </c>
      <c r="E704">
        <v>0</v>
      </c>
      <c r="F704" t="s">
        <v>34</v>
      </c>
      <c r="G704">
        <v>4</v>
      </c>
      <c r="H704" t="s">
        <v>17</v>
      </c>
      <c r="I704">
        <v>0</v>
      </c>
      <c r="J70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704" s="43">
        <f>IFERROR(SUMIFS(Tabela10[Fod Worth],Tabela10[Drop],DropAnalityka[[#This Row],[Drop]],Tabela10[Grade],DropAnalityka[[#This Row],[Grade]])*DropAnalityka[[#This Row],[Quality/Quantity]],0)</f>
        <v>0</v>
      </c>
      <c r="L704" s="43">
        <f>IFERROR(SUMIFS(Tabela10[Exp Gain only 2*+],Tabela10[Drop],DropAnalityka[[#This Row],[Drop]],Tabela10[Grade],DropAnalityka[[#This Row],[Grade]])*DropAnalityka[[#This Row],[Quality/Quantity]],0)</f>
        <v>3200</v>
      </c>
    </row>
    <row r="705" spans="1:12">
      <c r="A705" s="10" t="s">
        <v>36</v>
      </c>
      <c r="B705" t="s">
        <v>9</v>
      </c>
      <c r="C705">
        <v>7</v>
      </c>
      <c r="D705">
        <v>2089</v>
      </c>
      <c r="E705">
        <v>0</v>
      </c>
      <c r="F705" t="s">
        <v>252</v>
      </c>
      <c r="G705">
        <v>3</v>
      </c>
      <c r="H705" t="s">
        <v>270</v>
      </c>
      <c r="I705">
        <v>0</v>
      </c>
      <c r="J7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5" s="43">
        <f>IFERROR(SUMIFS(Tabela10[Fod Worth],Tabela10[Drop],DropAnalityka[[#This Row],[Drop]],Tabela10[Grade],DropAnalityka[[#This Row],[Grade]])*DropAnalityka[[#This Row],[Quality/Quantity]],0)</f>
        <v>0</v>
      </c>
      <c r="L705" s="43">
        <f>IFERROR(SUMIFS(Tabela10[Exp Gain only 2*+],Tabela10[Drop],DropAnalityka[[#This Row],[Drop]],Tabela10[Grade],DropAnalityka[[#This Row],[Grade]])*DropAnalityka[[#This Row],[Quality/Quantity]],0)</f>
        <v>0</v>
      </c>
    </row>
    <row r="706" spans="1:12">
      <c r="A706" s="10" t="s">
        <v>36</v>
      </c>
      <c r="B706" t="s">
        <v>9</v>
      </c>
      <c r="C706">
        <v>7</v>
      </c>
      <c r="D706">
        <v>2291</v>
      </c>
      <c r="E706">
        <v>1</v>
      </c>
      <c r="F706" t="s">
        <v>252</v>
      </c>
      <c r="G706">
        <v>4</v>
      </c>
      <c r="H706" t="s">
        <v>270</v>
      </c>
      <c r="I706">
        <v>0</v>
      </c>
      <c r="J7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6" s="43">
        <f>IFERROR(SUMIFS(Tabela10[Fod Worth],Tabela10[Drop],DropAnalityka[[#This Row],[Drop]],Tabela10[Grade],DropAnalityka[[#This Row],[Grade]])*DropAnalityka[[#This Row],[Quality/Quantity]],0)</f>
        <v>0</v>
      </c>
      <c r="L706" s="43">
        <f>IFERROR(SUMIFS(Tabela10[Exp Gain only 2*+],Tabela10[Drop],DropAnalityka[[#This Row],[Drop]],Tabela10[Grade],DropAnalityka[[#This Row],[Grade]])*DropAnalityka[[#This Row],[Quality/Quantity]],0)</f>
        <v>0</v>
      </c>
    </row>
    <row r="707" spans="1:12">
      <c r="A707" t="s">
        <v>173</v>
      </c>
      <c r="B707" t="s">
        <v>9</v>
      </c>
      <c r="C707">
        <v>7</v>
      </c>
      <c r="D707">
        <v>2217</v>
      </c>
      <c r="E707">
        <v>0</v>
      </c>
      <c r="F707" t="s">
        <v>251</v>
      </c>
      <c r="G707">
        <v>2</v>
      </c>
      <c r="H707" t="s">
        <v>292</v>
      </c>
      <c r="I707">
        <v>0</v>
      </c>
      <c r="J7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7" s="43">
        <f>IFERROR(SUMIFS(Tabela10[Fod Worth],Tabela10[Drop],DropAnalityka[[#This Row],[Drop]],Tabela10[Grade],DropAnalityka[[#This Row],[Grade]])*DropAnalityka[[#This Row],[Quality/Quantity]],0)</f>
        <v>0</v>
      </c>
      <c r="L707" s="43">
        <f>IFERROR(SUMIFS(Tabela10[Exp Gain only 2*+],Tabela10[Drop],DropAnalityka[[#This Row],[Drop]],Tabela10[Grade],DropAnalityka[[#This Row],[Grade]])*DropAnalityka[[#This Row],[Quality/Quantity]],0)</f>
        <v>0</v>
      </c>
    </row>
    <row r="708" spans="1:12">
      <c r="A708" t="s">
        <v>173</v>
      </c>
      <c r="B708" t="s">
        <v>9</v>
      </c>
      <c r="C708">
        <v>8</v>
      </c>
      <c r="D708">
        <v>2635</v>
      </c>
      <c r="E708">
        <v>0</v>
      </c>
      <c r="F708" t="s">
        <v>34</v>
      </c>
      <c r="G708">
        <v>5</v>
      </c>
      <c r="H708" t="s">
        <v>17</v>
      </c>
      <c r="I708">
        <v>0</v>
      </c>
      <c r="J708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708" s="43">
        <f>IFERROR(SUMIFS(Tabela10[Fod Worth],Tabela10[Drop],DropAnalityka[[#This Row],[Drop]],Tabela10[Grade],DropAnalityka[[#This Row],[Grade]])*DropAnalityka[[#This Row],[Quality/Quantity]],0)</f>
        <v>0</v>
      </c>
      <c r="L708" s="43">
        <f>IFERROR(SUMIFS(Tabela10[Exp Gain only 2*+],Tabela10[Drop],DropAnalityka[[#This Row],[Drop]],Tabela10[Grade],DropAnalityka[[#This Row],[Grade]])*DropAnalityka[[#This Row],[Quality/Quantity]],0)</f>
        <v>4000</v>
      </c>
    </row>
    <row r="709" spans="1:12">
      <c r="A709" t="s">
        <v>173</v>
      </c>
      <c r="B709" t="s">
        <v>9</v>
      </c>
      <c r="C709">
        <v>8</v>
      </c>
      <c r="D709">
        <v>2286</v>
      </c>
      <c r="E709">
        <v>0</v>
      </c>
      <c r="F709" t="s">
        <v>251</v>
      </c>
      <c r="G709">
        <v>2</v>
      </c>
      <c r="H709" t="s">
        <v>292</v>
      </c>
      <c r="I709">
        <v>0</v>
      </c>
      <c r="J7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09" s="43">
        <f>IFERROR(SUMIFS(Tabela10[Fod Worth],Tabela10[Drop],DropAnalityka[[#This Row],[Drop]],Tabela10[Grade],DropAnalityka[[#This Row],[Grade]])*DropAnalityka[[#This Row],[Quality/Quantity]],0)</f>
        <v>0</v>
      </c>
      <c r="L709" s="43">
        <f>IFERROR(SUMIFS(Tabela10[Exp Gain only 2*+],Tabela10[Drop],DropAnalityka[[#This Row],[Drop]],Tabela10[Grade],DropAnalityka[[#This Row],[Grade]])*DropAnalityka[[#This Row],[Quality/Quantity]],0)</f>
        <v>0</v>
      </c>
    </row>
    <row r="710" spans="1:12">
      <c r="A710" t="s">
        <v>173</v>
      </c>
      <c r="B710" t="s">
        <v>9</v>
      </c>
      <c r="C710">
        <v>8</v>
      </c>
      <c r="D710">
        <v>2828</v>
      </c>
      <c r="E710">
        <v>0</v>
      </c>
      <c r="F710" t="s">
        <v>251</v>
      </c>
      <c r="G710">
        <v>1</v>
      </c>
      <c r="H710" t="s">
        <v>292</v>
      </c>
      <c r="I710">
        <v>0</v>
      </c>
      <c r="J7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0" s="43">
        <f>IFERROR(SUMIFS(Tabela10[Fod Worth],Tabela10[Drop],DropAnalityka[[#This Row],[Drop]],Tabela10[Grade],DropAnalityka[[#This Row],[Grade]])*DropAnalityka[[#This Row],[Quality/Quantity]],0)</f>
        <v>0</v>
      </c>
      <c r="L710" s="43">
        <f>IFERROR(SUMIFS(Tabela10[Exp Gain only 2*+],Tabela10[Drop],DropAnalityka[[#This Row],[Drop]],Tabela10[Grade],DropAnalityka[[#This Row],[Grade]])*DropAnalityka[[#This Row],[Quality/Quantity]],0)</f>
        <v>0</v>
      </c>
    </row>
    <row r="711" spans="1:12">
      <c r="A711" t="s">
        <v>173</v>
      </c>
      <c r="B711" t="s">
        <v>9</v>
      </c>
      <c r="C711">
        <v>9</v>
      </c>
      <c r="D711">
        <v>2917</v>
      </c>
      <c r="E711">
        <v>2</v>
      </c>
      <c r="F711" t="s">
        <v>251</v>
      </c>
      <c r="G711">
        <v>3</v>
      </c>
      <c r="H711" t="s">
        <v>292</v>
      </c>
      <c r="I711">
        <v>0</v>
      </c>
      <c r="J7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1" s="43">
        <f>IFERROR(SUMIFS(Tabela10[Fod Worth],Tabela10[Drop],DropAnalityka[[#This Row],[Drop]],Tabela10[Grade],DropAnalityka[[#This Row],[Grade]])*DropAnalityka[[#This Row],[Quality/Quantity]],0)</f>
        <v>0</v>
      </c>
      <c r="L711" s="43">
        <f>IFERROR(SUMIFS(Tabela10[Exp Gain only 2*+],Tabela10[Drop],DropAnalityka[[#This Row],[Drop]],Tabela10[Grade],DropAnalityka[[#This Row],[Grade]])*DropAnalityka[[#This Row],[Quality/Quantity]],0)</f>
        <v>0</v>
      </c>
    </row>
    <row r="712" spans="1:12">
      <c r="A712" t="s">
        <v>173</v>
      </c>
      <c r="B712" t="s">
        <v>9</v>
      </c>
      <c r="C712">
        <v>10</v>
      </c>
      <c r="D712">
        <v>2771</v>
      </c>
      <c r="E712">
        <v>0</v>
      </c>
      <c r="F712" t="s">
        <v>251</v>
      </c>
      <c r="G712">
        <v>1</v>
      </c>
      <c r="H712" t="s">
        <v>292</v>
      </c>
      <c r="I712">
        <v>0</v>
      </c>
      <c r="J7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2" s="43">
        <f>IFERROR(SUMIFS(Tabela10[Fod Worth],Tabela10[Drop],DropAnalityka[[#This Row],[Drop]],Tabela10[Grade],DropAnalityka[[#This Row],[Grade]])*DropAnalityka[[#This Row],[Quality/Quantity]],0)</f>
        <v>0</v>
      </c>
      <c r="L712" s="43">
        <f>IFERROR(SUMIFS(Tabela10[Exp Gain only 2*+],Tabela10[Drop],DropAnalityka[[#This Row],[Drop]],Tabela10[Grade],DropAnalityka[[#This Row],[Grade]])*DropAnalityka[[#This Row],[Quality/Quantity]],0)</f>
        <v>0</v>
      </c>
    </row>
    <row r="713" spans="1:12">
      <c r="A713" t="s">
        <v>173</v>
      </c>
      <c r="B713" t="s">
        <v>9</v>
      </c>
      <c r="C713">
        <v>10</v>
      </c>
      <c r="D713">
        <v>3158</v>
      </c>
      <c r="E713">
        <v>1</v>
      </c>
      <c r="F713" t="s">
        <v>251</v>
      </c>
      <c r="G713">
        <v>3</v>
      </c>
      <c r="H713" t="s">
        <v>271</v>
      </c>
      <c r="I713">
        <v>0</v>
      </c>
      <c r="J7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3" s="43">
        <f>IFERROR(SUMIFS(Tabela10[Fod Worth],Tabela10[Drop],DropAnalityka[[#This Row],[Drop]],Tabela10[Grade],DropAnalityka[[#This Row],[Grade]])*DropAnalityka[[#This Row],[Quality/Quantity]],0)</f>
        <v>0</v>
      </c>
      <c r="L713" s="43">
        <f>IFERROR(SUMIFS(Tabela10[Exp Gain only 2*+],Tabela10[Drop],DropAnalityka[[#This Row],[Drop]],Tabela10[Grade],DropAnalityka[[#This Row],[Grade]])*DropAnalityka[[#This Row],[Quality/Quantity]],0)</f>
        <v>0</v>
      </c>
    </row>
    <row r="714" spans="1:12">
      <c r="A714" t="s">
        <v>173</v>
      </c>
      <c r="B714" t="s">
        <v>9</v>
      </c>
      <c r="C714">
        <v>10</v>
      </c>
      <c r="D714">
        <v>3080</v>
      </c>
      <c r="E714">
        <v>0</v>
      </c>
      <c r="F714" t="s">
        <v>251</v>
      </c>
      <c r="G714">
        <v>5</v>
      </c>
      <c r="H714" t="s">
        <v>270</v>
      </c>
      <c r="I714">
        <v>0</v>
      </c>
      <c r="J7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4" s="43">
        <f>IFERROR(SUMIFS(Tabela10[Fod Worth],Tabela10[Drop],DropAnalityka[[#This Row],[Drop]],Tabela10[Grade],DropAnalityka[[#This Row],[Grade]])*DropAnalityka[[#This Row],[Quality/Quantity]],0)</f>
        <v>0</v>
      </c>
      <c r="L714" s="43">
        <f>IFERROR(SUMIFS(Tabela10[Exp Gain only 2*+],Tabela10[Drop],DropAnalityka[[#This Row],[Drop]],Tabela10[Grade],DropAnalityka[[#This Row],[Grade]])*DropAnalityka[[#This Row],[Quality/Quantity]],0)</f>
        <v>0</v>
      </c>
    </row>
    <row r="715" spans="1:12">
      <c r="A715" t="s">
        <v>173</v>
      </c>
      <c r="B715" t="s">
        <v>9</v>
      </c>
      <c r="C715">
        <v>10</v>
      </c>
      <c r="D715">
        <v>3091</v>
      </c>
      <c r="E715">
        <v>2</v>
      </c>
      <c r="F715" t="s">
        <v>251</v>
      </c>
      <c r="G715">
        <v>5</v>
      </c>
      <c r="H715" t="s">
        <v>270</v>
      </c>
      <c r="I715">
        <v>0</v>
      </c>
      <c r="J7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5" s="43">
        <f>IFERROR(SUMIFS(Tabela10[Fod Worth],Tabela10[Drop],DropAnalityka[[#This Row],[Drop]],Tabela10[Grade],DropAnalityka[[#This Row],[Grade]])*DropAnalityka[[#This Row],[Quality/Quantity]],0)</f>
        <v>0</v>
      </c>
      <c r="L715" s="43">
        <f>IFERROR(SUMIFS(Tabela10[Exp Gain only 2*+],Tabela10[Drop],DropAnalityka[[#This Row],[Drop]],Tabela10[Grade],DropAnalityka[[#This Row],[Grade]])*DropAnalityka[[#This Row],[Quality/Quantity]],0)</f>
        <v>0</v>
      </c>
    </row>
    <row r="716" spans="1:12">
      <c r="A716" t="s">
        <v>36</v>
      </c>
      <c r="B716" t="s">
        <v>9</v>
      </c>
      <c r="C716">
        <v>9</v>
      </c>
      <c r="D716">
        <v>2945</v>
      </c>
      <c r="E716">
        <v>1</v>
      </c>
      <c r="F716" t="s">
        <v>252</v>
      </c>
      <c r="G716">
        <v>2</v>
      </c>
      <c r="H716" t="s">
        <v>271</v>
      </c>
      <c r="I716">
        <v>0</v>
      </c>
      <c r="J7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6" s="43">
        <f>IFERROR(SUMIFS(Tabela10[Fod Worth],Tabela10[Drop],DropAnalityka[[#This Row],[Drop]],Tabela10[Grade],DropAnalityka[[#This Row],[Grade]])*DropAnalityka[[#This Row],[Quality/Quantity]],0)</f>
        <v>0</v>
      </c>
      <c r="L716" s="43">
        <f>IFERROR(SUMIFS(Tabela10[Exp Gain only 2*+],Tabela10[Drop],DropAnalityka[[#This Row],[Drop]],Tabela10[Grade],DropAnalityka[[#This Row],[Grade]])*DropAnalityka[[#This Row],[Quality/Quantity]],0)</f>
        <v>0</v>
      </c>
    </row>
    <row r="717" spans="1:12">
      <c r="A717" t="s">
        <v>36</v>
      </c>
      <c r="B717" t="s">
        <v>9</v>
      </c>
      <c r="C717">
        <v>9</v>
      </c>
      <c r="D717">
        <v>2556</v>
      </c>
      <c r="E717">
        <v>1</v>
      </c>
      <c r="F717" t="s">
        <v>252</v>
      </c>
      <c r="G717">
        <v>1</v>
      </c>
      <c r="H717" t="s">
        <v>292</v>
      </c>
      <c r="I717">
        <v>0</v>
      </c>
      <c r="J7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7" s="43">
        <f>IFERROR(SUMIFS(Tabela10[Fod Worth],Tabela10[Drop],DropAnalityka[[#This Row],[Drop]],Tabela10[Grade],DropAnalityka[[#This Row],[Grade]])*DropAnalityka[[#This Row],[Quality/Quantity]],0)</f>
        <v>0</v>
      </c>
      <c r="L717" s="43">
        <f>IFERROR(SUMIFS(Tabela10[Exp Gain only 2*+],Tabela10[Drop],DropAnalityka[[#This Row],[Drop]],Tabela10[Grade],DropAnalityka[[#This Row],[Grade]])*DropAnalityka[[#This Row],[Quality/Quantity]],0)</f>
        <v>0</v>
      </c>
    </row>
    <row r="718" spans="1:12">
      <c r="A718" t="s">
        <v>36</v>
      </c>
      <c r="B718" t="s">
        <v>9</v>
      </c>
      <c r="C718">
        <v>9</v>
      </c>
      <c r="D718">
        <v>2925</v>
      </c>
      <c r="E718">
        <v>0</v>
      </c>
      <c r="F718" t="s">
        <v>252</v>
      </c>
      <c r="G718">
        <v>5</v>
      </c>
      <c r="H718" t="s">
        <v>270</v>
      </c>
      <c r="I718">
        <v>0</v>
      </c>
      <c r="J7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8" s="43">
        <f>IFERROR(SUMIFS(Tabela10[Fod Worth],Tabela10[Drop],DropAnalityka[[#This Row],[Drop]],Tabela10[Grade],DropAnalityka[[#This Row],[Grade]])*DropAnalityka[[#This Row],[Quality/Quantity]],0)</f>
        <v>0</v>
      </c>
      <c r="L718" s="43">
        <f>IFERROR(SUMIFS(Tabela10[Exp Gain only 2*+],Tabela10[Drop],DropAnalityka[[#This Row],[Drop]],Tabela10[Grade],DropAnalityka[[#This Row],[Grade]])*DropAnalityka[[#This Row],[Quality/Quantity]],0)</f>
        <v>0</v>
      </c>
    </row>
    <row r="719" spans="1:12">
      <c r="A719" t="s">
        <v>36</v>
      </c>
      <c r="B719" t="s">
        <v>9</v>
      </c>
      <c r="C719">
        <v>9</v>
      </c>
      <c r="D719">
        <v>2776</v>
      </c>
      <c r="E719">
        <v>1</v>
      </c>
      <c r="F719" t="s">
        <v>252</v>
      </c>
      <c r="G719">
        <v>5</v>
      </c>
      <c r="H719" t="s">
        <v>270</v>
      </c>
      <c r="I719">
        <v>0</v>
      </c>
      <c r="J7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19" s="43">
        <f>IFERROR(SUMIFS(Tabela10[Fod Worth],Tabela10[Drop],DropAnalityka[[#This Row],[Drop]],Tabela10[Grade],DropAnalityka[[#This Row],[Grade]])*DropAnalityka[[#This Row],[Quality/Quantity]],0)</f>
        <v>0</v>
      </c>
      <c r="L719" s="43">
        <f>IFERROR(SUMIFS(Tabela10[Exp Gain only 2*+],Tabela10[Drop],DropAnalityka[[#This Row],[Drop]],Tabela10[Grade],DropAnalityka[[#This Row],[Grade]])*DropAnalityka[[#This Row],[Quality/Quantity]],0)</f>
        <v>0</v>
      </c>
    </row>
    <row r="720" spans="1:12">
      <c r="A720" t="s">
        <v>36</v>
      </c>
      <c r="B720" t="s">
        <v>9</v>
      </c>
      <c r="C720">
        <v>9</v>
      </c>
      <c r="D720">
        <v>2669</v>
      </c>
      <c r="E720">
        <v>0</v>
      </c>
      <c r="F720" t="s">
        <v>252</v>
      </c>
      <c r="G720">
        <v>1</v>
      </c>
      <c r="H720" t="s">
        <v>292</v>
      </c>
      <c r="I720">
        <v>0</v>
      </c>
      <c r="J7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0" s="43">
        <f>IFERROR(SUMIFS(Tabela10[Fod Worth],Tabela10[Drop],DropAnalityka[[#This Row],[Drop]],Tabela10[Grade],DropAnalityka[[#This Row],[Grade]])*DropAnalityka[[#This Row],[Quality/Quantity]],0)</f>
        <v>0</v>
      </c>
      <c r="L720" s="43">
        <f>IFERROR(SUMIFS(Tabela10[Exp Gain only 2*+],Tabela10[Drop],DropAnalityka[[#This Row],[Drop]],Tabela10[Grade],DropAnalityka[[#This Row],[Grade]])*DropAnalityka[[#This Row],[Quality/Quantity]],0)</f>
        <v>0</v>
      </c>
    </row>
    <row r="721" spans="1:13">
      <c r="A721" t="s">
        <v>36</v>
      </c>
      <c r="B721" t="s">
        <v>9</v>
      </c>
      <c r="C721">
        <v>9</v>
      </c>
      <c r="D721">
        <v>2813</v>
      </c>
      <c r="E721">
        <v>1</v>
      </c>
      <c r="F721" t="s">
        <v>252</v>
      </c>
      <c r="G721">
        <v>5</v>
      </c>
      <c r="H721" t="s">
        <v>270</v>
      </c>
      <c r="I721">
        <v>0</v>
      </c>
      <c r="J7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1" s="43">
        <f>IFERROR(SUMIFS(Tabela10[Fod Worth],Tabela10[Drop],DropAnalityka[[#This Row],[Drop]],Tabela10[Grade],DropAnalityka[[#This Row],[Grade]])*DropAnalityka[[#This Row],[Quality/Quantity]],0)</f>
        <v>0</v>
      </c>
      <c r="L721" s="43">
        <f>IFERROR(SUMIFS(Tabela10[Exp Gain only 2*+],Tabela10[Drop],DropAnalityka[[#This Row],[Drop]],Tabela10[Grade],DropAnalityka[[#This Row],[Grade]])*DropAnalityka[[#This Row],[Quality/Quantity]],0)</f>
        <v>0</v>
      </c>
    </row>
    <row r="722" spans="1:13">
      <c r="A722" t="s">
        <v>36</v>
      </c>
      <c r="B722" t="s">
        <v>9</v>
      </c>
      <c r="C722">
        <v>9</v>
      </c>
      <c r="D722">
        <v>2871</v>
      </c>
      <c r="E722">
        <v>0</v>
      </c>
      <c r="F722" t="s">
        <v>252</v>
      </c>
      <c r="G722">
        <v>2</v>
      </c>
      <c r="H722" t="s">
        <v>292</v>
      </c>
      <c r="I722">
        <v>0</v>
      </c>
      <c r="J7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2" s="43">
        <f>IFERROR(SUMIFS(Tabela10[Fod Worth],Tabela10[Drop],DropAnalityka[[#This Row],[Drop]],Tabela10[Grade],DropAnalityka[[#This Row],[Grade]])*DropAnalityka[[#This Row],[Quality/Quantity]],0)</f>
        <v>0</v>
      </c>
      <c r="L722" s="43">
        <f>IFERROR(SUMIFS(Tabela10[Exp Gain only 2*+],Tabela10[Drop],DropAnalityka[[#This Row],[Drop]],Tabela10[Grade],DropAnalityka[[#This Row],[Grade]])*DropAnalityka[[#This Row],[Quality/Quantity]],0)</f>
        <v>0</v>
      </c>
    </row>
    <row r="723" spans="1:13">
      <c r="A723" t="s">
        <v>36</v>
      </c>
      <c r="B723" t="s">
        <v>9</v>
      </c>
      <c r="C723">
        <v>9</v>
      </c>
      <c r="D723">
        <v>2829</v>
      </c>
      <c r="E723">
        <v>0</v>
      </c>
      <c r="F723" t="s">
        <v>252</v>
      </c>
      <c r="G723">
        <v>3</v>
      </c>
      <c r="H723" t="s">
        <v>270</v>
      </c>
      <c r="I723">
        <v>0</v>
      </c>
      <c r="J7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3" s="43">
        <f>IFERROR(SUMIFS(Tabela10[Fod Worth],Tabela10[Drop],DropAnalityka[[#This Row],[Drop]],Tabela10[Grade],DropAnalityka[[#This Row],[Grade]])*DropAnalityka[[#This Row],[Quality/Quantity]],0)</f>
        <v>0</v>
      </c>
      <c r="L723" s="43">
        <f>IFERROR(SUMIFS(Tabela10[Exp Gain only 2*+],Tabela10[Drop],DropAnalityka[[#This Row],[Drop]],Tabela10[Grade],DropAnalityka[[#This Row],[Grade]])*DropAnalityka[[#This Row],[Quality/Quantity]],0)</f>
        <v>0</v>
      </c>
    </row>
    <row r="724" spans="1:13">
      <c r="A724" t="s">
        <v>36</v>
      </c>
      <c r="B724" t="s">
        <v>9</v>
      </c>
      <c r="C724">
        <v>9</v>
      </c>
      <c r="D724">
        <v>2312</v>
      </c>
      <c r="E724">
        <v>1</v>
      </c>
      <c r="F724" t="s">
        <v>58</v>
      </c>
      <c r="G724">
        <v>1</v>
      </c>
      <c r="H724" t="s">
        <v>12</v>
      </c>
      <c r="I724">
        <v>0</v>
      </c>
      <c r="J7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4" s="43">
        <f>IFERROR(SUMIFS(Tabela10[Fod Worth],Tabela10[Drop],DropAnalityka[[#This Row],[Drop]],Tabela10[Grade],DropAnalityka[[#This Row],[Grade]])*DropAnalityka[[#This Row],[Quality/Quantity]],0)</f>
        <v>11500</v>
      </c>
      <c r="L724" s="43">
        <f>IFERROR(SUMIFS(Tabela10[Exp Gain only 2*+],Tabela10[Drop],DropAnalityka[[#This Row],[Drop]],Tabela10[Grade],DropAnalityka[[#This Row],[Grade]])*DropAnalityka[[#This Row],[Quality/Quantity]],0)</f>
        <v>35822</v>
      </c>
    </row>
    <row r="725" spans="1:13">
      <c r="A725" t="s">
        <v>172</v>
      </c>
      <c r="B725" t="s">
        <v>9</v>
      </c>
      <c r="C725">
        <v>8</v>
      </c>
      <c r="D725">
        <v>3502</v>
      </c>
      <c r="E725">
        <v>1</v>
      </c>
      <c r="F725" t="s">
        <v>258</v>
      </c>
      <c r="G725">
        <v>1</v>
      </c>
      <c r="H725" t="s">
        <v>28</v>
      </c>
      <c r="I725">
        <v>0</v>
      </c>
      <c r="J7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5" s="43">
        <f>IFERROR(SUMIFS(Tabela10[Fod Worth],Tabela10[Drop],DropAnalityka[[#This Row],[Drop]],Tabela10[Grade],DropAnalityka[[#This Row],[Grade]])*DropAnalityka[[#This Row],[Quality/Quantity]],0)</f>
        <v>0</v>
      </c>
      <c r="L725" s="43">
        <f>IFERROR(SUMIFS(Tabela10[Exp Gain only 2*+],Tabela10[Drop],DropAnalityka[[#This Row],[Drop]],Tabela10[Grade],DropAnalityka[[#This Row],[Grade]])*DropAnalityka[[#This Row],[Quality/Quantity]],0)</f>
        <v>0</v>
      </c>
    </row>
    <row r="726" spans="1:13">
      <c r="A726" t="s">
        <v>36</v>
      </c>
      <c r="B726" t="s">
        <v>9</v>
      </c>
      <c r="C726">
        <v>9</v>
      </c>
      <c r="D726">
        <v>0</v>
      </c>
      <c r="E726">
        <v>0</v>
      </c>
      <c r="G726">
        <v>0</v>
      </c>
      <c r="I726">
        <v>0</v>
      </c>
      <c r="J7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6" s="43">
        <f>IFERROR(SUMIFS(Tabela10[Fod Worth],Tabela10[Drop],DropAnalityka[[#This Row],[Drop]],Tabela10[Grade],DropAnalityka[[#This Row],[Grade]])*DropAnalityka[[#This Row],[Quality/Quantity]],0)</f>
        <v>0</v>
      </c>
      <c r="L726" s="43">
        <f>IFERROR(SUMIFS(Tabela10[Exp Gain only 2*+],Tabela10[Drop],DropAnalityka[[#This Row],[Drop]],Tabela10[Grade],DropAnalityka[[#This Row],[Grade]])*DropAnalityka[[#This Row],[Quality/Quantity]],0)</f>
        <v>0</v>
      </c>
      <c r="M726" t="s">
        <v>204</v>
      </c>
    </row>
    <row r="727" spans="1:13">
      <c r="A727" t="s">
        <v>36</v>
      </c>
      <c r="B727" t="s">
        <v>9</v>
      </c>
      <c r="C727">
        <v>9</v>
      </c>
      <c r="D727">
        <v>2382</v>
      </c>
      <c r="E727">
        <v>0</v>
      </c>
      <c r="F727" t="s">
        <v>252</v>
      </c>
      <c r="G727">
        <v>1</v>
      </c>
      <c r="H727" t="s">
        <v>271</v>
      </c>
      <c r="I727">
        <v>0</v>
      </c>
      <c r="J7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7" s="43">
        <f>IFERROR(SUMIFS(Tabela10[Fod Worth],Tabela10[Drop],DropAnalityka[[#This Row],[Drop]],Tabela10[Grade],DropAnalityka[[#This Row],[Grade]])*DropAnalityka[[#This Row],[Quality/Quantity]],0)</f>
        <v>0</v>
      </c>
      <c r="L727" s="43">
        <f>IFERROR(SUMIFS(Tabela10[Exp Gain only 2*+],Tabela10[Drop],DropAnalityka[[#This Row],[Drop]],Tabela10[Grade],DropAnalityka[[#This Row],[Grade]])*DropAnalityka[[#This Row],[Quality/Quantity]],0)</f>
        <v>0</v>
      </c>
    </row>
    <row r="728" spans="1:13">
      <c r="A728" t="s">
        <v>36</v>
      </c>
      <c r="B728" t="s">
        <v>9</v>
      </c>
      <c r="C728">
        <v>9</v>
      </c>
      <c r="D728">
        <v>2958</v>
      </c>
      <c r="E728">
        <v>0</v>
      </c>
      <c r="F728" t="s">
        <v>58</v>
      </c>
      <c r="G728">
        <v>1</v>
      </c>
      <c r="H728" t="s">
        <v>12</v>
      </c>
      <c r="I728">
        <v>0</v>
      </c>
      <c r="J7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8" s="43">
        <f>IFERROR(SUMIFS(Tabela10[Fod Worth],Tabela10[Drop],DropAnalityka[[#This Row],[Drop]],Tabela10[Grade],DropAnalityka[[#This Row],[Grade]])*DropAnalityka[[#This Row],[Quality/Quantity]],0)</f>
        <v>11500</v>
      </c>
      <c r="L728" s="43">
        <f>IFERROR(SUMIFS(Tabela10[Exp Gain only 2*+],Tabela10[Drop],DropAnalityka[[#This Row],[Drop]],Tabela10[Grade],DropAnalityka[[#This Row],[Grade]])*DropAnalityka[[#This Row],[Quality/Quantity]],0)</f>
        <v>35822</v>
      </c>
    </row>
    <row r="729" spans="1:13">
      <c r="A729" t="s">
        <v>36</v>
      </c>
      <c r="B729" t="s">
        <v>9</v>
      </c>
      <c r="C729">
        <v>9</v>
      </c>
      <c r="D729">
        <v>2545</v>
      </c>
      <c r="E729">
        <v>2</v>
      </c>
      <c r="F729" t="s">
        <v>252</v>
      </c>
      <c r="G729">
        <v>3</v>
      </c>
      <c r="H729" t="s">
        <v>292</v>
      </c>
      <c r="I729">
        <v>0</v>
      </c>
      <c r="J7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29" s="43">
        <f>IFERROR(SUMIFS(Tabela10[Fod Worth],Tabela10[Drop],DropAnalityka[[#This Row],[Drop]],Tabela10[Grade],DropAnalityka[[#This Row],[Grade]])*DropAnalityka[[#This Row],[Quality/Quantity]],0)</f>
        <v>0</v>
      </c>
      <c r="L729" s="43">
        <f>IFERROR(SUMIFS(Tabela10[Exp Gain only 2*+],Tabela10[Drop],DropAnalityka[[#This Row],[Drop]],Tabela10[Grade],DropAnalityka[[#This Row],[Grade]])*DropAnalityka[[#This Row],[Quality/Quantity]],0)</f>
        <v>0</v>
      </c>
    </row>
    <row r="730" spans="1:13">
      <c r="A730" t="s">
        <v>36</v>
      </c>
      <c r="B730" t="s">
        <v>9</v>
      </c>
      <c r="C730">
        <v>9</v>
      </c>
      <c r="D730">
        <v>2649</v>
      </c>
      <c r="E730">
        <v>3</v>
      </c>
      <c r="F730" t="s">
        <v>249</v>
      </c>
      <c r="G730">
        <v>2</v>
      </c>
      <c r="H730" t="s">
        <v>292</v>
      </c>
      <c r="I730">
        <v>0</v>
      </c>
      <c r="J7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30" s="43">
        <f>IFERROR(SUMIFS(Tabela10[Fod Worth],Tabela10[Drop],DropAnalityka[[#This Row],[Drop]],Tabela10[Grade],DropAnalityka[[#This Row],[Grade]])*DropAnalityka[[#This Row],[Quality/Quantity]],0)</f>
        <v>0</v>
      </c>
      <c r="L730" s="43">
        <f>IFERROR(SUMIFS(Tabela10[Exp Gain only 2*+],Tabela10[Drop],DropAnalityka[[#This Row],[Drop]],Tabela10[Grade],DropAnalityka[[#This Row],[Grade]])*DropAnalityka[[#This Row],[Quality/Quantity]],0)</f>
        <v>0</v>
      </c>
    </row>
    <row r="731" spans="1:13">
      <c r="A731" t="s">
        <v>36</v>
      </c>
      <c r="B731" t="s">
        <v>9</v>
      </c>
      <c r="C731">
        <v>9</v>
      </c>
      <c r="D731">
        <v>2432</v>
      </c>
      <c r="E731">
        <v>0</v>
      </c>
      <c r="F731" t="s">
        <v>249</v>
      </c>
      <c r="G731">
        <v>4</v>
      </c>
      <c r="H731" t="s">
        <v>270</v>
      </c>
      <c r="I731">
        <v>0</v>
      </c>
      <c r="J7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31" s="43">
        <f>IFERROR(SUMIFS(Tabela10[Fod Worth],Tabela10[Drop],DropAnalityka[[#This Row],[Drop]],Tabela10[Grade],DropAnalityka[[#This Row],[Grade]])*DropAnalityka[[#This Row],[Quality/Quantity]],0)</f>
        <v>0</v>
      </c>
      <c r="L731" s="43">
        <f>IFERROR(SUMIFS(Tabela10[Exp Gain only 2*+],Tabela10[Drop],DropAnalityka[[#This Row],[Drop]],Tabela10[Grade],DropAnalityka[[#This Row],[Grade]])*DropAnalityka[[#This Row],[Quality/Quantity]],0)</f>
        <v>0</v>
      </c>
    </row>
    <row r="732" spans="1:13">
      <c r="A732" t="s">
        <v>36</v>
      </c>
      <c r="B732" t="s">
        <v>9</v>
      </c>
      <c r="C732">
        <v>9</v>
      </c>
      <c r="D732">
        <v>2881</v>
      </c>
      <c r="E732">
        <v>0</v>
      </c>
      <c r="F732" t="s">
        <v>252</v>
      </c>
      <c r="G732">
        <v>1</v>
      </c>
      <c r="H732" t="s">
        <v>271</v>
      </c>
      <c r="I732">
        <v>0</v>
      </c>
      <c r="J7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32" s="43">
        <f>IFERROR(SUMIFS(Tabela10[Fod Worth],Tabela10[Drop],DropAnalityka[[#This Row],[Drop]],Tabela10[Grade],DropAnalityka[[#This Row],[Grade]])*DropAnalityka[[#This Row],[Quality/Quantity]],0)</f>
        <v>0</v>
      </c>
      <c r="L732" s="43">
        <f>IFERROR(SUMIFS(Tabela10[Exp Gain only 2*+],Tabela10[Drop],DropAnalityka[[#This Row],[Drop]],Tabela10[Grade],DropAnalityka[[#This Row],[Grade]])*DropAnalityka[[#This Row],[Quality/Quantity]],0)</f>
        <v>0</v>
      </c>
    </row>
    <row r="733" spans="1:13">
      <c r="A733" t="s">
        <v>31</v>
      </c>
      <c r="B733" t="s">
        <v>30</v>
      </c>
      <c r="C733">
        <v>11</v>
      </c>
      <c r="D733">
        <v>1977</v>
      </c>
      <c r="E733">
        <v>0</v>
      </c>
      <c r="F733" t="s">
        <v>57</v>
      </c>
      <c r="G733">
        <v>1</v>
      </c>
      <c r="H733" t="s">
        <v>26</v>
      </c>
      <c r="I733">
        <v>0</v>
      </c>
      <c r="J7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33" s="43">
        <f>IFERROR(SUMIFS(Tabela10[Fod Worth],Tabela10[Drop],DropAnalityka[[#This Row],[Drop]],Tabela10[Grade],DropAnalityka[[#This Row],[Grade]])*DropAnalityka[[#This Row],[Quality/Quantity]],0)</f>
        <v>34500</v>
      </c>
      <c r="L733" s="43">
        <f>IFERROR(SUMIFS(Tabela10[Exp Gain only 2*+],Tabela10[Drop],DropAnalityka[[#This Row],[Drop]],Tabela10[Grade],DropAnalityka[[#This Row],[Grade]])*DropAnalityka[[#This Row],[Quality/Quantity]],0)</f>
        <v>35822</v>
      </c>
    </row>
    <row r="734" spans="1:13">
      <c r="A734" t="s">
        <v>31</v>
      </c>
      <c r="B734" t="s">
        <v>30</v>
      </c>
      <c r="C734">
        <v>11</v>
      </c>
      <c r="D734">
        <v>1544</v>
      </c>
      <c r="E734">
        <v>0</v>
      </c>
      <c r="I734">
        <v>1824</v>
      </c>
      <c r="J73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34" s="43">
        <f>IFERROR(SUMIFS(Tabela10[Fod Worth],Tabela10[Drop],DropAnalityka[[#This Row],[Drop]],Tabela10[Grade],DropAnalityka[[#This Row],[Grade]])*DropAnalityka[[#This Row],[Quality/Quantity]],0)</f>
        <v>0</v>
      </c>
      <c r="L734" s="43">
        <f>IFERROR(SUMIFS(Tabela10[Exp Gain only 2*+],Tabela10[Drop],DropAnalityka[[#This Row],[Drop]],Tabela10[Grade],DropAnalityka[[#This Row],[Grade]])*DropAnalityka[[#This Row],[Quality/Quantity]],0)</f>
        <v>0</v>
      </c>
    </row>
    <row r="735" spans="1:13">
      <c r="A735" t="s">
        <v>31</v>
      </c>
      <c r="B735" t="s">
        <v>30</v>
      </c>
      <c r="C735">
        <v>11</v>
      </c>
      <c r="D735">
        <v>1273</v>
      </c>
      <c r="E735">
        <v>1</v>
      </c>
      <c r="I735">
        <v>1824</v>
      </c>
      <c r="J73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35" s="43">
        <f>IFERROR(SUMIFS(Tabela10[Fod Worth],Tabela10[Drop],DropAnalityka[[#This Row],[Drop]],Tabela10[Grade],DropAnalityka[[#This Row],[Grade]])*DropAnalityka[[#This Row],[Quality/Quantity]],0)</f>
        <v>0</v>
      </c>
      <c r="L735" s="43">
        <f>IFERROR(SUMIFS(Tabela10[Exp Gain only 2*+],Tabela10[Drop],DropAnalityka[[#This Row],[Drop]],Tabela10[Grade],DropAnalityka[[#This Row],[Grade]])*DropAnalityka[[#This Row],[Quality/Quantity]],0)</f>
        <v>0</v>
      </c>
    </row>
    <row r="736" spans="1:13">
      <c r="A736" t="s">
        <v>31</v>
      </c>
      <c r="B736" t="s">
        <v>30</v>
      </c>
      <c r="C736">
        <v>11</v>
      </c>
      <c r="D736">
        <v>1536</v>
      </c>
      <c r="E736">
        <v>1</v>
      </c>
      <c r="I736">
        <v>1824</v>
      </c>
      <c r="J73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36" s="43">
        <f>IFERROR(SUMIFS(Tabela10[Fod Worth],Tabela10[Drop],DropAnalityka[[#This Row],[Drop]],Tabela10[Grade],DropAnalityka[[#This Row],[Grade]])*DropAnalityka[[#This Row],[Quality/Quantity]],0)</f>
        <v>0</v>
      </c>
      <c r="L736" s="43">
        <f>IFERROR(SUMIFS(Tabela10[Exp Gain only 2*+],Tabela10[Drop],DropAnalityka[[#This Row],[Drop]],Tabela10[Grade],DropAnalityka[[#This Row],[Grade]])*DropAnalityka[[#This Row],[Quality/Quantity]],0)</f>
        <v>0</v>
      </c>
    </row>
    <row r="737" spans="1:13">
      <c r="A737" t="s">
        <v>31</v>
      </c>
      <c r="B737" t="s">
        <v>30</v>
      </c>
      <c r="C737">
        <v>11</v>
      </c>
      <c r="D737">
        <v>1739</v>
      </c>
      <c r="E737">
        <v>0</v>
      </c>
      <c r="F737" t="s">
        <v>34</v>
      </c>
      <c r="G737">
        <v>2</v>
      </c>
      <c r="H737" t="s">
        <v>17</v>
      </c>
      <c r="I737">
        <v>0</v>
      </c>
      <c r="J73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737" s="43">
        <f>IFERROR(SUMIFS(Tabela10[Fod Worth],Tabela10[Drop],DropAnalityka[[#This Row],[Drop]],Tabela10[Grade],DropAnalityka[[#This Row],[Grade]])*DropAnalityka[[#This Row],[Quality/Quantity]],0)</f>
        <v>0</v>
      </c>
      <c r="L737" s="43">
        <f>IFERROR(SUMIFS(Tabela10[Exp Gain only 2*+],Tabela10[Drop],DropAnalityka[[#This Row],[Drop]],Tabela10[Grade],DropAnalityka[[#This Row],[Grade]])*DropAnalityka[[#This Row],[Quality/Quantity]],0)</f>
        <v>1600</v>
      </c>
    </row>
    <row r="738" spans="1:13">
      <c r="A738" t="s">
        <v>31</v>
      </c>
      <c r="B738" t="s">
        <v>30</v>
      </c>
      <c r="C738">
        <v>11</v>
      </c>
      <c r="D738" s="6">
        <v>620</v>
      </c>
      <c r="E738" s="6">
        <v>1</v>
      </c>
      <c r="F738" s="6"/>
      <c r="G738" s="6"/>
      <c r="H738" s="6"/>
      <c r="I738" s="6">
        <v>2937</v>
      </c>
      <c r="J738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38" s="43">
        <f>IFERROR(SUMIFS(Tabela10[Fod Worth],Tabela10[Drop],DropAnalityka[[#This Row],[Drop]],Tabela10[Grade],DropAnalityka[[#This Row],[Grade]])*DropAnalityka[[#This Row],[Quality/Quantity]],0)</f>
        <v>0</v>
      </c>
      <c r="L738" s="43">
        <f>IFERROR(SUMIFS(Tabela10[Exp Gain only 2*+],Tabela10[Drop],DropAnalityka[[#This Row],[Drop]],Tabela10[Grade],DropAnalityka[[#This Row],[Grade]])*DropAnalityka[[#This Row],[Quality/Quantity]],0)</f>
        <v>0</v>
      </c>
    </row>
    <row r="739" spans="1:13">
      <c r="A739" t="s">
        <v>31</v>
      </c>
      <c r="B739" t="s">
        <v>30</v>
      </c>
      <c r="C739">
        <v>11</v>
      </c>
      <c r="D739">
        <v>1447</v>
      </c>
      <c r="E739">
        <v>4</v>
      </c>
      <c r="I739" s="6">
        <v>2937</v>
      </c>
      <c r="J739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39" s="43">
        <f>IFERROR(SUMIFS(Tabela10[Fod Worth],Tabela10[Drop],DropAnalityka[[#This Row],[Drop]],Tabela10[Grade],DropAnalityka[[#This Row],[Grade]])*DropAnalityka[[#This Row],[Quality/Quantity]],0)</f>
        <v>0</v>
      </c>
      <c r="L739" s="43">
        <f>IFERROR(SUMIFS(Tabela10[Exp Gain only 2*+],Tabela10[Drop],DropAnalityka[[#This Row],[Drop]],Tabela10[Grade],DropAnalityka[[#This Row],[Grade]])*DropAnalityka[[#This Row],[Quality/Quantity]],0)</f>
        <v>0</v>
      </c>
    </row>
    <row r="740" spans="1:13">
      <c r="A740" t="s">
        <v>31</v>
      </c>
      <c r="B740" t="s">
        <v>30</v>
      </c>
      <c r="C740">
        <v>11</v>
      </c>
      <c r="D740">
        <v>1494</v>
      </c>
      <c r="E740">
        <v>1</v>
      </c>
      <c r="I740">
        <v>1824</v>
      </c>
      <c r="J74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40" s="43">
        <f>IFERROR(SUMIFS(Tabela10[Fod Worth],Tabela10[Drop],DropAnalityka[[#This Row],[Drop]],Tabela10[Grade],DropAnalityka[[#This Row],[Grade]])*DropAnalityka[[#This Row],[Quality/Quantity]],0)</f>
        <v>0</v>
      </c>
      <c r="L740" s="43">
        <f>IFERROR(SUMIFS(Tabela10[Exp Gain only 2*+],Tabela10[Drop],DropAnalityka[[#This Row],[Drop]],Tabela10[Grade],DropAnalityka[[#This Row],[Grade]])*DropAnalityka[[#This Row],[Quality/Quantity]],0)</f>
        <v>0</v>
      </c>
    </row>
    <row r="741" spans="1:13">
      <c r="A741" t="s">
        <v>31</v>
      </c>
      <c r="B741" t="s">
        <v>30</v>
      </c>
      <c r="C741">
        <v>11</v>
      </c>
      <c r="D741">
        <v>1163</v>
      </c>
      <c r="E741">
        <v>1</v>
      </c>
      <c r="I741">
        <v>2937</v>
      </c>
      <c r="J74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41" s="43">
        <f>IFERROR(SUMIFS(Tabela10[Fod Worth],Tabela10[Drop],DropAnalityka[[#This Row],[Drop]],Tabela10[Grade],DropAnalityka[[#This Row],[Grade]])*DropAnalityka[[#This Row],[Quality/Quantity]],0)</f>
        <v>0</v>
      </c>
      <c r="L741" s="43">
        <f>IFERROR(SUMIFS(Tabela10[Exp Gain only 2*+],Tabela10[Drop],DropAnalityka[[#This Row],[Drop]],Tabela10[Grade],DropAnalityka[[#This Row],[Grade]])*DropAnalityka[[#This Row],[Quality/Quantity]],0)</f>
        <v>0</v>
      </c>
    </row>
    <row r="742" spans="1:13">
      <c r="A742" t="s">
        <v>31</v>
      </c>
      <c r="B742" t="s">
        <v>30</v>
      </c>
      <c r="C742">
        <v>11</v>
      </c>
      <c r="D742">
        <v>1028</v>
      </c>
      <c r="E742">
        <v>0</v>
      </c>
      <c r="I742">
        <v>1824</v>
      </c>
      <c r="J74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42" s="43">
        <f>IFERROR(SUMIFS(Tabela10[Fod Worth],Tabela10[Drop],DropAnalityka[[#This Row],[Drop]],Tabela10[Grade],DropAnalityka[[#This Row],[Grade]])*DropAnalityka[[#This Row],[Quality/Quantity]],0)</f>
        <v>0</v>
      </c>
      <c r="L742" s="43">
        <f>IFERROR(SUMIFS(Tabela10[Exp Gain only 2*+],Tabela10[Drop],DropAnalityka[[#This Row],[Drop]],Tabela10[Grade],DropAnalityka[[#This Row],[Grade]])*DropAnalityka[[#This Row],[Quality/Quantity]],0)</f>
        <v>0</v>
      </c>
    </row>
    <row r="743" spans="1:13">
      <c r="A743" t="s">
        <v>60</v>
      </c>
      <c r="B743" t="s">
        <v>30</v>
      </c>
      <c r="C743">
        <v>11</v>
      </c>
      <c r="D743">
        <v>1925</v>
      </c>
      <c r="E743">
        <v>1</v>
      </c>
      <c r="I743">
        <v>1824</v>
      </c>
      <c r="J743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43" s="43">
        <f>IFERROR(SUMIFS(Tabela10[Fod Worth],Tabela10[Drop],DropAnalityka[[#This Row],[Drop]],Tabela10[Grade],DropAnalityka[[#This Row],[Grade]])*DropAnalityka[[#This Row],[Quality/Quantity]],0)</f>
        <v>0</v>
      </c>
      <c r="L743" s="43">
        <f>IFERROR(SUMIFS(Tabela10[Exp Gain only 2*+],Tabela10[Drop],DropAnalityka[[#This Row],[Drop]],Tabela10[Grade],DropAnalityka[[#This Row],[Grade]])*DropAnalityka[[#This Row],[Quality/Quantity]],0)</f>
        <v>0</v>
      </c>
    </row>
    <row r="744" spans="1:13">
      <c r="A744" t="s">
        <v>60</v>
      </c>
      <c r="B744" t="s">
        <v>30</v>
      </c>
      <c r="C744">
        <v>11</v>
      </c>
      <c r="D744">
        <v>2937</v>
      </c>
      <c r="E744">
        <v>0</v>
      </c>
      <c r="F744" t="s">
        <v>58</v>
      </c>
      <c r="G744">
        <v>1</v>
      </c>
      <c r="H744" t="s">
        <v>12</v>
      </c>
      <c r="J7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44" s="43">
        <f>IFERROR(SUMIFS(Tabela10[Fod Worth],Tabela10[Drop],DropAnalityka[[#This Row],[Drop]],Tabela10[Grade],DropAnalityka[[#This Row],[Grade]])*DropAnalityka[[#This Row],[Quality/Quantity]],0)</f>
        <v>11500</v>
      </c>
      <c r="L744" s="43">
        <f>IFERROR(SUMIFS(Tabela10[Exp Gain only 2*+],Tabela10[Drop],DropAnalityka[[#This Row],[Drop]],Tabela10[Grade],DropAnalityka[[#This Row],[Grade]])*DropAnalityka[[#This Row],[Quality/Quantity]],0)</f>
        <v>35822</v>
      </c>
    </row>
    <row r="745" spans="1:13">
      <c r="A745" t="s">
        <v>60</v>
      </c>
      <c r="B745" t="s">
        <v>30</v>
      </c>
      <c r="C745">
        <v>11</v>
      </c>
      <c r="D745">
        <v>1819</v>
      </c>
      <c r="E745">
        <v>0</v>
      </c>
      <c r="F745" t="s">
        <v>57</v>
      </c>
      <c r="G745">
        <v>1</v>
      </c>
      <c r="H745" t="s">
        <v>12</v>
      </c>
      <c r="J7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45" s="43">
        <f>IFERROR(SUMIFS(Tabela10[Fod Worth],Tabela10[Drop],DropAnalityka[[#This Row],[Drop]],Tabela10[Grade],DropAnalityka[[#This Row],[Grade]])*DropAnalityka[[#This Row],[Quality/Quantity]],0)</f>
        <v>11500</v>
      </c>
      <c r="L745" s="43">
        <f>IFERROR(SUMIFS(Tabela10[Exp Gain only 2*+],Tabela10[Drop],DropAnalityka[[#This Row],[Drop]],Tabela10[Grade],DropAnalityka[[#This Row],[Grade]])*DropAnalityka[[#This Row],[Quality/Quantity]],0)</f>
        <v>0</v>
      </c>
    </row>
    <row r="746" spans="1:13">
      <c r="A746" t="s">
        <v>60</v>
      </c>
      <c r="B746" t="s">
        <v>30</v>
      </c>
      <c r="C746">
        <v>11</v>
      </c>
      <c r="D746">
        <v>1020</v>
      </c>
      <c r="E746">
        <v>0</v>
      </c>
      <c r="I746">
        <v>2937</v>
      </c>
      <c r="J746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46" s="43">
        <f>IFERROR(SUMIFS(Tabela10[Fod Worth],Tabela10[Drop],DropAnalityka[[#This Row],[Drop]],Tabela10[Grade],DropAnalityka[[#This Row],[Grade]])*DropAnalityka[[#This Row],[Quality/Quantity]],0)</f>
        <v>0</v>
      </c>
      <c r="L746" s="43">
        <f>IFERROR(SUMIFS(Tabela10[Exp Gain only 2*+],Tabela10[Drop],DropAnalityka[[#This Row],[Drop]],Tabela10[Grade],DropAnalityka[[#This Row],[Grade]])*DropAnalityka[[#This Row],[Quality/Quantity]],0)</f>
        <v>0</v>
      </c>
    </row>
    <row r="747" spans="1:13">
      <c r="A747" t="s">
        <v>60</v>
      </c>
      <c r="B747" t="s">
        <v>30</v>
      </c>
      <c r="C747">
        <v>11</v>
      </c>
      <c r="D747">
        <v>968</v>
      </c>
      <c r="E747">
        <v>1</v>
      </c>
      <c r="I747">
        <v>2280</v>
      </c>
      <c r="J747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747" s="43">
        <f>IFERROR(SUMIFS(Tabela10[Fod Worth],Tabela10[Drop],DropAnalityka[[#This Row],[Drop]],Tabela10[Grade],DropAnalityka[[#This Row],[Grade]])*DropAnalityka[[#This Row],[Quality/Quantity]],0)</f>
        <v>0</v>
      </c>
      <c r="L747" s="43">
        <f>IFERROR(SUMIFS(Tabela10[Exp Gain only 2*+],Tabela10[Drop],DropAnalityka[[#This Row],[Drop]],Tabela10[Grade],DropAnalityka[[#This Row],[Grade]])*DropAnalityka[[#This Row],[Quality/Quantity]],0)</f>
        <v>0</v>
      </c>
    </row>
    <row r="748" spans="1:13">
      <c r="A748" t="s">
        <v>60</v>
      </c>
      <c r="B748" t="s">
        <v>30</v>
      </c>
      <c r="C748">
        <v>11</v>
      </c>
      <c r="D748">
        <v>2391</v>
      </c>
      <c r="E748">
        <v>1</v>
      </c>
      <c r="I748">
        <v>2937</v>
      </c>
      <c r="J748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48" s="43">
        <f>IFERROR(SUMIFS(Tabela10[Fod Worth],Tabela10[Drop],DropAnalityka[[#This Row],[Drop]],Tabela10[Grade],DropAnalityka[[#This Row],[Grade]])*DropAnalityka[[#This Row],[Quality/Quantity]],0)</f>
        <v>0</v>
      </c>
      <c r="L748" s="43">
        <f>IFERROR(SUMIFS(Tabela10[Exp Gain only 2*+],Tabela10[Drop],DropAnalityka[[#This Row],[Drop]],Tabela10[Grade],DropAnalityka[[#This Row],[Grade]])*DropAnalityka[[#This Row],[Quality/Quantity]],0)</f>
        <v>0</v>
      </c>
    </row>
    <row r="749" spans="1:13">
      <c r="A749" t="s">
        <v>60</v>
      </c>
      <c r="B749" t="s">
        <v>30</v>
      </c>
      <c r="C749">
        <v>11</v>
      </c>
      <c r="D749">
        <v>1248</v>
      </c>
      <c r="E749">
        <v>1</v>
      </c>
      <c r="I749">
        <v>1824</v>
      </c>
      <c r="J74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49" s="43">
        <f>IFERROR(SUMIFS(Tabela10[Fod Worth],Tabela10[Drop],DropAnalityka[[#This Row],[Drop]],Tabela10[Grade],DropAnalityka[[#This Row],[Grade]])*DropAnalityka[[#This Row],[Quality/Quantity]],0)</f>
        <v>0</v>
      </c>
      <c r="L749" s="43">
        <f>IFERROR(SUMIFS(Tabela10[Exp Gain only 2*+],Tabela10[Drop],DropAnalityka[[#This Row],[Drop]],Tabela10[Grade],DropAnalityka[[#This Row],[Grade]])*DropAnalityka[[#This Row],[Quality/Quantity]],0)</f>
        <v>0</v>
      </c>
    </row>
    <row r="750" spans="1:13">
      <c r="A750" t="s">
        <v>60</v>
      </c>
      <c r="B750" t="s">
        <v>30</v>
      </c>
      <c r="C750">
        <v>11</v>
      </c>
      <c r="D750">
        <v>616</v>
      </c>
      <c r="E750">
        <v>0</v>
      </c>
      <c r="I750">
        <v>1824</v>
      </c>
      <c r="J75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50" s="43">
        <f>IFERROR(SUMIFS(Tabela10[Fod Worth],Tabela10[Drop],DropAnalityka[[#This Row],[Drop]],Tabela10[Grade],DropAnalityka[[#This Row],[Grade]])*DropAnalityka[[#This Row],[Quality/Quantity]],0)</f>
        <v>0</v>
      </c>
      <c r="L750" s="43">
        <f>IFERROR(SUMIFS(Tabela10[Exp Gain only 2*+],Tabela10[Drop],DropAnalityka[[#This Row],[Drop]],Tabela10[Grade],DropAnalityka[[#This Row],[Grade]])*DropAnalityka[[#This Row],[Quality/Quantity]],0)</f>
        <v>0</v>
      </c>
    </row>
    <row r="751" spans="1:13">
      <c r="A751" t="s">
        <v>60</v>
      </c>
      <c r="B751" t="s">
        <v>30</v>
      </c>
      <c r="C751">
        <v>11</v>
      </c>
      <c r="D751" s="6">
        <v>864</v>
      </c>
      <c r="E751" s="6">
        <v>0</v>
      </c>
      <c r="F751" s="6"/>
      <c r="G751" s="6"/>
      <c r="H751" s="6"/>
      <c r="I751" s="6">
        <v>2937</v>
      </c>
      <c r="J75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51" s="69">
        <f>IFERROR(SUMIFS(Tabela10[Fod Worth],Tabela10[Drop],DropAnalityka[[#This Row],[Drop]],Tabela10[Grade],DropAnalityka[[#This Row],[Grade]])*DropAnalityka[[#This Row],[Quality/Quantity]],0)</f>
        <v>0</v>
      </c>
      <c r="L751" s="69">
        <f>IFERROR(SUMIFS(Tabela10[Exp Gain only 2*+],Tabela10[Drop],DropAnalityka[[#This Row],[Drop]],Tabela10[Grade],DropAnalityka[[#This Row],[Grade]])*DropAnalityka[[#This Row],[Quality/Quantity]],0)</f>
        <v>0</v>
      </c>
      <c r="M751" s="6"/>
    </row>
    <row r="752" spans="1:13">
      <c r="A752" t="s">
        <v>31</v>
      </c>
      <c r="B752" t="s">
        <v>30</v>
      </c>
      <c r="C752">
        <v>11</v>
      </c>
      <c r="D752">
        <v>1402</v>
      </c>
      <c r="E752">
        <v>1</v>
      </c>
      <c r="I752">
        <v>1824</v>
      </c>
      <c r="J75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52" s="43">
        <f>IFERROR(SUMIFS(Tabela10[Fod Worth],Tabela10[Drop],DropAnalityka[[#This Row],[Drop]],Tabela10[Grade],DropAnalityka[[#This Row],[Grade]])*DropAnalityka[[#This Row],[Quality/Quantity]],0)</f>
        <v>0</v>
      </c>
      <c r="L752" s="43">
        <f>IFERROR(SUMIFS(Tabela10[Exp Gain only 2*+],Tabela10[Drop],DropAnalityka[[#This Row],[Drop]],Tabela10[Grade],DropAnalityka[[#This Row],[Grade]])*DropAnalityka[[#This Row],[Quality/Quantity]],0)</f>
        <v>0</v>
      </c>
    </row>
    <row r="753" spans="1:13">
      <c r="A753" t="s">
        <v>31</v>
      </c>
      <c r="B753" t="s">
        <v>30</v>
      </c>
      <c r="C753">
        <v>11</v>
      </c>
      <c r="D753">
        <v>1500</v>
      </c>
      <c r="E753">
        <v>0</v>
      </c>
      <c r="I753">
        <v>2937</v>
      </c>
      <c r="J753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53" s="43">
        <f>IFERROR(SUMIFS(Tabela10[Fod Worth],Tabela10[Drop],DropAnalityka[[#This Row],[Drop]],Tabela10[Grade],DropAnalityka[[#This Row],[Grade]])*DropAnalityka[[#This Row],[Quality/Quantity]],0)</f>
        <v>0</v>
      </c>
      <c r="L753" s="43">
        <f>IFERROR(SUMIFS(Tabela10[Exp Gain only 2*+],Tabela10[Drop],DropAnalityka[[#This Row],[Drop]],Tabela10[Grade],DropAnalityka[[#This Row],[Grade]])*DropAnalityka[[#This Row],[Quality/Quantity]],0)</f>
        <v>0</v>
      </c>
    </row>
    <row r="754" spans="1:13">
      <c r="A754" t="s">
        <v>172</v>
      </c>
      <c r="B754" t="s">
        <v>9</v>
      </c>
      <c r="C754">
        <v>8</v>
      </c>
      <c r="D754">
        <v>3665</v>
      </c>
      <c r="E754">
        <v>1</v>
      </c>
      <c r="F754" t="s">
        <v>258</v>
      </c>
      <c r="G754">
        <v>1</v>
      </c>
      <c r="H754" t="s">
        <v>27</v>
      </c>
      <c r="I754">
        <v>3307</v>
      </c>
      <c r="J754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754" s="43">
        <f>IFERROR(SUMIFS(Tabela10[Fod Worth],Tabela10[Drop],DropAnalityka[[#This Row],[Drop]],Tabela10[Grade],DropAnalityka[[#This Row],[Grade]])*DropAnalityka[[#This Row],[Quality/Quantity]],0)</f>
        <v>0</v>
      </c>
      <c r="L754" s="43">
        <f>IFERROR(SUMIFS(Tabela10[Exp Gain only 2*+],Tabela10[Drop],DropAnalityka[[#This Row],[Drop]],Tabela10[Grade],DropAnalityka[[#This Row],[Grade]])*DropAnalityka[[#This Row],[Quality/Quantity]],0)</f>
        <v>0</v>
      </c>
    </row>
    <row r="755" spans="1:13">
      <c r="A755" t="s">
        <v>36</v>
      </c>
      <c r="B755" t="s">
        <v>9</v>
      </c>
      <c r="C755">
        <v>9</v>
      </c>
      <c r="D755">
        <v>2824</v>
      </c>
      <c r="E755">
        <v>1</v>
      </c>
      <c r="F755" t="s">
        <v>252</v>
      </c>
      <c r="G755">
        <v>1</v>
      </c>
      <c r="H755" t="s">
        <v>292</v>
      </c>
      <c r="I755">
        <v>0</v>
      </c>
      <c r="J7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55" s="43">
        <f>IFERROR(SUMIFS(Tabela10[Fod Worth],Tabela10[Drop],DropAnalityka[[#This Row],[Drop]],Tabela10[Grade],DropAnalityka[[#This Row],[Grade]])*DropAnalityka[[#This Row],[Quality/Quantity]],0)</f>
        <v>0</v>
      </c>
      <c r="L755" s="43">
        <f>IFERROR(SUMIFS(Tabela10[Exp Gain only 2*+],Tabela10[Drop],DropAnalityka[[#This Row],[Drop]],Tabela10[Grade],DropAnalityka[[#This Row],[Grade]])*DropAnalityka[[#This Row],[Quality/Quantity]],0)</f>
        <v>0</v>
      </c>
    </row>
    <row r="756" spans="1:13">
      <c r="A756" t="s">
        <v>36</v>
      </c>
      <c r="B756" t="s">
        <v>9</v>
      </c>
      <c r="C756">
        <v>9</v>
      </c>
      <c r="D756">
        <v>2951</v>
      </c>
      <c r="E756">
        <v>3</v>
      </c>
      <c r="F756" t="s">
        <v>252</v>
      </c>
      <c r="G756">
        <v>2</v>
      </c>
      <c r="H756" t="s">
        <v>292</v>
      </c>
      <c r="I756">
        <v>0</v>
      </c>
      <c r="J7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56" s="43">
        <f>IFERROR(SUMIFS(Tabela10[Fod Worth],Tabela10[Drop],DropAnalityka[[#This Row],[Drop]],Tabela10[Grade],DropAnalityka[[#This Row],[Grade]])*DropAnalityka[[#This Row],[Quality/Quantity]],0)</f>
        <v>0</v>
      </c>
      <c r="L756" s="43">
        <f>IFERROR(SUMIFS(Tabela10[Exp Gain only 2*+],Tabela10[Drop],DropAnalityka[[#This Row],[Drop]],Tabela10[Grade],DropAnalityka[[#This Row],[Grade]])*DropAnalityka[[#This Row],[Quality/Quantity]],0)</f>
        <v>0</v>
      </c>
    </row>
    <row r="757" spans="1:13">
      <c r="A757" t="s">
        <v>36</v>
      </c>
      <c r="B757" t="s">
        <v>9</v>
      </c>
      <c r="C757">
        <v>9</v>
      </c>
      <c r="D757">
        <v>2543</v>
      </c>
      <c r="E757">
        <v>1</v>
      </c>
      <c r="F757" t="s">
        <v>252</v>
      </c>
      <c r="G757">
        <v>4</v>
      </c>
      <c r="H757" t="s">
        <v>270</v>
      </c>
      <c r="I757">
        <v>0</v>
      </c>
      <c r="J7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57" s="43">
        <f>IFERROR(SUMIFS(Tabela10[Fod Worth],Tabela10[Drop],DropAnalityka[[#This Row],[Drop]],Tabela10[Grade],DropAnalityka[[#This Row],[Grade]])*DropAnalityka[[#This Row],[Quality/Quantity]],0)</f>
        <v>0</v>
      </c>
      <c r="L757" s="43">
        <f>IFERROR(SUMIFS(Tabela10[Exp Gain only 2*+],Tabela10[Drop],DropAnalityka[[#This Row],[Drop]],Tabela10[Grade],DropAnalityka[[#This Row],[Grade]])*DropAnalityka[[#This Row],[Quality/Quantity]],0)</f>
        <v>0</v>
      </c>
    </row>
    <row r="758" spans="1:13">
      <c r="A758" t="s">
        <v>36</v>
      </c>
      <c r="B758" t="s">
        <v>9</v>
      </c>
      <c r="C758">
        <v>9</v>
      </c>
      <c r="D758">
        <v>2872</v>
      </c>
      <c r="E758">
        <v>1</v>
      </c>
      <c r="F758" t="s">
        <v>252</v>
      </c>
      <c r="G758">
        <v>1</v>
      </c>
      <c r="H758" t="s">
        <v>271</v>
      </c>
      <c r="I758">
        <v>0</v>
      </c>
      <c r="J7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58" s="43">
        <f>IFERROR(SUMIFS(Tabela10[Fod Worth],Tabela10[Drop],DropAnalityka[[#This Row],[Drop]],Tabela10[Grade],DropAnalityka[[#This Row],[Grade]])*DropAnalityka[[#This Row],[Quality/Quantity]],0)</f>
        <v>0</v>
      </c>
      <c r="L758" s="43">
        <f>IFERROR(SUMIFS(Tabela10[Exp Gain only 2*+],Tabela10[Drop],DropAnalityka[[#This Row],[Drop]],Tabela10[Grade],DropAnalityka[[#This Row],[Grade]])*DropAnalityka[[#This Row],[Quality/Quantity]],0)</f>
        <v>0</v>
      </c>
    </row>
    <row r="759" spans="1:13">
      <c r="A759" t="s">
        <v>36</v>
      </c>
      <c r="B759" t="s">
        <v>9</v>
      </c>
      <c r="C759">
        <v>9</v>
      </c>
      <c r="D759">
        <v>2837</v>
      </c>
      <c r="E759">
        <v>1</v>
      </c>
      <c r="F759" t="s">
        <v>34</v>
      </c>
      <c r="G759">
        <v>4</v>
      </c>
      <c r="H759" t="s">
        <v>17</v>
      </c>
      <c r="I759">
        <v>0</v>
      </c>
      <c r="J75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759" s="43">
        <f>IFERROR(SUMIFS(Tabela10[Fod Worth],Tabela10[Drop],DropAnalityka[[#This Row],[Drop]],Tabela10[Grade],DropAnalityka[[#This Row],[Grade]])*DropAnalityka[[#This Row],[Quality/Quantity]],0)</f>
        <v>0</v>
      </c>
      <c r="L759" s="43">
        <f>IFERROR(SUMIFS(Tabela10[Exp Gain only 2*+],Tabela10[Drop],DropAnalityka[[#This Row],[Drop]],Tabela10[Grade],DropAnalityka[[#This Row],[Grade]])*DropAnalityka[[#This Row],[Quality/Quantity]],0)</f>
        <v>3200</v>
      </c>
    </row>
    <row r="760" spans="1:13">
      <c r="A760" t="s">
        <v>262</v>
      </c>
      <c r="B760" t="s">
        <v>9</v>
      </c>
      <c r="C760">
        <v>9</v>
      </c>
      <c r="D760">
        <v>2891</v>
      </c>
      <c r="E760">
        <v>0</v>
      </c>
      <c r="F760" t="s">
        <v>34</v>
      </c>
      <c r="G760">
        <v>4</v>
      </c>
      <c r="H760" t="s">
        <v>17</v>
      </c>
      <c r="I760">
        <v>0</v>
      </c>
      <c r="J76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760" s="43">
        <f>IFERROR(SUMIFS(Tabela10[Fod Worth],Tabela10[Drop],DropAnalityka[[#This Row],[Drop]],Tabela10[Grade],DropAnalityka[[#This Row],[Grade]])*DropAnalityka[[#This Row],[Quality/Quantity]],0)</f>
        <v>0</v>
      </c>
      <c r="L760" s="43">
        <f>IFERROR(SUMIFS(Tabela10[Exp Gain only 2*+],Tabela10[Drop],DropAnalityka[[#This Row],[Drop]],Tabela10[Grade],DropAnalityka[[#This Row],[Grade]])*DropAnalityka[[#This Row],[Quality/Quantity]],0)</f>
        <v>3200</v>
      </c>
    </row>
    <row r="761" spans="1:13">
      <c r="A761" t="s">
        <v>262</v>
      </c>
      <c r="B761" t="s">
        <v>9</v>
      </c>
      <c r="C761">
        <v>9</v>
      </c>
      <c r="D761">
        <v>2801</v>
      </c>
      <c r="E761">
        <v>0</v>
      </c>
      <c r="F761" t="s">
        <v>18</v>
      </c>
      <c r="G761">
        <v>4</v>
      </c>
      <c r="H761" t="s">
        <v>270</v>
      </c>
      <c r="I761">
        <v>0</v>
      </c>
      <c r="J7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1" s="43">
        <f>IFERROR(SUMIFS(Tabela10[Fod Worth],Tabela10[Drop],DropAnalityka[[#This Row],[Drop]],Tabela10[Grade],DropAnalityka[[#This Row],[Grade]])*DropAnalityka[[#This Row],[Quality/Quantity]],0)</f>
        <v>0</v>
      </c>
      <c r="L761" s="43">
        <f>IFERROR(SUMIFS(Tabela10[Exp Gain only 2*+],Tabela10[Drop],DropAnalityka[[#This Row],[Drop]],Tabela10[Grade],DropAnalityka[[#This Row],[Grade]])*DropAnalityka[[#This Row],[Quality/Quantity]],0)</f>
        <v>0</v>
      </c>
    </row>
    <row r="762" spans="1:13">
      <c r="A762" t="s">
        <v>262</v>
      </c>
      <c r="B762" t="s">
        <v>9</v>
      </c>
      <c r="C762">
        <v>9</v>
      </c>
      <c r="D762">
        <v>2407</v>
      </c>
      <c r="E762">
        <v>0</v>
      </c>
      <c r="F762" t="s">
        <v>18</v>
      </c>
      <c r="G762">
        <v>1</v>
      </c>
      <c r="H762" t="s">
        <v>292</v>
      </c>
      <c r="I762">
        <v>0</v>
      </c>
      <c r="J7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2" s="43">
        <f>IFERROR(SUMIFS(Tabela10[Fod Worth],Tabela10[Drop],DropAnalityka[[#This Row],[Drop]],Tabela10[Grade],DropAnalityka[[#This Row],[Grade]])*DropAnalityka[[#This Row],[Quality/Quantity]],0)</f>
        <v>0</v>
      </c>
      <c r="L762" s="43">
        <f>IFERROR(SUMIFS(Tabela10[Exp Gain only 2*+],Tabela10[Drop],DropAnalityka[[#This Row],[Drop]],Tabela10[Grade],DropAnalityka[[#This Row],[Grade]])*DropAnalityka[[#This Row],[Quality/Quantity]],0)</f>
        <v>0</v>
      </c>
    </row>
    <row r="763" spans="1:13">
      <c r="A763" t="s">
        <v>262</v>
      </c>
      <c r="B763" t="s">
        <v>9</v>
      </c>
      <c r="C763">
        <v>9</v>
      </c>
      <c r="D763">
        <v>2748</v>
      </c>
      <c r="E763">
        <v>0</v>
      </c>
      <c r="I763">
        <v>0</v>
      </c>
      <c r="J7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3" s="43">
        <f>IFERROR(SUMIFS(Tabela10[Fod Worth],Tabela10[Drop],DropAnalityka[[#This Row],[Drop]],Tabela10[Grade],DropAnalityka[[#This Row],[Grade]])*DropAnalityka[[#This Row],[Quality/Quantity]],0)</f>
        <v>0</v>
      </c>
      <c r="L763" s="43">
        <f>IFERROR(SUMIFS(Tabela10[Exp Gain only 2*+],Tabela10[Drop],DropAnalityka[[#This Row],[Drop]],Tabela10[Grade],DropAnalityka[[#This Row],[Grade]])*DropAnalityka[[#This Row],[Quality/Quantity]],0)</f>
        <v>0</v>
      </c>
    </row>
    <row r="764" spans="1:13">
      <c r="A764" t="s">
        <v>262</v>
      </c>
      <c r="B764" t="s">
        <v>9</v>
      </c>
      <c r="C764">
        <v>9</v>
      </c>
      <c r="D764">
        <v>2679</v>
      </c>
      <c r="E764">
        <v>1</v>
      </c>
      <c r="F764" t="s">
        <v>58</v>
      </c>
      <c r="G764">
        <v>1</v>
      </c>
      <c r="H764" t="s">
        <v>12</v>
      </c>
      <c r="I764">
        <v>0</v>
      </c>
      <c r="J7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4" s="43">
        <f>IFERROR(SUMIFS(Tabela10[Fod Worth],Tabela10[Drop],DropAnalityka[[#This Row],[Drop]],Tabela10[Grade],DropAnalityka[[#This Row],[Grade]])*DropAnalityka[[#This Row],[Quality/Quantity]],0)</f>
        <v>11500</v>
      </c>
      <c r="L764" s="43">
        <f>IFERROR(SUMIFS(Tabela10[Exp Gain only 2*+],Tabela10[Drop],DropAnalityka[[#This Row],[Drop]],Tabela10[Grade],DropAnalityka[[#This Row],[Grade]])*DropAnalityka[[#This Row],[Quality/Quantity]],0)</f>
        <v>35822</v>
      </c>
    </row>
    <row r="765" spans="1:13">
      <c r="A765" t="s">
        <v>262</v>
      </c>
      <c r="B765" t="s">
        <v>9</v>
      </c>
      <c r="C765">
        <v>10</v>
      </c>
      <c r="D765">
        <v>2720</v>
      </c>
      <c r="E765">
        <v>0</v>
      </c>
      <c r="F765" t="s">
        <v>18</v>
      </c>
      <c r="G765">
        <v>1</v>
      </c>
      <c r="H765" t="s">
        <v>292</v>
      </c>
      <c r="I765">
        <v>0</v>
      </c>
      <c r="J7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5" s="43">
        <f>IFERROR(SUMIFS(Tabela10[Fod Worth],Tabela10[Drop],DropAnalityka[[#This Row],[Drop]],Tabela10[Grade],DropAnalityka[[#This Row],[Grade]])*DropAnalityka[[#This Row],[Quality/Quantity]],0)</f>
        <v>0</v>
      </c>
      <c r="L765" s="43">
        <f>IFERROR(SUMIFS(Tabela10[Exp Gain only 2*+],Tabela10[Drop],DropAnalityka[[#This Row],[Drop]],Tabela10[Grade],DropAnalityka[[#This Row],[Grade]])*DropAnalityka[[#This Row],[Quality/Quantity]],0)</f>
        <v>0</v>
      </c>
    </row>
    <row r="766" spans="1:13">
      <c r="A766" t="s">
        <v>262</v>
      </c>
      <c r="B766" t="s">
        <v>9</v>
      </c>
      <c r="C766">
        <v>10</v>
      </c>
      <c r="D766">
        <v>0</v>
      </c>
      <c r="E766">
        <v>0</v>
      </c>
      <c r="I766">
        <v>0</v>
      </c>
      <c r="J7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6" s="43">
        <f>IFERROR(SUMIFS(Tabela10[Fod Worth],Tabela10[Drop],DropAnalityka[[#This Row],[Drop]],Tabela10[Grade],DropAnalityka[[#This Row],[Grade]])*DropAnalityka[[#This Row],[Quality/Quantity]],0)</f>
        <v>0</v>
      </c>
      <c r="L766" s="43">
        <f>IFERROR(SUMIFS(Tabela10[Exp Gain only 2*+],Tabela10[Drop],DropAnalityka[[#This Row],[Drop]],Tabela10[Grade],DropAnalityka[[#This Row],[Grade]])*DropAnalityka[[#This Row],[Quality/Quantity]],0)</f>
        <v>0</v>
      </c>
      <c r="M766" t="s">
        <v>204</v>
      </c>
    </row>
    <row r="767" spans="1:13">
      <c r="A767" t="s">
        <v>262</v>
      </c>
      <c r="B767" t="s">
        <v>9</v>
      </c>
      <c r="C767">
        <v>9</v>
      </c>
      <c r="D767">
        <v>2875</v>
      </c>
      <c r="E767">
        <v>0</v>
      </c>
      <c r="F767" t="s">
        <v>206</v>
      </c>
      <c r="G767">
        <v>1</v>
      </c>
      <c r="H767" t="s">
        <v>17</v>
      </c>
      <c r="I767">
        <v>0</v>
      </c>
      <c r="J7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7" s="43">
        <f>IFERROR(SUMIFS(Tabela10[Fod Worth],Tabela10[Drop],DropAnalityka[[#This Row],[Drop]],Tabela10[Grade],DropAnalityka[[#This Row],[Grade]])*DropAnalityka[[#This Row],[Quality/Quantity]],0)</f>
        <v>0</v>
      </c>
      <c r="L767" s="43">
        <f>IFERROR(SUMIFS(Tabela10[Exp Gain only 2*+],Tabela10[Drop],DropAnalityka[[#This Row],[Drop]],Tabela10[Grade],DropAnalityka[[#This Row],[Grade]])*DropAnalityka[[#This Row],[Quality/Quantity]],0)</f>
        <v>0</v>
      </c>
    </row>
    <row r="768" spans="1:13">
      <c r="A768" t="s">
        <v>262</v>
      </c>
      <c r="B768" t="s">
        <v>9</v>
      </c>
      <c r="C768">
        <v>9</v>
      </c>
      <c r="D768">
        <v>2734</v>
      </c>
      <c r="E768">
        <v>0</v>
      </c>
      <c r="F768" t="s">
        <v>18</v>
      </c>
      <c r="G768">
        <v>3</v>
      </c>
      <c r="H768" t="s">
        <v>271</v>
      </c>
      <c r="I768">
        <v>0</v>
      </c>
      <c r="J7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8" s="43">
        <f>IFERROR(SUMIFS(Tabela10[Fod Worth],Tabela10[Drop],DropAnalityka[[#This Row],[Drop]],Tabela10[Grade],DropAnalityka[[#This Row],[Grade]])*DropAnalityka[[#This Row],[Quality/Quantity]],0)</f>
        <v>0</v>
      </c>
      <c r="L768" s="43">
        <f>IFERROR(SUMIFS(Tabela10[Exp Gain only 2*+],Tabela10[Drop],DropAnalityka[[#This Row],[Drop]],Tabela10[Grade],DropAnalityka[[#This Row],[Grade]])*DropAnalityka[[#This Row],[Quality/Quantity]],0)</f>
        <v>0</v>
      </c>
    </row>
    <row r="769" spans="1:13">
      <c r="A769" t="s">
        <v>262</v>
      </c>
      <c r="B769" t="s">
        <v>9</v>
      </c>
      <c r="C769">
        <v>9</v>
      </c>
      <c r="D769">
        <v>3073</v>
      </c>
      <c r="E769">
        <v>0</v>
      </c>
      <c r="F769" t="s">
        <v>18</v>
      </c>
      <c r="G769">
        <v>2</v>
      </c>
      <c r="H769" t="s">
        <v>292</v>
      </c>
      <c r="I769">
        <v>0</v>
      </c>
      <c r="J7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69" s="43">
        <f>IFERROR(SUMIFS(Tabela10[Fod Worth],Tabela10[Drop],DropAnalityka[[#This Row],[Drop]],Tabela10[Grade],DropAnalityka[[#This Row],[Grade]])*DropAnalityka[[#This Row],[Quality/Quantity]],0)</f>
        <v>0</v>
      </c>
      <c r="L769" s="43">
        <f>IFERROR(SUMIFS(Tabela10[Exp Gain only 2*+],Tabela10[Drop],DropAnalityka[[#This Row],[Drop]],Tabela10[Grade],DropAnalityka[[#This Row],[Grade]])*DropAnalityka[[#This Row],[Quality/Quantity]],0)</f>
        <v>0</v>
      </c>
    </row>
    <row r="770" spans="1:13">
      <c r="A770" t="s">
        <v>262</v>
      </c>
      <c r="B770" t="s">
        <v>9</v>
      </c>
      <c r="C770">
        <v>9</v>
      </c>
      <c r="D770">
        <v>2813</v>
      </c>
      <c r="E770">
        <v>0</v>
      </c>
      <c r="F770" t="s">
        <v>18</v>
      </c>
      <c r="G770">
        <v>2</v>
      </c>
      <c r="H770" t="s">
        <v>292</v>
      </c>
      <c r="I770">
        <v>0</v>
      </c>
      <c r="J7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0" s="43">
        <f>IFERROR(SUMIFS(Tabela10[Fod Worth],Tabela10[Drop],DropAnalityka[[#This Row],[Drop]],Tabela10[Grade],DropAnalityka[[#This Row],[Grade]])*DropAnalityka[[#This Row],[Quality/Quantity]],0)</f>
        <v>0</v>
      </c>
      <c r="L770" s="43">
        <f>IFERROR(SUMIFS(Tabela10[Exp Gain only 2*+],Tabela10[Drop],DropAnalityka[[#This Row],[Drop]],Tabela10[Grade],DropAnalityka[[#This Row],[Grade]])*DropAnalityka[[#This Row],[Quality/Quantity]],0)</f>
        <v>0</v>
      </c>
    </row>
    <row r="771" spans="1:13">
      <c r="A771" t="s">
        <v>262</v>
      </c>
      <c r="B771" t="s">
        <v>9</v>
      </c>
      <c r="C771">
        <v>9</v>
      </c>
      <c r="D771">
        <v>2758</v>
      </c>
      <c r="E771">
        <v>0</v>
      </c>
      <c r="F771" t="s">
        <v>264</v>
      </c>
      <c r="G771">
        <v>3</v>
      </c>
      <c r="I771">
        <v>0</v>
      </c>
      <c r="J7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1" s="43">
        <f>IFERROR(SUMIFS(Tabela10[Fod Worth],Tabela10[Drop],DropAnalityka[[#This Row],[Drop]],Tabela10[Grade],DropAnalityka[[#This Row],[Grade]])*DropAnalityka[[#This Row],[Quality/Quantity]],0)</f>
        <v>0</v>
      </c>
      <c r="L771" s="43">
        <f>IFERROR(SUMIFS(Tabela10[Exp Gain only 2*+],Tabela10[Drop],DropAnalityka[[#This Row],[Drop]],Tabela10[Grade],DropAnalityka[[#This Row],[Grade]])*DropAnalityka[[#This Row],[Quality/Quantity]],0)</f>
        <v>0</v>
      </c>
    </row>
    <row r="772" spans="1:13">
      <c r="A772" t="s">
        <v>262</v>
      </c>
      <c r="B772" t="s">
        <v>9</v>
      </c>
      <c r="C772">
        <v>9</v>
      </c>
      <c r="D772">
        <v>2313</v>
      </c>
      <c r="E772">
        <v>1</v>
      </c>
      <c r="F772" t="s">
        <v>18</v>
      </c>
      <c r="G772">
        <v>3</v>
      </c>
      <c r="H772" t="s">
        <v>292</v>
      </c>
      <c r="I772">
        <v>0</v>
      </c>
      <c r="J7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2" s="43">
        <f>IFERROR(SUMIFS(Tabela10[Fod Worth],Tabela10[Drop],DropAnalityka[[#This Row],[Drop]],Tabela10[Grade],DropAnalityka[[#This Row],[Grade]])*DropAnalityka[[#This Row],[Quality/Quantity]],0)</f>
        <v>0</v>
      </c>
      <c r="L772" s="43">
        <f>IFERROR(SUMIFS(Tabela10[Exp Gain only 2*+],Tabela10[Drop],DropAnalityka[[#This Row],[Drop]],Tabela10[Grade],DropAnalityka[[#This Row],[Grade]])*DropAnalityka[[#This Row],[Quality/Quantity]],0)</f>
        <v>0</v>
      </c>
    </row>
    <row r="773" spans="1:13">
      <c r="A773" t="s">
        <v>262</v>
      </c>
      <c r="B773" t="s">
        <v>9</v>
      </c>
      <c r="C773">
        <v>9</v>
      </c>
      <c r="D773">
        <v>2625</v>
      </c>
      <c r="E773">
        <v>1</v>
      </c>
      <c r="F773" t="s">
        <v>18</v>
      </c>
      <c r="G773">
        <v>3</v>
      </c>
      <c r="H773" t="s">
        <v>292</v>
      </c>
      <c r="I773">
        <v>0</v>
      </c>
      <c r="J7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3" s="43">
        <f>IFERROR(SUMIFS(Tabela10[Fod Worth],Tabela10[Drop],DropAnalityka[[#This Row],[Drop]],Tabela10[Grade],DropAnalityka[[#This Row],[Grade]])*DropAnalityka[[#This Row],[Quality/Quantity]],0)</f>
        <v>0</v>
      </c>
      <c r="L773" s="43">
        <f>IFERROR(SUMIFS(Tabela10[Exp Gain only 2*+],Tabela10[Drop],DropAnalityka[[#This Row],[Drop]],Tabela10[Grade],DropAnalityka[[#This Row],[Grade]])*DropAnalityka[[#This Row],[Quality/Quantity]],0)</f>
        <v>0</v>
      </c>
    </row>
    <row r="774" spans="1:13">
      <c r="A774" t="s">
        <v>262</v>
      </c>
      <c r="B774" t="s">
        <v>9</v>
      </c>
      <c r="C774">
        <v>9</v>
      </c>
      <c r="D774">
        <v>2515</v>
      </c>
      <c r="E774">
        <v>0</v>
      </c>
      <c r="F774" t="s">
        <v>18</v>
      </c>
      <c r="G774">
        <v>1</v>
      </c>
      <c r="H774" t="s">
        <v>271</v>
      </c>
      <c r="I774">
        <v>0</v>
      </c>
      <c r="J7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4" s="43">
        <f>IFERROR(SUMIFS(Tabela10[Fod Worth],Tabela10[Drop],DropAnalityka[[#This Row],[Drop]],Tabela10[Grade],DropAnalityka[[#This Row],[Grade]])*DropAnalityka[[#This Row],[Quality/Quantity]],0)</f>
        <v>0</v>
      </c>
      <c r="L774" s="43">
        <f>IFERROR(SUMIFS(Tabela10[Exp Gain only 2*+],Tabela10[Drop],DropAnalityka[[#This Row],[Drop]],Tabela10[Grade],DropAnalityka[[#This Row],[Grade]])*DropAnalityka[[#This Row],[Quality/Quantity]],0)</f>
        <v>0</v>
      </c>
    </row>
    <row r="775" spans="1:13">
      <c r="A775" t="s">
        <v>262</v>
      </c>
      <c r="B775" t="s">
        <v>9</v>
      </c>
      <c r="C775">
        <v>9</v>
      </c>
      <c r="D775">
        <v>2516</v>
      </c>
      <c r="E775">
        <v>1</v>
      </c>
      <c r="F775" t="s">
        <v>264</v>
      </c>
      <c r="G775">
        <v>1</v>
      </c>
      <c r="I775">
        <v>0</v>
      </c>
      <c r="J7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5" s="43">
        <f>IFERROR(SUMIFS(Tabela10[Fod Worth],Tabela10[Drop],DropAnalityka[[#This Row],[Drop]],Tabela10[Grade],DropAnalityka[[#This Row],[Grade]])*DropAnalityka[[#This Row],[Quality/Quantity]],0)</f>
        <v>0</v>
      </c>
      <c r="L775" s="43">
        <f>IFERROR(SUMIFS(Tabela10[Exp Gain only 2*+],Tabela10[Drop],DropAnalityka[[#This Row],[Drop]],Tabela10[Grade],DropAnalityka[[#This Row],[Grade]])*DropAnalityka[[#This Row],[Quality/Quantity]],0)</f>
        <v>0</v>
      </c>
    </row>
    <row r="776" spans="1:13">
      <c r="A776" t="s">
        <v>262</v>
      </c>
      <c r="B776" t="s">
        <v>9</v>
      </c>
      <c r="C776">
        <v>9</v>
      </c>
      <c r="D776">
        <v>2850</v>
      </c>
      <c r="E776">
        <v>2</v>
      </c>
      <c r="F776" t="s">
        <v>263</v>
      </c>
      <c r="G776">
        <v>3</v>
      </c>
      <c r="H776" t="s">
        <v>270</v>
      </c>
      <c r="I776">
        <v>0</v>
      </c>
      <c r="J7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6" s="43">
        <f>IFERROR(SUMIFS(Tabela10[Fod Worth],Tabela10[Drop],DropAnalityka[[#This Row],[Drop]],Tabela10[Grade],DropAnalityka[[#This Row],[Grade]])*DropAnalityka[[#This Row],[Quality/Quantity]],0)</f>
        <v>0</v>
      </c>
      <c r="L776" s="43">
        <f>IFERROR(SUMIFS(Tabela10[Exp Gain only 2*+],Tabela10[Drop],DropAnalityka[[#This Row],[Drop]],Tabela10[Grade],DropAnalityka[[#This Row],[Grade]])*DropAnalityka[[#This Row],[Quality/Quantity]],0)</f>
        <v>0</v>
      </c>
    </row>
    <row r="777" spans="1:13">
      <c r="A777" t="s">
        <v>36</v>
      </c>
      <c r="B777" t="s">
        <v>9</v>
      </c>
      <c r="C777">
        <v>9</v>
      </c>
      <c r="D777">
        <v>2559</v>
      </c>
      <c r="E777">
        <v>3</v>
      </c>
      <c r="F777" t="s">
        <v>252</v>
      </c>
      <c r="G777">
        <v>3</v>
      </c>
      <c r="H777" t="s">
        <v>292</v>
      </c>
      <c r="I777">
        <v>0</v>
      </c>
      <c r="J7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7" s="43">
        <f>IFERROR(SUMIFS(Tabela10[Fod Worth],Tabela10[Drop],DropAnalityka[[#This Row],[Drop]],Tabela10[Grade],DropAnalityka[[#This Row],[Grade]])*DropAnalityka[[#This Row],[Quality/Quantity]],0)</f>
        <v>0</v>
      </c>
      <c r="L777" s="43">
        <f>IFERROR(SUMIFS(Tabela10[Exp Gain only 2*+],Tabela10[Drop],DropAnalityka[[#This Row],[Drop]],Tabela10[Grade],DropAnalityka[[#This Row],[Grade]])*DropAnalityka[[#This Row],[Quality/Quantity]],0)</f>
        <v>0</v>
      </c>
    </row>
    <row r="778" spans="1:13">
      <c r="A778" t="s">
        <v>172</v>
      </c>
      <c r="B778" t="s">
        <v>9</v>
      </c>
      <c r="C778">
        <v>8</v>
      </c>
      <c r="D778">
        <v>3425</v>
      </c>
      <c r="E778">
        <v>0</v>
      </c>
      <c r="F778" t="s">
        <v>265</v>
      </c>
      <c r="G778">
        <v>1</v>
      </c>
      <c r="H778" t="s">
        <v>27</v>
      </c>
      <c r="I778">
        <v>3445</v>
      </c>
      <c r="J778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778" s="43">
        <f>IFERROR(SUMIFS(Tabela10[Fod Worth],Tabela10[Drop],DropAnalityka[[#This Row],[Drop]],Tabela10[Grade],DropAnalityka[[#This Row],[Grade]])*DropAnalityka[[#This Row],[Quality/Quantity]],0)</f>
        <v>0</v>
      </c>
      <c r="L778" s="43">
        <f>IFERROR(SUMIFS(Tabela10[Exp Gain only 2*+],Tabela10[Drop],DropAnalityka[[#This Row],[Drop]],Tabela10[Grade],DropAnalityka[[#This Row],[Grade]])*DropAnalityka[[#This Row],[Quality/Quantity]],0)</f>
        <v>0</v>
      </c>
    </row>
    <row r="779" spans="1:13">
      <c r="A779" t="s">
        <v>262</v>
      </c>
      <c r="B779" t="s">
        <v>9</v>
      </c>
      <c r="C779">
        <v>9</v>
      </c>
      <c r="D779">
        <v>2517</v>
      </c>
      <c r="E779">
        <v>0</v>
      </c>
      <c r="F779" t="s">
        <v>264</v>
      </c>
      <c r="G779">
        <v>2</v>
      </c>
      <c r="I779">
        <v>0</v>
      </c>
      <c r="J7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79" s="43">
        <f>IFERROR(SUMIFS(Tabela10[Fod Worth],Tabela10[Drop],DropAnalityka[[#This Row],[Drop]],Tabela10[Grade],DropAnalityka[[#This Row],[Grade]])*DropAnalityka[[#This Row],[Quality/Quantity]],0)</f>
        <v>0</v>
      </c>
      <c r="L779" s="43">
        <f>IFERROR(SUMIFS(Tabela10[Exp Gain only 2*+],Tabela10[Drop],DropAnalityka[[#This Row],[Drop]],Tabela10[Grade],DropAnalityka[[#This Row],[Grade]])*DropAnalityka[[#This Row],[Quality/Quantity]],0)</f>
        <v>0</v>
      </c>
    </row>
    <row r="780" spans="1:13">
      <c r="A780" t="s">
        <v>262</v>
      </c>
      <c r="B780" t="s">
        <v>9</v>
      </c>
      <c r="C780">
        <v>9</v>
      </c>
      <c r="D780">
        <v>2615</v>
      </c>
      <c r="E780">
        <v>2</v>
      </c>
      <c r="F780" t="s">
        <v>18</v>
      </c>
      <c r="G780">
        <v>2</v>
      </c>
      <c r="H780" t="s">
        <v>271</v>
      </c>
      <c r="I780">
        <v>0</v>
      </c>
      <c r="J7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0" s="43">
        <f>IFERROR(SUMIFS(Tabela10[Fod Worth],Tabela10[Drop],DropAnalityka[[#This Row],[Drop]],Tabela10[Grade],DropAnalityka[[#This Row],[Grade]])*DropAnalityka[[#This Row],[Quality/Quantity]],0)</f>
        <v>0</v>
      </c>
      <c r="L780" s="43">
        <f>IFERROR(SUMIFS(Tabela10[Exp Gain only 2*+],Tabela10[Drop],DropAnalityka[[#This Row],[Drop]],Tabela10[Grade],DropAnalityka[[#This Row],[Grade]])*DropAnalityka[[#This Row],[Quality/Quantity]],0)</f>
        <v>0</v>
      </c>
    </row>
    <row r="781" spans="1:13">
      <c r="A781" t="s">
        <v>262</v>
      </c>
      <c r="B781" t="s">
        <v>9</v>
      </c>
      <c r="C781">
        <v>9</v>
      </c>
      <c r="D781">
        <v>2798</v>
      </c>
      <c r="E781">
        <v>2</v>
      </c>
      <c r="F781" t="s">
        <v>58</v>
      </c>
      <c r="G781">
        <v>1</v>
      </c>
      <c r="H781" t="s">
        <v>12</v>
      </c>
      <c r="I781">
        <v>0</v>
      </c>
      <c r="J7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1" s="43">
        <f>IFERROR(SUMIFS(Tabela10[Fod Worth],Tabela10[Drop],DropAnalityka[[#This Row],[Drop]],Tabela10[Grade],DropAnalityka[[#This Row],[Grade]])*DropAnalityka[[#This Row],[Quality/Quantity]],0)</f>
        <v>11500</v>
      </c>
      <c r="L781" s="43">
        <f>IFERROR(SUMIFS(Tabela10[Exp Gain only 2*+],Tabela10[Drop],DropAnalityka[[#This Row],[Drop]],Tabela10[Grade],DropAnalityka[[#This Row],[Grade]])*DropAnalityka[[#This Row],[Quality/Quantity]],0)</f>
        <v>35822</v>
      </c>
    </row>
    <row r="782" spans="1:13">
      <c r="A782" t="s">
        <v>262</v>
      </c>
      <c r="B782" t="s">
        <v>9</v>
      </c>
      <c r="C782">
        <v>9</v>
      </c>
      <c r="D782">
        <v>2602</v>
      </c>
      <c r="E782">
        <v>0</v>
      </c>
      <c r="F782" t="s">
        <v>18</v>
      </c>
      <c r="G782">
        <v>3</v>
      </c>
      <c r="H782" t="s">
        <v>292</v>
      </c>
      <c r="I782">
        <v>0</v>
      </c>
      <c r="J7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2" s="43">
        <f>IFERROR(SUMIFS(Tabela10[Fod Worth],Tabela10[Drop],DropAnalityka[[#This Row],[Drop]],Tabela10[Grade],DropAnalityka[[#This Row],[Grade]])*DropAnalityka[[#This Row],[Quality/Quantity]],0)</f>
        <v>0</v>
      </c>
      <c r="L782" s="43">
        <f>IFERROR(SUMIFS(Tabela10[Exp Gain only 2*+],Tabela10[Drop],DropAnalityka[[#This Row],[Drop]],Tabela10[Grade],DropAnalityka[[#This Row],[Grade]])*DropAnalityka[[#This Row],[Quality/Quantity]],0)</f>
        <v>0</v>
      </c>
    </row>
    <row r="783" spans="1:13">
      <c r="A783" t="s">
        <v>262</v>
      </c>
      <c r="B783" t="s">
        <v>9</v>
      </c>
      <c r="C783">
        <v>9</v>
      </c>
      <c r="D783">
        <v>2901</v>
      </c>
      <c r="E783">
        <v>1</v>
      </c>
      <c r="F783" t="s">
        <v>18</v>
      </c>
      <c r="G783">
        <v>1</v>
      </c>
      <c r="H783" t="s">
        <v>292</v>
      </c>
      <c r="I783">
        <v>0</v>
      </c>
      <c r="J7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3" s="43">
        <f>IFERROR(SUMIFS(Tabela10[Fod Worth],Tabela10[Drop],DropAnalityka[[#This Row],[Drop]],Tabela10[Grade],DropAnalityka[[#This Row],[Grade]])*DropAnalityka[[#This Row],[Quality/Quantity]],0)</f>
        <v>0</v>
      </c>
      <c r="L783" s="43">
        <f>IFERROR(SUMIFS(Tabela10[Exp Gain only 2*+],Tabela10[Drop],DropAnalityka[[#This Row],[Drop]],Tabela10[Grade],DropAnalityka[[#This Row],[Grade]])*DropAnalityka[[#This Row],[Quality/Quantity]],0)</f>
        <v>0</v>
      </c>
    </row>
    <row r="784" spans="1:13">
      <c r="A784" t="s">
        <v>262</v>
      </c>
      <c r="B784" t="s">
        <v>9</v>
      </c>
      <c r="C784">
        <v>9</v>
      </c>
      <c r="D784">
        <v>540</v>
      </c>
      <c r="E784">
        <v>0</v>
      </c>
      <c r="I784">
        <v>0</v>
      </c>
      <c r="J7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4" s="43">
        <f>IFERROR(SUMIFS(Tabela10[Fod Worth],Tabela10[Drop],DropAnalityka[[#This Row],[Drop]],Tabela10[Grade],DropAnalityka[[#This Row],[Grade]])*DropAnalityka[[#This Row],[Quality/Quantity]],0)</f>
        <v>0</v>
      </c>
      <c r="L784" s="43">
        <f>IFERROR(SUMIFS(Tabela10[Exp Gain only 2*+],Tabela10[Drop],DropAnalityka[[#This Row],[Drop]],Tabela10[Grade],DropAnalityka[[#This Row],[Grade]])*DropAnalityka[[#This Row],[Quality/Quantity]],0)</f>
        <v>0</v>
      </c>
      <c r="M784" t="s">
        <v>204</v>
      </c>
    </row>
    <row r="785" spans="1:12">
      <c r="A785" t="s">
        <v>262</v>
      </c>
      <c r="B785" t="s">
        <v>9</v>
      </c>
      <c r="C785">
        <v>9</v>
      </c>
      <c r="D785">
        <v>3199</v>
      </c>
      <c r="E785">
        <v>0</v>
      </c>
      <c r="F785" t="s">
        <v>18</v>
      </c>
      <c r="G785">
        <v>1</v>
      </c>
      <c r="H785" t="s">
        <v>292</v>
      </c>
      <c r="I785">
        <v>0</v>
      </c>
      <c r="J7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5" s="43">
        <f>IFERROR(SUMIFS(Tabela10[Fod Worth],Tabela10[Drop],DropAnalityka[[#This Row],[Drop]],Tabela10[Grade],DropAnalityka[[#This Row],[Grade]])*DropAnalityka[[#This Row],[Quality/Quantity]],0)</f>
        <v>0</v>
      </c>
      <c r="L785" s="43">
        <f>IFERROR(SUMIFS(Tabela10[Exp Gain only 2*+],Tabela10[Drop],DropAnalityka[[#This Row],[Drop]],Tabela10[Grade],DropAnalityka[[#This Row],[Grade]])*DropAnalityka[[#This Row],[Quality/Quantity]],0)</f>
        <v>0</v>
      </c>
    </row>
    <row r="786" spans="1:12">
      <c r="A786" t="s">
        <v>262</v>
      </c>
      <c r="B786" t="s">
        <v>9</v>
      </c>
      <c r="C786">
        <v>9</v>
      </c>
      <c r="D786">
        <v>2926</v>
      </c>
      <c r="E786">
        <v>1</v>
      </c>
      <c r="F786" t="s">
        <v>18</v>
      </c>
      <c r="G786">
        <v>1</v>
      </c>
      <c r="H786" t="s">
        <v>292</v>
      </c>
      <c r="I786">
        <v>0</v>
      </c>
      <c r="J7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6" s="43">
        <f>IFERROR(SUMIFS(Tabela10[Fod Worth],Tabela10[Drop],DropAnalityka[[#This Row],[Drop]],Tabela10[Grade],DropAnalityka[[#This Row],[Grade]])*DropAnalityka[[#This Row],[Quality/Quantity]],0)</f>
        <v>0</v>
      </c>
      <c r="L786" s="43">
        <f>IFERROR(SUMIFS(Tabela10[Exp Gain only 2*+],Tabela10[Drop],DropAnalityka[[#This Row],[Drop]],Tabela10[Grade],DropAnalityka[[#This Row],[Grade]])*DropAnalityka[[#This Row],[Quality/Quantity]],0)</f>
        <v>0</v>
      </c>
    </row>
    <row r="787" spans="1:12">
      <c r="A787" t="s">
        <v>262</v>
      </c>
      <c r="B787" t="s">
        <v>9</v>
      </c>
      <c r="C787">
        <v>9</v>
      </c>
      <c r="D787">
        <v>2560</v>
      </c>
      <c r="E787">
        <v>1</v>
      </c>
      <c r="F787" t="s">
        <v>18</v>
      </c>
      <c r="G787">
        <v>4</v>
      </c>
      <c r="H787" t="s">
        <v>270</v>
      </c>
      <c r="I787">
        <v>0</v>
      </c>
      <c r="J7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7" s="43">
        <f>IFERROR(SUMIFS(Tabela10[Fod Worth],Tabela10[Drop],DropAnalityka[[#This Row],[Drop]],Tabela10[Grade],DropAnalityka[[#This Row],[Grade]])*DropAnalityka[[#This Row],[Quality/Quantity]],0)</f>
        <v>0</v>
      </c>
      <c r="L787" s="43">
        <f>IFERROR(SUMIFS(Tabela10[Exp Gain only 2*+],Tabela10[Drop],DropAnalityka[[#This Row],[Drop]],Tabela10[Grade],DropAnalityka[[#This Row],[Grade]])*DropAnalityka[[#This Row],[Quality/Quantity]],0)</f>
        <v>0</v>
      </c>
    </row>
    <row r="788" spans="1:12">
      <c r="A788" t="s">
        <v>262</v>
      </c>
      <c r="B788" t="s">
        <v>9</v>
      </c>
      <c r="C788">
        <v>9</v>
      </c>
      <c r="D788">
        <v>2313</v>
      </c>
      <c r="E788">
        <v>1</v>
      </c>
      <c r="F788" t="s">
        <v>18</v>
      </c>
      <c r="G788">
        <v>4</v>
      </c>
      <c r="H788" t="s">
        <v>270</v>
      </c>
      <c r="I788">
        <v>0</v>
      </c>
      <c r="J7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8" s="43">
        <f>IFERROR(SUMIFS(Tabela10[Fod Worth],Tabela10[Drop],DropAnalityka[[#This Row],[Drop]],Tabela10[Grade],DropAnalityka[[#This Row],[Grade]])*DropAnalityka[[#This Row],[Quality/Quantity]],0)</f>
        <v>0</v>
      </c>
      <c r="L788" s="43">
        <f>IFERROR(SUMIFS(Tabela10[Exp Gain only 2*+],Tabela10[Drop],DropAnalityka[[#This Row],[Drop]],Tabela10[Grade],DropAnalityka[[#This Row],[Grade]])*DropAnalityka[[#This Row],[Quality/Quantity]],0)</f>
        <v>0</v>
      </c>
    </row>
    <row r="789" spans="1:12">
      <c r="A789" t="s">
        <v>262</v>
      </c>
      <c r="B789" t="s">
        <v>9</v>
      </c>
      <c r="C789">
        <v>9</v>
      </c>
      <c r="D789">
        <v>3329</v>
      </c>
      <c r="E789">
        <v>2</v>
      </c>
      <c r="F789" t="s">
        <v>18</v>
      </c>
      <c r="G789">
        <v>3</v>
      </c>
      <c r="H789" t="s">
        <v>270</v>
      </c>
      <c r="I789">
        <v>0</v>
      </c>
      <c r="J7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89" s="43">
        <f>IFERROR(SUMIFS(Tabela10[Fod Worth],Tabela10[Drop],DropAnalityka[[#This Row],[Drop]],Tabela10[Grade],DropAnalityka[[#This Row],[Grade]])*DropAnalityka[[#This Row],[Quality/Quantity]],0)</f>
        <v>0</v>
      </c>
      <c r="L789" s="43">
        <f>IFERROR(SUMIFS(Tabela10[Exp Gain only 2*+],Tabela10[Drop],DropAnalityka[[#This Row],[Drop]],Tabela10[Grade],DropAnalityka[[#This Row],[Grade]])*DropAnalityka[[#This Row],[Quality/Quantity]],0)</f>
        <v>0</v>
      </c>
    </row>
    <row r="790" spans="1:12">
      <c r="A790" t="s">
        <v>31</v>
      </c>
      <c r="B790" t="s">
        <v>30</v>
      </c>
      <c r="C790">
        <v>11</v>
      </c>
      <c r="D790">
        <v>1441</v>
      </c>
      <c r="E790">
        <v>1</v>
      </c>
      <c r="I790">
        <v>1824</v>
      </c>
      <c r="J79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90" s="43">
        <f>IFERROR(SUMIFS(Tabela10[Fod Worth],Tabela10[Drop],DropAnalityka[[#This Row],[Drop]],Tabela10[Grade],DropAnalityka[[#This Row],[Grade]])*DropAnalityka[[#This Row],[Quality/Quantity]],0)</f>
        <v>0</v>
      </c>
      <c r="L790" s="43">
        <f>IFERROR(SUMIFS(Tabela10[Exp Gain only 2*+],Tabela10[Drop],DropAnalityka[[#This Row],[Drop]],Tabela10[Grade],DropAnalityka[[#This Row],[Grade]])*DropAnalityka[[#This Row],[Quality/Quantity]],0)</f>
        <v>0</v>
      </c>
    </row>
    <row r="791" spans="1:12">
      <c r="A791" t="s">
        <v>31</v>
      </c>
      <c r="B791" t="s">
        <v>30</v>
      </c>
      <c r="C791">
        <v>11</v>
      </c>
      <c r="D791">
        <v>1339</v>
      </c>
      <c r="E791">
        <v>0</v>
      </c>
      <c r="I791">
        <v>2937</v>
      </c>
      <c r="J79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791" s="43">
        <f>IFERROR(SUMIFS(Tabela10[Fod Worth],Tabela10[Drop],DropAnalityka[[#This Row],[Drop]],Tabela10[Grade],DropAnalityka[[#This Row],[Grade]])*DropAnalityka[[#This Row],[Quality/Quantity]],0)</f>
        <v>0</v>
      </c>
      <c r="L791" s="43">
        <f>IFERROR(SUMIFS(Tabela10[Exp Gain only 2*+],Tabela10[Drop],DropAnalityka[[#This Row],[Drop]],Tabela10[Grade],DropAnalityka[[#This Row],[Grade]])*DropAnalityka[[#This Row],[Quality/Quantity]],0)</f>
        <v>0</v>
      </c>
    </row>
    <row r="792" spans="1:12">
      <c r="A792" t="s">
        <v>31</v>
      </c>
      <c r="B792" t="s">
        <v>30</v>
      </c>
      <c r="C792">
        <v>11</v>
      </c>
      <c r="D792">
        <v>1126</v>
      </c>
      <c r="E792">
        <v>0</v>
      </c>
      <c r="F792" t="s">
        <v>34</v>
      </c>
      <c r="G792">
        <v>2</v>
      </c>
      <c r="H792" t="s">
        <v>17</v>
      </c>
      <c r="I792">
        <v>0</v>
      </c>
      <c r="J792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792" s="43">
        <f>IFERROR(SUMIFS(Tabela10[Fod Worth],Tabela10[Drop],DropAnalityka[[#This Row],[Drop]],Tabela10[Grade],DropAnalityka[[#This Row],[Grade]])*DropAnalityka[[#This Row],[Quality/Quantity]],0)</f>
        <v>0</v>
      </c>
      <c r="L792" s="43">
        <f>IFERROR(SUMIFS(Tabela10[Exp Gain only 2*+],Tabela10[Drop],DropAnalityka[[#This Row],[Drop]],Tabela10[Grade],DropAnalityka[[#This Row],[Grade]])*DropAnalityka[[#This Row],[Quality/Quantity]],0)</f>
        <v>1600</v>
      </c>
    </row>
    <row r="793" spans="1:12">
      <c r="A793" t="s">
        <v>31</v>
      </c>
      <c r="B793" t="s">
        <v>30</v>
      </c>
      <c r="C793">
        <v>11</v>
      </c>
      <c r="D793">
        <v>1647</v>
      </c>
      <c r="E793">
        <v>1</v>
      </c>
      <c r="I793">
        <v>2128</v>
      </c>
      <c r="J793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793" s="43">
        <f>IFERROR(SUMIFS(Tabela10[Fod Worth],Tabela10[Drop],DropAnalityka[[#This Row],[Drop]],Tabela10[Grade],DropAnalityka[[#This Row],[Grade]])*DropAnalityka[[#This Row],[Quality/Quantity]],0)</f>
        <v>0</v>
      </c>
      <c r="L793" s="43">
        <f>IFERROR(SUMIFS(Tabela10[Exp Gain only 2*+],Tabela10[Drop],DropAnalityka[[#This Row],[Drop]],Tabela10[Grade],DropAnalityka[[#This Row],[Grade]])*DropAnalityka[[#This Row],[Quality/Quantity]],0)</f>
        <v>0</v>
      </c>
    </row>
    <row r="794" spans="1:12">
      <c r="A794" t="s">
        <v>31</v>
      </c>
      <c r="B794" t="s">
        <v>30</v>
      </c>
      <c r="C794">
        <v>11</v>
      </c>
      <c r="D794">
        <v>1802</v>
      </c>
      <c r="E794">
        <v>2</v>
      </c>
      <c r="I794">
        <v>1824</v>
      </c>
      <c r="J79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94" s="43">
        <f>IFERROR(SUMIFS(Tabela10[Fod Worth],Tabela10[Drop],DropAnalityka[[#This Row],[Drop]],Tabela10[Grade],DropAnalityka[[#This Row],[Grade]])*DropAnalityka[[#This Row],[Quality/Quantity]],0)</f>
        <v>0</v>
      </c>
      <c r="L794" s="43">
        <f>IFERROR(SUMIFS(Tabela10[Exp Gain only 2*+],Tabela10[Drop],DropAnalityka[[#This Row],[Drop]],Tabela10[Grade],DropAnalityka[[#This Row],[Grade]])*DropAnalityka[[#This Row],[Quality/Quantity]],0)</f>
        <v>0</v>
      </c>
    </row>
    <row r="795" spans="1:12">
      <c r="A795" t="s">
        <v>31</v>
      </c>
      <c r="B795" t="s">
        <v>30</v>
      </c>
      <c r="C795">
        <v>11</v>
      </c>
      <c r="D795">
        <v>1433</v>
      </c>
      <c r="E795">
        <v>1</v>
      </c>
      <c r="I795">
        <v>1824</v>
      </c>
      <c r="J795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95" s="43">
        <f>IFERROR(SUMIFS(Tabela10[Fod Worth],Tabela10[Drop],DropAnalityka[[#This Row],[Drop]],Tabela10[Grade],DropAnalityka[[#This Row],[Grade]])*DropAnalityka[[#This Row],[Quality/Quantity]],0)</f>
        <v>0</v>
      </c>
      <c r="L795" s="43">
        <f>IFERROR(SUMIFS(Tabela10[Exp Gain only 2*+],Tabela10[Drop],DropAnalityka[[#This Row],[Drop]],Tabela10[Grade],DropAnalityka[[#This Row],[Grade]])*DropAnalityka[[#This Row],[Quality/Quantity]],0)</f>
        <v>0</v>
      </c>
    </row>
    <row r="796" spans="1:12">
      <c r="A796" t="s">
        <v>31</v>
      </c>
      <c r="B796" t="s">
        <v>30</v>
      </c>
      <c r="C796">
        <v>11</v>
      </c>
      <c r="D796">
        <v>977</v>
      </c>
      <c r="E796">
        <v>1</v>
      </c>
      <c r="I796">
        <v>0</v>
      </c>
      <c r="J7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96" s="43">
        <f>IFERROR(SUMIFS(Tabela10[Fod Worth],Tabela10[Drop],DropAnalityka[[#This Row],[Drop]],Tabela10[Grade],DropAnalityka[[#This Row],[Grade]])*DropAnalityka[[#This Row],[Quality/Quantity]],0)</f>
        <v>0</v>
      </c>
      <c r="L796" s="43">
        <f>IFERROR(SUMIFS(Tabela10[Exp Gain only 2*+],Tabela10[Drop],DropAnalityka[[#This Row],[Drop]],Tabela10[Grade],DropAnalityka[[#This Row],[Grade]])*DropAnalityka[[#This Row],[Quality/Quantity]],0)</f>
        <v>0</v>
      </c>
    </row>
    <row r="797" spans="1:12">
      <c r="A797" t="s">
        <v>31</v>
      </c>
      <c r="B797" t="s">
        <v>30</v>
      </c>
      <c r="C797">
        <v>11</v>
      </c>
      <c r="D797">
        <v>1909</v>
      </c>
      <c r="E797">
        <v>2</v>
      </c>
      <c r="F797" t="s">
        <v>264</v>
      </c>
      <c r="G797">
        <v>1</v>
      </c>
      <c r="I797">
        <v>0</v>
      </c>
      <c r="J7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797" s="43">
        <f>IFERROR(SUMIFS(Tabela10[Fod Worth],Tabela10[Drop],DropAnalityka[[#This Row],[Drop]],Tabela10[Grade],DropAnalityka[[#This Row],[Grade]])*DropAnalityka[[#This Row],[Quality/Quantity]],0)</f>
        <v>0</v>
      </c>
      <c r="L797" s="43">
        <f>IFERROR(SUMIFS(Tabela10[Exp Gain only 2*+],Tabela10[Drop],DropAnalityka[[#This Row],[Drop]],Tabela10[Grade],DropAnalityka[[#This Row],[Grade]])*DropAnalityka[[#This Row],[Quality/Quantity]],0)</f>
        <v>0</v>
      </c>
    </row>
    <row r="798" spans="1:12">
      <c r="A798" t="s">
        <v>31</v>
      </c>
      <c r="B798" t="s">
        <v>30</v>
      </c>
      <c r="C798">
        <v>11</v>
      </c>
      <c r="D798">
        <v>1110</v>
      </c>
      <c r="E798">
        <v>2</v>
      </c>
      <c r="F798" t="s">
        <v>34</v>
      </c>
      <c r="G798">
        <v>2</v>
      </c>
      <c r="H798" t="s">
        <v>17</v>
      </c>
      <c r="I798">
        <v>0</v>
      </c>
      <c r="J79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798" s="43">
        <f>IFERROR(SUMIFS(Tabela10[Fod Worth],Tabela10[Drop],DropAnalityka[[#This Row],[Drop]],Tabela10[Grade],DropAnalityka[[#This Row],[Grade]])*DropAnalityka[[#This Row],[Quality/Quantity]],0)</f>
        <v>0</v>
      </c>
      <c r="L798" s="43">
        <f>IFERROR(SUMIFS(Tabela10[Exp Gain only 2*+],Tabela10[Drop],DropAnalityka[[#This Row],[Drop]],Tabela10[Grade],DropAnalityka[[#This Row],[Grade]])*DropAnalityka[[#This Row],[Quality/Quantity]],0)</f>
        <v>1600</v>
      </c>
    </row>
    <row r="799" spans="1:12">
      <c r="A799" t="s">
        <v>31</v>
      </c>
      <c r="B799" t="s">
        <v>30</v>
      </c>
      <c r="C799">
        <v>11</v>
      </c>
      <c r="D799">
        <v>2608</v>
      </c>
      <c r="E799">
        <v>1</v>
      </c>
      <c r="I799">
        <v>1824</v>
      </c>
      <c r="J79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799" s="43">
        <f>IFERROR(SUMIFS(Tabela10[Fod Worth],Tabela10[Drop],DropAnalityka[[#This Row],[Drop]],Tabela10[Grade],DropAnalityka[[#This Row],[Grade]])*DropAnalityka[[#This Row],[Quality/Quantity]],0)</f>
        <v>0</v>
      </c>
      <c r="L799" s="43">
        <f>IFERROR(SUMIFS(Tabela10[Exp Gain only 2*+],Tabela10[Drop],DropAnalityka[[#This Row],[Drop]],Tabela10[Grade],DropAnalityka[[#This Row],[Grade]])*DropAnalityka[[#This Row],[Quality/Quantity]],0)</f>
        <v>0</v>
      </c>
    </row>
    <row r="800" spans="1:12">
      <c r="A800" t="s">
        <v>31</v>
      </c>
      <c r="B800" t="s">
        <v>30</v>
      </c>
      <c r="C800">
        <v>11</v>
      </c>
      <c r="D800">
        <v>1725</v>
      </c>
      <c r="E800">
        <v>3</v>
      </c>
      <c r="F800" t="s">
        <v>34</v>
      </c>
      <c r="G800">
        <v>2</v>
      </c>
      <c r="H800" t="s">
        <v>17</v>
      </c>
      <c r="I800">
        <v>0</v>
      </c>
      <c r="J80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800" s="43">
        <f>IFERROR(SUMIFS(Tabela10[Fod Worth],Tabela10[Drop],DropAnalityka[[#This Row],[Drop]],Tabela10[Grade],DropAnalityka[[#This Row],[Grade]])*DropAnalityka[[#This Row],[Quality/Quantity]],0)</f>
        <v>0</v>
      </c>
      <c r="L800" s="43">
        <f>IFERROR(SUMIFS(Tabela10[Exp Gain only 2*+],Tabela10[Drop],DropAnalityka[[#This Row],[Drop]],Tabela10[Grade],DropAnalityka[[#This Row],[Grade]])*DropAnalityka[[#This Row],[Quality/Quantity]],0)</f>
        <v>1600</v>
      </c>
    </row>
    <row r="801" spans="1:13">
      <c r="A801" t="s">
        <v>31</v>
      </c>
      <c r="B801" t="s">
        <v>30</v>
      </c>
      <c r="C801">
        <v>11</v>
      </c>
      <c r="D801" s="6">
        <v>2220</v>
      </c>
      <c r="E801" s="6">
        <v>2</v>
      </c>
      <c r="F801" s="6"/>
      <c r="G801" s="6"/>
      <c r="H801" s="6"/>
      <c r="I801" s="6">
        <v>3427</v>
      </c>
      <c r="J801">
        <f>DropAnalityka[[#This Row],[Sell Drop]]+IFERROR(SUMIFS(Tabela10[Drop Worth],Tabela10[Drop],DropAnalityka[[#This Row],[Drop]],Tabela10[Grade],DropAnalityka[[#This Row],[Grade]])*DropAnalityka[[#This Row],[Quality/Quantity]],0)</f>
        <v>3427</v>
      </c>
      <c r="K801" s="69">
        <f>IFERROR(SUMIFS(Tabela10[Fod Worth],Tabela10[Drop],DropAnalityka[[#This Row],[Drop]],Tabela10[Grade],DropAnalityka[[#This Row],[Grade]])*DropAnalityka[[#This Row],[Quality/Quantity]],0)</f>
        <v>0</v>
      </c>
      <c r="L801" s="69">
        <f>IFERROR(SUMIFS(Tabela10[Exp Gain only 2*+],Tabela10[Drop],DropAnalityka[[#This Row],[Drop]],Tabela10[Grade],DropAnalityka[[#This Row],[Grade]])*DropAnalityka[[#This Row],[Quality/Quantity]],0)</f>
        <v>0</v>
      </c>
      <c r="M801" s="6"/>
    </row>
    <row r="802" spans="1:13">
      <c r="A802" t="s">
        <v>60</v>
      </c>
      <c r="B802" t="s">
        <v>30</v>
      </c>
      <c r="C802">
        <v>11</v>
      </c>
      <c r="D802">
        <v>1644</v>
      </c>
      <c r="E802">
        <v>0</v>
      </c>
      <c r="I802">
        <v>2128</v>
      </c>
      <c r="J802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802" s="43">
        <f>IFERROR(SUMIFS(Tabela10[Fod Worth],Tabela10[Drop],DropAnalityka[[#This Row],[Drop]],Tabela10[Grade],DropAnalityka[[#This Row],[Grade]])*DropAnalityka[[#This Row],[Quality/Quantity]],0)</f>
        <v>0</v>
      </c>
      <c r="L802" s="43">
        <f>IFERROR(SUMIFS(Tabela10[Exp Gain only 2*+],Tabela10[Drop],DropAnalityka[[#This Row],[Drop]],Tabela10[Grade],DropAnalityka[[#This Row],[Grade]])*DropAnalityka[[#This Row],[Quality/Quantity]],0)</f>
        <v>0</v>
      </c>
    </row>
    <row r="803" spans="1:13">
      <c r="A803" t="s">
        <v>60</v>
      </c>
      <c r="B803" t="s">
        <v>30</v>
      </c>
      <c r="C803">
        <v>11</v>
      </c>
      <c r="D803">
        <v>1132</v>
      </c>
      <c r="E803">
        <v>0</v>
      </c>
      <c r="I803">
        <v>2937</v>
      </c>
      <c r="J803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803" s="43">
        <f>IFERROR(SUMIFS(Tabela10[Fod Worth],Tabela10[Drop],DropAnalityka[[#This Row],[Drop]],Tabela10[Grade],DropAnalityka[[#This Row],[Grade]])*DropAnalityka[[#This Row],[Quality/Quantity]],0)</f>
        <v>0</v>
      </c>
      <c r="L803" s="43">
        <f>IFERROR(SUMIFS(Tabela10[Exp Gain only 2*+],Tabela10[Drop],DropAnalityka[[#This Row],[Drop]],Tabela10[Grade],DropAnalityka[[#This Row],[Grade]])*DropAnalityka[[#This Row],[Quality/Quantity]],0)</f>
        <v>0</v>
      </c>
    </row>
    <row r="804" spans="1:13">
      <c r="A804" t="s">
        <v>60</v>
      </c>
      <c r="B804" t="s">
        <v>30</v>
      </c>
      <c r="C804">
        <v>11</v>
      </c>
      <c r="D804">
        <v>1791</v>
      </c>
      <c r="E804">
        <v>1</v>
      </c>
      <c r="I804">
        <v>2128</v>
      </c>
      <c r="J804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804" s="43">
        <f>IFERROR(SUMIFS(Tabela10[Fod Worth],Tabela10[Drop],DropAnalityka[[#This Row],[Drop]],Tabela10[Grade],DropAnalityka[[#This Row],[Grade]])*DropAnalityka[[#This Row],[Quality/Quantity]],0)</f>
        <v>0</v>
      </c>
      <c r="L804" s="43">
        <f>IFERROR(SUMIFS(Tabela10[Exp Gain only 2*+],Tabela10[Drop],DropAnalityka[[#This Row],[Drop]],Tabela10[Grade],DropAnalityka[[#This Row],[Grade]])*DropAnalityka[[#This Row],[Quality/Quantity]],0)</f>
        <v>0</v>
      </c>
    </row>
    <row r="805" spans="1:13">
      <c r="A805" t="s">
        <v>60</v>
      </c>
      <c r="B805" t="s">
        <v>30</v>
      </c>
      <c r="C805">
        <v>11</v>
      </c>
      <c r="D805">
        <v>1710</v>
      </c>
      <c r="E805">
        <v>3</v>
      </c>
      <c r="I805">
        <v>2937</v>
      </c>
      <c r="J805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805" s="43">
        <f>IFERROR(SUMIFS(Tabela10[Fod Worth],Tabela10[Drop],DropAnalityka[[#This Row],[Drop]],Tabela10[Grade],DropAnalityka[[#This Row],[Grade]])*DropAnalityka[[#This Row],[Quality/Quantity]],0)</f>
        <v>0</v>
      </c>
      <c r="L805" s="43">
        <f>IFERROR(SUMIFS(Tabela10[Exp Gain only 2*+],Tabela10[Drop],DropAnalityka[[#This Row],[Drop]],Tabela10[Grade],DropAnalityka[[#This Row],[Grade]])*DropAnalityka[[#This Row],[Quality/Quantity]],0)</f>
        <v>0</v>
      </c>
    </row>
    <row r="806" spans="1:13">
      <c r="A806" t="s">
        <v>60</v>
      </c>
      <c r="B806" t="s">
        <v>30</v>
      </c>
      <c r="C806">
        <v>11</v>
      </c>
      <c r="D806">
        <v>2253</v>
      </c>
      <c r="E806">
        <v>1</v>
      </c>
      <c r="I806">
        <v>2937</v>
      </c>
      <c r="J806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806" s="43">
        <f>IFERROR(SUMIFS(Tabela10[Fod Worth],Tabela10[Drop],DropAnalityka[[#This Row],[Drop]],Tabela10[Grade],DropAnalityka[[#This Row],[Grade]])*DropAnalityka[[#This Row],[Quality/Quantity]],0)</f>
        <v>0</v>
      </c>
      <c r="L806" s="43">
        <f>IFERROR(SUMIFS(Tabela10[Exp Gain only 2*+],Tabela10[Drop],DropAnalityka[[#This Row],[Drop]],Tabela10[Grade],DropAnalityka[[#This Row],[Grade]])*DropAnalityka[[#This Row],[Quality/Quantity]],0)</f>
        <v>0</v>
      </c>
    </row>
    <row r="807" spans="1:13">
      <c r="A807" t="s">
        <v>60</v>
      </c>
      <c r="B807" t="s">
        <v>30</v>
      </c>
      <c r="C807">
        <v>11</v>
      </c>
      <c r="D807">
        <v>1001</v>
      </c>
      <c r="E807">
        <v>0</v>
      </c>
      <c r="I807">
        <v>2937</v>
      </c>
      <c r="J807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807" s="43">
        <f>IFERROR(SUMIFS(Tabela10[Fod Worth],Tabela10[Drop],DropAnalityka[[#This Row],[Drop]],Tabela10[Grade],DropAnalityka[[#This Row],[Grade]])*DropAnalityka[[#This Row],[Quality/Quantity]],0)</f>
        <v>0</v>
      </c>
      <c r="L807" s="43">
        <f>IFERROR(SUMIFS(Tabela10[Exp Gain only 2*+],Tabela10[Drop],DropAnalityka[[#This Row],[Drop]],Tabela10[Grade],DropAnalityka[[#This Row],[Grade]])*DropAnalityka[[#This Row],[Quality/Quantity]],0)</f>
        <v>0</v>
      </c>
    </row>
    <row r="808" spans="1:13">
      <c r="A808" t="s">
        <v>60</v>
      </c>
      <c r="B808" t="s">
        <v>30</v>
      </c>
      <c r="C808">
        <v>11</v>
      </c>
      <c r="D808">
        <v>1203</v>
      </c>
      <c r="E808">
        <v>1</v>
      </c>
      <c r="F808" t="s">
        <v>34</v>
      </c>
      <c r="G808">
        <v>2</v>
      </c>
      <c r="H808" t="s">
        <v>17</v>
      </c>
      <c r="I808">
        <v>0</v>
      </c>
      <c r="J80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808" s="43">
        <f>IFERROR(SUMIFS(Tabela10[Fod Worth],Tabela10[Drop],DropAnalityka[[#This Row],[Drop]],Tabela10[Grade],DropAnalityka[[#This Row],[Grade]])*DropAnalityka[[#This Row],[Quality/Quantity]],0)</f>
        <v>0</v>
      </c>
      <c r="L808" s="43">
        <f>IFERROR(SUMIFS(Tabela10[Exp Gain only 2*+],Tabela10[Drop],DropAnalityka[[#This Row],[Drop]],Tabela10[Grade],DropAnalityka[[#This Row],[Grade]])*DropAnalityka[[#This Row],[Quality/Quantity]],0)</f>
        <v>1600</v>
      </c>
    </row>
    <row r="809" spans="1:13">
      <c r="A809" t="s">
        <v>60</v>
      </c>
      <c r="B809" t="s">
        <v>30</v>
      </c>
      <c r="C809">
        <v>11</v>
      </c>
      <c r="D809">
        <v>1620</v>
      </c>
      <c r="E809">
        <v>2</v>
      </c>
      <c r="I809">
        <v>1824</v>
      </c>
      <c r="J80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809" s="43">
        <f>IFERROR(SUMIFS(Tabela10[Fod Worth],Tabela10[Drop],DropAnalityka[[#This Row],[Drop]],Tabela10[Grade],DropAnalityka[[#This Row],[Grade]])*DropAnalityka[[#This Row],[Quality/Quantity]],0)</f>
        <v>0</v>
      </c>
      <c r="L809" s="43">
        <f>IFERROR(SUMIFS(Tabela10[Exp Gain only 2*+],Tabela10[Drop],DropAnalityka[[#This Row],[Drop]],Tabela10[Grade],DropAnalityka[[#This Row],[Grade]])*DropAnalityka[[#This Row],[Quality/Quantity]],0)</f>
        <v>0</v>
      </c>
    </row>
    <row r="810" spans="1:13">
      <c r="A810" t="s">
        <v>60</v>
      </c>
      <c r="B810" t="s">
        <v>30</v>
      </c>
      <c r="C810">
        <v>11</v>
      </c>
      <c r="D810">
        <v>1772</v>
      </c>
      <c r="E810">
        <v>1</v>
      </c>
      <c r="F810" t="s">
        <v>34</v>
      </c>
      <c r="G810">
        <v>2</v>
      </c>
      <c r="H810" t="s">
        <v>17</v>
      </c>
      <c r="I810">
        <v>0</v>
      </c>
      <c r="J810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810" s="43">
        <f>IFERROR(SUMIFS(Tabela10[Fod Worth],Tabela10[Drop],DropAnalityka[[#This Row],[Drop]],Tabela10[Grade],DropAnalityka[[#This Row],[Grade]])*DropAnalityka[[#This Row],[Quality/Quantity]],0)</f>
        <v>0</v>
      </c>
      <c r="L810" s="43">
        <f>IFERROR(SUMIFS(Tabela10[Exp Gain only 2*+],Tabela10[Drop],DropAnalityka[[#This Row],[Drop]],Tabela10[Grade],DropAnalityka[[#This Row],[Grade]])*DropAnalityka[[#This Row],[Quality/Quantity]],0)</f>
        <v>1600</v>
      </c>
    </row>
    <row r="811" spans="1:13">
      <c r="A811" t="s">
        <v>262</v>
      </c>
      <c r="B811" t="s">
        <v>9</v>
      </c>
      <c r="C811">
        <v>9</v>
      </c>
      <c r="D811">
        <v>2634</v>
      </c>
      <c r="E811">
        <v>1</v>
      </c>
      <c r="F811" t="s">
        <v>18</v>
      </c>
      <c r="G811">
        <v>1</v>
      </c>
      <c r="I811">
        <v>0</v>
      </c>
      <c r="J8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11" s="43">
        <f>IFERROR(SUMIFS(Tabela10[Fod Worth],Tabela10[Drop],DropAnalityka[[#This Row],[Drop]],Tabela10[Grade],DropAnalityka[[#This Row],[Grade]])*DropAnalityka[[#This Row],[Quality/Quantity]],0)</f>
        <v>0</v>
      </c>
      <c r="L811" s="43">
        <f>IFERROR(SUMIFS(Tabela10[Exp Gain only 2*+],Tabela10[Drop],DropAnalityka[[#This Row],[Drop]],Tabela10[Grade],DropAnalityka[[#This Row],[Grade]])*DropAnalityka[[#This Row],[Quality/Quantity]],0)</f>
        <v>0</v>
      </c>
    </row>
    <row r="812" spans="1:13">
      <c r="A812" t="s">
        <v>172</v>
      </c>
      <c r="B812" t="s">
        <v>9</v>
      </c>
      <c r="C812">
        <v>8</v>
      </c>
      <c r="D812">
        <v>3118</v>
      </c>
      <c r="E812">
        <v>0</v>
      </c>
      <c r="F812" t="s">
        <v>258</v>
      </c>
      <c r="G812">
        <v>1</v>
      </c>
      <c r="H812" t="s">
        <v>28</v>
      </c>
      <c r="I812">
        <v>8500</v>
      </c>
      <c r="J812">
        <f>DropAnalityka[[#This Row],[Sell Drop]]+IFERROR(SUMIFS(Tabela10[Drop Worth],Tabela10[Drop],DropAnalityka[[#This Row],[Drop]],Tabela10[Grade],DropAnalityka[[#This Row],[Grade]])*DropAnalityka[[#This Row],[Quality/Quantity]],0)</f>
        <v>8500</v>
      </c>
      <c r="K812" s="43">
        <f>IFERROR(SUMIFS(Tabela10[Fod Worth],Tabela10[Drop],DropAnalityka[[#This Row],[Drop]],Tabela10[Grade],DropAnalityka[[#This Row],[Grade]])*DropAnalityka[[#This Row],[Quality/Quantity]],0)</f>
        <v>0</v>
      </c>
      <c r="L812" s="43">
        <f>IFERROR(SUMIFS(Tabela10[Exp Gain only 2*+],Tabela10[Drop],DropAnalityka[[#This Row],[Drop]],Tabela10[Grade],DropAnalityka[[#This Row],[Grade]])*DropAnalityka[[#This Row],[Quality/Quantity]],0)</f>
        <v>0</v>
      </c>
    </row>
    <row r="813" spans="1:13">
      <c r="A813" t="s">
        <v>172</v>
      </c>
      <c r="B813" t="s">
        <v>9</v>
      </c>
      <c r="C813">
        <v>8</v>
      </c>
      <c r="D813">
        <v>3166</v>
      </c>
      <c r="E813">
        <v>3</v>
      </c>
      <c r="F813" t="s">
        <v>34</v>
      </c>
      <c r="G813">
        <v>5</v>
      </c>
      <c r="H813" t="s">
        <v>17</v>
      </c>
      <c r="I813">
        <v>0</v>
      </c>
      <c r="J813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813" s="43">
        <f>IFERROR(SUMIFS(Tabela10[Fod Worth],Tabela10[Drop],DropAnalityka[[#This Row],[Drop]],Tabela10[Grade],DropAnalityka[[#This Row],[Grade]])*DropAnalityka[[#This Row],[Quality/Quantity]],0)</f>
        <v>0</v>
      </c>
      <c r="L813" s="43">
        <f>IFERROR(SUMIFS(Tabela10[Exp Gain only 2*+],Tabela10[Drop],DropAnalityka[[#This Row],[Drop]],Tabela10[Grade],DropAnalityka[[#This Row],[Grade]])*DropAnalityka[[#This Row],[Quality/Quantity]],0)</f>
        <v>4000</v>
      </c>
    </row>
    <row r="814" spans="1:13">
      <c r="A814" t="s">
        <v>172</v>
      </c>
      <c r="B814" t="s">
        <v>9</v>
      </c>
      <c r="C814">
        <v>8</v>
      </c>
      <c r="D814">
        <v>3825</v>
      </c>
      <c r="E814">
        <v>1</v>
      </c>
      <c r="F814" t="s">
        <v>264</v>
      </c>
      <c r="G814">
        <v>1</v>
      </c>
      <c r="I814">
        <v>0</v>
      </c>
      <c r="J8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14" s="43">
        <f>IFERROR(SUMIFS(Tabela10[Fod Worth],Tabela10[Drop],DropAnalityka[[#This Row],[Drop]],Tabela10[Grade],DropAnalityka[[#This Row],[Grade]])*DropAnalityka[[#This Row],[Quality/Quantity]],0)</f>
        <v>0</v>
      </c>
      <c r="L814" s="43">
        <f>IFERROR(SUMIFS(Tabela10[Exp Gain only 2*+],Tabela10[Drop],DropAnalityka[[#This Row],[Drop]],Tabela10[Grade],DropAnalityka[[#This Row],[Grade]])*DropAnalityka[[#This Row],[Quality/Quantity]],0)</f>
        <v>0</v>
      </c>
    </row>
    <row r="815" spans="1:13">
      <c r="A815" t="s">
        <v>172</v>
      </c>
      <c r="B815" t="s">
        <v>9</v>
      </c>
      <c r="C815">
        <v>8</v>
      </c>
      <c r="D815">
        <v>3553</v>
      </c>
      <c r="E815">
        <v>0</v>
      </c>
      <c r="F815" t="s">
        <v>258</v>
      </c>
      <c r="G815">
        <v>1</v>
      </c>
      <c r="H815" t="s">
        <v>28</v>
      </c>
      <c r="I815">
        <v>8500</v>
      </c>
      <c r="J815">
        <f>DropAnalityka[[#This Row],[Sell Drop]]+IFERROR(SUMIFS(Tabela10[Drop Worth],Tabela10[Drop],DropAnalityka[[#This Row],[Drop]],Tabela10[Grade],DropAnalityka[[#This Row],[Grade]])*DropAnalityka[[#This Row],[Quality/Quantity]],0)</f>
        <v>8500</v>
      </c>
      <c r="K815" s="43">
        <f>IFERROR(SUMIFS(Tabela10[Fod Worth],Tabela10[Drop],DropAnalityka[[#This Row],[Drop]],Tabela10[Grade],DropAnalityka[[#This Row],[Grade]])*DropAnalityka[[#This Row],[Quality/Quantity]],0)</f>
        <v>0</v>
      </c>
      <c r="L815" s="43">
        <f>IFERROR(SUMIFS(Tabela10[Exp Gain only 2*+],Tabela10[Drop],DropAnalityka[[#This Row],[Drop]],Tabela10[Grade],DropAnalityka[[#This Row],[Grade]])*DropAnalityka[[#This Row],[Quality/Quantity]],0)</f>
        <v>0</v>
      </c>
    </row>
    <row r="816" spans="1:13">
      <c r="A816" t="s">
        <v>172</v>
      </c>
      <c r="B816" t="s">
        <v>9</v>
      </c>
      <c r="C816">
        <v>8</v>
      </c>
      <c r="D816">
        <v>3574</v>
      </c>
      <c r="E816">
        <v>1</v>
      </c>
      <c r="F816" t="s">
        <v>266</v>
      </c>
      <c r="G816">
        <v>1</v>
      </c>
      <c r="H816" t="s">
        <v>27</v>
      </c>
      <c r="I816">
        <v>4134</v>
      </c>
      <c r="J816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816" s="43">
        <f>IFERROR(SUMIFS(Tabela10[Fod Worth],Tabela10[Drop],DropAnalityka[[#This Row],[Drop]],Tabela10[Grade],DropAnalityka[[#This Row],[Grade]])*DropAnalityka[[#This Row],[Quality/Quantity]],0)</f>
        <v>0</v>
      </c>
      <c r="L816" s="43">
        <f>IFERROR(SUMIFS(Tabela10[Exp Gain only 2*+],Tabela10[Drop],DropAnalityka[[#This Row],[Drop]],Tabela10[Grade],DropAnalityka[[#This Row],[Grade]])*DropAnalityka[[#This Row],[Quality/Quantity]],0)</f>
        <v>0</v>
      </c>
    </row>
    <row r="817" spans="1:12">
      <c r="A817" t="s">
        <v>172</v>
      </c>
      <c r="B817" t="s">
        <v>9</v>
      </c>
      <c r="C817">
        <v>8</v>
      </c>
      <c r="D817">
        <v>3456</v>
      </c>
      <c r="E817">
        <v>3</v>
      </c>
      <c r="F817" t="s">
        <v>258</v>
      </c>
      <c r="G817">
        <v>1</v>
      </c>
      <c r="H817" t="s">
        <v>27</v>
      </c>
      <c r="I817">
        <v>2411</v>
      </c>
      <c r="J817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817" s="43">
        <f>IFERROR(SUMIFS(Tabela10[Fod Worth],Tabela10[Drop],DropAnalityka[[#This Row],[Drop]],Tabela10[Grade],DropAnalityka[[#This Row],[Grade]])*DropAnalityka[[#This Row],[Quality/Quantity]],0)</f>
        <v>0</v>
      </c>
      <c r="L817" s="43">
        <f>IFERROR(SUMIFS(Tabela10[Exp Gain only 2*+],Tabela10[Drop],DropAnalityka[[#This Row],[Drop]],Tabela10[Grade],DropAnalityka[[#This Row],[Grade]])*DropAnalityka[[#This Row],[Quality/Quantity]],0)</f>
        <v>0</v>
      </c>
    </row>
    <row r="818" spans="1:12">
      <c r="A818" t="s">
        <v>172</v>
      </c>
      <c r="B818" t="s">
        <v>9</v>
      </c>
      <c r="C818">
        <v>8</v>
      </c>
      <c r="D818">
        <v>3185</v>
      </c>
      <c r="E818">
        <v>0</v>
      </c>
      <c r="F818" t="s">
        <v>258</v>
      </c>
      <c r="G818">
        <v>1</v>
      </c>
      <c r="H818" t="s">
        <v>28</v>
      </c>
      <c r="I818">
        <v>6502</v>
      </c>
      <c r="J818">
        <f>DropAnalityka[[#This Row],[Sell Drop]]+IFERROR(SUMIFS(Tabela10[Drop Worth],Tabela10[Drop],DropAnalityka[[#This Row],[Drop]],Tabela10[Grade],DropAnalityka[[#This Row],[Grade]])*DropAnalityka[[#This Row],[Quality/Quantity]],0)</f>
        <v>6502</v>
      </c>
      <c r="K818" s="43">
        <f>IFERROR(SUMIFS(Tabela10[Fod Worth],Tabela10[Drop],DropAnalityka[[#This Row],[Drop]],Tabela10[Grade],DropAnalityka[[#This Row],[Grade]])*DropAnalityka[[#This Row],[Quality/Quantity]],0)</f>
        <v>0</v>
      </c>
      <c r="L818" s="43">
        <f>IFERROR(SUMIFS(Tabela10[Exp Gain only 2*+],Tabela10[Drop],DropAnalityka[[#This Row],[Drop]],Tabela10[Grade],DropAnalityka[[#This Row],[Grade]])*DropAnalityka[[#This Row],[Quality/Quantity]],0)</f>
        <v>0</v>
      </c>
    </row>
    <row r="819" spans="1:12">
      <c r="A819" t="s">
        <v>172</v>
      </c>
      <c r="B819" t="s">
        <v>9</v>
      </c>
      <c r="C819">
        <v>8</v>
      </c>
      <c r="D819">
        <v>3742</v>
      </c>
      <c r="E819">
        <v>4</v>
      </c>
      <c r="F819" t="s">
        <v>258</v>
      </c>
      <c r="G819">
        <v>1</v>
      </c>
      <c r="H819" t="s">
        <v>27</v>
      </c>
      <c r="I819">
        <v>4593</v>
      </c>
      <c r="J819">
        <f>DropAnalityka[[#This Row],[Sell Drop]]+IFERROR(SUMIFS(Tabela10[Drop Worth],Tabela10[Drop],DropAnalityka[[#This Row],[Drop]],Tabela10[Grade],DropAnalityka[[#This Row],[Grade]])*DropAnalityka[[#This Row],[Quality/Quantity]],0)</f>
        <v>4593</v>
      </c>
      <c r="K819" s="43">
        <f>IFERROR(SUMIFS(Tabela10[Fod Worth],Tabela10[Drop],DropAnalityka[[#This Row],[Drop]],Tabela10[Grade],DropAnalityka[[#This Row],[Grade]])*DropAnalityka[[#This Row],[Quality/Quantity]],0)</f>
        <v>0</v>
      </c>
      <c r="L819" s="43">
        <f>IFERROR(SUMIFS(Tabela10[Exp Gain only 2*+],Tabela10[Drop],DropAnalityka[[#This Row],[Drop]],Tabela10[Grade],DropAnalityka[[#This Row],[Grade]])*DropAnalityka[[#This Row],[Quality/Quantity]],0)</f>
        <v>0</v>
      </c>
    </row>
    <row r="820" spans="1:12">
      <c r="A820" t="s">
        <v>207</v>
      </c>
      <c r="B820" t="s">
        <v>9</v>
      </c>
      <c r="C820">
        <v>9</v>
      </c>
      <c r="D820">
        <v>2924</v>
      </c>
      <c r="E820">
        <v>1</v>
      </c>
      <c r="F820" t="s">
        <v>249</v>
      </c>
      <c r="G820">
        <v>1</v>
      </c>
      <c r="H820" t="s">
        <v>292</v>
      </c>
      <c r="I820">
        <v>0</v>
      </c>
      <c r="J8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0" s="43">
        <f>IFERROR(SUMIFS(Tabela10[Fod Worth],Tabela10[Drop],DropAnalityka[[#This Row],[Drop]],Tabela10[Grade],DropAnalityka[[#This Row],[Grade]])*DropAnalityka[[#This Row],[Quality/Quantity]],0)</f>
        <v>0</v>
      </c>
      <c r="L820" s="43">
        <f>IFERROR(SUMIFS(Tabela10[Exp Gain only 2*+],Tabela10[Drop],DropAnalityka[[#This Row],[Drop]],Tabela10[Grade],DropAnalityka[[#This Row],[Grade]])*DropAnalityka[[#This Row],[Quality/Quantity]],0)</f>
        <v>0</v>
      </c>
    </row>
    <row r="821" spans="1:12">
      <c r="A821" t="s">
        <v>207</v>
      </c>
      <c r="B821" t="s">
        <v>9</v>
      </c>
      <c r="C821">
        <v>9</v>
      </c>
      <c r="D821">
        <v>3192</v>
      </c>
      <c r="E821">
        <v>2</v>
      </c>
      <c r="F821" t="s">
        <v>249</v>
      </c>
      <c r="G821">
        <v>2</v>
      </c>
      <c r="H821" t="s">
        <v>292</v>
      </c>
      <c r="I821">
        <v>0</v>
      </c>
      <c r="J8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1" s="43">
        <f>IFERROR(SUMIFS(Tabela10[Fod Worth],Tabela10[Drop],DropAnalityka[[#This Row],[Drop]],Tabela10[Grade],DropAnalityka[[#This Row],[Grade]])*DropAnalityka[[#This Row],[Quality/Quantity]],0)</f>
        <v>0</v>
      </c>
      <c r="L821" s="43">
        <f>IFERROR(SUMIFS(Tabela10[Exp Gain only 2*+],Tabela10[Drop],DropAnalityka[[#This Row],[Drop]],Tabela10[Grade],DropAnalityka[[#This Row],[Grade]])*DropAnalityka[[#This Row],[Quality/Quantity]],0)</f>
        <v>0</v>
      </c>
    </row>
    <row r="822" spans="1:12">
      <c r="A822" t="s">
        <v>207</v>
      </c>
      <c r="B822" t="s">
        <v>9</v>
      </c>
      <c r="C822">
        <v>9</v>
      </c>
      <c r="D822">
        <v>2967</v>
      </c>
      <c r="E822">
        <v>1</v>
      </c>
      <c r="F822" t="s">
        <v>249</v>
      </c>
      <c r="G822">
        <v>2</v>
      </c>
      <c r="H822" t="s">
        <v>292</v>
      </c>
      <c r="I822">
        <v>0</v>
      </c>
      <c r="J8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2" s="43">
        <f>IFERROR(SUMIFS(Tabela10[Fod Worth],Tabela10[Drop],DropAnalityka[[#This Row],[Drop]],Tabela10[Grade],DropAnalityka[[#This Row],[Grade]])*DropAnalityka[[#This Row],[Quality/Quantity]],0)</f>
        <v>0</v>
      </c>
      <c r="L822" s="43">
        <f>IFERROR(SUMIFS(Tabela10[Exp Gain only 2*+],Tabela10[Drop],DropAnalityka[[#This Row],[Drop]],Tabela10[Grade],DropAnalityka[[#This Row],[Grade]])*DropAnalityka[[#This Row],[Quality/Quantity]],0)</f>
        <v>0</v>
      </c>
    </row>
    <row r="823" spans="1:12">
      <c r="A823" t="s">
        <v>207</v>
      </c>
      <c r="B823" t="s">
        <v>9</v>
      </c>
      <c r="C823">
        <v>9</v>
      </c>
      <c r="D823">
        <v>2926</v>
      </c>
      <c r="E823">
        <v>0</v>
      </c>
      <c r="F823" t="s">
        <v>249</v>
      </c>
      <c r="G823">
        <v>3</v>
      </c>
      <c r="H823" t="s">
        <v>270</v>
      </c>
      <c r="I823">
        <v>0</v>
      </c>
      <c r="J8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3" s="43">
        <f>IFERROR(SUMIFS(Tabela10[Fod Worth],Tabela10[Drop],DropAnalityka[[#This Row],[Drop]],Tabela10[Grade],DropAnalityka[[#This Row],[Grade]])*DropAnalityka[[#This Row],[Quality/Quantity]],0)</f>
        <v>0</v>
      </c>
      <c r="L823" s="43">
        <f>IFERROR(SUMIFS(Tabela10[Exp Gain only 2*+],Tabela10[Drop],DropAnalityka[[#This Row],[Drop]],Tabela10[Grade],DropAnalityka[[#This Row],[Grade]])*DropAnalityka[[#This Row],[Quality/Quantity]],0)</f>
        <v>0</v>
      </c>
    </row>
    <row r="824" spans="1:12">
      <c r="A824" t="s">
        <v>207</v>
      </c>
      <c r="B824" t="s">
        <v>9</v>
      </c>
      <c r="C824">
        <v>9</v>
      </c>
      <c r="D824">
        <v>2801</v>
      </c>
      <c r="E824">
        <v>1</v>
      </c>
      <c r="F824" t="s">
        <v>249</v>
      </c>
      <c r="G824">
        <v>3</v>
      </c>
      <c r="H824" t="s">
        <v>270</v>
      </c>
      <c r="I824">
        <v>0</v>
      </c>
      <c r="J8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4" s="43">
        <f>IFERROR(SUMIFS(Tabela10[Fod Worth],Tabela10[Drop],DropAnalityka[[#This Row],[Drop]],Tabela10[Grade],DropAnalityka[[#This Row],[Grade]])*DropAnalityka[[#This Row],[Quality/Quantity]],0)</f>
        <v>0</v>
      </c>
      <c r="L824" s="43">
        <f>IFERROR(SUMIFS(Tabela10[Exp Gain only 2*+],Tabela10[Drop],DropAnalityka[[#This Row],[Drop]],Tabela10[Grade],DropAnalityka[[#This Row],[Grade]])*DropAnalityka[[#This Row],[Quality/Quantity]],0)</f>
        <v>0</v>
      </c>
    </row>
    <row r="825" spans="1:12">
      <c r="A825" t="s">
        <v>207</v>
      </c>
      <c r="B825" t="s">
        <v>9</v>
      </c>
      <c r="C825">
        <v>9</v>
      </c>
      <c r="D825">
        <v>2800</v>
      </c>
      <c r="E825">
        <v>0</v>
      </c>
      <c r="F825" t="s">
        <v>223</v>
      </c>
      <c r="G825" t="s">
        <v>267</v>
      </c>
      <c r="H825" t="s">
        <v>12</v>
      </c>
      <c r="I825">
        <v>0</v>
      </c>
      <c r="J8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5" s="43">
        <f>IFERROR(SUMIFS(Tabela10[Fod Worth],Tabela10[Drop],DropAnalityka[[#This Row],[Drop]],Tabela10[Grade],DropAnalityka[[#This Row],[Grade]])*DropAnalityka[[#This Row],[Quality/Quantity]],0)</f>
        <v>0</v>
      </c>
      <c r="L825" s="43">
        <f>IFERROR(SUMIFS(Tabela10[Exp Gain only 2*+],Tabela10[Drop],DropAnalityka[[#This Row],[Drop]],Tabela10[Grade],DropAnalityka[[#This Row],[Grade]])*DropAnalityka[[#This Row],[Quality/Quantity]],0)</f>
        <v>0</v>
      </c>
    </row>
    <row r="826" spans="1:12">
      <c r="A826" t="s">
        <v>207</v>
      </c>
      <c r="B826" t="s">
        <v>9</v>
      </c>
      <c r="C826">
        <v>9</v>
      </c>
      <c r="D826">
        <v>2913</v>
      </c>
      <c r="E826">
        <v>0</v>
      </c>
      <c r="F826" t="s">
        <v>249</v>
      </c>
      <c r="G826">
        <v>1</v>
      </c>
      <c r="H826" t="s">
        <v>271</v>
      </c>
      <c r="I826">
        <v>0</v>
      </c>
      <c r="J8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6" s="43">
        <f>IFERROR(SUMIFS(Tabela10[Fod Worth],Tabela10[Drop],DropAnalityka[[#This Row],[Drop]],Tabela10[Grade],DropAnalityka[[#This Row],[Grade]])*DropAnalityka[[#This Row],[Quality/Quantity]],0)</f>
        <v>0</v>
      </c>
      <c r="L826" s="43">
        <f>IFERROR(SUMIFS(Tabela10[Exp Gain only 2*+],Tabela10[Drop],DropAnalityka[[#This Row],[Drop]],Tabela10[Grade],DropAnalityka[[#This Row],[Grade]])*DropAnalityka[[#This Row],[Quality/Quantity]],0)</f>
        <v>0</v>
      </c>
    </row>
    <row r="827" spans="1:12">
      <c r="A827" t="s">
        <v>207</v>
      </c>
      <c r="B827" t="s">
        <v>9</v>
      </c>
      <c r="C827">
        <v>9</v>
      </c>
      <c r="D827">
        <v>2812</v>
      </c>
      <c r="E827">
        <v>1</v>
      </c>
      <c r="F827" t="s">
        <v>249</v>
      </c>
      <c r="G827">
        <v>1</v>
      </c>
      <c r="H827" t="s">
        <v>292</v>
      </c>
      <c r="I827">
        <v>0</v>
      </c>
      <c r="J8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7" s="43">
        <f>IFERROR(SUMIFS(Tabela10[Fod Worth],Tabela10[Drop],DropAnalityka[[#This Row],[Drop]],Tabela10[Grade],DropAnalityka[[#This Row],[Grade]])*DropAnalityka[[#This Row],[Quality/Quantity]],0)</f>
        <v>0</v>
      </c>
      <c r="L827" s="43">
        <f>IFERROR(SUMIFS(Tabela10[Exp Gain only 2*+],Tabela10[Drop],DropAnalityka[[#This Row],[Drop]],Tabela10[Grade],DropAnalityka[[#This Row],[Grade]])*DropAnalityka[[#This Row],[Quality/Quantity]],0)</f>
        <v>0</v>
      </c>
    </row>
    <row r="828" spans="1:12">
      <c r="A828" t="s">
        <v>207</v>
      </c>
      <c r="B828" t="s">
        <v>9</v>
      </c>
      <c r="C828">
        <v>9</v>
      </c>
      <c r="D828">
        <v>2449</v>
      </c>
      <c r="E828">
        <v>0</v>
      </c>
      <c r="F828" t="s">
        <v>58</v>
      </c>
      <c r="G828">
        <v>1</v>
      </c>
      <c r="H828" t="s">
        <v>12</v>
      </c>
      <c r="I828">
        <v>0</v>
      </c>
      <c r="J8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28" s="43">
        <f>IFERROR(SUMIFS(Tabela10[Fod Worth],Tabela10[Drop],DropAnalityka[[#This Row],[Drop]],Tabela10[Grade],DropAnalityka[[#This Row],[Grade]])*DropAnalityka[[#This Row],[Quality/Quantity]],0)</f>
        <v>11500</v>
      </c>
      <c r="L828" s="43">
        <f>IFERROR(SUMIFS(Tabela10[Exp Gain only 2*+],Tabela10[Drop],DropAnalityka[[#This Row],[Drop]],Tabela10[Grade],DropAnalityka[[#This Row],[Grade]])*DropAnalityka[[#This Row],[Quality/Quantity]],0)</f>
        <v>35822</v>
      </c>
    </row>
    <row r="829" spans="1:12">
      <c r="A829" t="s">
        <v>207</v>
      </c>
      <c r="B829" t="s">
        <v>9</v>
      </c>
      <c r="C829">
        <v>9</v>
      </c>
      <c r="D829">
        <v>2754</v>
      </c>
      <c r="E829">
        <v>1</v>
      </c>
      <c r="F829" t="s">
        <v>288</v>
      </c>
      <c r="G829">
        <v>1</v>
      </c>
      <c r="H829" t="s">
        <v>17</v>
      </c>
      <c r="I829">
        <v>0</v>
      </c>
      <c r="J829">
        <f>DropAnalityka[[#This Row],[Sell Drop]]+IFERROR(SUMIFS(Tabela10[Drop Worth],Tabela10[Drop],DropAnalityka[[#This Row],[Drop]],Tabela10[Grade],DropAnalityka[[#This Row],[Grade]])*DropAnalityka[[#This Row],[Quality/Quantity]],0)</f>
        <v>120000</v>
      </c>
      <c r="K829" s="43">
        <f>IFERROR(SUMIFS(Tabela10[Fod Worth],Tabela10[Drop],DropAnalityka[[#This Row],[Drop]],Tabela10[Grade],DropAnalityka[[#This Row],[Grade]])*DropAnalityka[[#This Row],[Quality/Quantity]],0)</f>
        <v>0</v>
      </c>
      <c r="L829" s="43">
        <f>IFERROR(SUMIFS(Tabela10[Exp Gain only 2*+],Tabela10[Drop],DropAnalityka[[#This Row],[Drop]],Tabela10[Grade],DropAnalityka[[#This Row],[Grade]])*DropAnalityka[[#This Row],[Quality/Quantity]],0)</f>
        <v>0</v>
      </c>
    </row>
    <row r="830" spans="1:12">
      <c r="A830" t="s">
        <v>207</v>
      </c>
      <c r="B830" t="s">
        <v>9</v>
      </c>
      <c r="C830">
        <v>9</v>
      </c>
      <c r="D830">
        <v>2824</v>
      </c>
      <c r="E830">
        <v>1</v>
      </c>
      <c r="F830" t="s">
        <v>223</v>
      </c>
      <c r="G830" t="s">
        <v>268</v>
      </c>
      <c r="H830" t="s">
        <v>12</v>
      </c>
      <c r="I830">
        <v>0</v>
      </c>
      <c r="J8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0" s="43">
        <f>IFERROR(SUMIFS(Tabela10[Fod Worth],Tabela10[Drop],DropAnalityka[[#This Row],[Drop]],Tabela10[Grade],DropAnalityka[[#This Row],[Grade]])*DropAnalityka[[#This Row],[Quality/Quantity]],0)</f>
        <v>0</v>
      </c>
      <c r="L830" s="43">
        <f>IFERROR(SUMIFS(Tabela10[Exp Gain only 2*+],Tabela10[Drop],DropAnalityka[[#This Row],[Drop]],Tabela10[Grade],DropAnalityka[[#This Row],[Grade]])*DropAnalityka[[#This Row],[Quality/Quantity]],0)</f>
        <v>0</v>
      </c>
    </row>
    <row r="831" spans="1:12">
      <c r="A831" t="s">
        <v>207</v>
      </c>
      <c r="B831" t="s">
        <v>9</v>
      </c>
      <c r="C831">
        <v>9</v>
      </c>
      <c r="D831">
        <v>2980</v>
      </c>
      <c r="E831">
        <v>0</v>
      </c>
      <c r="F831" t="s">
        <v>249</v>
      </c>
      <c r="G831">
        <v>1</v>
      </c>
      <c r="H831" t="s">
        <v>292</v>
      </c>
      <c r="I831">
        <v>0</v>
      </c>
      <c r="J8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1" s="43">
        <f>IFERROR(SUMIFS(Tabela10[Fod Worth],Tabela10[Drop],DropAnalityka[[#This Row],[Drop]],Tabela10[Grade],DropAnalityka[[#This Row],[Grade]])*DropAnalityka[[#This Row],[Quality/Quantity]],0)</f>
        <v>0</v>
      </c>
      <c r="L831" s="43">
        <f>IFERROR(SUMIFS(Tabela10[Exp Gain only 2*+],Tabela10[Drop],DropAnalityka[[#This Row],[Drop]],Tabela10[Grade],DropAnalityka[[#This Row],[Grade]])*DropAnalityka[[#This Row],[Quality/Quantity]],0)</f>
        <v>0</v>
      </c>
    </row>
    <row r="832" spans="1:12">
      <c r="A832" t="s">
        <v>207</v>
      </c>
      <c r="B832" t="s">
        <v>9</v>
      </c>
      <c r="C832">
        <v>9</v>
      </c>
      <c r="D832">
        <v>2957</v>
      </c>
      <c r="E832">
        <v>0</v>
      </c>
      <c r="F832" t="s">
        <v>206</v>
      </c>
      <c r="G832">
        <v>1</v>
      </c>
      <c r="H832" t="s">
        <v>17</v>
      </c>
      <c r="I832">
        <v>0</v>
      </c>
      <c r="J8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2" s="43">
        <f>IFERROR(SUMIFS(Tabela10[Fod Worth],Tabela10[Drop],DropAnalityka[[#This Row],[Drop]],Tabela10[Grade],DropAnalityka[[#This Row],[Grade]])*DropAnalityka[[#This Row],[Quality/Quantity]],0)</f>
        <v>0</v>
      </c>
      <c r="L832" s="43">
        <f>IFERROR(SUMIFS(Tabela10[Exp Gain only 2*+],Tabela10[Drop],DropAnalityka[[#This Row],[Drop]],Tabela10[Grade],DropAnalityka[[#This Row],[Grade]])*DropAnalityka[[#This Row],[Quality/Quantity]],0)</f>
        <v>0</v>
      </c>
    </row>
    <row r="833" spans="1:12">
      <c r="A833" t="s">
        <v>207</v>
      </c>
      <c r="B833" t="s">
        <v>9</v>
      </c>
      <c r="C833">
        <v>9</v>
      </c>
      <c r="D833">
        <v>2417</v>
      </c>
      <c r="E833">
        <v>0</v>
      </c>
      <c r="F833" t="s">
        <v>34</v>
      </c>
      <c r="G833">
        <v>4</v>
      </c>
      <c r="H833" t="s">
        <v>17</v>
      </c>
      <c r="I833">
        <v>0</v>
      </c>
      <c r="J83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833" s="43">
        <f>IFERROR(SUMIFS(Tabela10[Fod Worth],Tabela10[Drop],DropAnalityka[[#This Row],[Drop]],Tabela10[Grade],DropAnalityka[[#This Row],[Grade]])*DropAnalityka[[#This Row],[Quality/Quantity]],0)</f>
        <v>0</v>
      </c>
      <c r="L833" s="43">
        <f>IFERROR(SUMIFS(Tabela10[Exp Gain only 2*+],Tabela10[Drop],DropAnalityka[[#This Row],[Drop]],Tabela10[Grade],DropAnalityka[[#This Row],[Grade]])*DropAnalityka[[#This Row],[Quality/Quantity]],0)</f>
        <v>3200</v>
      </c>
    </row>
    <row r="834" spans="1:12">
      <c r="A834" t="s">
        <v>207</v>
      </c>
      <c r="B834" t="s">
        <v>9</v>
      </c>
      <c r="C834">
        <v>9</v>
      </c>
      <c r="D834">
        <v>2671</v>
      </c>
      <c r="E834">
        <v>0</v>
      </c>
      <c r="F834" t="s">
        <v>249</v>
      </c>
      <c r="G834">
        <v>5</v>
      </c>
      <c r="H834" t="s">
        <v>270</v>
      </c>
      <c r="I834">
        <v>0</v>
      </c>
      <c r="J8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4" s="43">
        <f>IFERROR(SUMIFS(Tabela10[Fod Worth],Tabela10[Drop],DropAnalityka[[#This Row],[Drop]],Tabela10[Grade],DropAnalityka[[#This Row],[Grade]])*DropAnalityka[[#This Row],[Quality/Quantity]],0)</f>
        <v>0</v>
      </c>
      <c r="L834" s="43">
        <f>IFERROR(SUMIFS(Tabela10[Exp Gain only 2*+],Tabela10[Drop],DropAnalityka[[#This Row],[Drop]],Tabela10[Grade],DropAnalityka[[#This Row],[Grade]])*DropAnalityka[[#This Row],[Quality/Quantity]],0)</f>
        <v>0</v>
      </c>
    </row>
    <row r="835" spans="1:12">
      <c r="A835" t="s">
        <v>207</v>
      </c>
      <c r="B835" t="s">
        <v>9</v>
      </c>
      <c r="C835">
        <v>9</v>
      </c>
      <c r="D835">
        <v>2947</v>
      </c>
      <c r="E835">
        <v>1</v>
      </c>
      <c r="F835" t="s">
        <v>249</v>
      </c>
      <c r="G835">
        <v>1</v>
      </c>
      <c r="H835" t="s">
        <v>271</v>
      </c>
      <c r="I835">
        <v>0</v>
      </c>
      <c r="J8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5" s="43">
        <f>IFERROR(SUMIFS(Tabela10[Fod Worth],Tabela10[Drop],DropAnalityka[[#This Row],[Drop]],Tabela10[Grade],DropAnalityka[[#This Row],[Grade]])*DropAnalityka[[#This Row],[Quality/Quantity]],0)</f>
        <v>0</v>
      </c>
      <c r="L835" s="43">
        <f>IFERROR(SUMIFS(Tabela10[Exp Gain only 2*+],Tabela10[Drop],DropAnalityka[[#This Row],[Drop]],Tabela10[Grade],DropAnalityka[[#This Row],[Grade]])*DropAnalityka[[#This Row],[Quality/Quantity]],0)</f>
        <v>0</v>
      </c>
    </row>
    <row r="836" spans="1:12">
      <c r="A836" t="s">
        <v>207</v>
      </c>
      <c r="B836" t="s">
        <v>9</v>
      </c>
      <c r="C836">
        <v>9</v>
      </c>
      <c r="D836">
        <v>3358</v>
      </c>
      <c r="E836">
        <v>1</v>
      </c>
      <c r="F836" t="s">
        <v>34</v>
      </c>
      <c r="G836">
        <v>4</v>
      </c>
      <c r="H836" t="s">
        <v>17</v>
      </c>
      <c r="I836">
        <v>0</v>
      </c>
      <c r="J836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836" s="43">
        <f>IFERROR(SUMIFS(Tabela10[Fod Worth],Tabela10[Drop],DropAnalityka[[#This Row],[Drop]],Tabela10[Grade],DropAnalityka[[#This Row],[Grade]])*DropAnalityka[[#This Row],[Quality/Quantity]],0)</f>
        <v>0</v>
      </c>
      <c r="L836" s="43">
        <f>IFERROR(SUMIFS(Tabela10[Exp Gain only 2*+],Tabela10[Drop],DropAnalityka[[#This Row],[Drop]],Tabela10[Grade],DropAnalityka[[#This Row],[Grade]])*DropAnalityka[[#This Row],[Quality/Quantity]],0)</f>
        <v>3200</v>
      </c>
    </row>
    <row r="837" spans="1:12">
      <c r="A837" t="s">
        <v>207</v>
      </c>
      <c r="B837" t="s">
        <v>9</v>
      </c>
      <c r="C837">
        <v>9</v>
      </c>
      <c r="D837">
        <v>2184</v>
      </c>
      <c r="E837">
        <v>0</v>
      </c>
      <c r="F837" t="s">
        <v>249</v>
      </c>
      <c r="G837">
        <v>4</v>
      </c>
      <c r="H837" t="s">
        <v>270</v>
      </c>
      <c r="I837">
        <v>0</v>
      </c>
      <c r="J8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7" s="43">
        <f>IFERROR(SUMIFS(Tabela10[Fod Worth],Tabela10[Drop],DropAnalityka[[#This Row],[Drop]],Tabela10[Grade],DropAnalityka[[#This Row],[Grade]])*DropAnalityka[[#This Row],[Quality/Quantity]],0)</f>
        <v>0</v>
      </c>
      <c r="L837" s="43">
        <f>IFERROR(SUMIFS(Tabela10[Exp Gain only 2*+],Tabela10[Drop],DropAnalityka[[#This Row],[Drop]],Tabela10[Grade],DropAnalityka[[#This Row],[Grade]])*DropAnalityka[[#This Row],[Quality/Quantity]],0)</f>
        <v>0</v>
      </c>
    </row>
    <row r="838" spans="1:12">
      <c r="A838" t="s">
        <v>207</v>
      </c>
      <c r="B838" t="s">
        <v>9</v>
      </c>
      <c r="C838">
        <v>9</v>
      </c>
      <c r="D838">
        <v>2654</v>
      </c>
      <c r="E838">
        <v>3</v>
      </c>
      <c r="F838" t="s">
        <v>249</v>
      </c>
      <c r="G838">
        <v>1</v>
      </c>
      <c r="H838" t="s">
        <v>292</v>
      </c>
      <c r="I838">
        <v>0</v>
      </c>
      <c r="J8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8" s="43">
        <f>IFERROR(SUMIFS(Tabela10[Fod Worth],Tabela10[Drop],DropAnalityka[[#This Row],[Drop]],Tabela10[Grade],DropAnalityka[[#This Row],[Grade]])*DropAnalityka[[#This Row],[Quality/Quantity]],0)</f>
        <v>0</v>
      </c>
      <c r="L838" s="43">
        <f>IFERROR(SUMIFS(Tabela10[Exp Gain only 2*+],Tabela10[Drop],DropAnalityka[[#This Row],[Drop]],Tabela10[Grade],DropAnalityka[[#This Row],[Grade]])*DropAnalityka[[#This Row],[Quality/Quantity]],0)</f>
        <v>0</v>
      </c>
    </row>
    <row r="839" spans="1:12">
      <c r="A839" t="s">
        <v>207</v>
      </c>
      <c r="B839" t="s">
        <v>9</v>
      </c>
      <c r="C839">
        <v>9</v>
      </c>
      <c r="D839">
        <v>2592</v>
      </c>
      <c r="E839">
        <v>1</v>
      </c>
      <c r="F839" t="s">
        <v>249</v>
      </c>
      <c r="G839">
        <v>1</v>
      </c>
      <c r="H839" t="s">
        <v>292</v>
      </c>
      <c r="I839">
        <v>0</v>
      </c>
      <c r="J8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39" s="43">
        <f>IFERROR(SUMIFS(Tabela10[Fod Worth],Tabela10[Drop],DropAnalityka[[#This Row],[Drop]],Tabela10[Grade],DropAnalityka[[#This Row],[Grade]])*DropAnalityka[[#This Row],[Quality/Quantity]],0)</f>
        <v>0</v>
      </c>
      <c r="L839" s="43">
        <f>IFERROR(SUMIFS(Tabela10[Exp Gain only 2*+],Tabela10[Drop],DropAnalityka[[#This Row],[Drop]],Tabela10[Grade],DropAnalityka[[#This Row],[Grade]])*DropAnalityka[[#This Row],[Quality/Quantity]],0)</f>
        <v>0</v>
      </c>
    </row>
    <row r="840" spans="1:12">
      <c r="A840" t="s">
        <v>207</v>
      </c>
      <c r="B840" t="s">
        <v>9</v>
      </c>
      <c r="C840">
        <v>9</v>
      </c>
      <c r="D840">
        <v>2625</v>
      </c>
      <c r="E840">
        <v>0</v>
      </c>
      <c r="F840" t="s">
        <v>249</v>
      </c>
      <c r="G840">
        <v>1</v>
      </c>
      <c r="H840" t="s">
        <v>271</v>
      </c>
      <c r="I840">
        <v>0</v>
      </c>
      <c r="J8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0" s="43">
        <f>IFERROR(SUMIFS(Tabela10[Fod Worth],Tabela10[Drop],DropAnalityka[[#This Row],[Drop]],Tabela10[Grade],DropAnalityka[[#This Row],[Grade]])*DropAnalityka[[#This Row],[Quality/Quantity]],0)</f>
        <v>0</v>
      </c>
      <c r="L840" s="43">
        <f>IFERROR(SUMIFS(Tabela10[Exp Gain only 2*+],Tabela10[Drop],DropAnalityka[[#This Row],[Drop]],Tabela10[Grade],DropAnalityka[[#This Row],[Grade]])*DropAnalityka[[#This Row],[Quality/Quantity]],0)</f>
        <v>0</v>
      </c>
    </row>
    <row r="841" spans="1:12">
      <c r="A841" t="s">
        <v>207</v>
      </c>
      <c r="B841" t="s">
        <v>9</v>
      </c>
      <c r="C841">
        <v>9</v>
      </c>
      <c r="D841">
        <v>3029</v>
      </c>
      <c r="E841">
        <v>0</v>
      </c>
      <c r="F841" t="s">
        <v>249</v>
      </c>
      <c r="G841">
        <v>1</v>
      </c>
      <c r="H841" t="s">
        <v>292</v>
      </c>
      <c r="I841">
        <v>0</v>
      </c>
      <c r="J8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1" s="43">
        <f>IFERROR(SUMIFS(Tabela10[Fod Worth],Tabela10[Drop],DropAnalityka[[#This Row],[Drop]],Tabela10[Grade],DropAnalityka[[#This Row],[Grade]])*DropAnalityka[[#This Row],[Quality/Quantity]],0)</f>
        <v>0</v>
      </c>
      <c r="L841" s="43">
        <f>IFERROR(SUMIFS(Tabela10[Exp Gain only 2*+],Tabela10[Drop],DropAnalityka[[#This Row],[Drop]],Tabela10[Grade],DropAnalityka[[#This Row],[Grade]])*DropAnalityka[[#This Row],[Quality/Quantity]],0)</f>
        <v>0</v>
      </c>
    </row>
    <row r="842" spans="1:12">
      <c r="A842" t="s">
        <v>207</v>
      </c>
      <c r="B842" t="s">
        <v>9</v>
      </c>
      <c r="C842">
        <v>9</v>
      </c>
      <c r="D842">
        <v>2865</v>
      </c>
      <c r="E842">
        <v>1</v>
      </c>
      <c r="F842" t="s">
        <v>249</v>
      </c>
      <c r="G842">
        <v>1</v>
      </c>
      <c r="H842" t="s">
        <v>292</v>
      </c>
      <c r="I842">
        <v>0</v>
      </c>
      <c r="J8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2" s="43">
        <f>IFERROR(SUMIFS(Tabela10[Fod Worth],Tabela10[Drop],DropAnalityka[[#This Row],[Drop]],Tabela10[Grade],DropAnalityka[[#This Row],[Grade]])*DropAnalityka[[#This Row],[Quality/Quantity]],0)</f>
        <v>0</v>
      </c>
      <c r="L842" s="43">
        <f>IFERROR(SUMIFS(Tabela10[Exp Gain only 2*+],Tabela10[Drop],DropAnalityka[[#This Row],[Drop]],Tabela10[Grade],DropAnalityka[[#This Row],[Grade]])*DropAnalityka[[#This Row],[Quality/Quantity]],0)</f>
        <v>0</v>
      </c>
    </row>
    <row r="843" spans="1:12">
      <c r="A843" t="s">
        <v>207</v>
      </c>
      <c r="B843" t="s">
        <v>9</v>
      </c>
      <c r="C843">
        <v>9</v>
      </c>
      <c r="D843">
        <v>3075</v>
      </c>
      <c r="E843">
        <v>3</v>
      </c>
      <c r="F843" t="s">
        <v>249</v>
      </c>
      <c r="G843">
        <v>5</v>
      </c>
      <c r="H843" t="s">
        <v>270</v>
      </c>
      <c r="I843">
        <v>0</v>
      </c>
      <c r="J8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3" s="43">
        <f>IFERROR(SUMIFS(Tabela10[Fod Worth],Tabela10[Drop],DropAnalityka[[#This Row],[Drop]],Tabela10[Grade],DropAnalityka[[#This Row],[Grade]])*DropAnalityka[[#This Row],[Quality/Quantity]],0)</f>
        <v>0</v>
      </c>
      <c r="L843" s="43">
        <f>IFERROR(SUMIFS(Tabela10[Exp Gain only 2*+],Tabela10[Drop],DropAnalityka[[#This Row],[Drop]],Tabela10[Grade],DropAnalityka[[#This Row],[Grade]])*DropAnalityka[[#This Row],[Quality/Quantity]],0)</f>
        <v>0</v>
      </c>
    </row>
    <row r="844" spans="1:12">
      <c r="A844" t="s">
        <v>207</v>
      </c>
      <c r="B844" t="s">
        <v>9</v>
      </c>
      <c r="C844">
        <v>9</v>
      </c>
      <c r="D844">
        <v>3767</v>
      </c>
      <c r="E844">
        <v>2</v>
      </c>
      <c r="F844" t="s">
        <v>249</v>
      </c>
      <c r="G844">
        <v>4</v>
      </c>
      <c r="H844" t="s">
        <v>270</v>
      </c>
      <c r="I844">
        <v>0</v>
      </c>
      <c r="J8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4" s="43">
        <f>IFERROR(SUMIFS(Tabela10[Fod Worth],Tabela10[Drop],DropAnalityka[[#This Row],[Drop]],Tabela10[Grade],DropAnalityka[[#This Row],[Grade]])*DropAnalityka[[#This Row],[Quality/Quantity]],0)</f>
        <v>0</v>
      </c>
      <c r="L844" s="43">
        <f>IFERROR(SUMIFS(Tabela10[Exp Gain only 2*+],Tabela10[Drop],DropAnalityka[[#This Row],[Drop]],Tabela10[Grade],DropAnalityka[[#This Row],[Grade]])*DropAnalityka[[#This Row],[Quality/Quantity]],0)</f>
        <v>0</v>
      </c>
    </row>
    <row r="845" spans="1:12">
      <c r="A845" t="s">
        <v>207</v>
      </c>
      <c r="B845" t="s">
        <v>9</v>
      </c>
      <c r="C845">
        <v>9</v>
      </c>
      <c r="D845">
        <v>3007</v>
      </c>
      <c r="E845">
        <v>2</v>
      </c>
      <c r="F845" t="s">
        <v>249</v>
      </c>
      <c r="G845">
        <v>3</v>
      </c>
      <c r="H845" t="s">
        <v>292</v>
      </c>
      <c r="I845">
        <v>0</v>
      </c>
      <c r="J8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5" s="43">
        <f>IFERROR(SUMIFS(Tabela10[Fod Worth],Tabela10[Drop],DropAnalityka[[#This Row],[Drop]],Tabela10[Grade],DropAnalityka[[#This Row],[Grade]])*DropAnalityka[[#This Row],[Quality/Quantity]],0)</f>
        <v>0</v>
      </c>
      <c r="L845" s="43">
        <f>IFERROR(SUMIFS(Tabela10[Exp Gain only 2*+],Tabela10[Drop],DropAnalityka[[#This Row],[Drop]],Tabela10[Grade],DropAnalityka[[#This Row],[Grade]])*DropAnalityka[[#This Row],[Quality/Quantity]],0)</f>
        <v>0</v>
      </c>
    </row>
    <row r="846" spans="1:12">
      <c r="A846" t="s">
        <v>207</v>
      </c>
      <c r="B846" t="s">
        <v>9</v>
      </c>
      <c r="C846">
        <v>9</v>
      </c>
      <c r="D846">
        <v>2942</v>
      </c>
      <c r="E846">
        <v>0</v>
      </c>
      <c r="F846" t="s">
        <v>249</v>
      </c>
      <c r="G846">
        <v>1</v>
      </c>
      <c r="H846" t="s">
        <v>292</v>
      </c>
      <c r="I846">
        <v>0</v>
      </c>
      <c r="J8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6" s="43">
        <f>IFERROR(SUMIFS(Tabela10[Fod Worth],Tabela10[Drop],DropAnalityka[[#This Row],[Drop]],Tabela10[Grade],DropAnalityka[[#This Row],[Grade]])*DropAnalityka[[#This Row],[Quality/Quantity]],0)</f>
        <v>0</v>
      </c>
      <c r="L846" s="43">
        <f>IFERROR(SUMIFS(Tabela10[Exp Gain only 2*+],Tabela10[Drop],DropAnalityka[[#This Row],[Drop]],Tabela10[Grade],DropAnalityka[[#This Row],[Grade]])*DropAnalityka[[#This Row],[Quality/Quantity]],0)</f>
        <v>0</v>
      </c>
    </row>
    <row r="847" spans="1:12">
      <c r="A847" t="s">
        <v>207</v>
      </c>
      <c r="B847" t="s">
        <v>9</v>
      </c>
      <c r="C847">
        <v>9</v>
      </c>
      <c r="D847">
        <v>2701</v>
      </c>
      <c r="E847">
        <v>0</v>
      </c>
      <c r="F847" t="s">
        <v>249</v>
      </c>
      <c r="G847">
        <v>5</v>
      </c>
      <c r="H847" t="s">
        <v>270</v>
      </c>
      <c r="I847">
        <v>0</v>
      </c>
      <c r="J8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7" s="43">
        <f>IFERROR(SUMIFS(Tabela10[Fod Worth],Tabela10[Drop],DropAnalityka[[#This Row],[Drop]],Tabela10[Grade],DropAnalityka[[#This Row],[Grade]])*DropAnalityka[[#This Row],[Quality/Quantity]],0)</f>
        <v>0</v>
      </c>
      <c r="L847" s="43">
        <f>IFERROR(SUMIFS(Tabela10[Exp Gain only 2*+],Tabela10[Drop],DropAnalityka[[#This Row],[Drop]],Tabela10[Grade],DropAnalityka[[#This Row],[Grade]])*DropAnalityka[[#This Row],[Quality/Quantity]],0)</f>
        <v>0</v>
      </c>
    </row>
    <row r="848" spans="1:12">
      <c r="A848" t="s">
        <v>207</v>
      </c>
      <c r="B848" t="s">
        <v>9</v>
      </c>
      <c r="C848">
        <v>9</v>
      </c>
      <c r="D848">
        <v>3320</v>
      </c>
      <c r="E848">
        <v>0</v>
      </c>
      <c r="F848" t="s">
        <v>249</v>
      </c>
      <c r="G848">
        <v>3</v>
      </c>
      <c r="H848" t="s">
        <v>271</v>
      </c>
      <c r="I848">
        <v>0</v>
      </c>
      <c r="J8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8" s="43">
        <f>IFERROR(SUMIFS(Tabela10[Fod Worth],Tabela10[Drop],DropAnalityka[[#This Row],[Drop]],Tabela10[Grade],DropAnalityka[[#This Row],[Grade]])*DropAnalityka[[#This Row],[Quality/Quantity]],0)</f>
        <v>0</v>
      </c>
      <c r="L848" s="43">
        <f>IFERROR(SUMIFS(Tabela10[Exp Gain only 2*+],Tabela10[Drop],DropAnalityka[[#This Row],[Drop]],Tabela10[Grade],DropAnalityka[[#This Row],[Grade]])*DropAnalityka[[#This Row],[Quality/Quantity]],0)</f>
        <v>0</v>
      </c>
    </row>
    <row r="849" spans="1:12">
      <c r="A849" t="s">
        <v>207</v>
      </c>
      <c r="B849" t="s">
        <v>9</v>
      </c>
      <c r="C849">
        <v>9</v>
      </c>
      <c r="D849">
        <v>2890</v>
      </c>
      <c r="E849">
        <v>2</v>
      </c>
      <c r="F849" t="s">
        <v>249</v>
      </c>
      <c r="G849">
        <v>3</v>
      </c>
      <c r="H849" t="s">
        <v>270</v>
      </c>
      <c r="I849">
        <v>0</v>
      </c>
      <c r="J8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49" s="43">
        <f>IFERROR(SUMIFS(Tabela10[Fod Worth],Tabela10[Drop],DropAnalityka[[#This Row],[Drop]],Tabela10[Grade],DropAnalityka[[#This Row],[Grade]])*DropAnalityka[[#This Row],[Quality/Quantity]],0)</f>
        <v>0</v>
      </c>
      <c r="L849" s="43">
        <f>IFERROR(SUMIFS(Tabela10[Exp Gain only 2*+],Tabela10[Drop],DropAnalityka[[#This Row],[Drop]],Tabela10[Grade],DropAnalityka[[#This Row],[Grade]])*DropAnalityka[[#This Row],[Quality/Quantity]],0)</f>
        <v>0</v>
      </c>
    </row>
    <row r="850" spans="1:12">
      <c r="A850" t="s">
        <v>207</v>
      </c>
      <c r="B850" t="s">
        <v>9</v>
      </c>
      <c r="C850">
        <v>9</v>
      </c>
      <c r="D850">
        <v>3274</v>
      </c>
      <c r="E850">
        <v>1</v>
      </c>
      <c r="F850" t="s">
        <v>249</v>
      </c>
      <c r="G850">
        <v>2</v>
      </c>
      <c r="H850" t="s">
        <v>271</v>
      </c>
      <c r="I850">
        <v>0</v>
      </c>
      <c r="J8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0" s="43">
        <f>IFERROR(SUMIFS(Tabela10[Fod Worth],Tabela10[Drop],DropAnalityka[[#This Row],[Drop]],Tabela10[Grade],DropAnalityka[[#This Row],[Grade]])*DropAnalityka[[#This Row],[Quality/Quantity]],0)</f>
        <v>0</v>
      </c>
      <c r="L850" s="43">
        <f>IFERROR(SUMIFS(Tabela10[Exp Gain only 2*+],Tabela10[Drop],DropAnalityka[[#This Row],[Drop]],Tabela10[Grade],DropAnalityka[[#This Row],[Grade]])*DropAnalityka[[#This Row],[Quality/Quantity]],0)</f>
        <v>0</v>
      </c>
    </row>
    <row r="851" spans="1:12">
      <c r="A851" t="s">
        <v>207</v>
      </c>
      <c r="B851" t="s">
        <v>9</v>
      </c>
      <c r="C851">
        <v>9</v>
      </c>
      <c r="D851">
        <v>2847</v>
      </c>
      <c r="E851">
        <v>1</v>
      </c>
      <c r="F851" t="s">
        <v>249</v>
      </c>
      <c r="G851">
        <v>1</v>
      </c>
      <c r="H851" t="s">
        <v>271</v>
      </c>
      <c r="I851">
        <v>0</v>
      </c>
      <c r="J8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1" s="43">
        <f>IFERROR(SUMIFS(Tabela10[Fod Worth],Tabela10[Drop],DropAnalityka[[#This Row],[Drop]],Tabela10[Grade],DropAnalityka[[#This Row],[Grade]])*DropAnalityka[[#This Row],[Quality/Quantity]],0)</f>
        <v>0</v>
      </c>
      <c r="L851" s="43">
        <f>IFERROR(SUMIFS(Tabela10[Exp Gain only 2*+],Tabela10[Drop],DropAnalityka[[#This Row],[Drop]],Tabela10[Grade],DropAnalityka[[#This Row],[Grade]])*DropAnalityka[[#This Row],[Quality/Quantity]],0)</f>
        <v>0</v>
      </c>
    </row>
    <row r="852" spans="1:12">
      <c r="A852" t="s">
        <v>207</v>
      </c>
      <c r="B852" t="s">
        <v>9</v>
      </c>
      <c r="C852">
        <v>9</v>
      </c>
      <c r="D852">
        <v>2602</v>
      </c>
      <c r="E852">
        <v>0</v>
      </c>
      <c r="F852" t="s">
        <v>249</v>
      </c>
      <c r="G852">
        <v>4</v>
      </c>
      <c r="H852" t="s">
        <v>270</v>
      </c>
      <c r="I852">
        <v>0</v>
      </c>
      <c r="J8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2" s="43">
        <f>IFERROR(SUMIFS(Tabela10[Fod Worth],Tabela10[Drop],DropAnalityka[[#This Row],[Drop]],Tabela10[Grade],DropAnalityka[[#This Row],[Grade]])*DropAnalityka[[#This Row],[Quality/Quantity]],0)</f>
        <v>0</v>
      </c>
      <c r="L852" s="43">
        <f>IFERROR(SUMIFS(Tabela10[Exp Gain only 2*+],Tabela10[Drop],DropAnalityka[[#This Row],[Drop]],Tabela10[Grade],DropAnalityka[[#This Row],[Grade]])*DropAnalityka[[#This Row],[Quality/Quantity]],0)</f>
        <v>0</v>
      </c>
    </row>
    <row r="853" spans="1:12">
      <c r="A853" t="s">
        <v>207</v>
      </c>
      <c r="B853" t="s">
        <v>9</v>
      </c>
      <c r="C853">
        <v>9</v>
      </c>
      <c r="D853">
        <v>2901</v>
      </c>
      <c r="E853">
        <v>1</v>
      </c>
      <c r="F853" t="s">
        <v>223</v>
      </c>
      <c r="G853" t="s">
        <v>283</v>
      </c>
      <c r="H853" t="s">
        <v>26</v>
      </c>
      <c r="I853">
        <v>0</v>
      </c>
      <c r="J8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3" s="43">
        <f>IFERROR(SUMIFS(Tabela10[Fod Worth],Tabela10[Drop],DropAnalityka[[#This Row],[Drop]],Tabela10[Grade],DropAnalityka[[#This Row],[Grade]])*DropAnalityka[[#This Row],[Quality/Quantity]],0)</f>
        <v>0</v>
      </c>
      <c r="L853" s="43">
        <f>IFERROR(SUMIFS(Tabela10[Exp Gain only 2*+],Tabela10[Drop],DropAnalityka[[#This Row],[Drop]],Tabela10[Grade],DropAnalityka[[#This Row],[Grade]])*DropAnalityka[[#This Row],[Quality/Quantity]],0)</f>
        <v>0</v>
      </c>
    </row>
    <row r="854" spans="1:12">
      <c r="A854" t="s">
        <v>207</v>
      </c>
      <c r="B854" t="s">
        <v>9</v>
      </c>
      <c r="C854">
        <v>9</v>
      </c>
      <c r="D854">
        <v>2768</v>
      </c>
      <c r="E854">
        <v>0</v>
      </c>
      <c r="F854" t="s">
        <v>249</v>
      </c>
      <c r="G854">
        <v>5</v>
      </c>
      <c r="H854" t="s">
        <v>270</v>
      </c>
      <c r="I854">
        <v>0</v>
      </c>
      <c r="J8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4" s="43">
        <f>IFERROR(SUMIFS(Tabela10[Fod Worth],Tabela10[Drop],DropAnalityka[[#This Row],[Drop]],Tabela10[Grade],DropAnalityka[[#This Row],[Grade]])*DropAnalityka[[#This Row],[Quality/Quantity]],0)</f>
        <v>0</v>
      </c>
      <c r="L854" s="43">
        <f>IFERROR(SUMIFS(Tabela10[Exp Gain only 2*+],Tabela10[Drop],DropAnalityka[[#This Row],[Drop]],Tabela10[Grade],DropAnalityka[[#This Row],[Grade]])*DropAnalityka[[#This Row],[Quality/Quantity]],0)</f>
        <v>0</v>
      </c>
    </row>
    <row r="855" spans="1:12">
      <c r="A855" t="s">
        <v>207</v>
      </c>
      <c r="B855" t="s">
        <v>9</v>
      </c>
      <c r="C855">
        <v>9</v>
      </c>
      <c r="D855">
        <v>2401</v>
      </c>
      <c r="E855">
        <v>1</v>
      </c>
      <c r="F855" t="s">
        <v>249</v>
      </c>
      <c r="G855">
        <v>1</v>
      </c>
      <c r="H855" t="s">
        <v>292</v>
      </c>
      <c r="I855">
        <v>0</v>
      </c>
      <c r="J8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5" s="43">
        <f>IFERROR(SUMIFS(Tabela10[Fod Worth],Tabela10[Drop],DropAnalityka[[#This Row],[Drop]],Tabela10[Grade],DropAnalityka[[#This Row],[Grade]])*DropAnalityka[[#This Row],[Quality/Quantity]],0)</f>
        <v>0</v>
      </c>
      <c r="L855" s="43">
        <f>IFERROR(SUMIFS(Tabela10[Exp Gain only 2*+],Tabela10[Drop],DropAnalityka[[#This Row],[Drop]],Tabela10[Grade],DropAnalityka[[#This Row],[Grade]])*DropAnalityka[[#This Row],[Quality/Quantity]],0)</f>
        <v>0</v>
      </c>
    </row>
    <row r="856" spans="1:12">
      <c r="A856" t="s">
        <v>207</v>
      </c>
      <c r="B856" t="s">
        <v>9</v>
      </c>
      <c r="C856">
        <v>9</v>
      </c>
      <c r="D856">
        <v>2915</v>
      </c>
      <c r="E856">
        <v>0</v>
      </c>
      <c r="F856" t="s">
        <v>205</v>
      </c>
      <c r="G856">
        <v>3</v>
      </c>
      <c r="H856" t="s">
        <v>26</v>
      </c>
      <c r="I856">
        <v>0</v>
      </c>
      <c r="J8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6" s="43">
        <f>IFERROR(SUMIFS(Tabela10[Fod Worth],Tabela10[Drop],DropAnalityka[[#This Row],[Drop]],Tabela10[Grade],DropAnalityka[[#This Row],[Grade]])*DropAnalityka[[#This Row],[Quality/Quantity]],0)</f>
        <v>2587.5</v>
      </c>
      <c r="L856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857" spans="1:12">
      <c r="A857" t="s">
        <v>207</v>
      </c>
      <c r="B857" t="s">
        <v>9</v>
      </c>
      <c r="C857">
        <v>9</v>
      </c>
      <c r="D857">
        <v>2978</v>
      </c>
      <c r="E857">
        <v>0</v>
      </c>
      <c r="F857" t="s">
        <v>249</v>
      </c>
      <c r="G857">
        <v>4</v>
      </c>
      <c r="H857" t="s">
        <v>270</v>
      </c>
      <c r="I857">
        <v>0</v>
      </c>
      <c r="J8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7" s="43">
        <f>IFERROR(SUMIFS(Tabela10[Fod Worth],Tabela10[Drop],DropAnalityka[[#This Row],[Drop]],Tabela10[Grade],DropAnalityka[[#This Row],[Grade]])*DropAnalityka[[#This Row],[Quality/Quantity]],0)</f>
        <v>0</v>
      </c>
      <c r="L857" s="43">
        <f>IFERROR(SUMIFS(Tabela10[Exp Gain only 2*+],Tabela10[Drop],DropAnalityka[[#This Row],[Drop]],Tabela10[Grade],DropAnalityka[[#This Row],[Grade]])*DropAnalityka[[#This Row],[Quality/Quantity]],0)</f>
        <v>0</v>
      </c>
    </row>
    <row r="858" spans="1:12">
      <c r="A858" t="s">
        <v>207</v>
      </c>
      <c r="B858" t="s">
        <v>9</v>
      </c>
      <c r="C858">
        <v>9</v>
      </c>
      <c r="D858">
        <v>2956</v>
      </c>
      <c r="E858">
        <v>0</v>
      </c>
      <c r="F858" t="s">
        <v>249</v>
      </c>
      <c r="G858">
        <v>5</v>
      </c>
      <c r="H858" t="s">
        <v>270</v>
      </c>
      <c r="I858">
        <v>0</v>
      </c>
      <c r="J8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8" s="43">
        <f>IFERROR(SUMIFS(Tabela10[Fod Worth],Tabela10[Drop],DropAnalityka[[#This Row],[Drop]],Tabela10[Grade],DropAnalityka[[#This Row],[Grade]])*DropAnalityka[[#This Row],[Quality/Quantity]],0)</f>
        <v>0</v>
      </c>
      <c r="L858" s="43">
        <f>IFERROR(SUMIFS(Tabela10[Exp Gain only 2*+],Tabela10[Drop],DropAnalityka[[#This Row],[Drop]],Tabela10[Grade],DropAnalityka[[#This Row],[Grade]])*DropAnalityka[[#This Row],[Quality/Quantity]],0)</f>
        <v>0</v>
      </c>
    </row>
    <row r="859" spans="1:12">
      <c r="A859" t="s">
        <v>207</v>
      </c>
      <c r="B859" t="s">
        <v>9</v>
      </c>
      <c r="C859">
        <v>9</v>
      </c>
      <c r="D859">
        <v>2657</v>
      </c>
      <c r="E859">
        <v>1</v>
      </c>
      <c r="F859" t="s">
        <v>249</v>
      </c>
      <c r="G859">
        <v>5</v>
      </c>
      <c r="H859" t="s">
        <v>270</v>
      </c>
      <c r="I859">
        <v>0</v>
      </c>
      <c r="J8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59" s="43">
        <f>IFERROR(SUMIFS(Tabela10[Fod Worth],Tabela10[Drop],DropAnalityka[[#This Row],[Drop]],Tabela10[Grade],DropAnalityka[[#This Row],[Grade]])*DropAnalityka[[#This Row],[Quality/Quantity]],0)</f>
        <v>0</v>
      </c>
      <c r="L859" s="43">
        <f>IFERROR(SUMIFS(Tabela10[Exp Gain only 2*+],Tabela10[Drop],DropAnalityka[[#This Row],[Drop]],Tabela10[Grade],DropAnalityka[[#This Row],[Grade]])*DropAnalityka[[#This Row],[Quality/Quantity]],0)</f>
        <v>0</v>
      </c>
    </row>
    <row r="860" spans="1:12">
      <c r="A860" t="s">
        <v>207</v>
      </c>
      <c r="B860" t="s">
        <v>9</v>
      </c>
      <c r="C860">
        <v>9</v>
      </c>
      <c r="D860">
        <v>2789</v>
      </c>
      <c r="E860">
        <v>0</v>
      </c>
      <c r="F860" t="s">
        <v>206</v>
      </c>
      <c r="G860">
        <v>1</v>
      </c>
      <c r="H860" t="s">
        <v>17</v>
      </c>
      <c r="I860">
        <v>0</v>
      </c>
      <c r="J8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0" s="43">
        <f>IFERROR(SUMIFS(Tabela10[Fod Worth],Tabela10[Drop],DropAnalityka[[#This Row],[Drop]],Tabela10[Grade],DropAnalityka[[#This Row],[Grade]])*DropAnalityka[[#This Row],[Quality/Quantity]],0)</f>
        <v>0</v>
      </c>
      <c r="L860" s="43">
        <f>IFERROR(SUMIFS(Tabela10[Exp Gain only 2*+],Tabela10[Drop],DropAnalityka[[#This Row],[Drop]],Tabela10[Grade],DropAnalityka[[#This Row],[Grade]])*DropAnalityka[[#This Row],[Quality/Quantity]],0)</f>
        <v>0</v>
      </c>
    </row>
    <row r="861" spans="1:12">
      <c r="A861" t="s">
        <v>207</v>
      </c>
      <c r="B861" t="s">
        <v>9</v>
      </c>
      <c r="C861">
        <v>9</v>
      </c>
      <c r="D861">
        <v>2793</v>
      </c>
      <c r="E861">
        <v>1</v>
      </c>
      <c r="F861" t="s">
        <v>249</v>
      </c>
      <c r="G861">
        <v>5</v>
      </c>
      <c r="H861" t="s">
        <v>270</v>
      </c>
      <c r="I861">
        <v>0</v>
      </c>
      <c r="J8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1" s="43">
        <f>IFERROR(SUMIFS(Tabela10[Fod Worth],Tabela10[Drop],DropAnalityka[[#This Row],[Drop]],Tabela10[Grade],DropAnalityka[[#This Row],[Grade]])*DropAnalityka[[#This Row],[Quality/Quantity]],0)</f>
        <v>0</v>
      </c>
      <c r="L861" s="43">
        <f>IFERROR(SUMIFS(Tabela10[Exp Gain only 2*+],Tabela10[Drop],DropAnalityka[[#This Row],[Drop]],Tabela10[Grade],DropAnalityka[[#This Row],[Grade]])*DropAnalityka[[#This Row],[Quality/Quantity]],0)</f>
        <v>0</v>
      </c>
    </row>
    <row r="862" spans="1:12">
      <c r="A862" t="s">
        <v>207</v>
      </c>
      <c r="B862" t="s">
        <v>9</v>
      </c>
      <c r="C862">
        <v>9</v>
      </c>
      <c r="D862">
        <v>2869</v>
      </c>
      <c r="E862">
        <v>2</v>
      </c>
      <c r="F862" t="s">
        <v>249</v>
      </c>
      <c r="G862">
        <v>4</v>
      </c>
      <c r="H862" t="s">
        <v>270</v>
      </c>
      <c r="I862">
        <v>0</v>
      </c>
      <c r="J8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2" s="43">
        <f>IFERROR(SUMIFS(Tabela10[Fod Worth],Tabela10[Drop],DropAnalityka[[#This Row],[Drop]],Tabela10[Grade],DropAnalityka[[#This Row],[Grade]])*DropAnalityka[[#This Row],[Quality/Quantity]],0)</f>
        <v>0</v>
      </c>
      <c r="L862" s="43">
        <f>IFERROR(SUMIFS(Tabela10[Exp Gain only 2*+],Tabela10[Drop],DropAnalityka[[#This Row],[Drop]],Tabela10[Grade],DropAnalityka[[#This Row],[Grade]])*DropAnalityka[[#This Row],[Quality/Quantity]],0)</f>
        <v>0</v>
      </c>
    </row>
    <row r="863" spans="1:12">
      <c r="A863" t="s">
        <v>207</v>
      </c>
      <c r="B863" t="s">
        <v>9</v>
      </c>
      <c r="C863">
        <v>9</v>
      </c>
      <c r="D863">
        <v>2638</v>
      </c>
      <c r="E863">
        <v>1</v>
      </c>
      <c r="F863" t="s">
        <v>206</v>
      </c>
      <c r="G863">
        <v>1</v>
      </c>
      <c r="H863" t="s">
        <v>17</v>
      </c>
      <c r="I863">
        <v>0</v>
      </c>
      <c r="J8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3" s="43">
        <f>IFERROR(SUMIFS(Tabela10[Fod Worth],Tabela10[Drop],DropAnalityka[[#This Row],[Drop]],Tabela10[Grade],DropAnalityka[[#This Row],[Grade]])*DropAnalityka[[#This Row],[Quality/Quantity]],0)</f>
        <v>0</v>
      </c>
      <c r="L863" s="43">
        <f>IFERROR(SUMIFS(Tabela10[Exp Gain only 2*+],Tabela10[Drop],DropAnalityka[[#This Row],[Drop]],Tabela10[Grade],DropAnalityka[[#This Row],[Grade]])*DropAnalityka[[#This Row],[Quality/Quantity]],0)</f>
        <v>0</v>
      </c>
    </row>
    <row r="864" spans="1:12">
      <c r="A864" t="s">
        <v>207</v>
      </c>
      <c r="B864" t="s">
        <v>9</v>
      </c>
      <c r="C864">
        <v>9</v>
      </c>
      <c r="D864">
        <v>2929</v>
      </c>
      <c r="E864">
        <v>1</v>
      </c>
      <c r="F864" t="s">
        <v>249</v>
      </c>
      <c r="G864">
        <v>1</v>
      </c>
      <c r="H864" t="s">
        <v>292</v>
      </c>
      <c r="I864">
        <v>0</v>
      </c>
      <c r="J8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4" s="43">
        <f>IFERROR(SUMIFS(Tabela10[Fod Worth],Tabela10[Drop],DropAnalityka[[#This Row],[Drop]],Tabela10[Grade],DropAnalityka[[#This Row],[Grade]])*DropAnalityka[[#This Row],[Quality/Quantity]],0)</f>
        <v>0</v>
      </c>
      <c r="L864" s="43">
        <f>IFERROR(SUMIFS(Tabela10[Exp Gain only 2*+],Tabela10[Drop],DropAnalityka[[#This Row],[Drop]],Tabela10[Grade],DropAnalityka[[#This Row],[Grade]])*DropAnalityka[[#This Row],[Quality/Quantity]],0)</f>
        <v>0</v>
      </c>
    </row>
    <row r="865" spans="1:12">
      <c r="A865" t="s">
        <v>207</v>
      </c>
      <c r="B865" t="s">
        <v>9</v>
      </c>
      <c r="C865">
        <v>9</v>
      </c>
      <c r="D865">
        <v>2423</v>
      </c>
      <c r="E865">
        <v>1</v>
      </c>
      <c r="F865" t="s">
        <v>249</v>
      </c>
      <c r="G865">
        <v>3</v>
      </c>
      <c r="H865" t="s">
        <v>270</v>
      </c>
      <c r="I865">
        <v>0</v>
      </c>
      <c r="J8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5" s="43">
        <f>IFERROR(SUMIFS(Tabela10[Fod Worth],Tabela10[Drop],DropAnalityka[[#This Row],[Drop]],Tabela10[Grade],DropAnalityka[[#This Row],[Grade]])*DropAnalityka[[#This Row],[Quality/Quantity]],0)</f>
        <v>0</v>
      </c>
      <c r="L865" s="43">
        <f>IFERROR(SUMIFS(Tabela10[Exp Gain only 2*+],Tabela10[Drop],DropAnalityka[[#This Row],[Drop]],Tabela10[Grade],DropAnalityka[[#This Row],[Grade]])*DropAnalityka[[#This Row],[Quality/Quantity]],0)</f>
        <v>0</v>
      </c>
    </row>
    <row r="866" spans="1:12">
      <c r="A866" t="s">
        <v>207</v>
      </c>
      <c r="B866" t="s">
        <v>9</v>
      </c>
      <c r="C866">
        <v>9</v>
      </c>
      <c r="D866">
        <v>2881</v>
      </c>
      <c r="E866">
        <v>0</v>
      </c>
      <c r="F866" t="s">
        <v>249</v>
      </c>
      <c r="G866">
        <v>5</v>
      </c>
      <c r="H866" t="s">
        <v>270</v>
      </c>
      <c r="I866">
        <v>0</v>
      </c>
      <c r="J8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6" s="43">
        <f>IFERROR(SUMIFS(Tabela10[Fod Worth],Tabela10[Drop],DropAnalityka[[#This Row],[Drop]],Tabela10[Grade],DropAnalityka[[#This Row],[Grade]])*DropAnalityka[[#This Row],[Quality/Quantity]],0)</f>
        <v>0</v>
      </c>
      <c r="L866" s="43">
        <f>IFERROR(SUMIFS(Tabela10[Exp Gain only 2*+],Tabela10[Drop],DropAnalityka[[#This Row],[Drop]],Tabela10[Grade],DropAnalityka[[#This Row],[Grade]])*DropAnalityka[[#This Row],[Quality/Quantity]],0)</f>
        <v>0</v>
      </c>
    </row>
    <row r="867" spans="1:12">
      <c r="A867" t="s">
        <v>207</v>
      </c>
      <c r="B867" t="s">
        <v>9</v>
      </c>
      <c r="C867">
        <v>9</v>
      </c>
      <c r="D867">
        <v>3128</v>
      </c>
      <c r="E867">
        <v>1</v>
      </c>
      <c r="F867" t="s">
        <v>249</v>
      </c>
      <c r="G867">
        <v>4</v>
      </c>
      <c r="H867" t="s">
        <v>270</v>
      </c>
      <c r="I867">
        <v>0</v>
      </c>
      <c r="J8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7" s="43">
        <f>IFERROR(SUMIFS(Tabela10[Fod Worth],Tabela10[Drop],DropAnalityka[[#This Row],[Drop]],Tabela10[Grade],DropAnalityka[[#This Row],[Grade]])*DropAnalityka[[#This Row],[Quality/Quantity]],0)</f>
        <v>0</v>
      </c>
      <c r="L867" s="43">
        <f>IFERROR(SUMIFS(Tabela10[Exp Gain only 2*+],Tabela10[Drop],DropAnalityka[[#This Row],[Drop]],Tabela10[Grade],DropAnalityka[[#This Row],[Grade]])*DropAnalityka[[#This Row],[Quality/Quantity]],0)</f>
        <v>0</v>
      </c>
    </row>
    <row r="868" spans="1:12">
      <c r="A868" t="s">
        <v>207</v>
      </c>
      <c r="B868" t="s">
        <v>9</v>
      </c>
      <c r="C868">
        <v>9</v>
      </c>
      <c r="D868">
        <v>3042</v>
      </c>
      <c r="E868">
        <v>0</v>
      </c>
      <c r="F868" t="s">
        <v>249</v>
      </c>
      <c r="G868">
        <v>3</v>
      </c>
      <c r="H868" t="s">
        <v>271</v>
      </c>
      <c r="I868">
        <v>0</v>
      </c>
      <c r="J8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8" s="43">
        <f>IFERROR(SUMIFS(Tabela10[Fod Worth],Tabela10[Drop],DropAnalityka[[#This Row],[Drop]],Tabela10[Grade],DropAnalityka[[#This Row],[Grade]])*DropAnalityka[[#This Row],[Quality/Quantity]],0)</f>
        <v>0</v>
      </c>
      <c r="L868" s="43">
        <f>IFERROR(SUMIFS(Tabela10[Exp Gain only 2*+],Tabela10[Drop],DropAnalityka[[#This Row],[Drop]],Tabela10[Grade],DropAnalityka[[#This Row],[Grade]])*DropAnalityka[[#This Row],[Quality/Quantity]],0)</f>
        <v>0</v>
      </c>
    </row>
    <row r="869" spans="1:12">
      <c r="A869" t="s">
        <v>207</v>
      </c>
      <c r="B869" t="s">
        <v>9</v>
      </c>
      <c r="C869">
        <v>9</v>
      </c>
      <c r="D869">
        <v>2846</v>
      </c>
      <c r="E869">
        <v>1</v>
      </c>
      <c r="F869" t="s">
        <v>249</v>
      </c>
      <c r="G869">
        <v>1</v>
      </c>
      <c r="H869" t="s">
        <v>271</v>
      </c>
      <c r="I869">
        <v>0</v>
      </c>
      <c r="J8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69" s="43">
        <f>IFERROR(SUMIFS(Tabela10[Fod Worth],Tabela10[Drop],DropAnalityka[[#This Row],[Drop]],Tabela10[Grade],DropAnalityka[[#This Row],[Grade]])*DropAnalityka[[#This Row],[Quality/Quantity]],0)</f>
        <v>0</v>
      </c>
      <c r="L869" s="43">
        <f>IFERROR(SUMIFS(Tabela10[Exp Gain only 2*+],Tabela10[Drop],DropAnalityka[[#This Row],[Drop]],Tabela10[Grade],DropAnalityka[[#This Row],[Grade]])*DropAnalityka[[#This Row],[Quality/Quantity]],0)</f>
        <v>0</v>
      </c>
    </row>
    <row r="870" spans="1:12">
      <c r="A870" t="s">
        <v>207</v>
      </c>
      <c r="B870" t="s">
        <v>9</v>
      </c>
      <c r="C870">
        <v>9</v>
      </c>
      <c r="D870">
        <v>3112</v>
      </c>
      <c r="E870">
        <v>1</v>
      </c>
      <c r="F870" t="s">
        <v>249</v>
      </c>
      <c r="G870">
        <v>1</v>
      </c>
      <c r="H870" t="s">
        <v>271</v>
      </c>
      <c r="I870">
        <v>0</v>
      </c>
      <c r="J8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0" s="43">
        <f>IFERROR(SUMIFS(Tabela10[Fod Worth],Tabela10[Drop],DropAnalityka[[#This Row],[Drop]],Tabela10[Grade],DropAnalityka[[#This Row],[Grade]])*DropAnalityka[[#This Row],[Quality/Quantity]],0)</f>
        <v>0</v>
      </c>
      <c r="L870" s="43">
        <f>IFERROR(SUMIFS(Tabela10[Exp Gain only 2*+],Tabela10[Drop],DropAnalityka[[#This Row],[Drop]],Tabela10[Grade],DropAnalityka[[#This Row],[Grade]])*DropAnalityka[[#This Row],[Quality/Quantity]],0)</f>
        <v>0</v>
      </c>
    </row>
    <row r="871" spans="1:12">
      <c r="A871" t="s">
        <v>207</v>
      </c>
      <c r="B871" t="s">
        <v>9</v>
      </c>
      <c r="C871">
        <v>9</v>
      </c>
      <c r="D871">
        <v>2928</v>
      </c>
      <c r="E871">
        <v>1</v>
      </c>
      <c r="F871" t="s">
        <v>249</v>
      </c>
      <c r="G871">
        <v>4</v>
      </c>
      <c r="H871" t="s">
        <v>270</v>
      </c>
      <c r="I871">
        <v>0</v>
      </c>
      <c r="J8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1" s="43">
        <f>IFERROR(SUMIFS(Tabela10[Fod Worth],Tabela10[Drop],DropAnalityka[[#This Row],[Drop]],Tabela10[Grade],DropAnalityka[[#This Row],[Grade]])*DropAnalityka[[#This Row],[Quality/Quantity]],0)</f>
        <v>0</v>
      </c>
      <c r="L871" s="43">
        <f>IFERROR(SUMIFS(Tabela10[Exp Gain only 2*+],Tabela10[Drop],DropAnalityka[[#This Row],[Drop]],Tabela10[Grade],DropAnalityka[[#This Row],[Grade]])*DropAnalityka[[#This Row],[Quality/Quantity]],0)</f>
        <v>0</v>
      </c>
    </row>
    <row r="872" spans="1:12">
      <c r="A872" t="s">
        <v>207</v>
      </c>
      <c r="B872" t="s">
        <v>9</v>
      </c>
      <c r="C872">
        <v>9</v>
      </c>
      <c r="D872">
        <v>2702</v>
      </c>
      <c r="E872">
        <v>1</v>
      </c>
      <c r="F872" t="s">
        <v>249</v>
      </c>
      <c r="G872">
        <v>2</v>
      </c>
      <c r="H872" t="s">
        <v>292</v>
      </c>
      <c r="I872">
        <v>0</v>
      </c>
      <c r="J8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2" s="43">
        <f>IFERROR(SUMIFS(Tabela10[Fod Worth],Tabela10[Drop],DropAnalityka[[#This Row],[Drop]],Tabela10[Grade],DropAnalityka[[#This Row],[Grade]])*DropAnalityka[[#This Row],[Quality/Quantity]],0)</f>
        <v>0</v>
      </c>
      <c r="L872" s="43">
        <f>IFERROR(SUMIFS(Tabela10[Exp Gain only 2*+],Tabela10[Drop],DropAnalityka[[#This Row],[Drop]],Tabela10[Grade],DropAnalityka[[#This Row],[Grade]])*DropAnalityka[[#This Row],[Quality/Quantity]],0)</f>
        <v>0</v>
      </c>
    </row>
    <row r="873" spans="1:12">
      <c r="A873" t="s">
        <v>223</v>
      </c>
      <c r="B873" t="s">
        <v>9</v>
      </c>
      <c r="C873" t="s">
        <v>26</v>
      </c>
      <c r="D873">
        <v>6071</v>
      </c>
      <c r="E873">
        <v>0</v>
      </c>
      <c r="F873" t="s">
        <v>205</v>
      </c>
      <c r="G873">
        <v>4</v>
      </c>
      <c r="H873" t="s">
        <v>26</v>
      </c>
      <c r="I873">
        <v>0</v>
      </c>
      <c r="J8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3" s="43">
        <f>IFERROR(SUMIFS(Tabela10[Fod Worth],Tabela10[Drop],DropAnalityka[[#This Row],[Drop]],Tabela10[Grade],DropAnalityka[[#This Row],[Grade]])*DropAnalityka[[#This Row],[Quality/Quantity]],0)</f>
        <v>3450</v>
      </c>
      <c r="L873" s="43">
        <f>IFERROR(SUMIFS(Tabela10[Exp Gain only 2*+],Tabela10[Drop],DropAnalityka[[#This Row],[Drop]],Tabela10[Grade],DropAnalityka[[#This Row],[Grade]])*DropAnalityka[[#This Row],[Quality/Quantity]],0)</f>
        <v>3582.2</v>
      </c>
    </row>
    <row r="874" spans="1:12">
      <c r="A874" t="s">
        <v>223</v>
      </c>
      <c r="B874" t="s">
        <v>9</v>
      </c>
      <c r="C874" t="s">
        <v>26</v>
      </c>
      <c r="D874">
        <v>5719</v>
      </c>
      <c r="E874">
        <v>0</v>
      </c>
      <c r="F874" t="s">
        <v>205</v>
      </c>
      <c r="G874">
        <v>4</v>
      </c>
      <c r="H874" t="s">
        <v>26</v>
      </c>
      <c r="I874">
        <v>0</v>
      </c>
      <c r="J8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4" s="43">
        <f>IFERROR(SUMIFS(Tabela10[Fod Worth],Tabela10[Drop],DropAnalityka[[#This Row],[Drop]],Tabela10[Grade],DropAnalityka[[#This Row],[Grade]])*DropAnalityka[[#This Row],[Quality/Quantity]],0)</f>
        <v>3450</v>
      </c>
      <c r="L874" s="43">
        <f>IFERROR(SUMIFS(Tabela10[Exp Gain only 2*+],Tabela10[Drop],DropAnalityka[[#This Row],[Drop]],Tabela10[Grade],DropAnalityka[[#This Row],[Grade]])*DropAnalityka[[#This Row],[Quality/Quantity]],0)</f>
        <v>3582.2</v>
      </c>
    </row>
    <row r="875" spans="1:12">
      <c r="A875" t="s">
        <v>223</v>
      </c>
      <c r="B875" t="s">
        <v>9</v>
      </c>
      <c r="C875" t="s">
        <v>26</v>
      </c>
      <c r="D875">
        <v>5444</v>
      </c>
      <c r="E875">
        <v>0</v>
      </c>
      <c r="F875" t="s">
        <v>205</v>
      </c>
      <c r="G875">
        <v>4</v>
      </c>
      <c r="H875" t="s">
        <v>26</v>
      </c>
      <c r="I875">
        <v>0</v>
      </c>
      <c r="J8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5" s="43">
        <f>IFERROR(SUMIFS(Tabela10[Fod Worth],Tabela10[Drop],DropAnalityka[[#This Row],[Drop]],Tabela10[Grade],DropAnalityka[[#This Row],[Grade]])*DropAnalityka[[#This Row],[Quality/Quantity]],0)</f>
        <v>3450</v>
      </c>
      <c r="L875" s="43">
        <f>IFERROR(SUMIFS(Tabela10[Exp Gain only 2*+],Tabela10[Drop],DropAnalityka[[#This Row],[Drop]],Tabela10[Grade],DropAnalityka[[#This Row],[Grade]])*DropAnalityka[[#This Row],[Quality/Quantity]],0)</f>
        <v>3582.2</v>
      </c>
    </row>
    <row r="876" spans="1:12">
      <c r="A876" t="s">
        <v>223</v>
      </c>
      <c r="B876" t="s">
        <v>9</v>
      </c>
      <c r="C876" t="s">
        <v>26</v>
      </c>
      <c r="D876">
        <v>5741</v>
      </c>
      <c r="E876">
        <v>0</v>
      </c>
      <c r="F876" t="s">
        <v>205</v>
      </c>
      <c r="G876">
        <v>4</v>
      </c>
      <c r="H876" t="s">
        <v>26</v>
      </c>
      <c r="I876">
        <v>0</v>
      </c>
      <c r="J8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6" s="43">
        <f>IFERROR(SUMIFS(Tabela10[Fod Worth],Tabela10[Drop],DropAnalityka[[#This Row],[Drop]],Tabela10[Grade],DropAnalityka[[#This Row],[Grade]])*DropAnalityka[[#This Row],[Quality/Quantity]],0)</f>
        <v>3450</v>
      </c>
      <c r="L876" s="43">
        <f>IFERROR(SUMIFS(Tabela10[Exp Gain only 2*+],Tabela10[Drop],DropAnalityka[[#This Row],[Drop]],Tabela10[Grade],DropAnalityka[[#This Row],[Grade]])*DropAnalityka[[#This Row],[Quality/Quantity]],0)</f>
        <v>3582.2</v>
      </c>
    </row>
    <row r="877" spans="1:12">
      <c r="A877" t="s">
        <v>223</v>
      </c>
      <c r="B877" t="s">
        <v>9</v>
      </c>
      <c r="C877" t="s">
        <v>26</v>
      </c>
      <c r="D877">
        <v>6031</v>
      </c>
      <c r="E877">
        <v>0</v>
      </c>
      <c r="F877" t="s">
        <v>205</v>
      </c>
      <c r="G877">
        <v>4</v>
      </c>
      <c r="H877" t="s">
        <v>26</v>
      </c>
      <c r="I877">
        <v>0</v>
      </c>
      <c r="J8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7" s="43">
        <f>IFERROR(SUMIFS(Tabela10[Fod Worth],Tabela10[Drop],DropAnalityka[[#This Row],[Drop]],Tabela10[Grade],DropAnalityka[[#This Row],[Grade]])*DropAnalityka[[#This Row],[Quality/Quantity]],0)</f>
        <v>3450</v>
      </c>
      <c r="L877" s="43">
        <f>IFERROR(SUMIFS(Tabela10[Exp Gain only 2*+],Tabela10[Drop],DropAnalityka[[#This Row],[Drop]],Tabela10[Grade],DropAnalityka[[#This Row],[Grade]])*DropAnalityka[[#This Row],[Quality/Quantity]],0)</f>
        <v>3582.2</v>
      </c>
    </row>
    <row r="878" spans="1:12">
      <c r="A878" t="s">
        <v>223</v>
      </c>
      <c r="B878" t="s">
        <v>9</v>
      </c>
      <c r="C878" t="s">
        <v>26</v>
      </c>
      <c r="D878">
        <v>5574</v>
      </c>
      <c r="E878">
        <v>0</v>
      </c>
      <c r="F878" t="s">
        <v>205</v>
      </c>
      <c r="G878">
        <v>4</v>
      </c>
      <c r="H878" t="s">
        <v>26</v>
      </c>
      <c r="I878">
        <v>0</v>
      </c>
      <c r="J8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8" s="43">
        <f>IFERROR(SUMIFS(Tabela10[Fod Worth],Tabela10[Drop],DropAnalityka[[#This Row],[Drop]],Tabela10[Grade],DropAnalityka[[#This Row],[Grade]])*DropAnalityka[[#This Row],[Quality/Quantity]],0)</f>
        <v>3450</v>
      </c>
      <c r="L878" s="43">
        <f>IFERROR(SUMIFS(Tabela10[Exp Gain only 2*+],Tabela10[Drop],DropAnalityka[[#This Row],[Drop]],Tabela10[Grade],DropAnalityka[[#This Row],[Grade]])*DropAnalityka[[#This Row],[Quality/Quantity]],0)</f>
        <v>3582.2</v>
      </c>
    </row>
    <row r="879" spans="1:12">
      <c r="A879" t="s">
        <v>223</v>
      </c>
      <c r="B879" t="s">
        <v>9</v>
      </c>
      <c r="C879" t="s">
        <v>26</v>
      </c>
      <c r="D879">
        <v>6065</v>
      </c>
      <c r="E879">
        <v>0</v>
      </c>
      <c r="F879" t="s">
        <v>205</v>
      </c>
      <c r="G879">
        <v>4</v>
      </c>
      <c r="H879" t="s">
        <v>26</v>
      </c>
      <c r="I879">
        <v>0</v>
      </c>
      <c r="J8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79" s="43">
        <f>IFERROR(SUMIFS(Tabela10[Fod Worth],Tabela10[Drop],DropAnalityka[[#This Row],[Drop]],Tabela10[Grade],DropAnalityka[[#This Row],[Grade]])*DropAnalityka[[#This Row],[Quality/Quantity]],0)</f>
        <v>3450</v>
      </c>
      <c r="L879" s="43">
        <f>IFERROR(SUMIFS(Tabela10[Exp Gain only 2*+],Tabela10[Drop],DropAnalityka[[#This Row],[Drop]],Tabela10[Grade],DropAnalityka[[#This Row],[Grade]])*DropAnalityka[[#This Row],[Quality/Quantity]],0)</f>
        <v>3582.2</v>
      </c>
    </row>
    <row r="880" spans="1:12">
      <c r="A880" t="s">
        <v>223</v>
      </c>
      <c r="B880" t="s">
        <v>9</v>
      </c>
      <c r="C880" t="s">
        <v>26</v>
      </c>
      <c r="D880">
        <v>5631</v>
      </c>
      <c r="E880">
        <v>0</v>
      </c>
      <c r="F880" t="s">
        <v>205</v>
      </c>
      <c r="G880">
        <v>4</v>
      </c>
      <c r="H880" t="s">
        <v>26</v>
      </c>
      <c r="I880">
        <v>0</v>
      </c>
      <c r="J8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0" s="43">
        <f>IFERROR(SUMIFS(Tabela10[Fod Worth],Tabela10[Drop],DropAnalityka[[#This Row],[Drop]],Tabela10[Grade],DropAnalityka[[#This Row],[Grade]])*DropAnalityka[[#This Row],[Quality/Quantity]],0)</f>
        <v>3450</v>
      </c>
      <c r="L880" s="43">
        <f>IFERROR(SUMIFS(Tabela10[Exp Gain only 2*+],Tabela10[Drop],DropAnalityka[[#This Row],[Drop]],Tabela10[Grade],DropAnalityka[[#This Row],[Grade]])*DropAnalityka[[#This Row],[Quality/Quantity]],0)</f>
        <v>3582.2</v>
      </c>
    </row>
    <row r="881" spans="1:12">
      <c r="A881" t="s">
        <v>207</v>
      </c>
      <c r="B881" t="s">
        <v>9</v>
      </c>
      <c r="C881">
        <v>9</v>
      </c>
      <c r="D881">
        <v>2671</v>
      </c>
      <c r="E881">
        <v>0</v>
      </c>
      <c r="F881" t="s">
        <v>249</v>
      </c>
      <c r="G881">
        <v>1</v>
      </c>
      <c r="H881" t="s">
        <v>292</v>
      </c>
      <c r="I881">
        <v>0</v>
      </c>
      <c r="J8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1" s="43">
        <f>IFERROR(SUMIFS(Tabela10[Fod Worth],Tabela10[Drop],DropAnalityka[[#This Row],[Drop]],Tabela10[Grade],DropAnalityka[[#This Row],[Grade]])*DropAnalityka[[#This Row],[Quality/Quantity]],0)</f>
        <v>0</v>
      </c>
      <c r="L881" s="43">
        <f>IFERROR(SUMIFS(Tabela10[Exp Gain only 2*+],Tabela10[Drop],DropAnalityka[[#This Row],[Drop]],Tabela10[Grade],DropAnalityka[[#This Row],[Grade]])*DropAnalityka[[#This Row],[Quality/Quantity]],0)</f>
        <v>0</v>
      </c>
    </row>
    <row r="882" spans="1:12">
      <c r="A882" t="s">
        <v>207</v>
      </c>
      <c r="B882" t="s">
        <v>9</v>
      </c>
      <c r="C882">
        <v>9</v>
      </c>
      <c r="D882">
        <v>2940</v>
      </c>
      <c r="E882">
        <v>0</v>
      </c>
      <c r="F882" t="s">
        <v>249</v>
      </c>
      <c r="G882">
        <v>1</v>
      </c>
      <c r="H882" t="s">
        <v>271</v>
      </c>
      <c r="I882">
        <v>0</v>
      </c>
      <c r="J8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2" s="43">
        <f>IFERROR(SUMIFS(Tabela10[Fod Worth],Tabela10[Drop],DropAnalityka[[#This Row],[Drop]],Tabela10[Grade],DropAnalityka[[#This Row],[Grade]])*DropAnalityka[[#This Row],[Quality/Quantity]],0)</f>
        <v>0</v>
      </c>
      <c r="L882" s="43">
        <f>IFERROR(SUMIFS(Tabela10[Exp Gain only 2*+],Tabela10[Drop],DropAnalityka[[#This Row],[Drop]],Tabela10[Grade],DropAnalityka[[#This Row],[Grade]])*DropAnalityka[[#This Row],[Quality/Quantity]],0)</f>
        <v>0</v>
      </c>
    </row>
    <row r="883" spans="1:12">
      <c r="A883" t="s">
        <v>207</v>
      </c>
      <c r="B883" t="s">
        <v>9</v>
      </c>
      <c r="C883">
        <v>9</v>
      </c>
      <c r="D883">
        <v>2643</v>
      </c>
      <c r="E883">
        <v>2</v>
      </c>
      <c r="F883" t="s">
        <v>249</v>
      </c>
      <c r="G883">
        <v>1</v>
      </c>
      <c r="H883" t="s">
        <v>271</v>
      </c>
      <c r="I883">
        <v>0</v>
      </c>
      <c r="J8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3" s="43">
        <f>IFERROR(SUMIFS(Tabela10[Fod Worth],Tabela10[Drop],DropAnalityka[[#This Row],[Drop]],Tabela10[Grade],DropAnalityka[[#This Row],[Grade]])*DropAnalityka[[#This Row],[Quality/Quantity]],0)</f>
        <v>0</v>
      </c>
      <c r="L883" s="43">
        <f>IFERROR(SUMIFS(Tabela10[Exp Gain only 2*+],Tabela10[Drop],DropAnalityka[[#This Row],[Drop]],Tabela10[Grade],DropAnalityka[[#This Row],[Grade]])*DropAnalityka[[#This Row],[Quality/Quantity]],0)</f>
        <v>0</v>
      </c>
    </row>
    <row r="884" spans="1:12">
      <c r="A884" t="s">
        <v>207</v>
      </c>
      <c r="B884" t="s">
        <v>9</v>
      </c>
      <c r="C884">
        <v>9</v>
      </c>
      <c r="D884">
        <v>2968</v>
      </c>
      <c r="E884">
        <v>0</v>
      </c>
      <c r="F884" t="s">
        <v>249</v>
      </c>
      <c r="G884">
        <v>3</v>
      </c>
      <c r="H884" t="s">
        <v>292</v>
      </c>
      <c r="I884">
        <v>0</v>
      </c>
      <c r="J8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4" s="43">
        <f>IFERROR(SUMIFS(Tabela10[Fod Worth],Tabela10[Drop],DropAnalityka[[#This Row],[Drop]],Tabela10[Grade],DropAnalityka[[#This Row],[Grade]])*DropAnalityka[[#This Row],[Quality/Quantity]],0)</f>
        <v>0</v>
      </c>
      <c r="L884" s="43">
        <f>IFERROR(SUMIFS(Tabela10[Exp Gain only 2*+],Tabela10[Drop],DropAnalityka[[#This Row],[Drop]],Tabela10[Grade],DropAnalityka[[#This Row],[Grade]])*DropAnalityka[[#This Row],[Quality/Quantity]],0)</f>
        <v>0</v>
      </c>
    </row>
    <row r="885" spans="1:12">
      <c r="A885" t="s">
        <v>207</v>
      </c>
      <c r="B885" t="s">
        <v>9</v>
      </c>
      <c r="C885">
        <v>9</v>
      </c>
      <c r="D885">
        <v>2502</v>
      </c>
      <c r="E885">
        <v>2</v>
      </c>
      <c r="F885" t="s">
        <v>249</v>
      </c>
      <c r="G885">
        <v>2</v>
      </c>
      <c r="H885" t="s">
        <v>292</v>
      </c>
      <c r="I885">
        <v>0</v>
      </c>
      <c r="J8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5" s="43">
        <f>IFERROR(SUMIFS(Tabela10[Fod Worth],Tabela10[Drop],DropAnalityka[[#This Row],[Drop]],Tabela10[Grade],DropAnalityka[[#This Row],[Grade]])*DropAnalityka[[#This Row],[Quality/Quantity]],0)</f>
        <v>0</v>
      </c>
      <c r="L885" s="43">
        <f>IFERROR(SUMIFS(Tabela10[Exp Gain only 2*+],Tabela10[Drop],DropAnalityka[[#This Row],[Drop]],Tabela10[Grade],DropAnalityka[[#This Row],[Grade]])*DropAnalityka[[#This Row],[Quality/Quantity]],0)</f>
        <v>0</v>
      </c>
    </row>
    <row r="886" spans="1:12">
      <c r="A886" t="s">
        <v>207</v>
      </c>
      <c r="B886" t="s">
        <v>9</v>
      </c>
      <c r="C886">
        <v>9</v>
      </c>
      <c r="D886">
        <v>2719</v>
      </c>
      <c r="E886">
        <v>3</v>
      </c>
      <c r="F886" t="s">
        <v>223</v>
      </c>
      <c r="G886" t="s">
        <v>284</v>
      </c>
      <c r="H886" t="s">
        <v>26</v>
      </c>
      <c r="I886">
        <v>0</v>
      </c>
      <c r="J8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6" s="43">
        <f>IFERROR(SUMIFS(Tabela10[Fod Worth],Tabela10[Drop],DropAnalityka[[#This Row],[Drop]],Tabela10[Grade],DropAnalityka[[#This Row],[Grade]])*DropAnalityka[[#This Row],[Quality/Quantity]],0)</f>
        <v>0</v>
      </c>
      <c r="L886" s="43">
        <f>IFERROR(SUMIFS(Tabela10[Exp Gain only 2*+],Tabela10[Drop],DropAnalityka[[#This Row],[Drop]],Tabela10[Grade],DropAnalityka[[#This Row],[Grade]])*DropAnalityka[[#This Row],[Quality/Quantity]],0)</f>
        <v>0</v>
      </c>
    </row>
    <row r="887" spans="1:12">
      <c r="A887" t="s">
        <v>207</v>
      </c>
      <c r="B887" t="s">
        <v>9</v>
      </c>
      <c r="C887">
        <v>9</v>
      </c>
      <c r="D887">
        <v>2733</v>
      </c>
      <c r="E887">
        <v>1</v>
      </c>
      <c r="F887" t="s">
        <v>249</v>
      </c>
      <c r="G887">
        <v>1</v>
      </c>
      <c r="H887" t="s">
        <v>292</v>
      </c>
      <c r="I887">
        <v>0</v>
      </c>
      <c r="J8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7" s="43">
        <f>IFERROR(SUMIFS(Tabela10[Fod Worth],Tabela10[Drop],DropAnalityka[[#This Row],[Drop]],Tabela10[Grade],DropAnalityka[[#This Row],[Grade]])*DropAnalityka[[#This Row],[Quality/Quantity]],0)</f>
        <v>0</v>
      </c>
      <c r="L887" s="43">
        <f>IFERROR(SUMIFS(Tabela10[Exp Gain only 2*+],Tabela10[Drop],DropAnalityka[[#This Row],[Drop]],Tabela10[Grade],DropAnalityka[[#This Row],[Grade]])*DropAnalityka[[#This Row],[Quality/Quantity]],0)</f>
        <v>0</v>
      </c>
    </row>
    <row r="888" spans="1:12">
      <c r="A888" t="s">
        <v>207</v>
      </c>
      <c r="B888" t="s">
        <v>9</v>
      </c>
      <c r="C888">
        <v>9</v>
      </c>
      <c r="D888">
        <v>2917</v>
      </c>
      <c r="E888">
        <v>1</v>
      </c>
      <c r="F888" t="s">
        <v>249</v>
      </c>
      <c r="G888">
        <v>1</v>
      </c>
      <c r="H888" t="s">
        <v>292</v>
      </c>
      <c r="I888">
        <v>0</v>
      </c>
      <c r="J8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8" s="43">
        <f>IFERROR(SUMIFS(Tabela10[Fod Worth],Tabela10[Drop],DropAnalityka[[#This Row],[Drop]],Tabela10[Grade],DropAnalityka[[#This Row],[Grade]])*DropAnalityka[[#This Row],[Quality/Quantity]],0)</f>
        <v>0</v>
      </c>
      <c r="L888" s="43">
        <f>IFERROR(SUMIFS(Tabela10[Exp Gain only 2*+],Tabela10[Drop],DropAnalityka[[#This Row],[Drop]],Tabela10[Grade],DropAnalityka[[#This Row],[Grade]])*DropAnalityka[[#This Row],[Quality/Quantity]],0)</f>
        <v>0</v>
      </c>
    </row>
    <row r="889" spans="1:12">
      <c r="A889" t="s">
        <v>207</v>
      </c>
      <c r="B889" t="s">
        <v>9</v>
      </c>
      <c r="C889">
        <v>9</v>
      </c>
      <c r="D889">
        <v>2662</v>
      </c>
      <c r="E889">
        <v>0</v>
      </c>
      <c r="F889" t="s">
        <v>249</v>
      </c>
      <c r="G889">
        <v>3</v>
      </c>
      <c r="H889" t="s">
        <v>271</v>
      </c>
      <c r="I889">
        <v>0</v>
      </c>
      <c r="J8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89" s="43">
        <f>IFERROR(SUMIFS(Tabela10[Fod Worth],Tabela10[Drop],DropAnalityka[[#This Row],[Drop]],Tabela10[Grade],DropAnalityka[[#This Row],[Grade]])*DropAnalityka[[#This Row],[Quality/Quantity]],0)</f>
        <v>0</v>
      </c>
      <c r="L889" s="43">
        <f>IFERROR(SUMIFS(Tabela10[Exp Gain only 2*+],Tabela10[Drop],DropAnalityka[[#This Row],[Drop]],Tabela10[Grade],DropAnalityka[[#This Row],[Grade]])*DropAnalityka[[#This Row],[Quality/Quantity]],0)</f>
        <v>0</v>
      </c>
    </row>
    <row r="890" spans="1:12">
      <c r="A890" t="s">
        <v>207</v>
      </c>
      <c r="B890" t="s">
        <v>9</v>
      </c>
      <c r="C890">
        <v>9</v>
      </c>
      <c r="D890">
        <v>2980</v>
      </c>
      <c r="E890">
        <v>1</v>
      </c>
      <c r="F890" t="s">
        <v>249</v>
      </c>
      <c r="G890">
        <v>2</v>
      </c>
      <c r="H890" t="s">
        <v>292</v>
      </c>
      <c r="I890">
        <v>0</v>
      </c>
      <c r="J8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0" s="43">
        <f>IFERROR(SUMIFS(Tabela10[Fod Worth],Tabela10[Drop],DropAnalityka[[#This Row],[Drop]],Tabela10[Grade],DropAnalityka[[#This Row],[Grade]])*DropAnalityka[[#This Row],[Quality/Quantity]],0)</f>
        <v>0</v>
      </c>
      <c r="L890" s="43">
        <f>IFERROR(SUMIFS(Tabela10[Exp Gain only 2*+],Tabela10[Drop],DropAnalityka[[#This Row],[Drop]],Tabela10[Grade],DropAnalityka[[#This Row],[Grade]])*DropAnalityka[[#This Row],[Quality/Quantity]],0)</f>
        <v>0</v>
      </c>
    </row>
    <row r="891" spans="1:12">
      <c r="A891" t="s">
        <v>207</v>
      </c>
      <c r="B891" t="s">
        <v>9</v>
      </c>
      <c r="C891">
        <v>9</v>
      </c>
      <c r="D891">
        <v>2778</v>
      </c>
      <c r="E891">
        <v>0</v>
      </c>
      <c r="F891" t="s">
        <v>58</v>
      </c>
      <c r="G891">
        <v>1</v>
      </c>
      <c r="H891" t="s">
        <v>26</v>
      </c>
      <c r="I891">
        <v>0</v>
      </c>
      <c r="J8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1" s="43">
        <f>IFERROR(SUMIFS(Tabela10[Fod Worth],Tabela10[Drop],DropAnalityka[[#This Row],[Drop]],Tabela10[Grade],DropAnalityka[[#This Row],[Grade]])*DropAnalityka[[#This Row],[Quality/Quantity]],0)</f>
        <v>34500</v>
      </c>
      <c r="L891" s="43">
        <f>IFERROR(SUMIFS(Tabela10[Exp Gain only 2*+],Tabela10[Drop],DropAnalityka[[#This Row],[Drop]],Tabela10[Grade],DropAnalityka[[#This Row],[Grade]])*DropAnalityka[[#This Row],[Quality/Quantity]],0)</f>
        <v>118004</v>
      </c>
    </row>
    <row r="892" spans="1:12">
      <c r="A892" t="s">
        <v>207</v>
      </c>
      <c r="B892" t="s">
        <v>9</v>
      </c>
      <c r="C892">
        <v>9</v>
      </c>
      <c r="D892">
        <v>2383</v>
      </c>
      <c r="E892">
        <v>0</v>
      </c>
      <c r="F892" t="s">
        <v>34</v>
      </c>
      <c r="G892">
        <v>5</v>
      </c>
      <c r="H892" t="s">
        <v>17</v>
      </c>
      <c r="I892">
        <v>0</v>
      </c>
      <c r="J89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892" s="43">
        <f>IFERROR(SUMIFS(Tabela10[Fod Worth],Tabela10[Drop],DropAnalityka[[#This Row],[Drop]],Tabela10[Grade],DropAnalityka[[#This Row],[Grade]])*DropAnalityka[[#This Row],[Quality/Quantity]],0)</f>
        <v>0</v>
      </c>
      <c r="L892" s="43">
        <f>IFERROR(SUMIFS(Tabela10[Exp Gain only 2*+],Tabela10[Drop],DropAnalityka[[#This Row],[Drop]],Tabela10[Grade],DropAnalityka[[#This Row],[Grade]])*DropAnalityka[[#This Row],[Quality/Quantity]],0)</f>
        <v>4000</v>
      </c>
    </row>
    <row r="893" spans="1:12">
      <c r="A893" t="s">
        <v>207</v>
      </c>
      <c r="B893" t="s">
        <v>9</v>
      </c>
      <c r="C893">
        <v>9</v>
      </c>
      <c r="D893">
        <v>2705</v>
      </c>
      <c r="E893">
        <v>1</v>
      </c>
      <c r="F893" t="s">
        <v>249</v>
      </c>
      <c r="G893">
        <v>1</v>
      </c>
      <c r="H893" t="s">
        <v>271</v>
      </c>
      <c r="I893">
        <v>0</v>
      </c>
      <c r="J8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3" s="43">
        <f>IFERROR(SUMIFS(Tabela10[Fod Worth],Tabela10[Drop],DropAnalityka[[#This Row],[Drop]],Tabela10[Grade],DropAnalityka[[#This Row],[Grade]])*DropAnalityka[[#This Row],[Quality/Quantity]],0)</f>
        <v>0</v>
      </c>
      <c r="L893" s="43">
        <f>IFERROR(SUMIFS(Tabela10[Exp Gain only 2*+],Tabela10[Drop],DropAnalityka[[#This Row],[Drop]],Tabela10[Grade],DropAnalityka[[#This Row],[Grade]])*DropAnalityka[[#This Row],[Quality/Quantity]],0)</f>
        <v>0</v>
      </c>
    </row>
    <row r="894" spans="1:12">
      <c r="A894" t="s">
        <v>207</v>
      </c>
      <c r="B894" t="s">
        <v>9</v>
      </c>
      <c r="C894">
        <v>9</v>
      </c>
      <c r="D894">
        <v>2769</v>
      </c>
      <c r="E894">
        <v>1</v>
      </c>
      <c r="F894" t="s">
        <v>249</v>
      </c>
      <c r="G894">
        <v>1</v>
      </c>
      <c r="H894" t="s">
        <v>271</v>
      </c>
      <c r="I894">
        <v>0</v>
      </c>
      <c r="J8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4" s="43">
        <f>IFERROR(SUMIFS(Tabela10[Fod Worth],Tabela10[Drop],DropAnalityka[[#This Row],[Drop]],Tabela10[Grade],DropAnalityka[[#This Row],[Grade]])*DropAnalityka[[#This Row],[Quality/Quantity]],0)</f>
        <v>0</v>
      </c>
      <c r="L894" s="43">
        <f>IFERROR(SUMIFS(Tabela10[Exp Gain only 2*+],Tabela10[Drop],DropAnalityka[[#This Row],[Drop]],Tabela10[Grade],DropAnalityka[[#This Row],[Grade]])*DropAnalityka[[#This Row],[Quality/Quantity]],0)</f>
        <v>0</v>
      </c>
    </row>
    <row r="895" spans="1:12">
      <c r="A895" t="s">
        <v>36</v>
      </c>
      <c r="B895" t="s">
        <v>9</v>
      </c>
      <c r="C895">
        <v>9</v>
      </c>
      <c r="D895">
        <v>2432</v>
      </c>
      <c r="E895">
        <v>1</v>
      </c>
      <c r="F895" t="s">
        <v>252</v>
      </c>
      <c r="G895">
        <v>5</v>
      </c>
      <c r="H895" t="s">
        <v>270</v>
      </c>
      <c r="I895">
        <v>0</v>
      </c>
      <c r="J8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5" s="43">
        <f>IFERROR(SUMIFS(Tabela10[Fod Worth],Tabela10[Drop],DropAnalityka[[#This Row],[Drop]],Tabela10[Grade],DropAnalityka[[#This Row],[Grade]])*DropAnalityka[[#This Row],[Quality/Quantity]],0)</f>
        <v>0</v>
      </c>
      <c r="L895" s="43">
        <f>IFERROR(SUMIFS(Tabela10[Exp Gain only 2*+],Tabela10[Drop],DropAnalityka[[#This Row],[Drop]],Tabela10[Grade],DropAnalityka[[#This Row],[Grade]])*DropAnalityka[[#This Row],[Quality/Quantity]],0)</f>
        <v>0</v>
      </c>
    </row>
    <row r="896" spans="1:12">
      <c r="A896" t="s">
        <v>285</v>
      </c>
      <c r="B896" t="s">
        <v>9</v>
      </c>
      <c r="C896">
        <v>9</v>
      </c>
      <c r="D896">
        <v>2838</v>
      </c>
      <c r="E896">
        <v>0</v>
      </c>
      <c r="F896" t="s">
        <v>250</v>
      </c>
      <c r="G896">
        <v>4</v>
      </c>
      <c r="H896" t="s">
        <v>270</v>
      </c>
      <c r="I896">
        <v>0</v>
      </c>
      <c r="J8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6" s="43">
        <f>IFERROR(SUMIFS(Tabela10[Fod Worth],Tabela10[Drop],DropAnalityka[[#This Row],[Drop]],Tabela10[Grade],DropAnalityka[[#This Row],[Grade]])*DropAnalityka[[#This Row],[Quality/Quantity]],0)</f>
        <v>0</v>
      </c>
      <c r="L896" s="43">
        <f>IFERROR(SUMIFS(Tabela10[Exp Gain only 2*+],Tabela10[Drop],DropAnalityka[[#This Row],[Drop]],Tabela10[Grade],DropAnalityka[[#This Row],[Grade]])*DropAnalityka[[#This Row],[Quality/Quantity]],0)</f>
        <v>0</v>
      </c>
    </row>
    <row r="897" spans="1:12">
      <c r="A897" t="s">
        <v>285</v>
      </c>
      <c r="B897" t="s">
        <v>9</v>
      </c>
      <c r="C897">
        <v>9</v>
      </c>
      <c r="D897">
        <v>2427</v>
      </c>
      <c r="E897">
        <v>1</v>
      </c>
      <c r="F897" t="s">
        <v>264</v>
      </c>
      <c r="G897">
        <v>3</v>
      </c>
      <c r="I897">
        <v>0</v>
      </c>
      <c r="J8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7" s="43">
        <f>IFERROR(SUMIFS(Tabela10[Fod Worth],Tabela10[Drop],DropAnalityka[[#This Row],[Drop]],Tabela10[Grade],DropAnalityka[[#This Row],[Grade]])*DropAnalityka[[#This Row],[Quality/Quantity]],0)</f>
        <v>0</v>
      </c>
      <c r="L897" s="43">
        <f>IFERROR(SUMIFS(Tabela10[Exp Gain only 2*+],Tabela10[Drop],DropAnalityka[[#This Row],[Drop]],Tabela10[Grade],DropAnalityka[[#This Row],[Grade]])*DropAnalityka[[#This Row],[Quality/Quantity]],0)</f>
        <v>0</v>
      </c>
    </row>
    <row r="898" spans="1:12">
      <c r="A898" t="s">
        <v>285</v>
      </c>
      <c r="B898" t="s">
        <v>9</v>
      </c>
      <c r="C898">
        <v>9</v>
      </c>
      <c r="D898">
        <v>3047</v>
      </c>
      <c r="E898">
        <v>2</v>
      </c>
      <c r="F898" t="s">
        <v>250</v>
      </c>
      <c r="G898">
        <v>1</v>
      </c>
      <c r="H898" t="s">
        <v>292</v>
      </c>
      <c r="I898">
        <v>0</v>
      </c>
      <c r="J8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8" s="43">
        <f>IFERROR(SUMIFS(Tabela10[Fod Worth],Tabela10[Drop],DropAnalityka[[#This Row],[Drop]],Tabela10[Grade],DropAnalityka[[#This Row],[Grade]])*DropAnalityka[[#This Row],[Quality/Quantity]],0)</f>
        <v>0</v>
      </c>
      <c r="L898" s="43">
        <f>IFERROR(SUMIFS(Tabela10[Exp Gain only 2*+],Tabela10[Drop],DropAnalityka[[#This Row],[Drop]],Tabela10[Grade],DropAnalityka[[#This Row],[Grade]])*DropAnalityka[[#This Row],[Quality/Quantity]],0)</f>
        <v>0</v>
      </c>
    </row>
    <row r="899" spans="1:12">
      <c r="A899" t="s">
        <v>285</v>
      </c>
      <c r="B899" t="s">
        <v>9</v>
      </c>
      <c r="C899">
        <v>9</v>
      </c>
      <c r="D899">
        <v>2866</v>
      </c>
      <c r="E899">
        <v>1</v>
      </c>
      <c r="F899" t="s">
        <v>206</v>
      </c>
      <c r="G899">
        <v>1</v>
      </c>
      <c r="H899" t="s">
        <v>17</v>
      </c>
      <c r="I899">
        <v>0</v>
      </c>
      <c r="J8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899" s="43">
        <f>IFERROR(SUMIFS(Tabela10[Fod Worth],Tabela10[Drop],DropAnalityka[[#This Row],[Drop]],Tabela10[Grade],DropAnalityka[[#This Row],[Grade]])*DropAnalityka[[#This Row],[Quality/Quantity]],0)</f>
        <v>0</v>
      </c>
      <c r="L899" s="43">
        <f>IFERROR(SUMIFS(Tabela10[Exp Gain only 2*+],Tabela10[Drop],DropAnalityka[[#This Row],[Drop]],Tabela10[Grade],DropAnalityka[[#This Row],[Grade]])*DropAnalityka[[#This Row],[Quality/Quantity]],0)</f>
        <v>0</v>
      </c>
    </row>
    <row r="900" spans="1:12">
      <c r="A900" t="s">
        <v>285</v>
      </c>
      <c r="B900" t="s">
        <v>9</v>
      </c>
      <c r="C900">
        <v>9</v>
      </c>
      <c r="D900">
        <v>2763</v>
      </c>
      <c r="E900">
        <v>0</v>
      </c>
      <c r="F900" t="s">
        <v>264</v>
      </c>
      <c r="G900">
        <v>2</v>
      </c>
      <c r="I900">
        <v>0</v>
      </c>
      <c r="J9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0" s="43">
        <f>IFERROR(SUMIFS(Tabela10[Fod Worth],Tabela10[Drop],DropAnalityka[[#This Row],[Drop]],Tabela10[Grade],DropAnalityka[[#This Row],[Grade]])*DropAnalityka[[#This Row],[Quality/Quantity]],0)</f>
        <v>0</v>
      </c>
      <c r="L900" s="43">
        <f>IFERROR(SUMIFS(Tabela10[Exp Gain only 2*+],Tabela10[Drop],DropAnalityka[[#This Row],[Drop]],Tabela10[Grade],DropAnalityka[[#This Row],[Grade]])*DropAnalityka[[#This Row],[Quality/Quantity]],0)</f>
        <v>0</v>
      </c>
    </row>
    <row r="901" spans="1:12">
      <c r="A901" t="s">
        <v>285</v>
      </c>
      <c r="B901" t="s">
        <v>9</v>
      </c>
      <c r="C901">
        <v>9</v>
      </c>
      <c r="D901">
        <v>3056</v>
      </c>
      <c r="E901">
        <v>1</v>
      </c>
      <c r="F901" t="s">
        <v>264</v>
      </c>
      <c r="G901">
        <v>1</v>
      </c>
      <c r="I901">
        <v>0</v>
      </c>
      <c r="J9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1" s="43">
        <f>IFERROR(SUMIFS(Tabela10[Fod Worth],Tabela10[Drop],DropAnalityka[[#This Row],[Drop]],Tabela10[Grade],DropAnalityka[[#This Row],[Grade]])*DropAnalityka[[#This Row],[Quality/Quantity]],0)</f>
        <v>0</v>
      </c>
      <c r="L901" s="43">
        <f>IFERROR(SUMIFS(Tabela10[Exp Gain only 2*+],Tabela10[Drop],DropAnalityka[[#This Row],[Drop]],Tabela10[Grade],DropAnalityka[[#This Row],[Grade]])*DropAnalityka[[#This Row],[Quality/Quantity]],0)</f>
        <v>0</v>
      </c>
    </row>
    <row r="902" spans="1:12">
      <c r="A902" t="s">
        <v>285</v>
      </c>
      <c r="B902" t="s">
        <v>9</v>
      </c>
      <c r="C902">
        <v>9</v>
      </c>
      <c r="D902">
        <v>2719</v>
      </c>
      <c r="E902">
        <v>0</v>
      </c>
      <c r="F902" t="s">
        <v>250</v>
      </c>
      <c r="G902">
        <v>5</v>
      </c>
      <c r="H902" t="s">
        <v>270</v>
      </c>
      <c r="I902">
        <v>0</v>
      </c>
      <c r="J9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2" s="43">
        <f>IFERROR(SUMIFS(Tabela10[Fod Worth],Tabela10[Drop],DropAnalityka[[#This Row],[Drop]],Tabela10[Grade],DropAnalityka[[#This Row],[Grade]])*DropAnalityka[[#This Row],[Quality/Quantity]],0)</f>
        <v>0</v>
      </c>
      <c r="L902" s="43">
        <f>IFERROR(SUMIFS(Tabela10[Exp Gain only 2*+],Tabela10[Drop],DropAnalityka[[#This Row],[Drop]],Tabela10[Grade],DropAnalityka[[#This Row],[Grade]])*DropAnalityka[[#This Row],[Quality/Quantity]],0)</f>
        <v>0</v>
      </c>
    </row>
    <row r="903" spans="1:12">
      <c r="A903" t="s">
        <v>285</v>
      </c>
      <c r="B903" t="s">
        <v>9</v>
      </c>
      <c r="C903">
        <v>9</v>
      </c>
      <c r="D903">
        <v>2911</v>
      </c>
      <c r="E903">
        <v>1</v>
      </c>
      <c r="F903" t="s">
        <v>250</v>
      </c>
      <c r="G903">
        <v>5</v>
      </c>
      <c r="H903" t="s">
        <v>270</v>
      </c>
      <c r="I903">
        <v>0</v>
      </c>
      <c r="J9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3" s="43">
        <f>IFERROR(SUMIFS(Tabela10[Fod Worth],Tabela10[Drop],DropAnalityka[[#This Row],[Drop]],Tabela10[Grade],DropAnalityka[[#This Row],[Grade]])*DropAnalityka[[#This Row],[Quality/Quantity]],0)</f>
        <v>0</v>
      </c>
      <c r="L903" s="43">
        <f>IFERROR(SUMIFS(Tabela10[Exp Gain only 2*+],Tabela10[Drop],DropAnalityka[[#This Row],[Drop]],Tabela10[Grade],DropAnalityka[[#This Row],[Grade]])*DropAnalityka[[#This Row],[Quality/Quantity]],0)</f>
        <v>0</v>
      </c>
    </row>
    <row r="904" spans="1:12">
      <c r="A904" t="s">
        <v>285</v>
      </c>
      <c r="B904" t="s">
        <v>9</v>
      </c>
      <c r="C904">
        <v>9</v>
      </c>
      <c r="D904">
        <v>2858</v>
      </c>
      <c r="E904">
        <v>0</v>
      </c>
      <c r="F904" t="s">
        <v>250</v>
      </c>
      <c r="G904">
        <v>1</v>
      </c>
      <c r="H904" t="s">
        <v>292</v>
      </c>
      <c r="I904">
        <v>0</v>
      </c>
      <c r="J9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4" s="43">
        <f>IFERROR(SUMIFS(Tabela10[Fod Worth],Tabela10[Drop],DropAnalityka[[#This Row],[Drop]],Tabela10[Grade],DropAnalityka[[#This Row],[Grade]])*DropAnalityka[[#This Row],[Quality/Quantity]],0)</f>
        <v>0</v>
      </c>
      <c r="L904" s="43">
        <f>IFERROR(SUMIFS(Tabela10[Exp Gain only 2*+],Tabela10[Drop],DropAnalityka[[#This Row],[Drop]],Tabela10[Grade],DropAnalityka[[#This Row],[Grade]])*DropAnalityka[[#This Row],[Quality/Quantity]],0)</f>
        <v>0</v>
      </c>
    </row>
    <row r="905" spans="1:12">
      <c r="A905" t="s">
        <v>285</v>
      </c>
      <c r="B905" t="s">
        <v>9</v>
      </c>
      <c r="C905">
        <v>9</v>
      </c>
      <c r="D905">
        <v>2965</v>
      </c>
      <c r="E905">
        <v>1</v>
      </c>
      <c r="F905" t="s">
        <v>250</v>
      </c>
      <c r="G905">
        <v>3</v>
      </c>
      <c r="H905" t="s">
        <v>292</v>
      </c>
      <c r="I905">
        <v>0</v>
      </c>
      <c r="J9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5" s="43">
        <f>IFERROR(SUMIFS(Tabela10[Fod Worth],Tabela10[Drop],DropAnalityka[[#This Row],[Drop]],Tabela10[Grade],DropAnalityka[[#This Row],[Grade]])*DropAnalityka[[#This Row],[Quality/Quantity]],0)</f>
        <v>0</v>
      </c>
      <c r="L905" s="43">
        <f>IFERROR(SUMIFS(Tabela10[Exp Gain only 2*+],Tabela10[Drop],DropAnalityka[[#This Row],[Drop]],Tabela10[Grade],DropAnalityka[[#This Row],[Grade]])*DropAnalityka[[#This Row],[Quality/Quantity]],0)</f>
        <v>0</v>
      </c>
    </row>
    <row r="906" spans="1:12">
      <c r="A906" t="s">
        <v>285</v>
      </c>
      <c r="B906" t="s">
        <v>9</v>
      </c>
      <c r="C906">
        <v>9</v>
      </c>
      <c r="D906">
        <v>3486</v>
      </c>
      <c r="E906">
        <v>1</v>
      </c>
      <c r="F906" t="s">
        <v>206</v>
      </c>
      <c r="G906">
        <v>1</v>
      </c>
      <c r="H906" t="s">
        <v>17</v>
      </c>
      <c r="I906">
        <v>0</v>
      </c>
      <c r="J9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6" s="43">
        <f>IFERROR(SUMIFS(Tabela10[Fod Worth],Tabela10[Drop],DropAnalityka[[#This Row],[Drop]],Tabela10[Grade],DropAnalityka[[#This Row],[Grade]])*DropAnalityka[[#This Row],[Quality/Quantity]],0)</f>
        <v>0</v>
      </c>
      <c r="L906" s="43">
        <f>IFERROR(SUMIFS(Tabela10[Exp Gain only 2*+],Tabela10[Drop],DropAnalityka[[#This Row],[Drop]],Tabela10[Grade],DropAnalityka[[#This Row],[Grade]])*DropAnalityka[[#This Row],[Quality/Quantity]],0)</f>
        <v>0</v>
      </c>
    </row>
    <row r="907" spans="1:12">
      <c r="A907" t="s">
        <v>285</v>
      </c>
      <c r="B907" t="s">
        <v>9</v>
      </c>
      <c r="C907">
        <v>9</v>
      </c>
      <c r="D907">
        <v>2992</v>
      </c>
      <c r="E907">
        <v>0</v>
      </c>
      <c r="F907" t="s">
        <v>58</v>
      </c>
      <c r="G907">
        <v>1</v>
      </c>
      <c r="H907" t="s">
        <v>26</v>
      </c>
      <c r="I907">
        <v>0</v>
      </c>
      <c r="J9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7" s="43">
        <f>IFERROR(SUMIFS(Tabela10[Fod Worth],Tabela10[Drop],DropAnalityka[[#This Row],[Drop]],Tabela10[Grade],DropAnalityka[[#This Row],[Grade]])*DropAnalityka[[#This Row],[Quality/Quantity]],0)</f>
        <v>34500</v>
      </c>
      <c r="L907" s="43">
        <f>IFERROR(SUMIFS(Tabela10[Exp Gain only 2*+],Tabela10[Drop],DropAnalityka[[#This Row],[Drop]],Tabela10[Grade],DropAnalityka[[#This Row],[Grade]])*DropAnalityka[[#This Row],[Quality/Quantity]],0)</f>
        <v>118004</v>
      </c>
    </row>
    <row r="908" spans="1:12">
      <c r="A908" t="s">
        <v>285</v>
      </c>
      <c r="B908" t="s">
        <v>9</v>
      </c>
      <c r="C908">
        <v>9</v>
      </c>
      <c r="D908">
        <v>2961</v>
      </c>
      <c r="E908">
        <v>1</v>
      </c>
      <c r="F908" t="s">
        <v>34</v>
      </c>
      <c r="G908">
        <v>5</v>
      </c>
      <c r="H908" t="s">
        <v>17</v>
      </c>
      <c r="I908">
        <v>0</v>
      </c>
      <c r="J908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908" s="43">
        <f>IFERROR(SUMIFS(Tabela10[Fod Worth],Tabela10[Drop],DropAnalityka[[#This Row],[Drop]],Tabela10[Grade],DropAnalityka[[#This Row],[Grade]])*DropAnalityka[[#This Row],[Quality/Quantity]],0)</f>
        <v>0</v>
      </c>
      <c r="L908" s="43">
        <f>IFERROR(SUMIFS(Tabela10[Exp Gain only 2*+],Tabela10[Drop],DropAnalityka[[#This Row],[Drop]],Tabela10[Grade],DropAnalityka[[#This Row],[Grade]])*DropAnalityka[[#This Row],[Quality/Quantity]],0)</f>
        <v>4000</v>
      </c>
    </row>
    <row r="909" spans="1:12">
      <c r="A909" t="s">
        <v>285</v>
      </c>
      <c r="B909" t="s">
        <v>9</v>
      </c>
      <c r="C909">
        <v>9</v>
      </c>
      <c r="D909">
        <v>2744</v>
      </c>
      <c r="E909">
        <v>1</v>
      </c>
      <c r="F909" t="s">
        <v>250</v>
      </c>
      <c r="G909">
        <v>1</v>
      </c>
      <c r="H909" t="s">
        <v>271</v>
      </c>
      <c r="I909">
        <v>0</v>
      </c>
      <c r="J9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09" s="43">
        <f>IFERROR(SUMIFS(Tabela10[Fod Worth],Tabela10[Drop],DropAnalityka[[#This Row],[Drop]],Tabela10[Grade],DropAnalityka[[#This Row],[Grade]])*DropAnalityka[[#This Row],[Quality/Quantity]],0)</f>
        <v>0</v>
      </c>
      <c r="L909" s="43">
        <f>IFERROR(SUMIFS(Tabela10[Exp Gain only 2*+],Tabela10[Drop],DropAnalityka[[#This Row],[Drop]],Tabela10[Grade],DropAnalityka[[#This Row],[Grade]])*DropAnalityka[[#This Row],[Quality/Quantity]],0)</f>
        <v>0</v>
      </c>
    </row>
    <row r="910" spans="1:12">
      <c r="A910" t="s">
        <v>285</v>
      </c>
      <c r="B910" t="s">
        <v>9</v>
      </c>
      <c r="C910">
        <v>9</v>
      </c>
      <c r="D910">
        <v>2564</v>
      </c>
      <c r="E910">
        <v>0</v>
      </c>
      <c r="F910" t="s">
        <v>250</v>
      </c>
      <c r="G910">
        <v>5</v>
      </c>
      <c r="H910" t="s">
        <v>270</v>
      </c>
      <c r="I910">
        <v>0</v>
      </c>
      <c r="J9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0" s="43">
        <f>IFERROR(SUMIFS(Tabela10[Fod Worth],Tabela10[Drop],DropAnalityka[[#This Row],[Drop]],Tabela10[Grade],DropAnalityka[[#This Row],[Grade]])*DropAnalityka[[#This Row],[Quality/Quantity]],0)</f>
        <v>0</v>
      </c>
      <c r="L910" s="43">
        <f>IFERROR(SUMIFS(Tabela10[Exp Gain only 2*+],Tabela10[Drop],DropAnalityka[[#This Row],[Drop]],Tabela10[Grade],DropAnalityka[[#This Row],[Grade]])*DropAnalityka[[#This Row],[Quality/Quantity]],0)</f>
        <v>0</v>
      </c>
    </row>
    <row r="911" spans="1:12">
      <c r="A911" t="s">
        <v>285</v>
      </c>
      <c r="B911" t="s">
        <v>9</v>
      </c>
      <c r="C911">
        <v>9</v>
      </c>
      <c r="D911">
        <v>2876</v>
      </c>
      <c r="E911">
        <v>2</v>
      </c>
      <c r="F911" t="s">
        <v>58</v>
      </c>
      <c r="G911">
        <v>1</v>
      </c>
      <c r="H911" t="s">
        <v>26</v>
      </c>
      <c r="I911">
        <v>0</v>
      </c>
      <c r="J9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1" s="43">
        <f>IFERROR(SUMIFS(Tabela10[Fod Worth],Tabela10[Drop],DropAnalityka[[#This Row],[Drop]],Tabela10[Grade],DropAnalityka[[#This Row],[Grade]])*DropAnalityka[[#This Row],[Quality/Quantity]],0)</f>
        <v>34500</v>
      </c>
      <c r="L911" s="43">
        <f>IFERROR(SUMIFS(Tabela10[Exp Gain only 2*+],Tabela10[Drop],DropAnalityka[[#This Row],[Drop]],Tabela10[Grade],DropAnalityka[[#This Row],[Grade]])*DropAnalityka[[#This Row],[Quality/Quantity]],0)</f>
        <v>118004</v>
      </c>
    </row>
    <row r="912" spans="1:12">
      <c r="A912" t="s">
        <v>285</v>
      </c>
      <c r="B912" t="s">
        <v>9</v>
      </c>
      <c r="C912">
        <v>9</v>
      </c>
      <c r="D912">
        <v>2779</v>
      </c>
      <c r="E912">
        <v>0</v>
      </c>
      <c r="F912" t="s">
        <v>264</v>
      </c>
      <c r="G912">
        <v>2</v>
      </c>
      <c r="I912">
        <v>0</v>
      </c>
      <c r="J9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2" s="43">
        <f>IFERROR(SUMIFS(Tabela10[Fod Worth],Tabela10[Drop],DropAnalityka[[#This Row],[Drop]],Tabela10[Grade],DropAnalityka[[#This Row],[Grade]])*DropAnalityka[[#This Row],[Quality/Quantity]],0)</f>
        <v>0</v>
      </c>
      <c r="L912" s="43">
        <f>IFERROR(SUMIFS(Tabela10[Exp Gain only 2*+],Tabela10[Drop],DropAnalityka[[#This Row],[Drop]],Tabela10[Grade],DropAnalityka[[#This Row],[Grade]])*DropAnalityka[[#This Row],[Quality/Quantity]],0)</f>
        <v>0</v>
      </c>
    </row>
    <row r="913" spans="1:12">
      <c r="A913" t="s">
        <v>36</v>
      </c>
      <c r="B913" t="s">
        <v>9</v>
      </c>
      <c r="C913">
        <v>9</v>
      </c>
      <c r="D913">
        <v>3024</v>
      </c>
      <c r="E913">
        <v>1</v>
      </c>
      <c r="F913" t="s">
        <v>252</v>
      </c>
      <c r="G913">
        <v>3</v>
      </c>
      <c r="H913" t="s">
        <v>292</v>
      </c>
      <c r="I913">
        <v>0</v>
      </c>
      <c r="J9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3" s="43">
        <f>IFERROR(SUMIFS(Tabela10[Fod Worth],Tabela10[Drop],DropAnalityka[[#This Row],[Drop]],Tabela10[Grade],DropAnalityka[[#This Row],[Grade]])*DropAnalityka[[#This Row],[Quality/Quantity]],0)</f>
        <v>0</v>
      </c>
      <c r="L913" s="43">
        <f>IFERROR(SUMIFS(Tabela10[Exp Gain only 2*+],Tabela10[Drop],DropAnalityka[[#This Row],[Drop]],Tabela10[Grade],DropAnalityka[[#This Row],[Grade]])*DropAnalityka[[#This Row],[Quality/Quantity]],0)</f>
        <v>0</v>
      </c>
    </row>
    <row r="914" spans="1:12">
      <c r="A914" t="s">
        <v>285</v>
      </c>
      <c r="B914" t="s">
        <v>9</v>
      </c>
      <c r="C914">
        <v>9</v>
      </c>
      <c r="D914">
        <v>3032</v>
      </c>
      <c r="E914">
        <v>0</v>
      </c>
      <c r="F914" t="s">
        <v>250</v>
      </c>
      <c r="G914">
        <v>5</v>
      </c>
      <c r="H914" t="s">
        <v>270</v>
      </c>
      <c r="I914">
        <v>0</v>
      </c>
      <c r="J9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4" s="43">
        <f>IFERROR(SUMIFS(Tabela10[Fod Worth],Tabela10[Drop],DropAnalityka[[#This Row],[Drop]],Tabela10[Grade],DropAnalityka[[#This Row],[Grade]])*DropAnalityka[[#This Row],[Quality/Quantity]],0)</f>
        <v>0</v>
      </c>
      <c r="L914" s="43">
        <f>IFERROR(SUMIFS(Tabela10[Exp Gain only 2*+],Tabela10[Drop],DropAnalityka[[#This Row],[Drop]],Tabela10[Grade],DropAnalityka[[#This Row],[Grade]])*DropAnalityka[[#This Row],[Quality/Quantity]],0)</f>
        <v>0</v>
      </c>
    </row>
    <row r="915" spans="1:12">
      <c r="A915" t="s">
        <v>285</v>
      </c>
      <c r="B915" t="s">
        <v>9</v>
      </c>
      <c r="C915">
        <v>9</v>
      </c>
      <c r="D915">
        <v>2865</v>
      </c>
      <c r="E915">
        <v>1</v>
      </c>
      <c r="F915" t="s">
        <v>58</v>
      </c>
      <c r="G915">
        <v>1</v>
      </c>
      <c r="H915" t="s">
        <v>26</v>
      </c>
      <c r="I915">
        <v>0</v>
      </c>
      <c r="J9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5" s="43">
        <f>IFERROR(SUMIFS(Tabela10[Fod Worth],Tabela10[Drop],DropAnalityka[[#This Row],[Drop]],Tabela10[Grade],DropAnalityka[[#This Row],[Grade]])*DropAnalityka[[#This Row],[Quality/Quantity]],0)</f>
        <v>34500</v>
      </c>
      <c r="L915" s="43">
        <f>IFERROR(SUMIFS(Tabela10[Exp Gain only 2*+],Tabela10[Drop],DropAnalityka[[#This Row],[Drop]],Tabela10[Grade],DropAnalityka[[#This Row],[Grade]])*DropAnalityka[[#This Row],[Quality/Quantity]],0)</f>
        <v>118004</v>
      </c>
    </row>
    <row r="916" spans="1:12">
      <c r="A916" t="s">
        <v>285</v>
      </c>
      <c r="B916" t="s">
        <v>9</v>
      </c>
      <c r="C916">
        <v>9</v>
      </c>
      <c r="D916">
        <v>2891</v>
      </c>
      <c r="E916">
        <v>2</v>
      </c>
      <c r="F916" t="s">
        <v>250</v>
      </c>
      <c r="G916">
        <v>1</v>
      </c>
      <c r="H916" t="s">
        <v>292</v>
      </c>
      <c r="I916">
        <v>0</v>
      </c>
      <c r="J9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6" s="43">
        <f>IFERROR(SUMIFS(Tabela10[Fod Worth],Tabela10[Drop],DropAnalityka[[#This Row],[Drop]],Tabela10[Grade],DropAnalityka[[#This Row],[Grade]])*DropAnalityka[[#This Row],[Quality/Quantity]],0)</f>
        <v>0</v>
      </c>
      <c r="L916" s="43">
        <f>IFERROR(SUMIFS(Tabela10[Exp Gain only 2*+],Tabela10[Drop],DropAnalityka[[#This Row],[Drop]],Tabela10[Grade],DropAnalityka[[#This Row],[Grade]])*DropAnalityka[[#This Row],[Quality/Quantity]],0)</f>
        <v>0</v>
      </c>
    </row>
    <row r="917" spans="1:12">
      <c r="A917" t="s">
        <v>285</v>
      </c>
      <c r="B917" t="s">
        <v>9</v>
      </c>
      <c r="C917">
        <v>9</v>
      </c>
      <c r="D917">
        <v>2799</v>
      </c>
      <c r="E917">
        <v>0</v>
      </c>
      <c r="F917" t="s">
        <v>250</v>
      </c>
      <c r="G917">
        <v>2</v>
      </c>
      <c r="H917" t="s">
        <v>292</v>
      </c>
      <c r="I917">
        <v>0</v>
      </c>
      <c r="J9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7" s="43">
        <f>IFERROR(SUMIFS(Tabela10[Fod Worth],Tabela10[Drop],DropAnalityka[[#This Row],[Drop]],Tabela10[Grade],DropAnalityka[[#This Row],[Grade]])*DropAnalityka[[#This Row],[Quality/Quantity]],0)</f>
        <v>0</v>
      </c>
      <c r="L917" s="43">
        <f>IFERROR(SUMIFS(Tabela10[Exp Gain only 2*+],Tabela10[Drop],DropAnalityka[[#This Row],[Drop]],Tabela10[Grade],DropAnalityka[[#This Row],[Grade]])*DropAnalityka[[#This Row],[Quality/Quantity]],0)</f>
        <v>0</v>
      </c>
    </row>
    <row r="918" spans="1:12">
      <c r="A918" t="s">
        <v>285</v>
      </c>
      <c r="B918" t="s">
        <v>9</v>
      </c>
      <c r="C918">
        <v>9</v>
      </c>
      <c r="D918">
        <v>3197</v>
      </c>
      <c r="E918">
        <v>1</v>
      </c>
      <c r="F918" t="s">
        <v>250</v>
      </c>
      <c r="G918">
        <v>2</v>
      </c>
      <c r="H918" t="s">
        <v>292</v>
      </c>
      <c r="I918">
        <v>0</v>
      </c>
      <c r="J9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8" s="43">
        <f>IFERROR(SUMIFS(Tabela10[Fod Worth],Tabela10[Drop],DropAnalityka[[#This Row],[Drop]],Tabela10[Grade],DropAnalityka[[#This Row],[Grade]])*DropAnalityka[[#This Row],[Quality/Quantity]],0)</f>
        <v>0</v>
      </c>
      <c r="L918" s="43">
        <f>IFERROR(SUMIFS(Tabela10[Exp Gain only 2*+],Tabela10[Drop],DropAnalityka[[#This Row],[Drop]],Tabela10[Grade],DropAnalityka[[#This Row],[Grade]])*DropAnalityka[[#This Row],[Quality/Quantity]],0)</f>
        <v>0</v>
      </c>
    </row>
    <row r="919" spans="1:12">
      <c r="A919" t="s">
        <v>285</v>
      </c>
      <c r="B919" t="s">
        <v>9</v>
      </c>
      <c r="C919">
        <v>9</v>
      </c>
      <c r="D919">
        <v>3013</v>
      </c>
      <c r="E919">
        <v>0</v>
      </c>
      <c r="F919" t="s">
        <v>250</v>
      </c>
      <c r="G919">
        <v>4</v>
      </c>
      <c r="H919" t="s">
        <v>270</v>
      </c>
      <c r="I919">
        <v>0</v>
      </c>
      <c r="J9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19" s="43">
        <f>IFERROR(SUMIFS(Tabela10[Fod Worth],Tabela10[Drop],DropAnalityka[[#This Row],[Drop]],Tabela10[Grade],DropAnalityka[[#This Row],[Grade]])*DropAnalityka[[#This Row],[Quality/Quantity]],0)</f>
        <v>0</v>
      </c>
      <c r="L919" s="43">
        <f>IFERROR(SUMIFS(Tabela10[Exp Gain only 2*+],Tabela10[Drop],DropAnalityka[[#This Row],[Drop]],Tabela10[Grade],DropAnalityka[[#This Row],[Grade]])*DropAnalityka[[#This Row],[Quality/Quantity]],0)</f>
        <v>0</v>
      </c>
    </row>
    <row r="920" spans="1:12">
      <c r="A920" t="s">
        <v>285</v>
      </c>
      <c r="B920" t="s">
        <v>9</v>
      </c>
      <c r="C920">
        <v>9</v>
      </c>
      <c r="D920">
        <v>3393</v>
      </c>
      <c r="E920">
        <v>1</v>
      </c>
      <c r="F920" t="s">
        <v>250</v>
      </c>
      <c r="G920">
        <v>4</v>
      </c>
      <c r="H920" t="s">
        <v>270</v>
      </c>
      <c r="I920">
        <v>0</v>
      </c>
      <c r="J9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0" s="43">
        <f>IFERROR(SUMIFS(Tabela10[Fod Worth],Tabela10[Drop],DropAnalityka[[#This Row],[Drop]],Tabela10[Grade],DropAnalityka[[#This Row],[Grade]])*DropAnalityka[[#This Row],[Quality/Quantity]],0)</f>
        <v>0</v>
      </c>
      <c r="L920" s="43">
        <f>IFERROR(SUMIFS(Tabela10[Exp Gain only 2*+],Tabela10[Drop],DropAnalityka[[#This Row],[Drop]],Tabela10[Grade],DropAnalityka[[#This Row],[Grade]])*DropAnalityka[[#This Row],[Quality/Quantity]],0)</f>
        <v>0</v>
      </c>
    </row>
    <row r="921" spans="1:12">
      <c r="A921" t="s">
        <v>285</v>
      </c>
      <c r="B921" t="s">
        <v>9</v>
      </c>
      <c r="C921">
        <v>9</v>
      </c>
      <c r="D921">
        <v>3290</v>
      </c>
      <c r="E921">
        <v>0</v>
      </c>
      <c r="F921" t="s">
        <v>288</v>
      </c>
      <c r="G921">
        <v>1</v>
      </c>
      <c r="H921" t="s">
        <v>17</v>
      </c>
      <c r="I921">
        <v>0</v>
      </c>
      <c r="J921">
        <f>DropAnalityka[[#This Row],[Sell Drop]]+IFERROR(SUMIFS(Tabela10[Drop Worth],Tabela10[Drop],DropAnalityka[[#This Row],[Drop]],Tabela10[Grade],DropAnalityka[[#This Row],[Grade]])*DropAnalityka[[#This Row],[Quality/Quantity]],0)</f>
        <v>120000</v>
      </c>
      <c r="K921" s="43">
        <f>IFERROR(SUMIFS(Tabela10[Fod Worth],Tabela10[Drop],DropAnalityka[[#This Row],[Drop]],Tabela10[Grade],DropAnalityka[[#This Row],[Grade]])*DropAnalityka[[#This Row],[Quality/Quantity]],0)</f>
        <v>0</v>
      </c>
      <c r="L921" s="43">
        <f>IFERROR(SUMIFS(Tabela10[Exp Gain only 2*+],Tabela10[Drop],DropAnalityka[[#This Row],[Drop]],Tabela10[Grade],DropAnalityka[[#This Row],[Grade]])*DropAnalityka[[#This Row],[Quality/Quantity]],0)</f>
        <v>0</v>
      </c>
    </row>
    <row r="922" spans="1:12">
      <c r="A922" t="s">
        <v>286</v>
      </c>
      <c r="B922" t="s">
        <v>32</v>
      </c>
      <c r="C922">
        <v>5</v>
      </c>
      <c r="D922">
        <v>1311</v>
      </c>
      <c r="E922">
        <v>0</v>
      </c>
      <c r="I922">
        <v>1236</v>
      </c>
      <c r="J922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922" s="43">
        <f>IFERROR(SUMIFS(Tabela10[Fod Worth],Tabela10[Drop],DropAnalityka[[#This Row],[Drop]],Tabela10[Grade],DropAnalityka[[#This Row],[Grade]])*DropAnalityka[[#This Row],[Quality/Quantity]],0)</f>
        <v>0</v>
      </c>
      <c r="L922" s="43">
        <f>IFERROR(SUMIFS(Tabela10[Exp Gain only 2*+],Tabela10[Drop],DropAnalityka[[#This Row],[Drop]],Tabela10[Grade],DropAnalityka[[#This Row],[Grade]])*DropAnalityka[[#This Row],[Quality/Quantity]],0)</f>
        <v>0</v>
      </c>
    </row>
    <row r="923" spans="1:12">
      <c r="A923" t="s">
        <v>285</v>
      </c>
      <c r="B923" t="s">
        <v>9</v>
      </c>
      <c r="C923">
        <v>9</v>
      </c>
      <c r="D923">
        <v>2551</v>
      </c>
      <c r="E923">
        <v>1</v>
      </c>
      <c r="F923" t="s">
        <v>223</v>
      </c>
      <c r="G923" t="s">
        <v>287</v>
      </c>
      <c r="H923" t="s">
        <v>12</v>
      </c>
      <c r="I923">
        <v>0</v>
      </c>
      <c r="J9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3" s="43">
        <f>IFERROR(SUMIFS(Tabela10[Fod Worth],Tabela10[Drop],DropAnalityka[[#This Row],[Drop]],Tabela10[Grade],DropAnalityka[[#This Row],[Grade]])*DropAnalityka[[#This Row],[Quality/Quantity]],0)</f>
        <v>0</v>
      </c>
      <c r="L923" s="43">
        <f>IFERROR(SUMIFS(Tabela10[Exp Gain only 2*+],Tabela10[Drop],DropAnalityka[[#This Row],[Drop]],Tabela10[Grade],DropAnalityka[[#This Row],[Grade]])*DropAnalityka[[#This Row],[Quality/Quantity]],0)</f>
        <v>0</v>
      </c>
    </row>
    <row r="924" spans="1:12">
      <c r="A924" t="s">
        <v>285</v>
      </c>
      <c r="B924" t="s">
        <v>9</v>
      </c>
      <c r="C924">
        <v>9</v>
      </c>
      <c r="D924">
        <v>2856</v>
      </c>
      <c r="E924">
        <v>0</v>
      </c>
      <c r="F924" t="s">
        <v>250</v>
      </c>
      <c r="G924">
        <v>1</v>
      </c>
      <c r="H924" t="s">
        <v>271</v>
      </c>
      <c r="I924">
        <v>0</v>
      </c>
      <c r="J9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4" s="43">
        <f>IFERROR(SUMIFS(Tabela10[Fod Worth],Tabela10[Drop],DropAnalityka[[#This Row],[Drop]],Tabela10[Grade],DropAnalityka[[#This Row],[Grade]])*DropAnalityka[[#This Row],[Quality/Quantity]],0)</f>
        <v>0</v>
      </c>
      <c r="L924" s="43">
        <f>IFERROR(SUMIFS(Tabela10[Exp Gain only 2*+],Tabela10[Drop],DropAnalityka[[#This Row],[Drop]],Tabela10[Grade],DropAnalityka[[#This Row],[Grade]])*DropAnalityka[[#This Row],[Quality/Quantity]],0)</f>
        <v>0</v>
      </c>
    </row>
    <row r="925" spans="1:12">
      <c r="A925" t="s">
        <v>285</v>
      </c>
      <c r="B925" t="s">
        <v>9</v>
      </c>
      <c r="C925">
        <v>9</v>
      </c>
      <c r="D925">
        <v>2488</v>
      </c>
      <c r="E925">
        <v>1</v>
      </c>
      <c r="F925" t="s">
        <v>250</v>
      </c>
      <c r="G925">
        <v>3</v>
      </c>
      <c r="H925" t="s">
        <v>292</v>
      </c>
      <c r="I925">
        <v>0</v>
      </c>
      <c r="J9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5" s="43">
        <f>IFERROR(SUMIFS(Tabela10[Fod Worth],Tabela10[Drop],DropAnalityka[[#This Row],[Drop]],Tabela10[Grade],DropAnalityka[[#This Row],[Grade]])*DropAnalityka[[#This Row],[Quality/Quantity]],0)</f>
        <v>0</v>
      </c>
      <c r="L925" s="43">
        <f>IFERROR(SUMIFS(Tabela10[Exp Gain only 2*+],Tabela10[Drop],DropAnalityka[[#This Row],[Drop]],Tabela10[Grade],DropAnalityka[[#This Row],[Grade]])*DropAnalityka[[#This Row],[Quality/Quantity]],0)</f>
        <v>0</v>
      </c>
    </row>
    <row r="926" spans="1:12">
      <c r="A926" t="s">
        <v>285</v>
      </c>
      <c r="B926" t="s">
        <v>9</v>
      </c>
      <c r="C926">
        <v>9</v>
      </c>
      <c r="D926">
        <v>2583</v>
      </c>
      <c r="E926">
        <v>0</v>
      </c>
      <c r="F926" t="s">
        <v>250</v>
      </c>
      <c r="G926">
        <v>5</v>
      </c>
      <c r="H926" t="s">
        <v>270</v>
      </c>
      <c r="I926">
        <v>0</v>
      </c>
      <c r="J9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6" s="43">
        <f>IFERROR(SUMIFS(Tabela10[Fod Worth],Tabela10[Drop],DropAnalityka[[#This Row],[Drop]],Tabela10[Grade],DropAnalityka[[#This Row],[Grade]])*DropAnalityka[[#This Row],[Quality/Quantity]],0)</f>
        <v>0</v>
      </c>
      <c r="L926" s="43">
        <f>IFERROR(SUMIFS(Tabela10[Exp Gain only 2*+],Tabela10[Drop],DropAnalityka[[#This Row],[Drop]],Tabela10[Grade],DropAnalityka[[#This Row],[Grade]])*DropAnalityka[[#This Row],[Quality/Quantity]],0)</f>
        <v>0</v>
      </c>
    </row>
    <row r="927" spans="1:12">
      <c r="A927" t="s">
        <v>285</v>
      </c>
      <c r="B927" t="s">
        <v>9</v>
      </c>
      <c r="C927">
        <v>9</v>
      </c>
      <c r="D927">
        <v>2394</v>
      </c>
      <c r="E927">
        <v>0</v>
      </c>
      <c r="F927" t="s">
        <v>250</v>
      </c>
      <c r="G927">
        <v>4</v>
      </c>
      <c r="H927" t="s">
        <v>270</v>
      </c>
      <c r="I927">
        <v>0</v>
      </c>
      <c r="J9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7" s="43">
        <f>IFERROR(SUMIFS(Tabela10[Fod Worth],Tabela10[Drop],DropAnalityka[[#This Row],[Drop]],Tabela10[Grade],DropAnalityka[[#This Row],[Grade]])*DropAnalityka[[#This Row],[Quality/Quantity]],0)</f>
        <v>0</v>
      </c>
      <c r="L927" s="43">
        <f>IFERROR(SUMIFS(Tabela10[Exp Gain only 2*+],Tabela10[Drop],DropAnalityka[[#This Row],[Drop]],Tabela10[Grade],DropAnalityka[[#This Row],[Grade]])*DropAnalityka[[#This Row],[Quality/Quantity]],0)</f>
        <v>0</v>
      </c>
    </row>
    <row r="928" spans="1:12">
      <c r="A928" t="s">
        <v>285</v>
      </c>
      <c r="B928" t="s">
        <v>9</v>
      </c>
      <c r="C928">
        <v>9</v>
      </c>
      <c r="D928">
        <v>2703</v>
      </c>
      <c r="E928">
        <v>0</v>
      </c>
      <c r="F928" t="s">
        <v>250</v>
      </c>
      <c r="G928">
        <v>1</v>
      </c>
      <c r="H928" t="s">
        <v>271</v>
      </c>
      <c r="I928">
        <v>0</v>
      </c>
      <c r="J9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8" s="43">
        <f>IFERROR(SUMIFS(Tabela10[Fod Worth],Tabela10[Drop],DropAnalityka[[#This Row],[Drop]],Tabela10[Grade],DropAnalityka[[#This Row],[Grade]])*DropAnalityka[[#This Row],[Quality/Quantity]],0)</f>
        <v>0</v>
      </c>
      <c r="L928" s="43">
        <f>IFERROR(SUMIFS(Tabela10[Exp Gain only 2*+],Tabela10[Drop],DropAnalityka[[#This Row],[Drop]],Tabela10[Grade],DropAnalityka[[#This Row],[Grade]])*DropAnalityka[[#This Row],[Quality/Quantity]],0)</f>
        <v>0</v>
      </c>
    </row>
    <row r="929" spans="1:12">
      <c r="A929" t="s">
        <v>285</v>
      </c>
      <c r="B929" t="s">
        <v>9</v>
      </c>
      <c r="C929">
        <v>9</v>
      </c>
      <c r="D929">
        <v>2880</v>
      </c>
      <c r="E929">
        <v>1</v>
      </c>
      <c r="F929" t="s">
        <v>250</v>
      </c>
      <c r="G929">
        <v>4</v>
      </c>
      <c r="H929" t="s">
        <v>270</v>
      </c>
      <c r="I929">
        <v>0</v>
      </c>
      <c r="J9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29" s="43">
        <f>IFERROR(SUMIFS(Tabela10[Fod Worth],Tabela10[Drop],DropAnalityka[[#This Row],[Drop]],Tabela10[Grade],DropAnalityka[[#This Row],[Grade]])*DropAnalityka[[#This Row],[Quality/Quantity]],0)</f>
        <v>0</v>
      </c>
      <c r="L929" s="43">
        <f>IFERROR(SUMIFS(Tabela10[Exp Gain only 2*+],Tabela10[Drop],DropAnalityka[[#This Row],[Drop]],Tabela10[Grade],DropAnalityka[[#This Row],[Grade]])*DropAnalityka[[#This Row],[Quality/Quantity]],0)</f>
        <v>0</v>
      </c>
    </row>
    <row r="930" spans="1:12">
      <c r="A930" t="s">
        <v>285</v>
      </c>
      <c r="B930" t="s">
        <v>9</v>
      </c>
      <c r="C930">
        <v>9</v>
      </c>
      <c r="D930">
        <v>2802</v>
      </c>
      <c r="E930">
        <v>0</v>
      </c>
      <c r="F930" t="s">
        <v>250</v>
      </c>
      <c r="G930">
        <v>3</v>
      </c>
      <c r="H930" t="s">
        <v>292</v>
      </c>
      <c r="I930">
        <v>0</v>
      </c>
      <c r="J9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0" s="43">
        <f>IFERROR(SUMIFS(Tabela10[Fod Worth],Tabela10[Drop],DropAnalityka[[#This Row],[Drop]],Tabela10[Grade],DropAnalityka[[#This Row],[Grade]])*DropAnalityka[[#This Row],[Quality/Quantity]],0)</f>
        <v>0</v>
      </c>
      <c r="L930" s="43">
        <f>IFERROR(SUMIFS(Tabela10[Exp Gain only 2*+],Tabela10[Drop],DropAnalityka[[#This Row],[Drop]],Tabela10[Grade],DropAnalityka[[#This Row],[Grade]])*DropAnalityka[[#This Row],[Quality/Quantity]],0)</f>
        <v>0</v>
      </c>
    </row>
    <row r="931" spans="1:12">
      <c r="A931" t="s">
        <v>285</v>
      </c>
      <c r="B931" t="s">
        <v>9</v>
      </c>
      <c r="C931">
        <v>9</v>
      </c>
      <c r="D931">
        <v>2784</v>
      </c>
      <c r="E931">
        <v>2</v>
      </c>
      <c r="F931" t="s">
        <v>264</v>
      </c>
      <c r="G931">
        <v>2</v>
      </c>
      <c r="I931">
        <v>0</v>
      </c>
      <c r="J9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1" s="43">
        <f>IFERROR(SUMIFS(Tabela10[Fod Worth],Tabela10[Drop],DropAnalityka[[#This Row],[Drop]],Tabela10[Grade],DropAnalityka[[#This Row],[Grade]])*DropAnalityka[[#This Row],[Quality/Quantity]],0)</f>
        <v>0</v>
      </c>
      <c r="L931" s="43">
        <f>IFERROR(SUMIFS(Tabela10[Exp Gain only 2*+],Tabela10[Drop],DropAnalityka[[#This Row],[Drop]],Tabela10[Grade],DropAnalityka[[#This Row],[Grade]])*DropAnalityka[[#This Row],[Quality/Quantity]],0)</f>
        <v>0</v>
      </c>
    </row>
    <row r="932" spans="1:12">
      <c r="A932" t="s">
        <v>285</v>
      </c>
      <c r="B932" t="s">
        <v>9</v>
      </c>
      <c r="C932">
        <v>9</v>
      </c>
      <c r="D932">
        <v>2856</v>
      </c>
      <c r="E932">
        <v>0</v>
      </c>
      <c r="F932" t="s">
        <v>250</v>
      </c>
      <c r="G932">
        <v>3</v>
      </c>
      <c r="H932" t="s">
        <v>292</v>
      </c>
      <c r="I932">
        <v>0</v>
      </c>
      <c r="J9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2" s="43">
        <f>IFERROR(SUMIFS(Tabela10[Fod Worth],Tabela10[Drop],DropAnalityka[[#This Row],[Drop]],Tabela10[Grade],DropAnalityka[[#This Row],[Grade]])*DropAnalityka[[#This Row],[Quality/Quantity]],0)</f>
        <v>0</v>
      </c>
      <c r="L932" s="43">
        <f>IFERROR(SUMIFS(Tabela10[Exp Gain only 2*+],Tabela10[Drop],DropAnalityka[[#This Row],[Drop]],Tabela10[Grade],DropAnalityka[[#This Row],[Grade]])*DropAnalityka[[#This Row],[Quality/Quantity]],0)</f>
        <v>0</v>
      </c>
    </row>
    <row r="933" spans="1:12">
      <c r="A933" t="s">
        <v>285</v>
      </c>
      <c r="B933" t="s">
        <v>9</v>
      </c>
      <c r="C933">
        <v>9</v>
      </c>
      <c r="D933">
        <v>3481</v>
      </c>
      <c r="E933">
        <v>0</v>
      </c>
      <c r="F933" t="s">
        <v>250</v>
      </c>
      <c r="G933">
        <v>4</v>
      </c>
      <c r="H933" t="s">
        <v>270</v>
      </c>
      <c r="I933">
        <v>0</v>
      </c>
      <c r="J9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3" s="43">
        <f>IFERROR(SUMIFS(Tabela10[Fod Worth],Tabela10[Drop],DropAnalityka[[#This Row],[Drop]],Tabela10[Grade],DropAnalityka[[#This Row],[Grade]])*DropAnalityka[[#This Row],[Quality/Quantity]],0)</f>
        <v>0</v>
      </c>
      <c r="L933" s="43">
        <f>IFERROR(SUMIFS(Tabela10[Exp Gain only 2*+],Tabela10[Drop],DropAnalityka[[#This Row],[Drop]],Tabela10[Grade],DropAnalityka[[#This Row],[Grade]])*DropAnalityka[[#This Row],[Quality/Quantity]],0)</f>
        <v>0</v>
      </c>
    </row>
    <row r="934" spans="1:12">
      <c r="A934" t="s">
        <v>285</v>
      </c>
      <c r="B934" t="s">
        <v>9</v>
      </c>
      <c r="C934">
        <v>9</v>
      </c>
      <c r="D934">
        <v>2701</v>
      </c>
      <c r="E934">
        <v>0</v>
      </c>
      <c r="F934" t="s">
        <v>58</v>
      </c>
      <c r="G934" t="s">
        <v>12</v>
      </c>
      <c r="I934">
        <v>0</v>
      </c>
      <c r="J9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4" s="43">
        <f>IFERROR(SUMIFS(Tabela10[Fod Worth],Tabela10[Drop],DropAnalityka[[#This Row],[Drop]],Tabela10[Grade],DropAnalityka[[#This Row],[Grade]])*DropAnalityka[[#This Row],[Quality/Quantity]],0)</f>
        <v>0</v>
      </c>
      <c r="L934" s="43">
        <f>IFERROR(SUMIFS(Tabela10[Exp Gain only 2*+],Tabela10[Drop],DropAnalityka[[#This Row],[Drop]],Tabela10[Grade],DropAnalityka[[#This Row],[Grade]])*DropAnalityka[[#This Row],[Quality/Quantity]],0)</f>
        <v>0</v>
      </c>
    </row>
    <row r="935" spans="1:12">
      <c r="A935" t="s">
        <v>285</v>
      </c>
      <c r="B935" t="s">
        <v>9</v>
      </c>
      <c r="C935">
        <v>9</v>
      </c>
      <c r="D935">
        <v>2809</v>
      </c>
      <c r="E935">
        <v>1</v>
      </c>
      <c r="F935" t="s">
        <v>206</v>
      </c>
      <c r="G935" t="s">
        <v>17</v>
      </c>
      <c r="I935">
        <v>0</v>
      </c>
      <c r="J9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5" s="43">
        <f>IFERROR(SUMIFS(Tabela10[Fod Worth],Tabela10[Drop],DropAnalityka[[#This Row],[Drop]],Tabela10[Grade],DropAnalityka[[#This Row],[Grade]])*DropAnalityka[[#This Row],[Quality/Quantity]],0)</f>
        <v>0</v>
      </c>
      <c r="L935" s="43">
        <f>IFERROR(SUMIFS(Tabela10[Exp Gain only 2*+],Tabela10[Drop],DropAnalityka[[#This Row],[Drop]],Tabela10[Grade],DropAnalityka[[#This Row],[Grade]])*DropAnalityka[[#This Row],[Quality/Quantity]],0)</f>
        <v>0</v>
      </c>
    </row>
    <row r="936" spans="1:12">
      <c r="A936" t="s">
        <v>285</v>
      </c>
      <c r="B936" t="s">
        <v>9</v>
      </c>
      <c r="C936">
        <v>9</v>
      </c>
      <c r="D936">
        <v>2999</v>
      </c>
      <c r="E936">
        <v>0</v>
      </c>
      <c r="F936" t="s">
        <v>250</v>
      </c>
      <c r="G936">
        <v>5</v>
      </c>
      <c r="H936" t="s">
        <v>270</v>
      </c>
      <c r="I936">
        <v>0</v>
      </c>
      <c r="J9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6" s="43">
        <f>IFERROR(SUMIFS(Tabela10[Fod Worth],Tabela10[Drop],DropAnalityka[[#This Row],[Drop]],Tabela10[Grade],DropAnalityka[[#This Row],[Grade]])*DropAnalityka[[#This Row],[Quality/Quantity]],0)</f>
        <v>0</v>
      </c>
      <c r="L936" s="43">
        <f>IFERROR(SUMIFS(Tabela10[Exp Gain only 2*+],Tabela10[Drop],DropAnalityka[[#This Row],[Drop]],Tabela10[Grade],DropAnalityka[[#This Row],[Grade]])*DropAnalityka[[#This Row],[Quality/Quantity]],0)</f>
        <v>0</v>
      </c>
    </row>
    <row r="937" spans="1:12">
      <c r="A937" t="s">
        <v>285</v>
      </c>
      <c r="B937" t="s">
        <v>9</v>
      </c>
      <c r="C937">
        <v>9</v>
      </c>
      <c r="D937">
        <v>2639</v>
      </c>
      <c r="E937">
        <v>1</v>
      </c>
      <c r="F937" t="s">
        <v>250</v>
      </c>
      <c r="G937">
        <v>2</v>
      </c>
      <c r="H937" t="s">
        <v>292</v>
      </c>
      <c r="I937">
        <v>0</v>
      </c>
      <c r="J9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7" s="43">
        <f>IFERROR(SUMIFS(Tabela10[Fod Worth],Tabela10[Drop],DropAnalityka[[#This Row],[Drop]],Tabela10[Grade],DropAnalityka[[#This Row],[Grade]])*DropAnalityka[[#This Row],[Quality/Quantity]],0)</f>
        <v>0</v>
      </c>
      <c r="L937" s="43">
        <f>IFERROR(SUMIFS(Tabela10[Exp Gain only 2*+],Tabela10[Drop],DropAnalityka[[#This Row],[Drop]],Tabela10[Grade],DropAnalityka[[#This Row],[Grade]])*DropAnalityka[[#This Row],[Quality/Quantity]],0)</f>
        <v>0</v>
      </c>
    </row>
    <row r="938" spans="1:12">
      <c r="A938" t="s">
        <v>285</v>
      </c>
      <c r="B938" t="s">
        <v>9</v>
      </c>
      <c r="C938">
        <v>9</v>
      </c>
      <c r="D938">
        <v>2853</v>
      </c>
      <c r="E938">
        <v>0</v>
      </c>
      <c r="F938" t="s">
        <v>250</v>
      </c>
      <c r="G938">
        <v>2</v>
      </c>
      <c r="H938" t="s">
        <v>271</v>
      </c>
      <c r="I938">
        <v>0</v>
      </c>
      <c r="J9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8" s="43">
        <f>IFERROR(SUMIFS(Tabela10[Fod Worth],Tabela10[Drop],DropAnalityka[[#This Row],[Drop]],Tabela10[Grade],DropAnalityka[[#This Row],[Grade]])*DropAnalityka[[#This Row],[Quality/Quantity]],0)</f>
        <v>0</v>
      </c>
      <c r="L938" s="43">
        <f>IFERROR(SUMIFS(Tabela10[Exp Gain only 2*+],Tabela10[Drop],DropAnalityka[[#This Row],[Drop]],Tabela10[Grade],DropAnalityka[[#This Row],[Grade]])*DropAnalityka[[#This Row],[Quality/Quantity]],0)</f>
        <v>0</v>
      </c>
    </row>
    <row r="939" spans="1:12">
      <c r="A939" t="s">
        <v>285</v>
      </c>
      <c r="B939" t="s">
        <v>9</v>
      </c>
      <c r="C939">
        <v>9</v>
      </c>
      <c r="D939">
        <v>3206</v>
      </c>
      <c r="E939">
        <v>1</v>
      </c>
      <c r="F939" t="s">
        <v>250</v>
      </c>
      <c r="G939">
        <v>4</v>
      </c>
      <c r="H939" t="s">
        <v>270</v>
      </c>
      <c r="I939">
        <v>0</v>
      </c>
      <c r="J9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39" s="43">
        <f>IFERROR(SUMIFS(Tabela10[Fod Worth],Tabela10[Drop],DropAnalityka[[#This Row],[Drop]],Tabela10[Grade],DropAnalityka[[#This Row],[Grade]])*DropAnalityka[[#This Row],[Quality/Quantity]],0)</f>
        <v>0</v>
      </c>
      <c r="L939" s="43">
        <f>IFERROR(SUMIFS(Tabela10[Exp Gain only 2*+],Tabela10[Drop],DropAnalityka[[#This Row],[Drop]],Tabela10[Grade],DropAnalityka[[#This Row],[Grade]])*DropAnalityka[[#This Row],[Quality/Quantity]],0)</f>
        <v>0</v>
      </c>
    </row>
    <row r="940" spans="1:12">
      <c r="A940" t="s">
        <v>285</v>
      </c>
      <c r="B940" t="s">
        <v>9</v>
      </c>
      <c r="C940">
        <v>9</v>
      </c>
      <c r="D940">
        <v>3218</v>
      </c>
      <c r="E940">
        <v>0</v>
      </c>
      <c r="F940" t="s">
        <v>250</v>
      </c>
      <c r="G940">
        <v>3</v>
      </c>
      <c r="H940" t="s">
        <v>292</v>
      </c>
      <c r="I940">
        <v>0</v>
      </c>
      <c r="J9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0" s="43">
        <f>IFERROR(SUMIFS(Tabela10[Fod Worth],Tabela10[Drop],DropAnalityka[[#This Row],[Drop]],Tabela10[Grade],DropAnalityka[[#This Row],[Grade]])*DropAnalityka[[#This Row],[Quality/Quantity]],0)</f>
        <v>0</v>
      </c>
      <c r="L940" s="43">
        <f>IFERROR(SUMIFS(Tabela10[Exp Gain only 2*+],Tabela10[Drop],DropAnalityka[[#This Row],[Drop]],Tabela10[Grade],DropAnalityka[[#This Row],[Grade]])*DropAnalityka[[#This Row],[Quality/Quantity]],0)</f>
        <v>0</v>
      </c>
    </row>
    <row r="941" spans="1:12">
      <c r="A941" t="s">
        <v>285</v>
      </c>
      <c r="B941" t="s">
        <v>9</v>
      </c>
      <c r="C941">
        <v>9</v>
      </c>
      <c r="D941">
        <v>2853</v>
      </c>
      <c r="E941">
        <v>2</v>
      </c>
      <c r="F941" t="s">
        <v>250</v>
      </c>
      <c r="G941">
        <v>3</v>
      </c>
      <c r="H941" t="s">
        <v>271</v>
      </c>
      <c r="I941">
        <v>0</v>
      </c>
      <c r="J9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1" s="43">
        <f>IFERROR(SUMIFS(Tabela10[Fod Worth],Tabela10[Drop],DropAnalityka[[#This Row],[Drop]],Tabela10[Grade],DropAnalityka[[#This Row],[Grade]])*DropAnalityka[[#This Row],[Quality/Quantity]],0)</f>
        <v>0</v>
      </c>
      <c r="L941" s="43">
        <f>IFERROR(SUMIFS(Tabela10[Exp Gain only 2*+],Tabela10[Drop],DropAnalityka[[#This Row],[Drop]],Tabela10[Grade],DropAnalityka[[#This Row],[Grade]])*DropAnalityka[[#This Row],[Quality/Quantity]],0)</f>
        <v>0</v>
      </c>
    </row>
    <row r="942" spans="1:12">
      <c r="A942" t="s">
        <v>285</v>
      </c>
      <c r="B942" t="s">
        <v>9</v>
      </c>
      <c r="C942">
        <v>9</v>
      </c>
      <c r="D942">
        <v>2921</v>
      </c>
      <c r="E942">
        <v>0</v>
      </c>
      <c r="F942" t="s">
        <v>250</v>
      </c>
      <c r="G942">
        <v>1</v>
      </c>
      <c r="H942" t="s">
        <v>271</v>
      </c>
      <c r="I942">
        <v>0</v>
      </c>
      <c r="J9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2" s="43">
        <f>IFERROR(SUMIFS(Tabela10[Fod Worth],Tabela10[Drop],DropAnalityka[[#This Row],[Drop]],Tabela10[Grade],DropAnalityka[[#This Row],[Grade]])*DropAnalityka[[#This Row],[Quality/Quantity]],0)</f>
        <v>0</v>
      </c>
      <c r="L942" s="43">
        <f>IFERROR(SUMIFS(Tabela10[Exp Gain only 2*+],Tabela10[Drop],DropAnalityka[[#This Row],[Drop]],Tabela10[Grade],DropAnalityka[[#This Row],[Grade]])*DropAnalityka[[#This Row],[Quality/Quantity]],0)</f>
        <v>0</v>
      </c>
    </row>
    <row r="943" spans="1:12">
      <c r="A943" t="s">
        <v>285</v>
      </c>
      <c r="B943" t="s">
        <v>9</v>
      </c>
      <c r="C943">
        <v>9</v>
      </c>
      <c r="D943">
        <v>2840</v>
      </c>
      <c r="E943">
        <v>0</v>
      </c>
      <c r="F943" t="s">
        <v>206</v>
      </c>
      <c r="G943" t="s">
        <v>17</v>
      </c>
      <c r="I943">
        <v>0</v>
      </c>
      <c r="J9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3" s="43">
        <f>IFERROR(SUMIFS(Tabela10[Fod Worth],Tabela10[Drop],DropAnalityka[[#This Row],[Drop]],Tabela10[Grade],DropAnalityka[[#This Row],[Grade]])*DropAnalityka[[#This Row],[Quality/Quantity]],0)</f>
        <v>0</v>
      </c>
      <c r="L943" s="43">
        <f>IFERROR(SUMIFS(Tabela10[Exp Gain only 2*+],Tabela10[Drop],DropAnalityka[[#This Row],[Drop]],Tabela10[Grade],DropAnalityka[[#This Row],[Grade]])*DropAnalityka[[#This Row],[Quality/Quantity]],0)</f>
        <v>0</v>
      </c>
    </row>
    <row r="944" spans="1:12">
      <c r="A944" t="s">
        <v>285</v>
      </c>
      <c r="B944" t="s">
        <v>9</v>
      </c>
      <c r="C944">
        <v>9</v>
      </c>
      <c r="D944">
        <v>3444</v>
      </c>
      <c r="E944">
        <v>0</v>
      </c>
      <c r="F944" t="s">
        <v>264</v>
      </c>
      <c r="G944">
        <v>1</v>
      </c>
      <c r="I944">
        <v>0</v>
      </c>
      <c r="J9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4" s="43">
        <f>IFERROR(SUMIFS(Tabela10[Fod Worth],Tabela10[Drop],DropAnalityka[[#This Row],[Drop]],Tabela10[Grade],DropAnalityka[[#This Row],[Grade]])*DropAnalityka[[#This Row],[Quality/Quantity]],0)</f>
        <v>0</v>
      </c>
      <c r="L944" s="43">
        <f>IFERROR(SUMIFS(Tabela10[Exp Gain only 2*+],Tabela10[Drop],DropAnalityka[[#This Row],[Drop]],Tabela10[Grade],DropAnalityka[[#This Row],[Grade]])*DropAnalityka[[#This Row],[Quality/Quantity]],0)</f>
        <v>0</v>
      </c>
    </row>
    <row r="945" spans="1:12">
      <c r="A945" t="s">
        <v>285</v>
      </c>
      <c r="B945" t="s">
        <v>9</v>
      </c>
      <c r="C945">
        <v>9</v>
      </c>
      <c r="D945">
        <v>2844</v>
      </c>
      <c r="E945">
        <v>0</v>
      </c>
      <c r="F945" t="s">
        <v>250</v>
      </c>
      <c r="G945">
        <v>2</v>
      </c>
      <c r="H945" t="s">
        <v>292</v>
      </c>
      <c r="I945">
        <v>0</v>
      </c>
      <c r="J9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5" s="43">
        <f>IFERROR(SUMIFS(Tabela10[Fod Worth],Tabela10[Drop],DropAnalityka[[#This Row],[Drop]],Tabela10[Grade],DropAnalityka[[#This Row],[Grade]])*DropAnalityka[[#This Row],[Quality/Quantity]],0)</f>
        <v>0</v>
      </c>
      <c r="L945" s="43">
        <f>IFERROR(SUMIFS(Tabela10[Exp Gain only 2*+],Tabela10[Drop],DropAnalityka[[#This Row],[Drop]],Tabela10[Grade],DropAnalityka[[#This Row],[Grade]])*DropAnalityka[[#This Row],[Quality/Quantity]],0)</f>
        <v>0</v>
      </c>
    </row>
    <row r="946" spans="1:12">
      <c r="A946" t="s">
        <v>285</v>
      </c>
      <c r="B946" t="s">
        <v>9</v>
      </c>
      <c r="C946">
        <v>9</v>
      </c>
      <c r="D946">
        <v>2720</v>
      </c>
      <c r="E946">
        <v>0</v>
      </c>
      <c r="F946" t="s">
        <v>250</v>
      </c>
      <c r="G946">
        <v>4</v>
      </c>
      <c r="H946" t="s">
        <v>270</v>
      </c>
      <c r="I946">
        <v>0</v>
      </c>
      <c r="J9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6" s="43">
        <f>IFERROR(SUMIFS(Tabela10[Fod Worth],Tabela10[Drop],DropAnalityka[[#This Row],[Drop]],Tabela10[Grade],DropAnalityka[[#This Row],[Grade]])*DropAnalityka[[#This Row],[Quality/Quantity]],0)</f>
        <v>0</v>
      </c>
      <c r="L946" s="43">
        <f>IFERROR(SUMIFS(Tabela10[Exp Gain only 2*+],Tabela10[Drop],DropAnalityka[[#This Row],[Drop]],Tabela10[Grade],DropAnalityka[[#This Row],[Grade]])*DropAnalityka[[#This Row],[Quality/Quantity]],0)</f>
        <v>0</v>
      </c>
    </row>
    <row r="947" spans="1:12">
      <c r="A947" t="s">
        <v>285</v>
      </c>
      <c r="B947" t="s">
        <v>9</v>
      </c>
      <c r="C947">
        <v>9</v>
      </c>
      <c r="D947">
        <v>2990</v>
      </c>
      <c r="E947">
        <v>1</v>
      </c>
      <c r="F947" t="s">
        <v>250</v>
      </c>
      <c r="G947">
        <v>4</v>
      </c>
      <c r="H947" t="s">
        <v>270</v>
      </c>
      <c r="I947">
        <v>0</v>
      </c>
      <c r="J9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7" s="43">
        <f>IFERROR(SUMIFS(Tabela10[Fod Worth],Tabela10[Drop],DropAnalityka[[#This Row],[Drop]],Tabela10[Grade],DropAnalityka[[#This Row],[Grade]])*DropAnalityka[[#This Row],[Quality/Quantity]],0)</f>
        <v>0</v>
      </c>
      <c r="L947" s="43">
        <f>IFERROR(SUMIFS(Tabela10[Exp Gain only 2*+],Tabela10[Drop],DropAnalityka[[#This Row],[Drop]],Tabela10[Grade],DropAnalityka[[#This Row],[Grade]])*DropAnalityka[[#This Row],[Quality/Quantity]],0)</f>
        <v>0</v>
      </c>
    </row>
    <row r="948" spans="1:12">
      <c r="A948" t="s">
        <v>285</v>
      </c>
      <c r="B948" t="s">
        <v>9</v>
      </c>
      <c r="C948">
        <v>9</v>
      </c>
      <c r="D948">
        <v>2846</v>
      </c>
      <c r="E948">
        <v>4</v>
      </c>
      <c r="F948" t="s">
        <v>250</v>
      </c>
      <c r="G948">
        <v>1</v>
      </c>
      <c r="H948" t="s">
        <v>292</v>
      </c>
      <c r="I948">
        <v>0</v>
      </c>
      <c r="J9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8" s="43">
        <f>IFERROR(SUMIFS(Tabela10[Fod Worth],Tabela10[Drop],DropAnalityka[[#This Row],[Drop]],Tabela10[Grade],DropAnalityka[[#This Row],[Grade]])*DropAnalityka[[#This Row],[Quality/Quantity]],0)</f>
        <v>0</v>
      </c>
      <c r="L948" s="43">
        <f>IFERROR(SUMIFS(Tabela10[Exp Gain only 2*+],Tabela10[Drop],DropAnalityka[[#This Row],[Drop]],Tabela10[Grade],DropAnalityka[[#This Row],[Grade]])*DropAnalityka[[#This Row],[Quality/Quantity]],0)</f>
        <v>0</v>
      </c>
    </row>
    <row r="949" spans="1:12">
      <c r="A949" t="s">
        <v>285</v>
      </c>
      <c r="B949" t="s">
        <v>9</v>
      </c>
      <c r="C949">
        <v>9</v>
      </c>
      <c r="D949">
        <v>2740</v>
      </c>
      <c r="E949">
        <v>1</v>
      </c>
      <c r="F949" t="s">
        <v>264</v>
      </c>
      <c r="G949">
        <v>1</v>
      </c>
      <c r="I949">
        <v>0</v>
      </c>
      <c r="J9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49" s="43">
        <f>IFERROR(SUMIFS(Tabela10[Fod Worth],Tabela10[Drop],DropAnalityka[[#This Row],[Drop]],Tabela10[Grade],DropAnalityka[[#This Row],[Grade]])*DropAnalityka[[#This Row],[Quality/Quantity]],0)</f>
        <v>0</v>
      </c>
      <c r="L949" s="43">
        <f>IFERROR(SUMIFS(Tabela10[Exp Gain only 2*+],Tabela10[Drop],DropAnalityka[[#This Row],[Drop]],Tabela10[Grade],DropAnalityka[[#This Row],[Grade]])*DropAnalityka[[#This Row],[Quality/Quantity]],0)</f>
        <v>0</v>
      </c>
    </row>
    <row r="950" spans="1:12">
      <c r="A950" t="s">
        <v>285</v>
      </c>
      <c r="B950" t="s">
        <v>9</v>
      </c>
      <c r="C950">
        <v>9</v>
      </c>
      <c r="D950">
        <v>2619</v>
      </c>
      <c r="E950">
        <v>2</v>
      </c>
      <c r="F950" t="s">
        <v>250</v>
      </c>
      <c r="G950">
        <v>1</v>
      </c>
      <c r="H950" t="s">
        <v>292</v>
      </c>
      <c r="I950">
        <v>0</v>
      </c>
      <c r="J9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0" s="43">
        <f>IFERROR(SUMIFS(Tabela10[Fod Worth],Tabela10[Drop],DropAnalityka[[#This Row],[Drop]],Tabela10[Grade],DropAnalityka[[#This Row],[Grade]])*DropAnalityka[[#This Row],[Quality/Quantity]],0)</f>
        <v>0</v>
      </c>
      <c r="L950" s="43">
        <f>IFERROR(SUMIFS(Tabela10[Exp Gain only 2*+],Tabela10[Drop],DropAnalityka[[#This Row],[Drop]],Tabela10[Grade],DropAnalityka[[#This Row],[Grade]])*DropAnalityka[[#This Row],[Quality/Quantity]],0)</f>
        <v>0</v>
      </c>
    </row>
    <row r="951" spans="1:12">
      <c r="A951" t="s">
        <v>285</v>
      </c>
      <c r="B951" t="s">
        <v>9</v>
      </c>
      <c r="C951">
        <v>9</v>
      </c>
      <c r="D951">
        <v>3000</v>
      </c>
      <c r="E951">
        <v>1</v>
      </c>
      <c r="F951" t="s">
        <v>250</v>
      </c>
      <c r="G951">
        <v>2</v>
      </c>
      <c r="H951" t="s">
        <v>292</v>
      </c>
      <c r="I951">
        <v>0</v>
      </c>
      <c r="J9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1" s="43">
        <f>IFERROR(SUMIFS(Tabela10[Fod Worth],Tabela10[Drop],DropAnalityka[[#This Row],[Drop]],Tabela10[Grade],DropAnalityka[[#This Row],[Grade]])*DropAnalityka[[#This Row],[Quality/Quantity]],0)</f>
        <v>0</v>
      </c>
      <c r="L951" s="43">
        <f>IFERROR(SUMIFS(Tabela10[Exp Gain only 2*+],Tabela10[Drop],DropAnalityka[[#This Row],[Drop]],Tabela10[Grade],DropAnalityka[[#This Row],[Grade]])*DropAnalityka[[#This Row],[Quality/Quantity]],0)</f>
        <v>0</v>
      </c>
    </row>
    <row r="952" spans="1:12">
      <c r="A952" t="s">
        <v>285</v>
      </c>
      <c r="B952" t="s">
        <v>9</v>
      </c>
      <c r="C952">
        <v>9</v>
      </c>
      <c r="D952">
        <v>2846</v>
      </c>
      <c r="E952">
        <v>3</v>
      </c>
      <c r="F952" t="s">
        <v>250</v>
      </c>
      <c r="G952">
        <v>4</v>
      </c>
      <c r="H952" t="s">
        <v>270</v>
      </c>
      <c r="I952">
        <v>0</v>
      </c>
      <c r="J9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2" s="43">
        <f>IFERROR(SUMIFS(Tabela10[Fod Worth],Tabela10[Drop],DropAnalityka[[#This Row],[Drop]],Tabela10[Grade],DropAnalityka[[#This Row],[Grade]])*DropAnalityka[[#This Row],[Quality/Quantity]],0)</f>
        <v>0</v>
      </c>
      <c r="L952" s="43">
        <f>IFERROR(SUMIFS(Tabela10[Exp Gain only 2*+],Tabela10[Drop],DropAnalityka[[#This Row],[Drop]],Tabela10[Grade],DropAnalityka[[#This Row],[Grade]])*DropAnalityka[[#This Row],[Quality/Quantity]],0)</f>
        <v>0</v>
      </c>
    </row>
    <row r="953" spans="1:12">
      <c r="A953" t="s">
        <v>285</v>
      </c>
      <c r="B953" t="s">
        <v>9</v>
      </c>
      <c r="C953">
        <v>9</v>
      </c>
      <c r="D953">
        <v>2824</v>
      </c>
      <c r="E953">
        <v>2</v>
      </c>
      <c r="F953" t="s">
        <v>264</v>
      </c>
      <c r="G953">
        <v>3</v>
      </c>
      <c r="I953">
        <v>0</v>
      </c>
      <c r="J9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3" s="43">
        <f>IFERROR(SUMIFS(Tabela10[Fod Worth],Tabela10[Drop],DropAnalityka[[#This Row],[Drop]],Tabela10[Grade],DropAnalityka[[#This Row],[Grade]])*DropAnalityka[[#This Row],[Quality/Quantity]],0)</f>
        <v>0</v>
      </c>
      <c r="L953" s="43">
        <f>IFERROR(SUMIFS(Tabela10[Exp Gain only 2*+],Tabela10[Drop],DropAnalityka[[#This Row],[Drop]],Tabela10[Grade],DropAnalityka[[#This Row],[Grade]])*DropAnalityka[[#This Row],[Quality/Quantity]],0)</f>
        <v>0</v>
      </c>
    </row>
    <row r="954" spans="1:12">
      <c r="A954" t="s">
        <v>285</v>
      </c>
      <c r="B954" t="s">
        <v>9</v>
      </c>
      <c r="C954">
        <v>9</v>
      </c>
      <c r="D954">
        <v>3201</v>
      </c>
      <c r="E954">
        <v>0</v>
      </c>
      <c r="F954" t="s">
        <v>250</v>
      </c>
      <c r="G954">
        <v>5</v>
      </c>
      <c r="H954" t="s">
        <v>270</v>
      </c>
      <c r="I954">
        <v>0</v>
      </c>
      <c r="J9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4" s="43">
        <f>IFERROR(SUMIFS(Tabela10[Fod Worth],Tabela10[Drop],DropAnalityka[[#This Row],[Drop]],Tabela10[Grade],DropAnalityka[[#This Row],[Grade]])*DropAnalityka[[#This Row],[Quality/Quantity]],0)</f>
        <v>0</v>
      </c>
      <c r="L954" s="43">
        <f>IFERROR(SUMIFS(Tabela10[Exp Gain only 2*+],Tabela10[Drop],DropAnalityka[[#This Row],[Drop]],Tabela10[Grade],DropAnalityka[[#This Row],[Grade]])*DropAnalityka[[#This Row],[Quality/Quantity]],0)</f>
        <v>0</v>
      </c>
    </row>
    <row r="955" spans="1:12">
      <c r="A955" t="s">
        <v>285</v>
      </c>
      <c r="B955" t="s">
        <v>9</v>
      </c>
      <c r="C955">
        <v>9</v>
      </c>
      <c r="D955">
        <v>2638</v>
      </c>
      <c r="E955">
        <v>0</v>
      </c>
      <c r="F955" t="s">
        <v>250</v>
      </c>
      <c r="G955">
        <v>3</v>
      </c>
      <c r="H955" t="s">
        <v>270</v>
      </c>
      <c r="I955">
        <v>0</v>
      </c>
      <c r="J9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5" s="43">
        <f>IFERROR(SUMIFS(Tabela10[Fod Worth],Tabela10[Drop],DropAnalityka[[#This Row],[Drop]],Tabela10[Grade],DropAnalityka[[#This Row],[Grade]])*DropAnalityka[[#This Row],[Quality/Quantity]],0)</f>
        <v>0</v>
      </c>
      <c r="L955" s="43">
        <f>IFERROR(SUMIFS(Tabela10[Exp Gain only 2*+],Tabela10[Drop],DropAnalityka[[#This Row],[Drop]],Tabela10[Grade],DropAnalityka[[#This Row],[Grade]])*DropAnalityka[[#This Row],[Quality/Quantity]],0)</f>
        <v>0</v>
      </c>
    </row>
    <row r="956" spans="1:12">
      <c r="A956" t="s">
        <v>285</v>
      </c>
      <c r="B956" t="s">
        <v>9</v>
      </c>
      <c r="C956">
        <v>9</v>
      </c>
      <c r="D956">
        <v>2887</v>
      </c>
      <c r="E956">
        <v>1</v>
      </c>
      <c r="F956" t="s">
        <v>34</v>
      </c>
      <c r="G956">
        <v>4</v>
      </c>
      <c r="H956" t="s">
        <v>17</v>
      </c>
      <c r="I956">
        <v>0</v>
      </c>
      <c r="J956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956" s="43">
        <f>IFERROR(SUMIFS(Tabela10[Fod Worth],Tabela10[Drop],DropAnalityka[[#This Row],[Drop]],Tabela10[Grade],DropAnalityka[[#This Row],[Grade]])*DropAnalityka[[#This Row],[Quality/Quantity]],0)</f>
        <v>0</v>
      </c>
      <c r="L956" s="43">
        <f>IFERROR(SUMIFS(Tabela10[Exp Gain only 2*+],Tabela10[Drop],DropAnalityka[[#This Row],[Drop]],Tabela10[Grade],DropAnalityka[[#This Row],[Grade]])*DropAnalityka[[#This Row],[Quality/Quantity]],0)</f>
        <v>3200</v>
      </c>
    </row>
    <row r="957" spans="1:12">
      <c r="A957" t="s">
        <v>285</v>
      </c>
      <c r="B957" t="s">
        <v>9</v>
      </c>
      <c r="C957">
        <v>9</v>
      </c>
      <c r="D957">
        <v>2399</v>
      </c>
      <c r="E957">
        <v>0</v>
      </c>
      <c r="F957" t="s">
        <v>250</v>
      </c>
      <c r="G957">
        <v>3</v>
      </c>
      <c r="H957" t="s">
        <v>271</v>
      </c>
      <c r="I957">
        <v>0</v>
      </c>
      <c r="J9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7" s="43">
        <f>IFERROR(SUMIFS(Tabela10[Fod Worth],Tabela10[Drop],DropAnalityka[[#This Row],[Drop]],Tabela10[Grade],DropAnalityka[[#This Row],[Grade]])*DropAnalityka[[#This Row],[Quality/Quantity]],0)</f>
        <v>0</v>
      </c>
      <c r="L957" s="43">
        <f>IFERROR(SUMIFS(Tabela10[Exp Gain only 2*+],Tabela10[Drop],DropAnalityka[[#This Row],[Drop]],Tabela10[Grade],DropAnalityka[[#This Row],[Grade]])*DropAnalityka[[#This Row],[Quality/Quantity]],0)</f>
        <v>0</v>
      </c>
    </row>
    <row r="958" spans="1:12">
      <c r="A958" t="s">
        <v>285</v>
      </c>
      <c r="B958" t="s">
        <v>9</v>
      </c>
      <c r="C958">
        <v>9</v>
      </c>
      <c r="D958">
        <v>3055</v>
      </c>
      <c r="E958">
        <v>1</v>
      </c>
      <c r="F958" t="s">
        <v>250</v>
      </c>
      <c r="G958">
        <v>1</v>
      </c>
      <c r="H958" t="s">
        <v>292</v>
      </c>
      <c r="I958">
        <v>0</v>
      </c>
      <c r="J9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8" s="43">
        <f>IFERROR(SUMIFS(Tabela10[Fod Worth],Tabela10[Drop],DropAnalityka[[#This Row],[Drop]],Tabela10[Grade],DropAnalityka[[#This Row],[Grade]])*DropAnalityka[[#This Row],[Quality/Quantity]],0)</f>
        <v>0</v>
      </c>
      <c r="L958" s="43">
        <f>IFERROR(SUMIFS(Tabela10[Exp Gain only 2*+],Tabela10[Drop],DropAnalityka[[#This Row],[Drop]],Tabela10[Grade],DropAnalityka[[#This Row],[Grade]])*DropAnalityka[[#This Row],[Quality/Quantity]],0)</f>
        <v>0</v>
      </c>
    </row>
    <row r="959" spans="1:12">
      <c r="A959" t="s">
        <v>285</v>
      </c>
      <c r="B959" t="s">
        <v>9</v>
      </c>
      <c r="C959">
        <v>9</v>
      </c>
      <c r="D959">
        <v>2841</v>
      </c>
      <c r="E959">
        <v>0</v>
      </c>
      <c r="F959" t="s">
        <v>250</v>
      </c>
      <c r="G959">
        <v>5</v>
      </c>
      <c r="H959" t="s">
        <v>270</v>
      </c>
      <c r="I959">
        <v>0</v>
      </c>
      <c r="J9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59" s="43">
        <f>IFERROR(SUMIFS(Tabela10[Fod Worth],Tabela10[Drop],DropAnalityka[[#This Row],[Drop]],Tabela10[Grade],DropAnalityka[[#This Row],[Grade]])*DropAnalityka[[#This Row],[Quality/Quantity]],0)</f>
        <v>0</v>
      </c>
      <c r="L959" s="43">
        <f>IFERROR(SUMIFS(Tabela10[Exp Gain only 2*+],Tabela10[Drop],DropAnalityka[[#This Row],[Drop]],Tabela10[Grade],DropAnalityka[[#This Row],[Grade]])*DropAnalityka[[#This Row],[Quality/Quantity]],0)</f>
        <v>0</v>
      </c>
    </row>
    <row r="960" spans="1:12">
      <c r="A960" t="s">
        <v>285</v>
      </c>
      <c r="B960" t="s">
        <v>9</v>
      </c>
      <c r="C960">
        <v>9</v>
      </c>
      <c r="D960">
        <v>2937</v>
      </c>
      <c r="E960">
        <v>0</v>
      </c>
      <c r="F960" t="s">
        <v>223</v>
      </c>
      <c r="G960" t="s">
        <v>12</v>
      </c>
      <c r="I960">
        <v>0</v>
      </c>
      <c r="J9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0" s="43">
        <f>IFERROR(SUMIFS(Tabela10[Fod Worth],Tabela10[Drop],DropAnalityka[[#This Row],[Drop]],Tabela10[Grade],DropAnalityka[[#This Row],[Grade]])*DropAnalityka[[#This Row],[Quality/Quantity]],0)</f>
        <v>0</v>
      </c>
      <c r="L960" s="43">
        <f>IFERROR(SUMIFS(Tabela10[Exp Gain only 2*+],Tabela10[Drop],DropAnalityka[[#This Row],[Drop]],Tabela10[Grade],DropAnalityka[[#This Row],[Grade]])*DropAnalityka[[#This Row],[Quality/Quantity]],0)</f>
        <v>0</v>
      </c>
    </row>
    <row r="961" spans="1:12">
      <c r="A961" t="s">
        <v>285</v>
      </c>
      <c r="B961" t="s">
        <v>9</v>
      </c>
      <c r="C961">
        <v>9</v>
      </c>
      <c r="D961">
        <v>2426</v>
      </c>
      <c r="E961">
        <v>0</v>
      </c>
      <c r="F961" t="s">
        <v>250</v>
      </c>
      <c r="G961">
        <v>1</v>
      </c>
      <c r="H961" t="s">
        <v>271</v>
      </c>
      <c r="I961">
        <v>0</v>
      </c>
      <c r="J9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1" s="43">
        <f>IFERROR(SUMIFS(Tabela10[Fod Worth],Tabela10[Drop],DropAnalityka[[#This Row],[Drop]],Tabela10[Grade],DropAnalityka[[#This Row],[Grade]])*DropAnalityka[[#This Row],[Quality/Quantity]],0)</f>
        <v>0</v>
      </c>
      <c r="L961" s="43">
        <f>IFERROR(SUMIFS(Tabela10[Exp Gain only 2*+],Tabela10[Drop],DropAnalityka[[#This Row],[Drop]],Tabela10[Grade],DropAnalityka[[#This Row],[Grade]])*DropAnalityka[[#This Row],[Quality/Quantity]],0)</f>
        <v>0</v>
      </c>
    </row>
    <row r="962" spans="1:12">
      <c r="A962" t="s">
        <v>285</v>
      </c>
      <c r="B962" t="s">
        <v>9</v>
      </c>
      <c r="C962">
        <v>9</v>
      </c>
      <c r="D962">
        <v>2552</v>
      </c>
      <c r="E962">
        <v>1</v>
      </c>
      <c r="F962" t="s">
        <v>250</v>
      </c>
      <c r="G962">
        <v>3</v>
      </c>
      <c r="H962" t="s">
        <v>292</v>
      </c>
      <c r="I962">
        <v>0</v>
      </c>
      <c r="J9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2" s="43">
        <f>IFERROR(SUMIFS(Tabela10[Fod Worth],Tabela10[Drop],DropAnalityka[[#This Row],[Drop]],Tabela10[Grade],DropAnalityka[[#This Row],[Grade]])*DropAnalityka[[#This Row],[Quality/Quantity]],0)</f>
        <v>0</v>
      </c>
      <c r="L962" s="43">
        <f>IFERROR(SUMIFS(Tabela10[Exp Gain only 2*+],Tabela10[Drop],DropAnalityka[[#This Row],[Drop]],Tabela10[Grade],DropAnalityka[[#This Row],[Grade]])*DropAnalityka[[#This Row],[Quality/Quantity]],0)</f>
        <v>0</v>
      </c>
    </row>
    <row r="963" spans="1:12">
      <c r="A963" t="s">
        <v>285</v>
      </c>
      <c r="B963" t="s">
        <v>9</v>
      </c>
      <c r="C963">
        <v>9</v>
      </c>
      <c r="D963">
        <v>2771</v>
      </c>
      <c r="E963">
        <v>2</v>
      </c>
      <c r="F963" t="s">
        <v>250</v>
      </c>
      <c r="G963">
        <v>1</v>
      </c>
      <c r="H963" t="s">
        <v>292</v>
      </c>
      <c r="I963">
        <v>0</v>
      </c>
      <c r="J9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3" s="43">
        <f>IFERROR(SUMIFS(Tabela10[Fod Worth],Tabela10[Drop],DropAnalityka[[#This Row],[Drop]],Tabela10[Grade],DropAnalityka[[#This Row],[Grade]])*DropAnalityka[[#This Row],[Quality/Quantity]],0)</f>
        <v>0</v>
      </c>
      <c r="L963" s="43">
        <f>IFERROR(SUMIFS(Tabela10[Exp Gain only 2*+],Tabela10[Drop],DropAnalityka[[#This Row],[Drop]],Tabela10[Grade],DropAnalityka[[#This Row],[Grade]])*DropAnalityka[[#This Row],[Quality/Quantity]],0)</f>
        <v>0</v>
      </c>
    </row>
    <row r="964" spans="1:12">
      <c r="A964" t="s">
        <v>285</v>
      </c>
      <c r="B964" t="s">
        <v>9</v>
      </c>
      <c r="C964">
        <v>9</v>
      </c>
      <c r="D964">
        <v>2652</v>
      </c>
      <c r="E964">
        <v>2</v>
      </c>
      <c r="F964" t="s">
        <v>250</v>
      </c>
      <c r="G964">
        <v>4</v>
      </c>
      <c r="H964" t="s">
        <v>270</v>
      </c>
      <c r="I964">
        <v>0</v>
      </c>
      <c r="J9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4" s="43">
        <f>IFERROR(SUMIFS(Tabela10[Fod Worth],Tabela10[Drop],DropAnalityka[[#This Row],[Drop]],Tabela10[Grade],DropAnalityka[[#This Row],[Grade]])*DropAnalityka[[#This Row],[Quality/Quantity]],0)</f>
        <v>0</v>
      </c>
      <c r="L964" s="43">
        <f>IFERROR(SUMIFS(Tabela10[Exp Gain only 2*+],Tabela10[Drop],DropAnalityka[[#This Row],[Drop]],Tabela10[Grade],DropAnalityka[[#This Row],[Grade]])*DropAnalityka[[#This Row],[Quality/Quantity]],0)</f>
        <v>0</v>
      </c>
    </row>
    <row r="965" spans="1:12">
      <c r="A965" t="s">
        <v>285</v>
      </c>
      <c r="B965" t="s">
        <v>9</v>
      </c>
      <c r="C965">
        <v>9</v>
      </c>
      <c r="D965">
        <v>2708</v>
      </c>
      <c r="E965">
        <v>0</v>
      </c>
      <c r="F965" t="s">
        <v>250</v>
      </c>
      <c r="G965">
        <v>1</v>
      </c>
      <c r="H965" t="s">
        <v>271</v>
      </c>
      <c r="I965">
        <v>0</v>
      </c>
      <c r="J9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5" s="43">
        <f>IFERROR(SUMIFS(Tabela10[Fod Worth],Tabela10[Drop],DropAnalityka[[#This Row],[Drop]],Tabela10[Grade],DropAnalityka[[#This Row],[Grade]])*DropAnalityka[[#This Row],[Quality/Quantity]],0)</f>
        <v>0</v>
      </c>
      <c r="L965" s="43">
        <f>IFERROR(SUMIFS(Tabela10[Exp Gain only 2*+],Tabela10[Drop],DropAnalityka[[#This Row],[Drop]],Tabela10[Grade],DropAnalityka[[#This Row],[Grade]])*DropAnalityka[[#This Row],[Quality/Quantity]],0)</f>
        <v>0</v>
      </c>
    </row>
    <row r="966" spans="1:12">
      <c r="A966" t="s">
        <v>285</v>
      </c>
      <c r="B966" t="s">
        <v>9</v>
      </c>
      <c r="C966">
        <v>9</v>
      </c>
      <c r="D966">
        <v>2684</v>
      </c>
      <c r="E966">
        <v>1</v>
      </c>
      <c r="F966" t="s">
        <v>250</v>
      </c>
      <c r="G966">
        <v>1</v>
      </c>
      <c r="H966" t="s">
        <v>271</v>
      </c>
      <c r="I966">
        <v>0</v>
      </c>
      <c r="J9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6" s="43">
        <f>IFERROR(SUMIFS(Tabela10[Fod Worth],Tabela10[Drop],DropAnalityka[[#This Row],[Drop]],Tabela10[Grade],DropAnalityka[[#This Row],[Grade]])*DropAnalityka[[#This Row],[Quality/Quantity]],0)</f>
        <v>0</v>
      </c>
      <c r="L966" s="43">
        <f>IFERROR(SUMIFS(Tabela10[Exp Gain only 2*+],Tabela10[Drop],DropAnalityka[[#This Row],[Drop]],Tabela10[Grade],DropAnalityka[[#This Row],[Grade]])*DropAnalityka[[#This Row],[Quality/Quantity]],0)</f>
        <v>0</v>
      </c>
    </row>
    <row r="967" spans="1:12">
      <c r="A967" t="s">
        <v>285</v>
      </c>
      <c r="B967" t="s">
        <v>9</v>
      </c>
      <c r="C967">
        <v>9</v>
      </c>
      <c r="D967">
        <v>3108</v>
      </c>
      <c r="E967">
        <v>3</v>
      </c>
      <c r="F967" t="s">
        <v>250</v>
      </c>
      <c r="G967">
        <v>4</v>
      </c>
      <c r="H967" t="s">
        <v>270</v>
      </c>
      <c r="I967">
        <v>0</v>
      </c>
      <c r="J9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7" s="43">
        <f>IFERROR(SUMIFS(Tabela10[Fod Worth],Tabela10[Drop],DropAnalityka[[#This Row],[Drop]],Tabela10[Grade],DropAnalityka[[#This Row],[Grade]])*DropAnalityka[[#This Row],[Quality/Quantity]],0)</f>
        <v>0</v>
      </c>
      <c r="L967" s="43">
        <f>IFERROR(SUMIFS(Tabela10[Exp Gain only 2*+],Tabela10[Drop],DropAnalityka[[#This Row],[Drop]],Tabela10[Grade],DropAnalityka[[#This Row],[Grade]])*DropAnalityka[[#This Row],[Quality/Quantity]],0)</f>
        <v>0</v>
      </c>
    </row>
    <row r="968" spans="1:12">
      <c r="A968" t="s">
        <v>285</v>
      </c>
      <c r="B968" t="s">
        <v>9</v>
      </c>
      <c r="C968">
        <v>9</v>
      </c>
      <c r="D968">
        <v>2839</v>
      </c>
      <c r="E968">
        <v>1</v>
      </c>
      <c r="F968" t="s">
        <v>250</v>
      </c>
      <c r="G968">
        <v>1</v>
      </c>
      <c r="H968" t="s">
        <v>271</v>
      </c>
      <c r="I968">
        <v>0</v>
      </c>
      <c r="J9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68" s="43">
        <f>IFERROR(SUMIFS(Tabela10[Fod Worth],Tabela10[Drop],DropAnalityka[[#This Row],[Drop]],Tabela10[Grade],DropAnalityka[[#This Row],[Grade]])*DropAnalityka[[#This Row],[Quality/Quantity]],0)</f>
        <v>0</v>
      </c>
      <c r="L968" s="43">
        <f>IFERROR(SUMIFS(Tabela10[Exp Gain only 2*+],Tabela10[Drop],DropAnalityka[[#This Row],[Drop]],Tabela10[Grade],DropAnalityka[[#This Row],[Grade]])*DropAnalityka[[#This Row],[Quality/Quantity]],0)</f>
        <v>0</v>
      </c>
    </row>
    <row r="969" spans="1:12">
      <c r="A969" t="s">
        <v>60</v>
      </c>
      <c r="B969" t="s">
        <v>30</v>
      </c>
      <c r="C969">
        <v>11</v>
      </c>
      <c r="D969">
        <v>1670</v>
      </c>
      <c r="E969">
        <v>1</v>
      </c>
      <c r="I969">
        <v>1976</v>
      </c>
      <c r="J969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969" s="43">
        <f>IFERROR(SUMIFS(Tabela10[Fod Worth],Tabela10[Drop],DropAnalityka[[#This Row],[Drop]],Tabela10[Grade],DropAnalityka[[#This Row],[Grade]])*DropAnalityka[[#This Row],[Quality/Quantity]],0)</f>
        <v>0</v>
      </c>
      <c r="L969" s="43">
        <f>IFERROR(SUMIFS(Tabela10[Exp Gain only 2*+],Tabela10[Drop],DropAnalityka[[#This Row],[Drop]],Tabela10[Grade],DropAnalityka[[#This Row],[Grade]])*DropAnalityka[[#This Row],[Quality/Quantity]],0)</f>
        <v>0</v>
      </c>
    </row>
    <row r="970" spans="1:12">
      <c r="A970" t="s">
        <v>60</v>
      </c>
      <c r="B970" t="s">
        <v>30</v>
      </c>
      <c r="C970">
        <v>11</v>
      </c>
      <c r="D970">
        <v>2097</v>
      </c>
      <c r="E970">
        <v>1</v>
      </c>
      <c r="I970">
        <v>1824</v>
      </c>
      <c r="J97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970" s="43">
        <f>IFERROR(SUMIFS(Tabela10[Fod Worth],Tabela10[Drop],DropAnalityka[[#This Row],[Drop]],Tabela10[Grade],DropAnalityka[[#This Row],[Grade]])*DropAnalityka[[#This Row],[Quality/Quantity]],0)</f>
        <v>0</v>
      </c>
      <c r="L970" s="43">
        <f>IFERROR(SUMIFS(Tabela10[Exp Gain only 2*+],Tabela10[Drop],DropAnalityka[[#This Row],[Drop]],Tabela10[Grade],DropAnalityka[[#This Row],[Grade]])*DropAnalityka[[#This Row],[Quality/Quantity]],0)</f>
        <v>0</v>
      </c>
    </row>
    <row r="971" spans="1:12">
      <c r="A971" t="s">
        <v>60</v>
      </c>
      <c r="B971" t="s">
        <v>30</v>
      </c>
      <c r="C971">
        <v>11</v>
      </c>
      <c r="D971">
        <v>2652</v>
      </c>
      <c r="E971">
        <v>0</v>
      </c>
      <c r="I971">
        <v>1976</v>
      </c>
      <c r="J971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971" s="43">
        <f>IFERROR(SUMIFS(Tabela10[Fod Worth],Tabela10[Drop],DropAnalityka[[#This Row],[Drop]],Tabela10[Grade],DropAnalityka[[#This Row],[Grade]])*DropAnalityka[[#This Row],[Quality/Quantity]],0)</f>
        <v>0</v>
      </c>
      <c r="L971" s="43">
        <f>IFERROR(SUMIFS(Tabela10[Exp Gain only 2*+],Tabela10[Drop],DropAnalityka[[#This Row],[Drop]],Tabela10[Grade],DropAnalityka[[#This Row],[Grade]])*DropAnalityka[[#This Row],[Quality/Quantity]],0)</f>
        <v>0</v>
      </c>
    </row>
    <row r="972" spans="1:12">
      <c r="A972" t="s">
        <v>60</v>
      </c>
      <c r="B972" t="s">
        <v>30</v>
      </c>
      <c r="C972">
        <v>11</v>
      </c>
      <c r="D972">
        <v>1719</v>
      </c>
      <c r="E972">
        <v>2</v>
      </c>
      <c r="I972">
        <v>1824</v>
      </c>
      <c r="J97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972" s="43">
        <f>IFERROR(SUMIFS(Tabela10[Fod Worth],Tabela10[Drop],DropAnalityka[[#This Row],[Drop]],Tabela10[Grade],DropAnalityka[[#This Row],[Grade]])*DropAnalityka[[#This Row],[Quality/Quantity]],0)</f>
        <v>0</v>
      </c>
      <c r="L972" s="43">
        <f>IFERROR(SUMIFS(Tabela10[Exp Gain only 2*+],Tabela10[Drop],DropAnalityka[[#This Row],[Drop]],Tabela10[Grade],DropAnalityka[[#This Row],[Grade]])*DropAnalityka[[#This Row],[Quality/Quantity]],0)</f>
        <v>0</v>
      </c>
    </row>
    <row r="973" spans="1:12">
      <c r="A973" t="s">
        <v>60</v>
      </c>
      <c r="B973" t="s">
        <v>30</v>
      </c>
      <c r="C973">
        <v>11</v>
      </c>
      <c r="D973">
        <v>1304</v>
      </c>
      <c r="E973">
        <v>1</v>
      </c>
      <c r="F973" t="s">
        <v>34</v>
      </c>
      <c r="G973">
        <v>2</v>
      </c>
      <c r="H973" t="s">
        <v>17</v>
      </c>
      <c r="I973">
        <v>0</v>
      </c>
      <c r="J973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73" s="43">
        <f>IFERROR(SUMIFS(Tabela10[Fod Worth],Tabela10[Drop],DropAnalityka[[#This Row],[Drop]],Tabela10[Grade],DropAnalityka[[#This Row],[Grade]])*DropAnalityka[[#This Row],[Quality/Quantity]],0)</f>
        <v>0</v>
      </c>
      <c r="L973" s="43">
        <f>IFERROR(SUMIFS(Tabela10[Exp Gain only 2*+],Tabela10[Drop],DropAnalityka[[#This Row],[Drop]],Tabela10[Grade],DropAnalityka[[#This Row],[Grade]])*DropAnalityka[[#This Row],[Quality/Quantity]],0)</f>
        <v>1600</v>
      </c>
    </row>
    <row r="974" spans="1:12">
      <c r="A974" t="s">
        <v>60</v>
      </c>
      <c r="B974" t="s">
        <v>30</v>
      </c>
      <c r="C974">
        <v>11</v>
      </c>
      <c r="D974">
        <v>1662</v>
      </c>
      <c r="E974">
        <v>2</v>
      </c>
      <c r="I974">
        <v>1976</v>
      </c>
      <c r="J974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974" s="43">
        <f>IFERROR(SUMIFS(Tabela10[Fod Worth],Tabela10[Drop],DropAnalityka[[#This Row],[Drop]],Tabela10[Grade],DropAnalityka[[#This Row],[Grade]])*DropAnalityka[[#This Row],[Quality/Quantity]],0)</f>
        <v>0</v>
      </c>
      <c r="L974" s="43">
        <f>IFERROR(SUMIFS(Tabela10[Exp Gain only 2*+],Tabela10[Drop],DropAnalityka[[#This Row],[Drop]],Tabela10[Grade],DropAnalityka[[#This Row],[Grade]])*DropAnalityka[[#This Row],[Quality/Quantity]],0)</f>
        <v>0</v>
      </c>
    </row>
    <row r="975" spans="1:12">
      <c r="A975" t="s">
        <v>60</v>
      </c>
      <c r="B975" t="s">
        <v>30</v>
      </c>
      <c r="C975">
        <v>11</v>
      </c>
      <c r="D975">
        <v>1385</v>
      </c>
      <c r="E975">
        <v>0</v>
      </c>
      <c r="I975">
        <v>2937</v>
      </c>
      <c r="J975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975" s="43">
        <f>IFERROR(SUMIFS(Tabela10[Fod Worth],Tabela10[Drop],DropAnalityka[[#This Row],[Drop]],Tabela10[Grade],DropAnalityka[[#This Row],[Grade]])*DropAnalityka[[#This Row],[Quality/Quantity]],0)</f>
        <v>0</v>
      </c>
      <c r="L975" s="43">
        <f>IFERROR(SUMIFS(Tabela10[Exp Gain only 2*+],Tabela10[Drop],DropAnalityka[[#This Row],[Drop]],Tabela10[Grade],DropAnalityka[[#This Row],[Grade]])*DropAnalityka[[#This Row],[Quality/Quantity]],0)</f>
        <v>0</v>
      </c>
    </row>
    <row r="976" spans="1:12">
      <c r="A976" t="s">
        <v>60</v>
      </c>
      <c r="B976" t="s">
        <v>30</v>
      </c>
      <c r="C976">
        <v>11</v>
      </c>
      <c r="D976">
        <v>1707</v>
      </c>
      <c r="E976">
        <v>1</v>
      </c>
      <c r="I976">
        <v>1824</v>
      </c>
      <c r="J97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976" s="43">
        <f>IFERROR(SUMIFS(Tabela10[Fod Worth],Tabela10[Drop],DropAnalityka[[#This Row],[Drop]],Tabela10[Grade],DropAnalityka[[#This Row],[Grade]])*DropAnalityka[[#This Row],[Quality/Quantity]],0)</f>
        <v>0</v>
      </c>
      <c r="L976" s="43">
        <f>IFERROR(SUMIFS(Tabela10[Exp Gain only 2*+],Tabela10[Drop],DropAnalityka[[#This Row],[Drop]],Tabela10[Grade],DropAnalityka[[#This Row],[Grade]])*DropAnalityka[[#This Row],[Quality/Quantity]],0)</f>
        <v>0</v>
      </c>
    </row>
    <row r="977" spans="1:12">
      <c r="A977" t="s">
        <v>60</v>
      </c>
      <c r="B977" t="s">
        <v>30</v>
      </c>
      <c r="C977">
        <v>11</v>
      </c>
      <c r="D977">
        <v>1589</v>
      </c>
      <c r="E977">
        <v>1</v>
      </c>
      <c r="F977" t="s">
        <v>34</v>
      </c>
      <c r="G977">
        <v>2</v>
      </c>
      <c r="H977" t="s">
        <v>17</v>
      </c>
      <c r="I977">
        <v>0</v>
      </c>
      <c r="J97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77" s="43">
        <f>IFERROR(SUMIFS(Tabela10[Fod Worth],Tabela10[Drop],DropAnalityka[[#This Row],[Drop]],Tabela10[Grade],DropAnalityka[[#This Row],[Grade]])*DropAnalityka[[#This Row],[Quality/Quantity]],0)</f>
        <v>0</v>
      </c>
      <c r="L977" s="43">
        <f>IFERROR(SUMIFS(Tabela10[Exp Gain only 2*+],Tabela10[Drop],DropAnalityka[[#This Row],[Drop]],Tabela10[Grade],DropAnalityka[[#This Row],[Grade]])*DropAnalityka[[#This Row],[Quality/Quantity]],0)</f>
        <v>1600</v>
      </c>
    </row>
    <row r="978" spans="1:12">
      <c r="A978" t="s">
        <v>60</v>
      </c>
      <c r="B978" t="s">
        <v>30</v>
      </c>
      <c r="C978">
        <v>11</v>
      </c>
      <c r="D978">
        <v>1796</v>
      </c>
      <c r="E978">
        <v>2</v>
      </c>
      <c r="F978" t="s">
        <v>34</v>
      </c>
      <c r="G978">
        <v>2</v>
      </c>
      <c r="H978" t="s">
        <v>17</v>
      </c>
      <c r="I978">
        <v>0</v>
      </c>
      <c r="J978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78" s="43">
        <f>IFERROR(SUMIFS(Tabela10[Fod Worth],Tabela10[Drop],DropAnalityka[[#This Row],[Drop]],Tabela10[Grade],DropAnalityka[[#This Row],[Grade]])*DropAnalityka[[#This Row],[Quality/Quantity]],0)</f>
        <v>0</v>
      </c>
      <c r="L978" s="43">
        <f>IFERROR(SUMIFS(Tabela10[Exp Gain only 2*+],Tabela10[Drop],DropAnalityka[[#This Row],[Drop]],Tabela10[Grade],DropAnalityka[[#This Row],[Grade]])*DropAnalityka[[#This Row],[Quality/Quantity]],0)</f>
        <v>1600</v>
      </c>
    </row>
    <row r="979" spans="1:12">
      <c r="A979" t="s">
        <v>31</v>
      </c>
      <c r="B979" t="s">
        <v>30</v>
      </c>
      <c r="C979">
        <v>11</v>
      </c>
      <c r="D979">
        <v>2028</v>
      </c>
      <c r="E979">
        <v>0</v>
      </c>
      <c r="F979" t="s">
        <v>34</v>
      </c>
      <c r="G979">
        <v>2</v>
      </c>
      <c r="H979" t="s">
        <v>17</v>
      </c>
      <c r="I979">
        <v>0</v>
      </c>
      <c r="J979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79" s="43">
        <f>IFERROR(SUMIFS(Tabela10[Fod Worth],Tabela10[Drop],DropAnalityka[[#This Row],[Drop]],Tabela10[Grade],DropAnalityka[[#This Row],[Grade]])*DropAnalityka[[#This Row],[Quality/Quantity]],0)</f>
        <v>0</v>
      </c>
      <c r="L979" s="43">
        <f>IFERROR(SUMIFS(Tabela10[Exp Gain only 2*+],Tabela10[Drop],DropAnalityka[[#This Row],[Drop]],Tabela10[Grade],DropAnalityka[[#This Row],[Grade]])*DropAnalityka[[#This Row],[Quality/Quantity]],0)</f>
        <v>1600</v>
      </c>
    </row>
    <row r="980" spans="1:12">
      <c r="A980" t="s">
        <v>31</v>
      </c>
      <c r="B980" t="s">
        <v>30</v>
      </c>
      <c r="C980">
        <v>11</v>
      </c>
      <c r="D980">
        <v>1671</v>
      </c>
      <c r="E980">
        <v>0</v>
      </c>
      <c r="I980">
        <v>1824</v>
      </c>
      <c r="J980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980" s="43">
        <f>IFERROR(SUMIFS(Tabela10[Fod Worth],Tabela10[Drop],DropAnalityka[[#This Row],[Drop]],Tabela10[Grade],DropAnalityka[[#This Row],[Grade]])*DropAnalityka[[#This Row],[Quality/Quantity]],0)</f>
        <v>0</v>
      </c>
      <c r="L980" s="43">
        <f>IFERROR(SUMIFS(Tabela10[Exp Gain only 2*+],Tabela10[Drop],DropAnalityka[[#This Row],[Drop]],Tabela10[Grade],DropAnalityka[[#This Row],[Grade]])*DropAnalityka[[#This Row],[Quality/Quantity]],0)</f>
        <v>0</v>
      </c>
    </row>
    <row r="981" spans="1:12">
      <c r="A981" t="s">
        <v>31</v>
      </c>
      <c r="B981" t="s">
        <v>30</v>
      </c>
      <c r="C981">
        <v>11</v>
      </c>
      <c r="D981">
        <v>777</v>
      </c>
      <c r="E981">
        <v>3</v>
      </c>
      <c r="I981">
        <v>2128</v>
      </c>
      <c r="J981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981" s="43">
        <f>IFERROR(SUMIFS(Tabela10[Fod Worth],Tabela10[Drop],DropAnalityka[[#This Row],[Drop]],Tabela10[Grade],DropAnalityka[[#This Row],[Grade]])*DropAnalityka[[#This Row],[Quality/Quantity]],0)</f>
        <v>0</v>
      </c>
      <c r="L981" s="43">
        <f>IFERROR(SUMIFS(Tabela10[Exp Gain only 2*+],Tabela10[Drop],DropAnalityka[[#This Row],[Drop]],Tabela10[Grade],DropAnalityka[[#This Row],[Grade]])*DropAnalityka[[#This Row],[Quality/Quantity]],0)</f>
        <v>0</v>
      </c>
    </row>
    <row r="982" spans="1:12">
      <c r="A982" t="s">
        <v>31</v>
      </c>
      <c r="B982" t="s">
        <v>30</v>
      </c>
      <c r="C982">
        <v>11</v>
      </c>
      <c r="D982">
        <v>2328</v>
      </c>
      <c r="E982">
        <v>1</v>
      </c>
      <c r="F982" t="s">
        <v>34</v>
      </c>
      <c r="G982">
        <v>2</v>
      </c>
      <c r="H982" t="s">
        <v>17</v>
      </c>
      <c r="I982">
        <v>0</v>
      </c>
      <c r="J982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82" s="43">
        <f>IFERROR(SUMIFS(Tabela10[Fod Worth],Tabela10[Drop],DropAnalityka[[#This Row],[Drop]],Tabela10[Grade],DropAnalityka[[#This Row],[Grade]])*DropAnalityka[[#This Row],[Quality/Quantity]],0)</f>
        <v>0</v>
      </c>
      <c r="L982" s="43">
        <f>IFERROR(SUMIFS(Tabela10[Exp Gain only 2*+],Tabela10[Drop],DropAnalityka[[#This Row],[Drop]],Tabela10[Grade],DropAnalityka[[#This Row],[Grade]])*DropAnalityka[[#This Row],[Quality/Quantity]],0)</f>
        <v>1600</v>
      </c>
    </row>
    <row r="983" spans="1:12">
      <c r="A983" t="s">
        <v>31</v>
      </c>
      <c r="B983" t="s">
        <v>30</v>
      </c>
      <c r="C983">
        <v>11</v>
      </c>
      <c r="D983">
        <v>1762</v>
      </c>
      <c r="E983">
        <v>2</v>
      </c>
      <c r="I983">
        <v>1976</v>
      </c>
      <c r="J983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983" s="43">
        <f>IFERROR(SUMIFS(Tabela10[Fod Worth],Tabela10[Drop],DropAnalityka[[#This Row],[Drop]],Tabela10[Grade],DropAnalityka[[#This Row],[Grade]])*DropAnalityka[[#This Row],[Quality/Quantity]],0)</f>
        <v>0</v>
      </c>
      <c r="L983" s="43">
        <f>IFERROR(SUMIFS(Tabela10[Exp Gain only 2*+],Tabela10[Drop],DropAnalityka[[#This Row],[Drop]],Tabela10[Grade],DropAnalityka[[#This Row],[Grade]])*DropAnalityka[[#This Row],[Quality/Quantity]],0)</f>
        <v>0</v>
      </c>
    </row>
    <row r="984" spans="1:12">
      <c r="A984" t="s">
        <v>31</v>
      </c>
      <c r="B984" t="s">
        <v>30</v>
      </c>
      <c r="C984">
        <v>11</v>
      </c>
      <c r="D984">
        <v>1553</v>
      </c>
      <c r="E984">
        <v>1</v>
      </c>
      <c r="I984">
        <v>2937</v>
      </c>
      <c r="J984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984" s="43">
        <f>IFERROR(SUMIFS(Tabela10[Fod Worth],Tabela10[Drop],DropAnalityka[[#This Row],[Drop]],Tabela10[Grade],DropAnalityka[[#This Row],[Grade]])*DropAnalityka[[#This Row],[Quality/Quantity]],0)</f>
        <v>0</v>
      </c>
      <c r="L984" s="43">
        <f>IFERROR(SUMIFS(Tabela10[Exp Gain only 2*+],Tabela10[Drop],DropAnalityka[[#This Row],[Drop]],Tabela10[Grade],DropAnalityka[[#This Row],[Grade]])*DropAnalityka[[#This Row],[Quality/Quantity]],0)</f>
        <v>0</v>
      </c>
    </row>
    <row r="985" spans="1:12">
      <c r="A985" t="s">
        <v>31</v>
      </c>
      <c r="B985" t="s">
        <v>30</v>
      </c>
      <c r="C985">
        <v>11</v>
      </c>
      <c r="D985">
        <v>1066</v>
      </c>
      <c r="E985">
        <v>1</v>
      </c>
      <c r="F985" t="s">
        <v>34</v>
      </c>
      <c r="G985">
        <v>2</v>
      </c>
      <c r="H985" t="s">
        <v>17</v>
      </c>
      <c r="I985">
        <v>0</v>
      </c>
      <c r="J98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85" s="43">
        <f>IFERROR(SUMIFS(Tabela10[Fod Worth],Tabela10[Drop],DropAnalityka[[#This Row],[Drop]],Tabela10[Grade],DropAnalityka[[#This Row],[Grade]])*DropAnalityka[[#This Row],[Quality/Quantity]],0)</f>
        <v>0</v>
      </c>
      <c r="L985" s="43">
        <f>IFERROR(SUMIFS(Tabela10[Exp Gain only 2*+],Tabela10[Drop],DropAnalityka[[#This Row],[Drop]],Tabela10[Grade],DropAnalityka[[#This Row],[Grade]])*DropAnalityka[[#This Row],[Quality/Quantity]],0)</f>
        <v>1600</v>
      </c>
    </row>
    <row r="986" spans="1:12">
      <c r="A986" t="s">
        <v>31</v>
      </c>
      <c r="B986" t="s">
        <v>30</v>
      </c>
      <c r="C986">
        <v>11</v>
      </c>
      <c r="D986">
        <v>1654</v>
      </c>
      <c r="E986">
        <v>0</v>
      </c>
      <c r="I986">
        <v>2937</v>
      </c>
      <c r="J986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986" s="43">
        <f>IFERROR(SUMIFS(Tabela10[Fod Worth],Tabela10[Drop],DropAnalityka[[#This Row],[Drop]],Tabela10[Grade],DropAnalityka[[#This Row],[Grade]])*DropAnalityka[[#This Row],[Quality/Quantity]],0)</f>
        <v>0</v>
      </c>
      <c r="L986" s="43">
        <f>IFERROR(SUMIFS(Tabela10[Exp Gain only 2*+],Tabela10[Drop],DropAnalityka[[#This Row],[Drop]],Tabela10[Grade],DropAnalityka[[#This Row],[Grade]])*DropAnalityka[[#This Row],[Quality/Quantity]],0)</f>
        <v>0</v>
      </c>
    </row>
    <row r="987" spans="1:12">
      <c r="A987" t="s">
        <v>60</v>
      </c>
      <c r="B987" t="s">
        <v>30</v>
      </c>
      <c r="C987">
        <v>11</v>
      </c>
      <c r="D987">
        <v>2758</v>
      </c>
      <c r="E987">
        <v>0</v>
      </c>
      <c r="F987" t="s">
        <v>34</v>
      </c>
      <c r="G987">
        <v>2</v>
      </c>
      <c r="H987" t="s">
        <v>17</v>
      </c>
      <c r="I987">
        <v>0</v>
      </c>
      <c r="J987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987" s="43">
        <f>IFERROR(SUMIFS(Tabela10[Fod Worth],Tabela10[Drop],DropAnalityka[[#This Row],[Drop]],Tabela10[Grade],DropAnalityka[[#This Row],[Grade]])*DropAnalityka[[#This Row],[Quality/Quantity]],0)</f>
        <v>0</v>
      </c>
      <c r="L987" s="43">
        <f>IFERROR(SUMIFS(Tabela10[Exp Gain only 2*+],Tabela10[Drop],DropAnalityka[[#This Row],[Drop]],Tabela10[Grade],DropAnalityka[[#This Row],[Grade]])*DropAnalityka[[#This Row],[Quality/Quantity]],0)</f>
        <v>1600</v>
      </c>
    </row>
    <row r="988" spans="1:12">
      <c r="A988" t="s">
        <v>36</v>
      </c>
      <c r="B988" t="s">
        <v>9</v>
      </c>
      <c r="C988">
        <v>9</v>
      </c>
      <c r="D988">
        <v>3008</v>
      </c>
      <c r="E988">
        <v>1</v>
      </c>
      <c r="F988" t="s">
        <v>252</v>
      </c>
      <c r="G988">
        <v>5</v>
      </c>
      <c r="H988" t="s">
        <v>270</v>
      </c>
      <c r="J9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988" s="43">
        <f>IFERROR(SUMIFS(Tabela10[Fod Worth],Tabela10[Drop],DropAnalityka[[#This Row],[Drop]],Tabela10[Grade],DropAnalityka[[#This Row],[Grade]])*DropAnalityka[[#This Row],[Quality/Quantity]],0)</f>
        <v>0</v>
      </c>
      <c r="L988" s="43">
        <f>IFERROR(SUMIFS(Tabela10[Exp Gain only 2*+],Tabela10[Drop],DropAnalityka[[#This Row],[Drop]],Tabela10[Grade],DropAnalityka[[#This Row],[Grade]])*DropAnalityka[[#This Row],[Quality/Quantity]],0)</f>
        <v>0</v>
      </c>
    </row>
    <row r="989" spans="1:12">
      <c r="A989" t="s">
        <v>172</v>
      </c>
      <c r="B989" t="s">
        <v>9</v>
      </c>
      <c r="C989">
        <v>7</v>
      </c>
      <c r="D989">
        <v>2997</v>
      </c>
      <c r="E989">
        <v>0</v>
      </c>
      <c r="F989" t="s">
        <v>34</v>
      </c>
      <c r="G989">
        <v>4</v>
      </c>
      <c r="H989" t="s">
        <v>17</v>
      </c>
      <c r="I989">
        <v>0</v>
      </c>
      <c r="J98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989" s="43">
        <f>IFERROR(SUMIFS(Tabela10[Fod Worth],Tabela10[Drop],DropAnalityka[[#This Row],[Drop]],Tabela10[Grade],DropAnalityka[[#This Row],[Grade]])*DropAnalityka[[#This Row],[Quality/Quantity]],0)</f>
        <v>0</v>
      </c>
      <c r="L989" s="43">
        <f>IFERROR(SUMIFS(Tabela10[Exp Gain only 2*+],Tabela10[Drop],DropAnalityka[[#This Row],[Drop]],Tabela10[Grade],DropAnalityka[[#This Row],[Grade]])*DropAnalityka[[#This Row],[Quality/Quantity]],0)</f>
        <v>3200</v>
      </c>
    </row>
    <row r="990" spans="1:12">
      <c r="A990" t="s">
        <v>172</v>
      </c>
      <c r="B990" t="s">
        <v>9</v>
      </c>
      <c r="C990">
        <v>7</v>
      </c>
      <c r="D990">
        <v>3403</v>
      </c>
      <c r="E990">
        <v>3</v>
      </c>
      <c r="F990" t="s">
        <v>258</v>
      </c>
      <c r="G990">
        <v>1</v>
      </c>
      <c r="H990" t="s">
        <v>27</v>
      </c>
      <c r="I990">
        <v>3307</v>
      </c>
      <c r="J990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990" s="43">
        <f>IFERROR(SUMIFS(Tabela10[Fod Worth],Tabela10[Drop],DropAnalityka[[#This Row],[Drop]],Tabela10[Grade],DropAnalityka[[#This Row],[Grade]])*DropAnalityka[[#This Row],[Quality/Quantity]],0)</f>
        <v>0</v>
      </c>
      <c r="L990" s="43">
        <f>IFERROR(SUMIFS(Tabela10[Exp Gain only 2*+],Tabela10[Drop],DropAnalityka[[#This Row],[Drop]],Tabela10[Grade],DropAnalityka[[#This Row],[Grade]])*DropAnalityka[[#This Row],[Quality/Quantity]],0)</f>
        <v>0</v>
      </c>
    </row>
    <row r="991" spans="1:12">
      <c r="A991" t="s">
        <v>172</v>
      </c>
      <c r="B991" t="s">
        <v>9</v>
      </c>
      <c r="C991">
        <v>7</v>
      </c>
      <c r="D991">
        <v>3941</v>
      </c>
      <c r="E991">
        <v>1</v>
      </c>
      <c r="F991" t="s">
        <v>34</v>
      </c>
      <c r="G991">
        <v>3</v>
      </c>
      <c r="H991" t="s">
        <v>17</v>
      </c>
      <c r="I991">
        <v>0</v>
      </c>
      <c r="J991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991" s="43">
        <f>IFERROR(SUMIFS(Tabela10[Fod Worth],Tabela10[Drop],DropAnalityka[[#This Row],[Drop]],Tabela10[Grade],DropAnalityka[[#This Row],[Grade]])*DropAnalityka[[#This Row],[Quality/Quantity]],0)</f>
        <v>0</v>
      </c>
      <c r="L991" s="43">
        <f>IFERROR(SUMIFS(Tabela10[Exp Gain only 2*+],Tabela10[Drop],DropAnalityka[[#This Row],[Drop]],Tabela10[Grade],DropAnalityka[[#This Row],[Grade]])*DropAnalityka[[#This Row],[Quality/Quantity]],0)</f>
        <v>2400</v>
      </c>
    </row>
    <row r="992" spans="1:12">
      <c r="A992" t="s">
        <v>172</v>
      </c>
      <c r="B992" t="s">
        <v>9</v>
      </c>
      <c r="C992">
        <v>7</v>
      </c>
      <c r="D992">
        <v>2787</v>
      </c>
      <c r="E992">
        <v>1</v>
      </c>
      <c r="F992" t="s">
        <v>258</v>
      </c>
      <c r="G992">
        <v>1</v>
      </c>
      <c r="H992" t="s">
        <v>27</v>
      </c>
      <c r="I992">
        <v>5512</v>
      </c>
      <c r="J992">
        <f>DropAnalityka[[#This Row],[Sell Drop]]+IFERROR(SUMIFS(Tabela10[Drop Worth],Tabela10[Drop],DropAnalityka[[#This Row],[Drop]],Tabela10[Grade],DropAnalityka[[#This Row],[Grade]])*DropAnalityka[[#This Row],[Quality/Quantity]],0)</f>
        <v>5512</v>
      </c>
      <c r="K992" s="43">
        <f>IFERROR(SUMIFS(Tabela10[Fod Worth],Tabela10[Drop],DropAnalityka[[#This Row],[Drop]],Tabela10[Grade],DropAnalityka[[#This Row],[Grade]])*DropAnalityka[[#This Row],[Quality/Quantity]],0)</f>
        <v>0</v>
      </c>
      <c r="L992" s="43">
        <f>IFERROR(SUMIFS(Tabela10[Exp Gain only 2*+],Tabela10[Drop],DropAnalityka[[#This Row],[Drop]],Tabela10[Grade],DropAnalityka[[#This Row],[Grade]])*DropAnalityka[[#This Row],[Quality/Quantity]],0)</f>
        <v>0</v>
      </c>
    </row>
    <row r="993" spans="1:12">
      <c r="A993" t="s">
        <v>172</v>
      </c>
      <c r="B993" t="s">
        <v>9</v>
      </c>
      <c r="C993">
        <v>7</v>
      </c>
      <c r="D993">
        <v>3709</v>
      </c>
      <c r="E993">
        <v>1</v>
      </c>
      <c r="F993" t="s">
        <v>34</v>
      </c>
      <c r="G993">
        <v>3</v>
      </c>
      <c r="H993" t="s">
        <v>17</v>
      </c>
      <c r="I993">
        <v>0</v>
      </c>
      <c r="J99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993" s="43">
        <f>IFERROR(SUMIFS(Tabela10[Fod Worth],Tabela10[Drop],DropAnalityka[[#This Row],[Drop]],Tabela10[Grade],DropAnalityka[[#This Row],[Grade]])*DropAnalityka[[#This Row],[Quality/Quantity]],0)</f>
        <v>0</v>
      </c>
      <c r="L993" s="43">
        <f>IFERROR(SUMIFS(Tabela10[Exp Gain only 2*+],Tabela10[Drop],DropAnalityka[[#This Row],[Drop]],Tabela10[Grade],DropAnalityka[[#This Row],[Grade]])*DropAnalityka[[#This Row],[Quality/Quantity]],0)</f>
        <v>2400</v>
      </c>
    </row>
    <row r="994" spans="1:12">
      <c r="A994" t="s">
        <v>172</v>
      </c>
      <c r="B994" t="s">
        <v>9</v>
      </c>
      <c r="C994">
        <v>7</v>
      </c>
      <c r="D994">
        <v>3276</v>
      </c>
      <c r="E994">
        <v>4</v>
      </c>
      <c r="F994" t="s">
        <v>258</v>
      </c>
      <c r="G994">
        <v>1</v>
      </c>
      <c r="H994" t="s">
        <v>27</v>
      </c>
      <c r="I994">
        <v>2411</v>
      </c>
      <c r="J994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994" s="43">
        <f>IFERROR(SUMIFS(Tabela10[Fod Worth],Tabela10[Drop],DropAnalityka[[#This Row],[Drop]],Tabela10[Grade],DropAnalityka[[#This Row],[Grade]])*DropAnalityka[[#This Row],[Quality/Quantity]],0)</f>
        <v>0</v>
      </c>
      <c r="L994" s="43">
        <f>IFERROR(SUMIFS(Tabela10[Exp Gain only 2*+],Tabela10[Drop],DropAnalityka[[#This Row],[Drop]],Tabela10[Grade],DropAnalityka[[#This Row],[Grade]])*DropAnalityka[[#This Row],[Quality/Quantity]],0)</f>
        <v>0</v>
      </c>
    </row>
    <row r="995" spans="1:12">
      <c r="A995" t="s">
        <v>172</v>
      </c>
      <c r="B995" t="s">
        <v>9</v>
      </c>
      <c r="C995">
        <v>7</v>
      </c>
      <c r="D995">
        <v>2942</v>
      </c>
      <c r="E995">
        <v>1</v>
      </c>
      <c r="F995" t="s">
        <v>34</v>
      </c>
      <c r="G995">
        <v>4</v>
      </c>
      <c r="H995" t="s">
        <v>17</v>
      </c>
      <c r="I995">
        <v>0</v>
      </c>
      <c r="J995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995" s="43">
        <f>IFERROR(SUMIFS(Tabela10[Fod Worth],Tabela10[Drop],DropAnalityka[[#This Row],[Drop]],Tabela10[Grade],DropAnalityka[[#This Row],[Grade]])*DropAnalityka[[#This Row],[Quality/Quantity]],0)</f>
        <v>0</v>
      </c>
      <c r="L995" s="43">
        <f>IFERROR(SUMIFS(Tabela10[Exp Gain only 2*+],Tabela10[Drop],DropAnalityka[[#This Row],[Drop]],Tabela10[Grade],DropAnalityka[[#This Row],[Grade]])*DropAnalityka[[#This Row],[Quality/Quantity]],0)</f>
        <v>3200</v>
      </c>
    </row>
    <row r="996" spans="1:12">
      <c r="A996" t="s">
        <v>172</v>
      </c>
      <c r="B996" t="s">
        <v>9</v>
      </c>
      <c r="C996">
        <v>7</v>
      </c>
      <c r="D996">
        <v>3049</v>
      </c>
      <c r="E996">
        <v>1</v>
      </c>
      <c r="F996" t="s">
        <v>258</v>
      </c>
      <c r="G996">
        <v>1</v>
      </c>
      <c r="H996" t="s">
        <v>27</v>
      </c>
      <c r="I996">
        <v>3927</v>
      </c>
      <c r="J996">
        <f>DropAnalityka[[#This Row],[Sell Drop]]+IFERROR(SUMIFS(Tabela10[Drop Worth],Tabela10[Drop],DropAnalityka[[#This Row],[Drop]],Tabela10[Grade],DropAnalityka[[#This Row],[Grade]])*DropAnalityka[[#This Row],[Quality/Quantity]],0)</f>
        <v>3927</v>
      </c>
      <c r="K996" s="43">
        <f>IFERROR(SUMIFS(Tabela10[Fod Worth],Tabela10[Drop],DropAnalityka[[#This Row],[Drop]],Tabela10[Grade],DropAnalityka[[#This Row],[Grade]])*DropAnalityka[[#This Row],[Quality/Quantity]],0)</f>
        <v>0</v>
      </c>
      <c r="L996" s="43">
        <f>IFERROR(SUMIFS(Tabela10[Exp Gain only 2*+],Tabela10[Drop],DropAnalityka[[#This Row],[Drop]],Tabela10[Grade],DropAnalityka[[#This Row],[Grade]])*DropAnalityka[[#This Row],[Quality/Quantity]],0)</f>
        <v>0</v>
      </c>
    </row>
    <row r="997" spans="1:12">
      <c r="A997" t="s">
        <v>172</v>
      </c>
      <c r="B997" t="s">
        <v>9</v>
      </c>
      <c r="C997">
        <v>7</v>
      </c>
      <c r="D997">
        <v>2793</v>
      </c>
      <c r="E997">
        <v>0</v>
      </c>
      <c r="F997" t="s">
        <v>291</v>
      </c>
      <c r="G997">
        <v>1</v>
      </c>
      <c r="H997" t="s">
        <v>26</v>
      </c>
      <c r="I997">
        <v>1971</v>
      </c>
      <c r="J997">
        <f>DropAnalityka[[#This Row],[Sell Drop]]+IFERROR(SUMIFS(Tabela10[Drop Worth],Tabela10[Drop],DropAnalityka[[#This Row],[Drop]],Tabela10[Grade],DropAnalityka[[#This Row],[Grade]])*DropAnalityka[[#This Row],[Quality/Quantity]],0)</f>
        <v>1971</v>
      </c>
      <c r="K997" s="43">
        <f>IFERROR(SUMIFS(Tabela10[Fod Worth],Tabela10[Drop],DropAnalityka[[#This Row],[Drop]],Tabela10[Grade],DropAnalityka[[#This Row],[Grade]])*DropAnalityka[[#This Row],[Quality/Quantity]],0)</f>
        <v>0</v>
      </c>
      <c r="L997" s="43">
        <f>IFERROR(SUMIFS(Tabela10[Exp Gain only 2*+],Tabela10[Drop],DropAnalityka[[#This Row],[Drop]],Tabela10[Grade],DropAnalityka[[#This Row],[Grade]])*DropAnalityka[[#This Row],[Quality/Quantity]],0)</f>
        <v>0</v>
      </c>
    </row>
    <row r="998" spans="1:12">
      <c r="A998" t="s">
        <v>172</v>
      </c>
      <c r="B998" t="s">
        <v>9</v>
      </c>
      <c r="C998">
        <v>7</v>
      </c>
      <c r="D998">
        <v>3111</v>
      </c>
      <c r="E998">
        <v>1</v>
      </c>
      <c r="F998" t="s">
        <v>291</v>
      </c>
      <c r="G998">
        <v>1</v>
      </c>
      <c r="H998" t="s">
        <v>27</v>
      </c>
      <c r="I998">
        <v>3720</v>
      </c>
      <c r="J998">
        <f>DropAnalityka[[#This Row],[Sell Drop]]+IFERROR(SUMIFS(Tabela10[Drop Worth],Tabela10[Drop],DropAnalityka[[#This Row],[Drop]],Tabela10[Grade],DropAnalityka[[#This Row],[Grade]])*DropAnalityka[[#This Row],[Quality/Quantity]],0)</f>
        <v>3720</v>
      </c>
      <c r="K998" s="43">
        <f>IFERROR(SUMIFS(Tabela10[Fod Worth],Tabela10[Drop],DropAnalityka[[#This Row],[Drop]],Tabela10[Grade],DropAnalityka[[#This Row],[Grade]])*DropAnalityka[[#This Row],[Quality/Quantity]],0)</f>
        <v>0</v>
      </c>
      <c r="L998" s="43">
        <f>IFERROR(SUMIFS(Tabela10[Exp Gain only 2*+],Tabela10[Drop],DropAnalityka[[#This Row],[Drop]],Tabela10[Grade],DropAnalityka[[#This Row],[Grade]])*DropAnalityka[[#This Row],[Quality/Quantity]],0)</f>
        <v>0</v>
      </c>
    </row>
    <row r="999" spans="1:12">
      <c r="A999" t="s">
        <v>172</v>
      </c>
      <c r="B999" t="s">
        <v>9</v>
      </c>
      <c r="C999">
        <v>7</v>
      </c>
      <c r="D999">
        <v>2990</v>
      </c>
      <c r="E999">
        <v>0</v>
      </c>
      <c r="F999" t="s">
        <v>258</v>
      </c>
      <c r="G999">
        <v>1</v>
      </c>
      <c r="H999" t="s">
        <v>27</v>
      </c>
      <c r="I999">
        <v>4134</v>
      </c>
      <c r="J999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999" s="43">
        <f>IFERROR(SUMIFS(Tabela10[Fod Worth],Tabela10[Drop],DropAnalityka[[#This Row],[Drop]],Tabela10[Grade],DropAnalityka[[#This Row],[Grade]])*DropAnalityka[[#This Row],[Quality/Quantity]],0)</f>
        <v>0</v>
      </c>
      <c r="L999" s="43">
        <f>IFERROR(SUMIFS(Tabela10[Exp Gain only 2*+],Tabela10[Drop],DropAnalityka[[#This Row],[Drop]],Tabela10[Grade],DropAnalityka[[#This Row],[Grade]])*DropAnalityka[[#This Row],[Quality/Quantity]],0)</f>
        <v>0</v>
      </c>
    </row>
    <row r="1000" spans="1:12">
      <c r="A1000" t="s">
        <v>172</v>
      </c>
      <c r="B1000" t="s">
        <v>9</v>
      </c>
      <c r="C1000">
        <v>7</v>
      </c>
      <c r="D1000">
        <v>3378</v>
      </c>
      <c r="E1000">
        <v>1</v>
      </c>
      <c r="F1000" t="s">
        <v>258</v>
      </c>
      <c r="G1000">
        <v>1</v>
      </c>
      <c r="H1000" t="s">
        <v>27</v>
      </c>
      <c r="I1000">
        <v>4134</v>
      </c>
      <c r="J1000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000" s="43">
        <f>IFERROR(SUMIFS(Tabela10[Fod Worth],Tabela10[Drop],DropAnalityka[[#This Row],[Drop]],Tabela10[Grade],DropAnalityka[[#This Row],[Grade]])*DropAnalityka[[#This Row],[Quality/Quantity]],0)</f>
        <v>0</v>
      </c>
      <c r="L1000" s="43">
        <f>IFERROR(SUMIFS(Tabela10[Exp Gain only 2*+],Tabela10[Drop],DropAnalityka[[#This Row],[Drop]],Tabela10[Grade],DropAnalityka[[#This Row],[Grade]])*DropAnalityka[[#This Row],[Quality/Quantity]],0)</f>
        <v>0</v>
      </c>
    </row>
    <row r="1001" spans="1:12">
      <c r="A1001" t="s">
        <v>172</v>
      </c>
      <c r="B1001" t="s">
        <v>9</v>
      </c>
      <c r="C1001">
        <v>7</v>
      </c>
      <c r="D1001">
        <v>2940</v>
      </c>
      <c r="E1001">
        <v>3</v>
      </c>
      <c r="F1001" t="s">
        <v>291</v>
      </c>
      <c r="G1001">
        <v>1</v>
      </c>
      <c r="H1001" t="s">
        <v>27</v>
      </c>
      <c r="I1001">
        <v>4042</v>
      </c>
      <c r="J1001">
        <f>DropAnalityka[[#This Row],[Sell Drop]]+IFERROR(SUMIFS(Tabela10[Drop Worth],Tabela10[Drop],DropAnalityka[[#This Row],[Drop]],Tabela10[Grade],DropAnalityka[[#This Row],[Grade]])*DropAnalityka[[#This Row],[Quality/Quantity]],0)</f>
        <v>4042</v>
      </c>
      <c r="K1001" s="43">
        <f>IFERROR(SUMIFS(Tabela10[Fod Worth],Tabela10[Drop],DropAnalityka[[#This Row],[Drop]],Tabela10[Grade],DropAnalityka[[#This Row],[Grade]])*DropAnalityka[[#This Row],[Quality/Quantity]],0)</f>
        <v>0</v>
      </c>
      <c r="L1001" s="43">
        <f>IFERROR(SUMIFS(Tabela10[Exp Gain only 2*+],Tabela10[Drop],DropAnalityka[[#This Row],[Drop]],Tabela10[Grade],DropAnalityka[[#This Row],[Grade]])*DropAnalityka[[#This Row],[Quality/Quantity]],0)</f>
        <v>0</v>
      </c>
    </row>
    <row r="1002" spans="1:12">
      <c r="A1002" t="s">
        <v>172</v>
      </c>
      <c r="B1002" t="s">
        <v>9</v>
      </c>
      <c r="C1002">
        <v>7</v>
      </c>
      <c r="D1002">
        <v>3698</v>
      </c>
      <c r="E1002">
        <v>3</v>
      </c>
      <c r="F1002" t="s">
        <v>258</v>
      </c>
      <c r="G1002">
        <v>1</v>
      </c>
      <c r="H1002" t="s">
        <v>28</v>
      </c>
      <c r="I1002">
        <v>8500</v>
      </c>
      <c r="J1002">
        <f>DropAnalityka[[#This Row],[Sell Drop]]+IFERROR(SUMIFS(Tabela10[Drop Worth],Tabela10[Drop],DropAnalityka[[#This Row],[Drop]],Tabela10[Grade],DropAnalityka[[#This Row],[Grade]])*DropAnalityka[[#This Row],[Quality/Quantity]],0)</f>
        <v>8500</v>
      </c>
      <c r="K1002" s="43">
        <f>IFERROR(SUMIFS(Tabela10[Fod Worth],Tabela10[Drop],DropAnalityka[[#This Row],[Drop]],Tabela10[Grade],DropAnalityka[[#This Row],[Grade]])*DropAnalityka[[#This Row],[Quality/Quantity]],0)</f>
        <v>0</v>
      </c>
      <c r="L1002" s="43">
        <f>IFERROR(SUMIFS(Tabela10[Exp Gain only 2*+],Tabela10[Drop],DropAnalityka[[#This Row],[Drop]],Tabela10[Grade],DropAnalityka[[#This Row],[Grade]])*DropAnalityka[[#This Row],[Quality/Quantity]],0)</f>
        <v>0</v>
      </c>
    </row>
    <row r="1003" spans="1:12">
      <c r="A1003" t="s">
        <v>172</v>
      </c>
      <c r="B1003" t="s">
        <v>9</v>
      </c>
      <c r="C1003">
        <v>7</v>
      </c>
      <c r="D1003">
        <v>3224</v>
      </c>
      <c r="E1003">
        <v>0</v>
      </c>
      <c r="F1003" t="s">
        <v>34</v>
      </c>
      <c r="G1003">
        <v>3</v>
      </c>
      <c r="H1003" t="s">
        <v>17</v>
      </c>
      <c r="I1003">
        <v>0</v>
      </c>
      <c r="J100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03" s="43">
        <f>IFERROR(SUMIFS(Tabela10[Fod Worth],Tabela10[Drop],DropAnalityka[[#This Row],[Drop]],Tabela10[Grade],DropAnalityka[[#This Row],[Grade]])*DropAnalityka[[#This Row],[Quality/Quantity]],0)</f>
        <v>0</v>
      </c>
      <c r="L1003" s="43">
        <f>IFERROR(SUMIFS(Tabela10[Exp Gain only 2*+],Tabela10[Drop],DropAnalityka[[#This Row],[Drop]],Tabela10[Grade],DropAnalityka[[#This Row],[Grade]])*DropAnalityka[[#This Row],[Quality/Quantity]],0)</f>
        <v>2400</v>
      </c>
    </row>
    <row r="1004" spans="1:12">
      <c r="A1004" t="s">
        <v>172</v>
      </c>
      <c r="B1004" t="s">
        <v>9</v>
      </c>
      <c r="C1004">
        <v>7</v>
      </c>
      <c r="D1004">
        <v>2991</v>
      </c>
      <c r="E1004">
        <v>3</v>
      </c>
      <c r="F1004" t="s">
        <v>34</v>
      </c>
      <c r="G1004">
        <v>3</v>
      </c>
      <c r="H1004" t="s">
        <v>17</v>
      </c>
      <c r="I1004">
        <v>0</v>
      </c>
      <c r="J1004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04" s="43">
        <f>IFERROR(SUMIFS(Tabela10[Fod Worth],Tabela10[Drop],DropAnalityka[[#This Row],[Drop]],Tabela10[Grade],DropAnalityka[[#This Row],[Grade]])*DropAnalityka[[#This Row],[Quality/Quantity]],0)</f>
        <v>0</v>
      </c>
      <c r="L1004" s="43">
        <f>IFERROR(SUMIFS(Tabela10[Exp Gain only 2*+],Tabela10[Drop],DropAnalityka[[#This Row],[Drop]],Tabela10[Grade],DropAnalityka[[#This Row],[Grade]])*DropAnalityka[[#This Row],[Quality/Quantity]],0)</f>
        <v>2400</v>
      </c>
    </row>
    <row r="1005" spans="1:12">
      <c r="A1005" t="s">
        <v>172</v>
      </c>
      <c r="B1005" t="s">
        <v>9</v>
      </c>
      <c r="C1005">
        <v>7</v>
      </c>
      <c r="D1005">
        <v>3535</v>
      </c>
      <c r="E1005">
        <v>2</v>
      </c>
      <c r="F1005" t="s">
        <v>258</v>
      </c>
      <c r="G1005">
        <v>1</v>
      </c>
      <c r="H1005" t="s">
        <v>28</v>
      </c>
      <c r="I1005">
        <v>5057</v>
      </c>
      <c r="J1005">
        <f>DropAnalityka[[#This Row],[Sell Drop]]+IFERROR(SUMIFS(Tabela10[Drop Worth],Tabela10[Drop],DropAnalityka[[#This Row],[Drop]],Tabela10[Grade],DropAnalityka[[#This Row],[Grade]])*DropAnalityka[[#This Row],[Quality/Quantity]],0)</f>
        <v>5057</v>
      </c>
      <c r="K1005" s="43">
        <f>IFERROR(SUMIFS(Tabela10[Fod Worth],Tabela10[Drop],DropAnalityka[[#This Row],[Drop]],Tabela10[Grade],DropAnalityka[[#This Row],[Grade]])*DropAnalityka[[#This Row],[Quality/Quantity]],0)</f>
        <v>0</v>
      </c>
      <c r="L1005" s="43">
        <f>IFERROR(SUMIFS(Tabela10[Exp Gain only 2*+],Tabela10[Drop],DropAnalityka[[#This Row],[Drop]],Tabela10[Grade],DropAnalityka[[#This Row],[Grade]])*DropAnalityka[[#This Row],[Quality/Quantity]],0)</f>
        <v>0</v>
      </c>
    </row>
    <row r="1006" spans="1:12">
      <c r="A1006" t="s">
        <v>172</v>
      </c>
      <c r="B1006" t="s">
        <v>9</v>
      </c>
      <c r="C1006">
        <v>7</v>
      </c>
      <c r="D1006">
        <v>3010</v>
      </c>
      <c r="E1006">
        <v>1</v>
      </c>
      <c r="F1006" t="s">
        <v>258</v>
      </c>
      <c r="G1006">
        <v>1</v>
      </c>
      <c r="H1006" t="s">
        <v>28</v>
      </c>
      <c r="I1006">
        <v>6800</v>
      </c>
      <c r="J1006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006" s="43">
        <f>IFERROR(SUMIFS(Tabela10[Fod Worth],Tabela10[Drop],DropAnalityka[[#This Row],[Drop]],Tabela10[Grade],DropAnalityka[[#This Row],[Grade]])*DropAnalityka[[#This Row],[Quality/Quantity]],0)</f>
        <v>0</v>
      </c>
      <c r="L1006" s="43">
        <f>IFERROR(SUMIFS(Tabela10[Exp Gain only 2*+],Tabela10[Drop],DropAnalityka[[#This Row],[Drop]],Tabela10[Grade],DropAnalityka[[#This Row],[Grade]])*DropAnalityka[[#This Row],[Quality/Quantity]],0)</f>
        <v>0</v>
      </c>
    </row>
    <row r="1007" spans="1:12">
      <c r="A1007" t="s">
        <v>172</v>
      </c>
      <c r="B1007" t="s">
        <v>9</v>
      </c>
      <c r="C1007">
        <v>7</v>
      </c>
      <c r="D1007">
        <v>3005</v>
      </c>
      <c r="E1007">
        <v>2</v>
      </c>
      <c r="F1007" t="s">
        <v>258</v>
      </c>
      <c r="G1007">
        <v>1</v>
      </c>
      <c r="H1007" t="s">
        <v>27</v>
      </c>
      <c r="I1007">
        <v>7028</v>
      </c>
      <c r="J1007">
        <f>DropAnalityka[[#This Row],[Sell Drop]]+IFERROR(SUMIFS(Tabela10[Drop Worth],Tabela10[Drop],DropAnalityka[[#This Row],[Drop]],Tabela10[Grade],DropAnalityka[[#This Row],[Grade]])*DropAnalityka[[#This Row],[Quality/Quantity]],0)</f>
        <v>7028</v>
      </c>
      <c r="K1007" s="43">
        <f>IFERROR(SUMIFS(Tabela10[Fod Worth],Tabela10[Drop],DropAnalityka[[#This Row],[Drop]],Tabela10[Grade],DropAnalityka[[#This Row],[Grade]])*DropAnalityka[[#This Row],[Quality/Quantity]],0)</f>
        <v>0</v>
      </c>
      <c r="L1007" s="43">
        <f>IFERROR(SUMIFS(Tabela10[Exp Gain only 2*+],Tabela10[Drop],DropAnalityka[[#This Row],[Drop]],Tabela10[Grade],DropAnalityka[[#This Row],[Grade]])*DropAnalityka[[#This Row],[Quality/Quantity]],0)</f>
        <v>0</v>
      </c>
    </row>
    <row r="1008" spans="1:12">
      <c r="A1008" t="s">
        <v>172</v>
      </c>
      <c r="B1008" t="s">
        <v>9</v>
      </c>
      <c r="C1008">
        <v>7</v>
      </c>
      <c r="D1008">
        <v>2684</v>
      </c>
      <c r="E1008">
        <v>1</v>
      </c>
      <c r="F1008" t="s">
        <v>34</v>
      </c>
      <c r="G1008">
        <v>4</v>
      </c>
      <c r="H1008" t="s">
        <v>17</v>
      </c>
      <c r="I1008">
        <v>0</v>
      </c>
      <c r="J1008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08" s="43">
        <f>IFERROR(SUMIFS(Tabela10[Fod Worth],Tabela10[Drop],DropAnalityka[[#This Row],[Drop]],Tabela10[Grade],DropAnalityka[[#This Row],[Grade]])*DropAnalityka[[#This Row],[Quality/Quantity]],0)</f>
        <v>0</v>
      </c>
      <c r="L1008" s="43">
        <f>IFERROR(SUMIFS(Tabela10[Exp Gain only 2*+],Tabela10[Drop],DropAnalityka[[#This Row],[Drop]],Tabela10[Grade],DropAnalityka[[#This Row],[Grade]])*DropAnalityka[[#This Row],[Quality/Quantity]],0)</f>
        <v>3200</v>
      </c>
    </row>
    <row r="1009" spans="1:12">
      <c r="A1009" t="s">
        <v>172</v>
      </c>
      <c r="B1009" t="s">
        <v>9</v>
      </c>
      <c r="C1009">
        <v>7</v>
      </c>
      <c r="D1009">
        <v>3225</v>
      </c>
      <c r="E1009">
        <v>0</v>
      </c>
      <c r="F1009" t="s">
        <v>291</v>
      </c>
      <c r="G1009">
        <v>1</v>
      </c>
      <c r="H1009" t="s">
        <v>27</v>
      </c>
      <c r="I1009">
        <v>4295</v>
      </c>
      <c r="J1009">
        <f>DropAnalityka[[#This Row],[Sell Drop]]+IFERROR(SUMIFS(Tabela10[Drop Worth],Tabela10[Drop],DropAnalityka[[#This Row],[Drop]],Tabela10[Grade],DropAnalityka[[#This Row],[Grade]])*DropAnalityka[[#This Row],[Quality/Quantity]],0)</f>
        <v>4295</v>
      </c>
      <c r="K1009" s="43">
        <f>IFERROR(SUMIFS(Tabela10[Fod Worth],Tabela10[Drop],DropAnalityka[[#This Row],[Drop]],Tabela10[Grade],DropAnalityka[[#This Row],[Grade]])*DropAnalityka[[#This Row],[Quality/Quantity]],0)</f>
        <v>0</v>
      </c>
      <c r="L1009" s="43">
        <f>IFERROR(SUMIFS(Tabela10[Exp Gain only 2*+],Tabela10[Drop],DropAnalityka[[#This Row],[Drop]],Tabela10[Grade],DropAnalityka[[#This Row],[Grade]])*DropAnalityka[[#This Row],[Quality/Quantity]],0)</f>
        <v>0</v>
      </c>
    </row>
    <row r="1010" spans="1:12">
      <c r="A1010" t="s">
        <v>172</v>
      </c>
      <c r="B1010" t="s">
        <v>9</v>
      </c>
      <c r="C1010">
        <v>7</v>
      </c>
      <c r="D1010">
        <v>3020</v>
      </c>
      <c r="E1010">
        <v>1</v>
      </c>
      <c r="F1010" t="s">
        <v>258</v>
      </c>
      <c r="G1010">
        <v>1</v>
      </c>
      <c r="H1010" t="s">
        <v>27</v>
      </c>
      <c r="I1010">
        <v>4134</v>
      </c>
      <c r="J1010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010" s="43">
        <f>IFERROR(SUMIFS(Tabela10[Fod Worth],Tabela10[Drop],DropAnalityka[[#This Row],[Drop]],Tabela10[Grade],DropAnalityka[[#This Row],[Grade]])*DropAnalityka[[#This Row],[Quality/Quantity]],0)</f>
        <v>0</v>
      </c>
      <c r="L1010" s="43">
        <f>IFERROR(SUMIFS(Tabela10[Exp Gain only 2*+],Tabela10[Drop],DropAnalityka[[#This Row],[Drop]],Tabela10[Grade],DropAnalityka[[#This Row],[Grade]])*DropAnalityka[[#This Row],[Quality/Quantity]],0)</f>
        <v>0</v>
      </c>
    </row>
    <row r="1011" spans="1:12">
      <c r="A1011" t="s">
        <v>172</v>
      </c>
      <c r="B1011" t="s">
        <v>9</v>
      </c>
      <c r="C1011">
        <v>7</v>
      </c>
      <c r="D1011">
        <v>2530</v>
      </c>
      <c r="E1011">
        <v>1</v>
      </c>
      <c r="F1011" t="s">
        <v>258</v>
      </c>
      <c r="G1011">
        <v>1</v>
      </c>
      <c r="H1011" t="s">
        <v>27</v>
      </c>
      <c r="I1011">
        <v>4134</v>
      </c>
      <c r="J1011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011" s="43">
        <f>IFERROR(SUMIFS(Tabela10[Fod Worth],Tabela10[Drop],DropAnalityka[[#This Row],[Drop]],Tabela10[Grade],DropAnalityka[[#This Row],[Grade]])*DropAnalityka[[#This Row],[Quality/Quantity]],0)</f>
        <v>0</v>
      </c>
      <c r="L1011" s="43">
        <f>IFERROR(SUMIFS(Tabela10[Exp Gain only 2*+],Tabela10[Drop],DropAnalityka[[#This Row],[Drop]],Tabela10[Grade],DropAnalityka[[#This Row],[Grade]])*DropAnalityka[[#This Row],[Quality/Quantity]],0)</f>
        <v>0</v>
      </c>
    </row>
    <row r="1012" spans="1:12">
      <c r="A1012" t="s">
        <v>172</v>
      </c>
      <c r="B1012" t="s">
        <v>9</v>
      </c>
      <c r="C1012">
        <v>7</v>
      </c>
      <c r="D1012">
        <v>3259</v>
      </c>
      <c r="E1012">
        <v>1</v>
      </c>
      <c r="F1012" t="s">
        <v>291</v>
      </c>
      <c r="G1012">
        <v>1</v>
      </c>
      <c r="H1012" t="s">
        <v>27</v>
      </c>
      <c r="I1012">
        <v>3675</v>
      </c>
      <c r="J1012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012" s="43">
        <f>IFERROR(SUMIFS(Tabela10[Fod Worth],Tabela10[Drop],DropAnalityka[[#This Row],[Drop]],Tabela10[Grade],DropAnalityka[[#This Row],[Grade]])*DropAnalityka[[#This Row],[Quality/Quantity]],0)</f>
        <v>0</v>
      </c>
      <c r="L1012" s="43">
        <f>IFERROR(SUMIFS(Tabela10[Exp Gain only 2*+],Tabela10[Drop],DropAnalityka[[#This Row],[Drop]],Tabela10[Grade],DropAnalityka[[#This Row],[Grade]])*DropAnalityka[[#This Row],[Quality/Quantity]],0)</f>
        <v>0</v>
      </c>
    </row>
    <row r="1013" spans="1:12">
      <c r="A1013" t="s">
        <v>172</v>
      </c>
      <c r="B1013" t="s">
        <v>9</v>
      </c>
      <c r="C1013">
        <v>7</v>
      </c>
      <c r="D1013">
        <v>2913</v>
      </c>
      <c r="E1013">
        <v>1</v>
      </c>
      <c r="F1013" t="s">
        <v>291</v>
      </c>
      <c r="G1013">
        <v>1</v>
      </c>
      <c r="H1013" t="s">
        <v>27</v>
      </c>
      <c r="I1013">
        <v>3675</v>
      </c>
      <c r="J1013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013" s="43">
        <f>IFERROR(SUMIFS(Tabela10[Fod Worth],Tabela10[Drop],DropAnalityka[[#This Row],[Drop]],Tabela10[Grade],DropAnalityka[[#This Row],[Grade]])*DropAnalityka[[#This Row],[Quality/Quantity]],0)</f>
        <v>0</v>
      </c>
      <c r="L1013" s="43">
        <f>IFERROR(SUMIFS(Tabela10[Exp Gain only 2*+],Tabela10[Drop],DropAnalityka[[#This Row],[Drop]],Tabela10[Grade],DropAnalityka[[#This Row],[Grade]])*DropAnalityka[[#This Row],[Quality/Quantity]],0)</f>
        <v>0</v>
      </c>
    </row>
    <row r="1014" spans="1:12">
      <c r="A1014" t="s">
        <v>172</v>
      </c>
      <c r="B1014" t="s">
        <v>9</v>
      </c>
      <c r="C1014">
        <v>7</v>
      </c>
      <c r="D1014">
        <v>2901</v>
      </c>
      <c r="E1014">
        <v>0</v>
      </c>
      <c r="F1014" t="s">
        <v>291</v>
      </c>
      <c r="G1014">
        <v>1</v>
      </c>
      <c r="H1014" t="s">
        <v>26</v>
      </c>
      <c r="I1014">
        <v>2319</v>
      </c>
      <c r="J1014">
        <f>DropAnalityka[[#This Row],[Sell Drop]]+IFERROR(SUMIFS(Tabela10[Drop Worth],Tabela10[Drop],DropAnalityka[[#This Row],[Drop]],Tabela10[Grade],DropAnalityka[[#This Row],[Grade]])*DropAnalityka[[#This Row],[Quality/Quantity]],0)</f>
        <v>2319</v>
      </c>
      <c r="K1014" s="43">
        <f>IFERROR(SUMIFS(Tabela10[Fod Worth],Tabela10[Drop],DropAnalityka[[#This Row],[Drop]],Tabela10[Grade],DropAnalityka[[#This Row],[Grade]])*DropAnalityka[[#This Row],[Quality/Quantity]],0)</f>
        <v>0</v>
      </c>
      <c r="L1014" s="43">
        <f>IFERROR(SUMIFS(Tabela10[Exp Gain only 2*+],Tabela10[Drop],DropAnalityka[[#This Row],[Drop]],Tabela10[Grade],DropAnalityka[[#This Row],[Grade]])*DropAnalityka[[#This Row],[Quality/Quantity]],0)</f>
        <v>0</v>
      </c>
    </row>
    <row r="1015" spans="1:12">
      <c r="A1015" t="s">
        <v>172</v>
      </c>
      <c r="B1015" t="s">
        <v>9</v>
      </c>
      <c r="C1015">
        <v>7</v>
      </c>
      <c r="D1015">
        <v>3437</v>
      </c>
      <c r="E1015">
        <v>2</v>
      </c>
      <c r="F1015" t="s">
        <v>258</v>
      </c>
      <c r="G1015">
        <v>1</v>
      </c>
      <c r="H1015" t="s">
        <v>27</v>
      </c>
      <c r="I1015">
        <v>2411</v>
      </c>
      <c r="J1015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1015" s="43">
        <f>IFERROR(SUMIFS(Tabela10[Fod Worth],Tabela10[Drop],DropAnalityka[[#This Row],[Drop]],Tabela10[Grade],DropAnalityka[[#This Row],[Grade]])*DropAnalityka[[#This Row],[Quality/Quantity]],0)</f>
        <v>0</v>
      </c>
      <c r="L1015" s="43">
        <f>IFERROR(SUMIFS(Tabela10[Exp Gain only 2*+],Tabela10[Drop],DropAnalityka[[#This Row],[Drop]],Tabela10[Grade],DropAnalityka[[#This Row],[Grade]])*DropAnalityka[[#This Row],[Quality/Quantity]],0)</f>
        <v>0</v>
      </c>
    </row>
    <row r="1016" spans="1:12">
      <c r="A1016" t="s">
        <v>172</v>
      </c>
      <c r="B1016" t="s">
        <v>9</v>
      </c>
      <c r="C1016">
        <v>7</v>
      </c>
      <c r="D1016">
        <v>2966</v>
      </c>
      <c r="E1016">
        <v>2</v>
      </c>
      <c r="F1016" t="s">
        <v>205</v>
      </c>
      <c r="G1016">
        <v>2</v>
      </c>
      <c r="H1016" t="s">
        <v>26</v>
      </c>
      <c r="I1016">
        <v>0</v>
      </c>
      <c r="J10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16" s="43">
        <f>IFERROR(SUMIFS(Tabela10[Fod Worth],Tabela10[Drop],DropAnalityka[[#This Row],[Drop]],Tabela10[Grade],DropAnalityka[[#This Row],[Grade]])*DropAnalityka[[#This Row],[Quality/Quantity]],0)</f>
        <v>1725</v>
      </c>
      <c r="L1016" s="43">
        <f>IFERROR(SUMIFS(Tabela10[Exp Gain only 2*+],Tabela10[Drop],DropAnalityka[[#This Row],[Drop]],Tabela10[Grade],DropAnalityka[[#This Row],[Grade]])*DropAnalityka[[#This Row],[Quality/Quantity]],0)</f>
        <v>1791.1</v>
      </c>
    </row>
    <row r="1017" spans="1:12">
      <c r="A1017" t="s">
        <v>172</v>
      </c>
      <c r="B1017" t="s">
        <v>9</v>
      </c>
      <c r="C1017">
        <v>7</v>
      </c>
      <c r="D1017">
        <v>3352</v>
      </c>
      <c r="E1017">
        <v>1</v>
      </c>
      <c r="F1017" t="s">
        <v>291</v>
      </c>
      <c r="G1017">
        <v>1</v>
      </c>
      <c r="H1017" t="s">
        <v>27</v>
      </c>
      <c r="I1017">
        <v>6615</v>
      </c>
      <c r="J1017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017" s="43">
        <f>IFERROR(SUMIFS(Tabela10[Fod Worth],Tabela10[Drop],DropAnalityka[[#This Row],[Drop]],Tabela10[Grade],DropAnalityka[[#This Row],[Grade]])*DropAnalityka[[#This Row],[Quality/Quantity]],0)</f>
        <v>0</v>
      </c>
      <c r="L1017" s="43">
        <f>IFERROR(SUMIFS(Tabela10[Exp Gain only 2*+],Tabela10[Drop],DropAnalityka[[#This Row],[Drop]],Tabela10[Grade],DropAnalityka[[#This Row],[Grade]])*DropAnalityka[[#This Row],[Quality/Quantity]],0)</f>
        <v>0</v>
      </c>
    </row>
    <row r="1018" spans="1:12">
      <c r="A1018" t="s">
        <v>172</v>
      </c>
      <c r="B1018" t="s">
        <v>9</v>
      </c>
      <c r="C1018">
        <v>7</v>
      </c>
      <c r="D1018">
        <v>2869</v>
      </c>
      <c r="E1018">
        <v>1</v>
      </c>
      <c r="F1018" t="s">
        <v>34</v>
      </c>
      <c r="G1018">
        <v>4</v>
      </c>
      <c r="H1018" t="s">
        <v>17</v>
      </c>
      <c r="I1018">
        <v>0</v>
      </c>
      <c r="J1018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18" s="43">
        <f>IFERROR(SUMIFS(Tabela10[Fod Worth],Tabela10[Drop],DropAnalityka[[#This Row],[Drop]],Tabela10[Grade],DropAnalityka[[#This Row],[Grade]])*DropAnalityka[[#This Row],[Quality/Quantity]],0)</f>
        <v>0</v>
      </c>
      <c r="L1018" s="43">
        <f>IFERROR(SUMIFS(Tabela10[Exp Gain only 2*+],Tabela10[Drop],DropAnalityka[[#This Row],[Drop]],Tabela10[Grade],DropAnalityka[[#This Row],[Grade]])*DropAnalityka[[#This Row],[Quality/Quantity]],0)</f>
        <v>3200</v>
      </c>
    </row>
    <row r="1019" spans="1:12">
      <c r="A1019" t="s">
        <v>172</v>
      </c>
      <c r="B1019" t="s">
        <v>9</v>
      </c>
      <c r="C1019">
        <v>7</v>
      </c>
      <c r="D1019">
        <v>2535</v>
      </c>
      <c r="E1019">
        <v>1</v>
      </c>
      <c r="F1019" t="s">
        <v>258</v>
      </c>
      <c r="G1019">
        <v>1</v>
      </c>
      <c r="H1019" t="s">
        <v>27</v>
      </c>
      <c r="I1019">
        <v>3307</v>
      </c>
      <c r="J1019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1019" s="43">
        <f>IFERROR(SUMIFS(Tabela10[Fod Worth],Tabela10[Drop],DropAnalityka[[#This Row],[Drop]],Tabela10[Grade],DropAnalityka[[#This Row],[Grade]])*DropAnalityka[[#This Row],[Quality/Quantity]],0)</f>
        <v>0</v>
      </c>
      <c r="L1019" s="43">
        <f>IFERROR(SUMIFS(Tabela10[Exp Gain only 2*+],Tabela10[Drop],DropAnalityka[[#This Row],[Drop]],Tabela10[Grade],DropAnalityka[[#This Row],[Grade]])*DropAnalityka[[#This Row],[Quality/Quantity]],0)</f>
        <v>0</v>
      </c>
    </row>
    <row r="1020" spans="1:12">
      <c r="A1020" t="s">
        <v>172</v>
      </c>
      <c r="B1020" t="s">
        <v>9</v>
      </c>
      <c r="C1020">
        <v>7</v>
      </c>
      <c r="D1020">
        <v>3507</v>
      </c>
      <c r="E1020">
        <v>0</v>
      </c>
      <c r="F1020" t="s">
        <v>58</v>
      </c>
      <c r="G1020">
        <v>1</v>
      </c>
      <c r="H1020" t="s">
        <v>12</v>
      </c>
      <c r="I1020">
        <v>0</v>
      </c>
      <c r="J10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20" s="43">
        <f>IFERROR(SUMIFS(Tabela10[Fod Worth],Tabela10[Drop],DropAnalityka[[#This Row],[Drop]],Tabela10[Grade],DropAnalityka[[#This Row],[Grade]])*DropAnalityka[[#This Row],[Quality/Quantity]],0)</f>
        <v>11500</v>
      </c>
      <c r="L1020" s="43">
        <f>IFERROR(SUMIFS(Tabela10[Exp Gain only 2*+],Tabela10[Drop],DropAnalityka[[#This Row],[Drop]],Tabela10[Grade],DropAnalityka[[#This Row],[Grade]])*DropAnalityka[[#This Row],[Quality/Quantity]],0)</f>
        <v>35822</v>
      </c>
    </row>
    <row r="1021" spans="1:12">
      <c r="A1021" t="s">
        <v>172</v>
      </c>
      <c r="B1021" t="s">
        <v>9</v>
      </c>
      <c r="C1021">
        <v>7</v>
      </c>
      <c r="D1021">
        <v>2571</v>
      </c>
      <c r="E1021">
        <v>0</v>
      </c>
      <c r="F1021" t="s">
        <v>34</v>
      </c>
      <c r="G1021">
        <v>3</v>
      </c>
      <c r="H1021" t="s">
        <v>17</v>
      </c>
      <c r="I1021">
        <v>0</v>
      </c>
      <c r="J1021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21" s="43">
        <f>IFERROR(SUMIFS(Tabela10[Fod Worth],Tabela10[Drop],DropAnalityka[[#This Row],[Drop]],Tabela10[Grade],DropAnalityka[[#This Row],[Grade]])*DropAnalityka[[#This Row],[Quality/Quantity]],0)</f>
        <v>0</v>
      </c>
      <c r="L1021" s="43">
        <f>IFERROR(SUMIFS(Tabela10[Exp Gain only 2*+],Tabela10[Drop],DropAnalityka[[#This Row],[Drop]],Tabela10[Grade],DropAnalityka[[#This Row],[Grade]])*DropAnalityka[[#This Row],[Quality/Quantity]],0)</f>
        <v>2400</v>
      </c>
    </row>
    <row r="1022" spans="1:12">
      <c r="A1022" t="s">
        <v>172</v>
      </c>
      <c r="B1022" t="s">
        <v>9</v>
      </c>
      <c r="C1022">
        <v>7</v>
      </c>
      <c r="D1022">
        <v>3364</v>
      </c>
      <c r="E1022">
        <v>1</v>
      </c>
      <c r="F1022" t="s">
        <v>258</v>
      </c>
      <c r="G1022">
        <v>1</v>
      </c>
      <c r="H1022" t="s">
        <v>27</v>
      </c>
      <c r="I1022">
        <v>2205</v>
      </c>
      <c r="J1022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22" s="43">
        <f>IFERROR(SUMIFS(Tabela10[Fod Worth],Tabela10[Drop],DropAnalityka[[#This Row],[Drop]],Tabela10[Grade],DropAnalityka[[#This Row],[Grade]])*DropAnalityka[[#This Row],[Quality/Quantity]],0)</f>
        <v>0</v>
      </c>
      <c r="L1022" s="43">
        <f>IFERROR(SUMIFS(Tabela10[Exp Gain only 2*+],Tabela10[Drop],DropAnalityka[[#This Row],[Drop]],Tabela10[Grade],DropAnalityka[[#This Row],[Grade]])*DropAnalityka[[#This Row],[Quality/Quantity]],0)</f>
        <v>0</v>
      </c>
    </row>
    <row r="1023" spans="1:12">
      <c r="A1023" t="s">
        <v>172</v>
      </c>
      <c r="B1023" t="s">
        <v>9</v>
      </c>
      <c r="C1023">
        <v>7</v>
      </c>
      <c r="D1023">
        <v>3190</v>
      </c>
      <c r="E1023">
        <v>1</v>
      </c>
      <c r="F1023" t="s">
        <v>34</v>
      </c>
      <c r="G1023">
        <v>3</v>
      </c>
      <c r="H1023" t="s">
        <v>17</v>
      </c>
      <c r="I1023">
        <v>0</v>
      </c>
      <c r="J1023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23" s="43">
        <f>IFERROR(SUMIFS(Tabela10[Fod Worth],Tabela10[Drop],DropAnalityka[[#This Row],[Drop]],Tabela10[Grade],DropAnalityka[[#This Row],[Grade]])*DropAnalityka[[#This Row],[Quality/Quantity]],0)</f>
        <v>0</v>
      </c>
      <c r="L1023" s="43">
        <f>IFERROR(SUMIFS(Tabela10[Exp Gain only 2*+],Tabela10[Drop],DropAnalityka[[#This Row],[Drop]],Tabela10[Grade],DropAnalityka[[#This Row],[Grade]])*DropAnalityka[[#This Row],[Quality/Quantity]],0)</f>
        <v>2400</v>
      </c>
    </row>
    <row r="1024" spans="1:12">
      <c r="A1024" t="s">
        <v>172</v>
      </c>
      <c r="B1024" t="s">
        <v>9</v>
      </c>
      <c r="C1024">
        <v>7</v>
      </c>
      <c r="D1024">
        <v>3129</v>
      </c>
      <c r="E1024">
        <v>0</v>
      </c>
      <c r="F1024" t="s">
        <v>34</v>
      </c>
      <c r="G1024">
        <v>4</v>
      </c>
      <c r="H1024" t="s">
        <v>17</v>
      </c>
      <c r="I1024">
        <v>0</v>
      </c>
      <c r="J102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24" s="43">
        <f>IFERROR(SUMIFS(Tabela10[Fod Worth],Tabela10[Drop],DropAnalityka[[#This Row],[Drop]],Tabela10[Grade],DropAnalityka[[#This Row],[Grade]])*DropAnalityka[[#This Row],[Quality/Quantity]],0)</f>
        <v>0</v>
      </c>
      <c r="L1024" s="43">
        <f>IFERROR(SUMIFS(Tabela10[Exp Gain only 2*+],Tabela10[Drop],DropAnalityka[[#This Row],[Drop]],Tabela10[Grade],DropAnalityka[[#This Row],[Grade]])*DropAnalityka[[#This Row],[Quality/Quantity]],0)</f>
        <v>3200</v>
      </c>
    </row>
    <row r="1025" spans="1:13">
      <c r="A1025" t="s">
        <v>172</v>
      </c>
      <c r="B1025" t="s">
        <v>9</v>
      </c>
      <c r="C1025">
        <v>7</v>
      </c>
      <c r="D1025">
        <v>3416</v>
      </c>
      <c r="E1025">
        <v>0</v>
      </c>
      <c r="F1025" t="s">
        <v>258</v>
      </c>
      <c r="G1025">
        <v>1</v>
      </c>
      <c r="H1025" t="s">
        <v>27</v>
      </c>
      <c r="I1025">
        <v>2894</v>
      </c>
      <c r="J1025">
        <f>DropAnalityka[[#This Row],[Sell Drop]]+IFERROR(SUMIFS(Tabela10[Drop Worth],Tabela10[Drop],DropAnalityka[[#This Row],[Drop]],Tabela10[Grade],DropAnalityka[[#This Row],[Grade]])*DropAnalityka[[#This Row],[Quality/Quantity]],0)</f>
        <v>2894</v>
      </c>
      <c r="K1025" s="43">
        <f>IFERROR(SUMIFS(Tabela10[Fod Worth],Tabela10[Drop],DropAnalityka[[#This Row],[Drop]],Tabela10[Grade],DropAnalityka[[#This Row],[Grade]])*DropAnalityka[[#This Row],[Quality/Quantity]],0)</f>
        <v>0</v>
      </c>
      <c r="L1025" s="43">
        <f>IFERROR(SUMIFS(Tabela10[Exp Gain only 2*+],Tabela10[Drop],DropAnalityka[[#This Row],[Drop]],Tabela10[Grade],DropAnalityka[[#This Row],[Grade]])*DropAnalityka[[#This Row],[Quality/Quantity]],0)</f>
        <v>0</v>
      </c>
    </row>
    <row r="1026" spans="1:13">
      <c r="A1026" t="s">
        <v>172</v>
      </c>
      <c r="B1026" t="s">
        <v>9</v>
      </c>
      <c r="C1026">
        <v>7</v>
      </c>
      <c r="D1026">
        <v>2949</v>
      </c>
      <c r="E1026">
        <v>2</v>
      </c>
      <c r="F1026" t="s">
        <v>258</v>
      </c>
      <c r="G1026">
        <v>1</v>
      </c>
      <c r="H1026" t="s">
        <v>28</v>
      </c>
      <c r="I1026">
        <v>5355</v>
      </c>
      <c r="J1026">
        <f>DropAnalityka[[#This Row],[Sell Drop]]+IFERROR(SUMIFS(Tabela10[Drop Worth],Tabela10[Drop],DropAnalityka[[#This Row],[Drop]],Tabela10[Grade],DropAnalityka[[#This Row],[Grade]])*DropAnalityka[[#This Row],[Quality/Quantity]],0)</f>
        <v>5355</v>
      </c>
      <c r="K1026" s="43">
        <f>IFERROR(SUMIFS(Tabela10[Fod Worth],Tabela10[Drop],DropAnalityka[[#This Row],[Drop]],Tabela10[Grade],DropAnalityka[[#This Row],[Grade]])*DropAnalityka[[#This Row],[Quality/Quantity]],0)</f>
        <v>0</v>
      </c>
      <c r="L1026" s="43">
        <f>IFERROR(SUMIFS(Tabela10[Exp Gain only 2*+],Tabela10[Drop],DropAnalityka[[#This Row],[Drop]],Tabela10[Grade],DropAnalityka[[#This Row],[Grade]])*DropAnalityka[[#This Row],[Quality/Quantity]],0)</f>
        <v>0</v>
      </c>
    </row>
    <row r="1027" spans="1:13">
      <c r="A1027" t="s">
        <v>172</v>
      </c>
      <c r="B1027" t="s">
        <v>9</v>
      </c>
      <c r="C1027">
        <v>7</v>
      </c>
      <c r="D1027">
        <v>2714</v>
      </c>
      <c r="E1027">
        <v>2</v>
      </c>
      <c r="F1027" t="s">
        <v>34</v>
      </c>
      <c r="G1027">
        <v>3</v>
      </c>
      <c r="H1027" t="s">
        <v>17</v>
      </c>
      <c r="I1027">
        <v>0</v>
      </c>
      <c r="J1027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27" s="43">
        <f>IFERROR(SUMIFS(Tabela10[Fod Worth],Tabela10[Drop],DropAnalityka[[#This Row],[Drop]],Tabela10[Grade],DropAnalityka[[#This Row],[Grade]])*DropAnalityka[[#This Row],[Quality/Quantity]],0)</f>
        <v>0</v>
      </c>
      <c r="L1027" s="43">
        <f>IFERROR(SUMIFS(Tabela10[Exp Gain only 2*+],Tabela10[Drop],DropAnalityka[[#This Row],[Drop]],Tabela10[Grade],DropAnalityka[[#This Row],[Grade]])*DropAnalityka[[#This Row],[Quality/Quantity]],0)</f>
        <v>2400</v>
      </c>
    </row>
    <row r="1028" spans="1:13">
      <c r="A1028" t="s">
        <v>172</v>
      </c>
      <c r="B1028" t="s">
        <v>9</v>
      </c>
      <c r="C1028">
        <v>7</v>
      </c>
      <c r="D1028">
        <v>2949</v>
      </c>
      <c r="E1028">
        <v>1</v>
      </c>
      <c r="F1028" t="s">
        <v>34</v>
      </c>
      <c r="G1028">
        <v>4</v>
      </c>
      <c r="H1028" t="s">
        <v>17</v>
      </c>
      <c r="I1028">
        <v>0</v>
      </c>
      <c r="J1028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28" s="43">
        <f>IFERROR(SUMIFS(Tabela10[Fod Worth],Tabela10[Drop],DropAnalityka[[#This Row],[Drop]],Tabela10[Grade],DropAnalityka[[#This Row],[Grade]])*DropAnalityka[[#This Row],[Quality/Quantity]],0)</f>
        <v>0</v>
      </c>
      <c r="L1028" s="43">
        <f>IFERROR(SUMIFS(Tabela10[Exp Gain only 2*+],Tabela10[Drop],DropAnalityka[[#This Row],[Drop]],Tabela10[Grade],DropAnalityka[[#This Row],[Grade]])*DropAnalityka[[#This Row],[Quality/Quantity]],0)</f>
        <v>3200</v>
      </c>
    </row>
    <row r="1029" spans="1:13">
      <c r="A1029" t="s">
        <v>172</v>
      </c>
      <c r="B1029" t="s">
        <v>9</v>
      </c>
      <c r="C1029">
        <v>7</v>
      </c>
      <c r="D1029">
        <v>3175</v>
      </c>
      <c r="E1029">
        <v>0</v>
      </c>
      <c r="F1029" t="s">
        <v>34</v>
      </c>
      <c r="G1029">
        <v>3</v>
      </c>
      <c r="H1029" t="s">
        <v>17</v>
      </c>
      <c r="I1029">
        <v>0</v>
      </c>
      <c r="J1029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29" s="43">
        <f>IFERROR(SUMIFS(Tabela10[Fod Worth],Tabela10[Drop],DropAnalityka[[#This Row],[Drop]],Tabela10[Grade],DropAnalityka[[#This Row],[Grade]])*DropAnalityka[[#This Row],[Quality/Quantity]],0)</f>
        <v>0</v>
      </c>
      <c r="L1029" s="43">
        <f>IFERROR(SUMIFS(Tabela10[Exp Gain only 2*+],Tabela10[Drop],DropAnalityka[[#This Row],[Drop]],Tabela10[Grade],DropAnalityka[[#This Row],[Grade]])*DropAnalityka[[#This Row],[Quality/Quantity]],0)</f>
        <v>2400</v>
      </c>
    </row>
    <row r="1030" spans="1:13">
      <c r="A1030" t="s">
        <v>172</v>
      </c>
      <c r="B1030" t="s">
        <v>9</v>
      </c>
      <c r="C1030">
        <v>7</v>
      </c>
      <c r="D1030">
        <v>3045</v>
      </c>
      <c r="E1030">
        <v>0</v>
      </c>
      <c r="F1030" t="s">
        <v>258</v>
      </c>
      <c r="G1030">
        <v>1</v>
      </c>
      <c r="H1030" t="s">
        <v>27</v>
      </c>
      <c r="I1030">
        <v>3514</v>
      </c>
      <c r="J1030">
        <f>DropAnalityka[[#This Row],[Sell Drop]]+IFERROR(SUMIFS(Tabela10[Drop Worth],Tabela10[Drop],DropAnalityka[[#This Row],[Drop]],Tabela10[Grade],DropAnalityka[[#This Row],[Grade]])*DropAnalityka[[#This Row],[Quality/Quantity]],0)</f>
        <v>3514</v>
      </c>
      <c r="K1030" s="43">
        <f>IFERROR(SUMIFS(Tabela10[Fod Worth],Tabela10[Drop],DropAnalityka[[#This Row],[Drop]],Tabela10[Grade],DropAnalityka[[#This Row],[Grade]])*DropAnalityka[[#This Row],[Quality/Quantity]],0)</f>
        <v>0</v>
      </c>
      <c r="L1030" s="43">
        <f>IFERROR(SUMIFS(Tabela10[Exp Gain only 2*+],Tabela10[Drop],DropAnalityka[[#This Row],[Drop]],Tabela10[Grade],DropAnalityka[[#This Row],[Grade]])*DropAnalityka[[#This Row],[Quality/Quantity]],0)</f>
        <v>0</v>
      </c>
    </row>
    <row r="1031" spans="1:13">
      <c r="A1031" t="s">
        <v>172</v>
      </c>
      <c r="B1031" t="s">
        <v>9</v>
      </c>
      <c r="C1031">
        <v>7</v>
      </c>
      <c r="D1031">
        <v>3609</v>
      </c>
      <c r="E1031">
        <v>1</v>
      </c>
      <c r="F1031" t="s">
        <v>34</v>
      </c>
      <c r="G1031">
        <v>3</v>
      </c>
      <c r="H1031" t="s">
        <v>17</v>
      </c>
      <c r="I1031">
        <v>0</v>
      </c>
      <c r="J1031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31" s="43">
        <f>IFERROR(SUMIFS(Tabela10[Fod Worth],Tabela10[Drop],DropAnalityka[[#This Row],[Drop]],Tabela10[Grade],DropAnalityka[[#This Row],[Grade]])*DropAnalityka[[#This Row],[Quality/Quantity]],0)</f>
        <v>0</v>
      </c>
      <c r="L1031" s="43">
        <f>IFERROR(SUMIFS(Tabela10[Exp Gain only 2*+],Tabela10[Drop],DropAnalityka[[#This Row],[Drop]],Tabela10[Grade],DropAnalityka[[#This Row],[Grade]])*DropAnalityka[[#This Row],[Quality/Quantity]],0)</f>
        <v>2400</v>
      </c>
    </row>
    <row r="1032" spans="1:13">
      <c r="A1032" t="s">
        <v>172</v>
      </c>
      <c r="B1032" t="s">
        <v>9</v>
      </c>
      <c r="C1032">
        <v>7</v>
      </c>
      <c r="D1032">
        <v>2795</v>
      </c>
      <c r="E1032">
        <v>1</v>
      </c>
      <c r="F1032" t="s">
        <v>258</v>
      </c>
      <c r="G1032">
        <v>1</v>
      </c>
      <c r="H1032" t="s">
        <v>27</v>
      </c>
      <c r="I1032">
        <v>3675</v>
      </c>
      <c r="J1032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032" s="43">
        <f>IFERROR(SUMIFS(Tabela10[Fod Worth],Tabela10[Drop],DropAnalityka[[#This Row],[Drop]],Tabela10[Grade],DropAnalityka[[#This Row],[Grade]])*DropAnalityka[[#This Row],[Quality/Quantity]],0)</f>
        <v>0</v>
      </c>
      <c r="L1032" s="43">
        <f>IFERROR(SUMIFS(Tabela10[Exp Gain only 2*+],Tabela10[Drop],DropAnalityka[[#This Row],[Drop]],Tabela10[Grade],DropAnalityka[[#This Row],[Grade]])*DropAnalityka[[#This Row],[Quality/Quantity]],0)</f>
        <v>0</v>
      </c>
    </row>
    <row r="1033" spans="1:13">
      <c r="A1033" t="s">
        <v>172</v>
      </c>
      <c r="B1033" t="s">
        <v>9</v>
      </c>
      <c r="C1033">
        <v>7</v>
      </c>
      <c r="D1033">
        <v>3324</v>
      </c>
      <c r="E1033">
        <v>0</v>
      </c>
      <c r="F1033" t="s">
        <v>258</v>
      </c>
      <c r="G1033">
        <v>1</v>
      </c>
      <c r="H1033" t="s">
        <v>27</v>
      </c>
      <c r="I1033">
        <v>2205</v>
      </c>
      <c r="J1033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33" s="43">
        <f>IFERROR(SUMIFS(Tabela10[Fod Worth],Tabela10[Drop],DropAnalityka[[#This Row],[Drop]],Tabela10[Grade],DropAnalityka[[#This Row],[Grade]])*DropAnalityka[[#This Row],[Quality/Quantity]],0)</f>
        <v>0</v>
      </c>
      <c r="L1033" s="43">
        <f>IFERROR(SUMIFS(Tabela10[Exp Gain only 2*+],Tabela10[Drop],DropAnalityka[[#This Row],[Drop]],Tabela10[Grade],DropAnalityka[[#This Row],[Grade]])*DropAnalityka[[#This Row],[Quality/Quantity]],0)</f>
        <v>0</v>
      </c>
    </row>
    <row r="1034" spans="1:13">
      <c r="A1034" t="s">
        <v>172</v>
      </c>
      <c r="B1034" t="s">
        <v>9</v>
      </c>
      <c r="C1034">
        <v>7</v>
      </c>
      <c r="D1034">
        <v>2600</v>
      </c>
      <c r="E1034">
        <v>0</v>
      </c>
      <c r="F1034" t="s">
        <v>34</v>
      </c>
      <c r="G1034">
        <v>3</v>
      </c>
      <c r="H1034" t="s">
        <v>17</v>
      </c>
      <c r="I1034">
        <v>0</v>
      </c>
      <c r="J1034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34" s="43">
        <f>IFERROR(SUMIFS(Tabela10[Fod Worth],Tabela10[Drop],DropAnalityka[[#This Row],[Drop]],Tabela10[Grade],DropAnalityka[[#This Row],[Grade]])*DropAnalityka[[#This Row],[Quality/Quantity]],0)</f>
        <v>0</v>
      </c>
      <c r="L1034" s="43">
        <f>IFERROR(SUMIFS(Tabela10[Exp Gain only 2*+],Tabela10[Drop],DropAnalityka[[#This Row],[Drop]],Tabela10[Grade],DropAnalityka[[#This Row],[Grade]])*DropAnalityka[[#This Row],[Quality/Quantity]],0)</f>
        <v>2400</v>
      </c>
    </row>
    <row r="1035" spans="1:13">
      <c r="A1035" t="s">
        <v>172</v>
      </c>
      <c r="B1035" t="s">
        <v>9</v>
      </c>
      <c r="C1035">
        <v>7</v>
      </c>
      <c r="D1035">
        <v>2789</v>
      </c>
      <c r="E1035">
        <v>1</v>
      </c>
      <c r="F1035" t="s">
        <v>291</v>
      </c>
      <c r="G1035">
        <v>1</v>
      </c>
      <c r="H1035" t="s">
        <v>27</v>
      </c>
      <c r="I1035">
        <v>3675</v>
      </c>
      <c r="J1035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035" s="43">
        <f>IFERROR(SUMIFS(Tabela10[Fod Worth],Tabela10[Drop],DropAnalityka[[#This Row],[Drop]],Tabela10[Grade],DropAnalityka[[#This Row],[Grade]])*DropAnalityka[[#This Row],[Quality/Quantity]],0)</f>
        <v>0</v>
      </c>
      <c r="L1035" s="43">
        <f>IFERROR(SUMIFS(Tabela10[Exp Gain only 2*+],Tabela10[Drop],DropAnalityka[[#This Row],[Drop]],Tabela10[Grade],DropAnalityka[[#This Row],[Grade]])*DropAnalityka[[#This Row],[Quality/Quantity]],0)</f>
        <v>0</v>
      </c>
    </row>
    <row r="1036" spans="1:13">
      <c r="A1036" t="s">
        <v>172</v>
      </c>
      <c r="B1036" t="s">
        <v>9</v>
      </c>
      <c r="C1036">
        <v>7</v>
      </c>
      <c r="D1036">
        <v>3263</v>
      </c>
      <c r="E1036">
        <v>1</v>
      </c>
      <c r="F1036" t="s">
        <v>291</v>
      </c>
      <c r="G1036">
        <v>1</v>
      </c>
      <c r="H1036" t="s">
        <v>28</v>
      </c>
      <c r="I1036">
        <v>13005</v>
      </c>
      <c r="J1036">
        <f>DropAnalityka[[#This Row],[Sell Drop]]+IFERROR(SUMIFS(Tabela10[Drop Worth],Tabela10[Drop],DropAnalityka[[#This Row],[Drop]],Tabela10[Grade],DropAnalityka[[#This Row],[Grade]])*DropAnalityka[[#This Row],[Quality/Quantity]],0)</f>
        <v>13005</v>
      </c>
      <c r="K1036" s="43">
        <f>IFERROR(SUMIFS(Tabela10[Fod Worth],Tabela10[Drop],DropAnalityka[[#This Row],[Drop]],Tabela10[Grade],DropAnalityka[[#This Row],[Grade]])*DropAnalityka[[#This Row],[Quality/Quantity]],0)</f>
        <v>0</v>
      </c>
      <c r="L1036" s="43">
        <f>IFERROR(SUMIFS(Tabela10[Exp Gain only 2*+],Tabela10[Drop],DropAnalityka[[#This Row],[Drop]],Tabela10[Grade],DropAnalityka[[#This Row],[Grade]])*DropAnalityka[[#This Row],[Quality/Quantity]],0)</f>
        <v>0</v>
      </c>
    </row>
    <row r="1037" spans="1:13">
      <c r="A1037" t="s">
        <v>172</v>
      </c>
      <c r="B1037" t="s">
        <v>9</v>
      </c>
      <c r="C1037">
        <v>7</v>
      </c>
      <c r="D1037">
        <v>3037</v>
      </c>
      <c r="E1037">
        <v>2</v>
      </c>
      <c r="F1037" t="s">
        <v>34</v>
      </c>
      <c r="G1037">
        <v>3</v>
      </c>
      <c r="H1037" t="s">
        <v>17</v>
      </c>
      <c r="I1037">
        <v>0</v>
      </c>
      <c r="J1037">
        <f>DropAnalityka[[#This Row],[Sell Drop]]+IFERROR(SUMIFS(Tabela10[Drop Worth],Tabela10[Drop],DropAnalityka[[#This Row],[Drop]],Tabela10[Grade],DropAnalityka[[#This Row],[Grade]])*DropAnalityka[[#This Row],[Quality/Quantity]],0)</f>
        <v>6000</v>
      </c>
      <c r="K1037" s="43">
        <f>IFERROR(SUMIFS(Tabela10[Fod Worth],Tabela10[Drop],DropAnalityka[[#This Row],[Drop]],Tabela10[Grade],DropAnalityka[[#This Row],[Grade]])*DropAnalityka[[#This Row],[Quality/Quantity]],0)</f>
        <v>0</v>
      </c>
      <c r="L1037" s="43">
        <f>IFERROR(SUMIFS(Tabela10[Exp Gain only 2*+],Tabela10[Drop],DropAnalityka[[#This Row],[Drop]],Tabela10[Grade],DropAnalityka[[#This Row],[Grade]])*DropAnalityka[[#This Row],[Quality/Quantity]],0)</f>
        <v>2400</v>
      </c>
    </row>
    <row r="1038" spans="1:13">
      <c r="A1038" t="s">
        <v>172</v>
      </c>
      <c r="B1038" t="s">
        <v>9</v>
      </c>
      <c r="C1038">
        <v>7</v>
      </c>
      <c r="D1038">
        <v>1028</v>
      </c>
      <c r="E1038">
        <v>2</v>
      </c>
      <c r="I1038">
        <v>0</v>
      </c>
      <c r="J10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38" s="43">
        <f>IFERROR(SUMIFS(Tabela10[Fod Worth],Tabela10[Drop],DropAnalityka[[#This Row],[Drop]],Tabela10[Grade],DropAnalityka[[#This Row],[Grade]])*DropAnalityka[[#This Row],[Quality/Quantity]],0)</f>
        <v>0</v>
      </c>
      <c r="L1038" s="43">
        <f>IFERROR(SUMIFS(Tabela10[Exp Gain only 2*+],Tabela10[Drop],DropAnalityka[[#This Row],[Drop]],Tabela10[Grade],DropAnalityka[[#This Row],[Grade]])*DropAnalityka[[#This Row],[Quality/Quantity]],0)</f>
        <v>0</v>
      </c>
      <c r="M1038" t="s">
        <v>204</v>
      </c>
    </row>
    <row r="1039" spans="1:13">
      <c r="A1039" t="s">
        <v>172</v>
      </c>
      <c r="B1039" t="s">
        <v>9</v>
      </c>
      <c r="C1039">
        <v>8</v>
      </c>
      <c r="D1039">
        <v>3555</v>
      </c>
      <c r="E1039">
        <v>0</v>
      </c>
      <c r="F1039" t="s">
        <v>34</v>
      </c>
      <c r="G1039">
        <v>5</v>
      </c>
      <c r="H1039" t="s">
        <v>17</v>
      </c>
      <c r="I1039">
        <v>0</v>
      </c>
      <c r="J1039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039" s="43">
        <f>IFERROR(SUMIFS(Tabela10[Fod Worth],Tabela10[Drop],DropAnalityka[[#This Row],[Drop]],Tabela10[Grade],DropAnalityka[[#This Row],[Grade]])*DropAnalityka[[#This Row],[Quality/Quantity]],0)</f>
        <v>0</v>
      </c>
      <c r="L1039" s="43">
        <f>IFERROR(SUMIFS(Tabela10[Exp Gain only 2*+],Tabela10[Drop],DropAnalityka[[#This Row],[Drop]],Tabela10[Grade],DropAnalityka[[#This Row],[Grade]])*DropAnalityka[[#This Row],[Quality/Quantity]],0)</f>
        <v>4000</v>
      </c>
    </row>
    <row r="1040" spans="1:13">
      <c r="A1040" t="s">
        <v>172</v>
      </c>
      <c r="B1040" t="s">
        <v>9</v>
      </c>
      <c r="C1040">
        <v>8</v>
      </c>
      <c r="D1040">
        <v>3633</v>
      </c>
      <c r="E1040">
        <v>0</v>
      </c>
      <c r="F1040" t="s">
        <v>34</v>
      </c>
      <c r="G1040">
        <v>4</v>
      </c>
      <c r="H1040" t="s">
        <v>17</v>
      </c>
      <c r="I1040">
        <v>0</v>
      </c>
      <c r="J104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40" s="43">
        <f>IFERROR(SUMIFS(Tabela10[Fod Worth],Tabela10[Drop],DropAnalityka[[#This Row],[Drop]],Tabela10[Grade],DropAnalityka[[#This Row],[Grade]])*DropAnalityka[[#This Row],[Quality/Quantity]],0)</f>
        <v>0</v>
      </c>
      <c r="L1040" s="43">
        <f>IFERROR(SUMIFS(Tabela10[Exp Gain only 2*+],Tabela10[Drop],DropAnalityka[[#This Row],[Drop]],Tabela10[Grade],DropAnalityka[[#This Row],[Grade]])*DropAnalityka[[#This Row],[Quality/Quantity]],0)</f>
        <v>3200</v>
      </c>
    </row>
    <row r="1041" spans="1:12">
      <c r="A1041" t="s">
        <v>172</v>
      </c>
      <c r="B1041" t="s">
        <v>9</v>
      </c>
      <c r="C1041">
        <v>8</v>
      </c>
      <c r="D1041">
        <v>3251</v>
      </c>
      <c r="E1041">
        <v>1</v>
      </c>
      <c r="F1041" t="s">
        <v>291</v>
      </c>
      <c r="G1041">
        <v>1</v>
      </c>
      <c r="H1041" t="s">
        <v>27</v>
      </c>
      <c r="I1041">
        <v>4134</v>
      </c>
      <c r="J1041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041" s="43">
        <f>IFERROR(SUMIFS(Tabela10[Fod Worth],Tabela10[Drop],DropAnalityka[[#This Row],[Drop]],Tabela10[Grade],DropAnalityka[[#This Row],[Grade]])*DropAnalityka[[#This Row],[Quality/Quantity]],0)</f>
        <v>0</v>
      </c>
      <c r="L1041" s="43">
        <f>IFERROR(SUMIFS(Tabela10[Exp Gain only 2*+],Tabela10[Drop],DropAnalityka[[#This Row],[Drop]],Tabela10[Grade],DropAnalityka[[#This Row],[Grade]])*DropAnalityka[[#This Row],[Quality/Quantity]],0)</f>
        <v>0</v>
      </c>
    </row>
    <row r="1042" spans="1:12">
      <c r="A1042" t="s">
        <v>172</v>
      </c>
      <c r="B1042" t="s">
        <v>9</v>
      </c>
      <c r="C1042">
        <v>8</v>
      </c>
      <c r="D1042">
        <v>3614</v>
      </c>
      <c r="E1042">
        <v>1</v>
      </c>
      <c r="F1042" t="s">
        <v>291</v>
      </c>
      <c r="G1042">
        <v>1</v>
      </c>
      <c r="H1042" t="s">
        <v>28</v>
      </c>
      <c r="I1042">
        <v>7947</v>
      </c>
      <c r="J1042">
        <f>DropAnalityka[[#This Row],[Sell Drop]]+IFERROR(SUMIFS(Tabela10[Drop Worth],Tabela10[Drop],DropAnalityka[[#This Row],[Drop]],Tabela10[Grade],DropAnalityka[[#This Row],[Grade]])*DropAnalityka[[#This Row],[Quality/Quantity]],0)</f>
        <v>7947</v>
      </c>
      <c r="K1042" s="43">
        <f>IFERROR(SUMIFS(Tabela10[Fod Worth],Tabela10[Drop],DropAnalityka[[#This Row],[Drop]],Tabela10[Grade],DropAnalityka[[#This Row],[Grade]])*DropAnalityka[[#This Row],[Quality/Quantity]],0)</f>
        <v>0</v>
      </c>
      <c r="L1042" s="43">
        <f>IFERROR(SUMIFS(Tabela10[Exp Gain only 2*+],Tabela10[Drop],DropAnalityka[[#This Row],[Drop]],Tabela10[Grade],DropAnalityka[[#This Row],[Grade]])*DropAnalityka[[#This Row],[Quality/Quantity]],0)</f>
        <v>0</v>
      </c>
    </row>
    <row r="1043" spans="1:12">
      <c r="A1043" t="s">
        <v>172</v>
      </c>
      <c r="B1043" t="s">
        <v>9</v>
      </c>
      <c r="C1043">
        <v>8</v>
      </c>
      <c r="D1043">
        <v>3238</v>
      </c>
      <c r="E1043">
        <v>1</v>
      </c>
      <c r="F1043" t="s">
        <v>258</v>
      </c>
      <c r="G1043">
        <v>1</v>
      </c>
      <c r="H1043" t="s">
        <v>27</v>
      </c>
      <c r="I1043">
        <v>4134</v>
      </c>
      <c r="J1043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043" s="43">
        <f>IFERROR(SUMIFS(Tabela10[Fod Worth],Tabela10[Drop],DropAnalityka[[#This Row],[Drop]],Tabela10[Grade],DropAnalityka[[#This Row],[Grade]])*DropAnalityka[[#This Row],[Quality/Quantity]],0)</f>
        <v>0</v>
      </c>
      <c r="L1043" s="43">
        <f>IFERROR(SUMIFS(Tabela10[Exp Gain only 2*+],Tabela10[Drop],DropAnalityka[[#This Row],[Drop]],Tabela10[Grade],DropAnalityka[[#This Row],[Grade]])*DropAnalityka[[#This Row],[Quality/Quantity]],0)</f>
        <v>0</v>
      </c>
    </row>
    <row r="1044" spans="1:12">
      <c r="A1044" t="s">
        <v>172</v>
      </c>
      <c r="B1044" t="s">
        <v>9</v>
      </c>
      <c r="C1044">
        <v>8</v>
      </c>
      <c r="D1044">
        <v>3097</v>
      </c>
      <c r="E1044">
        <v>0</v>
      </c>
      <c r="F1044" t="s">
        <v>258</v>
      </c>
      <c r="G1044">
        <v>1</v>
      </c>
      <c r="H1044" t="s">
        <v>27</v>
      </c>
      <c r="I1044">
        <v>3054</v>
      </c>
      <c r="J1044">
        <f>DropAnalityka[[#This Row],[Sell Drop]]+IFERROR(SUMIFS(Tabela10[Drop Worth],Tabela10[Drop],DropAnalityka[[#This Row],[Drop]],Tabela10[Grade],DropAnalityka[[#This Row],[Grade]])*DropAnalityka[[#This Row],[Quality/Quantity]],0)</f>
        <v>3054</v>
      </c>
      <c r="K1044" s="43">
        <f>IFERROR(SUMIFS(Tabela10[Fod Worth],Tabela10[Drop],DropAnalityka[[#This Row],[Drop]],Tabela10[Grade],DropAnalityka[[#This Row],[Grade]])*DropAnalityka[[#This Row],[Quality/Quantity]],0)</f>
        <v>0</v>
      </c>
      <c r="L1044" s="43">
        <f>IFERROR(SUMIFS(Tabela10[Exp Gain only 2*+],Tabela10[Drop],DropAnalityka[[#This Row],[Drop]],Tabela10[Grade],DropAnalityka[[#This Row],[Grade]])*DropAnalityka[[#This Row],[Quality/Quantity]],0)</f>
        <v>0</v>
      </c>
    </row>
    <row r="1045" spans="1:12">
      <c r="A1045" t="s">
        <v>172</v>
      </c>
      <c r="B1045" t="s">
        <v>9</v>
      </c>
      <c r="C1045">
        <v>8</v>
      </c>
      <c r="D1045">
        <v>2801</v>
      </c>
      <c r="E1045">
        <v>0</v>
      </c>
      <c r="F1045" t="s">
        <v>258</v>
      </c>
      <c r="G1045">
        <v>1</v>
      </c>
      <c r="H1045" t="s">
        <v>27</v>
      </c>
      <c r="I1045">
        <v>2618</v>
      </c>
      <c r="J1045">
        <f>DropAnalityka[[#This Row],[Sell Drop]]+IFERROR(SUMIFS(Tabela10[Drop Worth],Tabela10[Drop],DropAnalityka[[#This Row],[Drop]],Tabela10[Grade],DropAnalityka[[#This Row],[Grade]])*DropAnalityka[[#This Row],[Quality/Quantity]],0)</f>
        <v>2618</v>
      </c>
      <c r="K1045" s="43">
        <f>IFERROR(SUMIFS(Tabela10[Fod Worth],Tabela10[Drop],DropAnalityka[[#This Row],[Drop]],Tabela10[Grade],DropAnalityka[[#This Row],[Grade]])*DropAnalityka[[#This Row],[Quality/Quantity]],0)</f>
        <v>0</v>
      </c>
      <c r="L1045" s="43">
        <f>IFERROR(SUMIFS(Tabela10[Exp Gain only 2*+],Tabela10[Drop],DropAnalityka[[#This Row],[Drop]],Tabela10[Grade],DropAnalityka[[#This Row],[Grade]])*DropAnalityka[[#This Row],[Quality/Quantity]],0)</f>
        <v>0</v>
      </c>
    </row>
    <row r="1046" spans="1:12">
      <c r="A1046" t="s">
        <v>172</v>
      </c>
      <c r="B1046" t="s">
        <v>9</v>
      </c>
      <c r="C1046">
        <v>8</v>
      </c>
      <c r="D1046">
        <v>3150</v>
      </c>
      <c r="E1046">
        <v>0</v>
      </c>
      <c r="F1046" t="s">
        <v>258</v>
      </c>
      <c r="G1046">
        <v>1</v>
      </c>
      <c r="H1046" t="s">
        <v>28</v>
      </c>
      <c r="I1046">
        <v>5440</v>
      </c>
      <c r="J1046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046" s="43">
        <f>IFERROR(SUMIFS(Tabela10[Fod Worth],Tabela10[Drop],DropAnalityka[[#This Row],[Drop]],Tabela10[Grade],DropAnalityka[[#This Row],[Grade]])*DropAnalityka[[#This Row],[Quality/Quantity]],0)</f>
        <v>0</v>
      </c>
      <c r="L1046" s="43">
        <f>IFERROR(SUMIFS(Tabela10[Exp Gain only 2*+],Tabela10[Drop],DropAnalityka[[#This Row],[Drop]],Tabela10[Grade],DropAnalityka[[#This Row],[Grade]])*DropAnalityka[[#This Row],[Quality/Quantity]],0)</f>
        <v>0</v>
      </c>
    </row>
    <row r="1047" spans="1:12">
      <c r="A1047" t="s">
        <v>172</v>
      </c>
      <c r="B1047" t="s">
        <v>9</v>
      </c>
      <c r="C1047">
        <v>8</v>
      </c>
      <c r="D1047">
        <v>3588</v>
      </c>
      <c r="E1047">
        <v>1</v>
      </c>
      <c r="F1047" t="s">
        <v>258</v>
      </c>
      <c r="G1047">
        <v>1</v>
      </c>
      <c r="H1047" t="s">
        <v>28</v>
      </c>
      <c r="I1047">
        <v>6800</v>
      </c>
      <c r="J1047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047" s="43">
        <f>IFERROR(SUMIFS(Tabela10[Fod Worth],Tabela10[Drop],DropAnalityka[[#This Row],[Drop]],Tabela10[Grade],DropAnalityka[[#This Row],[Grade]])*DropAnalityka[[#This Row],[Quality/Quantity]],0)</f>
        <v>0</v>
      </c>
      <c r="L1047" s="43">
        <f>IFERROR(SUMIFS(Tabela10[Exp Gain only 2*+],Tabela10[Drop],DropAnalityka[[#This Row],[Drop]],Tabela10[Grade],DropAnalityka[[#This Row],[Grade]])*DropAnalityka[[#This Row],[Quality/Quantity]],0)</f>
        <v>0</v>
      </c>
    </row>
    <row r="1048" spans="1:12">
      <c r="A1048" t="s">
        <v>172</v>
      </c>
      <c r="B1048" t="s">
        <v>9</v>
      </c>
      <c r="C1048">
        <v>8</v>
      </c>
      <c r="D1048">
        <v>3318</v>
      </c>
      <c r="E1048">
        <v>1</v>
      </c>
      <c r="F1048" t="s">
        <v>34</v>
      </c>
      <c r="G1048">
        <v>1</v>
      </c>
      <c r="H1048" t="s">
        <v>27</v>
      </c>
      <c r="I1048">
        <v>0</v>
      </c>
      <c r="J10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48" s="43">
        <f>IFERROR(SUMIFS(Tabela10[Fod Worth],Tabela10[Drop],DropAnalityka[[#This Row],[Drop]],Tabela10[Grade],DropAnalityka[[#This Row],[Grade]])*DropAnalityka[[#This Row],[Quality/Quantity]],0)</f>
        <v>0</v>
      </c>
      <c r="L1048" s="43">
        <f>IFERROR(SUMIFS(Tabela10[Exp Gain only 2*+],Tabela10[Drop],DropAnalityka[[#This Row],[Drop]],Tabela10[Grade],DropAnalityka[[#This Row],[Grade]])*DropAnalityka[[#This Row],[Quality/Quantity]],0)</f>
        <v>0</v>
      </c>
    </row>
    <row r="1049" spans="1:12">
      <c r="A1049" t="s">
        <v>172</v>
      </c>
      <c r="B1049" t="s">
        <v>9</v>
      </c>
      <c r="C1049">
        <v>8</v>
      </c>
      <c r="D1049">
        <v>3137</v>
      </c>
      <c r="E1049">
        <v>0</v>
      </c>
      <c r="F1049" t="s">
        <v>291</v>
      </c>
      <c r="G1049">
        <v>1</v>
      </c>
      <c r="H1049" t="s">
        <v>27</v>
      </c>
      <c r="I1049">
        <v>3491</v>
      </c>
      <c r="J1049">
        <f>DropAnalityka[[#This Row],[Sell Drop]]+IFERROR(SUMIFS(Tabela10[Drop Worth],Tabela10[Drop],DropAnalityka[[#This Row],[Drop]],Tabela10[Grade],DropAnalityka[[#This Row],[Grade]])*DropAnalityka[[#This Row],[Quality/Quantity]],0)</f>
        <v>3491</v>
      </c>
      <c r="K1049" s="43">
        <f>IFERROR(SUMIFS(Tabela10[Fod Worth],Tabela10[Drop],DropAnalityka[[#This Row],[Drop]],Tabela10[Grade],DropAnalityka[[#This Row],[Grade]])*DropAnalityka[[#This Row],[Quality/Quantity]],0)</f>
        <v>0</v>
      </c>
      <c r="L1049" s="43">
        <f>IFERROR(SUMIFS(Tabela10[Exp Gain only 2*+],Tabela10[Drop],DropAnalityka[[#This Row],[Drop]],Tabela10[Grade],DropAnalityka[[#This Row],[Grade]])*DropAnalityka[[#This Row],[Quality/Quantity]],0)</f>
        <v>0</v>
      </c>
    </row>
    <row r="1050" spans="1:12">
      <c r="A1050" t="s">
        <v>172</v>
      </c>
      <c r="B1050" t="s">
        <v>9</v>
      </c>
      <c r="C1050">
        <v>8</v>
      </c>
      <c r="D1050">
        <v>3409</v>
      </c>
      <c r="E1050">
        <v>0</v>
      </c>
      <c r="F1050" t="s">
        <v>34</v>
      </c>
      <c r="G1050">
        <v>5</v>
      </c>
      <c r="H1050" t="s">
        <v>17</v>
      </c>
      <c r="I1050">
        <v>0</v>
      </c>
      <c r="J1050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050" s="43">
        <f>IFERROR(SUMIFS(Tabela10[Fod Worth],Tabela10[Drop],DropAnalityka[[#This Row],[Drop]],Tabela10[Grade],DropAnalityka[[#This Row],[Grade]])*DropAnalityka[[#This Row],[Quality/Quantity]],0)</f>
        <v>0</v>
      </c>
      <c r="L1050" s="43">
        <f>IFERROR(SUMIFS(Tabela10[Exp Gain only 2*+],Tabela10[Drop],DropAnalityka[[#This Row],[Drop]],Tabela10[Grade],DropAnalityka[[#This Row],[Grade]])*DropAnalityka[[#This Row],[Quality/Quantity]],0)</f>
        <v>4000</v>
      </c>
    </row>
    <row r="1051" spans="1:12">
      <c r="A1051" t="s">
        <v>172</v>
      </c>
      <c r="B1051" t="s">
        <v>9</v>
      </c>
      <c r="C1051">
        <v>8</v>
      </c>
      <c r="D1051">
        <v>3479</v>
      </c>
      <c r="E1051">
        <v>1</v>
      </c>
      <c r="F1051" t="s">
        <v>258</v>
      </c>
      <c r="G1051">
        <v>1</v>
      </c>
      <c r="H1051" t="s">
        <v>27</v>
      </c>
      <c r="I1051">
        <v>2411</v>
      </c>
      <c r="J1051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1051" s="43">
        <f>IFERROR(SUMIFS(Tabela10[Fod Worth],Tabela10[Drop],DropAnalityka[[#This Row],[Drop]],Tabela10[Grade],DropAnalityka[[#This Row],[Grade]])*DropAnalityka[[#This Row],[Quality/Quantity]],0)</f>
        <v>0</v>
      </c>
      <c r="L1051" s="43">
        <f>IFERROR(SUMIFS(Tabela10[Exp Gain only 2*+],Tabela10[Drop],DropAnalityka[[#This Row],[Drop]],Tabela10[Grade],DropAnalityka[[#This Row],[Grade]])*DropAnalityka[[#This Row],[Quality/Quantity]],0)</f>
        <v>0</v>
      </c>
    </row>
    <row r="1052" spans="1:12">
      <c r="A1052" t="s">
        <v>172</v>
      </c>
      <c r="B1052" t="s">
        <v>9</v>
      </c>
      <c r="C1052">
        <v>8</v>
      </c>
      <c r="D1052">
        <v>3505</v>
      </c>
      <c r="E1052">
        <v>2</v>
      </c>
      <c r="F1052" t="s">
        <v>291</v>
      </c>
      <c r="G1052">
        <v>1</v>
      </c>
      <c r="H1052" t="s">
        <v>28</v>
      </c>
      <c r="I1052">
        <v>7650</v>
      </c>
      <c r="J1052">
        <f>DropAnalityka[[#This Row],[Sell Drop]]+IFERROR(SUMIFS(Tabela10[Drop Worth],Tabela10[Drop],DropAnalityka[[#This Row],[Drop]],Tabela10[Grade],DropAnalityka[[#This Row],[Grade]])*DropAnalityka[[#This Row],[Quality/Quantity]],0)</f>
        <v>7650</v>
      </c>
      <c r="K1052" s="43">
        <f>IFERROR(SUMIFS(Tabela10[Fod Worth],Tabela10[Drop],DropAnalityka[[#This Row],[Drop]],Tabela10[Grade],DropAnalityka[[#This Row],[Grade]])*DropAnalityka[[#This Row],[Quality/Quantity]],0)</f>
        <v>0</v>
      </c>
      <c r="L1052" s="43">
        <f>IFERROR(SUMIFS(Tabela10[Exp Gain only 2*+],Tabela10[Drop],DropAnalityka[[#This Row],[Drop]],Tabela10[Grade],DropAnalityka[[#This Row],[Grade]])*DropAnalityka[[#This Row],[Quality/Quantity]],0)</f>
        <v>0</v>
      </c>
    </row>
    <row r="1053" spans="1:12">
      <c r="A1053" t="s">
        <v>172</v>
      </c>
      <c r="B1053" t="s">
        <v>9</v>
      </c>
      <c r="C1053">
        <v>8</v>
      </c>
      <c r="D1053">
        <v>3378</v>
      </c>
      <c r="E1053">
        <v>1</v>
      </c>
      <c r="F1053" t="s">
        <v>258</v>
      </c>
      <c r="G1053">
        <v>1</v>
      </c>
      <c r="H1053" t="s">
        <v>27</v>
      </c>
      <c r="I1053">
        <v>3675</v>
      </c>
      <c r="J1053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053" s="43">
        <f>IFERROR(SUMIFS(Tabela10[Fod Worth],Tabela10[Drop],DropAnalityka[[#This Row],[Drop]],Tabela10[Grade],DropAnalityka[[#This Row],[Grade]])*DropAnalityka[[#This Row],[Quality/Quantity]],0)</f>
        <v>0</v>
      </c>
      <c r="L1053" s="43">
        <f>IFERROR(SUMIFS(Tabela10[Exp Gain only 2*+],Tabela10[Drop],DropAnalityka[[#This Row],[Drop]],Tabela10[Grade],DropAnalityka[[#This Row],[Grade]])*DropAnalityka[[#This Row],[Quality/Quantity]],0)</f>
        <v>0</v>
      </c>
    </row>
    <row r="1054" spans="1:12">
      <c r="A1054" t="s">
        <v>172</v>
      </c>
      <c r="B1054" t="s">
        <v>9</v>
      </c>
      <c r="C1054">
        <v>8</v>
      </c>
      <c r="D1054">
        <v>3978</v>
      </c>
      <c r="E1054">
        <v>2</v>
      </c>
      <c r="F1054" t="s">
        <v>34</v>
      </c>
      <c r="G1054">
        <v>5</v>
      </c>
      <c r="H1054" t="s">
        <v>17</v>
      </c>
      <c r="I1054">
        <v>0</v>
      </c>
      <c r="J1054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054" s="43">
        <f>IFERROR(SUMIFS(Tabela10[Fod Worth],Tabela10[Drop],DropAnalityka[[#This Row],[Drop]],Tabela10[Grade],DropAnalityka[[#This Row],[Grade]])*DropAnalityka[[#This Row],[Quality/Quantity]],0)</f>
        <v>0</v>
      </c>
      <c r="L1054" s="43">
        <f>IFERROR(SUMIFS(Tabela10[Exp Gain only 2*+],Tabela10[Drop],DropAnalityka[[#This Row],[Drop]],Tabela10[Grade],DropAnalityka[[#This Row],[Grade]])*DropAnalityka[[#This Row],[Quality/Quantity]],0)</f>
        <v>4000</v>
      </c>
    </row>
    <row r="1055" spans="1:12">
      <c r="A1055" t="s">
        <v>172</v>
      </c>
      <c r="B1055" t="s">
        <v>9</v>
      </c>
      <c r="C1055">
        <v>8</v>
      </c>
      <c r="D1055">
        <v>4035</v>
      </c>
      <c r="E1055">
        <v>0</v>
      </c>
      <c r="F1055" t="s">
        <v>34</v>
      </c>
      <c r="G1055">
        <v>5</v>
      </c>
      <c r="H1055" t="s">
        <v>17</v>
      </c>
      <c r="I1055">
        <v>0</v>
      </c>
      <c r="J105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055" s="43">
        <f>IFERROR(SUMIFS(Tabela10[Fod Worth],Tabela10[Drop],DropAnalityka[[#This Row],[Drop]],Tabela10[Grade],DropAnalityka[[#This Row],[Grade]])*DropAnalityka[[#This Row],[Quality/Quantity]],0)</f>
        <v>0</v>
      </c>
      <c r="L1055" s="43">
        <f>IFERROR(SUMIFS(Tabela10[Exp Gain only 2*+],Tabela10[Drop],DropAnalityka[[#This Row],[Drop]],Tabela10[Grade],DropAnalityka[[#This Row],[Grade]])*DropAnalityka[[#This Row],[Quality/Quantity]],0)</f>
        <v>4000</v>
      </c>
    </row>
    <row r="1056" spans="1:12">
      <c r="A1056" t="s">
        <v>172</v>
      </c>
      <c r="B1056" t="s">
        <v>9</v>
      </c>
      <c r="C1056">
        <v>8</v>
      </c>
      <c r="D1056">
        <v>3616</v>
      </c>
      <c r="E1056">
        <v>1</v>
      </c>
      <c r="F1056" t="s">
        <v>34</v>
      </c>
      <c r="G1056">
        <v>5</v>
      </c>
      <c r="H1056" t="s">
        <v>17</v>
      </c>
      <c r="I1056">
        <v>0</v>
      </c>
      <c r="J105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056" s="43">
        <f>IFERROR(SUMIFS(Tabela10[Fod Worth],Tabela10[Drop],DropAnalityka[[#This Row],[Drop]],Tabela10[Grade],DropAnalityka[[#This Row],[Grade]])*DropAnalityka[[#This Row],[Quality/Quantity]],0)</f>
        <v>0</v>
      </c>
      <c r="L1056" s="43">
        <f>IFERROR(SUMIFS(Tabela10[Exp Gain only 2*+],Tabela10[Drop],DropAnalityka[[#This Row],[Drop]],Tabela10[Grade],DropAnalityka[[#This Row],[Grade]])*DropAnalityka[[#This Row],[Quality/Quantity]],0)</f>
        <v>4000</v>
      </c>
    </row>
    <row r="1057" spans="1:12">
      <c r="A1057" t="s">
        <v>172</v>
      </c>
      <c r="B1057" t="s">
        <v>9</v>
      </c>
      <c r="C1057">
        <v>8</v>
      </c>
      <c r="D1057">
        <v>3217</v>
      </c>
      <c r="E1057">
        <v>0</v>
      </c>
      <c r="F1057" t="s">
        <v>258</v>
      </c>
      <c r="G1057">
        <v>1</v>
      </c>
      <c r="H1057" t="s">
        <v>28</v>
      </c>
      <c r="I1057">
        <v>5440</v>
      </c>
      <c r="J1057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057" s="43">
        <f>IFERROR(SUMIFS(Tabela10[Fod Worth],Tabela10[Drop],DropAnalityka[[#This Row],[Drop]],Tabela10[Grade],DropAnalityka[[#This Row],[Grade]])*DropAnalityka[[#This Row],[Quality/Quantity]],0)</f>
        <v>0</v>
      </c>
      <c r="L1057" s="43">
        <f>IFERROR(SUMIFS(Tabela10[Exp Gain only 2*+],Tabela10[Drop],DropAnalityka[[#This Row],[Drop]],Tabela10[Grade],DropAnalityka[[#This Row],[Grade]])*DropAnalityka[[#This Row],[Quality/Quantity]],0)</f>
        <v>0</v>
      </c>
    </row>
    <row r="1058" spans="1:12">
      <c r="A1058" t="s">
        <v>172</v>
      </c>
      <c r="B1058" t="s">
        <v>9</v>
      </c>
      <c r="C1058">
        <v>8</v>
      </c>
      <c r="D1058">
        <v>3453</v>
      </c>
      <c r="E1058">
        <v>0</v>
      </c>
      <c r="F1058" t="s">
        <v>258</v>
      </c>
      <c r="G1058">
        <v>1</v>
      </c>
      <c r="H1058" t="s">
        <v>28</v>
      </c>
      <c r="I1058">
        <v>4080</v>
      </c>
      <c r="J1058">
        <f>DropAnalityka[[#This Row],[Sell Drop]]+IFERROR(SUMIFS(Tabela10[Drop Worth],Tabela10[Drop],DropAnalityka[[#This Row],[Drop]],Tabela10[Grade],DropAnalityka[[#This Row],[Grade]])*DropAnalityka[[#This Row],[Quality/Quantity]],0)</f>
        <v>4080</v>
      </c>
      <c r="K1058" s="43">
        <f>IFERROR(SUMIFS(Tabela10[Fod Worth],Tabela10[Drop],DropAnalityka[[#This Row],[Drop]],Tabela10[Grade],DropAnalityka[[#This Row],[Grade]])*DropAnalityka[[#This Row],[Quality/Quantity]],0)</f>
        <v>0</v>
      </c>
      <c r="L1058" s="43">
        <f>IFERROR(SUMIFS(Tabela10[Exp Gain only 2*+],Tabela10[Drop],DropAnalityka[[#This Row],[Drop]],Tabela10[Grade],DropAnalityka[[#This Row],[Grade]])*DropAnalityka[[#This Row],[Quality/Quantity]],0)</f>
        <v>0</v>
      </c>
    </row>
    <row r="1059" spans="1:12">
      <c r="A1059" t="s">
        <v>172</v>
      </c>
      <c r="B1059" t="s">
        <v>9</v>
      </c>
      <c r="C1059">
        <v>8</v>
      </c>
      <c r="D1059">
        <v>3773</v>
      </c>
      <c r="E1059">
        <v>1</v>
      </c>
      <c r="F1059" t="s">
        <v>291</v>
      </c>
      <c r="G1059">
        <v>1</v>
      </c>
      <c r="H1059" t="s">
        <v>27</v>
      </c>
      <c r="I1059">
        <v>4547</v>
      </c>
      <c r="J1059">
        <f>DropAnalityka[[#This Row],[Sell Drop]]+IFERROR(SUMIFS(Tabela10[Drop Worth],Tabela10[Drop],DropAnalityka[[#This Row],[Drop]],Tabela10[Grade],DropAnalityka[[#This Row],[Grade]])*DropAnalityka[[#This Row],[Quality/Quantity]],0)</f>
        <v>4547</v>
      </c>
      <c r="K1059" s="43">
        <f>IFERROR(SUMIFS(Tabela10[Fod Worth],Tabela10[Drop],DropAnalityka[[#This Row],[Drop]],Tabela10[Grade],DropAnalityka[[#This Row],[Grade]])*DropAnalityka[[#This Row],[Quality/Quantity]],0)</f>
        <v>0</v>
      </c>
      <c r="L1059" s="43">
        <f>IFERROR(SUMIFS(Tabela10[Exp Gain only 2*+],Tabela10[Drop],DropAnalityka[[#This Row],[Drop]],Tabela10[Grade],DropAnalityka[[#This Row],[Grade]])*DropAnalityka[[#This Row],[Quality/Quantity]],0)</f>
        <v>0</v>
      </c>
    </row>
    <row r="1060" spans="1:12">
      <c r="A1060" t="s">
        <v>172</v>
      </c>
      <c r="B1060" t="s">
        <v>9</v>
      </c>
      <c r="C1060">
        <v>8</v>
      </c>
      <c r="D1060">
        <v>3152</v>
      </c>
      <c r="E1060">
        <v>2</v>
      </c>
      <c r="F1060" t="s">
        <v>258</v>
      </c>
      <c r="G1060">
        <v>1</v>
      </c>
      <c r="H1060" t="s">
        <v>27</v>
      </c>
      <c r="I1060">
        <v>3100</v>
      </c>
      <c r="J1060">
        <f>DropAnalityka[[#This Row],[Sell Drop]]+IFERROR(SUMIFS(Tabela10[Drop Worth],Tabela10[Drop],DropAnalityka[[#This Row],[Drop]],Tabela10[Grade],DropAnalityka[[#This Row],[Grade]])*DropAnalityka[[#This Row],[Quality/Quantity]],0)</f>
        <v>3100</v>
      </c>
      <c r="K1060" s="43">
        <f>IFERROR(SUMIFS(Tabela10[Fod Worth],Tabela10[Drop],DropAnalityka[[#This Row],[Drop]],Tabela10[Grade],DropAnalityka[[#This Row],[Grade]])*DropAnalityka[[#This Row],[Quality/Quantity]],0)</f>
        <v>0</v>
      </c>
      <c r="L1060" s="43">
        <f>IFERROR(SUMIFS(Tabela10[Exp Gain only 2*+],Tabela10[Drop],DropAnalityka[[#This Row],[Drop]],Tabela10[Grade],DropAnalityka[[#This Row],[Grade]])*DropAnalityka[[#This Row],[Quality/Quantity]],0)</f>
        <v>0</v>
      </c>
    </row>
    <row r="1061" spans="1:12">
      <c r="A1061" t="s">
        <v>172</v>
      </c>
      <c r="B1061" t="s">
        <v>9</v>
      </c>
      <c r="C1061">
        <v>8</v>
      </c>
      <c r="D1061">
        <v>3199</v>
      </c>
      <c r="E1061">
        <v>2</v>
      </c>
      <c r="F1061" t="s">
        <v>34</v>
      </c>
      <c r="G1061">
        <v>4</v>
      </c>
      <c r="H1061" t="s">
        <v>17</v>
      </c>
      <c r="I1061">
        <v>0</v>
      </c>
      <c r="J106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061" s="43">
        <f>IFERROR(SUMIFS(Tabela10[Fod Worth],Tabela10[Drop],DropAnalityka[[#This Row],[Drop]],Tabela10[Grade],DropAnalityka[[#This Row],[Grade]])*DropAnalityka[[#This Row],[Quality/Quantity]],0)</f>
        <v>0</v>
      </c>
      <c r="L1061" s="43">
        <f>IFERROR(SUMIFS(Tabela10[Exp Gain only 2*+],Tabela10[Drop],DropAnalityka[[#This Row],[Drop]],Tabela10[Grade],DropAnalityka[[#This Row],[Grade]])*DropAnalityka[[#This Row],[Quality/Quantity]],0)</f>
        <v>3200</v>
      </c>
    </row>
    <row r="1062" spans="1:12">
      <c r="A1062" t="s">
        <v>172</v>
      </c>
      <c r="B1062" t="s">
        <v>9</v>
      </c>
      <c r="C1062">
        <v>8</v>
      </c>
      <c r="D1062">
        <v>3391</v>
      </c>
      <c r="E1062">
        <v>1</v>
      </c>
      <c r="F1062" t="s">
        <v>318</v>
      </c>
      <c r="G1062">
        <v>1</v>
      </c>
      <c r="H1062" t="s">
        <v>27</v>
      </c>
      <c r="I1062">
        <v>5512</v>
      </c>
      <c r="J1062">
        <f>DropAnalityka[[#This Row],[Sell Drop]]+IFERROR(SUMIFS(Tabela10[Drop Worth],Tabela10[Drop],DropAnalityka[[#This Row],[Drop]],Tabela10[Grade],DropAnalityka[[#This Row],[Grade]])*DropAnalityka[[#This Row],[Quality/Quantity]],0)</f>
        <v>5512</v>
      </c>
      <c r="K1062" s="43">
        <f>IFERROR(SUMIFS(Tabela10[Fod Worth],Tabela10[Drop],DropAnalityka[[#This Row],[Drop]],Tabela10[Grade],DropAnalityka[[#This Row],[Grade]])*DropAnalityka[[#This Row],[Quality/Quantity]],0)</f>
        <v>0</v>
      </c>
      <c r="L1062" s="43">
        <f>IFERROR(SUMIFS(Tabela10[Exp Gain only 2*+],Tabela10[Drop],DropAnalityka[[#This Row],[Drop]],Tabela10[Grade],DropAnalityka[[#This Row],[Grade]])*DropAnalityka[[#This Row],[Quality/Quantity]],0)</f>
        <v>0</v>
      </c>
    </row>
    <row r="1063" spans="1:12">
      <c r="A1063" t="s">
        <v>172</v>
      </c>
      <c r="B1063" t="s">
        <v>9</v>
      </c>
      <c r="C1063">
        <v>8</v>
      </c>
      <c r="D1063">
        <v>3826</v>
      </c>
      <c r="E1063">
        <v>0</v>
      </c>
      <c r="F1063" t="s">
        <v>258</v>
      </c>
      <c r="G1063">
        <v>1</v>
      </c>
      <c r="H1063" t="s">
        <v>28</v>
      </c>
      <c r="I1063">
        <v>6885</v>
      </c>
      <c r="J1063">
        <f>DropAnalityka[[#This Row],[Sell Drop]]+IFERROR(SUMIFS(Tabela10[Drop Worth],Tabela10[Drop],DropAnalityka[[#This Row],[Drop]],Tabela10[Grade],DropAnalityka[[#This Row],[Grade]])*DropAnalityka[[#This Row],[Quality/Quantity]],0)</f>
        <v>6885</v>
      </c>
      <c r="K1063" s="43">
        <f>IFERROR(SUMIFS(Tabela10[Fod Worth],Tabela10[Drop],DropAnalityka[[#This Row],[Drop]],Tabela10[Grade],DropAnalityka[[#This Row],[Grade]])*DropAnalityka[[#This Row],[Quality/Quantity]],0)</f>
        <v>0</v>
      </c>
      <c r="L1063" s="43">
        <f>IFERROR(SUMIFS(Tabela10[Exp Gain only 2*+],Tabela10[Drop],DropAnalityka[[#This Row],[Drop]],Tabela10[Grade],DropAnalityka[[#This Row],[Grade]])*DropAnalityka[[#This Row],[Quality/Quantity]],0)</f>
        <v>0</v>
      </c>
    </row>
    <row r="1064" spans="1:12">
      <c r="A1064" t="s">
        <v>286</v>
      </c>
      <c r="B1064" t="s">
        <v>32</v>
      </c>
      <c r="C1064">
        <v>5</v>
      </c>
      <c r="D1064">
        <v>2208</v>
      </c>
      <c r="E1064">
        <v>2</v>
      </c>
      <c r="I1064">
        <v>1236</v>
      </c>
      <c r="J1064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64" s="43">
        <f>IFERROR(SUMIFS(Tabela10[Fod Worth],Tabela10[Drop],DropAnalityka[[#This Row],[Drop]],Tabela10[Grade],DropAnalityka[[#This Row],[Grade]])*DropAnalityka[[#This Row],[Quality/Quantity]],0)</f>
        <v>0</v>
      </c>
      <c r="L1064" s="43">
        <f>IFERROR(SUMIFS(Tabela10[Exp Gain only 2*+],Tabela10[Drop],DropAnalityka[[#This Row],[Drop]],Tabela10[Grade],DropAnalityka[[#This Row],[Grade]])*DropAnalityka[[#This Row],[Quality/Quantity]],0)</f>
        <v>0</v>
      </c>
    </row>
    <row r="1065" spans="1:12">
      <c r="A1065" t="s">
        <v>286</v>
      </c>
      <c r="B1065" t="s">
        <v>32</v>
      </c>
      <c r="C1065">
        <v>5</v>
      </c>
      <c r="D1065">
        <v>2585</v>
      </c>
      <c r="E1065">
        <v>2</v>
      </c>
      <c r="I1065">
        <v>2205</v>
      </c>
      <c r="J1065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65" s="43">
        <f>IFERROR(SUMIFS(Tabela10[Fod Worth],Tabela10[Drop],DropAnalityka[[#This Row],[Drop]],Tabela10[Grade],DropAnalityka[[#This Row],[Grade]])*DropAnalityka[[#This Row],[Quality/Quantity]],0)</f>
        <v>0</v>
      </c>
      <c r="L1065" s="43">
        <f>IFERROR(SUMIFS(Tabela10[Exp Gain only 2*+],Tabela10[Drop],DropAnalityka[[#This Row],[Drop]],Tabela10[Grade],DropAnalityka[[#This Row],[Grade]])*DropAnalityka[[#This Row],[Quality/Quantity]],0)</f>
        <v>0</v>
      </c>
    </row>
    <row r="1066" spans="1:12">
      <c r="A1066" t="s">
        <v>286</v>
      </c>
      <c r="B1066" t="s">
        <v>32</v>
      </c>
      <c r="C1066">
        <v>5</v>
      </c>
      <c r="D1066">
        <v>2501</v>
      </c>
      <c r="E1066">
        <v>0</v>
      </c>
      <c r="I1066">
        <v>1236</v>
      </c>
      <c r="J1066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66" s="43">
        <f>IFERROR(SUMIFS(Tabela10[Fod Worth],Tabela10[Drop],DropAnalityka[[#This Row],[Drop]],Tabela10[Grade],DropAnalityka[[#This Row],[Grade]])*DropAnalityka[[#This Row],[Quality/Quantity]],0)</f>
        <v>0</v>
      </c>
      <c r="L1066" s="43">
        <f>IFERROR(SUMIFS(Tabela10[Exp Gain only 2*+],Tabela10[Drop],DropAnalityka[[#This Row],[Drop]],Tabela10[Grade],DropAnalityka[[#This Row],[Grade]])*DropAnalityka[[#This Row],[Quality/Quantity]],0)</f>
        <v>0</v>
      </c>
    </row>
    <row r="1067" spans="1:12">
      <c r="A1067" t="s">
        <v>286</v>
      </c>
      <c r="B1067" t="s">
        <v>32</v>
      </c>
      <c r="C1067">
        <v>5</v>
      </c>
      <c r="D1067">
        <v>1564</v>
      </c>
      <c r="E1067">
        <v>1</v>
      </c>
      <c r="I1067">
        <v>1236</v>
      </c>
      <c r="J1067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67" s="43">
        <f>IFERROR(SUMIFS(Tabela10[Fod Worth],Tabela10[Drop],DropAnalityka[[#This Row],[Drop]],Tabela10[Grade],DropAnalityka[[#This Row],[Grade]])*DropAnalityka[[#This Row],[Quality/Quantity]],0)</f>
        <v>0</v>
      </c>
      <c r="L1067" s="43">
        <f>IFERROR(SUMIFS(Tabela10[Exp Gain only 2*+],Tabela10[Drop],DropAnalityka[[#This Row],[Drop]],Tabela10[Grade],DropAnalityka[[#This Row],[Grade]])*DropAnalityka[[#This Row],[Quality/Quantity]],0)</f>
        <v>0</v>
      </c>
    </row>
    <row r="1068" spans="1:12">
      <c r="A1068" t="s">
        <v>286</v>
      </c>
      <c r="B1068" t="s">
        <v>32</v>
      </c>
      <c r="C1068">
        <v>5</v>
      </c>
      <c r="D1068">
        <v>1352</v>
      </c>
      <c r="E1068">
        <v>0</v>
      </c>
      <c r="I1068">
        <v>2205</v>
      </c>
      <c r="J1068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68" s="43">
        <f>IFERROR(SUMIFS(Tabela10[Fod Worth],Tabela10[Drop],DropAnalityka[[#This Row],[Drop]],Tabela10[Grade],DropAnalityka[[#This Row],[Grade]])*DropAnalityka[[#This Row],[Quality/Quantity]],0)</f>
        <v>0</v>
      </c>
      <c r="L1068" s="43">
        <f>IFERROR(SUMIFS(Tabela10[Exp Gain only 2*+],Tabela10[Drop],DropAnalityka[[#This Row],[Drop]],Tabela10[Grade],DropAnalityka[[#This Row],[Grade]])*DropAnalityka[[#This Row],[Quality/Quantity]],0)</f>
        <v>0</v>
      </c>
    </row>
    <row r="1069" spans="1:12">
      <c r="A1069" t="s">
        <v>286</v>
      </c>
      <c r="B1069" t="s">
        <v>32</v>
      </c>
      <c r="C1069">
        <v>5</v>
      </c>
      <c r="D1069">
        <v>828</v>
      </c>
      <c r="E1069">
        <v>0</v>
      </c>
      <c r="I1069">
        <v>1236</v>
      </c>
      <c r="J1069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69" s="43">
        <f>IFERROR(SUMIFS(Tabela10[Fod Worth],Tabela10[Drop],DropAnalityka[[#This Row],[Drop]],Tabela10[Grade],DropAnalityka[[#This Row],[Grade]])*DropAnalityka[[#This Row],[Quality/Quantity]],0)</f>
        <v>0</v>
      </c>
      <c r="L1069" s="43">
        <f>IFERROR(SUMIFS(Tabela10[Exp Gain only 2*+],Tabela10[Drop],DropAnalityka[[#This Row],[Drop]],Tabela10[Grade],DropAnalityka[[#This Row],[Grade]])*DropAnalityka[[#This Row],[Quality/Quantity]],0)</f>
        <v>0</v>
      </c>
    </row>
    <row r="1070" spans="1:12">
      <c r="A1070" t="s">
        <v>286</v>
      </c>
      <c r="B1070" t="s">
        <v>32</v>
      </c>
      <c r="C1070">
        <v>5</v>
      </c>
      <c r="D1070">
        <v>1020</v>
      </c>
      <c r="E1070">
        <v>1</v>
      </c>
      <c r="F1070" t="s">
        <v>264</v>
      </c>
      <c r="G1070">
        <v>2</v>
      </c>
      <c r="I1070">
        <v>0</v>
      </c>
      <c r="J10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70" s="43">
        <f>IFERROR(SUMIFS(Tabela10[Fod Worth],Tabela10[Drop],DropAnalityka[[#This Row],[Drop]],Tabela10[Grade],DropAnalityka[[#This Row],[Grade]])*DropAnalityka[[#This Row],[Quality/Quantity]],0)</f>
        <v>0</v>
      </c>
      <c r="L1070" s="43">
        <f>IFERROR(SUMIFS(Tabela10[Exp Gain only 2*+],Tabela10[Drop],DropAnalityka[[#This Row],[Drop]],Tabela10[Grade],DropAnalityka[[#This Row],[Grade]])*DropAnalityka[[#This Row],[Quality/Quantity]],0)</f>
        <v>0</v>
      </c>
    </row>
    <row r="1071" spans="1:12">
      <c r="A1071" t="s">
        <v>286</v>
      </c>
      <c r="B1071" t="s">
        <v>32</v>
      </c>
      <c r="C1071">
        <v>5</v>
      </c>
      <c r="D1071">
        <v>1937</v>
      </c>
      <c r="E1071">
        <v>1</v>
      </c>
      <c r="F1071" t="s">
        <v>264</v>
      </c>
      <c r="G1071">
        <v>3</v>
      </c>
      <c r="I1071">
        <v>0</v>
      </c>
      <c r="J10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71" s="43">
        <f>IFERROR(SUMIFS(Tabela10[Fod Worth],Tabela10[Drop],DropAnalityka[[#This Row],[Drop]],Tabela10[Grade],DropAnalityka[[#This Row],[Grade]])*DropAnalityka[[#This Row],[Quality/Quantity]],0)</f>
        <v>0</v>
      </c>
      <c r="L1071" s="43">
        <f>IFERROR(SUMIFS(Tabela10[Exp Gain only 2*+],Tabela10[Drop],DropAnalityka[[#This Row],[Drop]],Tabela10[Grade],DropAnalityka[[#This Row],[Grade]])*DropAnalityka[[#This Row],[Quality/Quantity]],0)</f>
        <v>0</v>
      </c>
    </row>
    <row r="1072" spans="1:12">
      <c r="A1072" t="s">
        <v>286</v>
      </c>
      <c r="B1072" t="s">
        <v>32</v>
      </c>
      <c r="C1072">
        <v>5</v>
      </c>
      <c r="D1072">
        <v>2126</v>
      </c>
      <c r="E1072">
        <v>1</v>
      </c>
      <c r="I1072">
        <v>1443</v>
      </c>
      <c r="J1072">
        <f>DropAnalityka[[#This Row],[Sell Drop]]+IFERROR(SUMIFS(Tabela10[Drop Worth],Tabela10[Drop],DropAnalityka[[#This Row],[Drop]],Tabela10[Grade],DropAnalityka[[#This Row],[Grade]])*DropAnalityka[[#This Row],[Quality/Quantity]],0)</f>
        <v>1443</v>
      </c>
      <c r="K1072" s="43">
        <f>IFERROR(SUMIFS(Tabela10[Fod Worth],Tabela10[Drop],DropAnalityka[[#This Row],[Drop]],Tabela10[Grade],DropAnalityka[[#This Row],[Grade]])*DropAnalityka[[#This Row],[Quality/Quantity]],0)</f>
        <v>0</v>
      </c>
      <c r="L1072" s="43">
        <f>IFERROR(SUMIFS(Tabela10[Exp Gain only 2*+],Tabela10[Drop],DropAnalityka[[#This Row],[Drop]],Tabela10[Grade],DropAnalityka[[#This Row],[Grade]])*DropAnalityka[[#This Row],[Quality/Quantity]],0)</f>
        <v>0</v>
      </c>
    </row>
    <row r="1073" spans="1:12">
      <c r="A1073" t="s">
        <v>286</v>
      </c>
      <c r="B1073" t="s">
        <v>32</v>
      </c>
      <c r="C1073">
        <v>5</v>
      </c>
      <c r="D1073">
        <v>1860</v>
      </c>
      <c r="E1073">
        <v>1</v>
      </c>
      <c r="I1073">
        <v>1236</v>
      </c>
      <c r="J1073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73" s="43">
        <f>IFERROR(SUMIFS(Tabela10[Fod Worth],Tabela10[Drop],DropAnalityka[[#This Row],[Drop]],Tabela10[Grade],DropAnalityka[[#This Row],[Grade]])*DropAnalityka[[#This Row],[Quality/Quantity]],0)</f>
        <v>0</v>
      </c>
      <c r="L1073" s="43">
        <f>IFERROR(SUMIFS(Tabela10[Exp Gain only 2*+],Tabela10[Drop],DropAnalityka[[#This Row],[Drop]],Tabela10[Grade],DropAnalityka[[#This Row],[Grade]])*DropAnalityka[[#This Row],[Quality/Quantity]],0)</f>
        <v>0</v>
      </c>
    </row>
    <row r="1074" spans="1:12">
      <c r="A1074" t="s">
        <v>286</v>
      </c>
      <c r="B1074" t="s">
        <v>32</v>
      </c>
      <c r="C1074">
        <v>5</v>
      </c>
      <c r="D1074">
        <v>1824</v>
      </c>
      <c r="E1074">
        <v>1</v>
      </c>
      <c r="I1074">
        <v>1236</v>
      </c>
      <c r="J1074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74" s="43">
        <f>IFERROR(SUMIFS(Tabela10[Fod Worth],Tabela10[Drop],DropAnalityka[[#This Row],[Drop]],Tabela10[Grade],DropAnalityka[[#This Row],[Grade]])*DropAnalityka[[#This Row],[Quality/Quantity]],0)</f>
        <v>0</v>
      </c>
      <c r="L1074" s="43">
        <f>IFERROR(SUMIFS(Tabela10[Exp Gain only 2*+],Tabela10[Drop],DropAnalityka[[#This Row],[Drop]],Tabela10[Grade],DropAnalityka[[#This Row],[Grade]])*DropAnalityka[[#This Row],[Quality/Quantity]],0)</f>
        <v>0</v>
      </c>
    </row>
    <row r="1075" spans="1:12">
      <c r="A1075" t="s">
        <v>286</v>
      </c>
      <c r="B1075" t="s">
        <v>32</v>
      </c>
      <c r="C1075">
        <v>5</v>
      </c>
      <c r="D1075">
        <v>1625</v>
      </c>
      <c r="E1075">
        <v>2</v>
      </c>
      <c r="I1075">
        <v>1236</v>
      </c>
      <c r="J1075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75" s="43">
        <f>IFERROR(SUMIFS(Tabela10[Fod Worth],Tabela10[Drop],DropAnalityka[[#This Row],[Drop]],Tabela10[Grade],DropAnalityka[[#This Row],[Grade]])*DropAnalityka[[#This Row],[Quality/Quantity]],0)</f>
        <v>0</v>
      </c>
      <c r="L1075" s="43">
        <f>IFERROR(SUMIFS(Tabela10[Exp Gain only 2*+],Tabela10[Drop],DropAnalityka[[#This Row],[Drop]],Tabela10[Grade],DropAnalityka[[#This Row],[Grade]])*DropAnalityka[[#This Row],[Quality/Quantity]],0)</f>
        <v>0</v>
      </c>
    </row>
    <row r="1076" spans="1:12">
      <c r="A1076" t="s">
        <v>31</v>
      </c>
      <c r="B1076" t="s">
        <v>30</v>
      </c>
      <c r="C1076">
        <v>11</v>
      </c>
      <c r="D1076">
        <v>1233</v>
      </c>
      <c r="E1076">
        <v>2</v>
      </c>
      <c r="I1076">
        <v>1824</v>
      </c>
      <c r="J107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76" s="43">
        <f>IFERROR(SUMIFS(Tabela10[Fod Worth],Tabela10[Drop],DropAnalityka[[#This Row],[Drop]],Tabela10[Grade],DropAnalityka[[#This Row],[Grade]])*DropAnalityka[[#This Row],[Quality/Quantity]],0)</f>
        <v>0</v>
      </c>
      <c r="L1076" s="43">
        <f>IFERROR(SUMIFS(Tabela10[Exp Gain only 2*+],Tabela10[Drop],DropAnalityka[[#This Row],[Drop]],Tabela10[Grade],DropAnalityka[[#This Row],[Grade]])*DropAnalityka[[#This Row],[Quality/Quantity]],0)</f>
        <v>0</v>
      </c>
    </row>
    <row r="1077" spans="1:12">
      <c r="A1077" t="s">
        <v>31</v>
      </c>
      <c r="B1077" t="s">
        <v>30</v>
      </c>
      <c r="C1077">
        <v>11</v>
      </c>
      <c r="D1077">
        <v>910</v>
      </c>
      <c r="E1077">
        <v>1</v>
      </c>
      <c r="I1077">
        <v>1824</v>
      </c>
      <c r="J107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77" s="43">
        <f>IFERROR(SUMIFS(Tabela10[Fod Worth],Tabela10[Drop],DropAnalityka[[#This Row],[Drop]],Tabela10[Grade],DropAnalityka[[#This Row],[Grade]])*DropAnalityka[[#This Row],[Quality/Quantity]],0)</f>
        <v>0</v>
      </c>
      <c r="L1077" s="43">
        <f>IFERROR(SUMIFS(Tabela10[Exp Gain only 2*+],Tabela10[Drop],DropAnalityka[[#This Row],[Drop]],Tabela10[Grade],DropAnalityka[[#This Row],[Grade]])*DropAnalityka[[#This Row],[Quality/Quantity]],0)</f>
        <v>0</v>
      </c>
    </row>
    <row r="1078" spans="1:12">
      <c r="A1078" t="s">
        <v>31</v>
      </c>
      <c r="B1078" t="s">
        <v>30</v>
      </c>
      <c r="C1078">
        <v>11</v>
      </c>
      <c r="D1078">
        <v>2073</v>
      </c>
      <c r="E1078">
        <v>0</v>
      </c>
      <c r="I1078">
        <v>1976</v>
      </c>
      <c r="J1078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1078" s="43">
        <f>IFERROR(SUMIFS(Tabela10[Fod Worth],Tabela10[Drop],DropAnalityka[[#This Row],[Drop]],Tabela10[Grade],DropAnalityka[[#This Row],[Grade]])*DropAnalityka[[#This Row],[Quality/Quantity]],0)</f>
        <v>0</v>
      </c>
      <c r="L1078" s="43">
        <f>IFERROR(SUMIFS(Tabela10[Exp Gain only 2*+],Tabela10[Drop],DropAnalityka[[#This Row],[Drop]],Tabela10[Grade],DropAnalityka[[#This Row],[Grade]])*DropAnalityka[[#This Row],[Quality/Quantity]],0)</f>
        <v>0</v>
      </c>
    </row>
    <row r="1079" spans="1:12">
      <c r="A1079" t="s">
        <v>31</v>
      </c>
      <c r="B1079" t="s">
        <v>30</v>
      </c>
      <c r="C1079">
        <v>11</v>
      </c>
      <c r="D1079">
        <v>1466</v>
      </c>
      <c r="E1079">
        <v>0</v>
      </c>
      <c r="I1079">
        <v>1976</v>
      </c>
      <c r="J1079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1079" s="43">
        <f>IFERROR(SUMIFS(Tabela10[Fod Worth],Tabela10[Drop],DropAnalityka[[#This Row],[Drop]],Tabela10[Grade],DropAnalityka[[#This Row],[Grade]])*DropAnalityka[[#This Row],[Quality/Quantity]],0)</f>
        <v>0</v>
      </c>
      <c r="L1079" s="43">
        <f>IFERROR(SUMIFS(Tabela10[Exp Gain only 2*+],Tabela10[Drop],DropAnalityka[[#This Row],[Drop]],Tabela10[Grade],DropAnalityka[[#This Row],[Grade]])*DropAnalityka[[#This Row],[Quality/Quantity]],0)</f>
        <v>0</v>
      </c>
    </row>
    <row r="1080" spans="1:12">
      <c r="A1080" t="s">
        <v>31</v>
      </c>
      <c r="B1080" t="s">
        <v>30</v>
      </c>
      <c r="C1080">
        <v>11</v>
      </c>
      <c r="D1080">
        <v>1067</v>
      </c>
      <c r="E1080">
        <v>3</v>
      </c>
      <c r="F1080" t="s">
        <v>57</v>
      </c>
      <c r="G1080">
        <v>1</v>
      </c>
      <c r="H1080" t="s">
        <v>12</v>
      </c>
      <c r="I1080">
        <v>0</v>
      </c>
      <c r="J10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80" s="43">
        <f>IFERROR(SUMIFS(Tabela10[Fod Worth],Tabela10[Drop],DropAnalityka[[#This Row],[Drop]],Tabela10[Grade],DropAnalityka[[#This Row],[Grade]])*DropAnalityka[[#This Row],[Quality/Quantity]],0)</f>
        <v>11500</v>
      </c>
      <c r="L1080" s="43">
        <f>IFERROR(SUMIFS(Tabela10[Exp Gain only 2*+],Tabela10[Drop],DropAnalityka[[#This Row],[Drop]],Tabela10[Grade],DropAnalityka[[#This Row],[Grade]])*DropAnalityka[[#This Row],[Quality/Quantity]],0)</f>
        <v>0</v>
      </c>
    </row>
    <row r="1081" spans="1:12">
      <c r="A1081" t="s">
        <v>31</v>
      </c>
      <c r="B1081" t="s">
        <v>30</v>
      </c>
      <c r="C1081">
        <v>11</v>
      </c>
      <c r="D1081">
        <v>1973</v>
      </c>
      <c r="E1081">
        <v>1</v>
      </c>
      <c r="I1081">
        <v>2937</v>
      </c>
      <c r="J1081">
        <f>DropAnalityka[[#This Row],[Sell Drop]]+IFERROR(SUMIFS(Tabela10[Drop Worth],Tabela10[Drop],DropAnalityka[[#This Row],[Drop]],Tabela10[Grade],DropAnalityka[[#This Row],[Grade]])*DropAnalityka[[#This Row],[Quality/Quantity]],0)</f>
        <v>2937</v>
      </c>
      <c r="K1081" s="43">
        <f>IFERROR(SUMIFS(Tabela10[Fod Worth],Tabela10[Drop],DropAnalityka[[#This Row],[Drop]],Tabela10[Grade],DropAnalityka[[#This Row],[Grade]])*DropAnalityka[[#This Row],[Quality/Quantity]],0)</f>
        <v>0</v>
      </c>
      <c r="L1081" s="43">
        <f>IFERROR(SUMIFS(Tabela10[Exp Gain only 2*+],Tabela10[Drop],DropAnalityka[[#This Row],[Drop]],Tabela10[Grade],DropAnalityka[[#This Row],[Grade]])*DropAnalityka[[#This Row],[Quality/Quantity]],0)</f>
        <v>0</v>
      </c>
    </row>
    <row r="1082" spans="1:12">
      <c r="A1082" t="s">
        <v>319</v>
      </c>
      <c r="B1082" t="s">
        <v>30</v>
      </c>
      <c r="C1082">
        <v>1</v>
      </c>
      <c r="D1082">
        <v>1544</v>
      </c>
      <c r="E1082">
        <v>0</v>
      </c>
      <c r="I1082">
        <v>1824</v>
      </c>
      <c r="J1082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2" s="43">
        <f>IFERROR(SUMIFS(Tabela10[Fod Worth],Tabela10[Drop],DropAnalityka[[#This Row],[Drop]],Tabela10[Grade],DropAnalityka[[#This Row],[Grade]])*DropAnalityka[[#This Row],[Quality/Quantity]],0)</f>
        <v>0</v>
      </c>
      <c r="L1082" s="43">
        <f>IFERROR(SUMIFS(Tabela10[Exp Gain only 2*+],Tabela10[Drop],DropAnalityka[[#This Row],[Drop]],Tabela10[Grade],DropAnalityka[[#This Row],[Grade]])*DropAnalityka[[#This Row],[Quality/Quantity]],0)</f>
        <v>0</v>
      </c>
    </row>
    <row r="1083" spans="1:12">
      <c r="A1083" t="s">
        <v>319</v>
      </c>
      <c r="B1083" t="s">
        <v>30</v>
      </c>
      <c r="C1083">
        <v>1</v>
      </c>
      <c r="D1083">
        <v>1180</v>
      </c>
      <c r="E1083">
        <v>0</v>
      </c>
      <c r="I1083">
        <v>1976</v>
      </c>
      <c r="J1083">
        <f>DropAnalityka[[#This Row],[Sell Drop]]+IFERROR(SUMIFS(Tabela10[Drop Worth],Tabela10[Drop],DropAnalityka[[#This Row],[Drop]],Tabela10[Grade],DropAnalityka[[#This Row],[Grade]])*DropAnalityka[[#This Row],[Quality/Quantity]],0)</f>
        <v>1976</v>
      </c>
      <c r="K1083" s="43">
        <f>IFERROR(SUMIFS(Tabela10[Fod Worth],Tabela10[Drop],DropAnalityka[[#This Row],[Drop]],Tabela10[Grade],DropAnalityka[[#This Row],[Grade]])*DropAnalityka[[#This Row],[Quality/Quantity]],0)</f>
        <v>0</v>
      </c>
      <c r="L1083" s="43">
        <f>IFERROR(SUMIFS(Tabela10[Exp Gain only 2*+],Tabela10[Drop],DropAnalityka[[#This Row],[Drop]],Tabela10[Grade],DropAnalityka[[#This Row],[Grade]])*DropAnalityka[[#This Row],[Quality/Quantity]],0)</f>
        <v>0</v>
      </c>
    </row>
    <row r="1084" spans="1:12">
      <c r="A1084" t="s">
        <v>319</v>
      </c>
      <c r="B1084" t="s">
        <v>30</v>
      </c>
      <c r="C1084">
        <v>1</v>
      </c>
      <c r="D1084">
        <v>1734</v>
      </c>
      <c r="E1084">
        <v>4</v>
      </c>
      <c r="I1084">
        <v>1824</v>
      </c>
      <c r="J1084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4" s="43">
        <f>IFERROR(SUMIFS(Tabela10[Fod Worth],Tabela10[Drop],DropAnalityka[[#This Row],[Drop]],Tabela10[Grade],DropAnalityka[[#This Row],[Grade]])*DropAnalityka[[#This Row],[Quality/Quantity]],0)</f>
        <v>0</v>
      </c>
      <c r="L1084" s="43">
        <f>IFERROR(SUMIFS(Tabela10[Exp Gain only 2*+],Tabela10[Drop],DropAnalityka[[#This Row],[Drop]],Tabela10[Grade],DropAnalityka[[#This Row],[Grade]])*DropAnalityka[[#This Row],[Quality/Quantity]],0)</f>
        <v>0</v>
      </c>
    </row>
    <row r="1085" spans="1:12">
      <c r="A1085" t="s">
        <v>319</v>
      </c>
      <c r="B1085" t="s">
        <v>30</v>
      </c>
      <c r="C1085">
        <v>1</v>
      </c>
      <c r="D1085">
        <v>1594</v>
      </c>
      <c r="E1085">
        <v>0</v>
      </c>
      <c r="I1085">
        <v>2128</v>
      </c>
      <c r="J1085">
        <f>DropAnalityka[[#This Row],[Sell Drop]]+IFERROR(SUMIFS(Tabela10[Drop Worth],Tabela10[Drop],DropAnalityka[[#This Row],[Drop]],Tabela10[Grade],DropAnalityka[[#This Row],[Grade]])*DropAnalityka[[#This Row],[Quality/Quantity]],0)</f>
        <v>2128</v>
      </c>
      <c r="K1085" s="43">
        <f>IFERROR(SUMIFS(Tabela10[Fod Worth],Tabela10[Drop],DropAnalityka[[#This Row],[Drop]],Tabela10[Grade],DropAnalityka[[#This Row],[Grade]])*DropAnalityka[[#This Row],[Quality/Quantity]],0)</f>
        <v>0</v>
      </c>
      <c r="L1085" s="43">
        <f>IFERROR(SUMIFS(Tabela10[Exp Gain only 2*+],Tabela10[Drop],DropAnalityka[[#This Row],[Drop]],Tabela10[Grade],DropAnalityka[[#This Row],[Grade]])*DropAnalityka[[#This Row],[Quality/Quantity]],0)</f>
        <v>0</v>
      </c>
    </row>
    <row r="1086" spans="1:12">
      <c r="A1086" t="s">
        <v>319</v>
      </c>
      <c r="B1086" t="s">
        <v>30</v>
      </c>
      <c r="C1086">
        <v>1</v>
      </c>
      <c r="D1086">
        <v>1672</v>
      </c>
      <c r="E1086">
        <v>0</v>
      </c>
      <c r="I1086">
        <v>1824</v>
      </c>
      <c r="J108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6" s="43">
        <f>IFERROR(SUMIFS(Tabela10[Fod Worth],Tabela10[Drop],DropAnalityka[[#This Row],[Drop]],Tabela10[Grade],DropAnalityka[[#This Row],[Grade]])*DropAnalityka[[#This Row],[Quality/Quantity]],0)</f>
        <v>0</v>
      </c>
      <c r="L1086" s="43">
        <f>IFERROR(SUMIFS(Tabela10[Exp Gain only 2*+],Tabela10[Drop],DropAnalityka[[#This Row],[Drop]],Tabela10[Grade],DropAnalityka[[#This Row],[Grade]])*DropAnalityka[[#This Row],[Quality/Quantity]],0)</f>
        <v>0</v>
      </c>
    </row>
    <row r="1087" spans="1:12">
      <c r="A1087" t="s">
        <v>319</v>
      </c>
      <c r="B1087" t="s">
        <v>30</v>
      </c>
      <c r="C1087">
        <v>1</v>
      </c>
      <c r="D1087">
        <v>1879</v>
      </c>
      <c r="E1087">
        <v>1</v>
      </c>
      <c r="I1087">
        <v>1824</v>
      </c>
      <c r="J1087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7" s="43">
        <f>IFERROR(SUMIFS(Tabela10[Fod Worth],Tabela10[Drop],DropAnalityka[[#This Row],[Drop]],Tabela10[Grade],DropAnalityka[[#This Row],[Grade]])*DropAnalityka[[#This Row],[Quality/Quantity]],0)</f>
        <v>0</v>
      </c>
      <c r="L1087" s="43">
        <f>IFERROR(SUMIFS(Tabela10[Exp Gain only 2*+],Tabela10[Drop],DropAnalityka[[#This Row],[Drop]],Tabela10[Grade],DropAnalityka[[#This Row],[Grade]])*DropAnalityka[[#This Row],[Quality/Quantity]],0)</f>
        <v>0</v>
      </c>
    </row>
    <row r="1088" spans="1:12">
      <c r="A1088" t="s">
        <v>319</v>
      </c>
      <c r="B1088" t="s">
        <v>30</v>
      </c>
      <c r="C1088">
        <v>1</v>
      </c>
      <c r="D1088">
        <v>1455</v>
      </c>
      <c r="E1088">
        <v>1</v>
      </c>
      <c r="I1088">
        <v>2280</v>
      </c>
      <c r="J1088">
        <f>DropAnalityka[[#This Row],[Sell Drop]]+IFERROR(SUMIFS(Tabela10[Drop Worth],Tabela10[Drop],DropAnalityka[[#This Row],[Drop]],Tabela10[Grade],DropAnalityka[[#This Row],[Grade]])*DropAnalityka[[#This Row],[Quality/Quantity]],0)</f>
        <v>2280</v>
      </c>
      <c r="K1088" s="43">
        <f>IFERROR(SUMIFS(Tabela10[Fod Worth],Tabela10[Drop],DropAnalityka[[#This Row],[Drop]],Tabela10[Grade],DropAnalityka[[#This Row],[Grade]])*DropAnalityka[[#This Row],[Quality/Quantity]],0)</f>
        <v>0</v>
      </c>
      <c r="L1088" s="43">
        <f>IFERROR(SUMIFS(Tabela10[Exp Gain only 2*+],Tabela10[Drop],DropAnalityka[[#This Row],[Drop]],Tabela10[Grade],DropAnalityka[[#This Row],[Grade]])*DropAnalityka[[#This Row],[Quality/Quantity]],0)</f>
        <v>0</v>
      </c>
    </row>
    <row r="1089" spans="1:12">
      <c r="A1089" t="s">
        <v>319</v>
      </c>
      <c r="B1089" t="s">
        <v>30</v>
      </c>
      <c r="C1089">
        <v>1</v>
      </c>
      <c r="D1089">
        <v>1898</v>
      </c>
      <c r="E1089">
        <v>1</v>
      </c>
      <c r="I1089">
        <v>1824</v>
      </c>
      <c r="J108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89" s="43">
        <f>IFERROR(SUMIFS(Tabela10[Fod Worth],Tabela10[Drop],DropAnalityka[[#This Row],[Drop]],Tabela10[Grade],DropAnalityka[[#This Row],[Grade]])*DropAnalityka[[#This Row],[Quality/Quantity]],0)</f>
        <v>0</v>
      </c>
      <c r="L1089" s="43">
        <f>IFERROR(SUMIFS(Tabela10[Exp Gain only 2*+],Tabela10[Drop],DropAnalityka[[#This Row],[Drop]],Tabela10[Grade],DropAnalityka[[#This Row],[Grade]])*DropAnalityka[[#This Row],[Quality/Quantity]],0)</f>
        <v>0</v>
      </c>
    </row>
    <row r="1090" spans="1:12">
      <c r="A1090" t="s">
        <v>286</v>
      </c>
      <c r="B1090" t="s">
        <v>32</v>
      </c>
      <c r="C1090">
        <v>5</v>
      </c>
      <c r="D1090">
        <v>1959</v>
      </c>
      <c r="E1090">
        <v>1</v>
      </c>
      <c r="I1090">
        <v>2205</v>
      </c>
      <c r="J1090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90" s="43">
        <f>IFERROR(SUMIFS(Tabela10[Fod Worth],Tabela10[Drop],DropAnalityka[[#This Row],[Drop]],Tabela10[Grade],DropAnalityka[[#This Row],[Grade]])*DropAnalityka[[#This Row],[Quality/Quantity]],0)</f>
        <v>0</v>
      </c>
      <c r="L1090" s="43">
        <f>IFERROR(SUMIFS(Tabela10[Exp Gain only 2*+],Tabela10[Drop],DropAnalityka[[#This Row],[Drop]],Tabela10[Grade],DropAnalityka[[#This Row],[Grade]])*DropAnalityka[[#This Row],[Quality/Quantity]],0)</f>
        <v>0</v>
      </c>
    </row>
    <row r="1091" spans="1:12">
      <c r="A1091" t="s">
        <v>286</v>
      </c>
      <c r="B1091" t="s">
        <v>32</v>
      </c>
      <c r="C1091">
        <v>5</v>
      </c>
      <c r="D1091">
        <v>1626</v>
      </c>
      <c r="E1091">
        <v>0</v>
      </c>
      <c r="I1091">
        <v>1236</v>
      </c>
      <c r="J1091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91" s="43">
        <f>IFERROR(SUMIFS(Tabela10[Fod Worth],Tabela10[Drop],DropAnalityka[[#This Row],[Drop]],Tabela10[Grade],DropAnalityka[[#This Row],[Grade]])*DropAnalityka[[#This Row],[Quality/Quantity]],0)</f>
        <v>0</v>
      </c>
      <c r="L1091" s="43">
        <f>IFERROR(SUMIFS(Tabela10[Exp Gain only 2*+],Tabela10[Drop],DropAnalityka[[#This Row],[Drop]],Tabela10[Grade],DropAnalityka[[#This Row],[Grade]])*DropAnalityka[[#This Row],[Quality/Quantity]],0)</f>
        <v>0</v>
      </c>
    </row>
    <row r="1092" spans="1:12">
      <c r="A1092" t="s">
        <v>286</v>
      </c>
      <c r="B1092" t="s">
        <v>32</v>
      </c>
      <c r="C1092">
        <v>5</v>
      </c>
      <c r="D1092">
        <v>2155</v>
      </c>
      <c r="E1092">
        <v>0</v>
      </c>
      <c r="I1092">
        <v>1236</v>
      </c>
      <c r="J1092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092" s="43">
        <f>IFERROR(SUMIFS(Tabela10[Fod Worth],Tabela10[Drop],DropAnalityka[[#This Row],[Drop]],Tabela10[Grade],DropAnalityka[[#This Row],[Grade]])*DropAnalityka[[#This Row],[Quality/Quantity]],0)</f>
        <v>0</v>
      </c>
      <c r="L1092" s="43">
        <f>IFERROR(SUMIFS(Tabela10[Exp Gain only 2*+],Tabela10[Drop],DropAnalityka[[#This Row],[Drop]],Tabela10[Grade],DropAnalityka[[#This Row],[Grade]])*DropAnalityka[[#This Row],[Quality/Quantity]],0)</f>
        <v>0</v>
      </c>
    </row>
    <row r="1093" spans="1:12">
      <c r="A1093" t="s">
        <v>286</v>
      </c>
      <c r="B1093" t="s">
        <v>32</v>
      </c>
      <c r="C1093">
        <v>5</v>
      </c>
      <c r="D1093">
        <v>1844</v>
      </c>
      <c r="E1093">
        <v>1</v>
      </c>
      <c r="I1093">
        <v>2205</v>
      </c>
      <c r="J1093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93" s="43">
        <f>IFERROR(SUMIFS(Tabela10[Fod Worth],Tabela10[Drop],DropAnalityka[[#This Row],[Drop]],Tabela10[Grade],DropAnalityka[[#This Row],[Grade]])*DropAnalityka[[#This Row],[Quality/Quantity]],0)</f>
        <v>0</v>
      </c>
      <c r="L1093" s="43">
        <f>IFERROR(SUMIFS(Tabela10[Exp Gain only 2*+],Tabela10[Drop],DropAnalityka[[#This Row],[Drop]],Tabela10[Grade],DropAnalityka[[#This Row],[Grade]])*DropAnalityka[[#This Row],[Quality/Quantity]],0)</f>
        <v>0</v>
      </c>
    </row>
    <row r="1094" spans="1:12">
      <c r="A1094" t="s">
        <v>286</v>
      </c>
      <c r="B1094" t="s">
        <v>32</v>
      </c>
      <c r="C1094">
        <v>5</v>
      </c>
      <c r="D1094">
        <v>645</v>
      </c>
      <c r="E1094">
        <v>2</v>
      </c>
      <c r="F1094" t="s">
        <v>34</v>
      </c>
      <c r="G1094">
        <v>3</v>
      </c>
      <c r="I1094">
        <v>0</v>
      </c>
      <c r="J10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094" s="43">
        <f>IFERROR(SUMIFS(Tabela10[Fod Worth],Tabela10[Drop],DropAnalityka[[#This Row],[Drop]],Tabela10[Grade],DropAnalityka[[#This Row],[Grade]])*DropAnalityka[[#This Row],[Quality/Quantity]],0)</f>
        <v>0</v>
      </c>
      <c r="L1094" s="43">
        <f>IFERROR(SUMIFS(Tabela10[Exp Gain only 2*+],Tabela10[Drop],DropAnalityka[[#This Row],[Drop]],Tabela10[Grade],DropAnalityka[[#This Row],[Grade]])*DropAnalityka[[#This Row],[Quality/Quantity]],0)</f>
        <v>0</v>
      </c>
    </row>
    <row r="1095" spans="1:12">
      <c r="A1095" t="s">
        <v>286</v>
      </c>
      <c r="B1095" t="s">
        <v>32</v>
      </c>
      <c r="C1095">
        <v>5</v>
      </c>
      <c r="D1095">
        <v>623</v>
      </c>
      <c r="E1095">
        <v>1</v>
      </c>
      <c r="I1095">
        <v>2205</v>
      </c>
      <c r="J1095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95" s="43">
        <f>IFERROR(SUMIFS(Tabela10[Fod Worth],Tabela10[Drop],DropAnalityka[[#This Row],[Drop]],Tabela10[Grade],DropAnalityka[[#This Row],[Grade]])*DropAnalityka[[#This Row],[Quality/Quantity]],0)</f>
        <v>0</v>
      </c>
      <c r="L1095" s="43">
        <f>IFERROR(SUMIFS(Tabela10[Exp Gain only 2*+],Tabela10[Drop],DropAnalityka[[#This Row],[Drop]],Tabela10[Grade],DropAnalityka[[#This Row],[Grade]])*DropAnalityka[[#This Row],[Quality/Quantity]],0)</f>
        <v>0</v>
      </c>
    </row>
    <row r="1096" spans="1:12">
      <c r="A1096" t="s">
        <v>286</v>
      </c>
      <c r="B1096" t="s">
        <v>32</v>
      </c>
      <c r="C1096">
        <v>5</v>
      </c>
      <c r="D1096">
        <v>1484</v>
      </c>
      <c r="E1096">
        <v>2</v>
      </c>
      <c r="I1096">
        <v>2205</v>
      </c>
      <c r="J1096">
        <f>DropAnalityka[[#This Row],[Sell Drop]]+IFERROR(SUMIFS(Tabela10[Drop Worth],Tabela10[Drop],DropAnalityka[[#This Row],[Drop]],Tabela10[Grade],DropAnalityka[[#This Row],[Grade]])*DropAnalityka[[#This Row],[Quality/Quantity]],0)</f>
        <v>2205</v>
      </c>
      <c r="K1096" s="43">
        <f>IFERROR(SUMIFS(Tabela10[Fod Worth],Tabela10[Drop],DropAnalityka[[#This Row],[Drop]],Tabela10[Grade],DropAnalityka[[#This Row],[Grade]])*DropAnalityka[[#This Row],[Quality/Quantity]],0)</f>
        <v>0</v>
      </c>
      <c r="L1096" s="43">
        <f>IFERROR(SUMIFS(Tabela10[Exp Gain only 2*+],Tabela10[Drop],DropAnalityka[[#This Row],[Drop]],Tabela10[Grade],DropAnalityka[[#This Row],[Grade]])*DropAnalityka[[#This Row],[Quality/Quantity]],0)</f>
        <v>0</v>
      </c>
    </row>
    <row r="1097" spans="1:12">
      <c r="A1097" t="s">
        <v>286</v>
      </c>
      <c r="B1097" t="s">
        <v>32</v>
      </c>
      <c r="C1097">
        <v>5</v>
      </c>
      <c r="D1097">
        <v>1281</v>
      </c>
      <c r="E1097">
        <v>0</v>
      </c>
      <c r="I1097">
        <v>2572</v>
      </c>
      <c r="J1097">
        <f>DropAnalityka[[#This Row],[Sell Drop]]+IFERROR(SUMIFS(Tabela10[Drop Worth],Tabela10[Drop],DropAnalityka[[#This Row],[Drop]],Tabela10[Grade],DropAnalityka[[#This Row],[Grade]])*DropAnalityka[[#This Row],[Quality/Quantity]],0)</f>
        <v>2572</v>
      </c>
      <c r="K1097" s="43">
        <f>IFERROR(SUMIFS(Tabela10[Fod Worth],Tabela10[Drop],DropAnalityka[[#This Row],[Drop]],Tabela10[Grade],DropAnalityka[[#This Row],[Grade]])*DropAnalityka[[#This Row],[Quality/Quantity]],0)</f>
        <v>0</v>
      </c>
      <c r="L1097" s="43">
        <f>IFERROR(SUMIFS(Tabela10[Exp Gain only 2*+],Tabela10[Drop],DropAnalityka[[#This Row],[Drop]],Tabela10[Grade],DropAnalityka[[#This Row],[Grade]])*DropAnalityka[[#This Row],[Quality/Quantity]],0)</f>
        <v>0</v>
      </c>
    </row>
    <row r="1098" spans="1:12">
      <c r="A1098" t="s">
        <v>286</v>
      </c>
      <c r="B1098" t="s">
        <v>32</v>
      </c>
      <c r="C1098">
        <v>5</v>
      </c>
      <c r="D1098">
        <v>839</v>
      </c>
      <c r="E1098">
        <v>1</v>
      </c>
      <c r="I1098">
        <v>2940</v>
      </c>
      <c r="J1098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098" s="43">
        <f>IFERROR(SUMIFS(Tabela10[Fod Worth],Tabela10[Drop],DropAnalityka[[#This Row],[Drop]],Tabela10[Grade],DropAnalityka[[#This Row],[Grade]])*DropAnalityka[[#This Row],[Quality/Quantity]],0)</f>
        <v>0</v>
      </c>
      <c r="L1098" s="43">
        <f>IFERROR(SUMIFS(Tabela10[Exp Gain only 2*+],Tabela10[Drop],DropAnalityka[[#This Row],[Drop]],Tabela10[Grade],DropAnalityka[[#This Row],[Grade]])*DropAnalityka[[#This Row],[Quality/Quantity]],0)</f>
        <v>0</v>
      </c>
    </row>
    <row r="1099" spans="1:12">
      <c r="A1099" t="s">
        <v>286</v>
      </c>
      <c r="B1099" t="s">
        <v>32</v>
      </c>
      <c r="C1099">
        <v>5</v>
      </c>
      <c r="D1099">
        <v>1785</v>
      </c>
      <c r="E1099">
        <v>2</v>
      </c>
      <c r="I1099">
        <v>1824</v>
      </c>
      <c r="J1099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099" s="43">
        <f>IFERROR(SUMIFS(Tabela10[Fod Worth],Tabela10[Drop],DropAnalityka[[#This Row],[Drop]],Tabela10[Grade],DropAnalityka[[#This Row],[Grade]])*DropAnalityka[[#This Row],[Quality/Quantity]],0)</f>
        <v>0</v>
      </c>
      <c r="L1099" s="43">
        <f>IFERROR(SUMIFS(Tabela10[Exp Gain only 2*+],Tabela10[Drop],DropAnalityka[[#This Row],[Drop]],Tabela10[Grade],DropAnalityka[[#This Row],[Grade]])*DropAnalityka[[#This Row],[Quality/Quantity]],0)</f>
        <v>0</v>
      </c>
    </row>
    <row r="1100" spans="1:12">
      <c r="A1100" t="s">
        <v>286</v>
      </c>
      <c r="B1100" t="s">
        <v>32</v>
      </c>
      <c r="C1100">
        <v>5</v>
      </c>
      <c r="D1100">
        <v>1214</v>
      </c>
      <c r="E1100">
        <v>0</v>
      </c>
      <c r="I1100">
        <v>1236</v>
      </c>
      <c r="J1100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100" s="43">
        <f>IFERROR(SUMIFS(Tabela10[Fod Worth],Tabela10[Drop],DropAnalityka[[#This Row],[Drop]],Tabela10[Grade],DropAnalityka[[#This Row],[Grade]])*DropAnalityka[[#This Row],[Quality/Quantity]],0)</f>
        <v>0</v>
      </c>
      <c r="L1100" s="43">
        <f>IFERROR(SUMIFS(Tabela10[Exp Gain only 2*+],Tabela10[Drop],DropAnalityka[[#This Row],[Drop]],Tabela10[Grade],DropAnalityka[[#This Row],[Grade]])*DropAnalityka[[#This Row],[Quality/Quantity]],0)</f>
        <v>0</v>
      </c>
    </row>
    <row r="1101" spans="1:12">
      <c r="A1101" t="s">
        <v>286</v>
      </c>
      <c r="B1101" t="s">
        <v>32</v>
      </c>
      <c r="C1101">
        <v>5</v>
      </c>
      <c r="D1101">
        <v>1200</v>
      </c>
      <c r="E1101">
        <v>0</v>
      </c>
      <c r="I1101">
        <v>1236</v>
      </c>
      <c r="J1101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101" s="43">
        <f>IFERROR(SUMIFS(Tabela10[Fod Worth],Tabela10[Drop],DropAnalityka[[#This Row],[Drop]],Tabela10[Grade],DropAnalityka[[#This Row],[Grade]])*DropAnalityka[[#This Row],[Quality/Quantity]],0)</f>
        <v>0</v>
      </c>
      <c r="L1101" s="43">
        <f>IFERROR(SUMIFS(Tabela10[Exp Gain only 2*+],Tabela10[Drop],DropAnalityka[[#This Row],[Drop]],Tabela10[Grade],DropAnalityka[[#This Row],[Grade]])*DropAnalityka[[#This Row],[Quality/Quantity]],0)</f>
        <v>0</v>
      </c>
    </row>
    <row r="1102" spans="1:12">
      <c r="A1102" t="s">
        <v>286</v>
      </c>
      <c r="B1102" t="s">
        <v>32</v>
      </c>
      <c r="C1102">
        <v>5</v>
      </c>
      <c r="D1102">
        <v>1357</v>
      </c>
      <c r="E1102">
        <v>2</v>
      </c>
      <c r="F1102" t="s">
        <v>57</v>
      </c>
      <c r="G1102">
        <v>1</v>
      </c>
      <c r="H1102" t="s">
        <v>17</v>
      </c>
      <c r="I1102">
        <v>0</v>
      </c>
      <c r="J11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02" s="43">
        <f>IFERROR(SUMIFS(Tabela10[Fod Worth],Tabela10[Drop],DropAnalityka[[#This Row],[Drop]],Tabela10[Grade],DropAnalityka[[#This Row],[Grade]])*DropAnalityka[[#This Row],[Quality/Quantity]],0)</f>
        <v>0</v>
      </c>
      <c r="L1102" s="43">
        <f>IFERROR(SUMIFS(Tabela10[Exp Gain only 2*+],Tabela10[Drop],DropAnalityka[[#This Row],[Drop]],Tabela10[Grade],DropAnalityka[[#This Row],[Grade]])*DropAnalityka[[#This Row],[Quality/Quantity]],0)</f>
        <v>0</v>
      </c>
    </row>
    <row r="1103" spans="1:12">
      <c r="A1103" t="s">
        <v>286</v>
      </c>
      <c r="B1103" t="s">
        <v>32</v>
      </c>
      <c r="C1103">
        <v>5</v>
      </c>
      <c r="D1103">
        <v>2917</v>
      </c>
      <c r="E1103">
        <v>0</v>
      </c>
      <c r="I1103">
        <v>1236</v>
      </c>
      <c r="J1103">
        <f>DropAnalityka[[#This Row],[Sell Drop]]+IFERROR(SUMIFS(Tabela10[Drop Worth],Tabela10[Drop],DropAnalityka[[#This Row],[Drop]],Tabela10[Grade],DropAnalityka[[#This Row],[Grade]])*DropAnalityka[[#This Row],[Quality/Quantity]],0)</f>
        <v>1236</v>
      </c>
      <c r="K1103" s="43">
        <f>IFERROR(SUMIFS(Tabela10[Fod Worth],Tabela10[Drop],DropAnalityka[[#This Row],[Drop]],Tabela10[Grade],DropAnalityka[[#This Row],[Grade]])*DropAnalityka[[#This Row],[Quality/Quantity]],0)</f>
        <v>0</v>
      </c>
      <c r="L1103" s="43">
        <f>IFERROR(SUMIFS(Tabela10[Exp Gain only 2*+],Tabela10[Drop],DropAnalityka[[#This Row],[Drop]],Tabela10[Grade],DropAnalityka[[#This Row],[Grade]])*DropAnalityka[[#This Row],[Quality/Quantity]],0)</f>
        <v>0</v>
      </c>
    </row>
    <row r="1104" spans="1:12">
      <c r="A1104" t="s">
        <v>60</v>
      </c>
      <c r="B1104" t="s">
        <v>30</v>
      </c>
      <c r="C1104">
        <v>11</v>
      </c>
      <c r="D1104">
        <v>1467</v>
      </c>
      <c r="E1104">
        <v>0</v>
      </c>
      <c r="F1104" t="s">
        <v>34</v>
      </c>
      <c r="G1104">
        <v>2</v>
      </c>
      <c r="H1104" t="s">
        <v>17</v>
      </c>
      <c r="I1104">
        <v>0</v>
      </c>
      <c r="J1104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104" s="43">
        <f>IFERROR(SUMIFS(Tabela10[Fod Worth],Tabela10[Drop],DropAnalityka[[#This Row],[Drop]],Tabela10[Grade],DropAnalityka[[#This Row],[Grade]])*DropAnalityka[[#This Row],[Quality/Quantity]],0)</f>
        <v>0</v>
      </c>
      <c r="L1104" s="43">
        <f>IFERROR(SUMIFS(Tabela10[Exp Gain only 2*+],Tabela10[Drop],DropAnalityka[[#This Row],[Drop]],Tabela10[Grade],DropAnalityka[[#This Row],[Grade]])*DropAnalityka[[#This Row],[Quality/Quantity]],0)</f>
        <v>1600</v>
      </c>
    </row>
    <row r="1105" spans="1:12">
      <c r="A1105" t="s">
        <v>60</v>
      </c>
      <c r="B1105" t="s">
        <v>30</v>
      </c>
      <c r="C1105">
        <v>11</v>
      </c>
      <c r="D1105">
        <v>1868</v>
      </c>
      <c r="E1105">
        <v>0</v>
      </c>
      <c r="F1105" t="s">
        <v>34</v>
      </c>
      <c r="G1105">
        <v>2</v>
      </c>
      <c r="H1105" t="s">
        <v>17</v>
      </c>
      <c r="I1105">
        <v>0</v>
      </c>
      <c r="J1105">
        <f>DropAnalityka[[#This Row],[Sell Drop]]+IFERROR(SUMIFS(Tabela10[Drop Worth],Tabela10[Drop],DropAnalityka[[#This Row],[Drop]],Tabela10[Grade],DropAnalityka[[#This Row],[Grade]])*DropAnalityka[[#This Row],[Quality/Quantity]],0)</f>
        <v>4000</v>
      </c>
      <c r="K1105" s="43">
        <f>IFERROR(SUMIFS(Tabela10[Fod Worth],Tabela10[Drop],DropAnalityka[[#This Row],[Drop]],Tabela10[Grade],DropAnalityka[[#This Row],[Grade]])*DropAnalityka[[#This Row],[Quality/Quantity]],0)</f>
        <v>0</v>
      </c>
      <c r="L1105" s="43">
        <f>IFERROR(SUMIFS(Tabela10[Exp Gain only 2*+],Tabela10[Drop],DropAnalityka[[#This Row],[Drop]],Tabela10[Grade],DropAnalityka[[#This Row],[Grade]])*DropAnalityka[[#This Row],[Quality/Quantity]],0)</f>
        <v>1600</v>
      </c>
    </row>
    <row r="1106" spans="1:12">
      <c r="A1106" t="s">
        <v>60</v>
      </c>
      <c r="B1106" t="s">
        <v>30</v>
      </c>
      <c r="C1106">
        <v>11</v>
      </c>
      <c r="D1106">
        <v>1204</v>
      </c>
      <c r="E1106">
        <v>1</v>
      </c>
      <c r="I1106">
        <v>1824</v>
      </c>
      <c r="J1106">
        <f>DropAnalityka[[#This Row],[Sell Drop]]+IFERROR(SUMIFS(Tabela10[Drop Worth],Tabela10[Drop],DropAnalityka[[#This Row],[Drop]],Tabela10[Grade],DropAnalityka[[#This Row],[Grade]])*DropAnalityka[[#This Row],[Quality/Quantity]],0)</f>
        <v>1824</v>
      </c>
      <c r="K1106" s="43">
        <f>IFERROR(SUMIFS(Tabela10[Fod Worth],Tabela10[Drop],DropAnalityka[[#This Row],[Drop]],Tabela10[Grade],DropAnalityka[[#This Row],[Grade]])*DropAnalityka[[#This Row],[Quality/Quantity]],0)</f>
        <v>0</v>
      </c>
      <c r="L1106" s="43">
        <f>IFERROR(SUMIFS(Tabela10[Exp Gain only 2*+],Tabela10[Drop],DropAnalityka[[#This Row],[Drop]],Tabela10[Grade],DropAnalityka[[#This Row],[Grade]])*DropAnalityka[[#This Row],[Quality/Quantity]],0)</f>
        <v>0</v>
      </c>
    </row>
    <row r="1107" spans="1:12">
      <c r="A1107" t="s">
        <v>172</v>
      </c>
      <c r="B1107" t="s">
        <v>9</v>
      </c>
      <c r="C1107">
        <v>10</v>
      </c>
      <c r="D1107">
        <v>3766</v>
      </c>
      <c r="E1107">
        <v>0</v>
      </c>
      <c r="F1107" t="s">
        <v>258</v>
      </c>
      <c r="G1107">
        <v>1</v>
      </c>
      <c r="H1107" t="s">
        <v>28</v>
      </c>
      <c r="I1107">
        <v>10144</v>
      </c>
      <c r="J1107">
        <f>DropAnalityka[[#This Row],[Sell Drop]]+IFERROR(SUMIFS(Tabela10[Drop Worth],Tabela10[Drop],DropAnalityka[[#This Row],[Drop]],Tabela10[Grade],DropAnalityka[[#This Row],[Grade]])*DropAnalityka[[#This Row],[Quality/Quantity]],0)</f>
        <v>10144</v>
      </c>
      <c r="K1107" s="43">
        <f>IFERROR(SUMIFS(Tabela10[Fod Worth],Tabela10[Drop],DropAnalityka[[#This Row],[Drop]],Tabela10[Grade],DropAnalityka[[#This Row],[Grade]])*DropAnalityka[[#This Row],[Quality/Quantity]],0)</f>
        <v>0</v>
      </c>
      <c r="L1107" s="43">
        <f>IFERROR(SUMIFS(Tabela10[Exp Gain only 2*+],Tabela10[Drop],DropAnalityka[[#This Row],[Drop]],Tabela10[Grade],DropAnalityka[[#This Row],[Grade]])*DropAnalityka[[#This Row],[Quality/Quantity]],0)</f>
        <v>0</v>
      </c>
    </row>
    <row r="1108" spans="1:12">
      <c r="A1108" t="s">
        <v>172</v>
      </c>
      <c r="B1108" t="s">
        <v>9</v>
      </c>
      <c r="C1108">
        <v>10</v>
      </c>
      <c r="D1108">
        <v>4343</v>
      </c>
      <c r="E1108">
        <v>0</v>
      </c>
      <c r="F1108" t="s">
        <v>291</v>
      </c>
      <c r="G1108">
        <v>1</v>
      </c>
      <c r="H1108" t="s">
        <v>27</v>
      </c>
      <c r="I1108">
        <v>3904</v>
      </c>
      <c r="J1108">
        <f>DropAnalityka[[#This Row],[Sell Drop]]+IFERROR(SUMIFS(Tabela10[Drop Worth],Tabela10[Drop],DropAnalityka[[#This Row],[Drop]],Tabela10[Grade],DropAnalityka[[#This Row],[Grade]])*DropAnalityka[[#This Row],[Quality/Quantity]],0)</f>
        <v>3904</v>
      </c>
      <c r="K1108" s="43">
        <f>IFERROR(SUMIFS(Tabela10[Fod Worth],Tabela10[Drop],DropAnalityka[[#This Row],[Drop]],Tabela10[Grade],DropAnalityka[[#This Row],[Grade]])*DropAnalityka[[#This Row],[Quality/Quantity]],0)</f>
        <v>0</v>
      </c>
      <c r="L1108" s="43">
        <f>IFERROR(SUMIFS(Tabela10[Exp Gain only 2*+],Tabela10[Drop],DropAnalityka[[#This Row],[Drop]],Tabela10[Grade],DropAnalityka[[#This Row],[Grade]])*DropAnalityka[[#This Row],[Quality/Quantity]],0)</f>
        <v>0</v>
      </c>
    </row>
    <row r="1109" spans="1:12">
      <c r="A1109" t="s">
        <v>172</v>
      </c>
      <c r="B1109" t="s">
        <v>9</v>
      </c>
      <c r="C1109">
        <v>10</v>
      </c>
      <c r="D1109">
        <v>3715</v>
      </c>
      <c r="E1109">
        <v>1</v>
      </c>
      <c r="F1109" t="s">
        <v>34</v>
      </c>
      <c r="G1109">
        <v>4</v>
      </c>
      <c r="H1109" t="s">
        <v>17</v>
      </c>
      <c r="I1109">
        <v>0</v>
      </c>
      <c r="J110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109" s="43">
        <f>IFERROR(SUMIFS(Tabela10[Fod Worth],Tabela10[Drop],DropAnalityka[[#This Row],[Drop]],Tabela10[Grade],DropAnalityka[[#This Row],[Grade]])*DropAnalityka[[#This Row],[Quality/Quantity]],0)</f>
        <v>0</v>
      </c>
      <c r="L1109" s="43">
        <f>IFERROR(SUMIFS(Tabela10[Exp Gain only 2*+],Tabela10[Drop],DropAnalityka[[#This Row],[Drop]],Tabela10[Grade],DropAnalityka[[#This Row],[Grade]])*DropAnalityka[[#This Row],[Quality/Quantity]],0)</f>
        <v>3200</v>
      </c>
    </row>
    <row r="1110" spans="1:12">
      <c r="A1110" t="s">
        <v>172</v>
      </c>
      <c r="B1110" t="s">
        <v>9</v>
      </c>
      <c r="C1110">
        <v>10</v>
      </c>
      <c r="D1110">
        <v>3985</v>
      </c>
      <c r="E1110">
        <v>1</v>
      </c>
      <c r="F1110" t="s">
        <v>258</v>
      </c>
      <c r="G1110">
        <v>1</v>
      </c>
      <c r="H1110" t="s">
        <v>29</v>
      </c>
      <c r="I1110">
        <v>25677</v>
      </c>
      <c r="J1110">
        <f>DropAnalityka[[#This Row],[Sell Drop]]+IFERROR(SUMIFS(Tabela10[Drop Worth],Tabela10[Drop],DropAnalityka[[#This Row],[Drop]],Tabela10[Grade],DropAnalityka[[#This Row],[Grade]])*DropAnalityka[[#This Row],[Quality/Quantity]],0)</f>
        <v>25677</v>
      </c>
      <c r="K1110" s="43">
        <f>IFERROR(SUMIFS(Tabela10[Fod Worth],Tabela10[Drop],DropAnalityka[[#This Row],[Drop]],Tabela10[Grade],DropAnalityka[[#This Row],[Grade]])*DropAnalityka[[#This Row],[Quality/Quantity]],0)</f>
        <v>0</v>
      </c>
      <c r="L1110" s="43">
        <f>IFERROR(SUMIFS(Tabela10[Exp Gain only 2*+],Tabela10[Drop],DropAnalityka[[#This Row],[Drop]],Tabela10[Grade],DropAnalityka[[#This Row],[Grade]])*DropAnalityka[[#This Row],[Quality/Quantity]],0)</f>
        <v>0</v>
      </c>
    </row>
    <row r="1111" spans="1:12">
      <c r="A1111" t="s">
        <v>172</v>
      </c>
      <c r="B1111" t="s">
        <v>9</v>
      </c>
      <c r="C1111">
        <v>10</v>
      </c>
      <c r="D1111">
        <v>4284</v>
      </c>
      <c r="E1111">
        <v>0</v>
      </c>
      <c r="F1111" t="s">
        <v>34</v>
      </c>
      <c r="G1111">
        <v>5</v>
      </c>
      <c r="H1111" t="s">
        <v>17</v>
      </c>
      <c r="I1111">
        <v>0</v>
      </c>
      <c r="J1111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11" s="43">
        <f>IFERROR(SUMIFS(Tabela10[Fod Worth],Tabela10[Drop],DropAnalityka[[#This Row],[Drop]],Tabela10[Grade],DropAnalityka[[#This Row],[Grade]])*DropAnalityka[[#This Row],[Quality/Quantity]],0)</f>
        <v>0</v>
      </c>
      <c r="L1111" s="43">
        <f>IFERROR(SUMIFS(Tabela10[Exp Gain only 2*+],Tabela10[Drop],DropAnalityka[[#This Row],[Drop]],Tabela10[Grade],DropAnalityka[[#This Row],[Grade]])*DropAnalityka[[#This Row],[Quality/Quantity]],0)</f>
        <v>4000</v>
      </c>
    </row>
    <row r="1112" spans="1:12">
      <c r="A1112" t="s">
        <v>172</v>
      </c>
      <c r="B1112" t="s">
        <v>9</v>
      </c>
      <c r="C1112">
        <v>10</v>
      </c>
      <c r="D1112">
        <v>4613</v>
      </c>
      <c r="E1112">
        <v>0</v>
      </c>
      <c r="F1112" t="s">
        <v>258</v>
      </c>
      <c r="G1112">
        <v>1</v>
      </c>
      <c r="H1112" t="s">
        <v>28</v>
      </c>
      <c r="I1112">
        <v>5440</v>
      </c>
      <c r="J1112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12" s="43">
        <f>IFERROR(SUMIFS(Tabela10[Fod Worth],Tabela10[Drop],DropAnalityka[[#This Row],[Drop]],Tabela10[Grade],DropAnalityka[[#This Row],[Grade]])*DropAnalityka[[#This Row],[Quality/Quantity]],0)</f>
        <v>0</v>
      </c>
      <c r="L1112" s="43">
        <f>IFERROR(SUMIFS(Tabela10[Exp Gain only 2*+],Tabela10[Drop],DropAnalityka[[#This Row],[Drop]],Tabela10[Grade],DropAnalityka[[#This Row],[Grade]])*DropAnalityka[[#This Row],[Quality/Quantity]],0)</f>
        <v>0</v>
      </c>
    </row>
    <row r="1113" spans="1:12">
      <c r="A1113" t="s">
        <v>172</v>
      </c>
      <c r="B1113" t="s">
        <v>9</v>
      </c>
      <c r="C1113">
        <v>10</v>
      </c>
      <c r="D1113">
        <v>4512</v>
      </c>
      <c r="E1113">
        <v>0</v>
      </c>
      <c r="F1113" t="s">
        <v>258</v>
      </c>
      <c r="G1113">
        <v>1</v>
      </c>
      <c r="H1113" t="s">
        <v>28</v>
      </c>
      <c r="I1113">
        <v>6800</v>
      </c>
      <c r="J1113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113" s="43">
        <f>IFERROR(SUMIFS(Tabela10[Fod Worth],Tabela10[Drop],DropAnalityka[[#This Row],[Drop]],Tabela10[Grade],DropAnalityka[[#This Row],[Grade]])*DropAnalityka[[#This Row],[Quality/Quantity]],0)</f>
        <v>0</v>
      </c>
      <c r="L1113" s="43">
        <f>IFERROR(SUMIFS(Tabela10[Exp Gain only 2*+],Tabela10[Drop],DropAnalityka[[#This Row],[Drop]],Tabela10[Grade],DropAnalityka[[#This Row],[Grade]])*DropAnalityka[[#This Row],[Quality/Quantity]],0)</f>
        <v>0</v>
      </c>
    </row>
    <row r="1114" spans="1:12">
      <c r="A1114" t="s">
        <v>172</v>
      </c>
      <c r="B1114" t="s">
        <v>9</v>
      </c>
      <c r="C1114">
        <v>10</v>
      </c>
      <c r="D1114">
        <v>4000</v>
      </c>
      <c r="E1114">
        <v>1</v>
      </c>
      <c r="F1114" t="s">
        <v>58</v>
      </c>
      <c r="G1114">
        <v>1</v>
      </c>
      <c r="H1114" t="s">
        <v>26</v>
      </c>
      <c r="I1114">
        <v>0</v>
      </c>
      <c r="J11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14" s="43">
        <f>IFERROR(SUMIFS(Tabela10[Fod Worth],Tabela10[Drop],DropAnalityka[[#This Row],[Drop]],Tabela10[Grade],DropAnalityka[[#This Row],[Grade]])*DropAnalityka[[#This Row],[Quality/Quantity]],0)</f>
        <v>34500</v>
      </c>
      <c r="L1114" s="43">
        <f>IFERROR(SUMIFS(Tabela10[Exp Gain only 2*+],Tabela10[Drop],DropAnalityka[[#This Row],[Drop]],Tabela10[Grade],DropAnalityka[[#This Row],[Grade]])*DropAnalityka[[#This Row],[Quality/Quantity]],0)</f>
        <v>118004</v>
      </c>
    </row>
    <row r="1115" spans="1:12">
      <c r="A1115" t="s">
        <v>172</v>
      </c>
      <c r="B1115" t="s">
        <v>9</v>
      </c>
      <c r="C1115">
        <v>10</v>
      </c>
      <c r="D1115">
        <v>4361</v>
      </c>
      <c r="E1115">
        <v>0</v>
      </c>
      <c r="F1115" t="s">
        <v>34</v>
      </c>
      <c r="G1115">
        <v>5</v>
      </c>
      <c r="H1115" t="s">
        <v>17</v>
      </c>
      <c r="I1115">
        <v>0</v>
      </c>
      <c r="J111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15" s="43">
        <f>IFERROR(SUMIFS(Tabela10[Fod Worth],Tabela10[Drop],DropAnalityka[[#This Row],[Drop]],Tabela10[Grade],DropAnalityka[[#This Row],[Grade]])*DropAnalityka[[#This Row],[Quality/Quantity]],0)</f>
        <v>0</v>
      </c>
      <c r="L1115" s="43">
        <f>IFERROR(SUMIFS(Tabela10[Exp Gain only 2*+],Tabela10[Drop],DropAnalityka[[#This Row],[Drop]],Tabela10[Grade],DropAnalityka[[#This Row],[Grade]])*DropAnalityka[[#This Row],[Quality/Quantity]],0)</f>
        <v>4000</v>
      </c>
    </row>
    <row r="1116" spans="1:12">
      <c r="A1116" t="s">
        <v>172</v>
      </c>
      <c r="B1116" t="s">
        <v>9</v>
      </c>
      <c r="C1116">
        <v>10</v>
      </c>
      <c r="D1116">
        <v>4527</v>
      </c>
      <c r="E1116">
        <v>0</v>
      </c>
      <c r="F1116" t="s">
        <v>258</v>
      </c>
      <c r="G1116">
        <v>1</v>
      </c>
      <c r="H1116" t="s">
        <v>28</v>
      </c>
      <c r="I1116">
        <v>5440</v>
      </c>
      <c r="J1116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16" s="43">
        <f>IFERROR(SUMIFS(Tabela10[Fod Worth],Tabela10[Drop],DropAnalityka[[#This Row],[Drop]],Tabela10[Grade],DropAnalityka[[#This Row],[Grade]])*DropAnalityka[[#This Row],[Quality/Quantity]],0)</f>
        <v>0</v>
      </c>
      <c r="L1116" s="43">
        <f>IFERROR(SUMIFS(Tabela10[Exp Gain only 2*+],Tabela10[Drop],DropAnalityka[[#This Row],[Drop]],Tabela10[Grade],DropAnalityka[[#This Row],[Grade]])*DropAnalityka[[#This Row],[Quality/Quantity]],0)</f>
        <v>0</v>
      </c>
    </row>
    <row r="1117" spans="1:12">
      <c r="A1117" t="s">
        <v>172</v>
      </c>
      <c r="B1117" t="s">
        <v>9</v>
      </c>
      <c r="C1117">
        <v>10</v>
      </c>
      <c r="D1117">
        <v>3817</v>
      </c>
      <c r="E1117">
        <v>1</v>
      </c>
      <c r="F1117" t="s">
        <v>258</v>
      </c>
      <c r="G1117">
        <v>1</v>
      </c>
      <c r="H1117" t="s">
        <v>28</v>
      </c>
      <c r="I1117">
        <v>5440</v>
      </c>
      <c r="J1117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17" s="43">
        <f>IFERROR(SUMIFS(Tabela10[Fod Worth],Tabela10[Drop],DropAnalityka[[#This Row],[Drop]],Tabela10[Grade],DropAnalityka[[#This Row],[Grade]])*DropAnalityka[[#This Row],[Quality/Quantity]],0)</f>
        <v>0</v>
      </c>
      <c r="L1117" s="43">
        <f>IFERROR(SUMIFS(Tabela10[Exp Gain only 2*+],Tabela10[Drop],DropAnalityka[[#This Row],[Drop]],Tabela10[Grade],DropAnalityka[[#This Row],[Grade]])*DropAnalityka[[#This Row],[Quality/Quantity]],0)</f>
        <v>0</v>
      </c>
    </row>
    <row r="1118" spans="1:12">
      <c r="A1118" t="s">
        <v>172</v>
      </c>
      <c r="B1118" t="s">
        <v>9</v>
      </c>
      <c r="C1118">
        <v>10</v>
      </c>
      <c r="D1118">
        <v>3935</v>
      </c>
      <c r="E1118">
        <v>2</v>
      </c>
      <c r="F1118" t="s">
        <v>291</v>
      </c>
      <c r="G1118">
        <v>1</v>
      </c>
      <c r="H1118" t="s">
        <v>28</v>
      </c>
      <c r="I1118">
        <v>6800</v>
      </c>
      <c r="J1118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118" s="43">
        <f>IFERROR(SUMIFS(Tabela10[Fod Worth],Tabela10[Drop],DropAnalityka[[#This Row],[Drop]],Tabela10[Grade],DropAnalityka[[#This Row],[Grade]])*DropAnalityka[[#This Row],[Quality/Quantity]],0)</f>
        <v>0</v>
      </c>
      <c r="L1118" s="43">
        <f>IFERROR(SUMIFS(Tabela10[Exp Gain only 2*+],Tabela10[Drop],DropAnalityka[[#This Row],[Drop]],Tabela10[Grade],DropAnalityka[[#This Row],[Grade]])*DropAnalityka[[#This Row],[Quality/Quantity]],0)</f>
        <v>0</v>
      </c>
    </row>
    <row r="1119" spans="1:12">
      <c r="A1119" t="s">
        <v>172</v>
      </c>
      <c r="B1119" t="s">
        <v>9</v>
      </c>
      <c r="C1119">
        <v>10</v>
      </c>
      <c r="D1119">
        <v>4040</v>
      </c>
      <c r="E1119">
        <v>1</v>
      </c>
      <c r="F1119" t="s">
        <v>258</v>
      </c>
      <c r="G1119">
        <v>1</v>
      </c>
      <c r="H1119" t="s">
        <v>28</v>
      </c>
      <c r="I1119">
        <v>5440</v>
      </c>
      <c r="J1119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19" s="43">
        <f>IFERROR(SUMIFS(Tabela10[Fod Worth],Tabela10[Drop],DropAnalityka[[#This Row],[Drop]],Tabela10[Grade],DropAnalityka[[#This Row],[Grade]])*DropAnalityka[[#This Row],[Quality/Quantity]],0)</f>
        <v>0</v>
      </c>
      <c r="L1119" s="43">
        <f>IFERROR(SUMIFS(Tabela10[Exp Gain only 2*+],Tabela10[Drop],DropAnalityka[[#This Row],[Drop]],Tabela10[Grade],DropAnalityka[[#This Row],[Grade]])*DropAnalityka[[#This Row],[Quality/Quantity]],0)</f>
        <v>0</v>
      </c>
    </row>
    <row r="1120" spans="1:12">
      <c r="A1120" t="s">
        <v>172</v>
      </c>
      <c r="B1120" t="s">
        <v>9</v>
      </c>
      <c r="C1120">
        <v>10</v>
      </c>
      <c r="D1120">
        <v>3601</v>
      </c>
      <c r="E1120">
        <v>1</v>
      </c>
      <c r="F1120" t="s">
        <v>34</v>
      </c>
      <c r="G1120">
        <v>4</v>
      </c>
      <c r="H1120" t="s">
        <v>17</v>
      </c>
      <c r="I1120">
        <v>0</v>
      </c>
      <c r="J112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120" s="43">
        <f>IFERROR(SUMIFS(Tabela10[Fod Worth],Tabela10[Drop],DropAnalityka[[#This Row],[Drop]],Tabela10[Grade],DropAnalityka[[#This Row],[Grade]])*DropAnalityka[[#This Row],[Quality/Quantity]],0)</f>
        <v>0</v>
      </c>
      <c r="L1120" s="43">
        <f>IFERROR(SUMIFS(Tabela10[Exp Gain only 2*+],Tabela10[Drop],DropAnalityka[[#This Row],[Drop]],Tabela10[Grade],DropAnalityka[[#This Row],[Grade]])*DropAnalityka[[#This Row],[Quality/Quantity]],0)</f>
        <v>3200</v>
      </c>
    </row>
    <row r="1121" spans="1:12">
      <c r="A1121" t="s">
        <v>172</v>
      </c>
      <c r="B1121" t="s">
        <v>9</v>
      </c>
      <c r="C1121">
        <v>10</v>
      </c>
      <c r="D1121">
        <v>3976</v>
      </c>
      <c r="E1121">
        <v>0</v>
      </c>
      <c r="F1121" t="s">
        <v>291</v>
      </c>
      <c r="G1121">
        <v>1</v>
      </c>
      <c r="H1121" t="s">
        <v>28</v>
      </c>
      <c r="I1121">
        <v>5440</v>
      </c>
      <c r="J1121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21" s="43">
        <f>IFERROR(SUMIFS(Tabela10[Fod Worth],Tabela10[Drop],DropAnalityka[[#This Row],[Drop]],Tabela10[Grade],DropAnalityka[[#This Row],[Grade]])*DropAnalityka[[#This Row],[Quality/Quantity]],0)</f>
        <v>0</v>
      </c>
      <c r="L1121" s="43">
        <f>IFERROR(SUMIFS(Tabela10[Exp Gain only 2*+],Tabela10[Drop],DropAnalityka[[#This Row],[Drop]],Tabela10[Grade],DropAnalityka[[#This Row],[Grade]])*DropAnalityka[[#This Row],[Quality/Quantity]],0)</f>
        <v>0</v>
      </c>
    </row>
    <row r="1122" spans="1:12">
      <c r="A1122" t="s">
        <v>172</v>
      </c>
      <c r="B1122" t="s">
        <v>9</v>
      </c>
      <c r="C1122">
        <v>10</v>
      </c>
      <c r="D1122">
        <v>3824</v>
      </c>
      <c r="E1122">
        <v>0</v>
      </c>
      <c r="F1122" t="s">
        <v>258</v>
      </c>
      <c r="G1122">
        <v>1</v>
      </c>
      <c r="H1122" t="s">
        <v>27</v>
      </c>
      <c r="I1122">
        <v>3491</v>
      </c>
      <c r="J1122">
        <f>DropAnalityka[[#This Row],[Sell Drop]]+IFERROR(SUMIFS(Tabela10[Drop Worth],Tabela10[Drop],DropAnalityka[[#This Row],[Drop]],Tabela10[Grade],DropAnalityka[[#This Row],[Grade]])*DropAnalityka[[#This Row],[Quality/Quantity]],0)</f>
        <v>3491</v>
      </c>
      <c r="K1122" s="43">
        <f>IFERROR(SUMIFS(Tabela10[Fod Worth],Tabela10[Drop],DropAnalityka[[#This Row],[Drop]],Tabela10[Grade],DropAnalityka[[#This Row],[Grade]])*DropAnalityka[[#This Row],[Quality/Quantity]],0)</f>
        <v>0</v>
      </c>
      <c r="L1122" s="43">
        <f>IFERROR(SUMIFS(Tabela10[Exp Gain only 2*+],Tabela10[Drop],DropAnalityka[[#This Row],[Drop]],Tabela10[Grade],DropAnalityka[[#This Row],[Grade]])*DropAnalityka[[#This Row],[Quality/Quantity]],0)</f>
        <v>0</v>
      </c>
    </row>
    <row r="1123" spans="1:12">
      <c r="A1123" t="s">
        <v>172</v>
      </c>
      <c r="B1123" t="s">
        <v>9</v>
      </c>
      <c r="C1123">
        <v>10</v>
      </c>
      <c r="D1123">
        <v>3303</v>
      </c>
      <c r="E1123">
        <v>0</v>
      </c>
      <c r="F1123" t="s">
        <v>258</v>
      </c>
      <c r="G1123">
        <v>1</v>
      </c>
      <c r="H1123" t="s">
        <v>27</v>
      </c>
      <c r="I1123">
        <v>3445</v>
      </c>
      <c r="J1123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1123" s="43">
        <f>IFERROR(SUMIFS(Tabela10[Fod Worth],Tabela10[Drop],DropAnalityka[[#This Row],[Drop]],Tabela10[Grade],DropAnalityka[[#This Row],[Grade]])*DropAnalityka[[#This Row],[Quality/Quantity]],0)</f>
        <v>0</v>
      </c>
      <c r="L1123" s="43">
        <f>IFERROR(SUMIFS(Tabela10[Exp Gain only 2*+],Tabela10[Drop],DropAnalityka[[#This Row],[Drop]],Tabela10[Grade],DropAnalityka[[#This Row],[Grade]])*DropAnalityka[[#This Row],[Quality/Quantity]],0)</f>
        <v>0</v>
      </c>
    </row>
    <row r="1124" spans="1:12">
      <c r="A1124" t="s">
        <v>172</v>
      </c>
      <c r="B1124" t="s">
        <v>9</v>
      </c>
      <c r="C1124">
        <v>10</v>
      </c>
      <c r="D1124">
        <v>4601</v>
      </c>
      <c r="E1124">
        <v>1</v>
      </c>
      <c r="F1124" t="s">
        <v>34</v>
      </c>
      <c r="G1124">
        <v>4</v>
      </c>
      <c r="H1124" t="s">
        <v>17</v>
      </c>
      <c r="I1124">
        <v>0</v>
      </c>
      <c r="J112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124" s="43">
        <f>IFERROR(SUMIFS(Tabela10[Fod Worth],Tabela10[Drop],DropAnalityka[[#This Row],[Drop]],Tabela10[Grade],DropAnalityka[[#This Row],[Grade]])*DropAnalityka[[#This Row],[Quality/Quantity]],0)</f>
        <v>0</v>
      </c>
      <c r="L1124" s="43">
        <f>IFERROR(SUMIFS(Tabela10[Exp Gain only 2*+],Tabela10[Drop],DropAnalityka[[#This Row],[Drop]],Tabela10[Grade],DropAnalityka[[#This Row],[Grade]])*DropAnalityka[[#This Row],[Quality/Quantity]],0)</f>
        <v>3200</v>
      </c>
    </row>
    <row r="1125" spans="1:12">
      <c r="A1125" t="s">
        <v>172</v>
      </c>
      <c r="B1125" t="s">
        <v>9</v>
      </c>
      <c r="C1125">
        <v>10</v>
      </c>
      <c r="D1125">
        <v>4076</v>
      </c>
      <c r="E1125">
        <v>1</v>
      </c>
      <c r="F1125" t="s">
        <v>258</v>
      </c>
      <c r="G1125">
        <v>1</v>
      </c>
      <c r="H1125" t="s">
        <v>27</v>
      </c>
      <c r="I1125">
        <v>5057</v>
      </c>
      <c r="J1125">
        <f>DropAnalityka[[#This Row],[Sell Drop]]+IFERROR(SUMIFS(Tabela10[Drop Worth],Tabela10[Drop],DropAnalityka[[#This Row],[Drop]],Tabela10[Grade],DropAnalityka[[#This Row],[Grade]])*DropAnalityka[[#This Row],[Quality/Quantity]],0)</f>
        <v>5057</v>
      </c>
      <c r="K1125" s="43">
        <f>IFERROR(SUMIFS(Tabela10[Fod Worth],Tabela10[Drop],DropAnalityka[[#This Row],[Drop]],Tabela10[Grade],DropAnalityka[[#This Row],[Grade]])*DropAnalityka[[#This Row],[Quality/Quantity]],0)</f>
        <v>0</v>
      </c>
      <c r="L1125" s="43">
        <f>IFERROR(SUMIFS(Tabela10[Exp Gain only 2*+],Tabela10[Drop],DropAnalityka[[#This Row],[Drop]],Tabela10[Grade],DropAnalityka[[#This Row],[Grade]])*DropAnalityka[[#This Row],[Quality/Quantity]],0)</f>
        <v>0</v>
      </c>
    </row>
    <row r="1126" spans="1:12">
      <c r="A1126" t="s">
        <v>172</v>
      </c>
      <c r="B1126" t="s">
        <v>9</v>
      </c>
      <c r="C1126">
        <v>10</v>
      </c>
      <c r="D1126">
        <v>3735</v>
      </c>
      <c r="E1126">
        <v>1</v>
      </c>
      <c r="F1126" t="s">
        <v>258</v>
      </c>
      <c r="G1126">
        <v>1</v>
      </c>
      <c r="H1126" t="s">
        <v>28</v>
      </c>
      <c r="I1126">
        <v>6502</v>
      </c>
      <c r="J1126">
        <f>DropAnalityka[[#This Row],[Sell Drop]]+IFERROR(SUMIFS(Tabela10[Drop Worth],Tabela10[Drop],DropAnalityka[[#This Row],[Drop]],Tabela10[Grade],DropAnalityka[[#This Row],[Grade]])*DropAnalityka[[#This Row],[Quality/Quantity]],0)</f>
        <v>6502</v>
      </c>
      <c r="K1126" s="43">
        <f>IFERROR(SUMIFS(Tabela10[Fod Worth],Tabela10[Drop],DropAnalityka[[#This Row],[Drop]],Tabela10[Grade],DropAnalityka[[#This Row],[Grade]])*DropAnalityka[[#This Row],[Quality/Quantity]],0)</f>
        <v>0</v>
      </c>
      <c r="L1126" s="43">
        <f>IFERROR(SUMIFS(Tabela10[Exp Gain only 2*+],Tabela10[Drop],DropAnalityka[[#This Row],[Drop]],Tabela10[Grade],DropAnalityka[[#This Row],[Grade]])*DropAnalityka[[#This Row],[Quality/Quantity]],0)</f>
        <v>0</v>
      </c>
    </row>
    <row r="1127" spans="1:12">
      <c r="A1127" t="s">
        <v>172</v>
      </c>
      <c r="B1127" t="s">
        <v>9</v>
      </c>
      <c r="C1127">
        <v>10</v>
      </c>
      <c r="D1127">
        <v>3968</v>
      </c>
      <c r="E1127">
        <v>1</v>
      </c>
      <c r="F1127" t="s">
        <v>258</v>
      </c>
      <c r="G1127">
        <v>1</v>
      </c>
      <c r="H1127" t="s">
        <v>28</v>
      </c>
      <c r="I1127">
        <v>3825</v>
      </c>
      <c r="J1127">
        <f>DropAnalityka[[#This Row],[Sell Drop]]+IFERROR(SUMIFS(Tabela10[Drop Worth],Tabela10[Drop],DropAnalityka[[#This Row],[Drop]],Tabela10[Grade],DropAnalityka[[#This Row],[Grade]])*DropAnalityka[[#This Row],[Quality/Quantity]],0)</f>
        <v>3825</v>
      </c>
      <c r="K1127" s="43">
        <f>IFERROR(SUMIFS(Tabela10[Fod Worth],Tabela10[Drop],DropAnalityka[[#This Row],[Drop]],Tabela10[Grade],DropAnalityka[[#This Row],[Grade]])*DropAnalityka[[#This Row],[Quality/Quantity]],0)</f>
        <v>0</v>
      </c>
      <c r="L1127" s="43">
        <f>IFERROR(SUMIFS(Tabela10[Exp Gain only 2*+],Tabela10[Drop],DropAnalityka[[#This Row],[Drop]],Tabela10[Grade],DropAnalityka[[#This Row],[Grade]])*DropAnalityka[[#This Row],[Quality/Quantity]],0)</f>
        <v>0</v>
      </c>
    </row>
    <row r="1128" spans="1:12">
      <c r="A1128" t="s">
        <v>172</v>
      </c>
      <c r="B1128" t="s">
        <v>9</v>
      </c>
      <c r="C1128">
        <v>10</v>
      </c>
      <c r="D1128">
        <v>4409</v>
      </c>
      <c r="E1128">
        <v>0</v>
      </c>
      <c r="F1128" t="s">
        <v>258</v>
      </c>
      <c r="G1128">
        <v>1</v>
      </c>
      <c r="H1128" t="s">
        <v>28</v>
      </c>
      <c r="I1128">
        <v>7650</v>
      </c>
      <c r="J1128">
        <f>DropAnalityka[[#This Row],[Sell Drop]]+IFERROR(SUMIFS(Tabela10[Drop Worth],Tabela10[Drop],DropAnalityka[[#This Row],[Drop]],Tabela10[Grade],DropAnalityka[[#This Row],[Grade]])*DropAnalityka[[#This Row],[Quality/Quantity]],0)</f>
        <v>7650</v>
      </c>
      <c r="K1128" s="43">
        <f>IFERROR(SUMIFS(Tabela10[Fod Worth],Tabela10[Drop],DropAnalityka[[#This Row],[Drop]],Tabela10[Grade],DropAnalityka[[#This Row],[Grade]])*DropAnalityka[[#This Row],[Quality/Quantity]],0)</f>
        <v>0</v>
      </c>
      <c r="L1128" s="43">
        <f>IFERROR(SUMIFS(Tabela10[Exp Gain only 2*+],Tabela10[Drop],DropAnalityka[[#This Row],[Drop]],Tabela10[Grade],DropAnalityka[[#This Row],[Grade]])*DropAnalityka[[#This Row],[Quality/Quantity]],0)</f>
        <v>0</v>
      </c>
    </row>
    <row r="1129" spans="1:12">
      <c r="A1129" t="s">
        <v>172</v>
      </c>
      <c r="B1129" t="s">
        <v>9</v>
      </c>
      <c r="C1129">
        <v>10</v>
      </c>
      <c r="D1129">
        <v>4316</v>
      </c>
      <c r="E1129">
        <v>0</v>
      </c>
      <c r="F1129" t="s">
        <v>258</v>
      </c>
      <c r="G1129">
        <v>1</v>
      </c>
      <c r="H1129" t="s">
        <v>28</v>
      </c>
      <c r="I1129">
        <v>5780</v>
      </c>
      <c r="J1129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129" s="43">
        <f>IFERROR(SUMIFS(Tabela10[Fod Worth],Tabela10[Drop],DropAnalityka[[#This Row],[Drop]],Tabela10[Grade],DropAnalityka[[#This Row],[Grade]])*DropAnalityka[[#This Row],[Quality/Quantity]],0)</f>
        <v>0</v>
      </c>
      <c r="L1129" s="43">
        <f>IFERROR(SUMIFS(Tabela10[Exp Gain only 2*+],Tabela10[Drop],DropAnalityka[[#This Row],[Drop]],Tabela10[Grade],DropAnalityka[[#This Row],[Grade]])*DropAnalityka[[#This Row],[Quality/Quantity]],0)</f>
        <v>0</v>
      </c>
    </row>
    <row r="1130" spans="1:12">
      <c r="A1130" t="s">
        <v>172</v>
      </c>
      <c r="B1130" t="s">
        <v>9</v>
      </c>
      <c r="C1130">
        <v>10</v>
      </c>
      <c r="D1130">
        <v>4350</v>
      </c>
      <c r="E1130">
        <v>3</v>
      </c>
      <c r="F1130" t="s">
        <v>258</v>
      </c>
      <c r="G1130">
        <v>1</v>
      </c>
      <c r="H1130" t="s">
        <v>28</v>
      </c>
      <c r="I1130">
        <v>5950</v>
      </c>
      <c r="J1130">
        <f>DropAnalityka[[#This Row],[Sell Drop]]+IFERROR(SUMIFS(Tabela10[Drop Worth],Tabela10[Drop],DropAnalityka[[#This Row],[Drop]],Tabela10[Grade],DropAnalityka[[#This Row],[Grade]])*DropAnalityka[[#This Row],[Quality/Quantity]],0)</f>
        <v>5950</v>
      </c>
      <c r="K1130" s="43">
        <f>IFERROR(SUMIFS(Tabela10[Fod Worth],Tabela10[Drop],DropAnalityka[[#This Row],[Drop]],Tabela10[Grade],DropAnalityka[[#This Row],[Grade]])*DropAnalityka[[#This Row],[Quality/Quantity]],0)</f>
        <v>0</v>
      </c>
      <c r="L1130" s="43">
        <f>IFERROR(SUMIFS(Tabela10[Exp Gain only 2*+],Tabela10[Drop],DropAnalityka[[#This Row],[Drop]],Tabela10[Grade],DropAnalityka[[#This Row],[Grade]])*DropAnalityka[[#This Row],[Quality/Quantity]],0)</f>
        <v>0</v>
      </c>
    </row>
    <row r="1131" spans="1:12">
      <c r="A1131" t="s">
        <v>172</v>
      </c>
      <c r="B1131" t="s">
        <v>9</v>
      </c>
      <c r="C1131">
        <v>10</v>
      </c>
      <c r="D1131">
        <v>4027</v>
      </c>
      <c r="E1131">
        <v>1</v>
      </c>
      <c r="F1131" t="s">
        <v>258</v>
      </c>
      <c r="G1131">
        <v>1</v>
      </c>
      <c r="H1131" t="s">
        <v>28</v>
      </c>
      <c r="I1131">
        <v>5100</v>
      </c>
      <c r="J1131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131" s="43">
        <f>IFERROR(SUMIFS(Tabela10[Fod Worth],Tabela10[Drop],DropAnalityka[[#This Row],[Drop]],Tabela10[Grade],DropAnalityka[[#This Row],[Grade]])*DropAnalityka[[#This Row],[Quality/Quantity]],0)</f>
        <v>0</v>
      </c>
      <c r="L1131" s="43">
        <f>IFERROR(SUMIFS(Tabela10[Exp Gain only 2*+],Tabela10[Drop],DropAnalityka[[#This Row],[Drop]],Tabela10[Grade],DropAnalityka[[#This Row],[Grade]])*DropAnalityka[[#This Row],[Quality/Quantity]],0)</f>
        <v>0</v>
      </c>
    </row>
    <row r="1132" spans="1:12">
      <c r="A1132" t="s">
        <v>172</v>
      </c>
      <c r="B1132" t="s">
        <v>9</v>
      </c>
      <c r="C1132">
        <v>10</v>
      </c>
      <c r="D1132">
        <v>4582</v>
      </c>
      <c r="E1132">
        <v>1</v>
      </c>
      <c r="F1132" t="s">
        <v>318</v>
      </c>
      <c r="G1132">
        <v>1</v>
      </c>
      <c r="H1132" t="s">
        <v>28</v>
      </c>
      <c r="I1132">
        <v>10444</v>
      </c>
      <c r="J1132">
        <f>DropAnalityka[[#This Row],[Sell Drop]]+IFERROR(SUMIFS(Tabela10[Drop Worth],Tabela10[Drop],DropAnalityka[[#This Row],[Drop]],Tabela10[Grade],DropAnalityka[[#This Row],[Grade]])*DropAnalityka[[#This Row],[Quality/Quantity]],0)</f>
        <v>10444</v>
      </c>
      <c r="K1132" s="43">
        <f>IFERROR(SUMIFS(Tabela10[Fod Worth],Tabela10[Drop],DropAnalityka[[#This Row],[Drop]],Tabela10[Grade],DropAnalityka[[#This Row],[Grade]])*DropAnalityka[[#This Row],[Quality/Quantity]],0)</f>
        <v>0</v>
      </c>
      <c r="L1132" s="43">
        <f>IFERROR(SUMIFS(Tabela10[Exp Gain only 2*+],Tabela10[Drop],DropAnalityka[[#This Row],[Drop]],Tabela10[Grade],DropAnalityka[[#This Row],[Grade]])*DropAnalityka[[#This Row],[Quality/Quantity]],0)</f>
        <v>0</v>
      </c>
    </row>
    <row r="1133" spans="1:12">
      <c r="A1133" t="s">
        <v>172</v>
      </c>
      <c r="B1133" t="s">
        <v>9</v>
      </c>
      <c r="C1133">
        <v>10</v>
      </c>
      <c r="D1133">
        <v>4490</v>
      </c>
      <c r="E1133">
        <v>0</v>
      </c>
      <c r="F1133" t="s">
        <v>258</v>
      </c>
      <c r="G1133">
        <v>1</v>
      </c>
      <c r="H1133" t="s">
        <v>27</v>
      </c>
      <c r="I1133">
        <v>4364</v>
      </c>
      <c r="J1133">
        <f>DropAnalityka[[#This Row],[Sell Drop]]+IFERROR(SUMIFS(Tabela10[Drop Worth],Tabela10[Drop],DropAnalityka[[#This Row],[Drop]],Tabela10[Grade],DropAnalityka[[#This Row],[Grade]])*DropAnalityka[[#This Row],[Quality/Quantity]],0)</f>
        <v>4364</v>
      </c>
      <c r="K1133" s="43">
        <f>IFERROR(SUMIFS(Tabela10[Fod Worth],Tabela10[Drop],DropAnalityka[[#This Row],[Drop]],Tabela10[Grade],DropAnalityka[[#This Row],[Grade]])*DropAnalityka[[#This Row],[Quality/Quantity]],0)</f>
        <v>0</v>
      </c>
      <c r="L1133" s="43">
        <f>IFERROR(SUMIFS(Tabela10[Exp Gain only 2*+],Tabela10[Drop],DropAnalityka[[#This Row],[Drop]],Tabela10[Grade],DropAnalityka[[#This Row],[Grade]])*DropAnalityka[[#This Row],[Quality/Quantity]],0)</f>
        <v>0</v>
      </c>
    </row>
    <row r="1134" spans="1:12">
      <c r="A1134" t="s">
        <v>172</v>
      </c>
      <c r="B1134" t="s">
        <v>9</v>
      </c>
      <c r="C1134">
        <v>10</v>
      </c>
      <c r="D1134">
        <v>4382</v>
      </c>
      <c r="E1134">
        <v>0</v>
      </c>
      <c r="F1134" t="s">
        <v>258</v>
      </c>
      <c r="G1134">
        <v>1</v>
      </c>
      <c r="H1134" t="s">
        <v>27</v>
      </c>
      <c r="I1134">
        <v>2940</v>
      </c>
      <c r="J1134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134" s="43">
        <f>IFERROR(SUMIFS(Tabela10[Fod Worth],Tabela10[Drop],DropAnalityka[[#This Row],[Drop]],Tabela10[Grade],DropAnalityka[[#This Row],[Grade]])*DropAnalityka[[#This Row],[Quality/Quantity]],0)</f>
        <v>0</v>
      </c>
      <c r="L1134" s="43">
        <f>IFERROR(SUMIFS(Tabela10[Exp Gain only 2*+],Tabela10[Drop],DropAnalityka[[#This Row],[Drop]],Tabela10[Grade],DropAnalityka[[#This Row],[Grade]])*DropAnalityka[[#This Row],[Quality/Quantity]],0)</f>
        <v>0</v>
      </c>
    </row>
    <row r="1135" spans="1:12">
      <c r="A1135" t="s">
        <v>172</v>
      </c>
      <c r="B1135" t="s">
        <v>9</v>
      </c>
      <c r="C1135">
        <v>10</v>
      </c>
      <c r="D1135">
        <v>3808</v>
      </c>
      <c r="E1135">
        <v>0</v>
      </c>
      <c r="F1135" t="s">
        <v>34</v>
      </c>
      <c r="G1135">
        <v>5</v>
      </c>
      <c r="H1135" t="s">
        <v>17</v>
      </c>
      <c r="I1135">
        <v>0</v>
      </c>
      <c r="J113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35" s="43">
        <f>IFERROR(SUMIFS(Tabela10[Fod Worth],Tabela10[Drop],DropAnalityka[[#This Row],[Drop]],Tabela10[Grade],DropAnalityka[[#This Row],[Grade]])*DropAnalityka[[#This Row],[Quality/Quantity]],0)</f>
        <v>0</v>
      </c>
      <c r="L1135" s="43">
        <f>IFERROR(SUMIFS(Tabela10[Exp Gain only 2*+],Tabela10[Drop],DropAnalityka[[#This Row],[Drop]],Tabela10[Grade],DropAnalityka[[#This Row],[Grade]])*DropAnalityka[[#This Row],[Quality/Quantity]],0)</f>
        <v>4000</v>
      </c>
    </row>
    <row r="1136" spans="1:12">
      <c r="A1136" t="s">
        <v>172</v>
      </c>
      <c r="B1136" t="s">
        <v>9</v>
      </c>
      <c r="C1136">
        <v>10</v>
      </c>
      <c r="D1136">
        <v>3873</v>
      </c>
      <c r="E1136">
        <v>2</v>
      </c>
      <c r="F1136" t="s">
        <v>258</v>
      </c>
      <c r="G1136">
        <v>1</v>
      </c>
      <c r="H1136" t="s">
        <v>27</v>
      </c>
      <c r="I1136">
        <v>3307</v>
      </c>
      <c r="J1136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1136" s="43">
        <f>IFERROR(SUMIFS(Tabela10[Fod Worth],Tabela10[Drop],DropAnalityka[[#This Row],[Drop]],Tabela10[Grade],DropAnalityka[[#This Row],[Grade]])*DropAnalityka[[#This Row],[Quality/Quantity]],0)</f>
        <v>0</v>
      </c>
      <c r="L1136" s="43">
        <f>IFERROR(SUMIFS(Tabela10[Exp Gain only 2*+],Tabela10[Drop],DropAnalityka[[#This Row],[Drop]],Tabela10[Grade],DropAnalityka[[#This Row],[Grade]])*DropAnalityka[[#This Row],[Quality/Quantity]],0)</f>
        <v>0</v>
      </c>
    </row>
    <row r="1137" spans="1:12">
      <c r="A1137" t="s">
        <v>172</v>
      </c>
      <c r="B1137" t="s">
        <v>9</v>
      </c>
      <c r="C1137">
        <v>10</v>
      </c>
      <c r="D1137">
        <v>4165</v>
      </c>
      <c r="E1137">
        <v>1</v>
      </c>
      <c r="F1137" t="s">
        <v>291</v>
      </c>
      <c r="G1137">
        <v>1</v>
      </c>
      <c r="H1137" t="s">
        <v>27</v>
      </c>
      <c r="I1137">
        <v>3927</v>
      </c>
      <c r="J1137">
        <f>DropAnalityka[[#This Row],[Sell Drop]]+IFERROR(SUMIFS(Tabela10[Drop Worth],Tabela10[Drop],DropAnalityka[[#This Row],[Drop]],Tabela10[Grade],DropAnalityka[[#This Row],[Grade]])*DropAnalityka[[#This Row],[Quality/Quantity]],0)</f>
        <v>3927</v>
      </c>
      <c r="K1137" s="43">
        <f>IFERROR(SUMIFS(Tabela10[Fod Worth],Tabela10[Drop],DropAnalityka[[#This Row],[Drop]],Tabela10[Grade],DropAnalityka[[#This Row],[Grade]])*DropAnalityka[[#This Row],[Quality/Quantity]],0)</f>
        <v>0</v>
      </c>
      <c r="L1137" s="43">
        <f>IFERROR(SUMIFS(Tabela10[Exp Gain only 2*+],Tabela10[Drop],DropAnalityka[[#This Row],[Drop]],Tabela10[Grade],DropAnalityka[[#This Row],[Grade]])*DropAnalityka[[#This Row],[Quality/Quantity]],0)</f>
        <v>0</v>
      </c>
    </row>
    <row r="1138" spans="1:12">
      <c r="A1138" t="s">
        <v>172</v>
      </c>
      <c r="B1138" t="s">
        <v>9</v>
      </c>
      <c r="C1138">
        <v>10</v>
      </c>
      <c r="D1138">
        <v>3918</v>
      </c>
      <c r="E1138">
        <v>1</v>
      </c>
      <c r="F1138" t="s">
        <v>291</v>
      </c>
      <c r="G1138">
        <v>1</v>
      </c>
      <c r="H1138" t="s">
        <v>28</v>
      </c>
      <c r="I1138">
        <v>5440</v>
      </c>
      <c r="J1138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38" s="43">
        <f>IFERROR(SUMIFS(Tabela10[Fod Worth],Tabela10[Drop],DropAnalityka[[#This Row],[Drop]],Tabela10[Grade],DropAnalityka[[#This Row],[Grade]])*DropAnalityka[[#This Row],[Quality/Quantity]],0)</f>
        <v>0</v>
      </c>
      <c r="L1138" s="43">
        <f>IFERROR(SUMIFS(Tabela10[Exp Gain only 2*+],Tabela10[Drop],DropAnalityka[[#This Row],[Drop]],Tabela10[Grade],DropAnalityka[[#This Row],[Grade]])*DropAnalityka[[#This Row],[Quality/Quantity]],0)</f>
        <v>0</v>
      </c>
    </row>
    <row r="1139" spans="1:12">
      <c r="A1139" t="s">
        <v>172</v>
      </c>
      <c r="B1139" t="s">
        <v>9</v>
      </c>
      <c r="C1139">
        <v>10</v>
      </c>
      <c r="D1139">
        <v>3837</v>
      </c>
      <c r="E1139">
        <v>4</v>
      </c>
      <c r="F1139" t="s">
        <v>258</v>
      </c>
      <c r="G1139">
        <v>1</v>
      </c>
      <c r="H1139" t="s">
        <v>27</v>
      </c>
      <c r="I1139">
        <v>3100</v>
      </c>
      <c r="J1139">
        <f>DropAnalityka[[#This Row],[Sell Drop]]+IFERROR(SUMIFS(Tabela10[Drop Worth],Tabela10[Drop],DropAnalityka[[#This Row],[Drop]],Tabela10[Grade],DropAnalityka[[#This Row],[Grade]])*DropAnalityka[[#This Row],[Quality/Quantity]],0)</f>
        <v>3100</v>
      </c>
      <c r="K1139" s="43">
        <f>IFERROR(SUMIFS(Tabela10[Fod Worth],Tabela10[Drop],DropAnalityka[[#This Row],[Drop]],Tabela10[Grade],DropAnalityka[[#This Row],[Grade]])*DropAnalityka[[#This Row],[Quality/Quantity]],0)</f>
        <v>0</v>
      </c>
      <c r="L1139" s="43">
        <f>IFERROR(SUMIFS(Tabela10[Exp Gain only 2*+],Tabela10[Drop],DropAnalityka[[#This Row],[Drop]],Tabela10[Grade],DropAnalityka[[#This Row],[Grade]])*DropAnalityka[[#This Row],[Quality/Quantity]],0)</f>
        <v>0</v>
      </c>
    </row>
    <row r="1140" spans="1:12">
      <c r="A1140" t="s">
        <v>172</v>
      </c>
      <c r="B1140" t="s">
        <v>9</v>
      </c>
      <c r="C1140">
        <v>10</v>
      </c>
      <c r="D1140">
        <v>3909</v>
      </c>
      <c r="E1140">
        <v>0</v>
      </c>
      <c r="F1140" t="s">
        <v>258</v>
      </c>
      <c r="G1140">
        <v>1</v>
      </c>
      <c r="H1140" t="s">
        <v>28</v>
      </c>
      <c r="I1140">
        <v>6460</v>
      </c>
      <c r="J1140">
        <f>DropAnalityka[[#This Row],[Sell Drop]]+IFERROR(SUMIFS(Tabela10[Drop Worth],Tabela10[Drop],DropAnalityka[[#This Row],[Drop]],Tabela10[Grade],DropAnalityka[[#This Row],[Grade]])*DropAnalityka[[#This Row],[Quality/Quantity]],0)</f>
        <v>6460</v>
      </c>
      <c r="K1140" s="43">
        <f>IFERROR(SUMIFS(Tabela10[Fod Worth],Tabela10[Drop],DropAnalityka[[#This Row],[Drop]],Tabela10[Grade],DropAnalityka[[#This Row],[Grade]])*DropAnalityka[[#This Row],[Quality/Quantity]],0)</f>
        <v>0</v>
      </c>
      <c r="L1140" s="43">
        <f>IFERROR(SUMIFS(Tabela10[Exp Gain only 2*+],Tabela10[Drop],DropAnalityka[[#This Row],[Drop]],Tabela10[Grade],DropAnalityka[[#This Row],[Grade]])*DropAnalityka[[#This Row],[Quality/Quantity]],0)</f>
        <v>0</v>
      </c>
    </row>
    <row r="1141" spans="1:12">
      <c r="A1141" t="s">
        <v>172</v>
      </c>
      <c r="B1141" t="s">
        <v>9</v>
      </c>
      <c r="C1141">
        <v>10</v>
      </c>
      <c r="D1141">
        <v>4302</v>
      </c>
      <c r="E1141">
        <v>2</v>
      </c>
      <c r="F1141" t="s">
        <v>291</v>
      </c>
      <c r="G1141">
        <v>1</v>
      </c>
      <c r="H1141" t="s">
        <v>28</v>
      </c>
      <c r="I1141">
        <v>8075</v>
      </c>
      <c r="J1141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141" s="43">
        <f>IFERROR(SUMIFS(Tabela10[Fod Worth],Tabela10[Drop],DropAnalityka[[#This Row],[Drop]],Tabela10[Grade],DropAnalityka[[#This Row],[Grade]])*DropAnalityka[[#This Row],[Quality/Quantity]],0)</f>
        <v>0</v>
      </c>
      <c r="L1141" s="43">
        <f>IFERROR(SUMIFS(Tabela10[Exp Gain only 2*+],Tabela10[Drop],DropAnalityka[[#This Row],[Drop]],Tabela10[Grade],DropAnalityka[[#This Row],[Grade]])*DropAnalityka[[#This Row],[Quality/Quantity]],0)</f>
        <v>0</v>
      </c>
    </row>
    <row r="1142" spans="1:12">
      <c r="A1142" t="s">
        <v>172</v>
      </c>
      <c r="B1142" t="s">
        <v>9</v>
      </c>
      <c r="C1142">
        <v>10</v>
      </c>
      <c r="D1142">
        <v>4644</v>
      </c>
      <c r="E1142">
        <v>1</v>
      </c>
      <c r="F1142" t="s">
        <v>288</v>
      </c>
      <c r="G1142">
        <v>1</v>
      </c>
      <c r="H1142" t="s">
        <v>17</v>
      </c>
      <c r="I1142">
        <v>0</v>
      </c>
      <c r="J1142">
        <f>DropAnalityka[[#This Row],[Sell Drop]]+IFERROR(SUMIFS(Tabela10[Drop Worth],Tabela10[Drop],DropAnalityka[[#This Row],[Drop]],Tabela10[Grade],DropAnalityka[[#This Row],[Grade]])*DropAnalityka[[#This Row],[Quality/Quantity]],0)</f>
        <v>120000</v>
      </c>
      <c r="K1142" s="43">
        <f>IFERROR(SUMIFS(Tabela10[Fod Worth],Tabela10[Drop],DropAnalityka[[#This Row],[Drop]],Tabela10[Grade],DropAnalityka[[#This Row],[Grade]])*DropAnalityka[[#This Row],[Quality/Quantity]],0)</f>
        <v>0</v>
      </c>
      <c r="L1142" s="43">
        <f>IFERROR(SUMIFS(Tabela10[Exp Gain only 2*+],Tabela10[Drop],DropAnalityka[[#This Row],[Drop]],Tabela10[Grade],DropAnalityka[[#This Row],[Grade]])*DropAnalityka[[#This Row],[Quality/Quantity]],0)</f>
        <v>0</v>
      </c>
    </row>
    <row r="1143" spans="1:12">
      <c r="A1143" t="s">
        <v>172</v>
      </c>
      <c r="B1143" t="s">
        <v>9</v>
      </c>
      <c r="C1143">
        <v>10</v>
      </c>
      <c r="D1143">
        <v>3772</v>
      </c>
      <c r="E1143">
        <v>0</v>
      </c>
      <c r="F1143" t="s">
        <v>258</v>
      </c>
      <c r="G1143">
        <v>1</v>
      </c>
      <c r="H1143" t="s">
        <v>28</v>
      </c>
      <c r="I1143">
        <v>5780</v>
      </c>
      <c r="J1143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143" s="43">
        <f>IFERROR(SUMIFS(Tabela10[Fod Worth],Tabela10[Drop],DropAnalityka[[#This Row],[Drop]],Tabela10[Grade],DropAnalityka[[#This Row],[Grade]])*DropAnalityka[[#This Row],[Quality/Quantity]],0)</f>
        <v>0</v>
      </c>
      <c r="L1143" s="43">
        <f>IFERROR(SUMIFS(Tabela10[Exp Gain only 2*+],Tabela10[Drop],DropAnalityka[[#This Row],[Drop]],Tabela10[Grade],DropAnalityka[[#This Row],[Grade]])*DropAnalityka[[#This Row],[Quality/Quantity]],0)</f>
        <v>0</v>
      </c>
    </row>
    <row r="1144" spans="1:12">
      <c r="A1144" t="s">
        <v>172</v>
      </c>
      <c r="B1144" t="s">
        <v>9</v>
      </c>
      <c r="C1144">
        <v>10</v>
      </c>
      <c r="D1144">
        <v>3838</v>
      </c>
      <c r="E1144">
        <v>1</v>
      </c>
      <c r="F1144" t="s">
        <v>258</v>
      </c>
      <c r="G1144">
        <v>1</v>
      </c>
      <c r="H1144" t="s">
        <v>28</v>
      </c>
      <c r="I1144">
        <v>6460</v>
      </c>
      <c r="J1144">
        <f>DropAnalityka[[#This Row],[Sell Drop]]+IFERROR(SUMIFS(Tabela10[Drop Worth],Tabela10[Drop],DropAnalityka[[#This Row],[Drop]],Tabela10[Grade],DropAnalityka[[#This Row],[Grade]])*DropAnalityka[[#This Row],[Quality/Quantity]],0)</f>
        <v>6460</v>
      </c>
      <c r="K1144" s="43">
        <f>IFERROR(SUMIFS(Tabela10[Fod Worth],Tabela10[Drop],DropAnalityka[[#This Row],[Drop]],Tabela10[Grade],DropAnalityka[[#This Row],[Grade]])*DropAnalityka[[#This Row],[Quality/Quantity]],0)</f>
        <v>0</v>
      </c>
      <c r="L1144" s="43">
        <f>IFERROR(SUMIFS(Tabela10[Exp Gain only 2*+],Tabela10[Drop],DropAnalityka[[#This Row],[Drop]],Tabela10[Grade],DropAnalityka[[#This Row],[Grade]])*DropAnalityka[[#This Row],[Quality/Quantity]],0)</f>
        <v>0</v>
      </c>
    </row>
    <row r="1145" spans="1:12">
      <c r="A1145" t="s">
        <v>172</v>
      </c>
      <c r="B1145" t="s">
        <v>9</v>
      </c>
      <c r="C1145">
        <v>10</v>
      </c>
      <c r="D1145">
        <v>3618</v>
      </c>
      <c r="E1145">
        <v>1</v>
      </c>
      <c r="F1145" t="s">
        <v>318</v>
      </c>
      <c r="G1145">
        <v>1</v>
      </c>
      <c r="H1145" t="s">
        <v>28</v>
      </c>
      <c r="I1145">
        <v>11560</v>
      </c>
      <c r="J1145">
        <f>DropAnalityka[[#This Row],[Sell Drop]]+IFERROR(SUMIFS(Tabela10[Drop Worth],Tabela10[Drop],DropAnalityka[[#This Row],[Drop]],Tabela10[Grade],DropAnalityka[[#This Row],[Grade]])*DropAnalityka[[#This Row],[Quality/Quantity]],0)</f>
        <v>11560</v>
      </c>
      <c r="K1145" s="43">
        <f>IFERROR(SUMIFS(Tabela10[Fod Worth],Tabela10[Drop],DropAnalityka[[#This Row],[Drop]],Tabela10[Grade],DropAnalityka[[#This Row],[Grade]])*DropAnalityka[[#This Row],[Quality/Quantity]],0)</f>
        <v>0</v>
      </c>
      <c r="L1145" s="43">
        <f>IFERROR(SUMIFS(Tabela10[Exp Gain only 2*+],Tabela10[Drop],DropAnalityka[[#This Row],[Drop]],Tabela10[Grade],DropAnalityka[[#This Row],[Grade]])*DropAnalityka[[#This Row],[Quality/Quantity]],0)</f>
        <v>0</v>
      </c>
    </row>
    <row r="1146" spans="1:12">
      <c r="A1146" t="s">
        <v>172</v>
      </c>
      <c r="B1146" t="s">
        <v>9</v>
      </c>
      <c r="C1146">
        <v>10</v>
      </c>
      <c r="D1146">
        <v>3622</v>
      </c>
      <c r="E1146">
        <v>2</v>
      </c>
      <c r="F1146" t="s">
        <v>318</v>
      </c>
      <c r="G1146">
        <v>1</v>
      </c>
      <c r="H1146" t="s">
        <v>28</v>
      </c>
      <c r="I1146">
        <v>16320</v>
      </c>
      <c r="J1146">
        <f>DropAnalityka[[#This Row],[Sell Drop]]+IFERROR(SUMIFS(Tabela10[Drop Worth],Tabela10[Drop],DropAnalityka[[#This Row],[Drop]],Tabela10[Grade],DropAnalityka[[#This Row],[Grade]])*DropAnalityka[[#This Row],[Quality/Quantity]],0)</f>
        <v>16320</v>
      </c>
      <c r="K1146" s="43">
        <f>IFERROR(SUMIFS(Tabela10[Fod Worth],Tabela10[Drop],DropAnalityka[[#This Row],[Drop]],Tabela10[Grade],DropAnalityka[[#This Row],[Grade]])*DropAnalityka[[#This Row],[Quality/Quantity]],0)</f>
        <v>0</v>
      </c>
      <c r="L1146" s="43">
        <f>IFERROR(SUMIFS(Tabela10[Exp Gain only 2*+],Tabela10[Drop],DropAnalityka[[#This Row],[Drop]],Tabela10[Grade],DropAnalityka[[#This Row],[Grade]])*DropAnalityka[[#This Row],[Quality/Quantity]],0)</f>
        <v>0</v>
      </c>
    </row>
    <row r="1147" spans="1:12">
      <c r="A1147" t="s">
        <v>172</v>
      </c>
      <c r="B1147" t="s">
        <v>9</v>
      </c>
      <c r="C1147">
        <v>10</v>
      </c>
      <c r="D1147">
        <v>4131</v>
      </c>
      <c r="E1147">
        <v>2</v>
      </c>
      <c r="F1147" t="s">
        <v>34</v>
      </c>
      <c r="G1147">
        <v>5</v>
      </c>
      <c r="H1147" t="s">
        <v>17</v>
      </c>
      <c r="I1147">
        <v>0</v>
      </c>
      <c r="J1147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47" s="43">
        <f>IFERROR(SUMIFS(Tabela10[Fod Worth],Tabela10[Drop],DropAnalityka[[#This Row],[Drop]],Tabela10[Grade],DropAnalityka[[#This Row],[Grade]])*DropAnalityka[[#This Row],[Quality/Quantity]],0)</f>
        <v>0</v>
      </c>
      <c r="L1147" s="43">
        <f>IFERROR(SUMIFS(Tabela10[Exp Gain only 2*+],Tabela10[Drop],DropAnalityka[[#This Row],[Drop]],Tabela10[Grade],DropAnalityka[[#This Row],[Grade]])*DropAnalityka[[#This Row],[Quality/Quantity]],0)</f>
        <v>4000</v>
      </c>
    </row>
    <row r="1148" spans="1:12">
      <c r="A1148" t="s">
        <v>172</v>
      </c>
      <c r="B1148" t="s">
        <v>9</v>
      </c>
      <c r="C1148">
        <v>10</v>
      </c>
      <c r="D1148">
        <v>3935</v>
      </c>
      <c r="E1148">
        <v>0</v>
      </c>
      <c r="F1148" t="s">
        <v>58</v>
      </c>
      <c r="G1148">
        <v>1</v>
      </c>
      <c r="H1148" t="s">
        <v>12</v>
      </c>
      <c r="I1148">
        <v>0</v>
      </c>
      <c r="J11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48" s="43">
        <f>IFERROR(SUMIFS(Tabela10[Fod Worth],Tabela10[Drop],DropAnalityka[[#This Row],[Drop]],Tabela10[Grade],DropAnalityka[[#This Row],[Grade]])*DropAnalityka[[#This Row],[Quality/Quantity]],0)</f>
        <v>11500</v>
      </c>
      <c r="L1148" s="43">
        <f>IFERROR(SUMIFS(Tabela10[Exp Gain only 2*+],Tabela10[Drop],DropAnalityka[[#This Row],[Drop]],Tabela10[Grade],DropAnalityka[[#This Row],[Grade]])*DropAnalityka[[#This Row],[Quality/Quantity]],0)</f>
        <v>35822</v>
      </c>
    </row>
    <row r="1149" spans="1:12">
      <c r="A1149" t="s">
        <v>172</v>
      </c>
      <c r="B1149" t="s">
        <v>9</v>
      </c>
      <c r="C1149">
        <v>10</v>
      </c>
      <c r="D1149">
        <v>3786</v>
      </c>
      <c r="E1149">
        <v>1</v>
      </c>
      <c r="F1149" t="s">
        <v>291</v>
      </c>
      <c r="G1149">
        <v>1</v>
      </c>
      <c r="H1149" t="s">
        <v>27</v>
      </c>
      <c r="I1149">
        <v>3904</v>
      </c>
      <c r="J1149">
        <f>DropAnalityka[[#This Row],[Sell Drop]]+IFERROR(SUMIFS(Tabela10[Drop Worth],Tabela10[Drop],DropAnalityka[[#This Row],[Drop]],Tabela10[Grade],DropAnalityka[[#This Row],[Grade]])*DropAnalityka[[#This Row],[Quality/Quantity]],0)</f>
        <v>3904</v>
      </c>
      <c r="K1149" s="43">
        <f>IFERROR(SUMIFS(Tabela10[Fod Worth],Tabela10[Drop],DropAnalityka[[#This Row],[Drop]],Tabela10[Grade],DropAnalityka[[#This Row],[Grade]])*DropAnalityka[[#This Row],[Quality/Quantity]],0)</f>
        <v>0</v>
      </c>
      <c r="L1149" s="43">
        <f>IFERROR(SUMIFS(Tabela10[Exp Gain only 2*+],Tabela10[Drop],DropAnalityka[[#This Row],[Drop]],Tabela10[Grade],DropAnalityka[[#This Row],[Grade]])*DropAnalityka[[#This Row],[Quality/Quantity]],0)</f>
        <v>0</v>
      </c>
    </row>
    <row r="1150" spans="1:12">
      <c r="A1150" t="s">
        <v>172</v>
      </c>
      <c r="B1150" t="s">
        <v>9</v>
      </c>
      <c r="C1150">
        <v>10</v>
      </c>
      <c r="D1150">
        <v>3725</v>
      </c>
      <c r="E1150">
        <v>0</v>
      </c>
      <c r="F1150" t="s">
        <v>34</v>
      </c>
      <c r="G1150">
        <v>4</v>
      </c>
      <c r="H1150" t="s">
        <v>17</v>
      </c>
      <c r="I1150">
        <v>0</v>
      </c>
      <c r="J115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150" s="43">
        <f>IFERROR(SUMIFS(Tabela10[Fod Worth],Tabela10[Drop],DropAnalityka[[#This Row],[Drop]],Tabela10[Grade],DropAnalityka[[#This Row],[Grade]])*DropAnalityka[[#This Row],[Quality/Quantity]],0)</f>
        <v>0</v>
      </c>
      <c r="L1150" s="43">
        <f>IFERROR(SUMIFS(Tabela10[Exp Gain only 2*+],Tabela10[Drop],DropAnalityka[[#This Row],[Drop]],Tabela10[Grade],DropAnalityka[[#This Row],[Grade]])*DropAnalityka[[#This Row],[Quality/Quantity]],0)</f>
        <v>3200</v>
      </c>
    </row>
    <row r="1151" spans="1:12">
      <c r="A1151" t="s">
        <v>172</v>
      </c>
      <c r="B1151" t="s">
        <v>9</v>
      </c>
      <c r="C1151">
        <v>10</v>
      </c>
      <c r="D1151">
        <v>3617</v>
      </c>
      <c r="E1151">
        <v>1</v>
      </c>
      <c r="F1151" t="s">
        <v>258</v>
      </c>
      <c r="G1151">
        <v>1</v>
      </c>
      <c r="H1151" t="s">
        <v>28</v>
      </c>
      <c r="I1151">
        <v>6800</v>
      </c>
      <c r="J1151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151" s="43">
        <f>IFERROR(SUMIFS(Tabela10[Fod Worth],Tabela10[Drop],DropAnalityka[[#This Row],[Drop]],Tabela10[Grade],DropAnalityka[[#This Row],[Grade]])*DropAnalityka[[#This Row],[Quality/Quantity]],0)</f>
        <v>0</v>
      </c>
      <c r="L1151" s="43">
        <f>IFERROR(SUMIFS(Tabela10[Exp Gain only 2*+],Tabela10[Drop],DropAnalityka[[#This Row],[Drop]],Tabela10[Grade],DropAnalityka[[#This Row],[Grade]])*DropAnalityka[[#This Row],[Quality/Quantity]],0)</f>
        <v>0</v>
      </c>
    </row>
    <row r="1152" spans="1:12">
      <c r="A1152" t="s">
        <v>172</v>
      </c>
      <c r="B1152" t="s">
        <v>9</v>
      </c>
      <c r="C1152">
        <v>10</v>
      </c>
      <c r="D1152">
        <v>3937</v>
      </c>
      <c r="E1152">
        <v>1</v>
      </c>
      <c r="F1152" t="s">
        <v>291</v>
      </c>
      <c r="G1152">
        <v>1</v>
      </c>
      <c r="H1152" t="s">
        <v>29</v>
      </c>
      <c r="I1152">
        <v>13472</v>
      </c>
      <c r="J1152">
        <f>DropAnalityka[[#This Row],[Sell Drop]]+IFERROR(SUMIFS(Tabela10[Drop Worth],Tabela10[Drop],DropAnalityka[[#This Row],[Drop]],Tabela10[Grade],DropAnalityka[[#This Row],[Grade]])*DropAnalityka[[#This Row],[Quality/Quantity]],0)</f>
        <v>13472</v>
      </c>
      <c r="K1152" s="43">
        <f>IFERROR(SUMIFS(Tabela10[Fod Worth],Tabela10[Drop],DropAnalityka[[#This Row],[Drop]],Tabela10[Grade],DropAnalityka[[#This Row],[Grade]])*DropAnalityka[[#This Row],[Quality/Quantity]],0)</f>
        <v>0</v>
      </c>
      <c r="L1152" s="43">
        <f>IFERROR(SUMIFS(Tabela10[Exp Gain only 2*+],Tabela10[Drop],DropAnalityka[[#This Row],[Drop]],Tabela10[Grade],DropAnalityka[[#This Row],[Grade]])*DropAnalityka[[#This Row],[Quality/Quantity]],0)</f>
        <v>0</v>
      </c>
    </row>
    <row r="1153" spans="1:12">
      <c r="A1153" t="s">
        <v>172</v>
      </c>
      <c r="B1153" t="s">
        <v>9</v>
      </c>
      <c r="C1153">
        <v>10</v>
      </c>
      <c r="D1153">
        <v>3918</v>
      </c>
      <c r="E1153">
        <v>1</v>
      </c>
      <c r="F1153" t="s">
        <v>258</v>
      </c>
      <c r="G1153">
        <v>1</v>
      </c>
      <c r="H1153" t="s">
        <v>29</v>
      </c>
      <c r="I1153">
        <v>9510</v>
      </c>
      <c r="J1153">
        <f>DropAnalityka[[#This Row],[Sell Drop]]+IFERROR(SUMIFS(Tabela10[Drop Worth],Tabela10[Drop],DropAnalityka[[#This Row],[Drop]],Tabela10[Grade],DropAnalityka[[#This Row],[Grade]])*DropAnalityka[[#This Row],[Quality/Quantity]],0)</f>
        <v>9510</v>
      </c>
      <c r="K1153" s="43">
        <f>IFERROR(SUMIFS(Tabela10[Fod Worth],Tabela10[Drop],DropAnalityka[[#This Row],[Drop]],Tabela10[Grade],DropAnalityka[[#This Row],[Grade]])*DropAnalityka[[#This Row],[Quality/Quantity]],0)</f>
        <v>0</v>
      </c>
      <c r="L1153" s="43">
        <f>IFERROR(SUMIFS(Tabela10[Exp Gain only 2*+],Tabela10[Drop],DropAnalityka[[#This Row],[Drop]],Tabela10[Grade],DropAnalityka[[#This Row],[Grade]])*DropAnalityka[[#This Row],[Quality/Quantity]],0)</f>
        <v>0</v>
      </c>
    </row>
    <row r="1154" spans="1:12">
      <c r="A1154" t="s">
        <v>172</v>
      </c>
      <c r="B1154" t="s">
        <v>9</v>
      </c>
      <c r="C1154">
        <v>10</v>
      </c>
      <c r="D1154">
        <v>4078</v>
      </c>
      <c r="E1154">
        <v>3</v>
      </c>
      <c r="F1154" t="s">
        <v>58</v>
      </c>
      <c r="G1154">
        <v>1</v>
      </c>
      <c r="H1154" t="s">
        <v>12</v>
      </c>
      <c r="I1154">
        <v>0</v>
      </c>
      <c r="J11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54" s="43">
        <f>IFERROR(SUMIFS(Tabela10[Fod Worth],Tabela10[Drop],DropAnalityka[[#This Row],[Drop]],Tabela10[Grade],DropAnalityka[[#This Row],[Grade]])*DropAnalityka[[#This Row],[Quality/Quantity]],0)</f>
        <v>11500</v>
      </c>
      <c r="L1154" s="43">
        <f>IFERROR(SUMIFS(Tabela10[Exp Gain only 2*+],Tabela10[Drop],DropAnalityka[[#This Row],[Drop]],Tabela10[Grade],DropAnalityka[[#This Row],[Grade]])*DropAnalityka[[#This Row],[Quality/Quantity]],0)</f>
        <v>35822</v>
      </c>
    </row>
    <row r="1155" spans="1:12">
      <c r="A1155" t="s">
        <v>172</v>
      </c>
      <c r="B1155" t="s">
        <v>9</v>
      </c>
      <c r="C1155">
        <v>10</v>
      </c>
      <c r="D1155">
        <v>4022</v>
      </c>
      <c r="E1155">
        <v>2</v>
      </c>
      <c r="F1155" t="s">
        <v>258</v>
      </c>
      <c r="G1155">
        <v>1</v>
      </c>
      <c r="H1155" t="s">
        <v>28</v>
      </c>
      <c r="I1155">
        <v>13005</v>
      </c>
      <c r="J1155">
        <f>DropAnalityka[[#This Row],[Sell Drop]]+IFERROR(SUMIFS(Tabela10[Drop Worth],Tabela10[Drop],DropAnalityka[[#This Row],[Drop]],Tabela10[Grade],DropAnalityka[[#This Row],[Grade]])*DropAnalityka[[#This Row],[Quality/Quantity]],0)</f>
        <v>13005</v>
      </c>
      <c r="K1155" s="43">
        <f>IFERROR(SUMIFS(Tabela10[Fod Worth],Tabela10[Drop],DropAnalityka[[#This Row],[Drop]],Tabela10[Grade],DropAnalityka[[#This Row],[Grade]])*DropAnalityka[[#This Row],[Quality/Quantity]],0)</f>
        <v>0</v>
      </c>
      <c r="L1155" s="43">
        <f>IFERROR(SUMIFS(Tabela10[Exp Gain only 2*+],Tabela10[Drop],DropAnalityka[[#This Row],[Drop]],Tabela10[Grade],DropAnalityka[[#This Row],[Grade]])*DropAnalityka[[#This Row],[Quality/Quantity]],0)</f>
        <v>0</v>
      </c>
    </row>
    <row r="1156" spans="1:12">
      <c r="A1156" t="s">
        <v>172</v>
      </c>
      <c r="B1156" t="s">
        <v>9</v>
      </c>
      <c r="C1156">
        <v>10</v>
      </c>
      <c r="D1156">
        <v>3677</v>
      </c>
      <c r="E1156">
        <v>0</v>
      </c>
      <c r="F1156" t="s">
        <v>34</v>
      </c>
      <c r="G1156">
        <v>5</v>
      </c>
      <c r="H1156" t="s">
        <v>17</v>
      </c>
      <c r="I1156">
        <v>0</v>
      </c>
      <c r="J115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56" s="43">
        <f>IFERROR(SUMIFS(Tabela10[Fod Worth],Tabela10[Drop],DropAnalityka[[#This Row],[Drop]],Tabela10[Grade],DropAnalityka[[#This Row],[Grade]])*DropAnalityka[[#This Row],[Quality/Quantity]],0)</f>
        <v>0</v>
      </c>
      <c r="L1156" s="43">
        <f>IFERROR(SUMIFS(Tabela10[Exp Gain only 2*+],Tabela10[Drop],DropAnalityka[[#This Row],[Drop]],Tabela10[Grade],DropAnalityka[[#This Row],[Grade]])*DropAnalityka[[#This Row],[Quality/Quantity]],0)</f>
        <v>4000</v>
      </c>
    </row>
    <row r="1157" spans="1:12">
      <c r="A1157" t="s">
        <v>172</v>
      </c>
      <c r="B1157" t="s">
        <v>9</v>
      </c>
      <c r="C1157">
        <v>10</v>
      </c>
      <c r="D1157">
        <v>4011</v>
      </c>
      <c r="E1157">
        <v>0</v>
      </c>
      <c r="F1157" t="s">
        <v>318</v>
      </c>
      <c r="G1157">
        <v>1</v>
      </c>
      <c r="H1157" t="s">
        <v>27</v>
      </c>
      <c r="I1157">
        <v>7350</v>
      </c>
      <c r="J1157">
        <f>DropAnalityka[[#This Row],[Sell Drop]]+IFERROR(SUMIFS(Tabela10[Drop Worth],Tabela10[Drop],DropAnalityka[[#This Row],[Drop]],Tabela10[Grade],DropAnalityka[[#This Row],[Grade]])*DropAnalityka[[#This Row],[Quality/Quantity]],0)</f>
        <v>7350</v>
      </c>
      <c r="K1157" s="43">
        <f>IFERROR(SUMIFS(Tabela10[Fod Worth],Tabela10[Drop],DropAnalityka[[#This Row],[Drop]],Tabela10[Grade],DropAnalityka[[#This Row],[Grade]])*DropAnalityka[[#This Row],[Quality/Quantity]],0)</f>
        <v>0</v>
      </c>
      <c r="L1157" s="43">
        <f>IFERROR(SUMIFS(Tabela10[Exp Gain only 2*+],Tabela10[Drop],DropAnalityka[[#This Row],[Drop]],Tabela10[Grade],DropAnalityka[[#This Row],[Grade]])*DropAnalityka[[#This Row],[Quality/Quantity]],0)</f>
        <v>0</v>
      </c>
    </row>
    <row r="1158" spans="1:12">
      <c r="A1158" t="s">
        <v>172</v>
      </c>
      <c r="B1158" t="s">
        <v>9</v>
      </c>
      <c r="C1158">
        <v>10</v>
      </c>
      <c r="D1158">
        <v>4195</v>
      </c>
      <c r="E1158">
        <v>1</v>
      </c>
      <c r="F1158" t="s">
        <v>258</v>
      </c>
      <c r="G1158">
        <v>1</v>
      </c>
      <c r="H1158" t="s">
        <v>27</v>
      </c>
      <c r="I1158">
        <v>3491</v>
      </c>
      <c r="J1158">
        <f>DropAnalityka[[#This Row],[Sell Drop]]+IFERROR(SUMIFS(Tabela10[Drop Worth],Tabela10[Drop],DropAnalityka[[#This Row],[Drop]],Tabela10[Grade],DropAnalityka[[#This Row],[Grade]])*DropAnalityka[[#This Row],[Quality/Quantity]],0)</f>
        <v>3491</v>
      </c>
      <c r="K1158" s="43">
        <f>IFERROR(SUMIFS(Tabela10[Fod Worth],Tabela10[Drop],DropAnalityka[[#This Row],[Drop]],Tabela10[Grade],DropAnalityka[[#This Row],[Grade]])*DropAnalityka[[#This Row],[Quality/Quantity]],0)</f>
        <v>0</v>
      </c>
      <c r="L1158" s="43">
        <f>IFERROR(SUMIFS(Tabela10[Exp Gain only 2*+],Tabela10[Drop],DropAnalityka[[#This Row],[Drop]],Tabela10[Grade],DropAnalityka[[#This Row],[Grade]])*DropAnalityka[[#This Row],[Quality/Quantity]],0)</f>
        <v>0</v>
      </c>
    </row>
    <row r="1159" spans="1:12">
      <c r="A1159" t="s">
        <v>172</v>
      </c>
      <c r="B1159" t="s">
        <v>9</v>
      </c>
      <c r="C1159">
        <v>10</v>
      </c>
      <c r="D1159">
        <v>4001</v>
      </c>
      <c r="E1159">
        <v>0</v>
      </c>
      <c r="F1159" t="s">
        <v>258</v>
      </c>
      <c r="G1159">
        <v>1</v>
      </c>
      <c r="H1159" t="s">
        <v>28</v>
      </c>
      <c r="I1159">
        <v>4590</v>
      </c>
      <c r="J1159">
        <f>DropAnalityka[[#This Row],[Sell Drop]]+IFERROR(SUMIFS(Tabela10[Drop Worth],Tabela10[Drop],DropAnalityka[[#This Row],[Drop]],Tabela10[Grade],DropAnalityka[[#This Row],[Grade]])*DropAnalityka[[#This Row],[Quality/Quantity]],0)</f>
        <v>4590</v>
      </c>
      <c r="K1159" s="43">
        <f>IFERROR(SUMIFS(Tabela10[Fod Worth],Tabela10[Drop],DropAnalityka[[#This Row],[Drop]],Tabela10[Grade],DropAnalityka[[#This Row],[Grade]])*DropAnalityka[[#This Row],[Quality/Quantity]],0)</f>
        <v>0</v>
      </c>
      <c r="L1159" s="43">
        <f>IFERROR(SUMIFS(Tabela10[Exp Gain only 2*+],Tabela10[Drop],DropAnalityka[[#This Row],[Drop]],Tabela10[Grade],DropAnalityka[[#This Row],[Grade]])*DropAnalityka[[#This Row],[Quality/Quantity]],0)</f>
        <v>0</v>
      </c>
    </row>
    <row r="1160" spans="1:12">
      <c r="A1160" t="s">
        <v>172</v>
      </c>
      <c r="B1160" t="s">
        <v>9</v>
      </c>
      <c r="C1160">
        <v>10</v>
      </c>
      <c r="D1160">
        <v>3836</v>
      </c>
      <c r="E1160">
        <v>0</v>
      </c>
      <c r="F1160" t="s">
        <v>258</v>
      </c>
      <c r="G1160">
        <v>1</v>
      </c>
      <c r="H1160" t="s">
        <v>28</v>
      </c>
      <c r="I1160">
        <v>5780</v>
      </c>
      <c r="J1160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160" s="43">
        <f>IFERROR(SUMIFS(Tabela10[Fod Worth],Tabela10[Drop],DropAnalityka[[#This Row],[Drop]],Tabela10[Grade],DropAnalityka[[#This Row],[Grade]])*DropAnalityka[[#This Row],[Quality/Quantity]],0)</f>
        <v>0</v>
      </c>
      <c r="L1160" s="43">
        <f>IFERROR(SUMIFS(Tabela10[Exp Gain only 2*+],Tabela10[Drop],DropAnalityka[[#This Row],[Drop]],Tabela10[Grade],DropAnalityka[[#This Row],[Grade]])*DropAnalityka[[#This Row],[Quality/Quantity]],0)</f>
        <v>0</v>
      </c>
    </row>
    <row r="1161" spans="1:12">
      <c r="A1161" t="s">
        <v>172</v>
      </c>
      <c r="B1161" t="s">
        <v>9</v>
      </c>
      <c r="C1161">
        <v>10</v>
      </c>
      <c r="D1161">
        <v>3830</v>
      </c>
      <c r="E1161">
        <v>0</v>
      </c>
      <c r="F1161" t="s">
        <v>258</v>
      </c>
      <c r="G1161">
        <v>1</v>
      </c>
      <c r="H1161" t="s">
        <v>28</v>
      </c>
      <c r="I1161">
        <v>5100</v>
      </c>
      <c r="J1161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161" s="43">
        <f>IFERROR(SUMIFS(Tabela10[Fod Worth],Tabela10[Drop],DropAnalityka[[#This Row],[Drop]],Tabela10[Grade],DropAnalityka[[#This Row],[Grade]])*DropAnalityka[[#This Row],[Quality/Quantity]],0)</f>
        <v>0</v>
      </c>
      <c r="L1161" s="43">
        <f>IFERROR(SUMIFS(Tabela10[Exp Gain only 2*+],Tabela10[Drop],DropAnalityka[[#This Row],[Drop]],Tabela10[Grade],DropAnalityka[[#This Row],[Grade]])*DropAnalityka[[#This Row],[Quality/Quantity]],0)</f>
        <v>0</v>
      </c>
    </row>
    <row r="1162" spans="1:12">
      <c r="A1162" t="s">
        <v>172</v>
      </c>
      <c r="B1162" t="s">
        <v>9</v>
      </c>
      <c r="C1162">
        <v>10</v>
      </c>
      <c r="D1162">
        <v>4098</v>
      </c>
      <c r="E1162">
        <v>0</v>
      </c>
      <c r="F1162" t="s">
        <v>291</v>
      </c>
      <c r="G1162">
        <v>1</v>
      </c>
      <c r="H1162" t="s">
        <v>27</v>
      </c>
      <c r="I1162">
        <v>4800</v>
      </c>
      <c r="J1162">
        <f>DropAnalityka[[#This Row],[Sell Drop]]+IFERROR(SUMIFS(Tabela10[Drop Worth],Tabela10[Drop],DropAnalityka[[#This Row],[Drop]],Tabela10[Grade],DropAnalityka[[#This Row],[Grade]])*DropAnalityka[[#This Row],[Quality/Quantity]],0)</f>
        <v>4800</v>
      </c>
      <c r="K1162" s="43">
        <f>IFERROR(SUMIFS(Tabela10[Fod Worth],Tabela10[Drop],DropAnalityka[[#This Row],[Drop]],Tabela10[Grade],DropAnalityka[[#This Row],[Grade]])*DropAnalityka[[#This Row],[Quality/Quantity]],0)</f>
        <v>0</v>
      </c>
      <c r="L1162" s="43">
        <f>IFERROR(SUMIFS(Tabela10[Exp Gain only 2*+],Tabela10[Drop],DropAnalityka[[#This Row],[Drop]],Tabela10[Grade],DropAnalityka[[#This Row],[Grade]])*DropAnalityka[[#This Row],[Quality/Quantity]],0)</f>
        <v>0</v>
      </c>
    </row>
    <row r="1163" spans="1:12">
      <c r="A1163" t="s">
        <v>172</v>
      </c>
      <c r="B1163" t="s">
        <v>9</v>
      </c>
      <c r="C1163">
        <v>10</v>
      </c>
      <c r="D1163">
        <v>4211</v>
      </c>
      <c r="E1163">
        <v>0</v>
      </c>
      <c r="F1163" t="s">
        <v>58</v>
      </c>
      <c r="G1163">
        <v>1</v>
      </c>
      <c r="H1163" t="s">
        <v>12</v>
      </c>
      <c r="I1163">
        <v>0</v>
      </c>
      <c r="J11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63" s="43">
        <f>IFERROR(SUMIFS(Tabela10[Fod Worth],Tabela10[Drop],DropAnalityka[[#This Row],[Drop]],Tabela10[Grade],DropAnalityka[[#This Row],[Grade]])*DropAnalityka[[#This Row],[Quality/Quantity]],0)</f>
        <v>11500</v>
      </c>
      <c r="L1163" s="43">
        <f>IFERROR(SUMIFS(Tabela10[Exp Gain only 2*+],Tabela10[Drop],DropAnalityka[[#This Row],[Drop]],Tabela10[Grade],DropAnalityka[[#This Row],[Grade]])*DropAnalityka[[#This Row],[Quality/Quantity]],0)</f>
        <v>35822</v>
      </c>
    </row>
    <row r="1164" spans="1:12">
      <c r="A1164" t="s">
        <v>172</v>
      </c>
      <c r="B1164" t="s">
        <v>9</v>
      </c>
      <c r="C1164">
        <v>10</v>
      </c>
      <c r="D1164">
        <v>4024</v>
      </c>
      <c r="E1164">
        <v>1</v>
      </c>
      <c r="F1164" t="s">
        <v>258</v>
      </c>
      <c r="G1164">
        <v>1</v>
      </c>
      <c r="H1164" t="s">
        <v>27</v>
      </c>
      <c r="I1164">
        <v>2572</v>
      </c>
      <c r="J1164">
        <f>DropAnalityka[[#This Row],[Sell Drop]]+IFERROR(SUMIFS(Tabela10[Drop Worth],Tabela10[Drop],DropAnalityka[[#This Row],[Drop]],Tabela10[Grade],DropAnalityka[[#This Row],[Grade]])*DropAnalityka[[#This Row],[Quality/Quantity]],0)</f>
        <v>2572</v>
      </c>
      <c r="K1164" s="43">
        <f>IFERROR(SUMIFS(Tabela10[Fod Worth],Tabela10[Drop],DropAnalityka[[#This Row],[Drop]],Tabela10[Grade],DropAnalityka[[#This Row],[Grade]])*DropAnalityka[[#This Row],[Quality/Quantity]],0)</f>
        <v>0</v>
      </c>
      <c r="L1164" s="43">
        <f>IFERROR(SUMIFS(Tabela10[Exp Gain only 2*+],Tabela10[Drop],DropAnalityka[[#This Row],[Drop]],Tabela10[Grade],DropAnalityka[[#This Row],[Grade]])*DropAnalityka[[#This Row],[Quality/Quantity]],0)</f>
        <v>0</v>
      </c>
    </row>
    <row r="1165" spans="1:12">
      <c r="A1165" t="s">
        <v>172</v>
      </c>
      <c r="B1165" t="s">
        <v>9</v>
      </c>
      <c r="C1165">
        <v>10</v>
      </c>
      <c r="D1165">
        <v>4051</v>
      </c>
      <c r="E1165">
        <v>0</v>
      </c>
      <c r="F1165" t="s">
        <v>291</v>
      </c>
      <c r="G1165">
        <v>1</v>
      </c>
      <c r="H1165" t="s">
        <v>28</v>
      </c>
      <c r="I1165">
        <v>8075</v>
      </c>
      <c r="J1165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165" s="43">
        <f>IFERROR(SUMIFS(Tabela10[Fod Worth],Tabela10[Drop],DropAnalityka[[#This Row],[Drop]],Tabela10[Grade],DropAnalityka[[#This Row],[Grade]])*DropAnalityka[[#This Row],[Quality/Quantity]],0)</f>
        <v>0</v>
      </c>
      <c r="L1165" s="43">
        <f>IFERROR(SUMIFS(Tabela10[Exp Gain only 2*+],Tabela10[Drop],DropAnalityka[[#This Row],[Drop]],Tabela10[Grade],DropAnalityka[[#This Row],[Grade]])*DropAnalityka[[#This Row],[Quality/Quantity]],0)</f>
        <v>0</v>
      </c>
    </row>
    <row r="1166" spans="1:12">
      <c r="A1166" t="s">
        <v>172</v>
      </c>
      <c r="B1166" t="s">
        <v>9</v>
      </c>
      <c r="C1166">
        <v>10</v>
      </c>
      <c r="D1166">
        <v>3981</v>
      </c>
      <c r="E1166">
        <v>2</v>
      </c>
      <c r="F1166" t="s">
        <v>58</v>
      </c>
      <c r="G1166">
        <v>1</v>
      </c>
      <c r="H1166" t="s">
        <v>12</v>
      </c>
      <c r="I1166">
        <v>0</v>
      </c>
      <c r="J11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66" s="43">
        <f>IFERROR(SUMIFS(Tabela10[Fod Worth],Tabela10[Drop],DropAnalityka[[#This Row],[Drop]],Tabela10[Grade],DropAnalityka[[#This Row],[Grade]])*DropAnalityka[[#This Row],[Quality/Quantity]],0)</f>
        <v>11500</v>
      </c>
      <c r="L1166" s="43">
        <f>IFERROR(SUMIFS(Tabela10[Exp Gain only 2*+],Tabela10[Drop],DropAnalityka[[#This Row],[Drop]],Tabela10[Grade],DropAnalityka[[#This Row],[Grade]])*DropAnalityka[[#This Row],[Quality/Quantity]],0)</f>
        <v>35822</v>
      </c>
    </row>
    <row r="1167" spans="1:12">
      <c r="A1167" t="s">
        <v>172</v>
      </c>
      <c r="B1167" t="s">
        <v>9</v>
      </c>
      <c r="C1167">
        <v>10</v>
      </c>
      <c r="D1167">
        <v>3667</v>
      </c>
      <c r="E1167">
        <v>3</v>
      </c>
      <c r="F1167" t="s">
        <v>258</v>
      </c>
      <c r="G1167">
        <v>1</v>
      </c>
      <c r="H1167" t="s">
        <v>28</v>
      </c>
      <c r="I1167">
        <v>5440</v>
      </c>
      <c r="J1167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167" s="43">
        <f>IFERROR(SUMIFS(Tabela10[Fod Worth],Tabela10[Drop],DropAnalityka[[#This Row],[Drop]],Tabela10[Grade],DropAnalityka[[#This Row],[Grade]])*DropAnalityka[[#This Row],[Quality/Quantity]],0)</f>
        <v>0</v>
      </c>
      <c r="L1167" s="43">
        <f>IFERROR(SUMIFS(Tabela10[Exp Gain only 2*+],Tabela10[Drop],DropAnalityka[[#This Row],[Drop]],Tabela10[Grade],DropAnalityka[[#This Row],[Grade]])*DropAnalityka[[#This Row],[Quality/Quantity]],0)</f>
        <v>0</v>
      </c>
    </row>
    <row r="1168" spans="1:12">
      <c r="A1168" t="s">
        <v>172</v>
      </c>
      <c r="B1168" t="s">
        <v>9</v>
      </c>
      <c r="C1168">
        <v>10</v>
      </c>
      <c r="D1168">
        <v>4500</v>
      </c>
      <c r="E1168">
        <v>2</v>
      </c>
      <c r="F1168" t="s">
        <v>291</v>
      </c>
      <c r="G1168">
        <v>1</v>
      </c>
      <c r="H1168" t="s">
        <v>28</v>
      </c>
      <c r="I1168">
        <v>9350</v>
      </c>
      <c r="J1168">
        <f>DropAnalityka[[#This Row],[Sell Drop]]+IFERROR(SUMIFS(Tabela10[Drop Worth],Tabela10[Drop],DropAnalityka[[#This Row],[Drop]],Tabela10[Grade],DropAnalityka[[#This Row],[Grade]])*DropAnalityka[[#This Row],[Quality/Quantity]],0)</f>
        <v>9350</v>
      </c>
      <c r="K1168" s="43">
        <f>IFERROR(SUMIFS(Tabela10[Fod Worth],Tabela10[Drop],DropAnalityka[[#This Row],[Drop]],Tabela10[Grade],DropAnalityka[[#This Row],[Grade]])*DropAnalityka[[#This Row],[Quality/Quantity]],0)</f>
        <v>0</v>
      </c>
      <c r="L1168" s="43">
        <f>IFERROR(SUMIFS(Tabela10[Exp Gain only 2*+],Tabela10[Drop],DropAnalityka[[#This Row],[Drop]],Tabela10[Grade],DropAnalityka[[#This Row],[Grade]])*DropAnalityka[[#This Row],[Quality/Quantity]],0)</f>
        <v>0</v>
      </c>
    </row>
    <row r="1169" spans="1:12">
      <c r="A1169" t="s">
        <v>172</v>
      </c>
      <c r="B1169" t="s">
        <v>9</v>
      </c>
      <c r="C1169">
        <v>10</v>
      </c>
      <c r="D1169">
        <v>4090</v>
      </c>
      <c r="E1169">
        <v>1</v>
      </c>
      <c r="F1169" t="s">
        <v>258</v>
      </c>
      <c r="G1169">
        <v>1</v>
      </c>
      <c r="H1169" t="s">
        <v>28</v>
      </c>
      <c r="I1169">
        <v>5780</v>
      </c>
      <c r="J1169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169" s="43">
        <f>IFERROR(SUMIFS(Tabela10[Fod Worth],Tabela10[Drop],DropAnalityka[[#This Row],[Drop]],Tabela10[Grade],DropAnalityka[[#This Row],[Grade]])*DropAnalityka[[#This Row],[Quality/Quantity]],0)</f>
        <v>0</v>
      </c>
      <c r="L1169" s="43">
        <f>IFERROR(SUMIFS(Tabela10[Exp Gain only 2*+],Tabela10[Drop],DropAnalityka[[#This Row],[Drop]],Tabela10[Grade],DropAnalityka[[#This Row],[Grade]])*DropAnalityka[[#This Row],[Quality/Quantity]],0)</f>
        <v>0</v>
      </c>
    </row>
    <row r="1170" spans="1:12">
      <c r="A1170" t="s">
        <v>172</v>
      </c>
      <c r="B1170" t="s">
        <v>9</v>
      </c>
      <c r="C1170">
        <v>10</v>
      </c>
      <c r="D1170">
        <v>3757</v>
      </c>
      <c r="E1170">
        <v>0</v>
      </c>
      <c r="F1170" t="s">
        <v>58</v>
      </c>
      <c r="G1170">
        <v>1</v>
      </c>
      <c r="H1170" t="s">
        <v>12</v>
      </c>
      <c r="I1170">
        <v>0</v>
      </c>
      <c r="J11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170" s="43">
        <f>IFERROR(SUMIFS(Tabela10[Fod Worth],Tabela10[Drop],DropAnalityka[[#This Row],[Drop]],Tabela10[Grade],DropAnalityka[[#This Row],[Grade]])*DropAnalityka[[#This Row],[Quality/Quantity]],0)</f>
        <v>11500</v>
      </c>
      <c r="L1170" s="43">
        <f>IFERROR(SUMIFS(Tabela10[Exp Gain only 2*+],Tabela10[Drop],DropAnalityka[[#This Row],[Drop]],Tabela10[Grade],DropAnalityka[[#This Row],[Grade]])*DropAnalityka[[#This Row],[Quality/Quantity]],0)</f>
        <v>35822</v>
      </c>
    </row>
    <row r="1171" spans="1:12">
      <c r="A1171" t="s">
        <v>172</v>
      </c>
      <c r="B1171" t="s">
        <v>9</v>
      </c>
      <c r="C1171">
        <v>10</v>
      </c>
      <c r="D1171">
        <v>3889</v>
      </c>
      <c r="E1171">
        <v>0</v>
      </c>
      <c r="F1171" t="s">
        <v>291</v>
      </c>
      <c r="G1171">
        <v>1</v>
      </c>
      <c r="H1171" t="s">
        <v>28</v>
      </c>
      <c r="I1171">
        <v>10200</v>
      </c>
      <c r="J1171">
        <f>DropAnalityka[[#This Row],[Sell Drop]]+IFERROR(SUMIFS(Tabela10[Drop Worth],Tabela10[Drop],DropAnalityka[[#This Row],[Drop]],Tabela10[Grade],DropAnalityka[[#This Row],[Grade]])*DropAnalityka[[#This Row],[Quality/Quantity]],0)</f>
        <v>10200</v>
      </c>
      <c r="K1171" s="43">
        <f>IFERROR(SUMIFS(Tabela10[Fod Worth],Tabela10[Drop],DropAnalityka[[#This Row],[Drop]],Tabela10[Grade],DropAnalityka[[#This Row],[Grade]])*DropAnalityka[[#This Row],[Quality/Quantity]],0)</f>
        <v>0</v>
      </c>
      <c r="L1171" s="43">
        <f>IFERROR(SUMIFS(Tabela10[Exp Gain only 2*+],Tabela10[Drop],DropAnalityka[[#This Row],[Drop]],Tabela10[Grade],DropAnalityka[[#This Row],[Grade]])*DropAnalityka[[#This Row],[Quality/Quantity]],0)</f>
        <v>0</v>
      </c>
    </row>
    <row r="1172" spans="1:12">
      <c r="A1172" t="s">
        <v>172</v>
      </c>
      <c r="B1172" t="s">
        <v>9</v>
      </c>
      <c r="C1172">
        <v>10</v>
      </c>
      <c r="D1172">
        <v>3813</v>
      </c>
      <c r="E1172">
        <v>1</v>
      </c>
      <c r="F1172" t="s">
        <v>258</v>
      </c>
      <c r="G1172">
        <v>1</v>
      </c>
      <c r="H1172" t="s">
        <v>28</v>
      </c>
      <c r="I1172">
        <v>5355</v>
      </c>
      <c r="J1172">
        <f>DropAnalityka[[#This Row],[Sell Drop]]+IFERROR(SUMIFS(Tabela10[Drop Worth],Tabela10[Drop],DropAnalityka[[#This Row],[Drop]],Tabela10[Grade],DropAnalityka[[#This Row],[Grade]])*DropAnalityka[[#This Row],[Quality/Quantity]],0)</f>
        <v>5355</v>
      </c>
      <c r="K1172" s="43">
        <f>IFERROR(SUMIFS(Tabela10[Fod Worth],Tabela10[Drop],DropAnalityka[[#This Row],[Drop]],Tabela10[Grade],DropAnalityka[[#This Row],[Grade]])*DropAnalityka[[#This Row],[Quality/Quantity]],0)</f>
        <v>0</v>
      </c>
      <c r="L1172" s="43">
        <f>IFERROR(SUMIFS(Tabela10[Exp Gain only 2*+],Tabela10[Drop],DropAnalityka[[#This Row],[Drop]],Tabela10[Grade],DropAnalityka[[#This Row],[Grade]])*DropAnalityka[[#This Row],[Quality/Quantity]],0)</f>
        <v>0</v>
      </c>
    </row>
    <row r="1173" spans="1:12">
      <c r="A1173" t="s">
        <v>172</v>
      </c>
      <c r="B1173" t="s">
        <v>9</v>
      </c>
      <c r="C1173">
        <v>10</v>
      </c>
      <c r="D1173">
        <v>3859</v>
      </c>
      <c r="E1173">
        <v>1</v>
      </c>
      <c r="F1173" t="s">
        <v>34</v>
      </c>
      <c r="G1173">
        <v>5</v>
      </c>
      <c r="H1173" t="s">
        <v>17</v>
      </c>
      <c r="I1173">
        <v>0</v>
      </c>
      <c r="J1173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73" s="43">
        <f>IFERROR(SUMIFS(Tabela10[Fod Worth],Tabela10[Drop],DropAnalityka[[#This Row],[Drop]],Tabela10[Grade],DropAnalityka[[#This Row],[Grade]])*DropAnalityka[[#This Row],[Quality/Quantity]],0)</f>
        <v>0</v>
      </c>
      <c r="L1173" s="43">
        <f>IFERROR(SUMIFS(Tabela10[Exp Gain only 2*+],Tabela10[Drop],DropAnalityka[[#This Row],[Drop]],Tabela10[Grade],DropAnalityka[[#This Row],[Grade]])*DropAnalityka[[#This Row],[Quality/Quantity]],0)</f>
        <v>4000</v>
      </c>
    </row>
    <row r="1174" spans="1:12">
      <c r="A1174" t="s">
        <v>172</v>
      </c>
      <c r="B1174" t="s">
        <v>9</v>
      </c>
      <c r="C1174">
        <v>10</v>
      </c>
      <c r="D1174">
        <v>3967</v>
      </c>
      <c r="E1174">
        <v>2</v>
      </c>
      <c r="F1174" t="s">
        <v>258</v>
      </c>
      <c r="G1174">
        <v>1</v>
      </c>
      <c r="H1174" t="s">
        <v>29</v>
      </c>
      <c r="I1174">
        <v>12046</v>
      </c>
      <c r="J1174">
        <f>DropAnalityka[[#This Row],[Sell Drop]]+IFERROR(SUMIFS(Tabela10[Drop Worth],Tabela10[Drop],DropAnalityka[[#This Row],[Drop]],Tabela10[Grade],DropAnalityka[[#This Row],[Grade]])*DropAnalityka[[#This Row],[Quality/Quantity]],0)</f>
        <v>12046</v>
      </c>
      <c r="K1174" s="43">
        <f>IFERROR(SUMIFS(Tabela10[Fod Worth],Tabela10[Drop],DropAnalityka[[#This Row],[Drop]],Tabela10[Grade],DropAnalityka[[#This Row],[Grade]])*DropAnalityka[[#This Row],[Quality/Quantity]],0)</f>
        <v>0</v>
      </c>
      <c r="L1174" s="43">
        <f>IFERROR(SUMIFS(Tabela10[Exp Gain only 2*+],Tabela10[Drop],DropAnalityka[[#This Row],[Drop]],Tabela10[Grade],DropAnalityka[[#This Row],[Grade]])*DropAnalityka[[#This Row],[Quality/Quantity]],0)</f>
        <v>0</v>
      </c>
    </row>
    <row r="1175" spans="1:12">
      <c r="A1175" t="s">
        <v>172</v>
      </c>
      <c r="B1175" t="s">
        <v>9</v>
      </c>
      <c r="C1175">
        <v>10</v>
      </c>
      <c r="D1175">
        <v>4276</v>
      </c>
      <c r="E1175">
        <v>0</v>
      </c>
      <c r="F1175" t="s">
        <v>34</v>
      </c>
      <c r="G1175">
        <v>5</v>
      </c>
      <c r="H1175" t="s">
        <v>17</v>
      </c>
      <c r="I1175">
        <v>0</v>
      </c>
      <c r="J117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75" s="43">
        <f>IFERROR(SUMIFS(Tabela10[Fod Worth],Tabela10[Drop],DropAnalityka[[#This Row],[Drop]],Tabela10[Grade],DropAnalityka[[#This Row],[Grade]])*DropAnalityka[[#This Row],[Quality/Quantity]],0)</f>
        <v>0</v>
      </c>
      <c r="L1175" s="43">
        <f>IFERROR(SUMIFS(Tabela10[Exp Gain only 2*+],Tabela10[Drop],DropAnalityka[[#This Row],[Drop]],Tabela10[Grade],DropAnalityka[[#This Row],[Grade]])*DropAnalityka[[#This Row],[Quality/Quantity]],0)</f>
        <v>4000</v>
      </c>
    </row>
    <row r="1176" spans="1:12">
      <c r="A1176" t="s">
        <v>172</v>
      </c>
      <c r="B1176" t="s">
        <v>9</v>
      </c>
      <c r="C1176">
        <v>10</v>
      </c>
      <c r="D1176">
        <v>3898</v>
      </c>
      <c r="E1176">
        <v>0</v>
      </c>
      <c r="F1176" t="s">
        <v>291</v>
      </c>
      <c r="G1176">
        <v>1</v>
      </c>
      <c r="H1176" t="s">
        <v>28</v>
      </c>
      <c r="I1176">
        <v>6502</v>
      </c>
      <c r="J1176">
        <f>DropAnalityka[[#This Row],[Sell Drop]]+IFERROR(SUMIFS(Tabela10[Drop Worth],Tabela10[Drop],DropAnalityka[[#This Row],[Drop]],Tabela10[Grade],DropAnalityka[[#This Row],[Grade]])*DropAnalityka[[#This Row],[Quality/Quantity]],0)</f>
        <v>6502</v>
      </c>
      <c r="K1176" s="43">
        <f>IFERROR(SUMIFS(Tabela10[Fod Worth],Tabela10[Drop],DropAnalityka[[#This Row],[Drop]],Tabela10[Grade],DropAnalityka[[#This Row],[Grade]])*DropAnalityka[[#This Row],[Quality/Quantity]],0)</f>
        <v>0</v>
      </c>
      <c r="L1176" s="43">
        <f>IFERROR(SUMIFS(Tabela10[Exp Gain only 2*+],Tabela10[Drop],DropAnalityka[[#This Row],[Drop]],Tabela10[Grade],DropAnalityka[[#This Row],[Grade]])*DropAnalityka[[#This Row],[Quality/Quantity]],0)</f>
        <v>0</v>
      </c>
    </row>
    <row r="1177" spans="1:12">
      <c r="A1177" t="s">
        <v>172</v>
      </c>
      <c r="B1177" t="s">
        <v>9</v>
      </c>
      <c r="C1177">
        <v>10</v>
      </c>
      <c r="D1177">
        <v>3992</v>
      </c>
      <c r="E1177">
        <v>3</v>
      </c>
      <c r="F1177" t="s">
        <v>291</v>
      </c>
      <c r="G1177">
        <v>1</v>
      </c>
      <c r="H1177" t="s">
        <v>28</v>
      </c>
      <c r="I1177">
        <v>7225</v>
      </c>
      <c r="J1177">
        <f>DropAnalityka[[#This Row],[Sell Drop]]+IFERROR(SUMIFS(Tabela10[Drop Worth],Tabela10[Drop],DropAnalityka[[#This Row],[Drop]],Tabela10[Grade],DropAnalityka[[#This Row],[Grade]])*DropAnalityka[[#This Row],[Quality/Quantity]],0)</f>
        <v>7225</v>
      </c>
      <c r="K1177" s="43">
        <f>IFERROR(SUMIFS(Tabela10[Fod Worth],Tabela10[Drop],DropAnalityka[[#This Row],[Drop]],Tabela10[Grade],DropAnalityka[[#This Row],[Grade]])*DropAnalityka[[#This Row],[Quality/Quantity]],0)</f>
        <v>0</v>
      </c>
      <c r="L1177" s="43">
        <f>IFERROR(SUMIFS(Tabela10[Exp Gain only 2*+],Tabela10[Drop],DropAnalityka[[#This Row],[Drop]],Tabela10[Grade],DropAnalityka[[#This Row],[Grade]])*DropAnalityka[[#This Row],[Quality/Quantity]],0)</f>
        <v>0</v>
      </c>
    </row>
    <row r="1178" spans="1:12">
      <c r="A1178" t="s">
        <v>172</v>
      </c>
      <c r="B1178" t="s">
        <v>9</v>
      </c>
      <c r="C1178">
        <v>10</v>
      </c>
      <c r="D1178">
        <v>3871</v>
      </c>
      <c r="E1178">
        <v>1</v>
      </c>
      <c r="F1178" t="s">
        <v>258</v>
      </c>
      <c r="G1178">
        <v>1</v>
      </c>
      <c r="H1178" t="s">
        <v>28</v>
      </c>
      <c r="I1178">
        <v>5737</v>
      </c>
      <c r="J1178">
        <f>DropAnalityka[[#This Row],[Sell Drop]]+IFERROR(SUMIFS(Tabela10[Drop Worth],Tabela10[Drop],DropAnalityka[[#This Row],[Drop]],Tabela10[Grade],DropAnalityka[[#This Row],[Grade]])*DropAnalityka[[#This Row],[Quality/Quantity]],0)</f>
        <v>5737</v>
      </c>
      <c r="K1178" s="43">
        <f>IFERROR(SUMIFS(Tabela10[Fod Worth],Tabela10[Drop],DropAnalityka[[#This Row],[Drop]],Tabela10[Grade],DropAnalityka[[#This Row],[Grade]])*DropAnalityka[[#This Row],[Quality/Quantity]],0)</f>
        <v>0</v>
      </c>
      <c r="L1178" s="43">
        <f>IFERROR(SUMIFS(Tabela10[Exp Gain only 2*+],Tabela10[Drop],DropAnalityka[[#This Row],[Drop]],Tabela10[Grade],DropAnalityka[[#This Row],[Grade]])*DropAnalityka[[#This Row],[Quality/Quantity]],0)</f>
        <v>0</v>
      </c>
    </row>
    <row r="1179" spans="1:12">
      <c r="A1179" t="s">
        <v>172</v>
      </c>
      <c r="B1179" t="s">
        <v>9</v>
      </c>
      <c r="C1179">
        <v>10</v>
      </c>
      <c r="D1179">
        <v>3832</v>
      </c>
      <c r="E1179">
        <v>0</v>
      </c>
      <c r="F1179" t="s">
        <v>291</v>
      </c>
      <c r="G1179">
        <v>1</v>
      </c>
      <c r="H1179" t="s">
        <v>28</v>
      </c>
      <c r="I1179">
        <v>8670</v>
      </c>
      <c r="J1179">
        <f>DropAnalityka[[#This Row],[Sell Drop]]+IFERROR(SUMIFS(Tabela10[Drop Worth],Tabela10[Drop],DropAnalityka[[#This Row],[Drop]],Tabela10[Grade],DropAnalityka[[#This Row],[Grade]])*DropAnalityka[[#This Row],[Quality/Quantity]],0)</f>
        <v>8670</v>
      </c>
      <c r="K1179" s="43">
        <f>IFERROR(SUMIFS(Tabela10[Fod Worth],Tabela10[Drop],DropAnalityka[[#This Row],[Drop]],Tabela10[Grade],DropAnalityka[[#This Row],[Grade]])*DropAnalityka[[#This Row],[Quality/Quantity]],0)</f>
        <v>0</v>
      </c>
      <c r="L1179" s="43">
        <f>IFERROR(SUMIFS(Tabela10[Exp Gain only 2*+],Tabela10[Drop],DropAnalityka[[#This Row],[Drop]],Tabela10[Grade],DropAnalityka[[#This Row],[Grade]])*DropAnalityka[[#This Row],[Quality/Quantity]],0)</f>
        <v>0</v>
      </c>
    </row>
    <row r="1180" spans="1:12">
      <c r="A1180" t="s">
        <v>172</v>
      </c>
      <c r="B1180" t="s">
        <v>9</v>
      </c>
      <c r="C1180">
        <v>10</v>
      </c>
      <c r="D1180">
        <v>3887</v>
      </c>
      <c r="E1180">
        <v>0</v>
      </c>
      <c r="F1180" t="s">
        <v>258</v>
      </c>
      <c r="G1180">
        <v>1</v>
      </c>
      <c r="H1180" t="s">
        <v>28</v>
      </c>
      <c r="I1180">
        <v>13770</v>
      </c>
      <c r="J1180">
        <f>DropAnalityka[[#This Row],[Sell Drop]]+IFERROR(SUMIFS(Tabela10[Drop Worth],Tabela10[Drop],DropAnalityka[[#This Row],[Drop]],Tabela10[Grade],DropAnalityka[[#This Row],[Grade]])*DropAnalityka[[#This Row],[Quality/Quantity]],0)</f>
        <v>13770</v>
      </c>
      <c r="K1180" s="43">
        <f>IFERROR(SUMIFS(Tabela10[Fod Worth],Tabela10[Drop],DropAnalityka[[#This Row],[Drop]],Tabela10[Grade],DropAnalityka[[#This Row],[Grade]])*DropAnalityka[[#This Row],[Quality/Quantity]],0)</f>
        <v>0</v>
      </c>
      <c r="L1180" s="43">
        <f>IFERROR(SUMIFS(Tabela10[Exp Gain only 2*+],Tabela10[Drop],DropAnalityka[[#This Row],[Drop]],Tabela10[Grade],DropAnalityka[[#This Row],[Grade]])*DropAnalityka[[#This Row],[Quality/Quantity]],0)</f>
        <v>0</v>
      </c>
    </row>
    <row r="1181" spans="1:12">
      <c r="A1181" t="s">
        <v>172</v>
      </c>
      <c r="B1181" t="s">
        <v>9</v>
      </c>
      <c r="C1181">
        <v>10</v>
      </c>
      <c r="D1181">
        <v>4114</v>
      </c>
      <c r="E1181">
        <v>3</v>
      </c>
      <c r="F1181" t="s">
        <v>258</v>
      </c>
      <c r="G1181">
        <v>1</v>
      </c>
      <c r="H1181" t="s">
        <v>28</v>
      </c>
      <c r="I1181">
        <v>6460</v>
      </c>
      <c r="J1181">
        <f>DropAnalityka[[#This Row],[Sell Drop]]+IFERROR(SUMIFS(Tabela10[Drop Worth],Tabela10[Drop],DropAnalityka[[#This Row],[Drop]],Tabela10[Grade],DropAnalityka[[#This Row],[Grade]])*DropAnalityka[[#This Row],[Quality/Quantity]],0)</f>
        <v>6460</v>
      </c>
      <c r="K1181" s="43">
        <f>IFERROR(SUMIFS(Tabela10[Fod Worth],Tabela10[Drop],DropAnalityka[[#This Row],[Drop]],Tabela10[Grade],DropAnalityka[[#This Row],[Grade]])*DropAnalityka[[#This Row],[Quality/Quantity]],0)</f>
        <v>0</v>
      </c>
      <c r="L1181" s="43">
        <f>IFERROR(SUMIFS(Tabela10[Exp Gain only 2*+],Tabela10[Drop],DropAnalityka[[#This Row],[Drop]],Tabela10[Grade],DropAnalityka[[#This Row],[Grade]])*DropAnalityka[[#This Row],[Quality/Quantity]],0)</f>
        <v>0</v>
      </c>
    </row>
    <row r="1182" spans="1:12">
      <c r="A1182" t="s">
        <v>172</v>
      </c>
      <c r="B1182" t="s">
        <v>9</v>
      </c>
      <c r="C1182">
        <v>10</v>
      </c>
      <c r="D1182">
        <v>4755</v>
      </c>
      <c r="E1182">
        <v>0</v>
      </c>
      <c r="F1182" t="s">
        <v>258</v>
      </c>
      <c r="G1182">
        <v>1</v>
      </c>
      <c r="H1182" t="s">
        <v>29</v>
      </c>
      <c r="I1182">
        <v>27103</v>
      </c>
      <c r="J1182">
        <f>DropAnalityka[[#This Row],[Sell Drop]]+IFERROR(SUMIFS(Tabela10[Drop Worth],Tabela10[Drop],DropAnalityka[[#This Row],[Drop]],Tabela10[Grade],DropAnalityka[[#This Row],[Grade]])*DropAnalityka[[#This Row],[Quality/Quantity]],0)</f>
        <v>27103</v>
      </c>
      <c r="K1182" s="43">
        <f>IFERROR(SUMIFS(Tabela10[Fod Worth],Tabela10[Drop],DropAnalityka[[#This Row],[Drop]],Tabela10[Grade],DropAnalityka[[#This Row],[Grade]])*DropAnalityka[[#This Row],[Quality/Quantity]],0)</f>
        <v>0</v>
      </c>
      <c r="L1182" s="43">
        <f>IFERROR(SUMIFS(Tabela10[Exp Gain only 2*+],Tabela10[Drop],DropAnalityka[[#This Row],[Drop]],Tabela10[Grade],DropAnalityka[[#This Row],[Grade]])*DropAnalityka[[#This Row],[Quality/Quantity]],0)</f>
        <v>0</v>
      </c>
    </row>
    <row r="1183" spans="1:12">
      <c r="A1183" t="s">
        <v>172</v>
      </c>
      <c r="B1183" t="s">
        <v>9</v>
      </c>
      <c r="C1183">
        <v>10</v>
      </c>
      <c r="D1183">
        <v>4329</v>
      </c>
      <c r="E1183">
        <v>2</v>
      </c>
      <c r="F1183" t="s">
        <v>258</v>
      </c>
      <c r="G1183">
        <v>1</v>
      </c>
      <c r="H1183" t="s">
        <v>28</v>
      </c>
      <c r="I1183">
        <v>6800</v>
      </c>
      <c r="J1183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183" s="43">
        <f>IFERROR(SUMIFS(Tabela10[Fod Worth],Tabela10[Drop],DropAnalityka[[#This Row],[Drop]],Tabela10[Grade],DropAnalityka[[#This Row],[Grade]])*DropAnalityka[[#This Row],[Quality/Quantity]],0)</f>
        <v>0</v>
      </c>
      <c r="L1183" s="43">
        <f>IFERROR(SUMIFS(Tabela10[Exp Gain only 2*+],Tabela10[Drop],DropAnalityka[[#This Row],[Drop]],Tabela10[Grade],DropAnalityka[[#This Row],[Grade]])*DropAnalityka[[#This Row],[Quality/Quantity]],0)</f>
        <v>0</v>
      </c>
    </row>
    <row r="1184" spans="1:12">
      <c r="A1184" t="s">
        <v>172</v>
      </c>
      <c r="B1184" t="s">
        <v>9</v>
      </c>
      <c r="C1184">
        <v>10</v>
      </c>
      <c r="D1184">
        <v>4139</v>
      </c>
      <c r="E1184">
        <v>0</v>
      </c>
      <c r="F1184" t="s">
        <v>258</v>
      </c>
      <c r="G1184">
        <v>1</v>
      </c>
      <c r="H1184" t="s">
        <v>27</v>
      </c>
      <c r="I1184">
        <v>2067</v>
      </c>
      <c r="J1184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1184" s="43">
        <f>IFERROR(SUMIFS(Tabela10[Fod Worth],Tabela10[Drop],DropAnalityka[[#This Row],[Drop]],Tabela10[Grade],DropAnalityka[[#This Row],[Grade]])*DropAnalityka[[#This Row],[Quality/Quantity]],0)</f>
        <v>0</v>
      </c>
      <c r="L1184" s="43">
        <f>IFERROR(SUMIFS(Tabela10[Exp Gain only 2*+],Tabela10[Drop],DropAnalityka[[#This Row],[Drop]],Tabela10[Grade],DropAnalityka[[#This Row],[Grade]])*DropAnalityka[[#This Row],[Quality/Quantity]],0)</f>
        <v>0</v>
      </c>
    </row>
    <row r="1185" spans="1:12">
      <c r="A1185" t="s">
        <v>172</v>
      </c>
      <c r="B1185" t="s">
        <v>9</v>
      </c>
      <c r="C1185">
        <v>10</v>
      </c>
      <c r="D1185">
        <v>3838</v>
      </c>
      <c r="E1185">
        <v>0</v>
      </c>
      <c r="F1185" t="s">
        <v>258</v>
      </c>
      <c r="G1185">
        <v>1</v>
      </c>
      <c r="H1185" t="s">
        <v>28</v>
      </c>
      <c r="I1185">
        <v>5737</v>
      </c>
      <c r="J1185">
        <f>DropAnalityka[[#This Row],[Sell Drop]]+IFERROR(SUMIFS(Tabela10[Drop Worth],Tabela10[Drop],DropAnalityka[[#This Row],[Drop]],Tabela10[Grade],DropAnalityka[[#This Row],[Grade]])*DropAnalityka[[#This Row],[Quality/Quantity]],0)</f>
        <v>5737</v>
      </c>
      <c r="K1185" s="43">
        <f>IFERROR(SUMIFS(Tabela10[Fod Worth],Tabela10[Drop],DropAnalityka[[#This Row],[Drop]],Tabela10[Grade],DropAnalityka[[#This Row],[Grade]])*DropAnalityka[[#This Row],[Quality/Quantity]],0)</f>
        <v>0</v>
      </c>
      <c r="L1185" s="43">
        <f>IFERROR(SUMIFS(Tabela10[Exp Gain only 2*+],Tabela10[Drop],DropAnalityka[[#This Row],[Drop]],Tabela10[Grade],DropAnalityka[[#This Row],[Grade]])*DropAnalityka[[#This Row],[Quality/Quantity]],0)</f>
        <v>0</v>
      </c>
    </row>
    <row r="1186" spans="1:12">
      <c r="A1186" t="s">
        <v>172</v>
      </c>
      <c r="B1186" t="s">
        <v>9</v>
      </c>
      <c r="C1186">
        <v>10</v>
      </c>
      <c r="D1186">
        <v>4090</v>
      </c>
      <c r="E1186">
        <v>2</v>
      </c>
      <c r="F1186" t="s">
        <v>34</v>
      </c>
      <c r="G1186">
        <v>4</v>
      </c>
      <c r="H1186" t="s">
        <v>17</v>
      </c>
      <c r="I1186">
        <v>0</v>
      </c>
      <c r="J1186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186" s="43">
        <f>IFERROR(SUMIFS(Tabela10[Fod Worth],Tabela10[Drop],DropAnalityka[[#This Row],[Drop]],Tabela10[Grade],DropAnalityka[[#This Row],[Grade]])*DropAnalityka[[#This Row],[Quality/Quantity]],0)</f>
        <v>0</v>
      </c>
      <c r="L1186" s="43">
        <f>IFERROR(SUMIFS(Tabela10[Exp Gain only 2*+],Tabela10[Drop],DropAnalityka[[#This Row],[Drop]],Tabela10[Grade],DropAnalityka[[#This Row],[Grade]])*DropAnalityka[[#This Row],[Quality/Quantity]],0)</f>
        <v>3200</v>
      </c>
    </row>
    <row r="1187" spans="1:12">
      <c r="A1187" t="s">
        <v>172</v>
      </c>
      <c r="B1187" t="s">
        <v>9</v>
      </c>
      <c r="C1187">
        <v>10</v>
      </c>
      <c r="D1187">
        <v>4048</v>
      </c>
      <c r="E1187">
        <v>0</v>
      </c>
      <c r="F1187" t="s">
        <v>291</v>
      </c>
      <c r="G1187">
        <v>1</v>
      </c>
      <c r="H1187" t="s">
        <v>28</v>
      </c>
      <c r="I1187">
        <v>8075</v>
      </c>
      <c r="J1187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187" s="43">
        <f>IFERROR(SUMIFS(Tabela10[Fod Worth],Tabela10[Drop],DropAnalityka[[#This Row],[Drop]],Tabela10[Grade],DropAnalityka[[#This Row],[Grade]])*DropAnalityka[[#This Row],[Quality/Quantity]],0)</f>
        <v>0</v>
      </c>
      <c r="L1187" s="43">
        <f>IFERROR(SUMIFS(Tabela10[Exp Gain only 2*+],Tabela10[Drop],DropAnalityka[[#This Row],[Drop]],Tabela10[Grade],DropAnalityka[[#This Row],[Grade]])*DropAnalityka[[#This Row],[Quality/Quantity]],0)</f>
        <v>0</v>
      </c>
    </row>
    <row r="1188" spans="1:12">
      <c r="A1188" t="s">
        <v>172</v>
      </c>
      <c r="B1188" t="s">
        <v>9</v>
      </c>
      <c r="C1188">
        <v>10</v>
      </c>
      <c r="D1188">
        <v>4066</v>
      </c>
      <c r="E1188">
        <v>1</v>
      </c>
      <c r="F1188" t="s">
        <v>258</v>
      </c>
      <c r="G1188">
        <v>1</v>
      </c>
      <c r="H1188" t="s">
        <v>27</v>
      </c>
      <c r="I1188">
        <v>8268</v>
      </c>
      <c r="J1188">
        <f>DropAnalityka[[#This Row],[Sell Drop]]+IFERROR(SUMIFS(Tabela10[Drop Worth],Tabela10[Drop],DropAnalityka[[#This Row],[Drop]],Tabela10[Grade],DropAnalityka[[#This Row],[Grade]])*DropAnalityka[[#This Row],[Quality/Quantity]],0)</f>
        <v>8268</v>
      </c>
      <c r="K1188" s="43">
        <f>IFERROR(SUMIFS(Tabela10[Fod Worth],Tabela10[Drop],DropAnalityka[[#This Row],[Drop]],Tabela10[Grade],DropAnalityka[[#This Row],[Grade]])*DropAnalityka[[#This Row],[Quality/Quantity]],0)</f>
        <v>0</v>
      </c>
      <c r="L1188" s="43">
        <f>IFERROR(SUMIFS(Tabela10[Exp Gain only 2*+],Tabela10[Drop],DropAnalityka[[#This Row],[Drop]],Tabela10[Grade],DropAnalityka[[#This Row],[Grade]])*DropAnalityka[[#This Row],[Quality/Quantity]],0)</f>
        <v>0</v>
      </c>
    </row>
    <row r="1189" spans="1:12">
      <c r="A1189" t="s">
        <v>172</v>
      </c>
      <c r="B1189" t="s">
        <v>9</v>
      </c>
      <c r="C1189">
        <v>10</v>
      </c>
      <c r="D1189">
        <v>4202</v>
      </c>
      <c r="E1189">
        <v>2</v>
      </c>
      <c r="F1189" t="s">
        <v>258</v>
      </c>
      <c r="G1189">
        <v>1</v>
      </c>
      <c r="H1189" t="s">
        <v>28</v>
      </c>
      <c r="I1189">
        <v>4590</v>
      </c>
      <c r="J1189">
        <f>DropAnalityka[[#This Row],[Sell Drop]]+IFERROR(SUMIFS(Tabela10[Drop Worth],Tabela10[Drop],DropAnalityka[[#This Row],[Drop]],Tabela10[Grade],DropAnalityka[[#This Row],[Grade]])*DropAnalityka[[#This Row],[Quality/Quantity]],0)</f>
        <v>4590</v>
      </c>
      <c r="K1189" s="43">
        <f>IFERROR(SUMIFS(Tabela10[Fod Worth],Tabela10[Drop],DropAnalityka[[#This Row],[Drop]],Tabela10[Grade],DropAnalityka[[#This Row],[Grade]])*DropAnalityka[[#This Row],[Quality/Quantity]],0)</f>
        <v>0</v>
      </c>
      <c r="L1189" s="43">
        <f>IFERROR(SUMIFS(Tabela10[Exp Gain only 2*+],Tabela10[Drop],DropAnalityka[[#This Row],[Drop]],Tabela10[Grade],DropAnalityka[[#This Row],[Grade]])*DropAnalityka[[#This Row],[Quality/Quantity]],0)</f>
        <v>0</v>
      </c>
    </row>
    <row r="1190" spans="1:12">
      <c r="A1190" t="s">
        <v>172</v>
      </c>
      <c r="B1190" t="s">
        <v>9</v>
      </c>
      <c r="C1190">
        <v>10</v>
      </c>
      <c r="D1190">
        <v>4359</v>
      </c>
      <c r="E1190">
        <v>1</v>
      </c>
      <c r="F1190" t="s">
        <v>291</v>
      </c>
      <c r="G1190">
        <v>1</v>
      </c>
      <c r="H1190" t="s">
        <v>28</v>
      </c>
      <c r="I1190">
        <v>9180</v>
      </c>
      <c r="J1190">
        <f>DropAnalityka[[#This Row],[Sell Drop]]+IFERROR(SUMIFS(Tabela10[Drop Worth],Tabela10[Drop],DropAnalityka[[#This Row],[Drop]],Tabela10[Grade],DropAnalityka[[#This Row],[Grade]])*DropAnalityka[[#This Row],[Quality/Quantity]],0)</f>
        <v>9180</v>
      </c>
      <c r="K1190" s="43">
        <f>IFERROR(SUMIFS(Tabela10[Fod Worth],Tabela10[Drop],DropAnalityka[[#This Row],[Drop]],Tabela10[Grade],DropAnalityka[[#This Row],[Grade]])*DropAnalityka[[#This Row],[Quality/Quantity]],0)</f>
        <v>0</v>
      </c>
      <c r="L1190" s="43">
        <f>IFERROR(SUMIFS(Tabela10[Exp Gain only 2*+],Tabela10[Drop],DropAnalityka[[#This Row],[Drop]],Tabela10[Grade],DropAnalityka[[#This Row],[Grade]])*DropAnalityka[[#This Row],[Quality/Quantity]],0)</f>
        <v>0</v>
      </c>
    </row>
    <row r="1191" spans="1:12">
      <c r="A1191" t="s">
        <v>172</v>
      </c>
      <c r="B1191" t="s">
        <v>9</v>
      </c>
      <c r="C1191">
        <v>10</v>
      </c>
      <c r="D1191">
        <v>3858</v>
      </c>
      <c r="E1191">
        <v>0</v>
      </c>
      <c r="F1191" t="s">
        <v>258</v>
      </c>
      <c r="G1191">
        <v>1</v>
      </c>
      <c r="H1191" t="s">
        <v>28</v>
      </c>
      <c r="I1191">
        <v>5100</v>
      </c>
      <c r="J1191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191" s="43">
        <f>IFERROR(SUMIFS(Tabela10[Fod Worth],Tabela10[Drop],DropAnalityka[[#This Row],[Drop]],Tabela10[Grade],DropAnalityka[[#This Row],[Grade]])*DropAnalityka[[#This Row],[Quality/Quantity]],0)</f>
        <v>0</v>
      </c>
      <c r="L1191" s="43">
        <f>IFERROR(SUMIFS(Tabela10[Exp Gain only 2*+],Tabela10[Drop],DropAnalityka[[#This Row],[Drop]],Tabela10[Grade],DropAnalityka[[#This Row],[Grade]])*DropAnalityka[[#This Row],[Quality/Quantity]],0)</f>
        <v>0</v>
      </c>
    </row>
    <row r="1192" spans="1:12">
      <c r="A1192" t="s">
        <v>172</v>
      </c>
      <c r="B1192" t="s">
        <v>9</v>
      </c>
      <c r="C1192">
        <v>10</v>
      </c>
      <c r="D1192">
        <v>3946</v>
      </c>
      <c r="E1192">
        <v>0</v>
      </c>
      <c r="F1192" t="s">
        <v>291</v>
      </c>
      <c r="G1192">
        <v>1</v>
      </c>
      <c r="H1192" t="s">
        <v>29</v>
      </c>
      <c r="I1192">
        <v>14265</v>
      </c>
      <c r="J1192">
        <f>DropAnalityka[[#This Row],[Sell Drop]]+IFERROR(SUMIFS(Tabela10[Drop Worth],Tabela10[Drop],DropAnalityka[[#This Row],[Drop]],Tabela10[Grade],DropAnalityka[[#This Row],[Grade]])*DropAnalityka[[#This Row],[Quality/Quantity]],0)</f>
        <v>14265</v>
      </c>
      <c r="K1192" s="43">
        <f>IFERROR(SUMIFS(Tabela10[Fod Worth],Tabela10[Drop],DropAnalityka[[#This Row],[Drop]],Tabela10[Grade],DropAnalityka[[#This Row],[Grade]])*DropAnalityka[[#This Row],[Quality/Quantity]],0)</f>
        <v>0</v>
      </c>
      <c r="L1192" s="43">
        <f>IFERROR(SUMIFS(Tabela10[Exp Gain only 2*+],Tabela10[Drop],DropAnalityka[[#This Row],[Drop]],Tabela10[Grade],DropAnalityka[[#This Row],[Grade]])*DropAnalityka[[#This Row],[Quality/Quantity]],0)</f>
        <v>0</v>
      </c>
    </row>
    <row r="1193" spans="1:12">
      <c r="A1193" t="s">
        <v>172</v>
      </c>
      <c r="B1193" t="s">
        <v>9</v>
      </c>
      <c r="C1193">
        <v>10</v>
      </c>
      <c r="D1193">
        <v>4023</v>
      </c>
      <c r="E1193">
        <v>0</v>
      </c>
      <c r="F1193" t="s">
        <v>291</v>
      </c>
      <c r="G1193">
        <v>1</v>
      </c>
      <c r="H1193" t="s">
        <v>28</v>
      </c>
      <c r="I1193">
        <v>15300</v>
      </c>
      <c r="J1193">
        <f>DropAnalityka[[#This Row],[Sell Drop]]+IFERROR(SUMIFS(Tabela10[Drop Worth],Tabela10[Drop],DropAnalityka[[#This Row],[Drop]],Tabela10[Grade],DropAnalityka[[#This Row],[Grade]])*DropAnalityka[[#This Row],[Quality/Quantity]],0)</f>
        <v>15300</v>
      </c>
      <c r="K1193" s="43">
        <f>IFERROR(SUMIFS(Tabela10[Fod Worth],Tabela10[Drop],DropAnalityka[[#This Row],[Drop]],Tabela10[Grade],DropAnalityka[[#This Row],[Grade]])*DropAnalityka[[#This Row],[Quality/Quantity]],0)</f>
        <v>0</v>
      </c>
      <c r="L1193" s="43">
        <f>IFERROR(SUMIFS(Tabela10[Exp Gain only 2*+],Tabela10[Drop],DropAnalityka[[#This Row],[Drop]],Tabela10[Grade],DropAnalityka[[#This Row],[Grade]])*DropAnalityka[[#This Row],[Quality/Quantity]],0)</f>
        <v>0</v>
      </c>
    </row>
    <row r="1194" spans="1:12">
      <c r="A1194" t="s">
        <v>172</v>
      </c>
      <c r="B1194" t="s">
        <v>9</v>
      </c>
      <c r="C1194">
        <v>10</v>
      </c>
      <c r="D1194">
        <v>4021</v>
      </c>
      <c r="E1194">
        <v>0</v>
      </c>
      <c r="F1194" t="s">
        <v>288</v>
      </c>
      <c r="G1194">
        <v>1</v>
      </c>
      <c r="H1194" t="s">
        <v>17</v>
      </c>
      <c r="I1194">
        <v>0</v>
      </c>
      <c r="J1194">
        <f>DropAnalityka[[#This Row],[Sell Drop]]+IFERROR(SUMIFS(Tabela10[Drop Worth],Tabela10[Drop],DropAnalityka[[#This Row],[Drop]],Tabela10[Grade],DropAnalityka[[#This Row],[Grade]])*DropAnalityka[[#This Row],[Quality/Quantity]],0)</f>
        <v>120000</v>
      </c>
      <c r="K1194" s="43">
        <f>IFERROR(SUMIFS(Tabela10[Fod Worth],Tabela10[Drop],DropAnalityka[[#This Row],[Drop]],Tabela10[Grade],DropAnalityka[[#This Row],[Grade]])*DropAnalityka[[#This Row],[Quality/Quantity]],0)</f>
        <v>0</v>
      </c>
      <c r="L1194" s="43">
        <f>IFERROR(SUMIFS(Tabela10[Exp Gain only 2*+],Tabela10[Drop],DropAnalityka[[#This Row],[Drop]],Tabela10[Grade],DropAnalityka[[#This Row],[Grade]])*DropAnalityka[[#This Row],[Quality/Quantity]],0)</f>
        <v>0</v>
      </c>
    </row>
    <row r="1195" spans="1:12">
      <c r="A1195" t="s">
        <v>178</v>
      </c>
      <c r="B1195" t="s">
        <v>9</v>
      </c>
      <c r="C1195">
        <v>9</v>
      </c>
      <c r="D1195">
        <v>3980</v>
      </c>
      <c r="E1195">
        <v>0</v>
      </c>
      <c r="F1195" t="s">
        <v>291</v>
      </c>
      <c r="G1195">
        <v>1</v>
      </c>
      <c r="H1195" t="s">
        <v>28</v>
      </c>
      <c r="I1195">
        <v>8160</v>
      </c>
      <c r="J1195">
        <f>DropAnalityka[[#This Row],[Sell Drop]]+IFERROR(SUMIFS(Tabela10[Drop Worth],Tabela10[Drop],DropAnalityka[[#This Row],[Drop]],Tabela10[Grade],DropAnalityka[[#This Row],[Grade]])*DropAnalityka[[#This Row],[Quality/Quantity]],0)</f>
        <v>8160</v>
      </c>
      <c r="K1195" s="43">
        <f>IFERROR(SUMIFS(Tabela10[Fod Worth],Tabela10[Drop],DropAnalityka[[#This Row],[Drop]],Tabela10[Grade],DropAnalityka[[#This Row],[Grade]])*DropAnalityka[[#This Row],[Quality/Quantity]],0)</f>
        <v>0</v>
      </c>
      <c r="L1195" s="43">
        <f>IFERROR(SUMIFS(Tabela10[Exp Gain only 2*+],Tabela10[Drop],DropAnalityka[[#This Row],[Drop]],Tabela10[Grade],DropAnalityka[[#This Row],[Grade]])*DropAnalityka[[#This Row],[Quality/Quantity]],0)</f>
        <v>0</v>
      </c>
    </row>
    <row r="1196" spans="1:12">
      <c r="A1196" t="s">
        <v>178</v>
      </c>
      <c r="B1196" t="s">
        <v>9</v>
      </c>
      <c r="C1196">
        <v>9</v>
      </c>
      <c r="D1196">
        <v>4393</v>
      </c>
      <c r="E1196">
        <v>0</v>
      </c>
      <c r="F1196" t="s">
        <v>258</v>
      </c>
      <c r="G1196">
        <v>1</v>
      </c>
      <c r="H1196" t="s">
        <v>28</v>
      </c>
      <c r="I1196">
        <v>10200</v>
      </c>
      <c r="J1196">
        <f>DropAnalityka[[#This Row],[Sell Drop]]+IFERROR(SUMIFS(Tabela10[Drop Worth],Tabela10[Drop],DropAnalityka[[#This Row],[Drop]],Tabela10[Grade],DropAnalityka[[#This Row],[Grade]])*DropAnalityka[[#This Row],[Quality/Quantity]],0)</f>
        <v>10200</v>
      </c>
      <c r="K1196" s="43">
        <f>IFERROR(SUMIFS(Tabela10[Fod Worth],Tabela10[Drop],DropAnalityka[[#This Row],[Drop]],Tabela10[Grade],DropAnalityka[[#This Row],[Grade]])*DropAnalityka[[#This Row],[Quality/Quantity]],0)</f>
        <v>0</v>
      </c>
      <c r="L1196" s="43">
        <f>IFERROR(SUMIFS(Tabela10[Exp Gain only 2*+],Tabela10[Drop],DropAnalityka[[#This Row],[Drop]],Tabela10[Grade],DropAnalityka[[#This Row],[Grade]])*DropAnalityka[[#This Row],[Quality/Quantity]],0)</f>
        <v>0</v>
      </c>
    </row>
    <row r="1197" spans="1:12">
      <c r="A1197" t="s">
        <v>178</v>
      </c>
      <c r="B1197" t="s">
        <v>9</v>
      </c>
      <c r="C1197">
        <v>9</v>
      </c>
      <c r="D1197">
        <v>4309</v>
      </c>
      <c r="E1197">
        <v>1</v>
      </c>
      <c r="F1197" t="s">
        <v>258</v>
      </c>
      <c r="G1197">
        <v>1</v>
      </c>
      <c r="H1197" t="s">
        <v>28</v>
      </c>
      <c r="I1197">
        <v>7650</v>
      </c>
      <c r="J1197">
        <f>DropAnalityka[[#This Row],[Sell Drop]]+IFERROR(SUMIFS(Tabela10[Drop Worth],Tabela10[Drop],DropAnalityka[[#This Row],[Drop]],Tabela10[Grade],DropAnalityka[[#This Row],[Grade]])*DropAnalityka[[#This Row],[Quality/Quantity]],0)</f>
        <v>7650</v>
      </c>
      <c r="K1197" s="43">
        <f>IFERROR(SUMIFS(Tabela10[Fod Worth],Tabela10[Drop],DropAnalityka[[#This Row],[Drop]],Tabela10[Grade],DropAnalityka[[#This Row],[Grade]])*DropAnalityka[[#This Row],[Quality/Quantity]],0)</f>
        <v>0</v>
      </c>
      <c r="L1197" s="43">
        <f>IFERROR(SUMIFS(Tabela10[Exp Gain only 2*+],Tabela10[Drop],DropAnalityka[[#This Row],[Drop]],Tabela10[Grade],DropAnalityka[[#This Row],[Grade]])*DropAnalityka[[#This Row],[Quality/Quantity]],0)</f>
        <v>0</v>
      </c>
    </row>
    <row r="1198" spans="1:12">
      <c r="A1198" t="s">
        <v>178</v>
      </c>
      <c r="B1198" t="s">
        <v>9</v>
      </c>
      <c r="C1198">
        <v>9</v>
      </c>
      <c r="D1198">
        <v>4290</v>
      </c>
      <c r="E1198">
        <v>1</v>
      </c>
      <c r="F1198" t="s">
        <v>34</v>
      </c>
      <c r="G1198">
        <v>5</v>
      </c>
      <c r="H1198" t="s">
        <v>17</v>
      </c>
      <c r="I1198">
        <v>0</v>
      </c>
      <c r="J1198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198" s="43">
        <f>IFERROR(SUMIFS(Tabela10[Fod Worth],Tabela10[Drop],DropAnalityka[[#This Row],[Drop]],Tabela10[Grade],DropAnalityka[[#This Row],[Grade]])*DropAnalityka[[#This Row],[Quality/Quantity]],0)</f>
        <v>0</v>
      </c>
      <c r="L1198" s="43">
        <f>IFERROR(SUMIFS(Tabela10[Exp Gain only 2*+],Tabela10[Drop],DropAnalityka[[#This Row],[Drop]],Tabela10[Grade],DropAnalityka[[#This Row],[Grade]])*DropAnalityka[[#This Row],[Quality/Quantity]],0)</f>
        <v>4000</v>
      </c>
    </row>
    <row r="1199" spans="1:12">
      <c r="A1199" t="s">
        <v>172</v>
      </c>
      <c r="B1199" t="s">
        <v>9</v>
      </c>
      <c r="C1199">
        <v>10</v>
      </c>
      <c r="D1199">
        <v>4144</v>
      </c>
      <c r="E1199">
        <v>1</v>
      </c>
      <c r="F1199" t="s">
        <v>258</v>
      </c>
      <c r="G1199">
        <v>1</v>
      </c>
      <c r="H1199" t="s">
        <v>28</v>
      </c>
      <c r="I1199">
        <v>5057</v>
      </c>
      <c r="J1199">
        <f>DropAnalityka[[#This Row],[Sell Drop]]+IFERROR(SUMIFS(Tabela10[Drop Worth],Tabela10[Drop],DropAnalityka[[#This Row],[Drop]],Tabela10[Grade],DropAnalityka[[#This Row],[Grade]])*DropAnalityka[[#This Row],[Quality/Quantity]],0)</f>
        <v>5057</v>
      </c>
      <c r="K1199" s="43">
        <f>IFERROR(SUMIFS(Tabela10[Fod Worth],Tabela10[Drop],DropAnalityka[[#This Row],[Drop]],Tabela10[Grade],DropAnalityka[[#This Row],[Grade]])*DropAnalityka[[#This Row],[Quality/Quantity]],0)</f>
        <v>0</v>
      </c>
      <c r="L1199" s="43">
        <f>IFERROR(SUMIFS(Tabela10[Exp Gain only 2*+],Tabela10[Drop],DropAnalityka[[#This Row],[Drop]],Tabela10[Grade],DropAnalityka[[#This Row],[Grade]])*DropAnalityka[[#This Row],[Quality/Quantity]],0)</f>
        <v>0</v>
      </c>
    </row>
    <row r="1200" spans="1:12">
      <c r="A1200" t="s">
        <v>172</v>
      </c>
      <c r="B1200" t="s">
        <v>9</v>
      </c>
      <c r="C1200">
        <v>10</v>
      </c>
      <c r="D1200">
        <v>4074</v>
      </c>
      <c r="E1200">
        <v>0</v>
      </c>
      <c r="F1200" t="s">
        <v>34</v>
      </c>
      <c r="G1200">
        <v>4</v>
      </c>
      <c r="H1200" t="s">
        <v>17</v>
      </c>
      <c r="I1200">
        <v>0</v>
      </c>
      <c r="J120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00" s="43">
        <f>IFERROR(SUMIFS(Tabela10[Fod Worth],Tabela10[Drop],DropAnalityka[[#This Row],[Drop]],Tabela10[Grade],DropAnalityka[[#This Row],[Grade]])*DropAnalityka[[#This Row],[Quality/Quantity]],0)</f>
        <v>0</v>
      </c>
      <c r="L1200" s="43">
        <f>IFERROR(SUMIFS(Tabela10[Exp Gain only 2*+],Tabela10[Drop],DropAnalityka[[#This Row],[Drop]],Tabela10[Grade],DropAnalityka[[#This Row],[Grade]])*DropAnalityka[[#This Row],[Quality/Quantity]],0)</f>
        <v>3200</v>
      </c>
    </row>
    <row r="1201" spans="1:12">
      <c r="A1201" t="s">
        <v>172</v>
      </c>
      <c r="B1201" t="s">
        <v>9</v>
      </c>
      <c r="C1201">
        <v>10</v>
      </c>
      <c r="D1201">
        <v>4032</v>
      </c>
      <c r="E1201">
        <v>0</v>
      </c>
      <c r="F1201" t="s">
        <v>34</v>
      </c>
      <c r="G1201">
        <v>4</v>
      </c>
      <c r="H1201" t="s">
        <v>17</v>
      </c>
      <c r="I1201">
        <v>0</v>
      </c>
      <c r="J120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01" s="43">
        <f>IFERROR(SUMIFS(Tabela10[Fod Worth],Tabela10[Drop],DropAnalityka[[#This Row],[Drop]],Tabela10[Grade],DropAnalityka[[#This Row],[Grade]])*DropAnalityka[[#This Row],[Quality/Quantity]],0)</f>
        <v>0</v>
      </c>
      <c r="L1201" s="43">
        <f>IFERROR(SUMIFS(Tabela10[Exp Gain only 2*+],Tabela10[Drop],DropAnalityka[[#This Row],[Drop]],Tabela10[Grade],DropAnalityka[[#This Row],[Grade]])*DropAnalityka[[#This Row],[Quality/Quantity]],0)</f>
        <v>3200</v>
      </c>
    </row>
    <row r="1202" spans="1:12">
      <c r="A1202" t="s">
        <v>172</v>
      </c>
      <c r="B1202" t="s">
        <v>9</v>
      </c>
      <c r="C1202">
        <v>10</v>
      </c>
      <c r="D1202">
        <v>4157</v>
      </c>
      <c r="E1202">
        <v>3</v>
      </c>
      <c r="F1202" t="s">
        <v>258</v>
      </c>
      <c r="G1202">
        <v>1</v>
      </c>
      <c r="H1202" t="s">
        <v>28</v>
      </c>
      <c r="I1202">
        <v>5652</v>
      </c>
      <c r="J1202">
        <f>DropAnalityka[[#This Row],[Sell Drop]]+IFERROR(SUMIFS(Tabela10[Drop Worth],Tabela10[Drop],DropAnalityka[[#This Row],[Drop]],Tabela10[Grade],DropAnalityka[[#This Row],[Grade]])*DropAnalityka[[#This Row],[Quality/Quantity]],0)</f>
        <v>5652</v>
      </c>
      <c r="K1202" s="43">
        <f>IFERROR(SUMIFS(Tabela10[Fod Worth],Tabela10[Drop],DropAnalityka[[#This Row],[Drop]],Tabela10[Grade],DropAnalityka[[#This Row],[Grade]])*DropAnalityka[[#This Row],[Quality/Quantity]],0)</f>
        <v>0</v>
      </c>
      <c r="L1202" s="43">
        <f>IFERROR(SUMIFS(Tabela10[Exp Gain only 2*+],Tabela10[Drop],DropAnalityka[[#This Row],[Drop]],Tabela10[Grade],DropAnalityka[[#This Row],[Grade]])*DropAnalityka[[#This Row],[Quality/Quantity]],0)</f>
        <v>0</v>
      </c>
    </row>
    <row r="1203" spans="1:12">
      <c r="A1203" t="s">
        <v>172</v>
      </c>
      <c r="B1203" t="s">
        <v>9</v>
      </c>
      <c r="C1203">
        <v>10</v>
      </c>
      <c r="D1203">
        <v>4353</v>
      </c>
      <c r="E1203">
        <v>1</v>
      </c>
      <c r="F1203" t="s">
        <v>58</v>
      </c>
      <c r="G1203">
        <v>1</v>
      </c>
      <c r="H1203" t="s">
        <v>12</v>
      </c>
      <c r="I1203">
        <v>0</v>
      </c>
      <c r="J12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03" s="43">
        <f>IFERROR(SUMIFS(Tabela10[Fod Worth],Tabela10[Drop],DropAnalityka[[#This Row],[Drop]],Tabela10[Grade],DropAnalityka[[#This Row],[Grade]])*DropAnalityka[[#This Row],[Quality/Quantity]],0)</f>
        <v>11500</v>
      </c>
      <c r="L1203" s="43">
        <f>IFERROR(SUMIFS(Tabela10[Exp Gain only 2*+],Tabela10[Drop],DropAnalityka[[#This Row],[Drop]],Tabela10[Grade],DropAnalityka[[#This Row],[Grade]])*DropAnalityka[[#This Row],[Quality/Quantity]],0)</f>
        <v>35822</v>
      </c>
    </row>
    <row r="1204" spans="1:12">
      <c r="A1204" t="s">
        <v>172</v>
      </c>
      <c r="B1204" t="s">
        <v>9</v>
      </c>
      <c r="C1204">
        <v>10</v>
      </c>
      <c r="D1204">
        <v>4047</v>
      </c>
      <c r="E1204">
        <v>1</v>
      </c>
      <c r="F1204" t="s">
        <v>258</v>
      </c>
      <c r="G1204">
        <v>1</v>
      </c>
      <c r="H1204" t="s">
        <v>28</v>
      </c>
      <c r="I1204">
        <v>5100</v>
      </c>
      <c r="J1204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204" s="43">
        <f>IFERROR(SUMIFS(Tabela10[Fod Worth],Tabela10[Drop],DropAnalityka[[#This Row],[Drop]],Tabela10[Grade],DropAnalityka[[#This Row],[Grade]])*DropAnalityka[[#This Row],[Quality/Quantity]],0)</f>
        <v>0</v>
      </c>
      <c r="L1204" s="43">
        <f>IFERROR(SUMIFS(Tabela10[Exp Gain only 2*+],Tabela10[Drop],DropAnalityka[[#This Row],[Drop]],Tabela10[Grade],DropAnalityka[[#This Row],[Grade]])*DropAnalityka[[#This Row],[Quality/Quantity]],0)</f>
        <v>0</v>
      </c>
    </row>
    <row r="1205" spans="1:12">
      <c r="A1205" t="s">
        <v>172</v>
      </c>
      <c r="B1205" t="s">
        <v>9</v>
      </c>
      <c r="C1205">
        <v>10</v>
      </c>
      <c r="D1205">
        <v>3847</v>
      </c>
      <c r="E1205">
        <v>0</v>
      </c>
      <c r="F1205" t="s">
        <v>258</v>
      </c>
      <c r="G1205">
        <v>1</v>
      </c>
      <c r="H1205" t="s">
        <v>27</v>
      </c>
      <c r="I1205">
        <v>5880</v>
      </c>
      <c r="J1205">
        <f>DropAnalityka[[#This Row],[Sell Drop]]+IFERROR(SUMIFS(Tabela10[Drop Worth],Tabela10[Drop],DropAnalityka[[#This Row],[Drop]],Tabela10[Grade],DropAnalityka[[#This Row],[Grade]])*DropAnalityka[[#This Row],[Quality/Quantity]],0)</f>
        <v>5880</v>
      </c>
      <c r="K1205" s="43">
        <f>IFERROR(SUMIFS(Tabela10[Fod Worth],Tabela10[Drop],DropAnalityka[[#This Row],[Drop]],Tabela10[Grade],DropAnalityka[[#This Row],[Grade]])*DropAnalityka[[#This Row],[Quality/Quantity]],0)</f>
        <v>0</v>
      </c>
      <c r="L1205" s="43">
        <f>IFERROR(SUMIFS(Tabela10[Exp Gain only 2*+],Tabela10[Drop],DropAnalityka[[#This Row],[Drop]],Tabela10[Grade],DropAnalityka[[#This Row],[Grade]])*DropAnalityka[[#This Row],[Quality/Quantity]],0)</f>
        <v>0</v>
      </c>
    </row>
    <row r="1206" spans="1:12">
      <c r="A1206" t="s">
        <v>172</v>
      </c>
      <c r="B1206" t="s">
        <v>9</v>
      </c>
      <c r="C1206">
        <v>10</v>
      </c>
      <c r="D1206">
        <v>3857</v>
      </c>
      <c r="E1206">
        <v>2</v>
      </c>
      <c r="F1206" t="s">
        <v>258</v>
      </c>
      <c r="G1206">
        <v>1</v>
      </c>
      <c r="H1206" t="s">
        <v>28</v>
      </c>
      <c r="I1206">
        <v>5100</v>
      </c>
      <c r="J1206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206" s="43">
        <f>IFERROR(SUMIFS(Tabela10[Fod Worth],Tabela10[Drop],DropAnalityka[[#This Row],[Drop]],Tabela10[Grade],DropAnalityka[[#This Row],[Grade]])*DropAnalityka[[#This Row],[Quality/Quantity]],0)</f>
        <v>0</v>
      </c>
      <c r="L1206" s="43">
        <f>IFERROR(SUMIFS(Tabela10[Exp Gain only 2*+],Tabela10[Drop],DropAnalityka[[#This Row],[Drop]],Tabela10[Grade],DropAnalityka[[#This Row],[Grade]])*DropAnalityka[[#This Row],[Quality/Quantity]],0)</f>
        <v>0</v>
      </c>
    </row>
    <row r="1207" spans="1:12">
      <c r="A1207" t="s">
        <v>172</v>
      </c>
      <c r="B1207" t="s">
        <v>9</v>
      </c>
      <c r="C1207">
        <v>10</v>
      </c>
      <c r="D1207">
        <v>3902</v>
      </c>
      <c r="E1207">
        <v>0</v>
      </c>
      <c r="F1207" t="s">
        <v>258</v>
      </c>
      <c r="G1207">
        <v>1</v>
      </c>
      <c r="H1207" t="s">
        <v>27</v>
      </c>
      <c r="I1207">
        <v>2756</v>
      </c>
      <c r="J1207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1207" s="43">
        <f>IFERROR(SUMIFS(Tabela10[Fod Worth],Tabela10[Drop],DropAnalityka[[#This Row],[Drop]],Tabela10[Grade],DropAnalityka[[#This Row],[Grade]])*DropAnalityka[[#This Row],[Quality/Quantity]],0)</f>
        <v>0</v>
      </c>
      <c r="L1207" s="43">
        <f>IFERROR(SUMIFS(Tabela10[Exp Gain only 2*+],Tabela10[Drop],DropAnalityka[[#This Row],[Drop]],Tabela10[Grade],DropAnalityka[[#This Row],[Grade]])*DropAnalityka[[#This Row],[Quality/Quantity]],0)</f>
        <v>0</v>
      </c>
    </row>
    <row r="1208" spans="1:12">
      <c r="A1208" t="s">
        <v>172</v>
      </c>
      <c r="B1208" t="s">
        <v>9</v>
      </c>
      <c r="C1208">
        <v>10</v>
      </c>
      <c r="D1208">
        <v>3922</v>
      </c>
      <c r="E1208">
        <v>3</v>
      </c>
      <c r="F1208" t="s">
        <v>258</v>
      </c>
      <c r="G1208">
        <v>1</v>
      </c>
      <c r="H1208" t="s">
        <v>28</v>
      </c>
      <c r="I1208">
        <v>7267</v>
      </c>
      <c r="J1208">
        <f>DropAnalityka[[#This Row],[Sell Drop]]+IFERROR(SUMIFS(Tabela10[Drop Worth],Tabela10[Drop],DropAnalityka[[#This Row],[Drop]],Tabela10[Grade],DropAnalityka[[#This Row],[Grade]])*DropAnalityka[[#This Row],[Quality/Quantity]],0)</f>
        <v>7267</v>
      </c>
      <c r="K1208" s="43">
        <f>IFERROR(SUMIFS(Tabela10[Fod Worth],Tabela10[Drop],DropAnalityka[[#This Row],[Drop]],Tabela10[Grade],DropAnalityka[[#This Row],[Grade]])*DropAnalityka[[#This Row],[Quality/Quantity]],0)</f>
        <v>0</v>
      </c>
      <c r="L1208" s="43">
        <f>IFERROR(SUMIFS(Tabela10[Exp Gain only 2*+],Tabela10[Drop],DropAnalityka[[#This Row],[Drop]],Tabela10[Grade],DropAnalityka[[#This Row],[Grade]])*DropAnalityka[[#This Row],[Quality/Quantity]],0)</f>
        <v>0</v>
      </c>
    </row>
    <row r="1209" spans="1:12">
      <c r="A1209" t="s">
        <v>172</v>
      </c>
      <c r="B1209" t="s">
        <v>9</v>
      </c>
      <c r="C1209">
        <v>10</v>
      </c>
      <c r="D1209">
        <v>3822</v>
      </c>
      <c r="E1209">
        <v>0</v>
      </c>
      <c r="F1209" t="s">
        <v>258</v>
      </c>
      <c r="G1209">
        <v>1</v>
      </c>
      <c r="H1209" t="s">
        <v>28</v>
      </c>
      <c r="I1209">
        <v>5355</v>
      </c>
      <c r="J1209">
        <f>DropAnalityka[[#This Row],[Sell Drop]]+IFERROR(SUMIFS(Tabela10[Drop Worth],Tabela10[Drop],DropAnalityka[[#This Row],[Drop]],Tabela10[Grade],DropAnalityka[[#This Row],[Grade]])*DropAnalityka[[#This Row],[Quality/Quantity]],0)</f>
        <v>5355</v>
      </c>
      <c r="K1209" s="43">
        <f>IFERROR(SUMIFS(Tabela10[Fod Worth],Tabela10[Drop],DropAnalityka[[#This Row],[Drop]],Tabela10[Grade],DropAnalityka[[#This Row],[Grade]])*DropAnalityka[[#This Row],[Quality/Quantity]],0)</f>
        <v>0</v>
      </c>
      <c r="L1209" s="43">
        <f>IFERROR(SUMIFS(Tabela10[Exp Gain only 2*+],Tabela10[Drop],DropAnalityka[[#This Row],[Drop]],Tabela10[Grade],DropAnalityka[[#This Row],[Grade]])*DropAnalityka[[#This Row],[Quality/Quantity]],0)</f>
        <v>0</v>
      </c>
    </row>
    <row r="1210" spans="1:12">
      <c r="A1210" t="s">
        <v>172</v>
      </c>
      <c r="B1210" t="s">
        <v>9</v>
      </c>
      <c r="C1210">
        <v>10</v>
      </c>
      <c r="D1210">
        <v>4255</v>
      </c>
      <c r="E1210">
        <v>3</v>
      </c>
      <c r="F1210" t="s">
        <v>258</v>
      </c>
      <c r="G1210">
        <v>1</v>
      </c>
      <c r="H1210" t="s">
        <v>28</v>
      </c>
      <c r="I1210">
        <v>4760</v>
      </c>
      <c r="J1210">
        <f>DropAnalityka[[#This Row],[Sell Drop]]+IFERROR(SUMIFS(Tabela10[Drop Worth],Tabela10[Drop],DropAnalityka[[#This Row],[Drop]],Tabela10[Grade],DropAnalityka[[#This Row],[Grade]])*DropAnalityka[[#This Row],[Quality/Quantity]],0)</f>
        <v>4760</v>
      </c>
      <c r="K1210" s="43">
        <f>IFERROR(SUMIFS(Tabela10[Fod Worth],Tabela10[Drop],DropAnalityka[[#This Row],[Drop]],Tabela10[Grade],DropAnalityka[[#This Row],[Grade]])*DropAnalityka[[#This Row],[Quality/Quantity]],0)</f>
        <v>0</v>
      </c>
      <c r="L1210" s="43">
        <f>IFERROR(SUMIFS(Tabela10[Exp Gain only 2*+],Tabela10[Drop],DropAnalityka[[#This Row],[Drop]],Tabela10[Grade],DropAnalityka[[#This Row],[Grade]])*DropAnalityka[[#This Row],[Quality/Quantity]],0)</f>
        <v>0</v>
      </c>
    </row>
    <row r="1211" spans="1:12">
      <c r="A1211" t="s">
        <v>172</v>
      </c>
      <c r="B1211" t="s">
        <v>9</v>
      </c>
      <c r="C1211">
        <v>10</v>
      </c>
      <c r="D1211">
        <v>4271</v>
      </c>
      <c r="E1211">
        <v>0</v>
      </c>
      <c r="F1211" t="s">
        <v>258</v>
      </c>
      <c r="G1211">
        <v>1</v>
      </c>
      <c r="H1211" t="s">
        <v>27</v>
      </c>
      <c r="I1211">
        <v>2894</v>
      </c>
      <c r="J1211">
        <f>DropAnalityka[[#This Row],[Sell Drop]]+IFERROR(SUMIFS(Tabela10[Drop Worth],Tabela10[Drop],DropAnalityka[[#This Row],[Drop]],Tabela10[Grade],DropAnalityka[[#This Row],[Grade]])*DropAnalityka[[#This Row],[Quality/Quantity]],0)</f>
        <v>2894</v>
      </c>
      <c r="K1211" s="43">
        <f>IFERROR(SUMIFS(Tabela10[Fod Worth],Tabela10[Drop],DropAnalityka[[#This Row],[Drop]],Tabela10[Grade],DropAnalityka[[#This Row],[Grade]])*DropAnalityka[[#This Row],[Quality/Quantity]],0)</f>
        <v>0</v>
      </c>
      <c r="L1211" s="43">
        <f>IFERROR(SUMIFS(Tabela10[Exp Gain only 2*+],Tabela10[Drop],DropAnalityka[[#This Row],[Drop]],Tabela10[Grade],DropAnalityka[[#This Row],[Grade]])*DropAnalityka[[#This Row],[Quality/Quantity]],0)</f>
        <v>0</v>
      </c>
    </row>
    <row r="1212" spans="1:12">
      <c r="A1212" t="s">
        <v>172</v>
      </c>
      <c r="B1212" t="s">
        <v>9</v>
      </c>
      <c r="C1212">
        <v>10</v>
      </c>
      <c r="D1212">
        <v>4220</v>
      </c>
      <c r="E1212">
        <v>0</v>
      </c>
      <c r="F1212" t="s">
        <v>258</v>
      </c>
      <c r="G1212">
        <v>1</v>
      </c>
      <c r="H1212" t="s">
        <v>27</v>
      </c>
      <c r="I1212">
        <v>2756</v>
      </c>
      <c r="J1212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1212" s="43">
        <f>IFERROR(SUMIFS(Tabela10[Fod Worth],Tabela10[Drop],DropAnalityka[[#This Row],[Drop]],Tabela10[Grade],DropAnalityka[[#This Row],[Grade]])*DropAnalityka[[#This Row],[Quality/Quantity]],0)</f>
        <v>0</v>
      </c>
      <c r="L1212" s="43">
        <f>IFERROR(SUMIFS(Tabela10[Exp Gain only 2*+],Tabela10[Drop],DropAnalityka[[#This Row],[Drop]],Tabela10[Grade],DropAnalityka[[#This Row],[Grade]])*DropAnalityka[[#This Row],[Quality/Quantity]],0)</f>
        <v>0</v>
      </c>
    </row>
    <row r="1213" spans="1:12">
      <c r="A1213" t="s">
        <v>172</v>
      </c>
      <c r="B1213" t="s">
        <v>9</v>
      </c>
      <c r="C1213">
        <v>10</v>
      </c>
      <c r="D1213">
        <v>4125</v>
      </c>
      <c r="E1213">
        <v>3</v>
      </c>
      <c r="F1213" t="s">
        <v>258</v>
      </c>
      <c r="G1213">
        <v>1</v>
      </c>
      <c r="H1213" t="s">
        <v>27</v>
      </c>
      <c r="I1213">
        <v>2480</v>
      </c>
      <c r="J1213">
        <f>DropAnalityka[[#This Row],[Sell Drop]]+IFERROR(SUMIFS(Tabela10[Drop Worth],Tabela10[Drop],DropAnalityka[[#This Row],[Drop]],Tabela10[Grade],DropAnalityka[[#This Row],[Grade]])*DropAnalityka[[#This Row],[Quality/Quantity]],0)</f>
        <v>2480</v>
      </c>
      <c r="K1213" s="43">
        <f>IFERROR(SUMIFS(Tabela10[Fod Worth],Tabela10[Drop],DropAnalityka[[#This Row],[Drop]],Tabela10[Grade],DropAnalityka[[#This Row],[Grade]])*DropAnalityka[[#This Row],[Quality/Quantity]],0)</f>
        <v>0</v>
      </c>
      <c r="L1213" s="43">
        <f>IFERROR(SUMIFS(Tabela10[Exp Gain only 2*+],Tabela10[Drop],DropAnalityka[[#This Row],[Drop]],Tabela10[Grade],DropAnalityka[[#This Row],[Grade]])*DropAnalityka[[#This Row],[Quality/Quantity]],0)</f>
        <v>0</v>
      </c>
    </row>
    <row r="1214" spans="1:12">
      <c r="A1214" t="s">
        <v>172</v>
      </c>
      <c r="B1214" t="s">
        <v>9</v>
      </c>
      <c r="C1214">
        <v>10</v>
      </c>
      <c r="D1214">
        <v>3847</v>
      </c>
      <c r="E1214">
        <v>0</v>
      </c>
      <c r="F1214" t="s">
        <v>58</v>
      </c>
      <c r="G1214">
        <v>1</v>
      </c>
      <c r="H1214" t="s">
        <v>12</v>
      </c>
      <c r="I1214">
        <v>0</v>
      </c>
      <c r="J12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14" s="43">
        <f>IFERROR(SUMIFS(Tabela10[Fod Worth],Tabela10[Drop],DropAnalityka[[#This Row],[Drop]],Tabela10[Grade],DropAnalityka[[#This Row],[Grade]])*DropAnalityka[[#This Row],[Quality/Quantity]],0)</f>
        <v>11500</v>
      </c>
      <c r="L1214" s="43">
        <f>IFERROR(SUMIFS(Tabela10[Exp Gain only 2*+],Tabela10[Drop],DropAnalityka[[#This Row],[Drop]],Tabela10[Grade],DropAnalityka[[#This Row],[Grade]])*DropAnalityka[[#This Row],[Quality/Quantity]],0)</f>
        <v>35822</v>
      </c>
    </row>
    <row r="1215" spans="1:12">
      <c r="A1215" t="s">
        <v>172</v>
      </c>
      <c r="B1215" t="s">
        <v>9</v>
      </c>
      <c r="C1215">
        <v>10</v>
      </c>
      <c r="D1215">
        <v>4181</v>
      </c>
      <c r="E1215">
        <v>1</v>
      </c>
      <c r="F1215" t="s">
        <v>258</v>
      </c>
      <c r="G1215">
        <v>1</v>
      </c>
      <c r="H1215" t="s">
        <v>28</v>
      </c>
      <c r="I1215">
        <v>5440</v>
      </c>
      <c r="J1215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215" s="43">
        <f>IFERROR(SUMIFS(Tabela10[Fod Worth],Tabela10[Drop],DropAnalityka[[#This Row],[Drop]],Tabela10[Grade],DropAnalityka[[#This Row],[Grade]])*DropAnalityka[[#This Row],[Quality/Quantity]],0)</f>
        <v>0</v>
      </c>
      <c r="L1215" s="43">
        <f>IFERROR(SUMIFS(Tabela10[Exp Gain only 2*+],Tabela10[Drop],DropAnalityka[[#This Row],[Drop]],Tabela10[Grade],DropAnalityka[[#This Row],[Grade]])*DropAnalityka[[#This Row],[Quality/Quantity]],0)</f>
        <v>0</v>
      </c>
    </row>
    <row r="1216" spans="1:12">
      <c r="A1216" t="s">
        <v>172</v>
      </c>
      <c r="B1216" t="s">
        <v>9</v>
      </c>
      <c r="C1216">
        <v>10</v>
      </c>
      <c r="D1216">
        <v>3847</v>
      </c>
      <c r="E1216">
        <v>0</v>
      </c>
      <c r="F1216" t="s">
        <v>34</v>
      </c>
      <c r="G1216">
        <v>4</v>
      </c>
      <c r="H1216" t="s">
        <v>17</v>
      </c>
      <c r="I1216">
        <v>0</v>
      </c>
      <c r="J1216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16" s="43">
        <f>IFERROR(SUMIFS(Tabela10[Fod Worth],Tabela10[Drop],DropAnalityka[[#This Row],[Drop]],Tabela10[Grade],DropAnalityka[[#This Row],[Grade]])*DropAnalityka[[#This Row],[Quality/Quantity]],0)</f>
        <v>0</v>
      </c>
      <c r="L1216" s="43">
        <f>IFERROR(SUMIFS(Tabela10[Exp Gain only 2*+],Tabela10[Drop],DropAnalityka[[#This Row],[Drop]],Tabela10[Grade],DropAnalityka[[#This Row],[Grade]])*DropAnalityka[[#This Row],[Quality/Quantity]],0)</f>
        <v>3200</v>
      </c>
    </row>
    <row r="1217" spans="1:12">
      <c r="A1217" t="s">
        <v>172</v>
      </c>
      <c r="B1217" t="s">
        <v>9</v>
      </c>
      <c r="C1217">
        <v>10</v>
      </c>
      <c r="D1217">
        <v>4162</v>
      </c>
      <c r="E1217">
        <v>2</v>
      </c>
      <c r="F1217" t="s">
        <v>258</v>
      </c>
      <c r="G1217">
        <v>1</v>
      </c>
      <c r="H1217" t="s">
        <v>28</v>
      </c>
      <c r="I1217">
        <v>4335</v>
      </c>
      <c r="J1217">
        <f>DropAnalityka[[#This Row],[Sell Drop]]+IFERROR(SUMIFS(Tabela10[Drop Worth],Tabela10[Drop],DropAnalityka[[#This Row],[Drop]],Tabela10[Grade],DropAnalityka[[#This Row],[Grade]])*DropAnalityka[[#This Row],[Quality/Quantity]],0)</f>
        <v>4335</v>
      </c>
      <c r="K1217" s="43">
        <f>IFERROR(SUMIFS(Tabela10[Fod Worth],Tabela10[Drop],DropAnalityka[[#This Row],[Drop]],Tabela10[Grade],DropAnalityka[[#This Row],[Grade]])*DropAnalityka[[#This Row],[Quality/Quantity]],0)</f>
        <v>0</v>
      </c>
      <c r="L1217" s="43">
        <f>IFERROR(SUMIFS(Tabela10[Exp Gain only 2*+],Tabela10[Drop],DropAnalityka[[#This Row],[Drop]],Tabela10[Grade],DropAnalityka[[#This Row],[Grade]])*DropAnalityka[[#This Row],[Quality/Quantity]],0)</f>
        <v>0</v>
      </c>
    </row>
    <row r="1218" spans="1:12">
      <c r="A1218" t="s">
        <v>172</v>
      </c>
      <c r="B1218" t="s">
        <v>9</v>
      </c>
      <c r="C1218">
        <v>10</v>
      </c>
      <c r="D1218">
        <v>3389</v>
      </c>
      <c r="E1218">
        <v>0</v>
      </c>
      <c r="F1218" t="s">
        <v>291</v>
      </c>
      <c r="G1218">
        <v>1</v>
      </c>
      <c r="H1218" t="s">
        <v>28</v>
      </c>
      <c r="I1218">
        <v>6075</v>
      </c>
      <c r="J1218">
        <f>DropAnalityka[[#This Row],[Sell Drop]]+IFERROR(SUMIFS(Tabela10[Drop Worth],Tabela10[Drop],DropAnalityka[[#This Row],[Drop]],Tabela10[Grade],DropAnalityka[[#This Row],[Grade]])*DropAnalityka[[#This Row],[Quality/Quantity]],0)</f>
        <v>6075</v>
      </c>
      <c r="K1218" s="43">
        <f>IFERROR(SUMIFS(Tabela10[Fod Worth],Tabela10[Drop],DropAnalityka[[#This Row],[Drop]],Tabela10[Grade],DropAnalityka[[#This Row],[Grade]])*DropAnalityka[[#This Row],[Quality/Quantity]],0)</f>
        <v>0</v>
      </c>
      <c r="L1218" s="43">
        <f>IFERROR(SUMIFS(Tabela10[Exp Gain only 2*+],Tabela10[Drop],DropAnalityka[[#This Row],[Drop]],Tabela10[Grade],DropAnalityka[[#This Row],[Grade]])*DropAnalityka[[#This Row],[Quality/Quantity]],0)</f>
        <v>0</v>
      </c>
    </row>
    <row r="1219" spans="1:12">
      <c r="A1219" t="s">
        <v>172</v>
      </c>
      <c r="B1219" t="s">
        <v>9</v>
      </c>
      <c r="C1219">
        <v>10</v>
      </c>
      <c r="D1219">
        <v>3666</v>
      </c>
      <c r="E1219">
        <v>1</v>
      </c>
      <c r="F1219" t="s">
        <v>258</v>
      </c>
      <c r="G1219">
        <v>1</v>
      </c>
      <c r="H1219" t="s">
        <v>27</v>
      </c>
      <c r="I1219">
        <v>2756</v>
      </c>
      <c r="J1219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1219" s="43">
        <f>IFERROR(SUMIFS(Tabela10[Fod Worth],Tabela10[Drop],DropAnalityka[[#This Row],[Drop]],Tabela10[Grade],DropAnalityka[[#This Row],[Grade]])*DropAnalityka[[#This Row],[Quality/Quantity]],0)</f>
        <v>0</v>
      </c>
      <c r="L1219" s="43">
        <f>IFERROR(SUMIFS(Tabela10[Exp Gain only 2*+],Tabela10[Drop],DropAnalityka[[#This Row],[Drop]],Tabela10[Grade],DropAnalityka[[#This Row],[Grade]])*DropAnalityka[[#This Row],[Quality/Quantity]],0)</f>
        <v>0</v>
      </c>
    </row>
    <row r="1220" spans="1:12">
      <c r="A1220" t="s">
        <v>172</v>
      </c>
      <c r="B1220" t="s">
        <v>9</v>
      </c>
      <c r="C1220">
        <v>10</v>
      </c>
      <c r="D1220">
        <v>3605</v>
      </c>
      <c r="E1220">
        <v>1</v>
      </c>
      <c r="F1220" t="s">
        <v>291</v>
      </c>
      <c r="G1220">
        <v>1</v>
      </c>
      <c r="H1220" t="s">
        <v>28</v>
      </c>
      <c r="I1220">
        <v>5737</v>
      </c>
      <c r="J1220">
        <f>DropAnalityka[[#This Row],[Sell Drop]]+IFERROR(SUMIFS(Tabela10[Drop Worth],Tabela10[Drop],DropAnalityka[[#This Row],[Drop]],Tabela10[Grade],DropAnalityka[[#This Row],[Grade]])*DropAnalityka[[#This Row],[Quality/Quantity]],0)</f>
        <v>5737</v>
      </c>
      <c r="K1220" s="43">
        <f>IFERROR(SUMIFS(Tabela10[Fod Worth],Tabela10[Drop],DropAnalityka[[#This Row],[Drop]],Tabela10[Grade],DropAnalityka[[#This Row],[Grade]])*DropAnalityka[[#This Row],[Quality/Quantity]],0)</f>
        <v>0</v>
      </c>
      <c r="L1220" s="43">
        <f>IFERROR(SUMIFS(Tabela10[Exp Gain only 2*+],Tabela10[Drop],DropAnalityka[[#This Row],[Drop]],Tabela10[Grade],DropAnalityka[[#This Row],[Grade]])*DropAnalityka[[#This Row],[Quality/Quantity]],0)</f>
        <v>0</v>
      </c>
    </row>
    <row r="1221" spans="1:12">
      <c r="A1221" t="s">
        <v>172</v>
      </c>
      <c r="B1221" t="s">
        <v>9</v>
      </c>
      <c r="C1221">
        <v>10</v>
      </c>
      <c r="D1221">
        <v>3793</v>
      </c>
      <c r="E1221">
        <v>2</v>
      </c>
      <c r="F1221" t="s">
        <v>34</v>
      </c>
      <c r="G1221">
        <v>4</v>
      </c>
      <c r="H1221" t="s">
        <v>17</v>
      </c>
      <c r="I1221">
        <v>0</v>
      </c>
      <c r="J122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21" s="43">
        <f>IFERROR(SUMIFS(Tabela10[Fod Worth],Tabela10[Drop],DropAnalityka[[#This Row],[Drop]],Tabela10[Grade],DropAnalityka[[#This Row],[Grade]])*DropAnalityka[[#This Row],[Quality/Quantity]],0)</f>
        <v>0</v>
      </c>
      <c r="L1221" s="43">
        <f>IFERROR(SUMIFS(Tabela10[Exp Gain only 2*+],Tabela10[Drop],DropAnalityka[[#This Row],[Drop]],Tabela10[Grade],DropAnalityka[[#This Row],[Grade]])*DropAnalityka[[#This Row],[Quality/Quantity]],0)</f>
        <v>3200</v>
      </c>
    </row>
    <row r="1222" spans="1:12">
      <c r="A1222" t="s">
        <v>172</v>
      </c>
      <c r="B1222" t="s">
        <v>9</v>
      </c>
      <c r="C1222">
        <v>10</v>
      </c>
      <c r="D1222">
        <v>4423</v>
      </c>
      <c r="E1222">
        <v>0</v>
      </c>
      <c r="F1222" t="s">
        <v>258</v>
      </c>
      <c r="G1222">
        <v>1</v>
      </c>
      <c r="H1222" t="s">
        <v>28</v>
      </c>
      <c r="I1222">
        <v>8075</v>
      </c>
      <c r="J1222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222" s="43">
        <f>IFERROR(SUMIFS(Tabela10[Fod Worth],Tabela10[Drop],DropAnalityka[[#This Row],[Drop]],Tabela10[Grade],DropAnalityka[[#This Row],[Grade]])*DropAnalityka[[#This Row],[Quality/Quantity]],0)</f>
        <v>0</v>
      </c>
      <c r="L1222" s="43">
        <f>IFERROR(SUMIFS(Tabela10[Exp Gain only 2*+],Tabela10[Drop],DropAnalityka[[#This Row],[Drop]],Tabela10[Grade],DropAnalityka[[#This Row],[Grade]])*DropAnalityka[[#This Row],[Quality/Quantity]],0)</f>
        <v>0</v>
      </c>
    </row>
    <row r="1223" spans="1:12">
      <c r="A1223" t="s">
        <v>172</v>
      </c>
      <c r="B1223" t="s">
        <v>9</v>
      </c>
      <c r="C1223">
        <v>10</v>
      </c>
      <c r="D1223">
        <v>4020</v>
      </c>
      <c r="E1223">
        <v>1</v>
      </c>
      <c r="F1223" t="s">
        <v>205</v>
      </c>
      <c r="G1223">
        <v>3</v>
      </c>
      <c r="H1223" t="s">
        <v>26</v>
      </c>
      <c r="I1223">
        <v>0</v>
      </c>
      <c r="J12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23" s="43">
        <f>IFERROR(SUMIFS(Tabela10[Fod Worth],Tabela10[Drop],DropAnalityka[[#This Row],[Drop]],Tabela10[Grade],DropAnalityka[[#This Row],[Grade]])*DropAnalityka[[#This Row],[Quality/Quantity]],0)</f>
        <v>2587.5</v>
      </c>
      <c r="L1223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1224" spans="1:12">
      <c r="A1224" t="s">
        <v>172</v>
      </c>
      <c r="B1224" t="s">
        <v>9</v>
      </c>
      <c r="C1224">
        <v>10</v>
      </c>
      <c r="D1224">
        <v>3900</v>
      </c>
      <c r="E1224">
        <v>1</v>
      </c>
      <c r="F1224" t="s">
        <v>291</v>
      </c>
      <c r="G1224">
        <v>1</v>
      </c>
      <c r="H1224" t="s">
        <v>27</v>
      </c>
      <c r="I1224">
        <v>3307</v>
      </c>
      <c r="J1224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1224" s="43">
        <f>IFERROR(SUMIFS(Tabela10[Fod Worth],Tabela10[Drop],DropAnalityka[[#This Row],[Drop]],Tabela10[Grade],DropAnalityka[[#This Row],[Grade]])*DropAnalityka[[#This Row],[Quality/Quantity]],0)</f>
        <v>0</v>
      </c>
      <c r="L1224" s="43">
        <f>IFERROR(SUMIFS(Tabela10[Exp Gain only 2*+],Tabela10[Drop],DropAnalityka[[#This Row],[Drop]],Tabela10[Grade],DropAnalityka[[#This Row],[Grade]])*DropAnalityka[[#This Row],[Quality/Quantity]],0)</f>
        <v>0</v>
      </c>
    </row>
    <row r="1225" spans="1:12">
      <c r="A1225" t="s">
        <v>172</v>
      </c>
      <c r="B1225" t="s">
        <v>9</v>
      </c>
      <c r="C1225">
        <v>10</v>
      </c>
      <c r="D1225">
        <v>4316</v>
      </c>
      <c r="E1225">
        <v>1</v>
      </c>
      <c r="F1225" t="s">
        <v>258</v>
      </c>
      <c r="G1225">
        <v>1</v>
      </c>
      <c r="H1225" t="s">
        <v>28</v>
      </c>
      <c r="I1225">
        <v>14535</v>
      </c>
      <c r="J1225">
        <f>DropAnalityka[[#This Row],[Sell Drop]]+IFERROR(SUMIFS(Tabela10[Drop Worth],Tabela10[Drop],DropAnalityka[[#This Row],[Drop]],Tabela10[Grade],DropAnalityka[[#This Row],[Grade]])*DropAnalityka[[#This Row],[Quality/Quantity]],0)</f>
        <v>14535</v>
      </c>
      <c r="K1225" s="43">
        <f>IFERROR(SUMIFS(Tabela10[Fod Worth],Tabela10[Drop],DropAnalityka[[#This Row],[Drop]],Tabela10[Grade],DropAnalityka[[#This Row],[Grade]])*DropAnalityka[[#This Row],[Quality/Quantity]],0)</f>
        <v>0</v>
      </c>
      <c r="L1225" s="43">
        <f>IFERROR(SUMIFS(Tabela10[Exp Gain only 2*+],Tabela10[Drop],DropAnalityka[[#This Row],[Drop]],Tabela10[Grade],DropAnalityka[[#This Row],[Grade]])*DropAnalityka[[#This Row],[Quality/Quantity]],0)</f>
        <v>0</v>
      </c>
    </row>
    <row r="1226" spans="1:12">
      <c r="A1226" t="s">
        <v>172</v>
      </c>
      <c r="B1226" t="s">
        <v>9</v>
      </c>
      <c r="C1226">
        <v>10</v>
      </c>
      <c r="D1226">
        <v>3854</v>
      </c>
      <c r="E1226">
        <v>0</v>
      </c>
      <c r="F1226" t="s">
        <v>258</v>
      </c>
      <c r="G1226">
        <v>1</v>
      </c>
      <c r="H1226" t="s">
        <v>27</v>
      </c>
      <c r="I1226">
        <v>2940</v>
      </c>
      <c r="J1226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226" s="43">
        <f>IFERROR(SUMIFS(Tabela10[Fod Worth],Tabela10[Drop],DropAnalityka[[#This Row],[Drop]],Tabela10[Grade],DropAnalityka[[#This Row],[Grade]])*DropAnalityka[[#This Row],[Quality/Quantity]],0)</f>
        <v>0</v>
      </c>
      <c r="L1226" s="43">
        <f>IFERROR(SUMIFS(Tabela10[Exp Gain only 2*+],Tabela10[Drop],DropAnalityka[[#This Row],[Drop]],Tabela10[Grade],DropAnalityka[[#This Row],[Grade]])*DropAnalityka[[#This Row],[Quality/Quantity]],0)</f>
        <v>0</v>
      </c>
    </row>
    <row r="1227" spans="1:12">
      <c r="A1227" t="s">
        <v>172</v>
      </c>
      <c r="B1227" t="s">
        <v>9</v>
      </c>
      <c r="C1227">
        <v>10</v>
      </c>
      <c r="D1227">
        <v>4559</v>
      </c>
      <c r="E1227">
        <v>1</v>
      </c>
      <c r="F1227" t="s">
        <v>258</v>
      </c>
      <c r="G1227">
        <v>1</v>
      </c>
      <c r="H1227" t="s">
        <v>28</v>
      </c>
      <c r="I1227">
        <v>6120</v>
      </c>
      <c r="J1227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227" s="43">
        <f>IFERROR(SUMIFS(Tabela10[Fod Worth],Tabela10[Drop],DropAnalityka[[#This Row],[Drop]],Tabela10[Grade],DropAnalityka[[#This Row],[Grade]])*DropAnalityka[[#This Row],[Quality/Quantity]],0)</f>
        <v>0</v>
      </c>
      <c r="L1227" s="43">
        <f>IFERROR(SUMIFS(Tabela10[Exp Gain only 2*+],Tabela10[Drop],DropAnalityka[[#This Row],[Drop]],Tabela10[Grade],DropAnalityka[[#This Row],[Grade]])*DropAnalityka[[#This Row],[Quality/Quantity]],0)</f>
        <v>0</v>
      </c>
    </row>
    <row r="1228" spans="1:12">
      <c r="A1228" t="s">
        <v>172</v>
      </c>
      <c r="B1228" t="s">
        <v>9</v>
      </c>
      <c r="C1228">
        <v>10</v>
      </c>
      <c r="D1228">
        <v>4127</v>
      </c>
      <c r="E1228">
        <v>1</v>
      </c>
      <c r="F1228" t="s">
        <v>258</v>
      </c>
      <c r="G1228">
        <v>1</v>
      </c>
      <c r="H1228" t="s">
        <v>27</v>
      </c>
      <c r="I1228">
        <v>5512</v>
      </c>
      <c r="J1228">
        <f>DropAnalityka[[#This Row],[Sell Drop]]+IFERROR(SUMIFS(Tabela10[Drop Worth],Tabela10[Drop],DropAnalityka[[#This Row],[Drop]],Tabela10[Grade],DropAnalityka[[#This Row],[Grade]])*DropAnalityka[[#This Row],[Quality/Quantity]],0)</f>
        <v>5512</v>
      </c>
      <c r="K1228" s="43">
        <f>IFERROR(SUMIFS(Tabela10[Fod Worth],Tabela10[Drop],DropAnalityka[[#This Row],[Drop]],Tabela10[Grade],DropAnalityka[[#This Row],[Grade]])*DropAnalityka[[#This Row],[Quality/Quantity]],0)</f>
        <v>0</v>
      </c>
      <c r="L1228" s="43">
        <f>IFERROR(SUMIFS(Tabela10[Exp Gain only 2*+],Tabela10[Drop],DropAnalityka[[#This Row],[Drop]],Tabela10[Grade],DropAnalityka[[#This Row],[Grade]])*DropAnalityka[[#This Row],[Quality/Quantity]],0)</f>
        <v>0</v>
      </c>
    </row>
    <row r="1229" spans="1:12">
      <c r="A1229" t="s">
        <v>172</v>
      </c>
      <c r="B1229" t="s">
        <v>9</v>
      </c>
      <c r="C1229">
        <v>10</v>
      </c>
      <c r="D1229">
        <v>4449</v>
      </c>
      <c r="E1229">
        <v>1</v>
      </c>
      <c r="F1229" t="s">
        <v>34</v>
      </c>
      <c r="G1229">
        <v>5</v>
      </c>
      <c r="H1229" t="s">
        <v>17</v>
      </c>
      <c r="I1229">
        <v>0</v>
      </c>
      <c r="J1229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29" s="43">
        <f>IFERROR(SUMIFS(Tabela10[Fod Worth],Tabela10[Drop],DropAnalityka[[#This Row],[Drop]],Tabela10[Grade],DropAnalityka[[#This Row],[Grade]])*DropAnalityka[[#This Row],[Quality/Quantity]],0)</f>
        <v>0</v>
      </c>
      <c r="L1229" s="43">
        <f>IFERROR(SUMIFS(Tabela10[Exp Gain only 2*+],Tabela10[Drop],DropAnalityka[[#This Row],[Drop]],Tabela10[Grade],DropAnalityka[[#This Row],[Grade]])*DropAnalityka[[#This Row],[Quality/Quantity]],0)</f>
        <v>4000</v>
      </c>
    </row>
    <row r="1230" spans="1:12">
      <c r="A1230" t="s">
        <v>172</v>
      </c>
      <c r="B1230" t="s">
        <v>9</v>
      </c>
      <c r="C1230">
        <v>10</v>
      </c>
      <c r="D1230">
        <v>4660</v>
      </c>
      <c r="E1230">
        <v>3</v>
      </c>
      <c r="F1230" t="s">
        <v>258</v>
      </c>
      <c r="G1230">
        <v>1</v>
      </c>
      <c r="H1230" t="s">
        <v>28</v>
      </c>
      <c r="I1230">
        <v>6120</v>
      </c>
      <c r="J1230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230" s="43">
        <f>IFERROR(SUMIFS(Tabela10[Fod Worth],Tabela10[Drop],DropAnalityka[[#This Row],[Drop]],Tabela10[Grade],DropAnalityka[[#This Row],[Grade]])*DropAnalityka[[#This Row],[Quality/Quantity]],0)</f>
        <v>0</v>
      </c>
      <c r="L1230" s="43">
        <f>IFERROR(SUMIFS(Tabela10[Exp Gain only 2*+],Tabela10[Drop],DropAnalityka[[#This Row],[Drop]],Tabela10[Grade],DropAnalityka[[#This Row],[Grade]])*DropAnalityka[[#This Row],[Quality/Quantity]],0)</f>
        <v>0</v>
      </c>
    </row>
    <row r="1231" spans="1:12">
      <c r="A1231" t="s">
        <v>172</v>
      </c>
      <c r="B1231" t="s">
        <v>9</v>
      </c>
      <c r="C1231">
        <v>10</v>
      </c>
      <c r="D1231">
        <v>4104</v>
      </c>
      <c r="E1231">
        <v>1</v>
      </c>
      <c r="F1231" t="s">
        <v>58</v>
      </c>
      <c r="G1231">
        <v>1</v>
      </c>
      <c r="H1231" t="s">
        <v>26</v>
      </c>
      <c r="I1231">
        <v>0</v>
      </c>
      <c r="J12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31" s="43">
        <f>IFERROR(SUMIFS(Tabela10[Fod Worth],Tabela10[Drop],DropAnalityka[[#This Row],[Drop]],Tabela10[Grade],DropAnalityka[[#This Row],[Grade]])*DropAnalityka[[#This Row],[Quality/Quantity]],0)</f>
        <v>34500</v>
      </c>
      <c r="L1231" s="43">
        <f>IFERROR(SUMIFS(Tabela10[Exp Gain only 2*+],Tabela10[Drop],DropAnalityka[[#This Row],[Drop]],Tabela10[Grade],DropAnalityka[[#This Row],[Grade]])*DropAnalityka[[#This Row],[Quality/Quantity]],0)</f>
        <v>118004</v>
      </c>
    </row>
    <row r="1232" spans="1:12">
      <c r="A1232" t="s">
        <v>172</v>
      </c>
      <c r="B1232" t="s">
        <v>9</v>
      </c>
      <c r="C1232">
        <v>10</v>
      </c>
      <c r="D1232">
        <v>4042</v>
      </c>
      <c r="E1232">
        <v>1</v>
      </c>
      <c r="F1232" t="s">
        <v>258</v>
      </c>
      <c r="G1232">
        <v>1</v>
      </c>
      <c r="H1232" t="s">
        <v>27</v>
      </c>
      <c r="I1232">
        <v>6615</v>
      </c>
      <c r="J1232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232" s="43">
        <f>IFERROR(SUMIFS(Tabela10[Fod Worth],Tabela10[Drop],DropAnalityka[[#This Row],[Drop]],Tabela10[Grade],DropAnalityka[[#This Row],[Grade]])*DropAnalityka[[#This Row],[Quality/Quantity]],0)</f>
        <v>0</v>
      </c>
      <c r="L1232" s="43">
        <f>IFERROR(SUMIFS(Tabela10[Exp Gain only 2*+],Tabela10[Drop],DropAnalityka[[#This Row],[Drop]],Tabela10[Grade],DropAnalityka[[#This Row],[Grade]])*DropAnalityka[[#This Row],[Quality/Quantity]],0)</f>
        <v>0</v>
      </c>
    </row>
    <row r="1233" spans="1:12">
      <c r="A1233" t="s">
        <v>172</v>
      </c>
      <c r="B1233" t="s">
        <v>9</v>
      </c>
      <c r="C1233">
        <v>10</v>
      </c>
      <c r="D1233">
        <v>3926</v>
      </c>
      <c r="E1233">
        <v>2</v>
      </c>
      <c r="F1233" t="s">
        <v>258</v>
      </c>
      <c r="G1233">
        <v>1</v>
      </c>
      <c r="H1233" t="s">
        <v>28</v>
      </c>
      <c r="I1233">
        <v>6502</v>
      </c>
      <c r="J1233">
        <f>DropAnalityka[[#This Row],[Sell Drop]]+IFERROR(SUMIFS(Tabela10[Drop Worth],Tabela10[Drop],DropAnalityka[[#This Row],[Drop]],Tabela10[Grade],DropAnalityka[[#This Row],[Grade]])*DropAnalityka[[#This Row],[Quality/Quantity]],0)</f>
        <v>6502</v>
      </c>
      <c r="K1233" s="43">
        <f>IFERROR(SUMIFS(Tabela10[Fod Worth],Tabela10[Drop],DropAnalityka[[#This Row],[Drop]],Tabela10[Grade],DropAnalityka[[#This Row],[Grade]])*DropAnalityka[[#This Row],[Quality/Quantity]],0)</f>
        <v>0</v>
      </c>
      <c r="L1233" s="43">
        <f>IFERROR(SUMIFS(Tabela10[Exp Gain only 2*+],Tabela10[Drop],DropAnalityka[[#This Row],[Drop]],Tabela10[Grade],DropAnalityka[[#This Row],[Grade]])*DropAnalityka[[#This Row],[Quality/Quantity]],0)</f>
        <v>0</v>
      </c>
    </row>
    <row r="1234" spans="1:12">
      <c r="A1234" t="s">
        <v>172</v>
      </c>
      <c r="B1234" t="s">
        <v>9</v>
      </c>
      <c r="C1234">
        <v>10</v>
      </c>
      <c r="D1234">
        <v>3945</v>
      </c>
      <c r="E1234">
        <v>2</v>
      </c>
      <c r="F1234" t="s">
        <v>34</v>
      </c>
      <c r="G1234">
        <v>4</v>
      </c>
      <c r="H1234" t="s">
        <v>17</v>
      </c>
      <c r="I1234">
        <v>0</v>
      </c>
      <c r="J123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34" s="43">
        <f>IFERROR(SUMIFS(Tabela10[Fod Worth],Tabela10[Drop],DropAnalityka[[#This Row],[Drop]],Tabela10[Grade],DropAnalityka[[#This Row],[Grade]])*DropAnalityka[[#This Row],[Quality/Quantity]],0)</f>
        <v>0</v>
      </c>
      <c r="L1234" s="43">
        <f>IFERROR(SUMIFS(Tabela10[Exp Gain only 2*+],Tabela10[Drop],DropAnalityka[[#This Row],[Drop]],Tabela10[Grade],DropAnalityka[[#This Row],[Grade]])*DropAnalityka[[#This Row],[Quality/Quantity]],0)</f>
        <v>3200</v>
      </c>
    </row>
    <row r="1235" spans="1:12">
      <c r="A1235" t="s">
        <v>172</v>
      </c>
      <c r="B1235" t="s">
        <v>9</v>
      </c>
      <c r="C1235">
        <v>10</v>
      </c>
      <c r="D1235">
        <v>4195</v>
      </c>
      <c r="E1235">
        <v>3</v>
      </c>
      <c r="F1235" t="s">
        <v>205</v>
      </c>
      <c r="G1235">
        <v>3</v>
      </c>
      <c r="H1235" t="s">
        <v>26</v>
      </c>
      <c r="I1235">
        <v>0</v>
      </c>
      <c r="J12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35" s="43">
        <f>IFERROR(SUMIFS(Tabela10[Fod Worth],Tabela10[Drop],DropAnalityka[[#This Row],[Drop]],Tabela10[Grade],DropAnalityka[[#This Row],[Grade]])*DropAnalityka[[#This Row],[Quality/Quantity]],0)</f>
        <v>2587.5</v>
      </c>
      <c r="L1235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1236" spans="1:12">
      <c r="A1236" t="s">
        <v>172</v>
      </c>
      <c r="B1236" t="s">
        <v>9</v>
      </c>
      <c r="C1236">
        <v>10</v>
      </c>
      <c r="D1236">
        <v>4313</v>
      </c>
      <c r="E1236">
        <v>3</v>
      </c>
      <c r="F1236" t="s">
        <v>291</v>
      </c>
      <c r="G1236">
        <v>1</v>
      </c>
      <c r="H1236" t="s">
        <v>27</v>
      </c>
      <c r="I1236">
        <v>4961</v>
      </c>
      <c r="J1236">
        <f>DropAnalityka[[#This Row],[Sell Drop]]+IFERROR(SUMIFS(Tabela10[Drop Worth],Tabela10[Drop],DropAnalityka[[#This Row],[Drop]],Tabela10[Grade],DropAnalityka[[#This Row],[Grade]])*DropAnalityka[[#This Row],[Quality/Quantity]],0)</f>
        <v>4961</v>
      </c>
      <c r="K1236" s="43">
        <f>IFERROR(SUMIFS(Tabela10[Fod Worth],Tabela10[Drop],DropAnalityka[[#This Row],[Drop]],Tabela10[Grade],DropAnalityka[[#This Row],[Grade]])*DropAnalityka[[#This Row],[Quality/Quantity]],0)</f>
        <v>0</v>
      </c>
      <c r="L1236" s="43">
        <f>IFERROR(SUMIFS(Tabela10[Exp Gain only 2*+],Tabela10[Drop],DropAnalityka[[#This Row],[Drop]],Tabela10[Grade],DropAnalityka[[#This Row],[Grade]])*DropAnalityka[[#This Row],[Quality/Quantity]],0)</f>
        <v>0</v>
      </c>
    </row>
    <row r="1237" spans="1:12">
      <c r="A1237" t="s">
        <v>172</v>
      </c>
      <c r="B1237" t="s">
        <v>9</v>
      </c>
      <c r="C1237">
        <v>10</v>
      </c>
      <c r="D1237">
        <v>3617</v>
      </c>
      <c r="E1237">
        <v>1</v>
      </c>
      <c r="F1237" t="s">
        <v>258</v>
      </c>
      <c r="G1237">
        <v>1</v>
      </c>
      <c r="H1237" t="s">
        <v>28</v>
      </c>
      <c r="I1237">
        <v>13770</v>
      </c>
      <c r="J1237">
        <f>DropAnalityka[[#This Row],[Sell Drop]]+IFERROR(SUMIFS(Tabela10[Drop Worth],Tabela10[Drop],DropAnalityka[[#This Row],[Drop]],Tabela10[Grade],DropAnalityka[[#This Row],[Grade]])*DropAnalityka[[#This Row],[Quality/Quantity]],0)</f>
        <v>13770</v>
      </c>
      <c r="K1237" s="43">
        <f>IFERROR(SUMIFS(Tabela10[Fod Worth],Tabela10[Drop],DropAnalityka[[#This Row],[Drop]],Tabela10[Grade],DropAnalityka[[#This Row],[Grade]])*DropAnalityka[[#This Row],[Quality/Quantity]],0)</f>
        <v>0</v>
      </c>
      <c r="L1237" s="43">
        <f>IFERROR(SUMIFS(Tabela10[Exp Gain only 2*+],Tabela10[Drop],DropAnalityka[[#This Row],[Drop]],Tabela10[Grade],DropAnalityka[[#This Row],[Grade]])*DropAnalityka[[#This Row],[Quality/Quantity]],0)</f>
        <v>0</v>
      </c>
    </row>
    <row r="1238" spans="1:12">
      <c r="A1238" t="s">
        <v>178</v>
      </c>
      <c r="B1238" t="s">
        <v>9</v>
      </c>
      <c r="C1238">
        <v>7</v>
      </c>
      <c r="D1238">
        <v>3713</v>
      </c>
      <c r="E1238">
        <v>1</v>
      </c>
      <c r="F1238" t="s">
        <v>258</v>
      </c>
      <c r="G1238">
        <v>1</v>
      </c>
      <c r="H1238" t="s">
        <v>27</v>
      </c>
      <c r="I1238">
        <v>7350</v>
      </c>
      <c r="J1238">
        <f>DropAnalityka[[#This Row],[Sell Drop]]+IFERROR(SUMIFS(Tabela10[Drop Worth],Tabela10[Drop],DropAnalityka[[#This Row],[Drop]],Tabela10[Grade],DropAnalityka[[#This Row],[Grade]])*DropAnalityka[[#This Row],[Quality/Quantity]],0)</f>
        <v>7350</v>
      </c>
      <c r="K1238" s="43">
        <f>IFERROR(SUMIFS(Tabela10[Fod Worth],Tabela10[Drop],DropAnalityka[[#This Row],[Drop]],Tabela10[Grade],DropAnalityka[[#This Row],[Grade]])*DropAnalityka[[#This Row],[Quality/Quantity]],0)</f>
        <v>0</v>
      </c>
      <c r="L1238" s="43">
        <f>IFERROR(SUMIFS(Tabela10[Exp Gain only 2*+],Tabela10[Drop],DropAnalityka[[#This Row],[Drop]],Tabela10[Grade],DropAnalityka[[#This Row],[Grade]])*DropAnalityka[[#This Row],[Quality/Quantity]],0)</f>
        <v>0</v>
      </c>
    </row>
    <row r="1239" spans="1:12">
      <c r="A1239" t="s">
        <v>178</v>
      </c>
      <c r="B1239" t="s">
        <v>9</v>
      </c>
      <c r="C1239">
        <v>7</v>
      </c>
      <c r="D1239">
        <v>3997</v>
      </c>
      <c r="E1239">
        <v>1</v>
      </c>
      <c r="F1239" t="s">
        <v>258</v>
      </c>
      <c r="G1239">
        <v>1</v>
      </c>
      <c r="H1239" t="s">
        <v>27</v>
      </c>
      <c r="I1239">
        <v>3445</v>
      </c>
      <c r="J1239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1239" s="43">
        <f>IFERROR(SUMIFS(Tabela10[Fod Worth],Tabela10[Drop],DropAnalityka[[#This Row],[Drop]],Tabela10[Grade],DropAnalityka[[#This Row],[Grade]])*DropAnalityka[[#This Row],[Quality/Quantity]],0)</f>
        <v>0</v>
      </c>
      <c r="L1239" s="43">
        <f>IFERROR(SUMIFS(Tabela10[Exp Gain only 2*+],Tabela10[Drop],DropAnalityka[[#This Row],[Drop]],Tabela10[Grade],DropAnalityka[[#This Row],[Grade]])*DropAnalityka[[#This Row],[Quality/Quantity]],0)</f>
        <v>0</v>
      </c>
    </row>
    <row r="1240" spans="1:12">
      <c r="A1240" t="s">
        <v>178</v>
      </c>
      <c r="B1240" t="s">
        <v>9</v>
      </c>
      <c r="C1240">
        <v>7</v>
      </c>
      <c r="D1240">
        <v>3898</v>
      </c>
      <c r="E1240">
        <v>0</v>
      </c>
      <c r="F1240" t="s">
        <v>258</v>
      </c>
      <c r="G1240">
        <v>1</v>
      </c>
      <c r="H1240" t="s">
        <v>27</v>
      </c>
      <c r="I1240">
        <v>3491</v>
      </c>
      <c r="J1240">
        <f>DropAnalityka[[#This Row],[Sell Drop]]+IFERROR(SUMIFS(Tabela10[Drop Worth],Tabela10[Drop],DropAnalityka[[#This Row],[Drop]],Tabela10[Grade],DropAnalityka[[#This Row],[Grade]])*DropAnalityka[[#This Row],[Quality/Quantity]],0)</f>
        <v>3491</v>
      </c>
      <c r="K1240" s="43">
        <f>IFERROR(SUMIFS(Tabela10[Fod Worth],Tabela10[Drop],DropAnalityka[[#This Row],[Drop]],Tabela10[Grade],DropAnalityka[[#This Row],[Grade]])*DropAnalityka[[#This Row],[Quality/Quantity]],0)</f>
        <v>0</v>
      </c>
      <c r="L1240" s="43">
        <f>IFERROR(SUMIFS(Tabela10[Exp Gain only 2*+],Tabela10[Drop],DropAnalityka[[#This Row],[Drop]],Tabela10[Grade],DropAnalityka[[#This Row],[Grade]])*DropAnalityka[[#This Row],[Quality/Quantity]],0)</f>
        <v>0</v>
      </c>
    </row>
    <row r="1241" spans="1:12">
      <c r="A1241" t="s">
        <v>178</v>
      </c>
      <c r="B1241" t="s">
        <v>9</v>
      </c>
      <c r="C1241">
        <v>8</v>
      </c>
      <c r="D1241">
        <v>3967</v>
      </c>
      <c r="E1241">
        <v>1</v>
      </c>
      <c r="F1241" t="s">
        <v>34</v>
      </c>
      <c r="G1241">
        <v>4</v>
      </c>
      <c r="H1241" t="s">
        <v>17</v>
      </c>
      <c r="I1241">
        <v>0</v>
      </c>
      <c r="J124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41" s="43">
        <f>IFERROR(SUMIFS(Tabela10[Fod Worth],Tabela10[Drop],DropAnalityka[[#This Row],[Drop]],Tabela10[Grade],DropAnalityka[[#This Row],[Grade]])*DropAnalityka[[#This Row],[Quality/Quantity]],0)</f>
        <v>0</v>
      </c>
      <c r="L1241" s="43">
        <f>IFERROR(SUMIFS(Tabela10[Exp Gain only 2*+],Tabela10[Drop],DropAnalityka[[#This Row],[Drop]],Tabela10[Grade],DropAnalityka[[#This Row],[Grade]])*DropAnalityka[[#This Row],[Quality/Quantity]],0)</f>
        <v>3200</v>
      </c>
    </row>
    <row r="1242" spans="1:12">
      <c r="A1242" t="s">
        <v>178</v>
      </c>
      <c r="B1242" t="s">
        <v>9</v>
      </c>
      <c r="C1242">
        <v>8</v>
      </c>
      <c r="D1242">
        <v>3757</v>
      </c>
      <c r="E1242">
        <v>0</v>
      </c>
      <c r="F1242" t="s">
        <v>258</v>
      </c>
      <c r="G1242">
        <v>1</v>
      </c>
      <c r="H1242" t="s">
        <v>27</v>
      </c>
      <c r="I1242">
        <v>2940</v>
      </c>
      <c r="J1242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242" s="43">
        <f>IFERROR(SUMIFS(Tabela10[Fod Worth],Tabela10[Drop],DropAnalityka[[#This Row],[Drop]],Tabela10[Grade],DropAnalityka[[#This Row],[Grade]])*DropAnalityka[[#This Row],[Quality/Quantity]],0)</f>
        <v>0</v>
      </c>
      <c r="L1242" s="43">
        <f>IFERROR(SUMIFS(Tabela10[Exp Gain only 2*+],Tabela10[Drop],DropAnalityka[[#This Row],[Drop]],Tabela10[Grade],DropAnalityka[[#This Row],[Grade]])*DropAnalityka[[#This Row],[Quality/Quantity]],0)</f>
        <v>0</v>
      </c>
    </row>
    <row r="1243" spans="1:12">
      <c r="A1243" t="s">
        <v>178</v>
      </c>
      <c r="B1243" t="s">
        <v>9</v>
      </c>
      <c r="C1243">
        <v>8</v>
      </c>
      <c r="D1243">
        <v>3610</v>
      </c>
      <c r="E1243">
        <v>2</v>
      </c>
      <c r="F1243" t="s">
        <v>34</v>
      </c>
      <c r="G1243">
        <v>5</v>
      </c>
      <c r="H1243" t="s">
        <v>17</v>
      </c>
      <c r="J1243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43" s="43">
        <f>IFERROR(SUMIFS(Tabela10[Fod Worth],Tabela10[Drop],DropAnalityka[[#This Row],[Drop]],Tabela10[Grade],DropAnalityka[[#This Row],[Grade]])*DropAnalityka[[#This Row],[Quality/Quantity]],0)</f>
        <v>0</v>
      </c>
      <c r="L1243" s="43">
        <f>IFERROR(SUMIFS(Tabela10[Exp Gain only 2*+],Tabela10[Drop],DropAnalityka[[#This Row],[Drop]],Tabela10[Grade],DropAnalityka[[#This Row],[Grade]])*DropAnalityka[[#This Row],[Quality/Quantity]],0)</f>
        <v>4000</v>
      </c>
    </row>
    <row r="1244" spans="1:12">
      <c r="A1244" t="s">
        <v>178</v>
      </c>
      <c r="B1244" t="s">
        <v>9</v>
      </c>
      <c r="C1244">
        <v>8</v>
      </c>
      <c r="D1244">
        <v>4254</v>
      </c>
      <c r="E1244">
        <v>0</v>
      </c>
      <c r="F1244" t="s">
        <v>58</v>
      </c>
      <c r="G1244">
        <v>1</v>
      </c>
      <c r="H1244" t="s">
        <v>12</v>
      </c>
      <c r="I1244">
        <v>0</v>
      </c>
      <c r="J12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44" s="43">
        <f>IFERROR(SUMIFS(Tabela10[Fod Worth],Tabela10[Drop],DropAnalityka[[#This Row],[Drop]],Tabela10[Grade],DropAnalityka[[#This Row],[Grade]])*DropAnalityka[[#This Row],[Quality/Quantity]],0)</f>
        <v>11500</v>
      </c>
      <c r="L1244" s="43">
        <f>IFERROR(SUMIFS(Tabela10[Exp Gain only 2*+],Tabela10[Drop],DropAnalityka[[#This Row],[Drop]],Tabela10[Grade],DropAnalityka[[#This Row],[Grade]])*DropAnalityka[[#This Row],[Quality/Quantity]],0)</f>
        <v>35822</v>
      </c>
    </row>
    <row r="1245" spans="1:12">
      <c r="A1245" t="s">
        <v>178</v>
      </c>
      <c r="B1245" t="s">
        <v>9</v>
      </c>
      <c r="C1245">
        <v>8</v>
      </c>
      <c r="D1245">
        <v>3927</v>
      </c>
      <c r="E1245">
        <v>1</v>
      </c>
      <c r="F1245" t="s">
        <v>318</v>
      </c>
      <c r="G1245">
        <v>1</v>
      </c>
      <c r="H1245" t="s">
        <v>28</v>
      </c>
      <c r="I1245">
        <v>16150</v>
      </c>
      <c r="J1245">
        <f>DropAnalityka[[#This Row],[Sell Drop]]+IFERROR(SUMIFS(Tabela10[Drop Worth],Tabela10[Drop],DropAnalityka[[#This Row],[Drop]],Tabela10[Grade],DropAnalityka[[#This Row],[Grade]])*DropAnalityka[[#This Row],[Quality/Quantity]],0)</f>
        <v>16150</v>
      </c>
      <c r="K1245" s="43">
        <f>IFERROR(SUMIFS(Tabela10[Fod Worth],Tabela10[Drop],DropAnalityka[[#This Row],[Drop]],Tabela10[Grade],DropAnalityka[[#This Row],[Grade]])*DropAnalityka[[#This Row],[Quality/Quantity]],0)</f>
        <v>0</v>
      </c>
      <c r="L1245" s="43">
        <f>IFERROR(SUMIFS(Tabela10[Exp Gain only 2*+],Tabela10[Drop],DropAnalityka[[#This Row],[Drop]],Tabela10[Grade],DropAnalityka[[#This Row],[Grade]])*DropAnalityka[[#This Row],[Quality/Quantity]],0)</f>
        <v>0</v>
      </c>
    </row>
    <row r="1246" spans="1:12">
      <c r="A1246" t="s">
        <v>178</v>
      </c>
      <c r="B1246" t="s">
        <v>9</v>
      </c>
      <c r="C1246">
        <v>8</v>
      </c>
      <c r="D1246">
        <v>3878</v>
      </c>
      <c r="E1246">
        <v>0</v>
      </c>
      <c r="F1246" t="s">
        <v>258</v>
      </c>
      <c r="G1246">
        <v>1</v>
      </c>
      <c r="H1246" t="s">
        <v>28</v>
      </c>
      <c r="I1246">
        <v>7225</v>
      </c>
      <c r="J1246">
        <f>DropAnalityka[[#This Row],[Sell Drop]]+IFERROR(SUMIFS(Tabela10[Drop Worth],Tabela10[Drop],DropAnalityka[[#This Row],[Drop]],Tabela10[Grade],DropAnalityka[[#This Row],[Grade]])*DropAnalityka[[#This Row],[Quality/Quantity]],0)</f>
        <v>7225</v>
      </c>
      <c r="K1246" s="43">
        <f>IFERROR(SUMIFS(Tabela10[Fod Worth],Tabela10[Drop],DropAnalityka[[#This Row],[Drop]],Tabela10[Grade],DropAnalityka[[#This Row],[Grade]])*DropAnalityka[[#This Row],[Quality/Quantity]],0)</f>
        <v>0</v>
      </c>
      <c r="L1246" s="43">
        <f>IFERROR(SUMIFS(Tabela10[Exp Gain only 2*+],Tabela10[Drop],DropAnalityka[[#This Row],[Drop]],Tabela10[Grade],DropAnalityka[[#This Row],[Grade]])*DropAnalityka[[#This Row],[Quality/Quantity]],0)</f>
        <v>0</v>
      </c>
    </row>
    <row r="1247" spans="1:12">
      <c r="A1247" t="s">
        <v>178</v>
      </c>
      <c r="B1247" t="s">
        <v>9</v>
      </c>
      <c r="C1247">
        <v>8</v>
      </c>
      <c r="D1247">
        <v>3941</v>
      </c>
      <c r="E1247">
        <v>0</v>
      </c>
      <c r="F1247" t="s">
        <v>34</v>
      </c>
      <c r="G1247">
        <v>5</v>
      </c>
      <c r="H1247" t="s">
        <v>17</v>
      </c>
      <c r="I1247">
        <v>0</v>
      </c>
      <c r="J1247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47" s="43">
        <f>IFERROR(SUMIFS(Tabela10[Fod Worth],Tabela10[Drop],DropAnalityka[[#This Row],[Drop]],Tabela10[Grade],DropAnalityka[[#This Row],[Grade]])*DropAnalityka[[#This Row],[Quality/Quantity]],0)</f>
        <v>0</v>
      </c>
      <c r="L1247" s="43">
        <f>IFERROR(SUMIFS(Tabela10[Exp Gain only 2*+],Tabela10[Drop],DropAnalityka[[#This Row],[Drop]],Tabela10[Grade],DropAnalityka[[#This Row],[Grade]])*DropAnalityka[[#This Row],[Quality/Quantity]],0)</f>
        <v>4000</v>
      </c>
    </row>
    <row r="1248" spans="1:12">
      <c r="A1248" t="s">
        <v>178</v>
      </c>
      <c r="B1248" t="s">
        <v>9</v>
      </c>
      <c r="C1248">
        <v>8</v>
      </c>
      <c r="D1248">
        <v>4409</v>
      </c>
      <c r="E1248">
        <v>0</v>
      </c>
      <c r="F1248" t="s">
        <v>258</v>
      </c>
      <c r="G1248">
        <v>1</v>
      </c>
      <c r="H1248" t="s">
        <v>27</v>
      </c>
      <c r="I1248">
        <v>4364</v>
      </c>
      <c r="J1248">
        <f>DropAnalityka[[#This Row],[Sell Drop]]+IFERROR(SUMIFS(Tabela10[Drop Worth],Tabela10[Drop],DropAnalityka[[#This Row],[Drop]],Tabela10[Grade],DropAnalityka[[#This Row],[Grade]])*DropAnalityka[[#This Row],[Quality/Quantity]],0)</f>
        <v>4364</v>
      </c>
      <c r="K1248" s="43">
        <f>IFERROR(SUMIFS(Tabela10[Fod Worth],Tabela10[Drop],DropAnalityka[[#This Row],[Drop]],Tabela10[Grade],DropAnalityka[[#This Row],[Grade]])*DropAnalityka[[#This Row],[Quality/Quantity]],0)</f>
        <v>0</v>
      </c>
      <c r="L1248" s="43">
        <f>IFERROR(SUMIFS(Tabela10[Exp Gain only 2*+],Tabela10[Drop],DropAnalityka[[#This Row],[Drop]],Tabela10[Grade],DropAnalityka[[#This Row],[Grade]])*DropAnalityka[[#This Row],[Quality/Quantity]],0)</f>
        <v>0</v>
      </c>
    </row>
    <row r="1249" spans="1:12">
      <c r="A1249" t="s">
        <v>178</v>
      </c>
      <c r="B1249" t="s">
        <v>9</v>
      </c>
      <c r="C1249">
        <v>8</v>
      </c>
      <c r="D1249">
        <v>4062</v>
      </c>
      <c r="E1249">
        <v>4</v>
      </c>
      <c r="F1249" t="s">
        <v>34</v>
      </c>
      <c r="G1249">
        <v>5</v>
      </c>
      <c r="H1249" t="s">
        <v>17</v>
      </c>
      <c r="I1249">
        <v>0</v>
      </c>
      <c r="J1249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49" s="43">
        <f>IFERROR(SUMIFS(Tabela10[Fod Worth],Tabela10[Drop],DropAnalityka[[#This Row],[Drop]],Tabela10[Grade],DropAnalityka[[#This Row],[Grade]])*DropAnalityka[[#This Row],[Quality/Quantity]],0)</f>
        <v>0</v>
      </c>
      <c r="L1249" s="43">
        <f>IFERROR(SUMIFS(Tabela10[Exp Gain only 2*+],Tabela10[Drop],DropAnalityka[[#This Row],[Drop]],Tabela10[Grade],DropAnalityka[[#This Row],[Grade]])*DropAnalityka[[#This Row],[Quality/Quantity]],0)</f>
        <v>4000</v>
      </c>
    </row>
    <row r="1250" spans="1:12">
      <c r="A1250" t="s">
        <v>178</v>
      </c>
      <c r="B1250" t="s">
        <v>9</v>
      </c>
      <c r="C1250">
        <v>8</v>
      </c>
      <c r="D1250">
        <v>3764</v>
      </c>
      <c r="E1250">
        <v>0</v>
      </c>
      <c r="F1250" t="s">
        <v>258</v>
      </c>
      <c r="G1250">
        <v>1</v>
      </c>
      <c r="H1250" t="s">
        <v>28</v>
      </c>
      <c r="I1250">
        <v>12920</v>
      </c>
      <c r="J1250">
        <f>DropAnalityka[[#This Row],[Sell Drop]]+IFERROR(SUMIFS(Tabela10[Drop Worth],Tabela10[Drop],DropAnalityka[[#This Row],[Drop]],Tabela10[Grade],DropAnalityka[[#This Row],[Grade]])*DropAnalityka[[#This Row],[Quality/Quantity]],0)</f>
        <v>12920</v>
      </c>
      <c r="K1250" s="43">
        <f>IFERROR(SUMIFS(Tabela10[Fod Worth],Tabela10[Drop],DropAnalityka[[#This Row],[Drop]],Tabela10[Grade],DropAnalityka[[#This Row],[Grade]])*DropAnalityka[[#This Row],[Quality/Quantity]],0)</f>
        <v>0</v>
      </c>
      <c r="L1250" s="43">
        <f>IFERROR(SUMIFS(Tabela10[Exp Gain only 2*+],Tabela10[Drop],DropAnalityka[[#This Row],[Drop]],Tabela10[Grade],DropAnalityka[[#This Row],[Grade]])*DropAnalityka[[#This Row],[Quality/Quantity]],0)</f>
        <v>0</v>
      </c>
    </row>
    <row r="1251" spans="1:12">
      <c r="A1251" t="s">
        <v>178</v>
      </c>
      <c r="B1251" t="s">
        <v>9</v>
      </c>
      <c r="C1251">
        <v>8</v>
      </c>
      <c r="D1251">
        <v>3972</v>
      </c>
      <c r="E1251">
        <v>3</v>
      </c>
      <c r="F1251" t="s">
        <v>258</v>
      </c>
      <c r="G1251">
        <v>1</v>
      </c>
      <c r="H1251" t="s">
        <v>28</v>
      </c>
      <c r="I1251">
        <v>12920</v>
      </c>
      <c r="J1251">
        <f>DropAnalityka[[#This Row],[Sell Drop]]+IFERROR(SUMIFS(Tabela10[Drop Worth],Tabela10[Drop],DropAnalityka[[#This Row],[Drop]],Tabela10[Grade],DropAnalityka[[#This Row],[Grade]])*DropAnalityka[[#This Row],[Quality/Quantity]],0)</f>
        <v>12920</v>
      </c>
      <c r="K1251" s="43">
        <f>IFERROR(SUMIFS(Tabela10[Fod Worth],Tabela10[Drop],DropAnalityka[[#This Row],[Drop]],Tabela10[Grade],DropAnalityka[[#This Row],[Grade]])*DropAnalityka[[#This Row],[Quality/Quantity]],0)</f>
        <v>0</v>
      </c>
      <c r="L1251" s="43">
        <f>IFERROR(SUMIFS(Tabela10[Exp Gain only 2*+],Tabela10[Drop],DropAnalityka[[#This Row],[Drop]],Tabela10[Grade],DropAnalityka[[#This Row],[Grade]])*DropAnalityka[[#This Row],[Quality/Quantity]],0)</f>
        <v>0</v>
      </c>
    </row>
    <row r="1252" spans="1:12">
      <c r="A1252" t="s">
        <v>178</v>
      </c>
      <c r="B1252" t="s">
        <v>9</v>
      </c>
      <c r="C1252">
        <v>8</v>
      </c>
      <c r="D1252">
        <v>3793</v>
      </c>
      <c r="E1252">
        <v>1</v>
      </c>
      <c r="F1252" t="s">
        <v>258</v>
      </c>
      <c r="G1252">
        <v>1</v>
      </c>
      <c r="H1252" t="s">
        <v>27</v>
      </c>
      <c r="I1252">
        <v>6615</v>
      </c>
      <c r="J1252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252" s="43">
        <f>IFERROR(SUMIFS(Tabela10[Fod Worth],Tabela10[Drop],DropAnalityka[[#This Row],[Drop]],Tabela10[Grade],DropAnalityka[[#This Row],[Grade]])*DropAnalityka[[#This Row],[Quality/Quantity]],0)</f>
        <v>0</v>
      </c>
      <c r="L1252" s="43">
        <f>IFERROR(SUMIFS(Tabela10[Exp Gain only 2*+],Tabela10[Drop],DropAnalityka[[#This Row],[Drop]],Tabela10[Grade],DropAnalityka[[#This Row],[Grade]])*DropAnalityka[[#This Row],[Quality/Quantity]],0)</f>
        <v>0</v>
      </c>
    </row>
    <row r="1253" spans="1:12">
      <c r="A1253" t="s">
        <v>178</v>
      </c>
      <c r="B1253" t="s">
        <v>9</v>
      </c>
      <c r="C1253">
        <v>8</v>
      </c>
      <c r="D1253">
        <v>3869</v>
      </c>
      <c r="E1253">
        <v>0</v>
      </c>
      <c r="F1253" t="s">
        <v>34</v>
      </c>
      <c r="G1253">
        <v>4</v>
      </c>
      <c r="H1253" t="s">
        <v>17</v>
      </c>
      <c r="I1253">
        <v>0</v>
      </c>
      <c r="J125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53" s="43">
        <f>IFERROR(SUMIFS(Tabela10[Fod Worth],Tabela10[Drop],DropAnalityka[[#This Row],[Drop]],Tabela10[Grade],DropAnalityka[[#This Row],[Grade]])*DropAnalityka[[#This Row],[Quality/Quantity]],0)</f>
        <v>0</v>
      </c>
      <c r="L1253" s="43">
        <f>IFERROR(SUMIFS(Tabela10[Exp Gain only 2*+],Tabela10[Drop],DropAnalityka[[#This Row],[Drop]],Tabela10[Grade],DropAnalityka[[#This Row],[Grade]])*DropAnalityka[[#This Row],[Quality/Quantity]],0)</f>
        <v>3200</v>
      </c>
    </row>
    <row r="1254" spans="1:12">
      <c r="A1254" t="s">
        <v>178</v>
      </c>
      <c r="B1254" t="s">
        <v>9</v>
      </c>
      <c r="C1254">
        <v>8</v>
      </c>
      <c r="D1254">
        <v>3629</v>
      </c>
      <c r="E1254">
        <v>0</v>
      </c>
      <c r="F1254" t="s">
        <v>291</v>
      </c>
      <c r="G1254">
        <v>1</v>
      </c>
      <c r="H1254" t="s">
        <v>27</v>
      </c>
      <c r="I1254">
        <v>4134</v>
      </c>
      <c r="J1254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254" s="43">
        <f>IFERROR(SUMIFS(Tabela10[Fod Worth],Tabela10[Drop],DropAnalityka[[#This Row],[Drop]],Tabela10[Grade],DropAnalityka[[#This Row],[Grade]])*DropAnalityka[[#This Row],[Quality/Quantity]],0)</f>
        <v>0</v>
      </c>
      <c r="L1254" s="43">
        <f>IFERROR(SUMIFS(Tabela10[Exp Gain only 2*+],Tabela10[Drop],DropAnalityka[[#This Row],[Drop]],Tabela10[Grade],DropAnalityka[[#This Row],[Grade]])*DropAnalityka[[#This Row],[Quality/Quantity]],0)</f>
        <v>0</v>
      </c>
    </row>
    <row r="1255" spans="1:12">
      <c r="A1255" t="s">
        <v>172</v>
      </c>
      <c r="B1255" t="s">
        <v>9</v>
      </c>
      <c r="C1255">
        <v>10</v>
      </c>
      <c r="D1255">
        <v>4330</v>
      </c>
      <c r="E1255">
        <v>2</v>
      </c>
      <c r="F1255" t="s">
        <v>258</v>
      </c>
      <c r="G1255">
        <v>1</v>
      </c>
      <c r="H1255" t="s">
        <v>28</v>
      </c>
      <c r="I1255">
        <v>8500</v>
      </c>
      <c r="J1255">
        <f>DropAnalityka[[#This Row],[Sell Drop]]+IFERROR(SUMIFS(Tabela10[Drop Worth],Tabela10[Drop],DropAnalityka[[#This Row],[Drop]],Tabela10[Grade],DropAnalityka[[#This Row],[Grade]])*DropAnalityka[[#This Row],[Quality/Quantity]],0)</f>
        <v>8500</v>
      </c>
      <c r="K1255" s="43">
        <f>IFERROR(SUMIFS(Tabela10[Fod Worth],Tabela10[Drop],DropAnalityka[[#This Row],[Drop]],Tabela10[Grade],DropAnalityka[[#This Row],[Grade]])*DropAnalityka[[#This Row],[Quality/Quantity]],0)</f>
        <v>0</v>
      </c>
      <c r="L1255" s="43">
        <f>IFERROR(SUMIFS(Tabela10[Exp Gain only 2*+],Tabela10[Drop],DropAnalityka[[#This Row],[Drop]],Tabela10[Grade],DropAnalityka[[#This Row],[Grade]])*DropAnalityka[[#This Row],[Quality/Quantity]],0)</f>
        <v>0</v>
      </c>
    </row>
    <row r="1256" spans="1:12">
      <c r="A1256" t="s">
        <v>172</v>
      </c>
      <c r="B1256" t="s">
        <v>9</v>
      </c>
      <c r="C1256">
        <v>10</v>
      </c>
      <c r="D1256">
        <v>3405</v>
      </c>
      <c r="E1256">
        <v>2</v>
      </c>
      <c r="F1256" t="s">
        <v>258</v>
      </c>
      <c r="G1256">
        <v>1</v>
      </c>
      <c r="H1256" t="s">
        <v>27</v>
      </c>
      <c r="I1256">
        <v>4134</v>
      </c>
      <c r="J1256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256" s="43">
        <f>IFERROR(SUMIFS(Tabela10[Fod Worth],Tabela10[Drop],DropAnalityka[[#This Row],[Drop]],Tabela10[Grade],DropAnalityka[[#This Row],[Grade]])*DropAnalityka[[#This Row],[Quality/Quantity]],0)</f>
        <v>0</v>
      </c>
      <c r="L1256" s="43">
        <f>IFERROR(SUMIFS(Tabela10[Exp Gain only 2*+],Tabela10[Drop],DropAnalityka[[#This Row],[Drop]],Tabela10[Grade],DropAnalityka[[#This Row],[Grade]])*DropAnalityka[[#This Row],[Quality/Quantity]],0)</f>
        <v>0</v>
      </c>
    </row>
    <row r="1257" spans="1:12">
      <c r="A1257" t="s">
        <v>172</v>
      </c>
      <c r="B1257" t="s">
        <v>9</v>
      </c>
      <c r="C1257">
        <v>10</v>
      </c>
      <c r="D1257">
        <v>4212</v>
      </c>
      <c r="E1257">
        <v>0</v>
      </c>
      <c r="F1257" t="s">
        <v>318</v>
      </c>
      <c r="G1257">
        <v>1</v>
      </c>
      <c r="H1257" t="s">
        <v>27</v>
      </c>
      <c r="I1257">
        <v>12154</v>
      </c>
      <c r="J1257">
        <f>DropAnalityka[[#This Row],[Sell Drop]]+IFERROR(SUMIFS(Tabela10[Drop Worth],Tabela10[Drop],DropAnalityka[[#This Row],[Drop]],Tabela10[Grade],DropAnalityka[[#This Row],[Grade]])*DropAnalityka[[#This Row],[Quality/Quantity]],0)</f>
        <v>12154</v>
      </c>
      <c r="K1257" s="43">
        <f>IFERROR(SUMIFS(Tabela10[Fod Worth],Tabela10[Drop],DropAnalityka[[#This Row],[Drop]],Tabela10[Grade],DropAnalityka[[#This Row],[Grade]])*DropAnalityka[[#This Row],[Quality/Quantity]],0)</f>
        <v>0</v>
      </c>
      <c r="L1257" s="43">
        <f>IFERROR(SUMIFS(Tabela10[Exp Gain only 2*+],Tabela10[Drop],DropAnalityka[[#This Row],[Drop]],Tabela10[Grade],DropAnalityka[[#This Row],[Grade]])*DropAnalityka[[#This Row],[Quality/Quantity]],0)</f>
        <v>0</v>
      </c>
    </row>
    <row r="1258" spans="1:12">
      <c r="A1258" t="s">
        <v>172</v>
      </c>
      <c r="B1258" t="s">
        <v>9</v>
      </c>
      <c r="C1258">
        <v>10</v>
      </c>
      <c r="D1258">
        <v>3954</v>
      </c>
      <c r="E1258">
        <v>1</v>
      </c>
      <c r="F1258" t="s">
        <v>258</v>
      </c>
      <c r="G1258">
        <v>1</v>
      </c>
      <c r="H1258" t="s">
        <v>28</v>
      </c>
      <c r="I1258">
        <v>8524</v>
      </c>
      <c r="J1258">
        <f>DropAnalityka[[#This Row],[Sell Drop]]+IFERROR(SUMIFS(Tabela10[Drop Worth],Tabela10[Drop],DropAnalityka[[#This Row],[Drop]],Tabela10[Grade],DropAnalityka[[#This Row],[Grade]])*DropAnalityka[[#This Row],[Quality/Quantity]],0)</f>
        <v>8524</v>
      </c>
      <c r="K1258" s="43">
        <f>IFERROR(SUMIFS(Tabela10[Fod Worth],Tabela10[Drop],DropAnalityka[[#This Row],[Drop]],Tabela10[Grade],DropAnalityka[[#This Row],[Grade]])*DropAnalityka[[#This Row],[Quality/Quantity]],0)</f>
        <v>0</v>
      </c>
      <c r="L1258" s="43">
        <f>IFERROR(SUMIFS(Tabela10[Exp Gain only 2*+],Tabela10[Drop],DropAnalityka[[#This Row],[Drop]],Tabela10[Grade],DropAnalityka[[#This Row],[Grade]])*DropAnalityka[[#This Row],[Quality/Quantity]],0)</f>
        <v>0</v>
      </c>
    </row>
    <row r="1259" spans="1:12">
      <c r="A1259" t="s">
        <v>172</v>
      </c>
      <c r="B1259" t="s">
        <v>9</v>
      </c>
      <c r="C1259">
        <v>10</v>
      </c>
      <c r="D1259">
        <v>4287</v>
      </c>
      <c r="E1259">
        <v>0</v>
      </c>
      <c r="F1259" t="s">
        <v>291</v>
      </c>
      <c r="G1259">
        <v>1</v>
      </c>
      <c r="H1259" t="s">
        <v>27</v>
      </c>
      <c r="I1259">
        <v>5512</v>
      </c>
      <c r="J1259">
        <f>DropAnalityka[[#This Row],[Sell Drop]]+IFERROR(SUMIFS(Tabela10[Drop Worth],Tabela10[Drop],DropAnalityka[[#This Row],[Drop]],Tabela10[Grade],DropAnalityka[[#This Row],[Grade]])*DropAnalityka[[#This Row],[Quality/Quantity]],0)</f>
        <v>5512</v>
      </c>
      <c r="K1259" s="43">
        <f>IFERROR(SUMIFS(Tabela10[Fod Worth],Tabela10[Drop],DropAnalityka[[#This Row],[Drop]],Tabela10[Grade],DropAnalityka[[#This Row],[Grade]])*DropAnalityka[[#This Row],[Quality/Quantity]],0)</f>
        <v>0</v>
      </c>
      <c r="L1259" s="43">
        <f>IFERROR(SUMIFS(Tabela10[Exp Gain only 2*+],Tabela10[Drop],DropAnalityka[[#This Row],[Drop]],Tabela10[Grade],DropAnalityka[[#This Row],[Grade]])*DropAnalityka[[#This Row],[Quality/Quantity]],0)</f>
        <v>0</v>
      </c>
    </row>
    <row r="1260" spans="1:12">
      <c r="A1260" t="s">
        <v>172</v>
      </c>
      <c r="B1260" t="s">
        <v>9</v>
      </c>
      <c r="C1260">
        <v>10</v>
      </c>
      <c r="D1260">
        <v>4017</v>
      </c>
      <c r="E1260">
        <v>0</v>
      </c>
      <c r="F1260" t="s">
        <v>291</v>
      </c>
      <c r="G1260">
        <v>1</v>
      </c>
      <c r="H1260" t="s">
        <v>28</v>
      </c>
      <c r="I1260">
        <v>8160</v>
      </c>
      <c r="J1260">
        <f>DropAnalityka[[#This Row],[Sell Drop]]+IFERROR(SUMIFS(Tabela10[Drop Worth],Tabela10[Drop],DropAnalityka[[#This Row],[Drop]],Tabela10[Grade],DropAnalityka[[#This Row],[Grade]])*DropAnalityka[[#This Row],[Quality/Quantity]],0)</f>
        <v>8160</v>
      </c>
      <c r="K1260" s="43">
        <f>IFERROR(SUMIFS(Tabela10[Fod Worth],Tabela10[Drop],DropAnalityka[[#This Row],[Drop]],Tabela10[Grade],DropAnalityka[[#This Row],[Grade]])*DropAnalityka[[#This Row],[Quality/Quantity]],0)</f>
        <v>0</v>
      </c>
      <c r="L1260" s="43">
        <f>IFERROR(SUMIFS(Tabela10[Exp Gain only 2*+],Tabela10[Drop],DropAnalityka[[#This Row],[Drop]],Tabela10[Grade],DropAnalityka[[#This Row],[Grade]])*DropAnalityka[[#This Row],[Quality/Quantity]],0)</f>
        <v>0</v>
      </c>
    </row>
    <row r="1261" spans="1:12">
      <c r="A1261" t="s">
        <v>178</v>
      </c>
      <c r="B1261" t="s">
        <v>9</v>
      </c>
      <c r="C1261">
        <v>8</v>
      </c>
      <c r="D1261">
        <v>3963</v>
      </c>
      <c r="E1261">
        <v>4</v>
      </c>
      <c r="F1261" t="s">
        <v>258</v>
      </c>
      <c r="G1261">
        <v>1</v>
      </c>
      <c r="H1261" t="s">
        <v>28</v>
      </c>
      <c r="I1261">
        <v>6375</v>
      </c>
      <c r="J1261">
        <f>DropAnalityka[[#This Row],[Sell Drop]]+IFERROR(SUMIFS(Tabela10[Drop Worth],Tabela10[Drop],DropAnalityka[[#This Row],[Drop]],Tabela10[Grade],DropAnalityka[[#This Row],[Grade]])*DropAnalityka[[#This Row],[Quality/Quantity]],0)</f>
        <v>6375</v>
      </c>
      <c r="K1261" s="43">
        <f>IFERROR(SUMIFS(Tabela10[Fod Worth],Tabela10[Drop],DropAnalityka[[#This Row],[Drop]],Tabela10[Grade],DropAnalityka[[#This Row],[Grade]])*DropAnalityka[[#This Row],[Quality/Quantity]],0)</f>
        <v>0</v>
      </c>
      <c r="L1261" s="43">
        <f>IFERROR(SUMIFS(Tabela10[Exp Gain only 2*+],Tabela10[Drop],DropAnalityka[[#This Row],[Drop]],Tabela10[Grade],DropAnalityka[[#This Row],[Grade]])*DropAnalityka[[#This Row],[Quality/Quantity]],0)</f>
        <v>0</v>
      </c>
    </row>
    <row r="1262" spans="1:12">
      <c r="A1262" t="s">
        <v>178</v>
      </c>
      <c r="B1262" t="s">
        <v>9</v>
      </c>
      <c r="C1262">
        <v>8</v>
      </c>
      <c r="D1262">
        <v>3833</v>
      </c>
      <c r="E1262">
        <v>0</v>
      </c>
      <c r="F1262" t="s">
        <v>34</v>
      </c>
      <c r="G1262">
        <v>4</v>
      </c>
      <c r="H1262" t="s">
        <v>17</v>
      </c>
      <c r="I1262">
        <v>0</v>
      </c>
      <c r="J126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62" s="43">
        <f>IFERROR(SUMIFS(Tabela10[Fod Worth],Tabela10[Drop],DropAnalityka[[#This Row],[Drop]],Tabela10[Grade],DropAnalityka[[#This Row],[Grade]])*DropAnalityka[[#This Row],[Quality/Quantity]],0)</f>
        <v>0</v>
      </c>
      <c r="L1262" s="43">
        <f>IFERROR(SUMIFS(Tabela10[Exp Gain only 2*+],Tabela10[Drop],DropAnalityka[[#This Row],[Drop]],Tabela10[Grade],DropAnalityka[[#This Row],[Grade]])*DropAnalityka[[#This Row],[Quality/Quantity]],0)</f>
        <v>3200</v>
      </c>
    </row>
    <row r="1263" spans="1:12">
      <c r="A1263" t="s">
        <v>178</v>
      </c>
      <c r="B1263" t="s">
        <v>9</v>
      </c>
      <c r="C1263">
        <v>8</v>
      </c>
      <c r="D1263">
        <v>3798</v>
      </c>
      <c r="E1263">
        <v>0</v>
      </c>
      <c r="F1263" t="s">
        <v>258</v>
      </c>
      <c r="G1263">
        <v>1</v>
      </c>
      <c r="H1263" t="s">
        <v>27</v>
      </c>
      <c r="I1263">
        <v>4134</v>
      </c>
      <c r="J1263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263" s="43">
        <f>IFERROR(SUMIFS(Tabela10[Fod Worth],Tabela10[Drop],DropAnalityka[[#This Row],[Drop]],Tabela10[Grade],DropAnalityka[[#This Row],[Grade]])*DropAnalityka[[#This Row],[Quality/Quantity]],0)</f>
        <v>0</v>
      </c>
      <c r="L1263" s="43">
        <f>IFERROR(SUMIFS(Tabela10[Exp Gain only 2*+],Tabela10[Drop],DropAnalityka[[#This Row],[Drop]],Tabela10[Grade],DropAnalityka[[#This Row],[Grade]])*DropAnalityka[[#This Row],[Quality/Quantity]],0)</f>
        <v>0</v>
      </c>
    </row>
    <row r="1264" spans="1:12">
      <c r="A1264" t="s">
        <v>178</v>
      </c>
      <c r="B1264" t="s">
        <v>9</v>
      </c>
      <c r="C1264">
        <v>8</v>
      </c>
      <c r="D1264">
        <v>3703</v>
      </c>
      <c r="E1264">
        <v>0</v>
      </c>
      <c r="F1264" t="s">
        <v>258</v>
      </c>
      <c r="G1264">
        <v>1</v>
      </c>
      <c r="H1264" t="s">
        <v>27</v>
      </c>
      <c r="I1264">
        <v>3123</v>
      </c>
      <c r="J1264">
        <f>DropAnalityka[[#This Row],[Sell Drop]]+IFERROR(SUMIFS(Tabela10[Drop Worth],Tabela10[Drop],DropAnalityka[[#This Row],[Drop]],Tabela10[Grade],DropAnalityka[[#This Row],[Grade]])*DropAnalityka[[#This Row],[Quality/Quantity]],0)</f>
        <v>3123</v>
      </c>
      <c r="K1264" s="43">
        <f>IFERROR(SUMIFS(Tabela10[Fod Worth],Tabela10[Drop],DropAnalityka[[#This Row],[Drop]],Tabela10[Grade],DropAnalityka[[#This Row],[Grade]])*DropAnalityka[[#This Row],[Quality/Quantity]],0)</f>
        <v>0</v>
      </c>
      <c r="L1264" s="43">
        <f>IFERROR(SUMIFS(Tabela10[Exp Gain only 2*+],Tabela10[Drop],DropAnalityka[[#This Row],[Drop]],Tabela10[Grade],DropAnalityka[[#This Row],[Grade]])*DropAnalityka[[#This Row],[Quality/Quantity]],0)</f>
        <v>0</v>
      </c>
    </row>
    <row r="1265" spans="1:12">
      <c r="A1265" t="s">
        <v>172</v>
      </c>
      <c r="B1265" t="s">
        <v>9</v>
      </c>
      <c r="C1265">
        <v>10</v>
      </c>
      <c r="D1265">
        <v>4015</v>
      </c>
      <c r="E1265">
        <v>3</v>
      </c>
      <c r="F1265" t="s">
        <v>34</v>
      </c>
      <c r="G1265">
        <v>5</v>
      </c>
      <c r="H1265" t="s">
        <v>17</v>
      </c>
      <c r="I1265">
        <v>0</v>
      </c>
      <c r="J126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65" s="43">
        <f>IFERROR(SUMIFS(Tabela10[Fod Worth],Tabela10[Drop],DropAnalityka[[#This Row],[Drop]],Tabela10[Grade],DropAnalityka[[#This Row],[Grade]])*DropAnalityka[[#This Row],[Quality/Quantity]],0)</f>
        <v>0</v>
      </c>
      <c r="L1265" s="43">
        <f>IFERROR(SUMIFS(Tabela10[Exp Gain only 2*+],Tabela10[Drop],DropAnalityka[[#This Row],[Drop]],Tabela10[Grade],DropAnalityka[[#This Row],[Grade]])*DropAnalityka[[#This Row],[Quality/Quantity]],0)</f>
        <v>4000</v>
      </c>
    </row>
    <row r="1266" spans="1:12">
      <c r="A1266" t="s">
        <v>172</v>
      </c>
      <c r="B1266" t="s">
        <v>9</v>
      </c>
      <c r="C1266">
        <v>10</v>
      </c>
      <c r="D1266">
        <v>3736</v>
      </c>
      <c r="E1266">
        <v>0</v>
      </c>
      <c r="F1266" t="s">
        <v>258</v>
      </c>
      <c r="G1266">
        <v>1</v>
      </c>
      <c r="H1266" t="s">
        <v>28</v>
      </c>
      <c r="I1266">
        <v>5100</v>
      </c>
      <c r="J1266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266" s="43">
        <f>IFERROR(SUMIFS(Tabela10[Fod Worth],Tabela10[Drop],DropAnalityka[[#This Row],[Drop]],Tabela10[Grade],DropAnalityka[[#This Row],[Grade]])*DropAnalityka[[#This Row],[Quality/Quantity]],0)</f>
        <v>0</v>
      </c>
      <c r="L1266" s="43">
        <f>IFERROR(SUMIFS(Tabela10[Exp Gain only 2*+],Tabela10[Drop],DropAnalityka[[#This Row],[Drop]],Tabela10[Grade],DropAnalityka[[#This Row],[Grade]])*DropAnalityka[[#This Row],[Quality/Quantity]],0)</f>
        <v>0</v>
      </c>
    </row>
    <row r="1267" spans="1:12">
      <c r="A1267" t="s">
        <v>172</v>
      </c>
      <c r="B1267" t="s">
        <v>9</v>
      </c>
      <c r="C1267">
        <v>10</v>
      </c>
      <c r="D1267">
        <v>3629</v>
      </c>
      <c r="E1267">
        <v>0</v>
      </c>
      <c r="F1267" t="s">
        <v>291</v>
      </c>
      <c r="G1267">
        <v>1</v>
      </c>
      <c r="H1267" t="s">
        <v>28</v>
      </c>
      <c r="I1267">
        <v>8160</v>
      </c>
      <c r="J1267">
        <f>DropAnalityka[[#This Row],[Sell Drop]]+IFERROR(SUMIFS(Tabela10[Drop Worth],Tabela10[Drop],DropAnalityka[[#This Row],[Drop]],Tabela10[Grade],DropAnalityka[[#This Row],[Grade]])*DropAnalityka[[#This Row],[Quality/Quantity]],0)</f>
        <v>8160</v>
      </c>
      <c r="K1267" s="43">
        <f>IFERROR(SUMIFS(Tabela10[Fod Worth],Tabela10[Drop],DropAnalityka[[#This Row],[Drop]],Tabela10[Grade],DropAnalityka[[#This Row],[Grade]])*DropAnalityka[[#This Row],[Quality/Quantity]],0)</f>
        <v>0</v>
      </c>
      <c r="L1267" s="43">
        <f>IFERROR(SUMIFS(Tabela10[Exp Gain only 2*+],Tabela10[Drop],DropAnalityka[[#This Row],[Drop]],Tabela10[Grade],DropAnalityka[[#This Row],[Grade]])*DropAnalityka[[#This Row],[Quality/Quantity]],0)</f>
        <v>0</v>
      </c>
    </row>
    <row r="1268" spans="1:12">
      <c r="A1268" t="s">
        <v>172</v>
      </c>
      <c r="B1268" t="s">
        <v>9</v>
      </c>
      <c r="C1268">
        <v>10</v>
      </c>
      <c r="D1268">
        <v>4069</v>
      </c>
      <c r="E1268">
        <v>0</v>
      </c>
      <c r="F1268" t="s">
        <v>258</v>
      </c>
      <c r="G1268">
        <v>1</v>
      </c>
      <c r="H1268" t="s">
        <v>28</v>
      </c>
      <c r="I1268">
        <v>8500</v>
      </c>
      <c r="J1268">
        <f>DropAnalityka[[#This Row],[Sell Drop]]+IFERROR(SUMIFS(Tabela10[Drop Worth],Tabela10[Drop],DropAnalityka[[#This Row],[Drop]],Tabela10[Grade],DropAnalityka[[#This Row],[Grade]])*DropAnalityka[[#This Row],[Quality/Quantity]],0)</f>
        <v>8500</v>
      </c>
      <c r="K1268" s="43">
        <f>IFERROR(SUMIFS(Tabela10[Fod Worth],Tabela10[Drop],DropAnalityka[[#This Row],[Drop]],Tabela10[Grade],DropAnalityka[[#This Row],[Grade]])*DropAnalityka[[#This Row],[Quality/Quantity]],0)</f>
        <v>0</v>
      </c>
      <c r="L1268" s="43">
        <f>IFERROR(SUMIFS(Tabela10[Exp Gain only 2*+],Tabela10[Drop],DropAnalityka[[#This Row],[Drop]],Tabela10[Grade],DropAnalityka[[#This Row],[Grade]])*DropAnalityka[[#This Row],[Quality/Quantity]],0)</f>
        <v>0</v>
      </c>
    </row>
    <row r="1269" spans="1:12">
      <c r="A1269" t="s">
        <v>172</v>
      </c>
      <c r="B1269" t="s">
        <v>9</v>
      </c>
      <c r="C1269">
        <v>10</v>
      </c>
      <c r="D1269">
        <v>3900</v>
      </c>
      <c r="E1269">
        <v>1</v>
      </c>
      <c r="F1269" t="s">
        <v>258</v>
      </c>
      <c r="G1269">
        <v>1</v>
      </c>
      <c r="H1269" t="s">
        <v>27</v>
      </c>
      <c r="I1269">
        <v>2411</v>
      </c>
      <c r="J1269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1269" s="43">
        <f>IFERROR(SUMIFS(Tabela10[Fod Worth],Tabela10[Drop],DropAnalityka[[#This Row],[Drop]],Tabela10[Grade],DropAnalityka[[#This Row],[Grade]])*DropAnalityka[[#This Row],[Quality/Quantity]],0)</f>
        <v>0</v>
      </c>
      <c r="L1269" s="43">
        <f>IFERROR(SUMIFS(Tabela10[Exp Gain only 2*+],Tabela10[Drop],DropAnalityka[[#This Row],[Drop]],Tabela10[Grade],DropAnalityka[[#This Row],[Grade]])*DropAnalityka[[#This Row],[Quality/Quantity]],0)</f>
        <v>0</v>
      </c>
    </row>
    <row r="1270" spans="1:12">
      <c r="A1270" t="s">
        <v>172</v>
      </c>
      <c r="B1270" t="s">
        <v>9</v>
      </c>
      <c r="C1270">
        <v>10</v>
      </c>
      <c r="D1270">
        <v>3744</v>
      </c>
      <c r="E1270">
        <v>0</v>
      </c>
      <c r="F1270" t="s">
        <v>258</v>
      </c>
      <c r="G1270">
        <v>1</v>
      </c>
      <c r="H1270" t="s">
        <v>27</v>
      </c>
      <c r="I1270">
        <v>3215</v>
      </c>
      <c r="J1270">
        <f>DropAnalityka[[#This Row],[Sell Drop]]+IFERROR(SUMIFS(Tabela10[Drop Worth],Tabela10[Drop],DropAnalityka[[#This Row],[Drop]],Tabela10[Grade],DropAnalityka[[#This Row],[Grade]])*DropAnalityka[[#This Row],[Quality/Quantity]],0)</f>
        <v>3215</v>
      </c>
      <c r="K1270" s="43">
        <f>IFERROR(SUMIFS(Tabela10[Fod Worth],Tabela10[Drop],DropAnalityka[[#This Row],[Drop]],Tabela10[Grade],DropAnalityka[[#This Row],[Grade]])*DropAnalityka[[#This Row],[Quality/Quantity]],0)</f>
        <v>0</v>
      </c>
      <c r="L1270" s="43">
        <f>IFERROR(SUMIFS(Tabela10[Exp Gain only 2*+],Tabela10[Drop],DropAnalityka[[#This Row],[Drop]],Tabela10[Grade],DropAnalityka[[#This Row],[Grade]])*DropAnalityka[[#This Row],[Quality/Quantity]],0)</f>
        <v>0</v>
      </c>
    </row>
    <row r="1271" spans="1:12">
      <c r="A1271" t="s">
        <v>172</v>
      </c>
      <c r="B1271" t="s">
        <v>9</v>
      </c>
      <c r="C1271">
        <v>10</v>
      </c>
      <c r="D1271">
        <v>4648</v>
      </c>
      <c r="E1271">
        <v>1</v>
      </c>
      <c r="F1271" t="s">
        <v>58</v>
      </c>
      <c r="G1271">
        <v>1</v>
      </c>
      <c r="H1271" t="s">
        <v>12</v>
      </c>
      <c r="I1271">
        <v>0</v>
      </c>
      <c r="J12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71" s="43">
        <f>IFERROR(SUMIFS(Tabela10[Fod Worth],Tabela10[Drop],DropAnalityka[[#This Row],[Drop]],Tabela10[Grade],DropAnalityka[[#This Row],[Grade]])*DropAnalityka[[#This Row],[Quality/Quantity]],0)</f>
        <v>11500</v>
      </c>
      <c r="L1271" s="43">
        <f>IFERROR(SUMIFS(Tabela10[Exp Gain only 2*+],Tabela10[Drop],DropAnalityka[[#This Row],[Drop]],Tabela10[Grade],DropAnalityka[[#This Row],[Grade]])*DropAnalityka[[#This Row],[Quality/Quantity]],0)</f>
        <v>35822</v>
      </c>
    </row>
    <row r="1272" spans="1:12">
      <c r="A1272" t="s">
        <v>172</v>
      </c>
      <c r="B1272" t="s">
        <v>9</v>
      </c>
      <c r="C1272">
        <v>10</v>
      </c>
      <c r="D1272">
        <v>4164</v>
      </c>
      <c r="E1272">
        <v>0</v>
      </c>
      <c r="F1272" t="s">
        <v>34</v>
      </c>
      <c r="G1272">
        <v>5</v>
      </c>
      <c r="H1272" t="s">
        <v>17</v>
      </c>
      <c r="I1272">
        <v>0</v>
      </c>
      <c r="J127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72" s="43">
        <f>IFERROR(SUMIFS(Tabela10[Fod Worth],Tabela10[Drop],DropAnalityka[[#This Row],[Drop]],Tabela10[Grade],DropAnalityka[[#This Row],[Grade]])*DropAnalityka[[#This Row],[Quality/Quantity]],0)</f>
        <v>0</v>
      </c>
      <c r="L1272" s="43">
        <f>IFERROR(SUMIFS(Tabela10[Exp Gain only 2*+],Tabela10[Drop],DropAnalityka[[#This Row],[Drop]],Tabela10[Grade],DropAnalityka[[#This Row],[Grade]])*DropAnalityka[[#This Row],[Quality/Quantity]],0)</f>
        <v>4000</v>
      </c>
    </row>
    <row r="1273" spans="1:12">
      <c r="A1273" t="s">
        <v>172</v>
      </c>
      <c r="B1273" t="s">
        <v>9</v>
      </c>
      <c r="C1273">
        <v>10</v>
      </c>
      <c r="D1273">
        <v>3725</v>
      </c>
      <c r="E1273">
        <v>0</v>
      </c>
      <c r="F1273" t="s">
        <v>258</v>
      </c>
      <c r="G1273">
        <v>1</v>
      </c>
      <c r="H1273" t="s">
        <v>29</v>
      </c>
      <c r="I1273">
        <v>8876</v>
      </c>
      <c r="J1273">
        <f>DropAnalityka[[#This Row],[Sell Drop]]+IFERROR(SUMIFS(Tabela10[Drop Worth],Tabela10[Drop],DropAnalityka[[#This Row],[Drop]],Tabela10[Grade],DropAnalityka[[#This Row],[Grade]])*DropAnalityka[[#This Row],[Quality/Quantity]],0)</f>
        <v>8876</v>
      </c>
      <c r="K1273" s="43">
        <f>IFERROR(SUMIFS(Tabela10[Fod Worth],Tabela10[Drop],DropAnalityka[[#This Row],[Drop]],Tabela10[Grade],DropAnalityka[[#This Row],[Grade]])*DropAnalityka[[#This Row],[Quality/Quantity]],0)</f>
        <v>0</v>
      </c>
      <c r="L1273" s="43">
        <f>IFERROR(SUMIFS(Tabela10[Exp Gain only 2*+],Tabela10[Drop],DropAnalityka[[#This Row],[Drop]],Tabela10[Grade],DropAnalityka[[#This Row],[Grade]])*DropAnalityka[[#This Row],[Quality/Quantity]],0)</f>
        <v>0</v>
      </c>
    </row>
    <row r="1274" spans="1:12">
      <c r="A1274" t="s">
        <v>172</v>
      </c>
      <c r="B1274" t="s">
        <v>9</v>
      </c>
      <c r="C1274">
        <v>10</v>
      </c>
      <c r="D1274">
        <v>4116</v>
      </c>
      <c r="E1274">
        <v>1</v>
      </c>
      <c r="F1274" t="s">
        <v>258</v>
      </c>
      <c r="G1274">
        <v>1</v>
      </c>
      <c r="H1274" t="s">
        <v>27</v>
      </c>
      <c r="I1274">
        <v>2940</v>
      </c>
      <c r="J1274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274" s="43">
        <f>IFERROR(SUMIFS(Tabela10[Fod Worth],Tabela10[Drop],DropAnalityka[[#This Row],[Drop]],Tabela10[Grade],DropAnalityka[[#This Row],[Grade]])*DropAnalityka[[#This Row],[Quality/Quantity]],0)</f>
        <v>0</v>
      </c>
      <c r="L1274" s="43">
        <f>IFERROR(SUMIFS(Tabela10[Exp Gain only 2*+],Tabela10[Drop],DropAnalityka[[#This Row],[Drop]],Tabela10[Grade],DropAnalityka[[#This Row],[Grade]])*DropAnalityka[[#This Row],[Quality/Quantity]],0)</f>
        <v>0</v>
      </c>
    </row>
    <row r="1275" spans="1:12">
      <c r="A1275" t="s">
        <v>172</v>
      </c>
      <c r="B1275" t="s">
        <v>9</v>
      </c>
      <c r="C1275">
        <v>10</v>
      </c>
      <c r="D1275">
        <v>3438</v>
      </c>
      <c r="E1275">
        <v>0</v>
      </c>
      <c r="F1275" t="s">
        <v>258</v>
      </c>
      <c r="G1275">
        <v>1</v>
      </c>
      <c r="H1275" t="s">
        <v>28</v>
      </c>
      <c r="I1275">
        <v>3825</v>
      </c>
      <c r="J1275">
        <f>DropAnalityka[[#This Row],[Sell Drop]]+IFERROR(SUMIFS(Tabela10[Drop Worth],Tabela10[Drop],DropAnalityka[[#This Row],[Drop]],Tabela10[Grade],DropAnalityka[[#This Row],[Grade]])*DropAnalityka[[#This Row],[Quality/Quantity]],0)</f>
        <v>3825</v>
      </c>
      <c r="K1275" s="43">
        <f>IFERROR(SUMIFS(Tabela10[Fod Worth],Tabela10[Drop],DropAnalityka[[#This Row],[Drop]],Tabela10[Grade],DropAnalityka[[#This Row],[Grade]])*DropAnalityka[[#This Row],[Quality/Quantity]],0)</f>
        <v>0</v>
      </c>
      <c r="L1275" s="43">
        <f>IFERROR(SUMIFS(Tabela10[Exp Gain only 2*+],Tabela10[Drop],DropAnalityka[[#This Row],[Drop]],Tabela10[Grade],DropAnalityka[[#This Row],[Grade]])*DropAnalityka[[#This Row],[Quality/Quantity]],0)</f>
        <v>0</v>
      </c>
    </row>
    <row r="1276" spans="1:12">
      <c r="A1276" t="s">
        <v>172</v>
      </c>
      <c r="B1276" t="s">
        <v>9</v>
      </c>
      <c r="C1276">
        <v>10</v>
      </c>
      <c r="D1276">
        <v>4013</v>
      </c>
      <c r="E1276">
        <v>0</v>
      </c>
      <c r="F1276" t="s">
        <v>258</v>
      </c>
      <c r="G1276">
        <v>1</v>
      </c>
      <c r="H1276" t="s">
        <v>29</v>
      </c>
      <c r="I1276">
        <v>8321</v>
      </c>
      <c r="J1276">
        <f>DropAnalityka[[#This Row],[Sell Drop]]+IFERROR(SUMIFS(Tabela10[Drop Worth],Tabela10[Drop],DropAnalityka[[#This Row],[Drop]],Tabela10[Grade],DropAnalityka[[#This Row],[Grade]])*DropAnalityka[[#This Row],[Quality/Quantity]],0)</f>
        <v>8321</v>
      </c>
      <c r="K1276" s="43">
        <f>IFERROR(SUMIFS(Tabela10[Fod Worth],Tabela10[Drop],DropAnalityka[[#This Row],[Drop]],Tabela10[Grade],DropAnalityka[[#This Row],[Grade]])*DropAnalityka[[#This Row],[Quality/Quantity]],0)</f>
        <v>0</v>
      </c>
      <c r="L1276" s="43">
        <f>IFERROR(SUMIFS(Tabela10[Exp Gain only 2*+],Tabela10[Drop],DropAnalityka[[#This Row],[Drop]],Tabela10[Grade],DropAnalityka[[#This Row],[Grade]])*DropAnalityka[[#This Row],[Quality/Quantity]],0)</f>
        <v>0</v>
      </c>
    </row>
    <row r="1277" spans="1:12">
      <c r="A1277" t="s">
        <v>172</v>
      </c>
      <c r="B1277" t="s">
        <v>9</v>
      </c>
      <c r="C1277">
        <v>10</v>
      </c>
      <c r="D1277">
        <v>4287</v>
      </c>
      <c r="E1277">
        <v>1</v>
      </c>
      <c r="F1277" t="s">
        <v>318</v>
      </c>
      <c r="G1277">
        <v>1</v>
      </c>
      <c r="H1277" t="s">
        <v>27</v>
      </c>
      <c r="I1277">
        <v>5971</v>
      </c>
      <c r="J1277">
        <f>DropAnalityka[[#This Row],[Sell Drop]]+IFERROR(SUMIFS(Tabela10[Drop Worth],Tabela10[Drop],DropAnalityka[[#This Row],[Drop]],Tabela10[Grade],DropAnalityka[[#This Row],[Grade]])*DropAnalityka[[#This Row],[Quality/Quantity]],0)</f>
        <v>5971</v>
      </c>
      <c r="K1277" s="43">
        <f>IFERROR(SUMIFS(Tabela10[Fod Worth],Tabela10[Drop],DropAnalityka[[#This Row],[Drop]],Tabela10[Grade],DropAnalityka[[#This Row],[Grade]])*DropAnalityka[[#This Row],[Quality/Quantity]],0)</f>
        <v>0</v>
      </c>
      <c r="L1277" s="43">
        <f>IFERROR(SUMIFS(Tabela10[Exp Gain only 2*+],Tabela10[Drop],DropAnalityka[[#This Row],[Drop]],Tabela10[Grade],DropAnalityka[[#This Row],[Grade]])*DropAnalityka[[#This Row],[Quality/Quantity]],0)</f>
        <v>0</v>
      </c>
    </row>
    <row r="1278" spans="1:12">
      <c r="A1278" t="s">
        <v>172</v>
      </c>
      <c r="B1278" t="s">
        <v>9</v>
      </c>
      <c r="C1278">
        <v>10</v>
      </c>
      <c r="D1278">
        <v>3423</v>
      </c>
      <c r="E1278">
        <v>0</v>
      </c>
      <c r="F1278" t="s">
        <v>258</v>
      </c>
      <c r="G1278">
        <v>1</v>
      </c>
      <c r="H1278" t="s">
        <v>28</v>
      </c>
      <c r="I1278">
        <v>6502</v>
      </c>
      <c r="J1278">
        <f>DropAnalityka[[#This Row],[Sell Drop]]+IFERROR(SUMIFS(Tabela10[Drop Worth],Tabela10[Drop],DropAnalityka[[#This Row],[Drop]],Tabela10[Grade],DropAnalityka[[#This Row],[Grade]])*DropAnalityka[[#This Row],[Quality/Quantity]],0)</f>
        <v>6502</v>
      </c>
      <c r="K1278" s="43">
        <f>IFERROR(SUMIFS(Tabela10[Fod Worth],Tabela10[Drop],DropAnalityka[[#This Row],[Drop]],Tabela10[Grade],DropAnalityka[[#This Row],[Grade]])*DropAnalityka[[#This Row],[Quality/Quantity]],0)</f>
        <v>0</v>
      </c>
      <c r="L1278" s="43">
        <f>IFERROR(SUMIFS(Tabela10[Exp Gain only 2*+],Tabela10[Drop],DropAnalityka[[#This Row],[Drop]],Tabela10[Grade],DropAnalityka[[#This Row],[Grade]])*DropAnalityka[[#This Row],[Quality/Quantity]],0)</f>
        <v>0</v>
      </c>
    </row>
    <row r="1279" spans="1:12">
      <c r="A1279" t="s">
        <v>172</v>
      </c>
      <c r="B1279" t="s">
        <v>9</v>
      </c>
      <c r="C1279">
        <v>10</v>
      </c>
      <c r="D1279">
        <v>3869</v>
      </c>
      <c r="E1279">
        <v>0</v>
      </c>
      <c r="F1279" t="s">
        <v>258</v>
      </c>
      <c r="G1279">
        <v>1</v>
      </c>
      <c r="H1279" t="s">
        <v>28</v>
      </c>
      <c r="I1279">
        <v>10880</v>
      </c>
      <c r="J1279">
        <f>DropAnalityka[[#This Row],[Sell Drop]]+IFERROR(SUMIFS(Tabela10[Drop Worth],Tabela10[Drop],DropAnalityka[[#This Row],[Drop]],Tabela10[Grade],DropAnalityka[[#This Row],[Grade]])*DropAnalityka[[#This Row],[Quality/Quantity]],0)</f>
        <v>10880</v>
      </c>
      <c r="K1279" s="43">
        <f>IFERROR(SUMIFS(Tabela10[Fod Worth],Tabela10[Drop],DropAnalityka[[#This Row],[Drop]],Tabela10[Grade],DropAnalityka[[#This Row],[Grade]])*DropAnalityka[[#This Row],[Quality/Quantity]],0)</f>
        <v>0</v>
      </c>
      <c r="L1279" s="43">
        <f>IFERROR(SUMIFS(Tabela10[Exp Gain only 2*+],Tabela10[Drop],DropAnalityka[[#This Row],[Drop]],Tabela10[Grade],DropAnalityka[[#This Row],[Grade]])*DropAnalityka[[#This Row],[Quality/Quantity]],0)</f>
        <v>0</v>
      </c>
    </row>
    <row r="1280" spans="1:12">
      <c r="A1280" t="s">
        <v>172</v>
      </c>
      <c r="B1280" t="s">
        <v>9</v>
      </c>
      <c r="C1280">
        <v>10</v>
      </c>
      <c r="D1280">
        <v>4067</v>
      </c>
      <c r="E1280">
        <v>1</v>
      </c>
      <c r="F1280" t="s">
        <v>291</v>
      </c>
      <c r="G1280">
        <v>1</v>
      </c>
      <c r="H1280" t="s">
        <v>28</v>
      </c>
      <c r="I1280">
        <v>7267</v>
      </c>
      <c r="J1280">
        <f>DropAnalityka[[#This Row],[Sell Drop]]+IFERROR(SUMIFS(Tabela10[Drop Worth],Tabela10[Drop],DropAnalityka[[#This Row],[Drop]],Tabela10[Grade],DropAnalityka[[#This Row],[Grade]])*DropAnalityka[[#This Row],[Quality/Quantity]],0)</f>
        <v>7267</v>
      </c>
      <c r="K1280" s="43">
        <f>IFERROR(SUMIFS(Tabela10[Fod Worth],Tabela10[Drop],DropAnalityka[[#This Row],[Drop]],Tabela10[Grade],DropAnalityka[[#This Row],[Grade]])*DropAnalityka[[#This Row],[Quality/Quantity]],0)</f>
        <v>0</v>
      </c>
      <c r="L1280" s="43">
        <f>IFERROR(SUMIFS(Tabela10[Exp Gain only 2*+],Tabela10[Drop],DropAnalityka[[#This Row],[Drop]],Tabela10[Grade],DropAnalityka[[#This Row],[Grade]])*DropAnalityka[[#This Row],[Quality/Quantity]],0)</f>
        <v>0</v>
      </c>
    </row>
    <row r="1281" spans="1:13">
      <c r="A1281" t="s">
        <v>172</v>
      </c>
      <c r="B1281" t="s">
        <v>9</v>
      </c>
      <c r="C1281">
        <v>10</v>
      </c>
      <c r="D1281">
        <v>4317</v>
      </c>
      <c r="E1281">
        <v>1</v>
      </c>
      <c r="F1281" t="s">
        <v>258</v>
      </c>
      <c r="G1281">
        <v>1</v>
      </c>
      <c r="H1281" t="s">
        <v>27</v>
      </c>
      <c r="I1281">
        <v>2067</v>
      </c>
      <c r="J1281">
        <f>DropAnalityka[[#This Row],[Sell Drop]]+IFERROR(SUMIFS(Tabela10[Drop Worth],Tabela10[Drop],DropAnalityka[[#This Row],[Drop]],Tabela10[Grade],DropAnalityka[[#This Row],[Grade]])*DropAnalityka[[#This Row],[Quality/Quantity]],0)</f>
        <v>2067</v>
      </c>
      <c r="K1281" s="43">
        <f>IFERROR(SUMIFS(Tabela10[Fod Worth],Tabela10[Drop],DropAnalityka[[#This Row],[Drop]],Tabela10[Grade],DropAnalityka[[#This Row],[Grade]])*DropAnalityka[[#This Row],[Quality/Quantity]],0)</f>
        <v>0</v>
      </c>
      <c r="L1281" s="43">
        <f>IFERROR(SUMIFS(Tabela10[Exp Gain only 2*+],Tabela10[Drop],DropAnalityka[[#This Row],[Drop]],Tabela10[Grade],DropAnalityka[[#This Row],[Grade]])*DropAnalityka[[#This Row],[Quality/Quantity]],0)</f>
        <v>0</v>
      </c>
    </row>
    <row r="1282" spans="1:13">
      <c r="A1282" t="s">
        <v>172</v>
      </c>
      <c r="B1282" t="s">
        <v>9</v>
      </c>
      <c r="C1282">
        <v>10</v>
      </c>
      <c r="D1282">
        <v>3502</v>
      </c>
      <c r="E1282">
        <v>1</v>
      </c>
      <c r="F1282" t="s">
        <v>258</v>
      </c>
      <c r="G1282">
        <v>1</v>
      </c>
      <c r="H1282" t="s">
        <v>27</v>
      </c>
      <c r="I1282">
        <v>2411</v>
      </c>
      <c r="J1282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1282" s="43">
        <f>IFERROR(SUMIFS(Tabela10[Fod Worth],Tabela10[Drop],DropAnalityka[[#This Row],[Drop]],Tabela10[Grade],DropAnalityka[[#This Row],[Grade]])*DropAnalityka[[#This Row],[Quality/Quantity]],0)</f>
        <v>0</v>
      </c>
      <c r="L1282" s="43">
        <f>IFERROR(SUMIFS(Tabela10[Exp Gain only 2*+],Tabela10[Drop],DropAnalityka[[#This Row],[Drop]],Tabela10[Grade],DropAnalityka[[#This Row],[Grade]])*DropAnalityka[[#This Row],[Quality/Quantity]],0)</f>
        <v>0</v>
      </c>
    </row>
    <row r="1283" spans="1:13">
      <c r="A1283" t="s">
        <v>172</v>
      </c>
      <c r="B1283" t="s">
        <v>9</v>
      </c>
      <c r="C1283">
        <v>10</v>
      </c>
      <c r="D1283">
        <v>4182</v>
      </c>
      <c r="E1283">
        <v>0</v>
      </c>
      <c r="F1283" t="s">
        <v>34</v>
      </c>
      <c r="G1283">
        <v>4</v>
      </c>
      <c r="H1283" t="s">
        <v>17</v>
      </c>
      <c r="I1283">
        <v>0</v>
      </c>
      <c r="J128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283" s="43">
        <f>IFERROR(SUMIFS(Tabela10[Fod Worth],Tabela10[Drop],DropAnalityka[[#This Row],[Drop]],Tabela10[Grade],DropAnalityka[[#This Row],[Grade]])*DropAnalityka[[#This Row],[Quality/Quantity]],0)</f>
        <v>0</v>
      </c>
      <c r="L1283" s="43">
        <f>IFERROR(SUMIFS(Tabela10[Exp Gain only 2*+],Tabela10[Drop],DropAnalityka[[#This Row],[Drop]],Tabela10[Grade],DropAnalityka[[#This Row],[Grade]])*DropAnalityka[[#This Row],[Quality/Quantity]],0)</f>
        <v>3200</v>
      </c>
    </row>
    <row r="1284" spans="1:13">
      <c r="A1284" t="s">
        <v>172</v>
      </c>
      <c r="B1284" t="s">
        <v>9</v>
      </c>
      <c r="C1284">
        <v>10</v>
      </c>
      <c r="D1284">
        <v>3429</v>
      </c>
      <c r="E1284">
        <v>0</v>
      </c>
      <c r="F1284" t="s">
        <v>258</v>
      </c>
      <c r="G1284">
        <v>1</v>
      </c>
      <c r="H1284" t="s">
        <v>28</v>
      </c>
      <c r="I1284">
        <v>10880</v>
      </c>
      <c r="J1284">
        <f>DropAnalityka[[#This Row],[Sell Drop]]+IFERROR(SUMIFS(Tabela10[Drop Worth],Tabela10[Drop],DropAnalityka[[#This Row],[Drop]],Tabela10[Grade],DropAnalityka[[#This Row],[Grade]])*DropAnalityka[[#This Row],[Quality/Quantity]],0)</f>
        <v>10880</v>
      </c>
      <c r="K1284" s="43">
        <f>IFERROR(SUMIFS(Tabela10[Fod Worth],Tabela10[Drop],DropAnalityka[[#This Row],[Drop]],Tabela10[Grade],DropAnalityka[[#This Row],[Grade]])*DropAnalityka[[#This Row],[Quality/Quantity]],0)</f>
        <v>0</v>
      </c>
      <c r="L1284" s="43">
        <f>IFERROR(SUMIFS(Tabela10[Exp Gain only 2*+],Tabela10[Drop],DropAnalityka[[#This Row],[Drop]],Tabela10[Grade],DropAnalityka[[#This Row],[Grade]])*DropAnalityka[[#This Row],[Quality/Quantity]],0)</f>
        <v>0</v>
      </c>
    </row>
    <row r="1285" spans="1:13">
      <c r="A1285" t="s">
        <v>172</v>
      </c>
      <c r="B1285" t="s">
        <v>9</v>
      </c>
      <c r="C1285">
        <v>10</v>
      </c>
      <c r="D1285">
        <v>4311</v>
      </c>
      <c r="E1285">
        <v>1</v>
      </c>
      <c r="F1285" t="s">
        <v>258</v>
      </c>
      <c r="G1285">
        <v>1</v>
      </c>
      <c r="H1285" t="s">
        <v>28</v>
      </c>
      <c r="I1285">
        <v>8075</v>
      </c>
      <c r="J1285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285" s="43">
        <f>IFERROR(SUMIFS(Tabela10[Fod Worth],Tabela10[Drop],DropAnalityka[[#This Row],[Drop]],Tabela10[Grade],DropAnalityka[[#This Row],[Grade]])*DropAnalityka[[#This Row],[Quality/Quantity]],0)</f>
        <v>0</v>
      </c>
      <c r="L1285" s="43">
        <f>IFERROR(SUMIFS(Tabela10[Exp Gain only 2*+],Tabela10[Drop],DropAnalityka[[#This Row],[Drop]],Tabela10[Grade],DropAnalityka[[#This Row],[Grade]])*DropAnalityka[[#This Row],[Quality/Quantity]],0)</f>
        <v>0</v>
      </c>
    </row>
    <row r="1286" spans="1:13">
      <c r="A1286" t="s">
        <v>172</v>
      </c>
      <c r="B1286" t="s">
        <v>9</v>
      </c>
      <c r="C1286">
        <v>10</v>
      </c>
      <c r="D1286">
        <v>3883</v>
      </c>
      <c r="E1286">
        <v>0</v>
      </c>
      <c r="F1286" t="s">
        <v>291</v>
      </c>
      <c r="G1286">
        <v>1</v>
      </c>
      <c r="H1286" t="s">
        <v>28</v>
      </c>
      <c r="I1286">
        <v>6885</v>
      </c>
      <c r="J1286">
        <f>DropAnalityka[[#This Row],[Sell Drop]]+IFERROR(SUMIFS(Tabela10[Drop Worth],Tabela10[Drop],DropAnalityka[[#This Row],[Drop]],Tabela10[Grade],DropAnalityka[[#This Row],[Grade]])*DropAnalityka[[#This Row],[Quality/Quantity]],0)</f>
        <v>6885</v>
      </c>
      <c r="K1286" s="43">
        <f>IFERROR(SUMIFS(Tabela10[Fod Worth],Tabela10[Drop],DropAnalityka[[#This Row],[Drop]],Tabela10[Grade],DropAnalityka[[#This Row],[Grade]])*DropAnalityka[[#This Row],[Quality/Quantity]],0)</f>
        <v>0</v>
      </c>
      <c r="L1286" s="43">
        <f>IFERROR(SUMIFS(Tabela10[Exp Gain only 2*+],Tabela10[Drop],DropAnalityka[[#This Row],[Drop]],Tabela10[Grade],DropAnalityka[[#This Row],[Grade]])*DropAnalityka[[#This Row],[Quality/Quantity]],0)</f>
        <v>0</v>
      </c>
    </row>
    <row r="1287" spans="1:13">
      <c r="A1287" t="s">
        <v>172</v>
      </c>
      <c r="B1287" t="s">
        <v>9</v>
      </c>
      <c r="C1287">
        <v>10</v>
      </c>
      <c r="D1287">
        <v>961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287" s="43">
        <f>IFERROR(SUMIFS(Tabela10[Fod Worth],Tabela10[Drop],DropAnalityka[[#This Row],[Drop]],Tabela10[Grade],DropAnalityka[[#This Row],[Grade]])*DropAnalityka[[#This Row],[Quality/Quantity]],0)</f>
        <v>0</v>
      </c>
      <c r="L1287" s="43">
        <f>IFERROR(SUMIFS(Tabela10[Exp Gain only 2*+],Tabela10[Drop],DropAnalityka[[#This Row],[Drop]],Tabela10[Grade],DropAnalityka[[#This Row],[Grade]])*DropAnalityka[[#This Row],[Quality/Quantity]],0)</f>
        <v>0</v>
      </c>
      <c r="M1287" t="s">
        <v>204</v>
      </c>
    </row>
    <row r="1288" spans="1:13">
      <c r="A1288" t="s">
        <v>172</v>
      </c>
      <c r="B1288" t="s">
        <v>9</v>
      </c>
      <c r="C1288">
        <v>10</v>
      </c>
      <c r="D1288">
        <v>4397</v>
      </c>
      <c r="E1288">
        <v>3</v>
      </c>
      <c r="F1288" t="s">
        <v>258</v>
      </c>
      <c r="G1288">
        <v>1</v>
      </c>
      <c r="H1288" t="s">
        <v>27</v>
      </c>
      <c r="I1288">
        <v>3514</v>
      </c>
      <c r="J1288">
        <f>DropAnalityka[[#This Row],[Sell Drop]]+IFERROR(SUMIFS(Tabela10[Drop Worth],Tabela10[Drop],DropAnalityka[[#This Row],[Drop]],Tabela10[Grade],DropAnalityka[[#This Row],[Grade]])*DropAnalityka[[#This Row],[Quality/Quantity]],0)</f>
        <v>3514</v>
      </c>
      <c r="K1288" s="43">
        <f>IFERROR(SUMIFS(Tabela10[Fod Worth],Tabela10[Drop],DropAnalityka[[#This Row],[Drop]],Tabela10[Grade],DropAnalityka[[#This Row],[Grade]])*DropAnalityka[[#This Row],[Quality/Quantity]],0)</f>
        <v>0</v>
      </c>
      <c r="L1288" s="43">
        <f>IFERROR(SUMIFS(Tabela10[Exp Gain only 2*+],Tabela10[Drop],DropAnalityka[[#This Row],[Drop]],Tabela10[Grade],DropAnalityka[[#This Row],[Grade]])*DropAnalityka[[#This Row],[Quality/Quantity]],0)</f>
        <v>0</v>
      </c>
    </row>
    <row r="1289" spans="1:13">
      <c r="A1289" t="s">
        <v>172</v>
      </c>
      <c r="B1289" t="s">
        <v>9</v>
      </c>
      <c r="C1289">
        <v>10</v>
      </c>
      <c r="D1289">
        <v>3818</v>
      </c>
      <c r="E1289">
        <v>2</v>
      </c>
      <c r="F1289" t="s">
        <v>258</v>
      </c>
      <c r="G1289">
        <v>1</v>
      </c>
      <c r="H1289" t="s">
        <v>27</v>
      </c>
      <c r="I1289">
        <v>3675</v>
      </c>
      <c r="J1289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289" s="43">
        <f>IFERROR(SUMIFS(Tabela10[Fod Worth],Tabela10[Drop],DropAnalityka[[#This Row],[Drop]],Tabela10[Grade],DropAnalityka[[#This Row],[Grade]])*DropAnalityka[[#This Row],[Quality/Quantity]],0)</f>
        <v>0</v>
      </c>
      <c r="L1289" s="43">
        <f>IFERROR(SUMIFS(Tabela10[Exp Gain only 2*+],Tabela10[Drop],DropAnalityka[[#This Row],[Drop]],Tabela10[Grade],DropAnalityka[[#This Row],[Grade]])*DropAnalityka[[#This Row],[Quality/Quantity]],0)</f>
        <v>0</v>
      </c>
    </row>
    <row r="1290" spans="1:13">
      <c r="A1290" t="s">
        <v>172</v>
      </c>
      <c r="B1290" t="s">
        <v>9</v>
      </c>
      <c r="C1290">
        <v>10</v>
      </c>
      <c r="D1290">
        <v>4006</v>
      </c>
      <c r="E1290">
        <v>2</v>
      </c>
      <c r="F1290" t="s">
        <v>258</v>
      </c>
      <c r="G1290">
        <v>1</v>
      </c>
      <c r="H1290" t="s">
        <v>29</v>
      </c>
      <c r="I1290">
        <v>12680</v>
      </c>
      <c r="J1290">
        <f>DropAnalityka[[#This Row],[Sell Drop]]+IFERROR(SUMIFS(Tabela10[Drop Worth],Tabela10[Drop],DropAnalityka[[#This Row],[Drop]],Tabela10[Grade],DropAnalityka[[#This Row],[Grade]])*DropAnalityka[[#This Row],[Quality/Quantity]],0)</f>
        <v>12680</v>
      </c>
      <c r="K1290" s="43">
        <f>IFERROR(SUMIFS(Tabela10[Fod Worth],Tabela10[Drop],DropAnalityka[[#This Row],[Drop]],Tabela10[Grade],DropAnalityka[[#This Row],[Grade]])*DropAnalityka[[#This Row],[Quality/Quantity]],0)</f>
        <v>0</v>
      </c>
      <c r="L1290" s="43">
        <f>IFERROR(SUMIFS(Tabela10[Exp Gain only 2*+],Tabela10[Drop],DropAnalityka[[#This Row],[Drop]],Tabela10[Grade],DropAnalityka[[#This Row],[Grade]])*DropAnalityka[[#This Row],[Quality/Quantity]],0)</f>
        <v>0</v>
      </c>
    </row>
    <row r="1291" spans="1:13">
      <c r="A1291" t="s">
        <v>172</v>
      </c>
      <c r="B1291" t="s">
        <v>9</v>
      </c>
      <c r="C1291">
        <v>10</v>
      </c>
      <c r="D1291">
        <v>4249</v>
      </c>
      <c r="E1291">
        <v>2</v>
      </c>
      <c r="F1291" t="s">
        <v>258</v>
      </c>
      <c r="G1291">
        <v>1</v>
      </c>
      <c r="H1291" t="s">
        <v>28</v>
      </c>
      <c r="I1291">
        <v>6120</v>
      </c>
      <c r="J1291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291" s="43">
        <f>IFERROR(SUMIFS(Tabela10[Fod Worth],Tabela10[Drop],DropAnalityka[[#This Row],[Drop]],Tabela10[Grade],DropAnalityka[[#This Row],[Grade]])*DropAnalityka[[#This Row],[Quality/Quantity]],0)</f>
        <v>0</v>
      </c>
      <c r="L1291" s="43">
        <f>IFERROR(SUMIFS(Tabela10[Exp Gain only 2*+],Tabela10[Drop],DropAnalityka[[#This Row],[Drop]],Tabela10[Grade],DropAnalityka[[#This Row],[Grade]])*DropAnalityka[[#This Row],[Quality/Quantity]],0)</f>
        <v>0</v>
      </c>
    </row>
    <row r="1292" spans="1:13">
      <c r="A1292" t="s">
        <v>172</v>
      </c>
      <c r="B1292" t="s">
        <v>9</v>
      </c>
      <c r="C1292">
        <v>10</v>
      </c>
      <c r="D1292">
        <v>3495</v>
      </c>
      <c r="E1292">
        <v>1</v>
      </c>
      <c r="F1292" t="s">
        <v>258</v>
      </c>
      <c r="G1292">
        <v>1</v>
      </c>
      <c r="H1292" t="s">
        <v>28</v>
      </c>
      <c r="I1292">
        <v>3825</v>
      </c>
      <c r="J1292">
        <f>DropAnalityka[[#This Row],[Sell Drop]]+IFERROR(SUMIFS(Tabela10[Drop Worth],Tabela10[Drop],DropAnalityka[[#This Row],[Drop]],Tabela10[Grade],DropAnalityka[[#This Row],[Grade]])*DropAnalityka[[#This Row],[Quality/Quantity]],0)</f>
        <v>3825</v>
      </c>
      <c r="K1292" s="43">
        <f>IFERROR(SUMIFS(Tabela10[Fod Worth],Tabela10[Drop],DropAnalityka[[#This Row],[Drop]],Tabela10[Grade],DropAnalityka[[#This Row],[Grade]])*DropAnalityka[[#This Row],[Quality/Quantity]],0)</f>
        <v>0</v>
      </c>
      <c r="L1292" s="43">
        <f>IFERROR(SUMIFS(Tabela10[Exp Gain only 2*+],Tabela10[Drop],DropAnalityka[[#This Row],[Drop]],Tabela10[Grade],DropAnalityka[[#This Row],[Grade]])*DropAnalityka[[#This Row],[Quality/Quantity]],0)</f>
        <v>0</v>
      </c>
    </row>
    <row r="1293" spans="1:13">
      <c r="A1293" t="s">
        <v>172</v>
      </c>
      <c r="B1293" t="s">
        <v>9</v>
      </c>
      <c r="C1293">
        <v>10</v>
      </c>
      <c r="D1293">
        <v>4286</v>
      </c>
      <c r="E1293">
        <v>1</v>
      </c>
      <c r="F1293" t="s">
        <v>258</v>
      </c>
      <c r="G1293">
        <v>1</v>
      </c>
      <c r="H1293" t="s">
        <v>28</v>
      </c>
      <c r="I1293">
        <v>4335</v>
      </c>
      <c r="J1293">
        <f>DropAnalityka[[#This Row],[Sell Drop]]+IFERROR(SUMIFS(Tabela10[Drop Worth],Tabela10[Drop],DropAnalityka[[#This Row],[Drop]],Tabela10[Grade],DropAnalityka[[#This Row],[Grade]])*DropAnalityka[[#This Row],[Quality/Quantity]],0)</f>
        <v>4335</v>
      </c>
      <c r="K1293" s="43">
        <f>IFERROR(SUMIFS(Tabela10[Fod Worth],Tabela10[Drop],DropAnalityka[[#This Row],[Drop]],Tabela10[Grade],DropAnalityka[[#This Row],[Grade]])*DropAnalityka[[#This Row],[Quality/Quantity]],0)</f>
        <v>0</v>
      </c>
      <c r="L1293" s="43">
        <f>IFERROR(SUMIFS(Tabela10[Exp Gain only 2*+],Tabela10[Drop],DropAnalityka[[#This Row],[Drop]],Tabela10[Grade],DropAnalityka[[#This Row],[Grade]])*DropAnalityka[[#This Row],[Quality/Quantity]],0)</f>
        <v>0</v>
      </c>
    </row>
    <row r="1294" spans="1:13">
      <c r="A1294" t="s">
        <v>172</v>
      </c>
      <c r="B1294" t="s">
        <v>9</v>
      </c>
      <c r="C1294">
        <v>10</v>
      </c>
      <c r="D1294">
        <v>4231</v>
      </c>
      <c r="E1294">
        <v>0</v>
      </c>
      <c r="F1294" t="s">
        <v>258</v>
      </c>
      <c r="G1294">
        <v>1</v>
      </c>
      <c r="H1294" t="s">
        <v>27</v>
      </c>
      <c r="I1294">
        <v>6892</v>
      </c>
      <c r="J1294">
        <f>DropAnalityka[[#This Row],[Sell Drop]]+IFERROR(SUMIFS(Tabela10[Drop Worth],Tabela10[Drop],DropAnalityka[[#This Row],[Drop]],Tabela10[Grade],DropAnalityka[[#This Row],[Grade]])*DropAnalityka[[#This Row],[Quality/Quantity]],0)</f>
        <v>6892</v>
      </c>
      <c r="K1294" s="43">
        <f>IFERROR(SUMIFS(Tabela10[Fod Worth],Tabela10[Drop],DropAnalityka[[#This Row],[Drop]],Tabela10[Grade],DropAnalityka[[#This Row],[Grade]])*DropAnalityka[[#This Row],[Quality/Quantity]],0)</f>
        <v>0</v>
      </c>
      <c r="L1294" s="43">
        <f>IFERROR(SUMIFS(Tabela10[Exp Gain only 2*+],Tabela10[Drop],DropAnalityka[[#This Row],[Drop]],Tabela10[Grade],DropAnalityka[[#This Row],[Grade]])*DropAnalityka[[#This Row],[Quality/Quantity]],0)</f>
        <v>0</v>
      </c>
    </row>
    <row r="1295" spans="1:13">
      <c r="A1295" t="s">
        <v>172</v>
      </c>
      <c r="B1295" t="s">
        <v>9</v>
      </c>
      <c r="C1295">
        <v>10</v>
      </c>
      <c r="D1295">
        <v>4019</v>
      </c>
      <c r="E1295">
        <v>0</v>
      </c>
      <c r="F1295" t="s">
        <v>258</v>
      </c>
      <c r="G1295">
        <v>1</v>
      </c>
      <c r="H1295" t="s">
        <v>27</v>
      </c>
      <c r="I1295">
        <v>2756</v>
      </c>
      <c r="J1295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1295" s="43">
        <f>IFERROR(SUMIFS(Tabela10[Fod Worth],Tabela10[Drop],DropAnalityka[[#This Row],[Drop]],Tabela10[Grade],DropAnalityka[[#This Row],[Grade]])*DropAnalityka[[#This Row],[Quality/Quantity]],0)</f>
        <v>0</v>
      </c>
      <c r="L1295" s="43">
        <f>IFERROR(SUMIFS(Tabela10[Exp Gain only 2*+],Tabela10[Drop],DropAnalityka[[#This Row],[Drop]],Tabela10[Grade],DropAnalityka[[#This Row],[Grade]])*DropAnalityka[[#This Row],[Quality/Quantity]],0)</f>
        <v>0</v>
      </c>
    </row>
    <row r="1296" spans="1:13">
      <c r="A1296" t="s">
        <v>172</v>
      </c>
      <c r="B1296" t="s">
        <v>9</v>
      </c>
      <c r="C1296">
        <v>10</v>
      </c>
      <c r="D1296">
        <v>4094</v>
      </c>
      <c r="E1296">
        <v>3</v>
      </c>
      <c r="F1296" t="s">
        <v>34</v>
      </c>
      <c r="G1296">
        <v>5</v>
      </c>
      <c r="H1296" t="s">
        <v>17</v>
      </c>
      <c r="I1296">
        <v>0</v>
      </c>
      <c r="J129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296" s="43">
        <f>IFERROR(SUMIFS(Tabela10[Fod Worth],Tabela10[Drop],DropAnalityka[[#This Row],[Drop]],Tabela10[Grade],DropAnalityka[[#This Row],[Grade]])*DropAnalityka[[#This Row],[Quality/Quantity]],0)</f>
        <v>0</v>
      </c>
      <c r="L1296" s="43">
        <f>IFERROR(SUMIFS(Tabela10[Exp Gain only 2*+],Tabela10[Drop],DropAnalityka[[#This Row],[Drop]],Tabela10[Grade],DropAnalityka[[#This Row],[Grade]])*DropAnalityka[[#This Row],[Quality/Quantity]],0)</f>
        <v>4000</v>
      </c>
    </row>
    <row r="1297" spans="1:12">
      <c r="A1297" t="s">
        <v>172</v>
      </c>
      <c r="B1297" t="s">
        <v>9</v>
      </c>
      <c r="C1297">
        <v>10</v>
      </c>
      <c r="D1297">
        <v>4074</v>
      </c>
      <c r="E1297">
        <v>1</v>
      </c>
      <c r="F1297" t="s">
        <v>291</v>
      </c>
      <c r="G1297">
        <v>1</v>
      </c>
      <c r="H1297" t="s">
        <v>27</v>
      </c>
      <c r="I1297">
        <v>2940</v>
      </c>
      <c r="J1297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297" s="43">
        <f>IFERROR(SUMIFS(Tabela10[Fod Worth],Tabela10[Drop],DropAnalityka[[#This Row],[Drop]],Tabela10[Grade],DropAnalityka[[#This Row],[Grade]])*DropAnalityka[[#This Row],[Quality/Quantity]],0)</f>
        <v>0</v>
      </c>
      <c r="L1297" s="43">
        <f>IFERROR(SUMIFS(Tabela10[Exp Gain only 2*+],Tabela10[Drop],DropAnalityka[[#This Row],[Drop]],Tabela10[Grade],DropAnalityka[[#This Row],[Grade]])*DropAnalityka[[#This Row],[Quality/Quantity]],0)</f>
        <v>0</v>
      </c>
    </row>
    <row r="1298" spans="1:12">
      <c r="A1298" t="s">
        <v>172</v>
      </c>
      <c r="B1298" t="s">
        <v>9</v>
      </c>
      <c r="C1298">
        <v>10</v>
      </c>
      <c r="D1298">
        <v>4218</v>
      </c>
      <c r="E1298">
        <v>2</v>
      </c>
      <c r="F1298" t="s">
        <v>258</v>
      </c>
      <c r="G1298">
        <v>1</v>
      </c>
      <c r="H1298" t="s">
        <v>29</v>
      </c>
      <c r="I1298">
        <v>22824</v>
      </c>
      <c r="J1298">
        <f>DropAnalityka[[#This Row],[Sell Drop]]+IFERROR(SUMIFS(Tabela10[Drop Worth],Tabela10[Drop],DropAnalityka[[#This Row],[Drop]],Tabela10[Grade],DropAnalityka[[#This Row],[Grade]])*DropAnalityka[[#This Row],[Quality/Quantity]],0)</f>
        <v>22824</v>
      </c>
      <c r="K1298" s="43">
        <f>IFERROR(SUMIFS(Tabela10[Fod Worth],Tabela10[Drop],DropAnalityka[[#This Row],[Drop]],Tabela10[Grade],DropAnalityka[[#This Row],[Grade]])*DropAnalityka[[#This Row],[Quality/Quantity]],0)</f>
        <v>0</v>
      </c>
      <c r="L1298" s="43">
        <f>IFERROR(SUMIFS(Tabela10[Exp Gain only 2*+],Tabela10[Drop],DropAnalityka[[#This Row],[Drop]],Tabela10[Grade],DropAnalityka[[#This Row],[Grade]])*DropAnalityka[[#This Row],[Quality/Quantity]],0)</f>
        <v>0</v>
      </c>
    </row>
    <row r="1299" spans="1:12">
      <c r="A1299" t="s">
        <v>172</v>
      </c>
      <c r="B1299" t="s">
        <v>9</v>
      </c>
      <c r="C1299">
        <v>10</v>
      </c>
      <c r="D1299">
        <v>3925</v>
      </c>
      <c r="E1299">
        <v>1</v>
      </c>
      <c r="F1299" t="s">
        <v>291</v>
      </c>
      <c r="G1299">
        <v>1</v>
      </c>
      <c r="H1299" t="s">
        <v>28</v>
      </c>
      <c r="I1299">
        <v>15300</v>
      </c>
      <c r="J1299">
        <f>DropAnalityka[[#This Row],[Sell Drop]]+IFERROR(SUMIFS(Tabela10[Drop Worth],Tabela10[Drop],DropAnalityka[[#This Row],[Drop]],Tabela10[Grade],DropAnalityka[[#This Row],[Grade]])*DropAnalityka[[#This Row],[Quality/Quantity]],0)</f>
        <v>15300</v>
      </c>
      <c r="K1299" s="43">
        <f>IFERROR(SUMIFS(Tabela10[Fod Worth],Tabela10[Drop],DropAnalityka[[#This Row],[Drop]],Tabela10[Grade],DropAnalityka[[#This Row],[Grade]])*DropAnalityka[[#This Row],[Quality/Quantity]],0)</f>
        <v>0</v>
      </c>
      <c r="L1299" s="43">
        <f>IFERROR(SUMIFS(Tabela10[Exp Gain only 2*+],Tabela10[Drop],DropAnalityka[[#This Row],[Drop]],Tabela10[Grade],DropAnalityka[[#This Row],[Grade]])*DropAnalityka[[#This Row],[Quality/Quantity]],0)</f>
        <v>0</v>
      </c>
    </row>
    <row r="1300" spans="1:12">
      <c r="A1300" t="s">
        <v>172</v>
      </c>
      <c r="B1300" t="s">
        <v>9</v>
      </c>
      <c r="C1300">
        <v>10</v>
      </c>
      <c r="D1300">
        <v>4086</v>
      </c>
      <c r="E1300">
        <v>4</v>
      </c>
      <c r="F1300" t="s">
        <v>258</v>
      </c>
      <c r="G1300">
        <v>1</v>
      </c>
      <c r="H1300" t="s">
        <v>28</v>
      </c>
      <c r="I1300">
        <v>5652</v>
      </c>
      <c r="J1300">
        <f>DropAnalityka[[#This Row],[Sell Drop]]+IFERROR(SUMIFS(Tabela10[Drop Worth],Tabela10[Drop],DropAnalityka[[#This Row],[Drop]],Tabela10[Grade],DropAnalityka[[#This Row],[Grade]])*DropAnalityka[[#This Row],[Quality/Quantity]],0)</f>
        <v>5652</v>
      </c>
      <c r="K1300" s="43">
        <f>IFERROR(SUMIFS(Tabela10[Fod Worth],Tabela10[Drop],DropAnalityka[[#This Row],[Drop]],Tabela10[Grade],DropAnalityka[[#This Row],[Grade]])*DropAnalityka[[#This Row],[Quality/Quantity]],0)</f>
        <v>0</v>
      </c>
      <c r="L1300" s="43">
        <f>IFERROR(SUMIFS(Tabela10[Exp Gain only 2*+],Tabela10[Drop],DropAnalityka[[#This Row],[Drop]],Tabela10[Grade],DropAnalityka[[#This Row],[Grade]])*DropAnalityka[[#This Row],[Quality/Quantity]],0)</f>
        <v>0</v>
      </c>
    </row>
    <row r="1301" spans="1:12">
      <c r="A1301" t="s">
        <v>172</v>
      </c>
      <c r="B1301" t="s">
        <v>9</v>
      </c>
      <c r="C1301">
        <v>10</v>
      </c>
      <c r="D1301">
        <v>4019</v>
      </c>
      <c r="E1301">
        <v>1</v>
      </c>
      <c r="F1301" t="s">
        <v>258</v>
      </c>
      <c r="G1301">
        <v>1</v>
      </c>
      <c r="H1301" t="s">
        <v>29</v>
      </c>
      <c r="I1301">
        <v>8510</v>
      </c>
      <c r="J1301">
        <f>DropAnalityka[[#This Row],[Sell Drop]]+IFERROR(SUMIFS(Tabela10[Drop Worth],Tabela10[Drop],DropAnalityka[[#This Row],[Drop]],Tabela10[Grade],DropAnalityka[[#This Row],[Grade]])*DropAnalityka[[#This Row],[Quality/Quantity]],0)</f>
        <v>8510</v>
      </c>
      <c r="K1301" s="43">
        <f>IFERROR(SUMIFS(Tabela10[Fod Worth],Tabela10[Drop],DropAnalityka[[#This Row],[Drop]],Tabela10[Grade],DropAnalityka[[#This Row],[Grade]])*DropAnalityka[[#This Row],[Quality/Quantity]],0)</f>
        <v>0</v>
      </c>
      <c r="L1301" s="43">
        <f>IFERROR(SUMIFS(Tabela10[Exp Gain only 2*+],Tabela10[Drop],DropAnalityka[[#This Row],[Drop]],Tabela10[Grade],DropAnalityka[[#This Row],[Grade]])*DropAnalityka[[#This Row],[Quality/Quantity]],0)</f>
        <v>0</v>
      </c>
    </row>
    <row r="1302" spans="1:12">
      <c r="A1302" t="s">
        <v>172</v>
      </c>
      <c r="B1302" t="s">
        <v>9</v>
      </c>
      <c r="C1302">
        <v>10</v>
      </c>
      <c r="D1302">
        <v>4281</v>
      </c>
      <c r="E1302">
        <v>2</v>
      </c>
      <c r="F1302" t="s">
        <v>34</v>
      </c>
      <c r="G1302">
        <v>5</v>
      </c>
      <c r="H1302" t="s">
        <v>17</v>
      </c>
      <c r="I1302">
        <v>0</v>
      </c>
      <c r="J130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02" s="43">
        <f>IFERROR(SUMIFS(Tabela10[Fod Worth],Tabela10[Drop],DropAnalityka[[#This Row],[Drop]],Tabela10[Grade],DropAnalityka[[#This Row],[Grade]])*DropAnalityka[[#This Row],[Quality/Quantity]],0)</f>
        <v>0</v>
      </c>
      <c r="L1302" s="43">
        <f>IFERROR(SUMIFS(Tabela10[Exp Gain only 2*+],Tabela10[Drop],DropAnalityka[[#This Row],[Drop]],Tabela10[Grade],DropAnalityka[[#This Row],[Grade]])*DropAnalityka[[#This Row],[Quality/Quantity]],0)</f>
        <v>4000</v>
      </c>
    </row>
    <row r="1303" spans="1:12">
      <c r="A1303" t="s">
        <v>172</v>
      </c>
      <c r="B1303" t="s">
        <v>9</v>
      </c>
      <c r="C1303">
        <v>10</v>
      </c>
      <c r="D1303">
        <v>3978</v>
      </c>
      <c r="E1303">
        <v>1</v>
      </c>
      <c r="F1303" t="s">
        <v>258</v>
      </c>
      <c r="G1303">
        <v>1</v>
      </c>
      <c r="H1303" t="s">
        <v>28</v>
      </c>
      <c r="I1303">
        <v>5652</v>
      </c>
      <c r="J1303">
        <f>DropAnalityka[[#This Row],[Sell Drop]]+IFERROR(SUMIFS(Tabela10[Drop Worth],Tabela10[Drop],DropAnalityka[[#This Row],[Drop]],Tabela10[Grade],DropAnalityka[[#This Row],[Grade]])*DropAnalityka[[#This Row],[Quality/Quantity]],0)</f>
        <v>5652</v>
      </c>
      <c r="K1303" s="43">
        <f>IFERROR(SUMIFS(Tabela10[Fod Worth],Tabela10[Drop],DropAnalityka[[#This Row],[Drop]],Tabela10[Grade],DropAnalityka[[#This Row],[Grade]])*DropAnalityka[[#This Row],[Quality/Quantity]],0)</f>
        <v>0</v>
      </c>
      <c r="L1303" s="43">
        <f>IFERROR(SUMIFS(Tabela10[Exp Gain only 2*+],Tabela10[Drop],DropAnalityka[[#This Row],[Drop]],Tabela10[Grade],DropAnalityka[[#This Row],[Grade]])*DropAnalityka[[#This Row],[Quality/Quantity]],0)</f>
        <v>0</v>
      </c>
    </row>
    <row r="1304" spans="1:12">
      <c r="A1304" t="s">
        <v>172</v>
      </c>
      <c r="B1304" t="s">
        <v>9</v>
      </c>
      <c r="C1304">
        <v>10</v>
      </c>
      <c r="D1304">
        <v>4032</v>
      </c>
      <c r="E1304">
        <v>2</v>
      </c>
      <c r="F1304" t="s">
        <v>258</v>
      </c>
      <c r="G1304">
        <v>1</v>
      </c>
      <c r="H1304" t="s">
        <v>28</v>
      </c>
      <c r="I1304">
        <v>6120</v>
      </c>
      <c r="J1304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304" s="43">
        <f>IFERROR(SUMIFS(Tabela10[Fod Worth],Tabela10[Drop],DropAnalityka[[#This Row],[Drop]],Tabela10[Grade],DropAnalityka[[#This Row],[Grade]])*DropAnalityka[[#This Row],[Quality/Quantity]],0)</f>
        <v>0</v>
      </c>
      <c r="L1304" s="43">
        <f>IFERROR(SUMIFS(Tabela10[Exp Gain only 2*+],Tabela10[Drop],DropAnalityka[[#This Row],[Drop]],Tabela10[Grade],DropAnalityka[[#This Row],[Grade]])*DropAnalityka[[#This Row],[Quality/Quantity]],0)</f>
        <v>0</v>
      </c>
    </row>
    <row r="1305" spans="1:12">
      <c r="A1305" t="s">
        <v>172</v>
      </c>
      <c r="B1305" t="s">
        <v>9</v>
      </c>
      <c r="C1305">
        <v>10</v>
      </c>
      <c r="D1305">
        <v>3957</v>
      </c>
      <c r="E1305">
        <v>0</v>
      </c>
      <c r="F1305" t="s">
        <v>291</v>
      </c>
      <c r="G1305">
        <v>1</v>
      </c>
      <c r="H1305" t="s">
        <v>28</v>
      </c>
      <c r="I1305">
        <v>6120</v>
      </c>
      <c r="J1305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305" s="43">
        <f>IFERROR(SUMIFS(Tabela10[Fod Worth],Tabela10[Drop],DropAnalityka[[#This Row],[Drop]],Tabela10[Grade],DropAnalityka[[#This Row],[Grade]])*DropAnalityka[[#This Row],[Quality/Quantity]],0)</f>
        <v>0</v>
      </c>
      <c r="L1305" s="43">
        <f>IFERROR(SUMIFS(Tabela10[Exp Gain only 2*+],Tabela10[Drop],DropAnalityka[[#This Row],[Drop]],Tabela10[Grade],DropAnalityka[[#This Row],[Grade]])*DropAnalityka[[#This Row],[Quality/Quantity]],0)</f>
        <v>0</v>
      </c>
    </row>
    <row r="1306" spans="1:12">
      <c r="A1306" t="s">
        <v>172</v>
      </c>
      <c r="B1306" t="s">
        <v>9</v>
      </c>
      <c r="C1306">
        <v>10</v>
      </c>
      <c r="D1306">
        <v>3863</v>
      </c>
      <c r="E1306">
        <v>1</v>
      </c>
      <c r="F1306" t="s">
        <v>318</v>
      </c>
      <c r="G1306">
        <v>1</v>
      </c>
      <c r="H1306" t="s">
        <v>28</v>
      </c>
      <c r="I1306">
        <v>10200</v>
      </c>
      <c r="J1306">
        <f>DropAnalityka[[#This Row],[Sell Drop]]+IFERROR(SUMIFS(Tabela10[Drop Worth],Tabela10[Drop],DropAnalityka[[#This Row],[Drop]],Tabela10[Grade],DropAnalityka[[#This Row],[Grade]])*DropAnalityka[[#This Row],[Quality/Quantity]],0)</f>
        <v>10200</v>
      </c>
      <c r="K1306" s="43">
        <f>IFERROR(SUMIFS(Tabela10[Fod Worth],Tabela10[Drop],DropAnalityka[[#This Row],[Drop]],Tabela10[Grade],DropAnalityka[[#This Row],[Grade]])*DropAnalityka[[#This Row],[Quality/Quantity]],0)</f>
        <v>0</v>
      </c>
      <c r="L1306" s="43">
        <f>IFERROR(SUMIFS(Tabela10[Exp Gain only 2*+],Tabela10[Drop],DropAnalityka[[#This Row],[Drop]],Tabela10[Grade],DropAnalityka[[#This Row],[Grade]])*DropAnalityka[[#This Row],[Quality/Quantity]],0)</f>
        <v>0</v>
      </c>
    </row>
    <row r="1307" spans="1:12">
      <c r="A1307" t="s">
        <v>172</v>
      </c>
      <c r="B1307" t="s">
        <v>9</v>
      </c>
      <c r="C1307">
        <v>10</v>
      </c>
      <c r="D1307">
        <v>3842</v>
      </c>
      <c r="E1307">
        <v>0</v>
      </c>
      <c r="F1307" t="s">
        <v>258</v>
      </c>
      <c r="G1307">
        <v>1</v>
      </c>
      <c r="H1307" t="s">
        <v>28</v>
      </c>
      <c r="I1307">
        <v>5737</v>
      </c>
      <c r="J1307">
        <f>DropAnalityka[[#This Row],[Sell Drop]]+IFERROR(SUMIFS(Tabela10[Drop Worth],Tabela10[Drop],DropAnalityka[[#This Row],[Drop]],Tabela10[Grade],DropAnalityka[[#This Row],[Grade]])*DropAnalityka[[#This Row],[Quality/Quantity]],0)</f>
        <v>5737</v>
      </c>
      <c r="K1307" s="43">
        <f>IFERROR(SUMIFS(Tabela10[Fod Worth],Tabela10[Drop],DropAnalityka[[#This Row],[Drop]],Tabela10[Grade],DropAnalityka[[#This Row],[Grade]])*DropAnalityka[[#This Row],[Quality/Quantity]],0)</f>
        <v>0</v>
      </c>
      <c r="L1307" s="43">
        <f>IFERROR(SUMIFS(Tabela10[Exp Gain only 2*+],Tabela10[Drop],DropAnalityka[[#This Row],[Drop]],Tabela10[Grade],DropAnalityka[[#This Row],[Grade]])*DropAnalityka[[#This Row],[Quality/Quantity]],0)</f>
        <v>0</v>
      </c>
    </row>
    <row r="1308" spans="1:12">
      <c r="A1308" t="s">
        <v>172</v>
      </c>
      <c r="B1308" t="s">
        <v>9</v>
      </c>
      <c r="C1308">
        <v>10</v>
      </c>
      <c r="D1308">
        <v>4207</v>
      </c>
      <c r="E1308">
        <v>3</v>
      </c>
      <c r="F1308" t="s">
        <v>291</v>
      </c>
      <c r="G1308">
        <v>1</v>
      </c>
      <c r="H1308" t="s">
        <v>29</v>
      </c>
      <c r="I1308">
        <v>27103</v>
      </c>
      <c r="J1308">
        <f>DropAnalityka[[#This Row],[Sell Drop]]+IFERROR(SUMIFS(Tabela10[Drop Worth],Tabela10[Drop],DropAnalityka[[#This Row],[Drop]],Tabela10[Grade],DropAnalityka[[#This Row],[Grade]])*DropAnalityka[[#This Row],[Quality/Quantity]],0)</f>
        <v>27103</v>
      </c>
      <c r="K1308" s="43">
        <f>IFERROR(SUMIFS(Tabela10[Fod Worth],Tabela10[Drop],DropAnalityka[[#This Row],[Drop]],Tabela10[Grade],DropAnalityka[[#This Row],[Grade]])*DropAnalityka[[#This Row],[Quality/Quantity]],0)</f>
        <v>0</v>
      </c>
      <c r="L1308" s="43">
        <f>IFERROR(SUMIFS(Tabela10[Exp Gain only 2*+],Tabela10[Drop],DropAnalityka[[#This Row],[Drop]],Tabela10[Grade],DropAnalityka[[#This Row],[Grade]])*DropAnalityka[[#This Row],[Quality/Quantity]],0)</f>
        <v>0</v>
      </c>
    </row>
    <row r="1309" spans="1:12">
      <c r="A1309" t="s">
        <v>172</v>
      </c>
      <c r="B1309" t="s">
        <v>9</v>
      </c>
      <c r="C1309">
        <v>10</v>
      </c>
      <c r="D1309">
        <v>3865</v>
      </c>
      <c r="E1309">
        <v>0</v>
      </c>
      <c r="F1309" t="s">
        <v>291</v>
      </c>
      <c r="G1309">
        <v>1</v>
      </c>
      <c r="H1309" t="s">
        <v>27</v>
      </c>
      <c r="I1309">
        <v>4295</v>
      </c>
      <c r="J1309">
        <f>DropAnalityka[[#This Row],[Sell Drop]]+IFERROR(SUMIFS(Tabela10[Drop Worth],Tabela10[Drop],DropAnalityka[[#This Row],[Drop]],Tabela10[Grade],DropAnalityka[[#This Row],[Grade]])*DropAnalityka[[#This Row],[Quality/Quantity]],0)</f>
        <v>4295</v>
      </c>
      <c r="K1309" s="43">
        <f>IFERROR(SUMIFS(Tabela10[Fod Worth],Tabela10[Drop],DropAnalityka[[#This Row],[Drop]],Tabela10[Grade],DropAnalityka[[#This Row],[Grade]])*DropAnalityka[[#This Row],[Quality/Quantity]],0)</f>
        <v>0</v>
      </c>
      <c r="L1309" s="43">
        <f>IFERROR(SUMIFS(Tabela10[Exp Gain only 2*+],Tabela10[Drop],DropAnalityka[[#This Row],[Drop]],Tabela10[Grade],DropAnalityka[[#This Row],[Grade]])*DropAnalityka[[#This Row],[Quality/Quantity]],0)</f>
        <v>0</v>
      </c>
    </row>
    <row r="1310" spans="1:12">
      <c r="A1310" t="s">
        <v>172</v>
      </c>
      <c r="B1310" t="s">
        <v>9</v>
      </c>
      <c r="C1310">
        <v>10</v>
      </c>
      <c r="D1310">
        <v>4382</v>
      </c>
      <c r="E1310">
        <v>2</v>
      </c>
      <c r="F1310" t="s">
        <v>258</v>
      </c>
      <c r="G1310">
        <v>1</v>
      </c>
      <c r="H1310" t="s">
        <v>28</v>
      </c>
      <c r="I1310">
        <v>3825</v>
      </c>
      <c r="J1310">
        <f>DropAnalityka[[#This Row],[Sell Drop]]+IFERROR(SUMIFS(Tabela10[Drop Worth],Tabela10[Drop],DropAnalityka[[#This Row],[Drop]],Tabela10[Grade],DropAnalityka[[#This Row],[Grade]])*DropAnalityka[[#This Row],[Quality/Quantity]],0)</f>
        <v>3825</v>
      </c>
      <c r="K1310" s="43">
        <f>IFERROR(SUMIFS(Tabela10[Fod Worth],Tabela10[Drop],DropAnalityka[[#This Row],[Drop]],Tabela10[Grade],DropAnalityka[[#This Row],[Grade]])*DropAnalityka[[#This Row],[Quality/Quantity]],0)</f>
        <v>0</v>
      </c>
      <c r="L1310" s="43">
        <f>IFERROR(SUMIFS(Tabela10[Exp Gain only 2*+],Tabela10[Drop],DropAnalityka[[#This Row],[Drop]],Tabela10[Grade],DropAnalityka[[#This Row],[Grade]])*DropAnalityka[[#This Row],[Quality/Quantity]],0)</f>
        <v>0</v>
      </c>
    </row>
    <row r="1311" spans="1:12">
      <c r="A1311" t="s">
        <v>172</v>
      </c>
      <c r="B1311" t="s">
        <v>9</v>
      </c>
      <c r="C1311">
        <v>10</v>
      </c>
      <c r="D1311">
        <v>4218</v>
      </c>
      <c r="E1311">
        <v>2</v>
      </c>
      <c r="F1311" t="s">
        <v>291</v>
      </c>
      <c r="G1311">
        <v>1</v>
      </c>
      <c r="H1311" t="s">
        <v>28</v>
      </c>
      <c r="I1311">
        <v>3507</v>
      </c>
      <c r="J1311">
        <f>DropAnalityka[[#This Row],[Sell Drop]]+IFERROR(SUMIFS(Tabela10[Drop Worth],Tabela10[Drop],DropAnalityka[[#This Row],[Drop]],Tabela10[Grade],DropAnalityka[[#This Row],[Grade]])*DropAnalityka[[#This Row],[Quality/Quantity]],0)</f>
        <v>3507</v>
      </c>
      <c r="K1311" s="43">
        <f>IFERROR(SUMIFS(Tabela10[Fod Worth],Tabela10[Drop],DropAnalityka[[#This Row],[Drop]],Tabela10[Grade],DropAnalityka[[#This Row],[Grade]])*DropAnalityka[[#This Row],[Quality/Quantity]],0)</f>
        <v>0</v>
      </c>
      <c r="L1311" s="43">
        <f>IFERROR(SUMIFS(Tabela10[Exp Gain only 2*+],Tabela10[Drop],DropAnalityka[[#This Row],[Drop]],Tabela10[Grade],DropAnalityka[[#This Row],[Grade]])*DropAnalityka[[#This Row],[Quality/Quantity]],0)</f>
        <v>0</v>
      </c>
    </row>
    <row r="1312" spans="1:12">
      <c r="A1312" t="s">
        <v>172</v>
      </c>
      <c r="B1312" t="s">
        <v>9</v>
      </c>
      <c r="C1312">
        <v>10</v>
      </c>
      <c r="D1312">
        <v>3737</v>
      </c>
      <c r="E1312">
        <v>1</v>
      </c>
      <c r="F1312" t="s">
        <v>34</v>
      </c>
      <c r="G1312">
        <v>5</v>
      </c>
      <c r="H1312" t="s">
        <v>17</v>
      </c>
      <c r="I1312">
        <v>0</v>
      </c>
      <c r="J131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12" s="43">
        <f>IFERROR(SUMIFS(Tabela10[Fod Worth],Tabela10[Drop],DropAnalityka[[#This Row],[Drop]],Tabela10[Grade],DropAnalityka[[#This Row],[Grade]])*DropAnalityka[[#This Row],[Quality/Quantity]],0)</f>
        <v>0</v>
      </c>
      <c r="L1312" s="43">
        <f>IFERROR(SUMIFS(Tabela10[Exp Gain only 2*+],Tabela10[Drop],DropAnalityka[[#This Row],[Drop]],Tabela10[Grade],DropAnalityka[[#This Row],[Grade]])*DropAnalityka[[#This Row],[Quality/Quantity]],0)</f>
        <v>4000</v>
      </c>
    </row>
    <row r="1313" spans="1:12">
      <c r="A1313" t="s">
        <v>172</v>
      </c>
      <c r="B1313" t="s">
        <v>9</v>
      </c>
      <c r="C1313">
        <v>10</v>
      </c>
      <c r="D1313">
        <v>3979</v>
      </c>
      <c r="E1313">
        <v>2</v>
      </c>
      <c r="F1313" t="s">
        <v>291</v>
      </c>
      <c r="G1313">
        <v>1</v>
      </c>
      <c r="H1313" t="s">
        <v>27</v>
      </c>
      <c r="I1313">
        <v>4547</v>
      </c>
      <c r="J1313">
        <f>DropAnalityka[[#This Row],[Sell Drop]]+IFERROR(SUMIFS(Tabela10[Drop Worth],Tabela10[Drop],DropAnalityka[[#This Row],[Drop]],Tabela10[Grade],DropAnalityka[[#This Row],[Grade]])*DropAnalityka[[#This Row],[Quality/Quantity]],0)</f>
        <v>4547</v>
      </c>
      <c r="K1313" s="43">
        <f>IFERROR(SUMIFS(Tabela10[Fod Worth],Tabela10[Drop],DropAnalityka[[#This Row],[Drop]],Tabela10[Grade],DropAnalityka[[#This Row],[Grade]])*DropAnalityka[[#This Row],[Quality/Quantity]],0)</f>
        <v>0</v>
      </c>
      <c r="L1313" s="43">
        <f>IFERROR(SUMIFS(Tabela10[Exp Gain only 2*+],Tabela10[Drop],DropAnalityka[[#This Row],[Drop]],Tabela10[Grade],DropAnalityka[[#This Row],[Grade]])*DropAnalityka[[#This Row],[Quality/Quantity]],0)</f>
        <v>0</v>
      </c>
    </row>
    <row r="1314" spans="1:12">
      <c r="A1314" t="s">
        <v>172</v>
      </c>
      <c r="B1314" t="s">
        <v>9</v>
      </c>
      <c r="C1314">
        <v>10</v>
      </c>
      <c r="D1314">
        <v>3965</v>
      </c>
      <c r="E1314">
        <v>0</v>
      </c>
      <c r="F1314" t="s">
        <v>258</v>
      </c>
      <c r="G1314">
        <v>1</v>
      </c>
      <c r="H1314" t="s">
        <v>27</v>
      </c>
      <c r="I1314">
        <v>2573</v>
      </c>
      <c r="J1314">
        <f>DropAnalityka[[#This Row],[Sell Drop]]+IFERROR(SUMIFS(Tabela10[Drop Worth],Tabela10[Drop],DropAnalityka[[#This Row],[Drop]],Tabela10[Grade],DropAnalityka[[#This Row],[Grade]])*DropAnalityka[[#This Row],[Quality/Quantity]],0)</f>
        <v>2573</v>
      </c>
      <c r="K1314" s="43">
        <f>IFERROR(SUMIFS(Tabela10[Fod Worth],Tabela10[Drop],DropAnalityka[[#This Row],[Drop]],Tabela10[Grade],DropAnalityka[[#This Row],[Grade]])*DropAnalityka[[#This Row],[Quality/Quantity]],0)</f>
        <v>0</v>
      </c>
      <c r="L1314" s="43">
        <f>IFERROR(SUMIFS(Tabela10[Exp Gain only 2*+],Tabela10[Drop],DropAnalityka[[#This Row],[Drop]],Tabela10[Grade],DropAnalityka[[#This Row],[Grade]])*DropAnalityka[[#This Row],[Quality/Quantity]],0)</f>
        <v>0</v>
      </c>
    </row>
    <row r="1315" spans="1:12">
      <c r="A1315" t="s">
        <v>172</v>
      </c>
      <c r="B1315" t="s">
        <v>9</v>
      </c>
      <c r="C1315">
        <v>10</v>
      </c>
      <c r="D1315">
        <v>3790</v>
      </c>
      <c r="E1315">
        <v>1</v>
      </c>
      <c r="F1315" t="s">
        <v>34</v>
      </c>
      <c r="G1315">
        <v>4</v>
      </c>
      <c r="H1315" t="s">
        <v>17</v>
      </c>
      <c r="I1315">
        <v>0</v>
      </c>
      <c r="J1315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15" s="43">
        <f>IFERROR(SUMIFS(Tabela10[Fod Worth],Tabela10[Drop],DropAnalityka[[#This Row],[Drop]],Tabela10[Grade],DropAnalityka[[#This Row],[Grade]])*DropAnalityka[[#This Row],[Quality/Quantity]],0)</f>
        <v>0</v>
      </c>
      <c r="L1315" s="43">
        <f>IFERROR(SUMIFS(Tabela10[Exp Gain only 2*+],Tabela10[Drop],DropAnalityka[[#This Row],[Drop]],Tabela10[Grade],DropAnalityka[[#This Row],[Grade]])*DropAnalityka[[#This Row],[Quality/Quantity]],0)</f>
        <v>3200</v>
      </c>
    </row>
    <row r="1316" spans="1:12">
      <c r="A1316" t="s">
        <v>172</v>
      </c>
      <c r="B1316" t="s">
        <v>9</v>
      </c>
      <c r="C1316">
        <v>10</v>
      </c>
      <c r="D1316">
        <v>4142</v>
      </c>
      <c r="E1316">
        <v>1</v>
      </c>
      <c r="F1316" t="s">
        <v>258</v>
      </c>
      <c r="G1316">
        <v>1</v>
      </c>
      <c r="H1316" t="s">
        <v>27</v>
      </c>
      <c r="I1316">
        <v>2411</v>
      </c>
      <c r="J1316">
        <f>DropAnalityka[[#This Row],[Sell Drop]]+IFERROR(SUMIFS(Tabela10[Drop Worth],Tabela10[Drop],DropAnalityka[[#This Row],[Drop]],Tabela10[Grade],DropAnalityka[[#This Row],[Grade]])*DropAnalityka[[#This Row],[Quality/Quantity]],0)</f>
        <v>2411</v>
      </c>
      <c r="K1316" s="43">
        <f>IFERROR(SUMIFS(Tabela10[Fod Worth],Tabela10[Drop],DropAnalityka[[#This Row],[Drop]],Tabela10[Grade],DropAnalityka[[#This Row],[Grade]])*DropAnalityka[[#This Row],[Quality/Quantity]],0)</f>
        <v>0</v>
      </c>
      <c r="L1316" s="43">
        <f>IFERROR(SUMIFS(Tabela10[Exp Gain only 2*+],Tabela10[Drop],DropAnalityka[[#This Row],[Drop]],Tabela10[Grade],DropAnalityka[[#This Row],[Grade]])*DropAnalityka[[#This Row],[Quality/Quantity]],0)</f>
        <v>0</v>
      </c>
    </row>
    <row r="1317" spans="1:12">
      <c r="A1317" t="s">
        <v>172</v>
      </c>
      <c r="B1317" t="s">
        <v>9</v>
      </c>
      <c r="C1317">
        <v>10</v>
      </c>
      <c r="D1317">
        <v>3754</v>
      </c>
      <c r="E1317">
        <v>0</v>
      </c>
      <c r="F1317" t="s">
        <v>58</v>
      </c>
      <c r="G1317">
        <v>1</v>
      </c>
      <c r="H1317" t="s">
        <v>12</v>
      </c>
      <c r="I1317">
        <v>0</v>
      </c>
      <c r="J13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17" s="43">
        <f>IFERROR(SUMIFS(Tabela10[Fod Worth],Tabela10[Drop],DropAnalityka[[#This Row],[Drop]],Tabela10[Grade],DropAnalityka[[#This Row],[Grade]])*DropAnalityka[[#This Row],[Quality/Quantity]],0)</f>
        <v>11500</v>
      </c>
      <c r="L1317" s="43">
        <f>IFERROR(SUMIFS(Tabela10[Exp Gain only 2*+],Tabela10[Drop],DropAnalityka[[#This Row],[Drop]],Tabela10[Grade],DropAnalityka[[#This Row],[Grade]])*DropAnalityka[[#This Row],[Quality/Quantity]],0)</f>
        <v>35822</v>
      </c>
    </row>
    <row r="1318" spans="1:12">
      <c r="A1318" t="s">
        <v>172</v>
      </c>
      <c r="B1318" t="s">
        <v>9</v>
      </c>
      <c r="C1318">
        <v>10</v>
      </c>
      <c r="D1318">
        <v>4313</v>
      </c>
      <c r="E1318">
        <v>1</v>
      </c>
      <c r="F1318" t="s">
        <v>258</v>
      </c>
      <c r="G1318">
        <v>1</v>
      </c>
      <c r="H1318" t="s">
        <v>28</v>
      </c>
      <c r="I1318">
        <v>11560</v>
      </c>
      <c r="J1318">
        <f>DropAnalityka[[#This Row],[Sell Drop]]+IFERROR(SUMIFS(Tabela10[Drop Worth],Tabela10[Drop],DropAnalityka[[#This Row],[Drop]],Tabela10[Grade],DropAnalityka[[#This Row],[Grade]])*DropAnalityka[[#This Row],[Quality/Quantity]],0)</f>
        <v>11560</v>
      </c>
      <c r="K1318" s="43">
        <f>IFERROR(SUMIFS(Tabela10[Fod Worth],Tabela10[Drop],DropAnalityka[[#This Row],[Drop]],Tabela10[Grade],DropAnalityka[[#This Row],[Grade]])*DropAnalityka[[#This Row],[Quality/Quantity]],0)</f>
        <v>0</v>
      </c>
      <c r="L1318" s="43">
        <f>IFERROR(SUMIFS(Tabela10[Exp Gain only 2*+],Tabela10[Drop],DropAnalityka[[#This Row],[Drop]],Tabela10[Grade],DropAnalityka[[#This Row],[Grade]])*DropAnalityka[[#This Row],[Quality/Quantity]],0)</f>
        <v>0</v>
      </c>
    </row>
    <row r="1319" spans="1:12">
      <c r="A1319" t="s">
        <v>178</v>
      </c>
      <c r="B1319" t="s">
        <v>9</v>
      </c>
      <c r="C1319">
        <v>10</v>
      </c>
      <c r="D1319">
        <v>4211</v>
      </c>
      <c r="E1319">
        <v>0</v>
      </c>
      <c r="F1319" t="s">
        <v>318</v>
      </c>
      <c r="G1319">
        <v>1</v>
      </c>
      <c r="H1319" t="s">
        <v>28</v>
      </c>
      <c r="I1319">
        <v>10880</v>
      </c>
      <c r="J1319">
        <f>DropAnalityka[[#This Row],[Sell Drop]]+IFERROR(SUMIFS(Tabela10[Drop Worth],Tabela10[Drop],DropAnalityka[[#This Row],[Drop]],Tabela10[Grade],DropAnalityka[[#This Row],[Grade]])*DropAnalityka[[#This Row],[Quality/Quantity]],0)</f>
        <v>10880</v>
      </c>
      <c r="K1319" s="43">
        <f>IFERROR(SUMIFS(Tabela10[Fod Worth],Tabela10[Drop],DropAnalityka[[#This Row],[Drop]],Tabela10[Grade],DropAnalityka[[#This Row],[Grade]])*DropAnalityka[[#This Row],[Quality/Quantity]],0)</f>
        <v>0</v>
      </c>
      <c r="L1319" s="43">
        <f>IFERROR(SUMIFS(Tabela10[Exp Gain only 2*+],Tabela10[Drop],DropAnalityka[[#This Row],[Drop]],Tabela10[Grade],DropAnalityka[[#This Row],[Grade]])*DropAnalityka[[#This Row],[Quality/Quantity]],0)</f>
        <v>0</v>
      </c>
    </row>
    <row r="1320" spans="1:12">
      <c r="A1320" t="s">
        <v>178</v>
      </c>
      <c r="B1320" t="s">
        <v>9</v>
      </c>
      <c r="C1320">
        <v>10</v>
      </c>
      <c r="D1320">
        <v>4311</v>
      </c>
      <c r="E1320">
        <v>0</v>
      </c>
      <c r="F1320" t="s">
        <v>34</v>
      </c>
      <c r="G1320">
        <v>5</v>
      </c>
      <c r="H1320" t="s">
        <v>17</v>
      </c>
      <c r="I1320">
        <v>0</v>
      </c>
      <c r="J1320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20" s="43">
        <f>IFERROR(SUMIFS(Tabela10[Fod Worth],Tabela10[Drop],DropAnalityka[[#This Row],[Drop]],Tabela10[Grade],DropAnalityka[[#This Row],[Grade]])*DropAnalityka[[#This Row],[Quality/Quantity]],0)</f>
        <v>0</v>
      </c>
      <c r="L1320" s="43">
        <f>IFERROR(SUMIFS(Tabela10[Exp Gain only 2*+],Tabela10[Drop],DropAnalityka[[#This Row],[Drop]],Tabela10[Grade],DropAnalityka[[#This Row],[Grade]])*DropAnalityka[[#This Row],[Quality/Quantity]],0)</f>
        <v>4000</v>
      </c>
    </row>
    <row r="1321" spans="1:12">
      <c r="A1321" t="s">
        <v>178</v>
      </c>
      <c r="B1321" t="s">
        <v>9</v>
      </c>
      <c r="C1321">
        <v>10</v>
      </c>
      <c r="D1321">
        <v>4245</v>
      </c>
      <c r="E1321">
        <v>0</v>
      </c>
      <c r="F1321" t="s">
        <v>34</v>
      </c>
      <c r="G1321">
        <v>4</v>
      </c>
      <c r="H1321" t="s">
        <v>17</v>
      </c>
      <c r="I1321">
        <v>0</v>
      </c>
      <c r="J132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21" s="43">
        <f>IFERROR(SUMIFS(Tabela10[Fod Worth],Tabela10[Drop],DropAnalityka[[#This Row],[Drop]],Tabela10[Grade],DropAnalityka[[#This Row],[Grade]])*DropAnalityka[[#This Row],[Quality/Quantity]],0)</f>
        <v>0</v>
      </c>
      <c r="L1321" s="43">
        <f>IFERROR(SUMIFS(Tabela10[Exp Gain only 2*+],Tabela10[Drop],DropAnalityka[[#This Row],[Drop]],Tabela10[Grade],DropAnalityka[[#This Row],[Grade]])*DropAnalityka[[#This Row],[Quality/Quantity]],0)</f>
        <v>3200</v>
      </c>
    </row>
    <row r="1322" spans="1:12">
      <c r="A1322" t="s">
        <v>178</v>
      </c>
      <c r="B1322" t="s">
        <v>9</v>
      </c>
      <c r="C1322">
        <v>10</v>
      </c>
      <c r="D1322">
        <v>4436</v>
      </c>
      <c r="E1322">
        <v>1</v>
      </c>
      <c r="F1322" t="s">
        <v>258</v>
      </c>
      <c r="G1322">
        <v>1</v>
      </c>
      <c r="H1322" t="s">
        <v>28</v>
      </c>
      <c r="I1322">
        <v>8925</v>
      </c>
      <c r="J1322">
        <f>DropAnalityka[[#This Row],[Sell Drop]]+IFERROR(SUMIFS(Tabela10[Drop Worth],Tabela10[Drop],DropAnalityka[[#This Row],[Drop]],Tabela10[Grade],DropAnalityka[[#This Row],[Grade]])*DropAnalityka[[#This Row],[Quality/Quantity]],0)</f>
        <v>8925</v>
      </c>
      <c r="K1322" s="43">
        <f>IFERROR(SUMIFS(Tabela10[Fod Worth],Tabela10[Drop],DropAnalityka[[#This Row],[Drop]],Tabela10[Grade],DropAnalityka[[#This Row],[Grade]])*DropAnalityka[[#This Row],[Quality/Quantity]],0)</f>
        <v>0</v>
      </c>
      <c r="L1322" s="43">
        <f>IFERROR(SUMIFS(Tabela10[Exp Gain only 2*+],Tabela10[Drop],DropAnalityka[[#This Row],[Drop]],Tabela10[Grade],DropAnalityka[[#This Row],[Grade]])*DropAnalityka[[#This Row],[Quality/Quantity]],0)</f>
        <v>0</v>
      </c>
    </row>
    <row r="1323" spans="1:12">
      <c r="A1323" t="s">
        <v>178</v>
      </c>
      <c r="B1323" t="s">
        <v>9</v>
      </c>
      <c r="C1323">
        <v>10</v>
      </c>
      <c r="D1323">
        <v>4301</v>
      </c>
      <c r="E1323">
        <v>0</v>
      </c>
      <c r="F1323" t="s">
        <v>34</v>
      </c>
      <c r="G1323">
        <v>5</v>
      </c>
      <c r="H1323" t="s">
        <v>17</v>
      </c>
      <c r="I1323">
        <v>0</v>
      </c>
      <c r="J1323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23" s="43">
        <f>IFERROR(SUMIFS(Tabela10[Fod Worth],Tabela10[Drop],DropAnalityka[[#This Row],[Drop]],Tabela10[Grade],DropAnalityka[[#This Row],[Grade]])*DropAnalityka[[#This Row],[Quality/Quantity]],0)</f>
        <v>0</v>
      </c>
      <c r="L1323" s="43">
        <f>IFERROR(SUMIFS(Tabela10[Exp Gain only 2*+],Tabela10[Drop],DropAnalityka[[#This Row],[Drop]],Tabela10[Grade],DropAnalityka[[#This Row],[Grade]])*DropAnalityka[[#This Row],[Quality/Quantity]],0)</f>
        <v>4000</v>
      </c>
    </row>
    <row r="1324" spans="1:12">
      <c r="A1324" t="s">
        <v>178</v>
      </c>
      <c r="B1324" t="s">
        <v>9</v>
      </c>
      <c r="C1324">
        <v>10</v>
      </c>
      <c r="D1324">
        <v>4084</v>
      </c>
      <c r="E1324">
        <v>0</v>
      </c>
      <c r="F1324" t="s">
        <v>34</v>
      </c>
      <c r="G1324">
        <v>4</v>
      </c>
      <c r="H1324" t="s">
        <v>17</v>
      </c>
      <c r="I1324">
        <v>0</v>
      </c>
      <c r="J132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24" s="43">
        <f>IFERROR(SUMIFS(Tabela10[Fod Worth],Tabela10[Drop],DropAnalityka[[#This Row],[Drop]],Tabela10[Grade],DropAnalityka[[#This Row],[Grade]])*DropAnalityka[[#This Row],[Quality/Quantity]],0)</f>
        <v>0</v>
      </c>
      <c r="L1324" s="43">
        <f>IFERROR(SUMIFS(Tabela10[Exp Gain only 2*+],Tabela10[Drop],DropAnalityka[[#This Row],[Drop]],Tabela10[Grade],DropAnalityka[[#This Row],[Grade]])*DropAnalityka[[#This Row],[Quality/Quantity]],0)</f>
        <v>3200</v>
      </c>
    </row>
    <row r="1325" spans="1:12">
      <c r="A1325" t="s">
        <v>178</v>
      </c>
      <c r="B1325" t="s">
        <v>9</v>
      </c>
      <c r="C1325">
        <v>10</v>
      </c>
      <c r="D1325">
        <v>4184</v>
      </c>
      <c r="E1325">
        <v>1</v>
      </c>
      <c r="F1325" t="s">
        <v>291</v>
      </c>
      <c r="G1325">
        <v>1</v>
      </c>
      <c r="H1325" t="s">
        <v>28</v>
      </c>
      <c r="I1325">
        <v>13580</v>
      </c>
      <c r="J1325">
        <f>DropAnalityka[[#This Row],[Sell Drop]]+IFERROR(SUMIFS(Tabela10[Drop Worth],Tabela10[Drop],DropAnalityka[[#This Row],[Drop]],Tabela10[Grade],DropAnalityka[[#This Row],[Grade]])*DropAnalityka[[#This Row],[Quality/Quantity]],0)</f>
        <v>13580</v>
      </c>
      <c r="K1325" s="43">
        <f>IFERROR(SUMIFS(Tabela10[Fod Worth],Tabela10[Drop],DropAnalityka[[#This Row],[Drop]],Tabela10[Grade],DropAnalityka[[#This Row],[Grade]])*DropAnalityka[[#This Row],[Quality/Quantity]],0)</f>
        <v>0</v>
      </c>
      <c r="L1325" s="43">
        <f>IFERROR(SUMIFS(Tabela10[Exp Gain only 2*+],Tabela10[Drop],DropAnalityka[[#This Row],[Drop]],Tabela10[Grade],DropAnalityka[[#This Row],[Grade]])*DropAnalityka[[#This Row],[Quality/Quantity]],0)</f>
        <v>0</v>
      </c>
    </row>
    <row r="1326" spans="1:12">
      <c r="A1326" t="s">
        <v>178</v>
      </c>
      <c r="B1326" t="s">
        <v>9</v>
      </c>
      <c r="C1326">
        <v>10</v>
      </c>
      <c r="D1326">
        <v>4874</v>
      </c>
      <c r="E1326">
        <v>1</v>
      </c>
      <c r="F1326" t="s">
        <v>58</v>
      </c>
      <c r="G1326">
        <v>1</v>
      </c>
      <c r="H1326" t="s">
        <v>12</v>
      </c>
      <c r="I1326">
        <v>0</v>
      </c>
      <c r="J13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26" s="43">
        <f>IFERROR(SUMIFS(Tabela10[Fod Worth],Tabela10[Drop],DropAnalityka[[#This Row],[Drop]],Tabela10[Grade],DropAnalityka[[#This Row],[Grade]])*DropAnalityka[[#This Row],[Quality/Quantity]],0)</f>
        <v>11500</v>
      </c>
      <c r="L1326" s="43">
        <f>IFERROR(SUMIFS(Tabela10[Exp Gain only 2*+],Tabela10[Drop],DropAnalityka[[#This Row],[Drop]],Tabela10[Grade],DropAnalityka[[#This Row],[Grade]])*DropAnalityka[[#This Row],[Quality/Quantity]],0)</f>
        <v>35822</v>
      </c>
    </row>
    <row r="1327" spans="1:12">
      <c r="A1327" t="s">
        <v>178</v>
      </c>
      <c r="B1327" t="s">
        <v>9</v>
      </c>
      <c r="C1327">
        <v>10</v>
      </c>
      <c r="D1327">
        <v>4504</v>
      </c>
      <c r="E1327">
        <v>3</v>
      </c>
      <c r="F1327" t="s">
        <v>205</v>
      </c>
      <c r="G1327">
        <v>3</v>
      </c>
      <c r="H1327" t="s">
        <v>26</v>
      </c>
      <c r="I1327">
        <v>0</v>
      </c>
      <c r="J13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27" s="43">
        <f>IFERROR(SUMIFS(Tabela10[Fod Worth],Tabela10[Drop],DropAnalityka[[#This Row],[Drop]],Tabela10[Grade],DropAnalityka[[#This Row],[Grade]])*DropAnalityka[[#This Row],[Quality/Quantity]],0)</f>
        <v>2587.5</v>
      </c>
      <c r="L1327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1328" spans="1:12">
      <c r="A1328" t="s">
        <v>178</v>
      </c>
      <c r="B1328" t="s">
        <v>9</v>
      </c>
      <c r="C1328">
        <v>10</v>
      </c>
      <c r="D1328">
        <v>4678</v>
      </c>
      <c r="E1328">
        <v>0</v>
      </c>
      <c r="F1328" t="s">
        <v>258</v>
      </c>
      <c r="G1328">
        <v>1</v>
      </c>
      <c r="H1328" t="s">
        <v>27</v>
      </c>
      <c r="I1328">
        <v>2940</v>
      </c>
      <c r="J1328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328" s="43">
        <f>IFERROR(SUMIFS(Tabela10[Fod Worth],Tabela10[Drop],DropAnalityka[[#This Row],[Drop]],Tabela10[Grade],DropAnalityka[[#This Row],[Grade]])*DropAnalityka[[#This Row],[Quality/Quantity]],0)</f>
        <v>0</v>
      </c>
      <c r="L1328" s="43">
        <f>IFERROR(SUMIFS(Tabela10[Exp Gain only 2*+],Tabela10[Drop],DropAnalityka[[#This Row],[Drop]],Tabela10[Grade],DropAnalityka[[#This Row],[Grade]])*DropAnalityka[[#This Row],[Quality/Quantity]],0)</f>
        <v>0</v>
      </c>
    </row>
    <row r="1329" spans="1:12">
      <c r="A1329" t="s">
        <v>178</v>
      </c>
      <c r="B1329" t="s">
        <v>9</v>
      </c>
      <c r="C1329">
        <v>10</v>
      </c>
      <c r="D1329">
        <v>4384</v>
      </c>
      <c r="E1329">
        <v>3</v>
      </c>
      <c r="F1329" t="s">
        <v>258</v>
      </c>
      <c r="G1329">
        <v>1</v>
      </c>
      <c r="H1329" t="s">
        <v>28</v>
      </c>
      <c r="I1329">
        <v>6120</v>
      </c>
      <c r="J1329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329" s="43">
        <f>IFERROR(SUMIFS(Tabela10[Fod Worth],Tabela10[Drop],DropAnalityka[[#This Row],[Drop]],Tabela10[Grade],DropAnalityka[[#This Row],[Grade]])*DropAnalityka[[#This Row],[Quality/Quantity]],0)</f>
        <v>0</v>
      </c>
      <c r="L1329" s="43">
        <f>IFERROR(SUMIFS(Tabela10[Exp Gain only 2*+],Tabela10[Drop],DropAnalityka[[#This Row],[Drop]],Tabela10[Grade],DropAnalityka[[#This Row],[Grade]])*DropAnalityka[[#This Row],[Quality/Quantity]],0)</f>
        <v>0</v>
      </c>
    </row>
    <row r="1330" spans="1:12">
      <c r="A1330" t="s">
        <v>178</v>
      </c>
      <c r="B1330" t="s">
        <v>9</v>
      </c>
      <c r="C1330">
        <v>10</v>
      </c>
      <c r="D1330">
        <v>4926</v>
      </c>
      <c r="E1330">
        <v>2</v>
      </c>
      <c r="F1330" t="s">
        <v>258</v>
      </c>
      <c r="G1330">
        <v>1</v>
      </c>
      <c r="H1330" t="s">
        <v>29</v>
      </c>
      <c r="I1330">
        <v>22190</v>
      </c>
      <c r="J1330">
        <f>DropAnalityka[[#This Row],[Sell Drop]]+IFERROR(SUMIFS(Tabela10[Drop Worth],Tabela10[Drop],DropAnalityka[[#This Row],[Drop]],Tabela10[Grade],DropAnalityka[[#This Row],[Grade]])*DropAnalityka[[#This Row],[Quality/Quantity]],0)</f>
        <v>22190</v>
      </c>
      <c r="K1330" s="43">
        <f>IFERROR(SUMIFS(Tabela10[Fod Worth],Tabela10[Drop],DropAnalityka[[#This Row],[Drop]],Tabela10[Grade],DropAnalityka[[#This Row],[Grade]])*DropAnalityka[[#This Row],[Quality/Quantity]],0)</f>
        <v>0</v>
      </c>
      <c r="L1330" s="43">
        <f>IFERROR(SUMIFS(Tabela10[Exp Gain only 2*+],Tabela10[Drop],DropAnalityka[[#This Row],[Drop]],Tabela10[Grade],DropAnalityka[[#This Row],[Grade]])*DropAnalityka[[#This Row],[Quality/Quantity]],0)</f>
        <v>0</v>
      </c>
    </row>
    <row r="1331" spans="1:12">
      <c r="A1331" t="s">
        <v>178</v>
      </c>
      <c r="B1331" t="s">
        <v>9</v>
      </c>
      <c r="C1331">
        <v>10</v>
      </c>
      <c r="D1331">
        <v>4473</v>
      </c>
      <c r="E1331">
        <v>4</v>
      </c>
      <c r="F1331" t="s">
        <v>34</v>
      </c>
      <c r="G1331">
        <v>4</v>
      </c>
      <c r="H1331" t="s">
        <v>17</v>
      </c>
      <c r="I1331">
        <v>0</v>
      </c>
      <c r="J133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31" s="43">
        <f>IFERROR(SUMIFS(Tabela10[Fod Worth],Tabela10[Drop],DropAnalityka[[#This Row],[Drop]],Tabela10[Grade],DropAnalityka[[#This Row],[Grade]])*DropAnalityka[[#This Row],[Quality/Quantity]],0)</f>
        <v>0</v>
      </c>
      <c r="L1331" s="43">
        <f>IFERROR(SUMIFS(Tabela10[Exp Gain only 2*+],Tabela10[Drop],DropAnalityka[[#This Row],[Drop]],Tabela10[Grade],DropAnalityka[[#This Row],[Grade]])*DropAnalityka[[#This Row],[Quality/Quantity]],0)</f>
        <v>3200</v>
      </c>
    </row>
    <row r="1332" spans="1:12">
      <c r="A1332" t="s">
        <v>178</v>
      </c>
      <c r="B1332" t="s">
        <v>9</v>
      </c>
      <c r="C1332">
        <v>10</v>
      </c>
      <c r="D1332">
        <v>4685</v>
      </c>
      <c r="E1332">
        <v>0</v>
      </c>
      <c r="F1332" t="s">
        <v>258</v>
      </c>
      <c r="G1332">
        <v>1</v>
      </c>
      <c r="H1332" t="s">
        <v>27</v>
      </c>
      <c r="I1332">
        <v>3904</v>
      </c>
      <c r="J1332">
        <f>DropAnalityka[[#This Row],[Sell Drop]]+IFERROR(SUMIFS(Tabela10[Drop Worth],Tabela10[Drop],DropAnalityka[[#This Row],[Drop]],Tabela10[Grade],DropAnalityka[[#This Row],[Grade]])*DropAnalityka[[#This Row],[Quality/Quantity]],0)</f>
        <v>3904</v>
      </c>
      <c r="K1332" s="43">
        <f>IFERROR(SUMIFS(Tabela10[Fod Worth],Tabela10[Drop],DropAnalityka[[#This Row],[Drop]],Tabela10[Grade],DropAnalityka[[#This Row],[Grade]])*DropAnalityka[[#This Row],[Quality/Quantity]],0)</f>
        <v>0</v>
      </c>
      <c r="L1332" s="43">
        <f>IFERROR(SUMIFS(Tabela10[Exp Gain only 2*+],Tabela10[Drop],DropAnalityka[[#This Row],[Drop]],Tabela10[Grade],DropAnalityka[[#This Row],[Grade]])*DropAnalityka[[#This Row],[Quality/Quantity]],0)</f>
        <v>0</v>
      </c>
    </row>
    <row r="1333" spans="1:12">
      <c r="A1333" t="s">
        <v>178</v>
      </c>
      <c r="B1333" t="s">
        <v>9</v>
      </c>
      <c r="C1333">
        <v>10</v>
      </c>
      <c r="D1333">
        <v>5046</v>
      </c>
      <c r="E1333">
        <v>1</v>
      </c>
      <c r="F1333" t="s">
        <v>258</v>
      </c>
      <c r="G1333">
        <v>1</v>
      </c>
      <c r="H1333" t="s">
        <v>28</v>
      </c>
      <c r="I1333">
        <v>10710</v>
      </c>
      <c r="J1333">
        <f>DropAnalityka[[#This Row],[Sell Drop]]+IFERROR(SUMIFS(Tabela10[Drop Worth],Tabela10[Drop],DropAnalityka[[#This Row],[Drop]],Tabela10[Grade],DropAnalityka[[#This Row],[Grade]])*DropAnalityka[[#This Row],[Quality/Quantity]],0)</f>
        <v>10710</v>
      </c>
      <c r="K1333" s="43">
        <f>IFERROR(SUMIFS(Tabela10[Fod Worth],Tabela10[Drop],DropAnalityka[[#This Row],[Drop]],Tabela10[Grade],DropAnalityka[[#This Row],[Grade]])*DropAnalityka[[#This Row],[Quality/Quantity]],0)</f>
        <v>0</v>
      </c>
      <c r="L1333" s="43">
        <f>IFERROR(SUMIFS(Tabela10[Exp Gain only 2*+],Tabela10[Drop],DropAnalityka[[#This Row],[Drop]],Tabela10[Grade],DropAnalityka[[#This Row],[Grade]])*DropAnalityka[[#This Row],[Quality/Quantity]],0)</f>
        <v>0</v>
      </c>
    </row>
    <row r="1334" spans="1:12">
      <c r="A1334" t="s">
        <v>178</v>
      </c>
      <c r="B1334" t="s">
        <v>9</v>
      </c>
      <c r="C1334">
        <v>9</v>
      </c>
      <c r="D1334">
        <v>3976</v>
      </c>
      <c r="E1334">
        <v>1</v>
      </c>
      <c r="F1334" t="s">
        <v>34</v>
      </c>
      <c r="G1334">
        <v>4</v>
      </c>
      <c r="H1334" t="s">
        <v>17</v>
      </c>
      <c r="I1334">
        <v>0</v>
      </c>
      <c r="J133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34" s="43">
        <f>IFERROR(SUMIFS(Tabela10[Fod Worth],Tabela10[Drop],DropAnalityka[[#This Row],[Drop]],Tabela10[Grade],DropAnalityka[[#This Row],[Grade]])*DropAnalityka[[#This Row],[Quality/Quantity]],0)</f>
        <v>0</v>
      </c>
      <c r="L1334" s="43">
        <f>IFERROR(SUMIFS(Tabela10[Exp Gain only 2*+],Tabela10[Drop],DropAnalityka[[#This Row],[Drop]],Tabela10[Grade],DropAnalityka[[#This Row],[Grade]])*DropAnalityka[[#This Row],[Quality/Quantity]],0)</f>
        <v>3200</v>
      </c>
    </row>
    <row r="1335" spans="1:12">
      <c r="A1335" t="s">
        <v>178</v>
      </c>
      <c r="B1335" t="s">
        <v>9</v>
      </c>
      <c r="C1335">
        <v>9</v>
      </c>
      <c r="D1335">
        <v>3952</v>
      </c>
      <c r="E1335">
        <v>1</v>
      </c>
      <c r="F1335" t="s">
        <v>34</v>
      </c>
      <c r="G1335">
        <v>4</v>
      </c>
      <c r="H1335" t="s">
        <v>17</v>
      </c>
      <c r="I1335">
        <v>0</v>
      </c>
      <c r="J1335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35" s="43">
        <f>IFERROR(SUMIFS(Tabela10[Fod Worth],Tabela10[Drop],DropAnalityka[[#This Row],[Drop]],Tabela10[Grade],DropAnalityka[[#This Row],[Grade]])*DropAnalityka[[#This Row],[Quality/Quantity]],0)</f>
        <v>0</v>
      </c>
      <c r="L1335" s="43">
        <f>IFERROR(SUMIFS(Tabela10[Exp Gain only 2*+],Tabela10[Drop],DropAnalityka[[#This Row],[Drop]],Tabela10[Grade],DropAnalityka[[#This Row],[Grade]])*DropAnalityka[[#This Row],[Quality/Quantity]],0)</f>
        <v>3200</v>
      </c>
    </row>
    <row r="1336" spans="1:12">
      <c r="A1336" t="s">
        <v>178</v>
      </c>
      <c r="B1336" t="s">
        <v>9</v>
      </c>
      <c r="C1336">
        <v>9</v>
      </c>
      <c r="D1336">
        <v>4003</v>
      </c>
      <c r="E1336">
        <v>1</v>
      </c>
      <c r="F1336" t="s">
        <v>258</v>
      </c>
      <c r="G1336">
        <v>1</v>
      </c>
      <c r="H1336" t="s">
        <v>27</v>
      </c>
      <c r="I1336">
        <v>6615</v>
      </c>
      <c r="J1336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336" s="43">
        <f>IFERROR(SUMIFS(Tabela10[Fod Worth],Tabela10[Drop],DropAnalityka[[#This Row],[Drop]],Tabela10[Grade],DropAnalityka[[#This Row],[Grade]])*DropAnalityka[[#This Row],[Quality/Quantity]],0)</f>
        <v>0</v>
      </c>
      <c r="L1336" s="43">
        <f>IFERROR(SUMIFS(Tabela10[Exp Gain only 2*+],Tabela10[Drop],DropAnalityka[[#This Row],[Drop]],Tabela10[Grade],DropAnalityka[[#This Row],[Grade]])*DropAnalityka[[#This Row],[Quality/Quantity]],0)</f>
        <v>0</v>
      </c>
    </row>
    <row r="1337" spans="1:12">
      <c r="A1337" t="s">
        <v>178</v>
      </c>
      <c r="B1337" t="s">
        <v>9</v>
      </c>
      <c r="C1337">
        <v>9</v>
      </c>
      <c r="D1337">
        <v>4086</v>
      </c>
      <c r="E1337">
        <v>0</v>
      </c>
      <c r="F1337" t="s">
        <v>318</v>
      </c>
      <c r="G1337">
        <v>1</v>
      </c>
      <c r="H1337" t="s">
        <v>28</v>
      </c>
      <c r="I1337">
        <v>15300</v>
      </c>
      <c r="J1337">
        <f>DropAnalityka[[#This Row],[Sell Drop]]+IFERROR(SUMIFS(Tabela10[Drop Worth],Tabela10[Drop],DropAnalityka[[#This Row],[Drop]],Tabela10[Grade],DropAnalityka[[#This Row],[Grade]])*DropAnalityka[[#This Row],[Quality/Quantity]],0)</f>
        <v>15300</v>
      </c>
      <c r="K1337" s="43">
        <f>IFERROR(SUMIFS(Tabela10[Fod Worth],Tabela10[Drop],DropAnalityka[[#This Row],[Drop]],Tabela10[Grade],DropAnalityka[[#This Row],[Grade]])*DropAnalityka[[#This Row],[Quality/Quantity]],0)</f>
        <v>0</v>
      </c>
      <c r="L1337" s="43">
        <f>IFERROR(SUMIFS(Tabela10[Exp Gain only 2*+],Tabela10[Drop],DropAnalityka[[#This Row],[Drop]],Tabela10[Grade],DropAnalityka[[#This Row],[Grade]])*DropAnalityka[[#This Row],[Quality/Quantity]],0)</f>
        <v>0</v>
      </c>
    </row>
    <row r="1338" spans="1:12">
      <c r="A1338" t="s">
        <v>178</v>
      </c>
      <c r="B1338" t="s">
        <v>9</v>
      </c>
      <c r="C1338">
        <v>9</v>
      </c>
      <c r="D1338">
        <v>4099</v>
      </c>
      <c r="E1338">
        <v>0</v>
      </c>
      <c r="F1338" t="s">
        <v>258</v>
      </c>
      <c r="G1338">
        <v>1</v>
      </c>
      <c r="H1338" t="s">
        <v>27</v>
      </c>
      <c r="I1338">
        <v>6982</v>
      </c>
      <c r="J1338">
        <f>DropAnalityka[[#This Row],[Sell Drop]]+IFERROR(SUMIFS(Tabela10[Drop Worth],Tabela10[Drop],DropAnalityka[[#This Row],[Drop]],Tabela10[Grade],DropAnalityka[[#This Row],[Grade]])*DropAnalityka[[#This Row],[Quality/Quantity]],0)</f>
        <v>6982</v>
      </c>
      <c r="K1338" s="43">
        <f>IFERROR(SUMIFS(Tabela10[Fod Worth],Tabela10[Drop],DropAnalityka[[#This Row],[Drop]],Tabela10[Grade],DropAnalityka[[#This Row],[Grade]])*DropAnalityka[[#This Row],[Quality/Quantity]],0)</f>
        <v>0</v>
      </c>
      <c r="L1338" s="43">
        <f>IFERROR(SUMIFS(Tabela10[Exp Gain only 2*+],Tabela10[Drop],DropAnalityka[[#This Row],[Drop]],Tabela10[Grade],DropAnalityka[[#This Row],[Grade]])*DropAnalityka[[#This Row],[Quality/Quantity]],0)</f>
        <v>0</v>
      </c>
    </row>
    <row r="1339" spans="1:12">
      <c r="A1339" t="s">
        <v>178</v>
      </c>
      <c r="B1339" t="s">
        <v>9</v>
      </c>
      <c r="C1339">
        <v>9</v>
      </c>
      <c r="D1339">
        <v>3929</v>
      </c>
      <c r="E1339">
        <v>3</v>
      </c>
      <c r="F1339" t="s">
        <v>258</v>
      </c>
      <c r="G1339">
        <v>1</v>
      </c>
      <c r="H1339" t="s">
        <v>27</v>
      </c>
      <c r="I1339">
        <v>7028</v>
      </c>
      <c r="J1339">
        <f>DropAnalityka[[#This Row],[Sell Drop]]+IFERROR(SUMIFS(Tabela10[Drop Worth],Tabela10[Drop],DropAnalityka[[#This Row],[Drop]],Tabela10[Grade],DropAnalityka[[#This Row],[Grade]])*DropAnalityka[[#This Row],[Quality/Quantity]],0)</f>
        <v>7028</v>
      </c>
      <c r="K1339" s="43">
        <f>IFERROR(SUMIFS(Tabela10[Fod Worth],Tabela10[Drop],DropAnalityka[[#This Row],[Drop]],Tabela10[Grade],DropAnalityka[[#This Row],[Grade]])*DropAnalityka[[#This Row],[Quality/Quantity]],0)</f>
        <v>0</v>
      </c>
      <c r="L1339" s="43">
        <f>IFERROR(SUMIFS(Tabela10[Exp Gain only 2*+],Tabela10[Drop],DropAnalityka[[#This Row],[Drop]],Tabela10[Grade],DropAnalityka[[#This Row],[Grade]])*DropAnalityka[[#This Row],[Quality/Quantity]],0)</f>
        <v>0</v>
      </c>
    </row>
    <row r="1340" spans="1:12">
      <c r="A1340" t="s">
        <v>178</v>
      </c>
      <c r="B1340" t="s">
        <v>9</v>
      </c>
      <c r="C1340">
        <v>9</v>
      </c>
      <c r="D1340">
        <v>4239</v>
      </c>
      <c r="E1340">
        <v>1</v>
      </c>
      <c r="F1340" t="s">
        <v>258</v>
      </c>
      <c r="G1340">
        <v>1</v>
      </c>
      <c r="H1340" t="s">
        <v>27</v>
      </c>
      <c r="I1340">
        <v>7855</v>
      </c>
      <c r="J1340">
        <f>DropAnalityka[[#This Row],[Sell Drop]]+IFERROR(SUMIFS(Tabela10[Drop Worth],Tabela10[Drop],DropAnalityka[[#This Row],[Drop]],Tabela10[Grade],DropAnalityka[[#This Row],[Grade]])*DropAnalityka[[#This Row],[Quality/Quantity]],0)</f>
        <v>7855</v>
      </c>
      <c r="K1340" s="43">
        <f>IFERROR(SUMIFS(Tabela10[Fod Worth],Tabela10[Drop],DropAnalityka[[#This Row],[Drop]],Tabela10[Grade],DropAnalityka[[#This Row],[Grade]])*DropAnalityka[[#This Row],[Quality/Quantity]],0)</f>
        <v>0</v>
      </c>
      <c r="L1340" s="43">
        <f>IFERROR(SUMIFS(Tabela10[Exp Gain only 2*+],Tabela10[Drop],DropAnalityka[[#This Row],[Drop]],Tabela10[Grade],DropAnalityka[[#This Row],[Grade]])*DropAnalityka[[#This Row],[Quality/Quantity]],0)</f>
        <v>0</v>
      </c>
    </row>
    <row r="1341" spans="1:12">
      <c r="A1341" t="s">
        <v>178</v>
      </c>
      <c r="B1341" t="s">
        <v>9</v>
      </c>
      <c r="C1341">
        <v>9</v>
      </c>
      <c r="D1341">
        <v>3909</v>
      </c>
      <c r="E1341">
        <v>0</v>
      </c>
      <c r="F1341" t="s">
        <v>34</v>
      </c>
      <c r="G1341">
        <v>5</v>
      </c>
      <c r="H1341" t="s">
        <v>17</v>
      </c>
      <c r="I1341">
        <v>0</v>
      </c>
      <c r="J1341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41" s="43">
        <f>IFERROR(SUMIFS(Tabela10[Fod Worth],Tabela10[Drop],DropAnalityka[[#This Row],[Drop]],Tabela10[Grade],DropAnalityka[[#This Row],[Grade]])*DropAnalityka[[#This Row],[Quality/Quantity]],0)</f>
        <v>0</v>
      </c>
      <c r="L1341" s="43">
        <f>IFERROR(SUMIFS(Tabela10[Exp Gain only 2*+],Tabela10[Drop],DropAnalityka[[#This Row],[Drop]],Tabela10[Grade],DropAnalityka[[#This Row],[Grade]])*DropAnalityka[[#This Row],[Quality/Quantity]],0)</f>
        <v>4000</v>
      </c>
    </row>
    <row r="1342" spans="1:12">
      <c r="A1342" t="s">
        <v>178</v>
      </c>
      <c r="B1342" t="s">
        <v>9</v>
      </c>
      <c r="C1342">
        <v>9</v>
      </c>
      <c r="D1342">
        <v>4064</v>
      </c>
      <c r="E1342">
        <v>1</v>
      </c>
      <c r="F1342" t="s">
        <v>34</v>
      </c>
      <c r="G1342">
        <v>5</v>
      </c>
      <c r="H1342" t="s">
        <v>17</v>
      </c>
      <c r="I1342">
        <v>0</v>
      </c>
      <c r="J134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42" s="43">
        <f>IFERROR(SUMIFS(Tabela10[Fod Worth],Tabela10[Drop],DropAnalityka[[#This Row],[Drop]],Tabela10[Grade],DropAnalityka[[#This Row],[Grade]])*DropAnalityka[[#This Row],[Quality/Quantity]],0)</f>
        <v>0</v>
      </c>
      <c r="L1342" s="43">
        <f>IFERROR(SUMIFS(Tabela10[Exp Gain only 2*+],Tabela10[Drop],DropAnalityka[[#This Row],[Drop]],Tabela10[Grade],DropAnalityka[[#This Row],[Grade]])*DropAnalityka[[#This Row],[Quality/Quantity]],0)</f>
        <v>4000</v>
      </c>
    </row>
    <row r="1343" spans="1:12">
      <c r="A1343" t="s">
        <v>178</v>
      </c>
      <c r="B1343" t="s">
        <v>9</v>
      </c>
      <c r="C1343">
        <v>9</v>
      </c>
      <c r="D1343">
        <v>4083</v>
      </c>
      <c r="E1343">
        <v>0</v>
      </c>
      <c r="F1343" t="s">
        <v>258</v>
      </c>
      <c r="G1343">
        <v>1</v>
      </c>
      <c r="H1343" t="s">
        <v>27</v>
      </c>
      <c r="I1343">
        <v>6615</v>
      </c>
      <c r="J1343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343" s="43">
        <f>IFERROR(SUMIFS(Tabela10[Fod Worth],Tabela10[Drop],DropAnalityka[[#This Row],[Drop]],Tabela10[Grade],DropAnalityka[[#This Row],[Grade]])*DropAnalityka[[#This Row],[Quality/Quantity]],0)</f>
        <v>0</v>
      </c>
      <c r="L1343" s="43">
        <f>IFERROR(SUMIFS(Tabela10[Exp Gain only 2*+],Tabela10[Drop],DropAnalityka[[#This Row],[Drop]],Tabela10[Grade],DropAnalityka[[#This Row],[Grade]])*DropAnalityka[[#This Row],[Quality/Quantity]],0)</f>
        <v>0</v>
      </c>
    </row>
    <row r="1344" spans="1:12">
      <c r="A1344" t="s">
        <v>178</v>
      </c>
      <c r="B1344" t="s">
        <v>9</v>
      </c>
      <c r="C1344">
        <v>9</v>
      </c>
      <c r="D1344">
        <v>3906</v>
      </c>
      <c r="E1344">
        <v>1</v>
      </c>
      <c r="F1344" t="s">
        <v>258</v>
      </c>
      <c r="G1344">
        <v>1</v>
      </c>
      <c r="H1344" t="s">
        <v>28</v>
      </c>
      <c r="I1344">
        <v>13005</v>
      </c>
      <c r="J1344">
        <f>DropAnalityka[[#This Row],[Sell Drop]]+IFERROR(SUMIFS(Tabela10[Drop Worth],Tabela10[Drop],DropAnalityka[[#This Row],[Drop]],Tabela10[Grade],DropAnalityka[[#This Row],[Grade]])*DropAnalityka[[#This Row],[Quality/Quantity]],0)</f>
        <v>13005</v>
      </c>
      <c r="K1344" s="43">
        <f>IFERROR(SUMIFS(Tabela10[Fod Worth],Tabela10[Drop],DropAnalityka[[#This Row],[Drop]],Tabela10[Grade],DropAnalityka[[#This Row],[Grade]])*DropAnalityka[[#This Row],[Quality/Quantity]],0)</f>
        <v>0</v>
      </c>
      <c r="L1344" s="43">
        <f>IFERROR(SUMIFS(Tabela10[Exp Gain only 2*+],Tabela10[Drop],DropAnalityka[[#This Row],[Drop]],Tabela10[Grade],DropAnalityka[[#This Row],[Grade]])*DropAnalityka[[#This Row],[Quality/Quantity]],0)</f>
        <v>0</v>
      </c>
    </row>
    <row r="1345" spans="1:12">
      <c r="A1345" t="s">
        <v>178</v>
      </c>
      <c r="B1345" t="s">
        <v>9</v>
      </c>
      <c r="C1345">
        <v>9</v>
      </c>
      <c r="D1345">
        <v>4056</v>
      </c>
      <c r="E1345">
        <v>0</v>
      </c>
      <c r="F1345" t="s">
        <v>258</v>
      </c>
      <c r="G1345">
        <v>1</v>
      </c>
      <c r="H1345" t="s">
        <v>27</v>
      </c>
      <c r="I1345">
        <v>6615</v>
      </c>
      <c r="J1345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345" s="43">
        <f>IFERROR(SUMIFS(Tabela10[Fod Worth],Tabela10[Drop],DropAnalityka[[#This Row],[Drop]],Tabela10[Grade],DropAnalityka[[#This Row],[Grade]])*DropAnalityka[[#This Row],[Quality/Quantity]],0)</f>
        <v>0</v>
      </c>
      <c r="L1345" s="43">
        <f>IFERROR(SUMIFS(Tabela10[Exp Gain only 2*+],Tabela10[Drop],DropAnalityka[[#This Row],[Drop]],Tabela10[Grade],DropAnalityka[[#This Row],[Grade]])*DropAnalityka[[#This Row],[Quality/Quantity]],0)</f>
        <v>0</v>
      </c>
    </row>
    <row r="1346" spans="1:12">
      <c r="A1346" t="s">
        <v>178</v>
      </c>
      <c r="B1346" t="s">
        <v>9</v>
      </c>
      <c r="C1346">
        <v>9</v>
      </c>
      <c r="D1346">
        <v>4209</v>
      </c>
      <c r="E1346">
        <v>1</v>
      </c>
      <c r="F1346" t="s">
        <v>205</v>
      </c>
      <c r="G1346">
        <v>3</v>
      </c>
      <c r="H1346" t="s">
        <v>26</v>
      </c>
      <c r="I1346">
        <v>0</v>
      </c>
      <c r="J13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46" s="43">
        <f>IFERROR(SUMIFS(Tabela10[Fod Worth],Tabela10[Drop],DropAnalityka[[#This Row],[Drop]],Tabela10[Grade],DropAnalityka[[#This Row],[Grade]])*DropAnalityka[[#This Row],[Quality/Quantity]],0)</f>
        <v>2587.5</v>
      </c>
      <c r="L1346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1347" spans="1:12">
      <c r="A1347" t="s">
        <v>178</v>
      </c>
      <c r="B1347" t="s">
        <v>9</v>
      </c>
      <c r="C1347">
        <v>9</v>
      </c>
      <c r="D1347">
        <v>3820</v>
      </c>
      <c r="E1347">
        <v>1</v>
      </c>
      <c r="F1347" t="s">
        <v>258</v>
      </c>
      <c r="G1347">
        <v>1</v>
      </c>
      <c r="H1347" t="s">
        <v>27</v>
      </c>
      <c r="I1347">
        <v>3445</v>
      </c>
      <c r="J1347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1347" s="43">
        <f>IFERROR(SUMIFS(Tabela10[Fod Worth],Tabela10[Drop],DropAnalityka[[#This Row],[Drop]],Tabela10[Grade],DropAnalityka[[#This Row],[Grade]])*DropAnalityka[[#This Row],[Quality/Quantity]],0)</f>
        <v>0</v>
      </c>
      <c r="L1347" s="43">
        <f>IFERROR(SUMIFS(Tabela10[Exp Gain only 2*+],Tabela10[Drop],DropAnalityka[[#This Row],[Drop]],Tabela10[Grade],DropAnalityka[[#This Row],[Grade]])*DropAnalityka[[#This Row],[Quality/Quantity]],0)</f>
        <v>0</v>
      </c>
    </row>
    <row r="1348" spans="1:12">
      <c r="A1348" t="s">
        <v>178</v>
      </c>
      <c r="B1348" t="s">
        <v>9</v>
      </c>
      <c r="C1348">
        <v>9</v>
      </c>
      <c r="D1348">
        <v>3866</v>
      </c>
      <c r="E1348">
        <v>1</v>
      </c>
      <c r="F1348" t="s">
        <v>258</v>
      </c>
      <c r="G1348">
        <v>1</v>
      </c>
      <c r="H1348" t="s">
        <v>28</v>
      </c>
      <c r="I1348">
        <v>12340</v>
      </c>
      <c r="J1348">
        <f>DropAnalityka[[#This Row],[Sell Drop]]+IFERROR(SUMIFS(Tabela10[Drop Worth],Tabela10[Drop],DropAnalityka[[#This Row],[Drop]],Tabela10[Grade],DropAnalityka[[#This Row],[Grade]])*DropAnalityka[[#This Row],[Quality/Quantity]],0)</f>
        <v>12340</v>
      </c>
      <c r="K1348" s="43">
        <f>IFERROR(SUMIFS(Tabela10[Fod Worth],Tabela10[Drop],DropAnalityka[[#This Row],[Drop]],Tabela10[Grade],DropAnalityka[[#This Row],[Grade]])*DropAnalityka[[#This Row],[Quality/Quantity]],0)</f>
        <v>0</v>
      </c>
      <c r="L1348" s="43">
        <f>IFERROR(SUMIFS(Tabela10[Exp Gain only 2*+],Tabela10[Drop],DropAnalityka[[#This Row],[Drop]],Tabela10[Grade],DropAnalityka[[#This Row],[Grade]])*DropAnalityka[[#This Row],[Quality/Quantity]],0)</f>
        <v>0</v>
      </c>
    </row>
    <row r="1349" spans="1:12">
      <c r="A1349" t="s">
        <v>178</v>
      </c>
      <c r="B1349" t="s">
        <v>9</v>
      </c>
      <c r="C1349">
        <v>9</v>
      </c>
      <c r="D1349">
        <v>3662</v>
      </c>
      <c r="E1349">
        <v>2</v>
      </c>
      <c r="F1349" t="s">
        <v>34</v>
      </c>
      <c r="G1349">
        <v>4</v>
      </c>
      <c r="H1349" t="s">
        <v>17</v>
      </c>
      <c r="I1349">
        <v>0</v>
      </c>
      <c r="J134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49" s="43">
        <f>IFERROR(SUMIFS(Tabela10[Fod Worth],Tabela10[Drop],DropAnalityka[[#This Row],[Drop]],Tabela10[Grade],DropAnalityka[[#This Row],[Grade]])*DropAnalityka[[#This Row],[Quality/Quantity]],0)</f>
        <v>0</v>
      </c>
      <c r="L1349" s="43">
        <f>IFERROR(SUMIFS(Tabela10[Exp Gain only 2*+],Tabela10[Drop],DropAnalityka[[#This Row],[Drop]],Tabela10[Grade],DropAnalityka[[#This Row],[Grade]])*DropAnalityka[[#This Row],[Quality/Quantity]],0)</f>
        <v>3200</v>
      </c>
    </row>
    <row r="1350" spans="1:12">
      <c r="A1350" t="s">
        <v>178</v>
      </c>
      <c r="B1350" t="s">
        <v>9</v>
      </c>
      <c r="C1350">
        <v>9</v>
      </c>
      <c r="D1350">
        <v>4037</v>
      </c>
      <c r="E1350">
        <v>2</v>
      </c>
      <c r="F1350" t="s">
        <v>258</v>
      </c>
      <c r="G1350">
        <v>1</v>
      </c>
      <c r="H1350" t="s">
        <v>28</v>
      </c>
      <c r="I1350">
        <v>5440</v>
      </c>
      <c r="J1350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350" s="43">
        <f>IFERROR(SUMIFS(Tabela10[Fod Worth],Tabela10[Drop],DropAnalityka[[#This Row],[Drop]],Tabela10[Grade],DropAnalityka[[#This Row],[Grade]])*DropAnalityka[[#This Row],[Quality/Quantity]],0)</f>
        <v>0</v>
      </c>
      <c r="L1350" s="43">
        <f>IFERROR(SUMIFS(Tabela10[Exp Gain only 2*+],Tabela10[Drop],DropAnalityka[[#This Row],[Drop]],Tabela10[Grade],DropAnalityka[[#This Row],[Grade]])*DropAnalityka[[#This Row],[Quality/Quantity]],0)</f>
        <v>0</v>
      </c>
    </row>
    <row r="1351" spans="1:12">
      <c r="A1351" t="s">
        <v>178</v>
      </c>
      <c r="B1351" t="s">
        <v>9</v>
      </c>
      <c r="C1351">
        <v>9</v>
      </c>
      <c r="D1351">
        <v>4030</v>
      </c>
      <c r="E1351">
        <v>0</v>
      </c>
      <c r="F1351" t="s">
        <v>258</v>
      </c>
      <c r="G1351">
        <v>1</v>
      </c>
      <c r="H1351" t="s">
        <v>27</v>
      </c>
      <c r="I1351">
        <v>5788</v>
      </c>
      <c r="J1351">
        <f>DropAnalityka[[#This Row],[Sell Drop]]+IFERROR(SUMIFS(Tabela10[Drop Worth],Tabela10[Drop],DropAnalityka[[#This Row],[Drop]],Tabela10[Grade],DropAnalityka[[#This Row],[Grade]])*DropAnalityka[[#This Row],[Quality/Quantity]],0)</f>
        <v>5788</v>
      </c>
      <c r="K1351" s="43">
        <f>IFERROR(SUMIFS(Tabela10[Fod Worth],Tabela10[Drop],DropAnalityka[[#This Row],[Drop]],Tabela10[Grade],DropAnalityka[[#This Row],[Grade]])*DropAnalityka[[#This Row],[Quality/Quantity]],0)</f>
        <v>0</v>
      </c>
      <c r="L1351" s="43">
        <f>IFERROR(SUMIFS(Tabela10[Exp Gain only 2*+],Tabela10[Drop],DropAnalityka[[#This Row],[Drop]],Tabela10[Grade],DropAnalityka[[#This Row],[Grade]])*DropAnalityka[[#This Row],[Quality/Quantity]],0)</f>
        <v>0</v>
      </c>
    </row>
    <row r="1352" spans="1:12">
      <c r="A1352" t="s">
        <v>178</v>
      </c>
      <c r="B1352" t="s">
        <v>9</v>
      </c>
      <c r="C1352">
        <v>9</v>
      </c>
      <c r="D1352">
        <v>4230</v>
      </c>
      <c r="E1352">
        <v>0</v>
      </c>
      <c r="F1352" t="s">
        <v>34</v>
      </c>
      <c r="G1352">
        <v>5</v>
      </c>
      <c r="H1352" t="s">
        <v>17</v>
      </c>
      <c r="I1352">
        <v>0</v>
      </c>
      <c r="J135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52" s="43">
        <f>IFERROR(SUMIFS(Tabela10[Fod Worth],Tabela10[Drop],DropAnalityka[[#This Row],[Drop]],Tabela10[Grade],DropAnalityka[[#This Row],[Grade]])*DropAnalityka[[#This Row],[Quality/Quantity]],0)</f>
        <v>0</v>
      </c>
      <c r="L1352" s="43">
        <f>IFERROR(SUMIFS(Tabela10[Exp Gain only 2*+],Tabela10[Drop],DropAnalityka[[#This Row],[Drop]],Tabela10[Grade],DropAnalityka[[#This Row],[Grade]])*DropAnalityka[[#This Row],[Quality/Quantity]],0)</f>
        <v>4000</v>
      </c>
    </row>
    <row r="1353" spans="1:12">
      <c r="A1353" t="s">
        <v>178</v>
      </c>
      <c r="B1353" t="s">
        <v>9</v>
      </c>
      <c r="C1353">
        <v>9</v>
      </c>
      <c r="D1353">
        <v>4242</v>
      </c>
      <c r="E1353">
        <v>1</v>
      </c>
      <c r="F1353" t="s">
        <v>58</v>
      </c>
      <c r="G1353">
        <v>1</v>
      </c>
      <c r="H1353" t="s">
        <v>12</v>
      </c>
      <c r="I1353">
        <v>0</v>
      </c>
      <c r="J13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53" s="43">
        <f>IFERROR(SUMIFS(Tabela10[Fod Worth],Tabela10[Drop],DropAnalityka[[#This Row],[Drop]],Tabela10[Grade],DropAnalityka[[#This Row],[Grade]])*DropAnalityka[[#This Row],[Quality/Quantity]],0)</f>
        <v>11500</v>
      </c>
      <c r="L1353" s="43">
        <f>IFERROR(SUMIFS(Tabela10[Exp Gain only 2*+],Tabela10[Drop],DropAnalityka[[#This Row],[Drop]],Tabela10[Grade],DropAnalityka[[#This Row],[Grade]])*DropAnalityka[[#This Row],[Quality/Quantity]],0)</f>
        <v>35822</v>
      </c>
    </row>
    <row r="1354" spans="1:12">
      <c r="A1354" t="s">
        <v>178</v>
      </c>
      <c r="B1354" t="s">
        <v>9</v>
      </c>
      <c r="C1354">
        <v>9</v>
      </c>
      <c r="D1354">
        <v>3742</v>
      </c>
      <c r="E1354">
        <v>1</v>
      </c>
      <c r="F1354" t="s">
        <v>258</v>
      </c>
      <c r="G1354">
        <v>1</v>
      </c>
      <c r="H1354" t="s">
        <v>29</v>
      </c>
      <c r="I1354">
        <v>20288</v>
      </c>
      <c r="J1354">
        <f>DropAnalityka[[#This Row],[Sell Drop]]+IFERROR(SUMIFS(Tabela10[Drop Worth],Tabela10[Drop],DropAnalityka[[#This Row],[Drop]],Tabela10[Grade],DropAnalityka[[#This Row],[Grade]])*DropAnalityka[[#This Row],[Quality/Quantity]],0)</f>
        <v>20288</v>
      </c>
      <c r="K1354" s="43">
        <f>IFERROR(SUMIFS(Tabela10[Fod Worth],Tabela10[Drop],DropAnalityka[[#This Row],[Drop]],Tabela10[Grade],DropAnalityka[[#This Row],[Grade]])*DropAnalityka[[#This Row],[Quality/Quantity]],0)</f>
        <v>0</v>
      </c>
      <c r="L1354" s="43">
        <f>IFERROR(SUMIFS(Tabela10[Exp Gain only 2*+],Tabela10[Drop],DropAnalityka[[#This Row],[Drop]],Tabela10[Grade],DropAnalityka[[#This Row],[Grade]])*DropAnalityka[[#This Row],[Quality/Quantity]],0)</f>
        <v>0</v>
      </c>
    </row>
    <row r="1355" spans="1:12">
      <c r="A1355" t="s">
        <v>178</v>
      </c>
      <c r="B1355" t="s">
        <v>9</v>
      </c>
      <c r="C1355">
        <v>9</v>
      </c>
      <c r="D1355">
        <v>4004</v>
      </c>
      <c r="E1355">
        <v>1</v>
      </c>
      <c r="F1355" t="s">
        <v>258</v>
      </c>
      <c r="G1355">
        <v>1</v>
      </c>
      <c r="H1355" t="s">
        <v>27</v>
      </c>
      <c r="I1355">
        <v>3123</v>
      </c>
      <c r="J1355">
        <f>DropAnalityka[[#This Row],[Sell Drop]]+IFERROR(SUMIFS(Tabela10[Drop Worth],Tabela10[Drop],DropAnalityka[[#This Row],[Drop]],Tabela10[Grade],DropAnalityka[[#This Row],[Grade]])*DropAnalityka[[#This Row],[Quality/Quantity]],0)</f>
        <v>3123</v>
      </c>
      <c r="K1355" s="43">
        <f>IFERROR(SUMIFS(Tabela10[Fod Worth],Tabela10[Drop],DropAnalityka[[#This Row],[Drop]],Tabela10[Grade],DropAnalityka[[#This Row],[Grade]])*DropAnalityka[[#This Row],[Quality/Quantity]],0)</f>
        <v>0</v>
      </c>
      <c r="L1355" s="43">
        <f>IFERROR(SUMIFS(Tabela10[Exp Gain only 2*+],Tabela10[Drop],DropAnalityka[[#This Row],[Drop]],Tabela10[Grade],DropAnalityka[[#This Row],[Grade]])*DropAnalityka[[#This Row],[Quality/Quantity]],0)</f>
        <v>0</v>
      </c>
    </row>
    <row r="1356" spans="1:12">
      <c r="A1356" t="s">
        <v>178</v>
      </c>
      <c r="B1356" t="s">
        <v>9</v>
      </c>
      <c r="C1356">
        <v>9</v>
      </c>
      <c r="D1356">
        <v>3972</v>
      </c>
      <c r="E1356">
        <v>1</v>
      </c>
      <c r="F1356" t="s">
        <v>291</v>
      </c>
      <c r="G1356">
        <v>1</v>
      </c>
      <c r="H1356" t="s">
        <v>27</v>
      </c>
      <c r="I1356">
        <v>7809</v>
      </c>
      <c r="J1356">
        <f>DropAnalityka[[#This Row],[Sell Drop]]+IFERROR(SUMIFS(Tabela10[Drop Worth],Tabela10[Drop],DropAnalityka[[#This Row],[Drop]],Tabela10[Grade],DropAnalityka[[#This Row],[Grade]])*DropAnalityka[[#This Row],[Quality/Quantity]],0)</f>
        <v>7809</v>
      </c>
      <c r="K1356" s="43">
        <f>IFERROR(SUMIFS(Tabela10[Fod Worth],Tabela10[Drop],DropAnalityka[[#This Row],[Drop]],Tabela10[Grade],DropAnalityka[[#This Row],[Grade]])*DropAnalityka[[#This Row],[Quality/Quantity]],0)</f>
        <v>0</v>
      </c>
      <c r="L1356" s="43">
        <f>IFERROR(SUMIFS(Tabela10[Exp Gain only 2*+],Tabela10[Drop],DropAnalityka[[#This Row],[Drop]],Tabela10[Grade],DropAnalityka[[#This Row],[Grade]])*DropAnalityka[[#This Row],[Quality/Quantity]],0)</f>
        <v>0</v>
      </c>
    </row>
    <row r="1357" spans="1:12">
      <c r="A1357" t="s">
        <v>178</v>
      </c>
      <c r="B1357" t="s">
        <v>9</v>
      </c>
      <c r="C1357">
        <v>9</v>
      </c>
      <c r="D1357">
        <v>3789</v>
      </c>
      <c r="E1357">
        <v>3</v>
      </c>
      <c r="F1357" t="s">
        <v>258</v>
      </c>
      <c r="G1357">
        <v>1</v>
      </c>
      <c r="H1357" t="s">
        <v>28</v>
      </c>
      <c r="I1357">
        <v>12240</v>
      </c>
      <c r="J1357">
        <f>DropAnalityka[[#This Row],[Sell Drop]]+IFERROR(SUMIFS(Tabela10[Drop Worth],Tabela10[Drop],DropAnalityka[[#This Row],[Drop]],Tabela10[Grade],DropAnalityka[[#This Row],[Grade]])*DropAnalityka[[#This Row],[Quality/Quantity]],0)</f>
        <v>12240</v>
      </c>
      <c r="K1357" s="43">
        <f>IFERROR(SUMIFS(Tabela10[Fod Worth],Tabela10[Drop],DropAnalityka[[#This Row],[Drop]],Tabela10[Grade],DropAnalityka[[#This Row],[Grade]])*DropAnalityka[[#This Row],[Quality/Quantity]],0)</f>
        <v>0</v>
      </c>
      <c r="L1357" s="43">
        <f>IFERROR(SUMIFS(Tabela10[Exp Gain only 2*+],Tabela10[Drop],DropAnalityka[[#This Row],[Drop]],Tabela10[Grade],DropAnalityka[[#This Row],[Grade]])*DropAnalityka[[#This Row],[Quality/Quantity]],0)</f>
        <v>0</v>
      </c>
    </row>
    <row r="1358" spans="1:12">
      <c r="A1358" t="s">
        <v>178</v>
      </c>
      <c r="B1358" t="s">
        <v>9</v>
      </c>
      <c r="C1358">
        <v>9</v>
      </c>
      <c r="D1358">
        <v>3881</v>
      </c>
      <c r="E1358">
        <v>1</v>
      </c>
      <c r="F1358" t="s">
        <v>291</v>
      </c>
      <c r="G1358">
        <v>1</v>
      </c>
      <c r="H1358" t="s">
        <v>28</v>
      </c>
      <c r="I1358">
        <v>8160</v>
      </c>
      <c r="J1358">
        <f>DropAnalityka[[#This Row],[Sell Drop]]+IFERROR(SUMIFS(Tabela10[Drop Worth],Tabela10[Drop],DropAnalityka[[#This Row],[Drop]],Tabela10[Grade],DropAnalityka[[#This Row],[Grade]])*DropAnalityka[[#This Row],[Quality/Quantity]],0)</f>
        <v>8160</v>
      </c>
      <c r="K1358" s="43">
        <f>IFERROR(SUMIFS(Tabela10[Fod Worth],Tabela10[Drop],DropAnalityka[[#This Row],[Drop]],Tabela10[Grade],DropAnalityka[[#This Row],[Grade]])*DropAnalityka[[#This Row],[Quality/Quantity]],0)</f>
        <v>0</v>
      </c>
      <c r="L1358" s="43">
        <f>IFERROR(SUMIFS(Tabela10[Exp Gain only 2*+],Tabela10[Drop],DropAnalityka[[#This Row],[Drop]],Tabela10[Grade],DropAnalityka[[#This Row],[Grade]])*DropAnalityka[[#This Row],[Quality/Quantity]],0)</f>
        <v>0</v>
      </c>
    </row>
    <row r="1359" spans="1:12">
      <c r="A1359" t="s">
        <v>178</v>
      </c>
      <c r="B1359" t="s">
        <v>9</v>
      </c>
      <c r="C1359">
        <v>9</v>
      </c>
      <c r="D1359">
        <v>4062</v>
      </c>
      <c r="E1359">
        <v>1</v>
      </c>
      <c r="F1359" t="s">
        <v>291</v>
      </c>
      <c r="G1359">
        <v>1</v>
      </c>
      <c r="H1359" t="s">
        <v>27</v>
      </c>
      <c r="I1359">
        <v>4410</v>
      </c>
      <c r="J1359">
        <f>DropAnalityka[[#This Row],[Sell Drop]]+IFERROR(SUMIFS(Tabela10[Drop Worth],Tabela10[Drop],DropAnalityka[[#This Row],[Drop]],Tabela10[Grade],DropAnalityka[[#This Row],[Grade]])*DropAnalityka[[#This Row],[Quality/Quantity]],0)</f>
        <v>4410</v>
      </c>
      <c r="K1359" s="43">
        <f>IFERROR(SUMIFS(Tabela10[Fod Worth],Tabela10[Drop],DropAnalityka[[#This Row],[Drop]],Tabela10[Grade],DropAnalityka[[#This Row],[Grade]])*DropAnalityka[[#This Row],[Quality/Quantity]],0)</f>
        <v>0</v>
      </c>
      <c r="L1359" s="43">
        <f>IFERROR(SUMIFS(Tabela10[Exp Gain only 2*+],Tabela10[Drop],DropAnalityka[[#This Row],[Drop]],Tabela10[Grade],DropAnalityka[[#This Row],[Grade]])*DropAnalityka[[#This Row],[Quality/Quantity]],0)</f>
        <v>0</v>
      </c>
    </row>
    <row r="1360" spans="1:12">
      <c r="A1360" t="s">
        <v>178</v>
      </c>
      <c r="B1360" t="s">
        <v>9</v>
      </c>
      <c r="C1360">
        <v>9</v>
      </c>
      <c r="D1360">
        <v>3897</v>
      </c>
      <c r="E1360">
        <v>1</v>
      </c>
      <c r="F1360" t="s">
        <v>258</v>
      </c>
      <c r="G1360">
        <v>1</v>
      </c>
      <c r="H1360" t="s">
        <v>28</v>
      </c>
      <c r="I1360">
        <v>5100</v>
      </c>
      <c r="J1360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360" s="43">
        <f>IFERROR(SUMIFS(Tabela10[Fod Worth],Tabela10[Drop],DropAnalityka[[#This Row],[Drop]],Tabela10[Grade],DropAnalityka[[#This Row],[Grade]])*DropAnalityka[[#This Row],[Quality/Quantity]],0)</f>
        <v>0</v>
      </c>
      <c r="L1360" s="43">
        <f>IFERROR(SUMIFS(Tabela10[Exp Gain only 2*+],Tabela10[Drop],DropAnalityka[[#This Row],[Drop]],Tabela10[Grade],DropAnalityka[[#This Row],[Grade]])*DropAnalityka[[#This Row],[Quality/Quantity]],0)</f>
        <v>0</v>
      </c>
    </row>
    <row r="1361" spans="1:12">
      <c r="A1361" t="s">
        <v>178</v>
      </c>
      <c r="B1361" t="s">
        <v>9</v>
      </c>
      <c r="C1361">
        <v>9</v>
      </c>
      <c r="D1361">
        <v>4552</v>
      </c>
      <c r="E1361">
        <v>1</v>
      </c>
      <c r="F1361" t="s">
        <v>258</v>
      </c>
      <c r="G1361">
        <v>1</v>
      </c>
      <c r="H1361" t="s">
        <v>27</v>
      </c>
      <c r="I1361">
        <v>3491</v>
      </c>
      <c r="J1361">
        <f>DropAnalityka[[#This Row],[Sell Drop]]+IFERROR(SUMIFS(Tabela10[Drop Worth],Tabela10[Drop],DropAnalityka[[#This Row],[Drop]],Tabela10[Grade],DropAnalityka[[#This Row],[Grade]])*DropAnalityka[[#This Row],[Quality/Quantity]],0)</f>
        <v>3491</v>
      </c>
      <c r="K1361" s="43">
        <f>IFERROR(SUMIFS(Tabela10[Fod Worth],Tabela10[Drop],DropAnalityka[[#This Row],[Drop]],Tabela10[Grade],DropAnalityka[[#This Row],[Grade]])*DropAnalityka[[#This Row],[Quality/Quantity]],0)</f>
        <v>0</v>
      </c>
      <c r="L1361" s="43">
        <f>IFERROR(SUMIFS(Tabela10[Exp Gain only 2*+],Tabela10[Drop],DropAnalityka[[#This Row],[Drop]],Tabela10[Grade],DropAnalityka[[#This Row],[Grade]])*DropAnalityka[[#This Row],[Quality/Quantity]],0)</f>
        <v>0</v>
      </c>
    </row>
    <row r="1362" spans="1:12">
      <c r="A1362" t="s">
        <v>178</v>
      </c>
      <c r="B1362" t="s">
        <v>9</v>
      </c>
      <c r="C1362">
        <v>9</v>
      </c>
      <c r="D1362">
        <v>3972</v>
      </c>
      <c r="E1362">
        <v>0</v>
      </c>
      <c r="F1362" t="s">
        <v>34</v>
      </c>
      <c r="G1362">
        <v>5</v>
      </c>
      <c r="H1362" t="s">
        <v>17</v>
      </c>
      <c r="I1362">
        <v>0</v>
      </c>
      <c r="J136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62" s="43">
        <f>IFERROR(SUMIFS(Tabela10[Fod Worth],Tabela10[Drop],DropAnalityka[[#This Row],[Drop]],Tabela10[Grade],DropAnalityka[[#This Row],[Grade]])*DropAnalityka[[#This Row],[Quality/Quantity]],0)</f>
        <v>0</v>
      </c>
      <c r="L1362" s="43">
        <f>IFERROR(SUMIFS(Tabela10[Exp Gain only 2*+],Tabela10[Drop],DropAnalityka[[#This Row],[Drop]],Tabela10[Grade],DropAnalityka[[#This Row],[Grade]])*DropAnalityka[[#This Row],[Quality/Quantity]],0)</f>
        <v>4000</v>
      </c>
    </row>
    <row r="1363" spans="1:12">
      <c r="A1363" t="s">
        <v>178</v>
      </c>
      <c r="B1363" t="s">
        <v>9</v>
      </c>
      <c r="C1363">
        <v>9</v>
      </c>
      <c r="D1363">
        <v>3822</v>
      </c>
      <c r="E1363">
        <v>0</v>
      </c>
      <c r="F1363" t="s">
        <v>258</v>
      </c>
      <c r="G1363">
        <v>1</v>
      </c>
      <c r="H1363" t="s">
        <v>28</v>
      </c>
      <c r="I1363">
        <v>12240</v>
      </c>
      <c r="J1363">
        <f>DropAnalityka[[#This Row],[Sell Drop]]+IFERROR(SUMIFS(Tabela10[Drop Worth],Tabela10[Drop],DropAnalityka[[#This Row],[Drop]],Tabela10[Grade],DropAnalityka[[#This Row],[Grade]])*DropAnalityka[[#This Row],[Quality/Quantity]],0)</f>
        <v>12240</v>
      </c>
      <c r="K1363" s="43">
        <f>IFERROR(SUMIFS(Tabela10[Fod Worth],Tabela10[Drop],DropAnalityka[[#This Row],[Drop]],Tabela10[Grade],DropAnalityka[[#This Row],[Grade]])*DropAnalityka[[#This Row],[Quality/Quantity]],0)</f>
        <v>0</v>
      </c>
      <c r="L1363" s="43">
        <f>IFERROR(SUMIFS(Tabela10[Exp Gain only 2*+],Tabela10[Drop],DropAnalityka[[#This Row],[Drop]],Tabela10[Grade],DropAnalityka[[#This Row],[Grade]])*DropAnalityka[[#This Row],[Quality/Quantity]],0)</f>
        <v>0</v>
      </c>
    </row>
    <row r="1364" spans="1:12">
      <c r="A1364" t="s">
        <v>178</v>
      </c>
      <c r="B1364" t="s">
        <v>9</v>
      </c>
      <c r="C1364">
        <v>9</v>
      </c>
      <c r="D1364">
        <v>4179</v>
      </c>
      <c r="E1364">
        <v>2</v>
      </c>
      <c r="F1364" t="s">
        <v>258</v>
      </c>
      <c r="G1364">
        <v>1</v>
      </c>
      <c r="H1364" t="s">
        <v>29</v>
      </c>
      <c r="I1364">
        <v>14265</v>
      </c>
      <c r="J1364">
        <f>DropAnalityka[[#This Row],[Sell Drop]]+IFERROR(SUMIFS(Tabela10[Drop Worth],Tabela10[Drop],DropAnalityka[[#This Row],[Drop]],Tabela10[Grade],DropAnalityka[[#This Row],[Grade]])*DropAnalityka[[#This Row],[Quality/Quantity]],0)</f>
        <v>14265</v>
      </c>
      <c r="K1364" s="43">
        <f>IFERROR(SUMIFS(Tabela10[Fod Worth],Tabela10[Drop],DropAnalityka[[#This Row],[Drop]],Tabela10[Grade],DropAnalityka[[#This Row],[Grade]])*DropAnalityka[[#This Row],[Quality/Quantity]],0)</f>
        <v>0</v>
      </c>
      <c r="L1364" s="43">
        <f>IFERROR(SUMIFS(Tabela10[Exp Gain only 2*+],Tabela10[Drop],DropAnalityka[[#This Row],[Drop]],Tabela10[Grade],DropAnalityka[[#This Row],[Grade]])*DropAnalityka[[#This Row],[Quality/Quantity]],0)</f>
        <v>0</v>
      </c>
    </row>
    <row r="1365" spans="1:12">
      <c r="A1365" t="s">
        <v>178</v>
      </c>
      <c r="B1365" t="s">
        <v>9</v>
      </c>
      <c r="C1365">
        <v>9</v>
      </c>
      <c r="D1365">
        <v>4975</v>
      </c>
      <c r="E1365">
        <v>1</v>
      </c>
      <c r="F1365" t="s">
        <v>258</v>
      </c>
      <c r="G1365">
        <v>1</v>
      </c>
      <c r="H1365" t="s">
        <v>28</v>
      </c>
      <c r="I1365">
        <v>7650</v>
      </c>
      <c r="J1365">
        <f>DropAnalityka[[#This Row],[Sell Drop]]+IFERROR(SUMIFS(Tabela10[Drop Worth],Tabela10[Drop],DropAnalityka[[#This Row],[Drop]],Tabela10[Grade],DropAnalityka[[#This Row],[Grade]])*DropAnalityka[[#This Row],[Quality/Quantity]],0)</f>
        <v>7650</v>
      </c>
      <c r="K1365" s="43">
        <f>IFERROR(SUMIFS(Tabela10[Fod Worth],Tabela10[Drop],DropAnalityka[[#This Row],[Drop]],Tabela10[Grade],DropAnalityka[[#This Row],[Grade]])*DropAnalityka[[#This Row],[Quality/Quantity]],0)</f>
        <v>0</v>
      </c>
      <c r="L1365" s="43">
        <f>IFERROR(SUMIFS(Tabela10[Exp Gain only 2*+],Tabela10[Drop],DropAnalityka[[#This Row],[Drop]],Tabela10[Grade],DropAnalityka[[#This Row],[Grade]])*DropAnalityka[[#This Row],[Quality/Quantity]],0)</f>
        <v>0</v>
      </c>
    </row>
    <row r="1366" spans="1:12">
      <c r="A1366" t="s">
        <v>178</v>
      </c>
      <c r="B1366" t="s">
        <v>9</v>
      </c>
      <c r="C1366">
        <v>9</v>
      </c>
      <c r="D1366">
        <v>4786</v>
      </c>
      <c r="E1366">
        <v>0</v>
      </c>
      <c r="F1366" t="s">
        <v>318</v>
      </c>
      <c r="G1366">
        <v>1</v>
      </c>
      <c r="H1366" t="s">
        <v>28</v>
      </c>
      <c r="I1366">
        <v>12920</v>
      </c>
      <c r="J1366">
        <f>DropAnalityka[[#This Row],[Sell Drop]]+IFERROR(SUMIFS(Tabela10[Drop Worth],Tabela10[Drop],DropAnalityka[[#This Row],[Drop]],Tabela10[Grade],DropAnalityka[[#This Row],[Grade]])*DropAnalityka[[#This Row],[Quality/Quantity]],0)</f>
        <v>12920</v>
      </c>
      <c r="K1366" s="43">
        <f>IFERROR(SUMIFS(Tabela10[Fod Worth],Tabela10[Drop],DropAnalityka[[#This Row],[Drop]],Tabela10[Grade],DropAnalityka[[#This Row],[Grade]])*DropAnalityka[[#This Row],[Quality/Quantity]],0)</f>
        <v>0</v>
      </c>
      <c r="L1366" s="43">
        <f>IFERROR(SUMIFS(Tabela10[Exp Gain only 2*+],Tabela10[Drop],DropAnalityka[[#This Row],[Drop]],Tabela10[Grade],DropAnalityka[[#This Row],[Grade]])*DropAnalityka[[#This Row],[Quality/Quantity]],0)</f>
        <v>0</v>
      </c>
    </row>
    <row r="1367" spans="1:12">
      <c r="A1367" t="s">
        <v>178</v>
      </c>
      <c r="B1367" t="s">
        <v>9</v>
      </c>
      <c r="C1367">
        <v>9</v>
      </c>
      <c r="D1367">
        <v>3843</v>
      </c>
      <c r="E1367">
        <v>1</v>
      </c>
      <c r="F1367" t="s">
        <v>58</v>
      </c>
      <c r="G1367">
        <v>1</v>
      </c>
      <c r="H1367" t="s">
        <v>12</v>
      </c>
      <c r="I1367">
        <v>0</v>
      </c>
      <c r="J13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67" s="43">
        <f>IFERROR(SUMIFS(Tabela10[Fod Worth],Tabela10[Drop],DropAnalityka[[#This Row],[Drop]],Tabela10[Grade],DropAnalityka[[#This Row],[Grade]])*DropAnalityka[[#This Row],[Quality/Quantity]],0)</f>
        <v>11500</v>
      </c>
      <c r="L1367" s="43">
        <f>IFERROR(SUMIFS(Tabela10[Exp Gain only 2*+],Tabela10[Drop],DropAnalityka[[#This Row],[Drop]],Tabela10[Grade],DropAnalityka[[#This Row],[Grade]])*DropAnalityka[[#This Row],[Quality/Quantity]],0)</f>
        <v>35822</v>
      </c>
    </row>
    <row r="1368" spans="1:12">
      <c r="A1368" t="s">
        <v>178</v>
      </c>
      <c r="B1368" t="s">
        <v>9</v>
      </c>
      <c r="C1368">
        <v>9</v>
      </c>
      <c r="D1368">
        <v>4162</v>
      </c>
      <c r="E1368">
        <v>1</v>
      </c>
      <c r="F1368" t="s">
        <v>258</v>
      </c>
      <c r="G1368">
        <v>1</v>
      </c>
      <c r="H1368" t="s">
        <v>28</v>
      </c>
      <c r="I1368">
        <v>5780</v>
      </c>
      <c r="J1368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368" s="43">
        <f>IFERROR(SUMIFS(Tabela10[Fod Worth],Tabela10[Drop],DropAnalityka[[#This Row],[Drop]],Tabela10[Grade],DropAnalityka[[#This Row],[Grade]])*DropAnalityka[[#This Row],[Quality/Quantity]],0)</f>
        <v>0</v>
      </c>
      <c r="L1368" s="43">
        <f>IFERROR(SUMIFS(Tabela10[Exp Gain only 2*+],Tabela10[Drop],DropAnalityka[[#This Row],[Drop]],Tabela10[Grade],DropAnalityka[[#This Row],[Grade]])*DropAnalityka[[#This Row],[Quality/Quantity]],0)</f>
        <v>0</v>
      </c>
    </row>
    <row r="1369" spans="1:12">
      <c r="A1369" t="s">
        <v>178</v>
      </c>
      <c r="B1369" t="s">
        <v>9</v>
      </c>
      <c r="C1369">
        <v>9</v>
      </c>
      <c r="D1369">
        <v>3879</v>
      </c>
      <c r="E1369">
        <v>1</v>
      </c>
      <c r="F1369" t="s">
        <v>258</v>
      </c>
      <c r="G1369">
        <v>1</v>
      </c>
      <c r="H1369" t="s">
        <v>27</v>
      </c>
      <c r="I1369">
        <v>7350</v>
      </c>
      <c r="J1369">
        <f>DropAnalityka[[#This Row],[Sell Drop]]+IFERROR(SUMIFS(Tabela10[Drop Worth],Tabela10[Drop],DropAnalityka[[#This Row],[Drop]],Tabela10[Grade],DropAnalityka[[#This Row],[Grade]])*DropAnalityka[[#This Row],[Quality/Quantity]],0)</f>
        <v>7350</v>
      </c>
      <c r="K1369" s="43">
        <f>IFERROR(SUMIFS(Tabela10[Fod Worth],Tabela10[Drop],DropAnalityka[[#This Row],[Drop]],Tabela10[Grade],DropAnalityka[[#This Row],[Grade]])*DropAnalityka[[#This Row],[Quality/Quantity]],0)</f>
        <v>0</v>
      </c>
      <c r="L1369" s="43">
        <f>IFERROR(SUMIFS(Tabela10[Exp Gain only 2*+],Tabela10[Drop],DropAnalityka[[#This Row],[Drop]],Tabela10[Grade],DropAnalityka[[#This Row],[Grade]])*DropAnalityka[[#This Row],[Quality/Quantity]],0)</f>
        <v>0</v>
      </c>
    </row>
    <row r="1370" spans="1:12">
      <c r="A1370" t="s">
        <v>178</v>
      </c>
      <c r="B1370" t="s">
        <v>9</v>
      </c>
      <c r="C1370">
        <v>9</v>
      </c>
      <c r="D1370">
        <v>3611</v>
      </c>
      <c r="E1370">
        <v>0</v>
      </c>
      <c r="F1370" t="s">
        <v>205</v>
      </c>
      <c r="G1370">
        <v>3</v>
      </c>
      <c r="H1370" t="s">
        <v>26</v>
      </c>
      <c r="I1370">
        <v>0</v>
      </c>
      <c r="J13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70" s="43">
        <f>IFERROR(SUMIFS(Tabela10[Fod Worth],Tabela10[Drop],DropAnalityka[[#This Row],[Drop]],Tabela10[Grade],DropAnalityka[[#This Row],[Grade]])*DropAnalityka[[#This Row],[Quality/Quantity]],0)</f>
        <v>2587.5</v>
      </c>
      <c r="L1370" s="43">
        <f>IFERROR(SUMIFS(Tabela10[Exp Gain only 2*+],Tabela10[Drop],DropAnalityka[[#This Row],[Drop]],Tabela10[Grade],DropAnalityka[[#This Row],[Grade]])*DropAnalityka[[#This Row],[Quality/Quantity]],0)</f>
        <v>2686.6499999999996</v>
      </c>
    </row>
    <row r="1371" spans="1:12">
      <c r="A1371" t="s">
        <v>178</v>
      </c>
      <c r="B1371" t="s">
        <v>9</v>
      </c>
      <c r="C1371">
        <v>9</v>
      </c>
      <c r="D1371">
        <v>4220</v>
      </c>
      <c r="E1371">
        <v>1</v>
      </c>
      <c r="F1371" t="s">
        <v>258</v>
      </c>
      <c r="G1371">
        <v>1</v>
      </c>
      <c r="H1371" t="s">
        <v>28</v>
      </c>
      <c r="I1371">
        <v>11560</v>
      </c>
      <c r="J1371">
        <f>DropAnalityka[[#This Row],[Sell Drop]]+IFERROR(SUMIFS(Tabela10[Drop Worth],Tabela10[Drop],DropAnalityka[[#This Row],[Drop]],Tabela10[Grade],DropAnalityka[[#This Row],[Grade]])*DropAnalityka[[#This Row],[Quality/Quantity]],0)</f>
        <v>11560</v>
      </c>
      <c r="K1371" s="43">
        <f>IFERROR(SUMIFS(Tabela10[Fod Worth],Tabela10[Drop],DropAnalityka[[#This Row],[Drop]],Tabela10[Grade],DropAnalityka[[#This Row],[Grade]])*DropAnalityka[[#This Row],[Quality/Quantity]],0)</f>
        <v>0</v>
      </c>
      <c r="L1371" s="43">
        <f>IFERROR(SUMIFS(Tabela10[Exp Gain only 2*+],Tabela10[Drop],DropAnalityka[[#This Row],[Drop]],Tabela10[Grade],DropAnalityka[[#This Row],[Grade]])*DropAnalityka[[#This Row],[Quality/Quantity]],0)</f>
        <v>0</v>
      </c>
    </row>
    <row r="1372" spans="1:12">
      <c r="A1372" t="s">
        <v>178</v>
      </c>
      <c r="B1372" t="s">
        <v>9</v>
      </c>
      <c r="C1372">
        <v>9</v>
      </c>
      <c r="D1372">
        <v>3765</v>
      </c>
      <c r="E1372">
        <v>0</v>
      </c>
      <c r="F1372" t="s">
        <v>258</v>
      </c>
      <c r="G1372">
        <v>1</v>
      </c>
      <c r="H1372" t="s">
        <v>27</v>
      </c>
      <c r="I1372">
        <v>3904</v>
      </c>
      <c r="J1372">
        <f>DropAnalityka[[#This Row],[Sell Drop]]+IFERROR(SUMIFS(Tabela10[Drop Worth],Tabela10[Drop],DropAnalityka[[#This Row],[Drop]],Tabela10[Grade],DropAnalityka[[#This Row],[Grade]])*DropAnalityka[[#This Row],[Quality/Quantity]],0)</f>
        <v>3904</v>
      </c>
      <c r="K1372" s="43">
        <f>IFERROR(SUMIFS(Tabela10[Fod Worth],Tabela10[Drop],DropAnalityka[[#This Row],[Drop]],Tabela10[Grade],DropAnalityka[[#This Row],[Grade]])*DropAnalityka[[#This Row],[Quality/Quantity]],0)</f>
        <v>0</v>
      </c>
      <c r="L1372" s="43">
        <f>IFERROR(SUMIFS(Tabela10[Exp Gain only 2*+],Tabela10[Drop],DropAnalityka[[#This Row],[Drop]],Tabela10[Grade],DropAnalityka[[#This Row],[Grade]])*DropAnalityka[[#This Row],[Quality/Quantity]],0)</f>
        <v>0</v>
      </c>
    </row>
    <row r="1373" spans="1:12">
      <c r="A1373" t="s">
        <v>178</v>
      </c>
      <c r="B1373" t="s">
        <v>9</v>
      </c>
      <c r="C1373">
        <v>9</v>
      </c>
      <c r="D1373">
        <v>4073</v>
      </c>
      <c r="E1373">
        <v>3</v>
      </c>
      <c r="F1373" t="s">
        <v>34</v>
      </c>
      <c r="G1373">
        <v>4</v>
      </c>
      <c r="H1373" t="s">
        <v>17</v>
      </c>
      <c r="I1373">
        <v>0</v>
      </c>
      <c r="J137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73" s="43">
        <f>IFERROR(SUMIFS(Tabela10[Fod Worth],Tabela10[Drop],DropAnalityka[[#This Row],[Drop]],Tabela10[Grade],DropAnalityka[[#This Row],[Grade]])*DropAnalityka[[#This Row],[Quality/Quantity]],0)</f>
        <v>0</v>
      </c>
      <c r="L1373" s="43">
        <f>IFERROR(SUMIFS(Tabela10[Exp Gain only 2*+],Tabela10[Drop],DropAnalityka[[#This Row],[Drop]],Tabela10[Grade],DropAnalityka[[#This Row],[Grade]])*DropAnalityka[[#This Row],[Quality/Quantity]],0)</f>
        <v>3200</v>
      </c>
    </row>
    <row r="1374" spans="1:12">
      <c r="A1374" t="s">
        <v>178</v>
      </c>
      <c r="B1374" t="s">
        <v>9</v>
      </c>
      <c r="C1374">
        <v>9</v>
      </c>
      <c r="D1374">
        <v>3957</v>
      </c>
      <c r="E1374">
        <v>0</v>
      </c>
      <c r="F1374" t="s">
        <v>291</v>
      </c>
      <c r="G1374">
        <v>1</v>
      </c>
      <c r="H1374" t="s">
        <v>28</v>
      </c>
      <c r="I1374">
        <v>6375</v>
      </c>
      <c r="J1374">
        <f>DropAnalityka[[#This Row],[Sell Drop]]+IFERROR(SUMIFS(Tabela10[Drop Worth],Tabela10[Drop],DropAnalityka[[#This Row],[Drop]],Tabela10[Grade],DropAnalityka[[#This Row],[Grade]])*DropAnalityka[[#This Row],[Quality/Quantity]],0)</f>
        <v>6375</v>
      </c>
      <c r="K1374" s="43">
        <f>IFERROR(SUMIFS(Tabela10[Fod Worth],Tabela10[Drop],DropAnalityka[[#This Row],[Drop]],Tabela10[Grade],DropAnalityka[[#This Row],[Grade]])*DropAnalityka[[#This Row],[Quality/Quantity]],0)</f>
        <v>0</v>
      </c>
      <c r="L1374" s="43">
        <f>IFERROR(SUMIFS(Tabela10[Exp Gain only 2*+],Tabela10[Drop],DropAnalityka[[#This Row],[Drop]],Tabela10[Grade],DropAnalityka[[#This Row],[Grade]])*DropAnalityka[[#This Row],[Quality/Quantity]],0)</f>
        <v>0</v>
      </c>
    </row>
    <row r="1375" spans="1:12">
      <c r="A1375" t="s">
        <v>178</v>
      </c>
      <c r="B1375" t="s">
        <v>9</v>
      </c>
      <c r="C1375">
        <v>9</v>
      </c>
      <c r="D1375">
        <v>3704</v>
      </c>
      <c r="E1375">
        <v>2</v>
      </c>
      <c r="F1375" t="s">
        <v>258</v>
      </c>
      <c r="G1375">
        <v>1</v>
      </c>
      <c r="H1375" t="s">
        <v>28</v>
      </c>
      <c r="I1375">
        <v>11560</v>
      </c>
      <c r="J1375">
        <f>DropAnalityka[[#This Row],[Sell Drop]]+IFERROR(SUMIFS(Tabela10[Drop Worth],Tabela10[Drop],DropAnalityka[[#This Row],[Drop]],Tabela10[Grade],DropAnalityka[[#This Row],[Grade]])*DropAnalityka[[#This Row],[Quality/Quantity]],0)</f>
        <v>11560</v>
      </c>
      <c r="K1375" s="43">
        <f>IFERROR(SUMIFS(Tabela10[Fod Worth],Tabela10[Drop],DropAnalityka[[#This Row],[Drop]],Tabela10[Grade],DropAnalityka[[#This Row],[Grade]])*DropAnalityka[[#This Row],[Quality/Quantity]],0)</f>
        <v>0</v>
      </c>
      <c r="L1375" s="43">
        <f>IFERROR(SUMIFS(Tabela10[Exp Gain only 2*+],Tabela10[Drop],DropAnalityka[[#This Row],[Drop]],Tabela10[Grade],DropAnalityka[[#This Row],[Grade]])*DropAnalityka[[#This Row],[Quality/Quantity]],0)</f>
        <v>0</v>
      </c>
    </row>
    <row r="1376" spans="1:12">
      <c r="A1376" t="s">
        <v>178</v>
      </c>
      <c r="B1376" t="s">
        <v>9</v>
      </c>
      <c r="C1376">
        <v>9</v>
      </c>
      <c r="D1376">
        <v>4168</v>
      </c>
      <c r="E1376">
        <v>1</v>
      </c>
      <c r="F1376" t="s">
        <v>58</v>
      </c>
      <c r="G1376">
        <v>1</v>
      </c>
      <c r="H1376" t="s">
        <v>12</v>
      </c>
      <c r="I1376">
        <v>0</v>
      </c>
      <c r="J13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76" s="43">
        <f>IFERROR(SUMIFS(Tabela10[Fod Worth],Tabela10[Drop],DropAnalityka[[#This Row],[Drop]],Tabela10[Grade],DropAnalityka[[#This Row],[Grade]])*DropAnalityka[[#This Row],[Quality/Quantity]],0)</f>
        <v>11500</v>
      </c>
      <c r="L1376" s="43">
        <f>IFERROR(SUMIFS(Tabela10[Exp Gain only 2*+],Tabela10[Drop],DropAnalityka[[#This Row],[Drop]],Tabela10[Grade],DropAnalityka[[#This Row],[Grade]])*DropAnalityka[[#This Row],[Quality/Quantity]],0)</f>
        <v>35822</v>
      </c>
    </row>
    <row r="1377" spans="1:12">
      <c r="A1377" t="s">
        <v>178</v>
      </c>
      <c r="B1377" t="s">
        <v>9</v>
      </c>
      <c r="C1377">
        <v>9</v>
      </c>
      <c r="D1377">
        <v>4443</v>
      </c>
      <c r="E1377">
        <v>2</v>
      </c>
      <c r="F1377" t="s">
        <v>258</v>
      </c>
      <c r="G1377">
        <v>1</v>
      </c>
      <c r="H1377" t="s">
        <v>28</v>
      </c>
      <c r="I1377">
        <v>11560</v>
      </c>
      <c r="J1377">
        <f>DropAnalityka[[#This Row],[Sell Drop]]+IFERROR(SUMIFS(Tabela10[Drop Worth],Tabela10[Drop],DropAnalityka[[#This Row],[Drop]],Tabela10[Grade],DropAnalityka[[#This Row],[Grade]])*DropAnalityka[[#This Row],[Quality/Quantity]],0)</f>
        <v>11560</v>
      </c>
      <c r="K1377" s="43">
        <f>IFERROR(SUMIFS(Tabela10[Fod Worth],Tabela10[Drop],DropAnalityka[[#This Row],[Drop]],Tabela10[Grade],DropAnalityka[[#This Row],[Grade]])*DropAnalityka[[#This Row],[Quality/Quantity]],0)</f>
        <v>0</v>
      </c>
      <c r="L1377" s="43">
        <f>IFERROR(SUMIFS(Tabela10[Exp Gain only 2*+],Tabela10[Drop],DropAnalityka[[#This Row],[Drop]],Tabela10[Grade],DropAnalityka[[#This Row],[Grade]])*DropAnalityka[[#This Row],[Quality/Quantity]],0)</f>
        <v>0</v>
      </c>
    </row>
    <row r="1378" spans="1:12">
      <c r="A1378" t="s">
        <v>178</v>
      </c>
      <c r="B1378" t="s">
        <v>9</v>
      </c>
      <c r="C1378">
        <v>9</v>
      </c>
      <c r="D1378">
        <v>4007</v>
      </c>
      <c r="E1378">
        <v>0</v>
      </c>
      <c r="F1378" t="s">
        <v>258</v>
      </c>
      <c r="G1378">
        <v>1</v>
      </c>
      <c r="H1378" t="s">
        <v>28</v>
      </c>
      <c r="I1378">
        <v>12240</v>
      </c>
      <c r="J1378">
        <f>DropAnalityka[[#This Row],[Sell Drop]]+IFERROR(SUMIFS(Tabela10[Drop Worth],Tabela10[Drop],DropAnalityka[[#This Row],[Drop]],Tabela10[Grade],DropAnalityka[[#This Row],[Grade]])*DropAnalityka[[#This Row],[Quality/Quantity]],0)</f>
        <v>12240</v>
      </c>
      <c r="K1378" s="43">
        <f>IFERROR(SUMIFS(Tabela10[Fod Worth],Tabela10[Drop],DropAnalityka[[#This Row],[Drop]],Tabela10[Grade],DropAnalityka[[#This Row],[Grade]])*DropAnalityka[[#This Row],[Quality/Quantity]],0)</f>
        <v>0</v>
      </c>
      <c r="L1378" s="43">
        <f>IFERROR(SUMIFS(Tabela10[Exp Gain only 2*+],Tabela10[Drop],DropAnalityka[[#This Row],[Drop]],Tabela10[Grade],DropAnalityka[[#This Row],[Grade]])*DropAnalityka[[#This Row],[Quality/Quantity]],0)</f>
        <v>0</v>
      </c>
    </row>
    <row r="1379" spans="1:12">
      <c r="A1379" t="s">
        <v>178</v>
      </c>
      <c r="B1379" t="s">
        <v>9</v>
      </c>
      <c r="C1379">
        <v>9</v>
      </c>
      <c r="D1379">
        <v>4304</v>
      </c>
      <c r="E1379">
        <v>2</v>
      </c>
      <c r="F1379" t="s">
        <v>258</v>
      </c>
      <c r="G1379">
        <v>1</v>
      </c>
      <c r="H1379" t="s">
        <v>29</v>
      </c>
      <c r="I1379">
        <v>20288</v>
      </c>
      <c r="J1379">
        <f>DropAnalityka[[#This Row],[Sell Drop]]+IFERROR(SUMIFS(Tabela10[Drop Worth],Tabela10[Drop],DropAnalityka[[#This Row],[Drop]],Tabela10[Grade],DropAnalityka[[#This Row],[Grade]])*DropAnalityka[[#This Row],[Quality/Quantity]],0)</f>
        <v>20288</v>
      </c>
      <c r="K1379" s="43">
        <f>IFERROR(SUMIFS(Tabela10[Fod Worth],Tabela10[Drop],DropAnalityka[[#This Row],[Drop]],Tabela10[Grade],DropAnalityka[[#This Row],[Grade]])*DropAnalityka[[#This Row],[Quality/Quantity]],0)</f>
        <v>0</v>
      </c>
      <c r="L1379" s="43">
        <f>IFERROR(SUMIFS(Tabela10[Exp Gain only 2*+],Tabela10[Drop],DropAnalityka[[#This Row],[Drop]],Tabela10[Grade],DropAnalityka[[#This Row],[Grade]])*DropAnalityka[[#This Row],[Quality/Quantity]],0)</f>
        <v>0</v>
      </c>
    </row>
    <row r="1380" spans="1:12">
      <c r="A1380" t="s">
        <v>178</v>
      </c>
      <c r="B1380" t="s">
        <v>9</v>
      </c>
      <c r="C1380">
        <v>9</v>
      </c>
      <c r="D1380">
        <v>3825</v>
      </c>
      <c r="E1380">
        <v>1</v>
      </c>
      <c r="F1380" t="s">
        <v>291</v>
      </c>
      <c r="G1380">
        <v>1</v>
      </c>
      <c r="H1380" t="s">
        <v>29</v>
      </c>
      <c r="I1380">
        <v>17118</v>
      </c>
      <c r="J1380">
        <f>DropAnalityka[[#This Row],[Sell Drop]]+IFERROR(SUMIFS(Tabela10[Drop Worth],Tabela10[Drop],DropAnalityka[[#This Row],[Drop]],Tabela10[Grade],DropAnalityka[[#This Row],[Grade]])*DropAnalityka[[#This Row],[Quality/Quantity]],0)</f>
        <v>17118</v>
      </c>
      <c r="K1380" s="43">
        <f>IFERROR(SUMIFS(Tabela10[Fod Worth],Tabela10[Drop],DropAnalityka[[#This Row],[Drop]],Tabela10[Grade],DropAnalityka[[#This Row],[Grade]])*DropAnalityka[[#This Row],[Quality/Quantity]],0)</f>
        <v>0</v>
      </c>
      <c r="L1380" s="43">
        <f>IFERROR(SUMIFS(Tabela10[Exp Gain only 2*+],Tabela10[Drop],DropAnalityka[[#This Row],[Drop]],Tabela10[Grade],DropAnalityka[[#This Row],[Grade]])*DropAnalityka[[#This Row],[Quality/Quantity]],0)</f>
        <v>0</v>
      </c>
    </row>
    <row r="1381" spans="1:12">
      <c r="A1381" t="s">
        <v>178</v>
      </c>
      <c r="B1381" t="s">
        <v>9</v>
      </c>
      <c r="C1381">
        <v>9</v>
      </c>
      <c r="D1381">
        <v>3952</v>
      </c>
      <c r="E1381">
        <v>0</v>
      </c>
      <c r="F1381" t="s">
        <v>258</v>
      </c>
      <c r="G1381">
        <v>1</v>
      </c>
      <c r="H1381" t="s">
        <v>27</v>
      </c>
      <c r="I1381">
        <v>3445</v>
      </c>
      <c r="J1381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1381" s="43">
        <f>IFERROR(SUMIFS(Tabela10[Fod Worth],Tabela10[Drop],DropAnalityka[[#This Row],[Drop]],Tabela10[Grade],DropAnalityka[[#This Row],[Grade]])*DropAnalityka[[#This Row],[Quality/Quantity]],0)</f>
        <v>0</v>
      </c>
      <c r="L1381" s="43">
        <f>IFERROR(SUMIFS(Tabela10[Exp Gain only 2*+],Tabela10[Drop],DropAnalityka[[#This Row],[Drop]],Tabela10[Grade],DropAnalityka[[#This Row],[Grade]])*DropAnalityka[[#This Row],[Quality/Quantity]],0)</f>
        <v>0</v>
      </c>
    </row>
    <row r="1382" spans="1:12">
      <c r="A1382" t="s">
        <v>178</v>
      </c>
      <c r="B1382" t="s">
        <v>9</v>
      </c>
      <c r="C1382">
        <v>9</v>
      </c>
      <c r="D1382">
        <v>3837</v>
      </c>
      <c r="E1382">
        <v>0</v>
      </c>
      <c r="F1382" t="s">
        <v>258</v>
      </c>
      <c r="G1382">
        <v>1</v>
      </c>
      <c r="H1382" t="s">
        <v>29</v>
      </c>
      <c r="I1382">
        <v>18861</v>
      </c>
      <c r="J1382">
        <f>DropAnalityka[[#This Row],[Sell Drop]]+IFERROR(SUMIFS(Tabela10[Drop Worth],Tabela10[Drop],DropAnalityka[[#This Row],[Drop]],Tabela10[Grade],DropAnalityka[[#This Row],[Grade]])*DropAnalityka[[#This Row],[Quality/Quantity]],0)</f>
        <v>18861</v>
      </c>
      <c r="K1382" s="43">
        <f>IFERROR(SUMIFS(Tabela10[Fod Worth],Tabela10[Drop],DropAnalityka[[#This Row],[Drop]],Tabela10[Grade],DropAnalityka[[#This Row],[Grade]])*DropAnalityka[[#This Row],[Quality/Quantity]],0)</f>
        <v>0</v>
      </c>
      <c r="L1382" s="43">
        <f>IFERROR(SUMIFS(Tabela10[Exp Gain only 2*+],Tabela10[Drop],DropAnalityka[[#This Row],[Drop]],Tabela10[Grade],DropAnalityka[[#This Row],[Grade]])*DropAnalityka[[#This Row],[Quality/Quantity]],0)</f>
        <v>0</v>
      </c>
    </row>
    <row r="1383" spans="1:12">
      <c r="A1383" t="s">
        <v>178</v>
      </c>
      <c r="B1383" t="s">
        <v>9</v>
      </c>
      <c r="C1383">
        <v>9</v>
      </c>
      <c r="D1383">
        <v>3964</v>
      </c>
      <c r="E1383">
        <v>2</v>
      </c>
      <c r="F1383" t="s">
        <v>258</v>
      </c>
      <c r="G1383">
        <v>1</v>
      </c>
      <c r="H1383" t="s">
        <v>28</v>
      </c>
      <c r="I1383">
        <v>8075</v>
      </c>
      <c r="J1383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383" s="43">
        <f>IFERROR(SUMIFS(Tabela10[Fod Worth],Tabela10[Drop],DropAnalityka[[#This Row],[Drop]],Tabela10[Grade],DropAnalityka[[#This Row],[Grade]])*DropAnalityka[[#This Row],[Quality/Quantity]],0)</f>
        <v>0</v>
      </c>
      <c r="L1383" s="43">
        <f>IFERROR(SUMIFS(Tabela10[Exp Gain only 2*+],Tabela10[Drop],DropAnalityka[[#This Row],[Drop]],Tabela10[Grade],DropAnalityka[[#This Row],[Grade]])*DropAnalityka[[#This Row],[Quality/Quantity]],0)</f>
        <v>0</v>
      </c>
    </row>
    <row r="1384" spans="1:12">
      <c r="A1384" t="s">
        <v>178</v>
      </c>
      <c r="B1384" t="s">
        <v>9</v>
      </c>
      <c r="C1384">
        <v>9</v>
      </c>
      <c r="D1384">
        <v>3954</v>
      </c>
      <c r="E1384">
        <v>1</v>
      </c>
      <c r="F1384" t="s">
        <v>258</v>
      </c>
      <c r="G1384">
        <v>1</v>
      </c>
      <c r="H1384" t="s">
        <v>28</v>
      </c>
      <c r="I1384">
        <v>5440</v>
      </c>
      <c r="J1384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384" s="43">
        <f>IFERROR(SUMIFS(Tabela10[Fod Worth],Tabela10[Drop],DropAnalityka[[#This Row],[Drop]],Tabela10[Grade],DropAnalityka[[#This Row],[Grade]])*DropAnalityka[[#This Row],[Quality/Quantity]],0)</f>
        <v>0</v>
      </c>
      <c r="L1384" s="43">
        <f>IFERROR(SUMIFS(Tabela10[Exp Gain only 2*+],Tabela10[Drop],DropAnalityka[[#This Row],[Drop]],Tabela10[Grade],DropAnalityka[[#This Row],[Grade]])*DropAnalityka[[#This Row],[Quality/Quantity]],0)</f>
        <v>0</v>
      </c>
    </row>
    <row r="1385" spans="1:12">
      <c r="A1385" t="s">
        <v>178</v>
      </c>
      <c r="B1385" t="s">
        <v>9</v>
      </c>
      <c r="C1385">
        <v>9</v>
      </c>
      <c r="D1385">
        <v>3909</v>
      </c>
      <c r="E1385">
        <v>0</v>
      </c>
      <c r="F1385" t="s">
        <v>34</v>
      </c>
      <c r="G1385">
        <v>5</v>
      </c>
      <c r="H1385" t="s">
        <v>17</v>
      </c>
      <c r="I1385">
        <v>0</v>
      </c>
      <c r="J138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85" s="43">
        <f>IFERROR(SUMIFS(Tabela10[Fod Worth],Tabela10[Drop],DropAnalityka[[#This Row],[Drop]],Tabela10[Grade],DropAnalityka[[#This Row],[Grade]])*DropAnalityka[[#This Row],[Quality/Quantity]],0)</f>
        <v>0</v>
      </c>
      <c r="L1385" s="43">
        <f>IFERROR(SUMIFS(Tabela10[Exp Gain only 2*+],Tabela10[Drop],DropAnalityka[[#This Row],[Drop]],Tabela10[Grade],DropAnalityka[[#This Row],[Grade]])*DropAnalityka[[#This Row],[Quality/Quantity]],0)</f>
        <v>4000</v>
      </c>
    </row>
    <row r="1386" spans="1:12">
      <c r="A1386" t="s">
        <v>178</v>
      </c>
      <c r="B1386" t="s">
        <v>9</v>
      </c>
      <c r="C1386">
        <v>9</v>
      </c>
      <c r="D1386">
        <v>3708</v>
      </c>
      <c r="E1386">
        <v>2</v>
      </c>
      <c r="F1386" t="s">
        <v>34</v>
      </c>
      <c r="G1386">
        <v>5</v>
      </c>
      <c r="H1386" t="s">
        <v>17</v>
      </c>
      <c r="I1386">
        <v>0</v>
      </c>
      <c r="J138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86" s="43">
        <f>IFERROR(SUMIFS(Tabela10[Fod Worth],Tabela10[Drop],DropAnalityka[[#This Row],[Drop]],Tabela10[Grade],DropAnalityka[[#This Row],[Grade]])*DropAnalityka[[#This Row],[Quality/Quantity]],0)</f>
        <v>0</v>
      </c>
      <c r="L1386" s="43">
        <f>IFERROR(SUMIFS(Tabela10[Exp Gain only 2*+],Tabela10[Drop],DropAnalityka[[#This Row],[Drop]],Tabela10[Grade],DropAnalityka[[#This Row],[Grade]])*DropAnalityka[[#This Row],[Quality/Quantity]],0)</f>
        <v>4000</v>
      </c>
    </row>
    <row r="1387" spans="1:12">
      <c r="A1387" t="s">
        <v>178</v>
      </c>
      <c r="B1387" t="s">
        <v>9</v>
      </c>
      <c r="C1387">
        <v>9</v>
      </c>
      <c r="D1387">
        <v>3596</v>
      </c>
      <c r="E1387">
        <v>3</v>
      </c>
      <c r="F1387" t="s">
        <v>258</v>
      </c>
      <c r="G1387">
        <v>1</v>
      </c>
      <c r="H1387" t="s">
        <v>29</v>
      </c>
      <c r="I1387">
        <v>10144</v>
      </c>
      <c r="J1387">
        <f>DropAnalityka[[#This Row],[Sell Drop]]+IFERROR(SUMIFS(Tabela10[Drop Worth],Tabela10[Drop],DropAnalityka[[#This Row],[Drop]],Tabela10[Grade],DropAnalityka[[#This Row],[Grade]])*DropAnalityka[[#This Row],[Quality/Quantity]],0)</f>
        <v>10144</v>
      </c>
      <c r="K1387" s="43">
        <f>IFERROR(SUMIFS(Tabela10[Fod Worth],Tabela10[Drop],DropAnalityka[[#This Row],[Drop]],Tabela10[Grade],DropAnalityka[[#This Row],[Grade]])*DropAnalityka[[#This Row],[Quality/Quantity]],0)</f>
        <v>0</v>
      </c>
      <c r="L1387" s="43">
        <f>IFERROR(SUMIFS(Tabela10[Exp Gain only 2*+],Tabela10[Drop],DropAnalityka[[#This Row],[Drop]],Tabela10[Grade],DropAnalityka[[#This Row],[Grade]])*DropAnalityka[[#This Row],[Quality/Quantity]],0)</f>
        <v>0</v>
      </c>
    </row>
    <row r="1388" spans="1:12">
      <c r="A1388" t="s">
        <v>178</v>
      </c>
      <c r="B1388" t="s">
        <v>9</v>
      </c>
      <c r="C1388">
        <v>9</v>
      </c>
      <c r="D1388">
        <v>3997</v>
      </c>
      <c r="E1388">
        <v>2</v>
      </c>
      <c r="F1388" t="s">
        <v>58</v>
      </c>
      <c r="G1388">
        <v>1</v>
      </c>
      <c r="H1388" t="s">
        <v>12</v>
      </c>
      <c r="I1388">
        <v>0</v>
      </c>
      <c r="J13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388" s="43">
        <f>IFERROR(SUMIFS(Tabela10[Fod Worth],Tabela10[Drop],DropAnalityka[[#This Row],[Drop]],Tabela10[Grade],DropAnalityka[[#This Row],[Grade]])*DropAnalityka[[#This Row],[Quality/Quantity]],0)</f>
        <v>11500</v>
      </c>
      <c r="L1388" s="43">
        <f>IFERROR(SUMIFS(Tabela10[Exp Gain only 2*+],Tabela10[Drop],DropAnalityka[[#This Row],[Drop]],Tabela10[Grade],DropAnalityka[[#This Row],[Grade]])*DropAnalityka[[#This Row],[Quality/Quantity]],0)</f>
        <v>35822</v>
      </c>
    </row>
    <row r="1389" spans="1:12">
      <c r="A1389" t="s">
        <v>178</v>
      </c>
      <c r="B1389" t="s">
        <v>9</v>
      </c>
      <c r="C1389">
        <v>9</v>
      </c>
      <c r="D1389">
        <v>4264</v>
      </c>
      <c r="E1389">
        <v>0</v>
      </c>
      <c r="F1389" t="s">
        <v>34</v>
      </c>
      <c r="G1389">
        <v>4</v>
      </c>
      <c r="H1389" t="s">
        <v>17</v>
      </c>
      <c r="I1389">
        <v>0</v>
      </c>
      <c r="J138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89" s="43">
        <f>IFERROR(SUMIFS(Tabela10[Fod Worth],Tabela10[Drop],DropAnalityka[[#This Row],[Drop]],Tabela10[Grade],DropAnalityka[[#This Row],[Grade]])*DropAnalityka[[#This Row],[Quality/Quantity]],0)</f>
        <v>0</v>
      </c>
      <c r="L1389" s="43">
        <f>IFERROR(SUMIFS(Tabela10[Exp Gain only 2*+],Tabela10[Drop],DropAnalityka[[#This Row],[Drop]],Tabela10[Grade],DropAnalityka[[#This Row],[Grade]])*DropAnalityka[[#This Row],[Quality/Quantity]],0)</f>
        <v>3200</v>
      </c>
    </row>
    <row r="1390" spans="1:12">
      <c r="A1390" t="s">
        <v>178</v>
      </c>
      <c r="B1390" t="s">
        <v>9</v>
      </c>
      <c r="C1390">
        <v>9</v>
      </c>
      <c r="D1390">
        <v>4199</v>
      </c>
      <c r="E1390">
        <v>3</v>
      </c>
      <c r="F1390" t="s">
        <v>258</v>
      </c>
      <c r="G1390">
        <v>1</v>
      </c>
      <c r="H1390" t="s">
        <v>28</v>
      </c>
      <c r="I1390">
        <v>5440</v>
      </c>
      <c r="J1390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390" s="43">
        <f>IFERROR(SUMIFS(Tabela10[Fod Worth],Tabela10[Drop],DropAnalityka[[#This Row],[Drop]],Tabela10[Grade],DropAnalityka[[#This Row],[Grade]])*DropAnalityka[[#This Row],[Quality/Quantity]],0)</f>
        <v>0</v>
      </c>
      <c r="L1390" s="43">
        <f>IFERROR(SUMIFS(Tabela10[Exp Gain only 2*+],Tabela10[Drop],DropAnalityka[[#This Row],[Drop]],Tabela10[Grade],DropAnalityka[[#This Row],[Grade]])*DropAnalityka[[#This Row],[Quality/Quantity]],0)</f>
        <v>0</v>
      </c>
    </row>
    <row r="1391" spans="1:12">
      <c r="A1391" t="s">
        <v>178</v>
      </c>
      <c r="B1391" t="s">
        <v>9</v>
      </c>
      <c r="C1391">
        <v>9</v>
      </c>
      <c r="D1391">
        <v>4060</v>
      </c>
      <c r="E1391">
        <v>2</v>
      </c>
      <c r="F1391" t="s">
        <v>34</v>
      </c>
      <c r="G1391">
        <v>4</v>
      </c>
      <c r="H1391" t="s">
        <v>17</v>
      </c>
      <c r="I1391">
        <v>0</v>
      </c>
      <c r="J1391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91" s="43">
        <f>IFERROR(SUMIFS(Tabela10[Fod Worth],Tabela10[Drop],DropAnalityka[[#This Row],[Drop]],Tabela10[Grade],DropAnalityka[[#This Row],[Grade]])*DropAnalityka[[#This Row],[Quality/Quantity]],0)</f>
        <v>0</v>
      </c>
      <c r="L1391" s="43">
        <f>IFERROR(SUMIFS(Tabela10[Exp Gain only 2*+],Tabela10[Drop],DropAnalityka[[#This Row],[Drop]],Tabela10[Grade],DropAnalityka[[#This Row],[Grade]])*DropAnalityka[[#This Row],[Quality/Quantity]],0)</f>
        <v>3200</v>
      </c>
    </row>
    <row r="1392" spans="1:12">
      <c r="A1392" t="s">
        <v>178</v>
      </c>
      <c r="B1392" t="s">
        <v>9</v>
      </c>
      <c r="C1392">
        <v>9</v>
      </c>
      <c r="D1392">
        <v>3943</v>
      </c>
      <c r="E1392">
        <v>3</v>
      </c>
      <c r="F1392" t="s">
        <v>34</v>
      </c>
      <c r="G1392">
        <v>4</v>
      </c>
      <c r="H1392" t="s">
        <v>17</v>
      </c>
      <c r="I1392">
        <v>0</v>
      </c>
      <c r="J139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92" s="43">
        <f>IFERROR(SUMIFS(Tabela10[Fod Worth],Tabela10[Drop],DropAnalityka[[#This Row],[Drop]],Tabela10[Grade],DropAnalityka[[#This Row],[Grade]])*DropAnalityka[[#This Row],[Quality/Quantity]],0)</f>
        <v>0</v>
      </c>
      <c r="L1392" s="43">
        <f>IFERROR(SUMIFS(Tabela10[Exp Gain only 2*+],Tabela10[Drop],DropAnalityka[[#This Row],[Drop]],Tabela10[Grade],DropAnalityka[[#This Row],[Grade]])*DropAnalityka[[#This Row],[Quality/Quantity]],0)</f>
        <v>3200</v>
      </c>
    </row>
    <row r="1393" spans="1:12">
      <c r="A1393" t="s">
        <v>178</v>
      </c>
      <c r="B1393" t="s">
        <v>9</v>
      </c>
      <c r="C1393">
        <v>9</v>
      </c>
      <c r="D1393">
        <v>4141</v>
      </c>
      <c r="E1393">
        <v>1</v>
      </c>
      <c r="F1393" t="s">
        <v>34</v>
      </c>
      <c r="G1393">
        <v>4</v>
      </c>
      <c r="H1393" t="s">
        <v>17</v>
      </c>
      <c r="I1393">
        <v>0</v>
      </c>
      <c r="J1393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93" s="43">
        <f>IFERROR(SUMIFS(Tabela10[Fod Worth],Tabela10[Drop],DropAnalityka[[#This Row],[Drop]],Tabela10[Grade],DropAnalityka[[#This Row],[Grade]])*DropAnalityka[[#This Row],[Quality/Quantity]],0)</f>
        <v>0</v>
      </c>
      <c r="L1393" s="43">
        <f>IFERROR(SUMIFS(Tabela10[Exp Gain only 2*+],Tabela10[Drop],DropAnalityka[[#This Row],[Drop]],Tabela10[Grade],DropAnalityka[[#This Row],[Grade]])*DropAnalityka[[#This Row],[Quality/Quantity]],0)</f>
        <v>3200</v>
      </c>
    </row>
    <row r="1394" spans="1:12">
      <c r="A1394" t="s">
        <v>178</v>
      </c>
      <c r="B1394" t="s">
        <v>9</v>
      </c>
      <c r="C1394">
        <v>9</v>
      </c>
      <c r="D1394">
        <v>4075</v>
      </c>
      <c r="E1394">
        <v>0</v>
      </c>
      <c r="F1394" t="s">
        <v>34</v>
      </c>
      <c r="G1394">
        <v>4</v>
      </c>
      <c r="H1394" t="s">
        <v>17</v>
      </c>
      <c r="I1394">
        <v>0</v>
      </c>
      <c r="J139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394" s="43">
        <f>IFERROR(SUMIFS(Tabela10[Fod Worth],Tabela10[Drop],DropAnalityka[[#This Row],[Drop]],Tabela10[Grade],DropAnalityka[[#This Row],[Grade]])*DropAnalityka[[#This Row],[Quality/Quantity]],0)</f>
        <v>0</v>
      </c>
      <c r="L1394" s="43">
        <f>IFERROR(SUMIFS(Tabela10[Exp Gain only 2*+],Tabela10[Drop],DropAnalityka[[#This Row],[Drop]],Tabela10[Grade],DropAnalityka[[#This Row],[Grade]])*DropAnalityka[[#This Row],[Quality/Quantity]],0)</f>
        <v>3200</v>
      </c>
    </row>
    <row r="1395" spans="1:12">
      <c r="A1395" t="s">
        <v>178</v>
      </c>
      <c r="B1395" t="s">
        <v>9</v>
      </c>
      <c r="C1395">
        <v>9</v>
      </c>
      <c r="D1395">
        <v>4269</v>
      </c>
      <c r="E1395">
        <v>1</v>
      </c>
      <c r="F1395" t="s">
        <v>258</v>
      </c>
      <c r="G1395">
        <v>1</v>
      </c>
      <c r="H1395" t="s">
        <v>27</v>
      </c>
      <c r="I1395">
        <v>6431</v>
      </c>
      <c r="J1395">
        <f>DropAnalityka[[#This Row],[Sell Drop]]+IFERROR(SUMIFS(Tabela10[Drop Worth],Tabela10[Drop],DropAnalityka[[#This Row],[Drop]],Tabela10[Grade],DropAnalityka[[#This Row],[Grade]])*DropAnalityka[[#This Row],[Quality/Quantity]],0)</f>
        <v>6431</v>
      </c>
      <c r="K1395" s="43">
        <f>IFERROR(SUMIFS(Tabela10[Fod Worth],Tabela10[Drop],DropAnalityka[[#This Row],[Drop]],Tabela10[Grade],DropAnalityka[[#This Row],[Grade]])*DropAnalityka[[#This Row],[Quality/Quantity]],0)</f>
        <v>0</v>
      </c>
      <c r="L1395" s="43">
        <f>IFERROR(SUMIFS(Tabela10[Exp Gain only 2*+],Tabela10[Drop],DropAnalityka[[#This Row],[Drop]],Tabela10[Grade],DropAnalityka[[#This Row],[Grade]])*DropAnalityka[[#This Row],[Quality/Quantity]],0)</f>
        <v>0</v>
      </c>
    </row>
    <row r="1396" spans="1:12">
      <c r="A1396" t="s">
        <v>178</v>
      </c>
      <c r="B1396" t="s">
        <v>9</v>
      </c>
      <c r="C1396">
        <v>9</v>
      </c>
      <c r="D1396">
        <v>3888</v>
      </c>
      <c r="E1396">
        <v>2</v>
      </c>
      <c r="F1396" t="s">
        <v>34</v>
      </c>
      <c r="G1396">
        <v>5</v>
      </c>
      <c r="H1396" t="s">
        <v>17</v>
      </c>
      <c r="I1396">
        <v>0</v>
      </c>
      <c r="J139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396" s="43">
        <f>IFERROR(SUMIFS(Tabela10[Fod Worth],Tabela10[Drop],DropAnalityka[[#This Row],[Drop]],Tabela10[Grade],DropAnalityka[[#This Row],[Grade]])*DropAnalityka[[#This Row],[Quality/Quantity]],0)</f>
        <v>0</v>
      </c>
      <c r="L1396" s="43">
        <f>IFERROR(SUMIFS(Tabela10[Exp Gain only 2*+],Tabela10[Drop],DropAnalityka[[#This Row],[Drop]],Tabela10[Grade],DropAnalityka[[#This Row],[Grade]])*DropAnalityka[[#This Row],[Quality/Quantity]],0)</f>
        <v>4000</v>
      </c>
    </row>
    <row r="1397" spans="1:12">
      <c r="A1397" t="s">
        <v>178</v>
      </c>
      <c r="B1397" t="s">
        <v>9</v>
      </c>
      <c r="C1397">
        <v>9</v>
      </c>
      <c r="D1397">
        <v>3672</v>
      </c>
      <c r="E1397">
        <v>1</v>
      </c>
      <c r="F1397" t="s">
        <v>258</v>
      </c>
      <c r="G1397">
        <v>1</v>
      </c>
      <c r="H1397" t="s">
        <v>27</v>
      </c>
      <c r="I1397">
        <v>6120</v>
      </c>
      <c r="J1397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397" s="43">
        <f>IFERROR(SUMIFS(Tabela10[Fod Worth],Tabela10[Drop],DropAnalityka[[#This Row],[Drop]],Tabela10[Grade],DropAnalityka[[#This Row],[Grade]])*DropAnalityka[[#This Row],[Quality/Quantity]],0)</f>
        <v>0</v>
      </c>
      <c r="L1397" s="43">
        <f>IFERROR(SUMIFS(Tabela10[Exp Gain only 2*+],Tabela10[Drop],DropAnalityka[[#This Row],[Drop]],Tabela10[Grade],DropAnalityka[[#This Row],[Grade]])*DropAnalityka[[#This Row],[Quality/Quantity]],0)</f>
        <v>0</v>
      </c>
    </row>
    <row r="1398" spans="1:12">
      <c r="A1398" t="s">
        <v>178</v>
      </c>
      <c r="B1398" t="s">
        <v>9</v>
      </c>
      <c r="C1398">
        <v>9</v>
      </c>
      <c r="D1398">
        <v>3924</v>
      </c>
      <c r="E1398">
        <v>1</v>
      </c>
      <c r="F1398" t="s">
        <v>258</v>
      </c>
      <c r="G1398">
        <v>1</v>
      </c>
      <c r="H1398" t="s">
        <v>28</v>
      </c>
      <c r="I1398">
        <v>12920</v>
      </c>
      <c r="J1398">
        <f>DropAnalityka[[#This Row],[Sell Drop]]+IFERROR(SUMIFS(Tabela10[Drop Worth],Tabela10[Drop],DropAnalityka[[#This Row],[Drop]],Tabela10[Grade],DropAnalityka[[#This Row],[Grade]])*DropAnalityka[[#This Row],[Quality/Quantity]],0)</f>
        <v>12920</v>
      </c>
      <c r="K1398" s="43">
        <f>IFERROR(SUMIFS(Tabela10[Fod Worth],Tabela10[Drop],DropAnalityka[[#This Row],[Drop]],Tabela10[Grade],DropAnalityka[[#This Row],[Grade]])*DropAnalityka[[#This Row],[Quality/Quantity]],0)</f>
        <v>0</v>
      </c>
      <c r="L1398" s="43">
        <f>IFERROR(SUMIFS(Tabela10[Exp Gain only 2*+],Tabela10[Drop],DropAnalityka[[#This Row],[Drop]],Tabela10[Grade],DropAnalityka[[#This Row],[Grade]])*DropAnalityka[[#This Row],[Quality/Quantity]],0)</f>
        <v>0</v>
      </c>
    </row>
    <row r="1399" spans="1:12">
      <c r="A1399" t="s">
        <v>178</v>
      </c>
      <c r="B1399" t="s">
        <v>9</v>
      </c>
      <c r="C1399">
        <v>9</v>
      </c>
      <c r="D1399">
        <v>4086</v>
      </c>
      <c r="E1399">
        <v>1</v>
      </c>
      <c r="F1399" t="s">
        <v>258</v>
      </c>
      <c r="G1399">
        <v>1</v>
      </c>
      <c r="H1399" t="s">
        <v>27</v>
      </c>
      <c r="I1399">
        <v>6120</v>
      </c>
      <c r="J1399">
        <f>DropAnalityka[[#This Row],[Sell Drop]]+IFERROR(SUMIFS(Tabela10[Drop Worth],Tabela10[Drop],DropAnalityka[[#This Row],[Drop]],Tabela10[Grade],DropAnalityka[[#This Row],[Grade]])*DropAnalityka[[#This Row],[Quality/Quantity]],0)</f>
        <v>6120</v>
      </c>
      <c r="K1399" s="43">
        <f>IFERROR(SUMIFS(Tabela10[Fod Worth],Tabela10[Drop],DropAnalityka[[#This Row],[Drop]],Tabela10[Grade],DropAnalityka[[#This Row],[Grade]])*DropAnalityka[[#This Row],[Quality/Quantity]],0)</f>
        <v>0</v>
      </c>
      <c r="L1399" s="43">
        <f>IFERROR(SUMIFS(Tabela10[Exp Gain only 2*+],Tabela10[Drop],DropAnalityka[[#This Row],[Drop]],Tabela10[Grade],DropAnalityka[[#This Row],[Grade]])*DropAnalityka[[#This Row],[Quality/Quantity]],0)</f>
        <v>0</v>
      </c>
    </row>
    <row r="1400" spans="1:12">
      <c r="A1400" t="s">
        <v>178</v>
      </c>
      <c r="B1400" t="s">
        <v>9</v>
      </c>
      <c r="C1400">
        <v>9</v>
      </c>
      <c r="D1400">
        <v>3956</v>
      </c>
      <c r="E1400">
        <v>1</v>
      </c>
      <c r="F1400" t="s">
        <v>34</v>
      </c>
      <c r="G1400">
        <v>4</v>
      </c>
      <c r="H1400" t="s">
        <v>17</v>
      </c>
      <c r="I1400">
        <v>0</v>
      </c>
      <c r="J1400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00" s="43">
        <f>IFERROR(SUMIFS(Tabela10[Fod Worth],Tabela10[Drop],DropAnalityka[[#This Row],[Drop]],Tabela10[Grade],DropAnalityka[[#This Row],[Grade]])*DropAnalityka[[#This Row],[Quality/Quantity]],0)</f>
        <v>0</v>
      </c>
      <c r="L1400" s="43">
        <f>IFERROR(SUMIFS(Tabela10[Exp Gain only 2*+],Tabela10[Drop],DropAnalityka[[#This Row],[Drop]],Tabela10[Grade],DropAnalityka[[#This Row],[Grade]])*DropAnalityka[[#This Row],[Quality/Quantity]],0)</f>
        <v>3200</v>
      </c>
    </row>
    <row r="1401" spans="1:12">
      <c r="A1401" t="s">
        <v>178</v>
      </c>
      <c r="B1401" t="s">
        <v>9</v>
      </c>
      <c r="C1401">
        <v>9</v>
      </c>
      <c r="D1401">
        <v>4121</v>
      </c>
      <c r="E1401">
        <v>2</v>
      </c>
      <c r="F1401" t="s">
        <v>291</v>
      </c>
      <c r="G1401">
        <v>1</v>
      </c>
      <c r="H1401" t="s">
        <v>29</v>
      </c>
      <c r="I1401">
        <v>27103</v>
      </c>
      <c r="J1401">
        <f>DropAnalityka[[#This Row],[Sell Drop]]+IFERROR(SUMIFS(Tabela10[Drop Worth],Tabela10[Drop],DropAnalityka[[#This Row],[Drop]],Tabela10[Grade],DropAnalityka[[#This Row],[Grade]])*DropAnalityka[[#This Row],[Quality/Quantity]],0)</f>
        <v>27103</v>
      </c>
      <c r="K1401" s="43">
        <f>IFERROR(SUMIFS(Tabela10[Fod Worth],Tabela10[Drop],DropAnalityka[[#This Row],[Drop]],Tabela10[Grade],DropAnalityka[[#This Row],[Grade]])*DropAnalityka[[#This Row],[Quality/Quantity]],0)</f>
        <v>0</v>
      </c>
      <c r="L1401" s="43">
        <f>IFERROR(SUMIFS(Tabela10[Exp Gain only 2*+],Tabela10[Drop],DropAnalityka[[#This Row],[Drop]],Tabela10[Grade],DropAnalityka[[#This Row],[Grade]])*DropAnalityka[[#This Row],[Quality/Quantity]],0)</f>
        <v>0</v>
      </c>
    </row>
    <row r="1402" spans="1:12">
      <c r="A1402" t="s">
        <v>178</v>
      </c>
      <c r="B1402" t="s">
        <v>9</v>
      </c>
      <c r="C1402">
        <v>9</v>
      </c>
      <c r="D1402">
        <v>3864</v>
      </c>
      <c r="E1402">
        <v>1</v>
      </c>
      <c r="F1402" t="s">
        <v>34</v>
      </c>
      <c r="G1402">
        <v>4</v>
      </c>
      <c r="H1402" t="s">
        <v>17</v>
      </c>
      <c r="I1402">
        <v>0</v>
      </c>
      <c r="J140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02" s="43">
        <f>IFERROR(SUMIFS(Tabela10[Fod Worth],Tabela10[Drop],DropAnalityka[[#This Row],[Drop]],Tabela10[Grade],DropAnalityka[[#This Row],[Grade]])*DropAnalityka[[#This Row],[Quality/Quantity]],0)</f>
        <v>0</v>
      </c>
      <c r="L1402" s="43">
        <f>IFERROR(SUMIFS(Tabela10[Exp Gain only 2*+],Tabela10[Drop],DropAnalityka[[#This Row],[Drop]],Tabela10[Grade],DropAnalityka[[#This Row],[Grade]])*DropAnalityka[[#This Row],[Quality/Quantity]],0)</f>
        <v>3200</v>
      </c>
    </row>
    <row r="1403" spans="1:12">
      <c r="A1403" t="s">
        <v>178</v>
      </c>
      <c r="B1403" t="s">
        <v>9</v>
      </c>
      <c r="C1403">
        <v>9</v>
      </c>
      <c r="D1403">
        <v>4144</v>
      </c>
      <c r="E1403">
        <v>2</v>
      </c>
      <c r="F1403" t="s">
        <v>258</v>
      </c>
      <c r="G1403">
        <v>1</v>
      </c>
      <c r="H1403" t="s">
        <v>27</v>
      </c>
      <c r="I1403">
        <v>3445</v>
      </c>
      <c r="J1403">
        <f>DropAnalityka[[#This Row],[Sell Drop]]+IFERROR(SUMIFS(Tabela10[Drop Worth],Tabela10[Drop],DropAnalityka[[#This Row],[Drop]],Tabela10[Grade],DropAnalityka[[#This Row],[Grade]])*DropAnalityka[[#This Row],[Quality/Quantity]],0)</f>
        <v>3445</v>
      </c>
      <c r="K1403" s="43">
        <f>IFERROR(SUMIFS(Tabela10[Fod Worth],Tabela10[Drop],DropAnalityka[[#This Row],[Drop]],Tabela10[Grade],DropAnalityka[[#This Row],[Grade]])*DropAnalityka[[#This Row],[Quality/Quantity]],0)</f>
        <v>0</v>
      </c>
      <c r="L1403" s="43">
        <f>IFERROR(SUMIFS(Tabela10[Exp Gain only 2*+],Tabela10[Drop],DropAnalityka[[#This Row],[Drop]],Tabela10[Grade],DropAnalityka[[#This Row],[Grade]])*DropAnalityka[[#This Row],[Quality/Quantity]],0)</f>
        <v>0</v>
      </c>
    </row>
    <row r="1404" spans="1:12">
      <c r="A1404" t="s">
        <v>178</v>
      </c>
      <c r="B1404" t="s">
        <v>9</v>
      </c>
      <c r="C1404">
        <v>9</v>
      </c>
      <c r="D1404">
        <v>3884</v>
      </c>
      <c r="E1404">
        <v>1</v>
      </c>
      <c r="F1404" t="s">
        <v>258</v>
      </c>
      <c r="G1404">
        <v>1</v>
      </c>
      <c r="H1404" t="s">
        <v>27</v>
      </c>
      <c r="I1404">
        <v>3675</v>
      </c>
      <c r="J1404">
        <f>DropAnalityka[[#This Row],[Sell Drop]]+IFERROR(SUMIFS(Tabela10[Drop Worth],Tabela10[Drop],DropAnalityka[[#This Row],[Drop]],Tabela10[Grade],DropAnalityka[[#This Row],[Grade]])*DropAnalityka[[#This Row],[Quality/Quantity]],0)</f>
        <v>3675</v>
      </c>
      <c r="K1404" s="43">
        <f>IFERROR(SUMIFS(Tabela10[Fod Worth],Tabela10[Drop],DropAnalityka[[#This Row],[Drop]],Tabela10[Grade],DropAnalityka[[#This Row],[Grade]])*DropAnalityka[[#This Row],[Quality/Quantity]],0)</f>
        <v>0</v>
      </c>
      <c r="L1404" s="43">
        <f>IFERROR(SUMIFS(Tabela10[Exp Gain only 2*+],Tabela10[Drop],DropAnalityka[[#This Row],[Drop]],Tabela10[Grade],DropAnalityka[[#This Row],[Grade]])*DropAnalityka[[#This Row],[Quality/Quantity]],0)</f>
        <v>0</v>
      </c>
    </row>
    <row r="1405" spans="1:12">
      <c r="A1405" t="s">
        <v>178</v>
      </c>
      <c r="B1405" t="s">
        <v>9</v>
      </c>
      <c r="C1405">
        <v>9</v>
      </c>
      <c r="D1405">
        <v>4186</v>
      </c>
      <c r="E1405">
        <v>0</v>
      </c>
      <c r="F1405" t="s">
        <v>291</v>
      </c>
      <c r="G1405">
        <v>1</v>
      </c>
      <c r="H1405" t="s">
        <v>28</v>
      </c>
      <c r="I1405">
        <v>17000</v>
      </c>
      <c r="J1405">
        <f>DropAnalityka[[#This Row],[Sell Drop]]+IFERROR(SUMIFS(Tabela10[Drop Worth],Tabela10[Drop],DropAnalityka[[#This Row],[Drop]],Tabela10[Grade],DropAnalityka[[#This Row],[Grade]])*DropAnalityka[[#This Row],[Quality/Quantity]],0)</f>
        <v>17000</v>
      </c>
      <c r="K1405" s="43">
        <f>IFERROR(SUMIFS(Tabela10[Fod Worth],Tabela10[Drop],DropAnalityka[[#This Row],[Drop]],Tabela10[Grade],DropAnalityka[[#This Row],[Grade]])*DropAnalityka[[#This Row],[Quality/Quantity]],0)</f>
        <v>0</v>
      </c>
      <c r="L1405" s="43">
        <f>IFERROR(SUMIFS(Tabela10[Exp Gain only 2*+],Tabela10[Drop],DropAnalityka[[#This Row],[Drop]],Tabela10[Grade],DropAnalityka[[#This Row],[Grade]])*DropAnalityka[[#This Row],[Quality/Quantity]],0)</f>
        <v>0</v>
      </c>
    </row>
    <row r="1406" spans="1:12">
      <c r="A1406" t="s">
        <v>178</v>
      </c>
      <c r="B1406" t="s">
        <v>9</v>
      </c>
      <c r="C1406">
        <v>9</v>
      </c>
      <c r="D1406">
        <v>3886</v>
      </c>
      <c r="E1406">
        <v>0</v>
      </c>
      <c r="F1406" t="s">
        <v>34</v>
      </c>
      <c r="G1406">
        <v>5</v>
      </c>
      <c r="H1406" t="s">
        <v>17</v>
      </c>
      <c r="I1406">
        <v>0</v>
      </c>
      <c r="J1406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406" s="43">
        <f>IFERROR(SUMIFS(Tabela10[Fod Worth],Tabela10[Drop],DropAnalityka[[#This Row],[Drop]],Tabela10[Grade],DropAnalityka[[#This Row],[Grade]])*DropAnalityka[[#This Row],[Quality/Quantity]],0)</f>
        <v>0</v>
      </c>
      <c r="L1406" s="43">
        <f>IFERROR(SUMIFS(Tabela10[Exp Gain only 2*+],Tabela10[Drop],DropAnalityka[[#This Row],[Drop]],Tabela10[Grade],DropAnalityka[[#This Row],[Grade]])*DropAnalityka[[#This Row],[Quality/Quantity]],0)</f>
        <v>4000</v>
      </c>
    </row>
    <row r="1407" spans="1:12">
      <c r="A1407" t="s">
        <v>178</v>
      </c>
      <c r="B1407" t="s">
        <v>9</v>
      </c>
      <c r="C1407">
        <v>9</v>
      </c>
      <c r="D1407">
        <v>4242</v>
      </c>
      <c r="E1407">
        <v>2</v>
      </c>
      <c r="F1407" t="s">
        <v>258</v>
      </c>
      <c r="G1407">
        <v>1</v>
      </c>
      <c r="H1407" t="s">
        <v>27</v>
      </c>
      <c r="I1407">
        <v>4364</v>
      </c>
      <c r="J1407">
        <f>DropAnalityka[[#This Row],[Sell Drop]]+IFERROR(SUMIFS(Tabela10[Drop Worth],Tabela10[Drop],DropAnalityka[[#This Row],[Drop]],Tabela10[Grade],DropAnalityka[[#This Row],[Grade]])*DropAnalityka[[#This Row],[Quality/Quantity]],0)</f>
        <v>4364</v>
      </c>
      <c r="K1407" s="43">
        <f>IFERROR(SUMIFS(Tabela10[Fod Worth],Tabela10[Drop],DropAnalityka[[#This Row],[Drop]],Tabela10[Grade],DropAnalityka[[#This Row],[Grade]])*DropAnalityka[[#This Row],[Quality/Quantity]],0)</f>
        <v>0</v>
      </c>
      <c r="L1407" s="43">
        <f>IFERROR(SUMIFS(Tabela10[Exp Gain only 2*+],Tabela10[Drop],DropAnalityka[[#This Row],[Drop]],Tabela10[Grade],DropAnalityka[[#This Row],[Grade]])*DropAnalityka[[#This Row],[Quality/Quantity]],0)</f>
        <v>0</v>
      </c>
    </row>
    <row r="1408" spans="1:12">
      <c r="A1408" t="s">
        <v>178</v>
      </c>
      <c r="B1408" t="s">
        <v>9</v>
      </c>
      <c r="C1408">
        <v>9</v>
      </c>
      <c r="D1408">
        <v>4062</v>
      </c>
      <c r="E1408">
        <v>1</v>
      </c>
      <c r="F1408" t="s">
        <v>258</v>
      </c>
      <c r="G1408">
        <v>1</v>
      </c>
      <c r="H1408" t="s">
        <v>27</v>
      </c>
      <c r="I1408">
        <v>2940</v>
      </c>
      <c r="J1408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408" s="43">
        <f>IFERROR(SUMIFS(Tabela10[Fod Worth],Tabela10[Drop],DropAnalityka[[#This Row],[Drop]],Tabela10[Grade],DropAnalityka[[#This Row],[Grade]])*DropAnalityka[[#This Row],[Quality/Quantity]],0)</f>
        <v>0</v>
      </c>
      <c r="L1408" s="43">
        <f>IFERROR(SUMIFS(Tabela10[Exp Gain only 2*+],Tabela10[Drop],DropAnalityka[[#This Row],[Drop]],Tabela10[Grade],DropAnalityka[[#This Row],[Grade]])*DropAnalityka[[#This Row],[Quality/Quantity]],0)</f>
        <v>0</v>
      </c>
    </row>
    <row r="1409" spans="1:12">
      <c r="A1409" t="s">
        <v>178</v>
      </c>
      <c r="B1409" t="s">
        <v>9</v>
      </c>
      <c r="C1409">
        <v>9</v>
      </c>
      <c r="D1409">
        <v>4025</v>
      </c>
      <c r="E1409">
        <v>1</v>
      </c>
      <c r="F1409" t="s">
        <v>258</v>
      </c>
      <c r="G1409">
        <v>1</v>
      </c>
      <c r="H1409" t="s">
        <v>28</v>
      </c>
      <c r="I1409">
        <v>6800</v>
      </c>
      <c r="J1409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409" s="43">
        <f>IFERROR(SUMIFS(Tabela10[Fod Worth],Tabela10[Drop],DropAnalityka[[#This Row],[Drop]],Tabela10[Grade],DropAnalityka[[#This Row],[Grade]])*DropAnalityka[[#This Row],[Quality/Quantity]],0)</f>
        <v>0</v>
      </c>
      <c r="L1409" s="43">
        <f>IFERROR(SUMIFS(Tabela10[Exp Gain only 2*+],Tabela10[Drop],DropAnalityka[[#This Row],[Drop]],Tabela10[Grade],DropAnalityka[[#This Row],[Grade]])*DropAnalityka[[#This Row],[Quality/Quantity]],0)</f>
        <v>0</v>
      </c>
    </row>
    <row r="1410" spans="1:12">
      <c r="A1410" t="s">
        <v>178</v>
      </c>
      <c r="B1410" t="s">
        <v>9</v>
      </c>
      <c r="C1410">
        <v>9</v>
      </c>
      <c r="D1410">
        <v>4416</v>
      </c>
      <c r="E1410">
        <v>3</v>
      </c>
      <c r="F1410" t="s">
        <v>258</v>
      </c>
      <c r="G1410">
        <v>1</v>
      </c>
      <c r="H1410" t="s">
        <v>27</v>
      </c>
      <c r="I1410">
        <v>6615</v>
      </c>
      <c r="J1410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410" s="43">
        <f>IFERROR(SUMIFS(Tabela10[Fod Worth],Tabela10[Drop],DropAnalityka[[#This Row],[Drop]],Tabela10[Grade],DropAnalityka[[#This Row],[Grade]])*DropAnalityka[[#This Row],[Quality/Quantity]],0)</f>
        <v>0</v>
      </c>
      <c r="L1410" s="43">
        <f>IFERROR(SUMIFS(Tabela10[Exp Gain only 2*+],Tabela10[Drop],DropAnalityka[[#This Row],[Drop]],Tabela10[Grade],DropAnalityka[[#This Row],[Grade]])*DropAnalityka[[#This Row],[Quality/Quantity]],0)</f>
        <v>0</v>
      </c>
    </row>
    <row r="1411" spans="1:12">
      <c r="A1411" t="s">
        <v>178</v>
      </c>
      <c r="B1411" t="s">
        <v>9</v>
      </c>
      <c r="C1411">
        <v>9</v>
      </c>
      <c r="D1411">
        <v>3856</v>
      </c>
      <c r="E1411">
        <v>2</v>
      </c>
      <c r="F1411" t="s">
        <v>291</v>
      </c>
      <c r="G1411">
        <v>1</v>
      </c>
      <c r="H1411" t="s">
        <v>27</v>
      </c>
      <c r="I1411">
        <v>6615</v>
      </c>
      <c r="J1411">
        <f>DropAnalityka[[#This Row],[Sell Drop]]+IFERROR(SUMIFS(Tabela10[Drop Worth],Tabela10[Drop],DropAnalityka[[#This Row],[Drop]],Tabela10[Grade],DropAnalityka[[#This Row],[Grade]])*DropAnalityka[[#This Row],[Quality/Quantity]],0)</f>
        <v>6615</v>
      </c>
      <c r="K1411" s="43">
        <f>IFERROR(SUMIFS(Tabela10[Fod Worth],Tabela10[Drop],DropAnalityka[[#This Row],[Drop]],Tabela10[Grade],DropAnalityka[[#This Row],[Grade]])*DropAnalityka[[#This Row],[Quality/Quantity]],0)</f>
        <v>0</v>
      </c>
      <c r="L1411" s="43">
        <f>IFERROR(SUMIFS(Tabela10[Exp Gain only 2*+],Tabela10[Drop],DropAnalityka[[#This Row],[Drop]],Tabela10[Grade],DropAnalityka[[#This Row],[Grade]])*DropAnalityka[[#This Row],[Quality/Quantity]],0)</f>
        <v>0</v>
      </c>
    </row>
    <row r="1412" spans="1:12">
      <c r="A1412" t="s">
        <v>178</v>
      </c>
      <c r="B1412" t="s">
        <v>9</v>
      </c>
      <c r="C1412">
        <v>9</v>
      </c>
      <c r="D1412">
        <v>4170</v>
      </c>
      <c r="E1412">
        <v>2</v>
      </c>
      <c r="F1412" t="s">
        <v>34</v>
      </c>
      <c r="G1412">
        <v>4</v>
      </c>
      <c r="H1412" t="s">
        <v>17</v>
      </c>
      <c r="I1412">
        <v>0</v>
      </c>
      <c r="J1412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12" s="43">
        <f>IFERROR(SUMIFS(Tabela10[Fod Worth],Tabela10[Drop],DropAnalityka[[#This Row],[Drop]],Tabela10[Grade],DropAnalityka[[#This Row],[Grade]])*DropAnalityka[[#This Row],[Quality/Quantity]],0)</f>
        <v>0</v>
      </c>
      <c r="L1412" s="43">
        <f>IFERROR(SUMIFS(Tabela10[Exp Gain only 2*+],Tabela10[Drop],DropAnalityka[[#This Row],[Drop]],Tabela10[Grade],DropAnalityka[[#This Row],[Grade]])*DropAnalityka[[#This Row],[Quality/Quantity]],0)</f>
        <v>3200</v>
      </c>
    </row>
    <row r="1413" spans="1:12">
      <c r="A1413" t="s">
        <v>178</v>
      </c>
      <c r="B1413" t="s">
        <v>9</v>
      </c>
      <c r="C1413">
        <v>9</v>
      </c>
      <c r="D1413">
        <v>4152</v>
      </c>
      <c r="E1413">
        <v>1</v>
      </c>
      <c r="F1413" t="s">
        <v>258</v>
      </c>
      <c r="G1413">
        <v>1</v>
      </c>
      <c r="H1413" t="s">
        <v>27</v>
      </c>
      <c r="I1413">
        <v>6247</v>
      </c>
      <c r="J1413">
        <f>DropAnalityka[[#This Row],[Sell Drop]]+IFERROR(SUMIFS(Tabela10[Drop Worth],Tabela10[Drop],DropAnalityka[[#This Row],[Drop]],Tabela10[Grade],DropAnalityka[[#This Row],[Grade]])*DropAnalityka[[#This Row],[Quality/Quantity]],0)</f>
        <v>6247</v>
      </c>
      <c r="K1413" s="43">
        <f>IFERROR(SUMIFS(Tabela10[Fod Worth],Tabela10[Drop],DropAnalityka[[#This Row],[Drop]],Tabela10[Grade],DropAnalityka[[#This Row],[Grade]])*DropAnalityka[[#This Row],[Quality/Quantity]],0)</f>
        <v>0</v>
      </c>
      <c r="L1413" s="43">
        <f>IFERROR(SUMIFS(Tabela10[Exp Gain only 2*+],Tabela10[Drop],DropAnalityka[[#This Row],[Drop]],Tabela10[Grade],DropAnalityka[[#This Row],[Grade]])*DropAnalityka[[#This Row],[Quality/Quantity]],0)</f>
        <v>0</v>
      </c>
    </row>
    <row r="1414" spans="1:12">
      <c r="A1414" t="s">
        <v>178</v>
      </c>
      <c r="B1414" t="s">
        <v>9</v>
      </c>
      <c r="C1414">
        <v>9</v>
      </c>
      <c r="D1414">
        <v>3678</v>
      </c>
      <c r="E1414">
        <v>0</v>
      </c>
      <c r="F1414" t="s">
        <v>291</v>
      </c>
      <c r="G1414">
        <v>1</v>
      </c>
      <c r="H1414" t="s">
        <v>28</v>
      </c>
      <c r="I1414">
        <v>10200</v>
      </c>
      <c r="J1414">
        <f>DropAnalityka[[#This Row],[Sell Drop]]+IFERROR(SUMIFS(Tabela10[Drop Worth],Tabela10[Drop],DropAnalityka[[#This Row],[Drop]],Tabela10[Grade],DropAnalityka[[#This Row],[Grade]])*DropAnalityka[[#This Row],[Quality/Quantity]],0)</f>
        <v>10200</v>
      </c>
      <c r="K1414" s="43">
        <f>IFERROR(SUMIFS(Tabela10[Fod Worth],Tabela10[Drop],DropAnalityka[[#This Row],[Drop]],Tabela10[Grade],DropAnalityka[[#This Row],[Grade]])*DropAnalityka[[#This Row],[Quality/Quantity]],0)</f>
        <v>0</v>
      </c>
      <c r="L1414" s="43">
        <f>IFERROR(SUMIFS(Tabela10[Exp Gain only 2*+],Tabela10[Drop],DropAnalityka[[#This Row],[Drop]],Tabela10[Grade],DropAnalityka[[#This Row],[Grade]])*DropAnalityka[[#This Row],[Quality/Quantity]],0)</f>
        <v>0</v>
      </c>
    </row>
    <row r="1415" spans="1:12">
      <c r="A1415" t="s">
        <v>178</v>
      </c>
      <c r="B1415" t="s">
        <v>9</v>
      </c>
      <c r="C1415">
        <v>9</v>
      </c>
      <c r="D1415">
        <v>4310</v>
      </c>
      <c r="E1415">
        <v>2</v>
      </c>
      <c r="F1415" t="s">
        <v>258</v>
      </c>
      <c r="G1415">
        <v>1</v>
      </c>
      <c r="H1415" t="s">
        <v>27</v>
      </c>
      <c r="I1415">
        <v>5100</v>
      </c>
      <c r="J1415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415" s="43">
        <f>IFERROR(SUMIFS(Tabela10[Fod Worth],Tabela10[Drop],DropAnalityka[[#This Row],[Drop]],Tabela10[Grade],DropAnalityka[[#This Row],[Grade]])*DropAnalityka[[#This Row],[Quality/Quantity]],0)</f>
        <v>0</v>
      </c>
      <c r="L1415" s="43">
        <f>IFERROR(SUMIFS(Tabela10[Exp Gain only 2*+],Tabela10[Drop],DropAnalityka[[#This Row],[Drop]],Tabela10[Grade],DropAnalityka[[#This Row],[Grade]])*DropAnalityka[[#This Row],[Quality/Quantity]],0)</f>
        <v>0</v>
      </c>
    </row>
    <row r="1416" spans="1:12">
      <c r="A1416" t="s">
        <v>178</v>
      </c>
      <c r="B1416" t="s">
        <v>9</v>
      </c>
      <c r="C1416">
        <v>9</v>
      </c>
      <c r="D1416">
        <v>3697</v>
      </c>
      <c r="E1416">
        <v>0</v>
      </c>
      <c r="F1416" t="s">
        <v>258</v>
      </c>
      <c r="G1416">
        <v>1</v>
      </c>
      <c r="H1416" t="s">
        <v>27</v>
      </c>
      <c r="I1416">
        <v>2940</v>
      </c>
      <c r="J1416">
        <f>DropAnalityka[[#This Row],[Sell Drop]]+IFERROR(SUMIFS(Tabela10[Drop Worth],Tabela10[Drop],DropAnalityka[[#This Row],[Drop]],Tabela10[Grade],DropAnalityka[[#This Row],[Grade]])*DropAnalityka[[#This Row],[Quality/Quantity]],0)</f>
        <v>2940</v>
      </c>
      <c r="K1416" s="43">
        <f>IFERROR(SUMIFS(Tabela10[Fod Worth],Tabela10[Drop],DropAnalityka[[#This Row],[Drop]],Tabela10[Grade],DropAnalityka[[#This Row],[Grade]])*DropAnalityka[[#This Row],[Quality/Quantity]],0)</f>
        <v>0</v>
      </c>
      <c r="L1416" s="43">
        <f>IFERROR(SUMIFS(Tabela10[Exp Gain only 2*+],Tabela10[Drop],DropAnalityka[[#This Row],[Drop]],Tabela10[Grade],DropAnalityka[[#This Row],[Grade]])*DropAnalityka[[#This Row],[Quality/Quantity]],0)</f>
        <v>0</v>
      </c>
    </row>
    <row r="1417" spans="1:12">
      <c r="A1417" t="s">
        <v>178</v>
      </c>
      <c r="B1417" t="s">
        <v>9</v>
      </c>
      <c r="C1417">
        <v>9</v>
      </c>
      <c r="D1417">
        <v>4208</v>
      </c>
      <c r="E1417">
        <v>1</v>
      </c>
      <c r="F1417" t="s">
        <v>258</v>
      </c>
      <c r="G1417">
        <v>1</v>
      </c>
      <c r="H1417" t="s">
        <v>27</v>
      </c>
      <c r="I1417">
        <v>5788</v>
      </c>
      <c r="J1417">
        <f>DropAnalityka[[#This Row],[Sell Drop]]+IFERROR(SUMIFS(Tabela10[Drop Worth],Tabela10[Drop],DropAnalityka[[#This Row],[Drop]],Tabela10[Grade],DropAnalityka[[#This Row],[Grade]])*DropAnalityka[[#This Row],[Quality/Quantity]],0)</f>
        <v>5788</v>
      </c>
      <c r="K1417" s="43">
        <f>IFERROR(SUMIFS(Tabela10[Fod Worth],Tabela10[Drop],DropAnalityka[[#This Row],[Drop]],Tabela10[Grade],DropAnalityka[[#This Row],[Grade]])*DropAnalityka[[#This Row],[Quality/Quantity]],0)</f>
        <v>0</v>
      </c>
      <c r="L1417" s="43">
        <f>IFERROR(SUMIFS(Tabela10[Exp Gain only 2*+],Tabela10[Drop],DropAnalityka[[#This Row],[Drop]],Tabela10[Grade],DropAnalityka[[#This Row],[Grade]])*DropAnalityka[[#This Row],[Quality/Quantity]],0)</f>
        <v>0</v>
      </c>
    </row>
    <row r="1418" spans="1:12">
      <c r="A1418" t="s">
        <v>178</v>
      </c>
      <c r="B1418" t="s">
        <v>9</v>
      </c>
      <c r="C1418">
        <v>9</v>
      </c>
      <c r="D1418">
        <v>4465</v>
      </c>
      <c r="E1418">
        <v>2</v>
      </c>
      <c r="F1418" t="s">
        <v>258</v>
      </c>
      <c r="G1418">
        <v>1</v>
      </c>
      <c r="H1418" t="s">
        <v>27</v>
      </c>
      <c r="I1418">
        <v>4134</v>
      </c>
      <c r="J1418">
        <f>DropAnalityka[[#This Row],[Sell Drop]]+IFERROR(SUMIFS(Tabela10[Drop Worth],Tabela10[Drop],DropAnalityka[[#This Row],[Drop]],Tabela10[Grade],DropAnalityka[[#This Row],[Grade]])*DropAnalityka[[#This Row],[Quality/Quantity]],0)</f>
        <v>4134</v>
      </c>
      <c r="K1418" s="43">
        <f>IFERROR(SUMIFS(Tabela10[Fod Worth],Tabela10[Drop],DropAnalityka[[#This Row],[Drop]],Tabela10[Grade],DropAnalityka[[#This Row],[Grade]])*DropAnalityka[[#This Row],[Quality/Quantity]],0)</f>
        <v>0</v>
      </c>
      <c r="L1418" s="43">
        <f>IFERROR(SUMIFS(Tabela10[Exp Gain only 2*+],Tabela10[Drop],DropAnalityka[[#This Row],[Drop]],Tabela10[Grade],DropAnalityka[[#This Row],[Grade]])*DropAnalityka[[#This Row],[Quality/Quantity]],0)</f>
        <v>0</v>
      </c>
    </row>
    <row r="1419" spans="1:12">
      <c r="A1419" t="s">
        <v>178</v>
      </c>
      <c r="B1419" t="s">
        <v>9</v>
      </c>
      <c r="C1419">
        <v>9</v>
      </c>
      <c r="D1419">
        <v>3829</v>
      </c>
      <c r="E1419">
        <v>2</v>
      </c>
      <c r="F1419" t="s">
        <v>258</v>
      </c>
      <c r="G1419">
        <v>1</v>
      </c>
      <c r="H1419" t="s">
        <v>27</v>
      </c>
      <c r="I1419">
        <v>6982</v>
      </c>
      <c r="J1419">
        <f>DropAnalityka[[#This Row],[Sell Drop]]+IFERROR(SUMIFS(Tabela10[Drop Worth],Tabela10[Drop],DropAnalityka[[#This Row],[Drop]],Tabela10[Grade],DropAnalityka[[#This Row],[Grade]])*DropAnalityka[[#This Row],[Quality/Quantity]],0)</f>
        <v>6982</v>
      </c>
      <c r="K1419" s="43">
        <f>IFERROR(SUMIFS(Tabela10[Fod Worth],Tabela10[Drop],DropAnalityka[[#This Row],[Drop]],Tabela10[Grade],DropAnalityka[[#This Row],[Grade]])*DropAnalityka[[#This Row],[Quality/Quantity]],0)</f>
        <v>0</v>
      </c>
      <c r="L1419" s="43">
        <f>IFERROR(SUMIFS(Tabela10[Exp Gain only 2*+],Tabela10[Drop],DropAnalityka[[#This Row],[Drop]],Tabela10[Grade],DropAnalityka[[#This Row],[Grade]])*DropAnalityka[[#This Row],[Quality/Quantity]],0)</f>
        <v>0</v>
      </c>
    </row>
    <row r="1420" spans="1:12">
      <c r="A1420" t="s">
        <v>178</v>
      </c>
      <c r="B1420" t="s">
        <v>9</v>
      </c>
      <c r="C1420">
        <v>9</v>
      </c>
      <c r="D1420">
        <v>4194</v>
      </c>
      <c r="E1420">
        <v>0</v>
      </c>
      <c r="F1420" t="s">
        <v>258</v>
      </c>
      <c r="G1420">
        <v>1</v>
      </c>
      <c r="H1420" t="s">
        <v>27</v>
      </c>
      <c r="I1420">
        <v>3307</v>
      </c>
      <c r="J1420">
        <f>DropAnalityka[[#This Row],[Sell Drop]]+IFERROR(SUMIFS(Tabela10[Drop Worth],Tabela10[Drop],DropAnalityka[[#This Row],[Drop]],Tabela10[Grade],DropAnalityka[[#This Row],[Grade]])*DropAnalityka[[#This Row],[Quality/Quantity]],0)</f>
        <v>3307</v>
      </c>
      <c r="K1420" s="43">
        <f>IFERROR(SUMIFS(Tabela10[Fod Worth],Tabela10[Drop],DropAnalityka[[#This Row],[Drop]],Tabela10[Grade],DropAnalityka[[#This Row],[Grade]])*DropAnalityka[[#This Row],[Quality/Quantity]],0)</f>
        <v>0</v>
      </c>
      <c r="L1420" s="43">
        <f>IFERROR(SUMIFS(Tabela10[Exp Gain only 2*+],Tabela10[Drop],DropAnalityka[[#This Row],[Drop]],Tabela10[Grade],DropAnalityka[[#This Row],[Grade]])*DropAnalityka[[#This Row],[Quality/Quantity]],0)</f>
        <v>0</v>
      </c>
    </row>
    <row r="1421" spans="1:12">
      <c r="A1421" t="s">
        <v>178</v>
      </c>
      <c r="B1421" t="s">
        <v>9</v>
      </c>
      <c r="C1421">
        <v>9</v>
      </c>
      <c r="D1421">
        <v>3953</v>
      </c>
      <c r="E1421">
        <v>0</v>
      </c>
      <c r="F1421" t="s">
        <v>258</v>
      </c>
      <c r="G1421">
        <v>1</v>
      </c>
      <c r="H1421" t="s">
        <v>28</v>
      </c>
      <c r="I1421">
        <v>6800</v>
      </c>
      <c r="J1421">
        <f>DropAnalityka[[#This Row],[Sell Drop]]+IFERROR(SUMIFS(Tabela10[Drop Worth],Tabela10[Drop],DropAnalityka[[#This Row],[Drop]],Tabela10[Grade],DropAnalityka[[#This Row],[Grade]])*DropAnalityka[[#This Row],[Quality/Quantity]],0)</f>
        <v>6800</v>
      </c>
      <c r="K1421" s="43">
        <f>IFERROR(SUMIFS(Tabela10[Fod Worth],Tabela10[Drop],DropAnalityka[[#This Row],[Drop]],Tabela10[Grade],DropAnalityka[[#This Row],[Grade]])*DropAnalityka[[#This Row],[Quality/Quantity]],0)</f>
        <v>0</v>
      </c>
      <c r="L1421" s="43">
        <f>IFERROR(SUMIFS(Tabela10[Exp Gain only 2*+],Tabela10[Drop],DropAnalityka[[#This Row],[Drop]],Tabela10[Grade],DropAnalityka[[#This Row],[Grade]])*DropAnalityka[[#This Row],[Quality/Quantity]],0)</f>
        <v>0</v>
      </c>
    </row>
    <row r="1422" spans="1:12">
      <c r="A1422" t="s">
        <v>178</v>
      </c>
      <c r="B1422" t="s">
        <v>9</v>
      </c>
      <c r="C1422">
        <v>9</v>
      </c>
      <c r="D1422">
        <v>3831</v>
      </c>
      <c r="E1422">
        <v>0</v>
      </c>
      <c r="F1422" t="s">
        <v>258</v>
      </c>
      <c r="G1422">
        <v>1</v>
      </c>
      <c r="H1422" t="s">
        <v>28</v>
      </c>
      <c r="I1422">
        <v>5780</v>
      </c>
      <c r="J1422">
        <f>DropAnalityka[[#This Row],[Sell Drop]]+IFERROR(SUMIFS(Tabela10[Drop Worth],Tabela10[Drop],DropAnalityka[[#This Row],[Drop]],Tabela10[Grade],DropAnalityka[[#This Row],[Grade]])*DropAnalityka[[#This Row],[Quality/Quantity]],0)</f>
        <v>5780</v>
      </c>
      <c r="K1422" s="43">
        <f>IFERROR(SUMIFS(Tabela10[Fod Worth],Tabela10[Drop],DropAnalityka[[#This Row],[Drop]],Tabela10[Grade],DropAnalityka[[#This Row],[Grade]])*DropAnalityka[[#This Row],[Quality/Quantity]],0)</f>
        <v>0</v>
      </c>
      <c r="L1422" s="43">
        <f>IFERROR(SUMIFS(Tabela10[Exp Gain only 2*+],Tabela10[Drop],DropAnalityka[[#This Row],[Drop]],Tabela10[Grade],DropAnalityka[[#This Row],[Grade]])*DropAnalityka[[#This Row],[Quality/Quantity]],0)</f>
        <v>0</v>
      </c>
    </row>
    <row r="1423" spans="1:12">
      <c r="A1423" t="s">
        <v>178</v>
      </c>
      <c r="B1423" t="s">
        <v>9</v>
      </c>
      <c r="C1423">
        <v>9</v>
      </c>
      <c r="D1423">
        <v>3852</v>
      </c>
      <c r="E1423">
        <v>0</v>
      </c>
      <c r="F1423" t="s">
        <v>258</v>
      </c>
      <c r="G1423">
        <v>1</v>
      </c>
      <c r="H1423" t="s">
        <v>29</v>
      </c>
      <c r="I1423">
        <v>17752</v>
      </c>
      <c r="J1423">
        <f>DropAnalityka[[#This Row],[Sell Drop]]+IFERROR(SUMIFS(Tabela10[Drop Worth],Tabela10[Drop],DropAnalityka[[#This Row],[Drop]],Tabela10[Grade],DropAnalityka[[#This Row],[Grade]])*DropAnalityka[[#This Row],[Quality/Quantity]],0)</f>
        <v>17752</v>
      </c>
      <c r="K1423" s="43">
        <f>IFERROR(SUMIFS(Tabela10[Fod Worth],Tabela10[Drop],DropAnalityka[[#This Row],[Drop]],Tabela10[Grade],DropAnalityka[[#This Row],[Grade]])*DropAnalityka[[#This Row],[Quality/Quantity]],0)</f>
        <v>0</v>
      </c>
      <c r="L1423" s="43">
        <f>IFERROR(SUMIFS(Tabela10[Exp Gain only 2*+],Tabela10[Drop],DropAnalityka[[#This Row],[Drop]],Tabela10[Grade],DropAnalityka[[#This Row],[Grade]])*DropAnalityka[[#This Row],[Quality/Quantity]],0)</f>
        <v>0</v>
      </c>
    </row>
    <row r="1424" spans="1:12">
      <c r="A1424" t="s">
        <v>178</v>
      </c>
      <c r="B1424" t="s">
        <v>9</v>
      </c>
      <c r="C1424">
        <v>9</v>
      </c>
      <c r="D1424">
        <v>4081</v>
      </c>
      <c r="E1424">
        <v>2</v>
      </c>
      <c r="F1424" t="s">
        <v>34</v>
      </c>
      <c r="G1424">
        <v>4</v>
      </c>
      <c r="H1424" t="s">
        <v>17</v>
      </c>
      <c r="I1424">
        <v>0</v>
      </c>
      <c r="J1424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24" s="43">
        <f>IFERROR(SUMIFS(Tabela10[Fod Worth],Tabela10[Drop],DropAnalityka[[#This Row],[Drop]],Tabela10[Grade],DropAnalityka[[#This Row],[Grade]])*DropAnalityka[[#This Row],[Quality/Quantity]],0)</f>
        <v>0</v>
      </c>
      <c r="L1424" s="43">
        <f>IFERROR(SUMIFS(Tabela10[Exp Gain only 2*+],Tabela10[Drop],DropAnalityka[[#This Row],[Drop]],Tabela10[Grade],DropAnalityka[[#This Row],[Grade]])*DropAnalityka[[#This Row],[Quality/Quantity]],0)</f>
        <v>3200</v>
      </c>
    </row>
    <row r="1425" spans="1:12">
      <c r="A1425" t="s">
        <v>178</v>
      </c>
      <c r="B1425" t="s">
        <v>9</v>
      </c>
      <c r="C1425">
        <v>9</v>
      </c>
      <c r="D1425">
        <v>4016</v>
      </c>
      <c r="E1425">
        <v>1</v>
      </c>
      <c r="F1425" t="s">
        <v>258</v>
      </c>
      <c r="G1425">
        <v>1</v>
      </c>
      <c r="H1425" t="s">
        <v>27</v>
      </c>
      <c r="I1425">
        <v>6100</v>
      </c>
      <c r="J1425">
        <f>DropAnalityka[[#This Row],[Sell Drop]]+IFERROR(SUMIFS(Tabela10[Drop Worth],Tabela10[Drop],DropAnalityka[[#This Row],[Drop]],Tabela10[Grade],DropAnalityka[[#This Row],[Grade]])*DropAnalityka[[#This Row],[Quality/Quantity]],0)</f>
        <v>6100</v>
      </c>
      <c r="K1425" s="43">
        <f>IFERROR(SUMIFS(Tabela10[Fod Worth],Tabela10[Drop],DropAnalityka[[#This Row],[Drop]],Tabela10[Grade],DropAnalityka[[#This Row],[Grade]])*DropAnalityka[[#This Row],[Quality/Quantity]],0)</f>
        <v>0</v>
      </c>
      <c r="L1425" s="43">
        <f>IFERROR(SUMIFS(Tabela10[Exp Gain only 2*+],Tabela10[Drop],DropAnalityka[[#This Row],[Drop]],Tabela10[Grade],DropAnalityka[[#This Row],[Grade]])*DropAnalityka[[#This Row],[Quality/Quantity]],0)</f>
        <v>0</v>
      </c>
    </row>
    <row r="1426" spans="1:12">
      <c r="A1426" t="s">
        <v>178</v>
      </c>
      <c r="B1426" t="s">
        <v>9</v>
      </c>
      <c r="C1426">
        <v>9</v>
      </c>
      <c r="D1426">
        <v>4213</v>
      </c>
      <c r="E1426">
        <v>0</v>
      </c>
      <c r="F1426" t="s">
        <v>258</v>
      </c>
      <c r="G1426">
        <v>1</v>
      </c>
      <c r="H1426" t="s">
        <v>28</v>
      </c>
      <c r="I1426">
        <v>8075</v>
      </c>
      <c r="J1426">
        <f>DropAnalityka[[#This Row],[Sell Drop]]+IFERROR(SUMIFS(Tabela10[Drop Worth],Tabela10[Drop],DropAnalityka[[#This Row],[Drop]],Tabela10[Grade],DropAnalityka[[#This Row],[Grade]])*DropAnalityka[[#This Row],[Quality/Quantity]],0)</f>
        <v>8075</v>
      </c>
      <c r="K1426" s="43">
        <f>IFERROR(SUMIFS(Tabela10[Fod Worth],Tabela10[Drop],DropAnalityka[[#This Row],[Drop]],Tabela10[Grade],DropAnalityka[[#This Row],[Grade]])*DropAnalityka[[#This Row],[Quality/Quantity]],0)</f>
        <v>0</v>
      </c>
      <c r="L1426" s="43">
        <f>IFERROR(SUMIFS(Tabela10[Exp Gain only 2*+],Tabela10[Drop],DropAnalityka[[#This Row],[Drop]],Tabela10[Grade],DropAnalityka[[#This Row],[Grade]])*DropAnalityka[[#This Row],[Quality/Quantity]],0)</f>
        <v>0</v>
      </c>
    </row>
    <row r="1427" spans="1:12">
      <c r="A1427" t="s">
        <v>178</v>
      </c>
      <c r="B1427" t="s">
        <v>9</v>
      </c>
      <c r="C1427">
        <v>9</v>
      </c>
      <c r="D1427">
        <v>3708</v>
      </c>
      <c r="E1427">
        <v>1</v>
      </c>
      <c r="F1427" t="s">
        <v>291</v>
      </c>
      <c r="G1427">
        <v>1</v>
      </c>
      <c r="H1427" t="s">
        <v>27</v>
      </c>
      <c r="I1427">
        <v>4961</v>
      </c>
      <c r="J1427">
        <f>DropAnalityka[[#This Row],[Sell Drop]]+IFERROR(SUMIFS(Tabela10[Drop Worth],Tabela10[Drop],DropAnalityka[[#This Row],[Drop]],Tabela10[Grade],DropAnalityka[[#This Row],[Grade]])*DropAnalityka[[#This Row],[Quality/Quantity]],0)</f>
        <v>4961</v>
      </c>
      <c r="K1427" s="43">
        <f>IFERROR(SUMIFS(Tabela10[Fod Worth],Tabela10[Drop],DropAnalityka[[#This Row],[Drop]],Tabela10[Grade],DropAnalityka[[#This Row],[Grade]])*DropAnalityka[[#This Row],[Quality/Quantity]],0)</f>
        <v>0</v>
      </c>
      <c r="L1427" s="43">
        <f>IFERROR(SUMIFS(Tabela10[Exp Gain only 2*+],Tabela10[Drop],DropAnalityka[[#This Row],[Drop]],Tabela10[Grade],DropAnalityka[[#This Row],[Grade]])*DropAnalityka[[#This Row],[Quality/Quantity]],0)</f>
        <v>0</v>
      </c>
    </row>
    <row r="1428" spans="1:12">
      <c r="A1428" t="s">
        <v>178</v>
      </c>
      <c r="B1428" t="s">
        <v>9</v>
      </c>
      <c r="C1428">
        <v>10</v>
      </c>
      <c r="D1428">
        <v>4889</v>
      </c>
      <c r="E1428">
        <v>2</v>
      </c>
      <c r="F1428" t="s">
        <v>258</v>
      </c>
      <c r="G1428">
        <v>1</v>
      </c>
      <c r="H1428" t="s">
        <v>28</v>
      </c>
      <c r="I1428">
        <v>15300</v>
      </c>
      <c r="J1428">
        <f>DropAnalityka[[#This Row],[Sell Drop]]+IFERROR(SUMIFS(Tabela10[Drop Worth],Tabela10[Drop],DropAnalityka[[#This Row],[Drop]],Tabela10[Grade],DropAnalityka[[#This Row],[Grade]])*DropAnalityka[[#This Row],[Quality/Quantity]],0)</f>
        <v>15300</v>
      </c>
      <c r="K1428" s="43">
        <f>IFERROR(SUMIFS(Tabela10[Fod Worth],Tabela10[Drop],DropAnalityka[[#This Row],[Drop]],Tabela10[Grade],DropAnalityka[[#This Row],[Grade]])*DropAnalityka[[#This Row],[Quality/Quantity]],0)</f>
        <v>0</v>
      </c>
      <c r="L1428" s="43">
        <f>IFERROR(SUMIFS(Tabela10[Exp Gain only 2*+],Tabela10[Drop],DropAnalityka[[#This Row],[Drop]],Tabela10[Grade],DropAnalityka[[#This Row],[Grade]])*DropAnalityka[[#This Row],[Quality/Quantity]],0)</f>
        <v>0</v>
      </c>
    </row>
    <row r="1429" spans="1:12">
      <c r="A1429" t="s">
        <v>178</v>
      </c>
      <c r="B1429" t="s">
        <v>9</v>
      </c>
      <c r="C1429">
        <v>9</v>
      </c>
      <c r="D1429">
        <v>4352</v>
      </c>
      <c r="E1429">
        <v>1</v>
      </c>
      <c r="F1429" t="s">
        <v>258</v>
      </c>
      <c r="G1429">
        <v>1</v>
      </c>
      <c r="H1429" t="s">
        <v>29</v>
      </c>
      <c r="I1429">
        <v>15850</v>
      </c>
      <c r="J1429">
        <f>DropAnalityka[[#This Row],[Sell Drop]]+IFERROR(SUMIFS(Tabela10[Drop Worth],Tabela10[Drop],DropAnalityka[[#This Row],[Drop]],Tabela10[Grade],DropAnalityka[[#This Row],[Grade]])*DropAnalityka[[#This Row],[Quality/Quantity]],0)</f>
        <v>15850</v>
      </c>
      <c r="K1429" s="43">
        <f>IFERROR(SUMIFS(Tabela10[Fod Worth],Tabela10[Drop],DropAnalityka[[#This Row],[Drop]],Tabela10[Grade],DropAnalityka[[#This Row],[Grade]])*DropAnalityka[[#This Row],[Quality/Quantity]],0)</f>
        <v>0</v>
      </c>
      <c r="L1429" s="43">
        <f>IFERROR(SUMIFS(Tabela10[Exp Gain only 2*+],Tabela10[Drop],DropAnalityka[[#This Row],[Drop]],Tabela10[Grade],DropAnalityka[[#This Row],[Grade]])*DropAnalityka[[#This Row],[Quality/Quantity]],0)</f>
        <v>0</v>
      </c>
    </row>
    <row r="1430" spans="1:12">
      <c r="A1430" t="s">
        <v>178</v>
      </c>
      <c r="B1430" t="s">
        <v>9</v>
      </c>
      <c r="C1430">
        <v>9</v>
      </c>
      <c r="D1430">
        <v>4128</v>
      </c>
      <c r="E1430">
        <v>0</v>
      </c>
      <c r="F1430" t="s">
        <v>258</v>
      </c>
      <c r="G1430">
        <v>1</v>
      </c>
      <c r="H1430" t="s">
        <v>28</v>
      </c>
      <c r="I1430">
        <v>10710</v>
      </c>
      <c r="J1430">
        <f>DropAnalityka[[#This Row],[Sell Drop]]+IFERROR(SUMIFS(Tabela10[Drop Worth],Tabela10[Drop],DropAnalityka[[#This Row],[Drop]],Tabela10[Grade],DropAnalityka[[#This Row],[Grade]])*DropAnalityka[[#This Row],[Quality/Quantity]],0)</f>
        <v>10710</v>
      </c>
      <c r="K1430" s="43">
        <f>IFERROR(SUMIFS(Tabela10[Fod Worth],Tabela10[Drop],DropAnalityka[[#This Row],[Drop]],Tabela10[Grade],DropAnalityka[[#This Row],[Grade]])*DropAnalityka[[#This Row],[Quality/Quantity]],0)</f>
        <v>0</v>
      </c>
      <c r="L1430" s="43">
        <f>IFERROR(SUMIFS(Tabela10[Exp Gain only 2*+],Tabela10[Drop],DropAnalityka[[#This Row],[Drop]],Tabela10[Grade],DropAnalityka[[#This Row],[Grade]])*DropAnalityka[[#This Row],[Quality/Quantity]],0)</f>
        <v>0</v>
      </c>
    </row>
    <row r="1431" spans="1:12">
      <c r="A1431" t="s">
        <v>178</v>
      </c>
      <c r="B1431" t="s">
        <v>9</v>
      </c>
      <c r="C1431">
        <v>9</v>
      </c>
      <c r="D1431">
        <v>4086</v>
      </c>
      <c r="E1431">
        <v>1</v>
      </c>
      <c r="F1431" t="s">
        <v>258</v>
      </c>
      <c r="G1431">
        <v>1</v>
      </c>
      <c r="H1431" t="s">
        <v>27</v>
      </c>
      <c r="I1431">
        <v>1593</v>
      </c>
      <c r="J1431">
        <f>DropAnalityka[[#This Row],[Sell Drop]]+IFERROR(SUMIFS(Tabela10[Drop Worth],Tabela10[Drop],DropAnalityka[[#This Row],[Drop]],Tabela10[Grade],DropAnalityka[[#This Row],[Grade]])*DropAnalityka[[#This Row],[Quality/Quantity]],0)</f>
        <v>1593</v>
      </c>
      <c r="K1431" s="43">
        <f>IFERROR(SUMIFS(Tabela10[Fod Worth],Tabela10[Drop],DropAnalityka[[#This Row],[Drop]],Tabela10[Grade],DropAnalityka[[#This Row],[Grade]])*DropAnalityka[[#This Row],[Quality/Quantity]],0)</f>
        <v>0</v>
      </c>
      <c r="L1431" s="43">
        <f>IFERROR(SUMIFS(Tabela10[Exp Gain only 2*+],Tabela10[Drop],DropAnalityka[[#This Row],[Drop]],Tabela10[Grade],DropAnalityka[[#This Row],[Grade]])*DropAnalityka[[#This Row],[Quality/Quantity]],0)</f>
        <v>0</v>
      </c>
    </row>
    <row r="1432" spans="1:12">
      <c r="A1432" t="s">
        <v>178</v>
      </c>
      <c r="B1432" t="s">
        <v>9</v>
      </c>
      <c r="C1432">
        <v>9</v>
      </c>
      <c r="D1432">
        <v>3994</v>
      </c>
      <c r="E1432">
        <v>1</v>
      </c>
      <c r="F1432" t="s">
        <v>34</v>
      </c>
      <c r="G1432">
        <v>5</v>
      </c>
      <c r="H1432" t="s">
        <v>17</v>
      </c>
      <c r="I1432">
        <v>0</v>
      </c>
      <c r="J1432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432" s="43">
        <f>IFERROR(SUMIFS(Tabela10[Fod Worth],Tabela10[Drop],DropAnalityka[[#This Row],[Drop]],Tabela10[Grade],DropAnalityka[[#This Row],[Grade]])*DropAnalityka[[#This Row],[Quality/Quantity]],0)</f>
        <v>0</v>
      </c>
      <c r="L1432" s="43">
        <f>IFERROR(SUMIFS(Tabela10[Exp Gain only 2*+],Tabela10[Drop],DropAnalityka[[#This Row],[Drop]],Tabela10[Grade],DropAnalityka[[#This Row],[Grade]])*DropAnalityka[[#This Row],[Quality/Quantity]],0)</f>
        <v>4000</v>
      </c>
    </row>
    <row r="1433" spans="1:12">
      <c r="A1433" t="s">
        <v>178</v>
      </c>
      <c r="B1433" t="s">
        <v>9</v>
      </c>
      <c r="C1433">
        <v>9</v>
      </c>
      <c r="D1433">
        <v>3963</v>
      </c>
      <c r="E1433">
        <v>1</v>
      </c>
      <c r="F1433" t="s">
        <v>258</v>
      </c>
      <c r="G1433">
        <v>1</v>
      </c>
      <c r="H1433" t="s">
        <v>28</v>
      </c>
      <c r="I1433">
        <v>5440</v>
      </c>
      <c r="J1433">
        <f>DropAnalityka[[#This Row],[Sell Drop]]+IFERROR(SUMIFS(Tabela10[Drop Worth],Tabela10[Drop],DropAnalityka[[#This Row],[Drop]],Tabela10[Grade],DropAnalityka[[#This Row],[Grade]])*DropAnalityka[[#This Row],[Quality/Quantity]],0)</f>
        <v>5440</v>
      </c>
      <c r="K1433" s="43">
        <f>IFERROR(SUMIFS(Tabela10[Fod Worth],Tabela10[Drop],DropAnalityka[[#This Row],[Drop]],Tabela10[Grade],DropAnalityka[[#This Row],[Grade]])*DropAnalityka[[#This Row],[Quality/Quantity]],0)</f>
        <v>0</v>
      </c>
      <c r="L1433" s="43">
        <f>IFERROR(SUMIFS(Tabela10[Exp Gain only 2*+],Tabela10[Drop],DropAnalityka[[#This Row],[Drop]],Tabela10[Grade],DropAnalityka[[#This Row],[Grade]])*DropAnalityka[[#This Row],[Quality/Quantity]],0)</f>
        <v>0</v>
      </c>
    </row>
    <row r="1434" spans="1:12">
      <c r="A1434" t="s">
        <v>178</v>
      </c>
      <c r="B1434" t="s">
        <v>9</v>
      </c>
      <c r="C1434">
        <v>9</v>
      </c>
      <c r="D1434">
        <v>4372</v>
      </c>
      <c r="E1434">
        <v>1</v>
      </c>
      <c r="F1434" t="s">
        <v>258</v>
      </c>
      <c r="G1434">
        <v>1</v>
      </c>
      <c r="H1434" t="s">
        <v>27</v>
      </c>
      <c r="I1434">
        <v>2756</v>
      </c>
      <c r="J1434">
        <f>DropAnalityka[[#This Row],[Sell Drop]]+IFERROR(SUMIFS(Tabela10[Drop Worth],Tabela10[Drop],DropAnalityka[[#This Row],[Drop]],Tabela10[Grade],DropAnalityka[[#This Row],[Grade]])*DropAnalityka[[#This Row],[Quality/Quantity]],0)</f>
        <v>2756</v>
      </c>
      <c r="K1434" s="43">
        <f>IFERROR(SUMIFS(Tabela10[Fod Worth],Tabela10[Drop],DropAnalityka[[#This Row],[Drop]],Tabela10[Grade],DropAnalityka[[#This Row],[Grade]])*DropAnalityka[[#This Row],[Quality/Quantity]],0)</f>
        <v>0</v>
      </c>
      <c r="L1434" s="43">
        <f>IFERROR(SUMIFS(Tabela10[Exp Gain only 2*+],Tabela10[Drop],DropAnalityka[[#This Row],[Drop]],Tabela10[Grade],DropAnalityka[[#This Row],[Grade]])*DropAnalityka[[#This Row],[Quality/Quantity]],0)</f>
        <v>0</v>
      </c>
    </row>
    <row r="1435" spans="1:12">
      <c r="A1435" t="s">
        <v>178</v>
      </c>
      <c r="B1435" t="s">
        <v>9</v>
      </c>
      <c r="C1435">
        <v>9</v>
      </c>
      <c r="D1435">
        <v>4374</v>
      </c>
      <c r="E1435">
        <v>1</v>
      </c>
      <c r="F1435" t="s">
        <v>34</v>
      </c>
      <c r="G1435">
        <v>5</v>
      </c>
      <c r="H1435" t="s">
        <v>17</v>
      </c>
      <c r="I1435">
        <v>0</v>
      </c>
      <c r="J143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435" s="43">
        <f>IFERROR(SUMIFS(Tabela10[Fod Worth],Tabela10[Drop],DropAnalityka[[#This Row],[Drop]],Tabela10[Grade],DropAnalityka[[#This Row],[Grade]])*DropAnalityka[[#This Row],[Quality/Quantity]],0)</f>
        <v>0</v>
      </c>
      <c r="L1435" s="43">
        <f>IFERROR(SUMIFS(Tabela10[Exp Gain only 2*+],Tabela10[Drop],DropAnalityka[[#This Row],[Drop]],Tabela10[Grade],DropAnalityka[[#This Row],[Grade]])*DropAnalityka[[#This Row],[Quality/Quantity]],0)</f>
        <v>4000</v>
      </c>
    </row>
    <row r="1436" spans="1:12">
      <c r="A1436" t="s">
        <v>178</v>
      </c>
      <c r="B1436" t="s">
        <v>9</v>
      </c>
      <c r="C1436">
        <v>9</v>
      </c>
      <c r="D1436">
        <v>3694</v>
      </c>
      <c r="E1436">
        <v>1</v>
      </c>
      <c r="F1436" t="s">
        <v>258</v>
      </c>
      <c r="G1436">
        <v>1</v>
      </c>
      <c r="H1436" t="s">
        <v>28</v>
      </c>
      <c r="I1436">
        <v>10115</v>
      </c>
      <c r="J1436">
        <f>DropAnalityka[[#This Row],[Sell Drop]]+IFERROR(SUMIFS(Tabela10[Drop Worth],Tabela10[Drop],DropAnalityka[[#This Row],[Drop]],Tabela10[Grade],DropAnalityka[[#This Row],[Grade]])*DropAnalityka[[#This Row],[Quality/Quantity]],0)</f>
        <v>10115</v>
      </c>
      <c r="K1436" s="43">
        <f>IFERROR(SUMIFS(Tabela10[Fod Worth],Tabela10[Drop],DropAnalityka[[#This Row],[Drop]],Tabela10[Grade],DropAnalityka[[#This Row],[Grade]])*DropAnalityka[[#This Row],[Quality/Quantity]],0)</f>
        <v>0</v>
      </c>
      <c r="L1436" s="43">
        <f>IFERROR(SUMIFS(Tabela10[Exp Gain only 2*+],Tabela10[Drop],DropAnalityka[[#This Row],[Drop]],Tabela10[Grade],DropAnalityka[[#This Row],[Grade]])*DropAnalityka[[#This Row],[Quality/Quantity]],0)</f>
        <v>0</v>
      </c>
    </row>
    <row r="1437" spans="1:12">
      <c r="A1437" t="s">
        <v>178</v>
      </c>
      <c r="B1437" t="s">
        <v>9</v>
      </c>
      <c r="C1437">
        <v>9</v>
      </c>
      <c r="D1437">
        <v>4084</v>
      </c>
      <c r="E1437">
        <v>0</v>
      </c>
      <c r="F1437" t="s">
        <v>291</v>
      </c>
      <c r="G1437">
        <v>1</v>
      </c>
      <c r="H1437" t="s">
        <v>27</v>
      </c>
      <c r="I1437">
        <v>7350</v>
      </c>
      <c r="J1437">
        <f>DropAnalityka[[#This Row],[Sell Drop]]+IFERROR(SUMIFS(Tabela10[Drop Worth],Tabela10[Drop],DropAnalityka[[#This Row],[Drop]],Tabela10[Grade],DropAnalityka[[#This Row],[Grade]])*DropAnalityka[[#This Row],[Quality/Quantity]],0)</f>
        <v>7350</v>
      </c>
      <c r="K1437" s="43">
        <f>IFERROR(SUMIFS(Tabela10[Fod Worth],Tabela10[Drop],DropAnalityka[[#This Row],[Drop]],Tabela10[Grade],DropAnalityka[[#This Row],[Grade]])*DropAnalityka[[#This Row],[Quality/Quantity]],0)</f>
        <v>0</v>
      </c>
      <c r="L1437" s="43">
        <f>IFERROR(SUMIFS(Tabela10[Exp Gain only 2*+],Tabela10[Drop],DropAnalityka[[#This Row],[Drop]],Tabela10[Grade],DropAnalityka[[#This Row],[Grade]])*DropAnalityka[[#This Row],[Quality/Quantity]],0)</f>
        <v>0</v>
      </c>
    </row>
    <row r="1438" spans="1:12">
      <c r="A1438" t="s">
        <v>178</v>
      </c>
      <c r="B1438" t="s">
        <v>9</v>
      </c>
      <c r="C1438">
        <v>9</v>
      </c>
      <c r="D1438">
        <v>3768</v>
      </c>
      <c r="E1438">
        <v>1</v>
      </c>
      <c r="F1438" t="s">
        <v>258</v>
      </c>
      <c r="G1438">
        <v>1</v>
      </c>
      <c r="H1438" t="s">
        <v>27</v>
      </c>
      <c r="I1438">
        <v>5512</v>
      </c>
      <c r="J1438">
        <f>DropAnalityka[[#This Row],[Sell Drop]]+IFERROR(SUMIFS(Tabela10[Drop Worth],Tabela10[Drop],DropAnalityka[[#This Row],[Drop]],Tabela10[Grade],DropAnalityka[[#This Row],[Grade]])*DropAnalityka[[#This Row],[Quality/Quantity]],0)</f>
        <v>5512</v>
      </c>
      <c r="K1438" s="43">
        <f>IFERROR(SUMIFS(Tabela10[Fod Worth],Tabela10[Drop],DropAnalityka[[#This Row],[Drop]],Tabela10[Grade],DropAnalityka[[#This Row],[Grade]])*DropAnalityka[[#This Row],[Quality/Quantity]],0)</f>
        <v>0</v>
      </c>
      <c r="L1438" s="43">
        <f>IFERROR(SUMIFS(Tabela10[Exp Gain only 2*+],Tabela10[Drop],DropAnalityka[[#This Row],[Drop]],Tabela10[Grade],DropAnalityka[[#This Row],[Grade]])*DropAnalityka[[#This Row],[Quality/Quantity]],0)</f>
        <v>0</v>
      </c>
    </row>
    <row r="1439" spans="1:12">
      <c r="A1439" t="s">
        <v>178</v>
      </c>
      <c r="B1439" t="s">
        <v>9</v>
      </c>
      <c r="C1439">
        <v>9</v>
      </c>
      <c r="D1439">
        <v>4434</v>
      </c>
      <c r="E1439">
        <v>0</v>
      </c>
      <c r="F1439" t="s">
        <v>34</v>
      </c>
      <c r="G1439">
        <v>4</v>
      </c>
      <c r="H1439" t="s">
        <v>17</v>
      </c>
      <c r="I1439">
        <v>0</v>
      </c>
      <c r="J1439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39" s="43">
        <f>IFERROR(SUMIFS(Tabela10[Fod Worth],Tabela10[Drop],DropAnalityka[[#This Row],[Drop]],Tabela10[Grade],DropAnalityka[[#This Row],[Grade]])*DropAnalityka[[#This Row],[Quality/Quantity]],0)</f>
        <v>0</v>
      </c>
      <c r="L1439" s="43">
        <f>IFERROR(SUMIFS(Tabela10[Exp Gain only 2*+],Tabela10[Drop],DropAnalityka[[#This Row],[Drop]],Tabela10[Grade],DropAnalityka[[#This Row],[Grade]])*DropAnalityka[[#This Row],[Quality/Quantity]],0)</f>
        <v>3200</v>
      </c>
    </row>
    <row r="1440" spans="1:12">
      <c r="A1440" t="s">
        <v>178</v>
      </c>
      <c r="B1440" t="s">
        <v>9</v>
      </c>
      <c r="C1440">
        <v>9</v>
      </c>
      <c r="D1440">
        <v>4089</v>
      </c>
      <c r="E1440">
        <v>0</v>
      </c>
      <c r="F1440" t="s">
        <v>258</v>
      </c>
      <c r="G1440">
        <v>1</v>
      </c>
      <c r="H1440" t="s">
        <v>28</v>
      </c>
      <c r="I1440">
        <v>5100</v>
      </c>
      <c r="J1440">
        <f>DropAnalityka[[#This Row],[Sell Drop]]+IFERROR(SUMIFS(Tabela10[Drop Worth],Tabela10[Drop],DropAnalityka[[#This Row],[Drop]],Tabela10[Grade],DropAnalityka[[#This Row],[Grade]])*DropAnalityka[[#This Row],[Quality/Quantity]],0)</f>
        <v>5100</v>
      </c>
      <c r="K1440" s="43">
        <f>IFERROR(SUMIFS(Tabela10[Fod Worth],Tabela10[Drop],DropAnalityka[[#This Row],[Drop]],Tabela10[Grade],DropAnalityka[[#This Row],[Grade]])*DropAnalityka[[#This Row],[Quality/Quantity]],0)</f>
        <v>0</v>
      </c>
      <c r="L1440" s="43">
        <f>IFERROR(SUMIFS(Tabela10[Exp Gain only 2*+],Tabela10[Drop],DropAnalityka[[#This Row],[Drop]],Tabela10[Grade],DropAnalityka[[#This Row],[Grade]])*DropAnalityka[[#This Row],[Quality/Quantity]],0)</f>
        <v>0</v>
      </c>
    </row>
    <row r="1441" spans="1:13">
      <c r="A1441" t="s">
        <v>178</v>
      </c>
      <c r="B1441" t="s">
        <v>9</v>
      </c>
      <c r="C1441">
        <v>10</v>
      </c>
      <c r="D1441">
        <v>4511</v>
      </c>
      <c r="E1441">
        <v>2</v>
      </c>
      <c r="F1441" t="s">
        <v>34</v>
      </c>
      <c r="G1441">
        <v>5</v>
      </c>
      <c r="H1441" t="s">
        <v>17</v>
      </c>
      <c r="I1441">
        <v>0</v>
      </c>
      <c r="J1441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441" s="43">
        <f>IFERROR(SUMIFS(Tabela10[Fod Worth],Tabela10[Drop],DropAnalityka[[#This Row],[Drop]],Tabela10[Grade],DropAnalityka[[#This Row],[Grade]])*DropAnalityka[[#This Row],[Quality/Quantity]],0)</f>
        <v>0</v>
      </c>
      <c r="L1441" s="43">
        <f>IFERROR(SUMIFS(Tabela10[Exp Gain only 2*+],Tabela10[Drop],DropAnalityka[[#This Row],[Drop]],Tabela10[Grade],DropAnalityka[[#This Row],[Grade]])*DropAnalityka[[#This Row],[Quality/Quantity]],0)</f>
        <v>4000</v>
      </c>
    </row>
    <row r="1442" spans="1:13">
      <c r="A1442" t="s">
        <v>178</v>
      </c>
      <c r="B1442" t="s">
        <v>9</v>
      </c>
      <c r="C1442">
        <v>10</v>
      </c>
      <c r="D1442">
        <v>4119</v>
      </c>
      <c r="E1442">
        <v>0</v>
      </c>
      <c r="F1442" t="s">
        <v>291</v>
      </c>
      <c r="G1442">
        <v>1</v>
      </c>
      <c r="H1442" t="s">
        <v>28</v>
      </c>
      <c r="I1442">
        <v>15300</v>
      </c>
      <c r="J1442">
        <f>DropAnalityka[[#This Row],[Sell Drop]]+IFERROR(SUMIFS(Tabela10[Drop Worth],Tabela10[Drop],DropAnalityka[[#This Row],[Drop]],Tabela10[Grade],DropAnalityka[[#This Row],[Grade]])*DropAnalityka[[#This Row],[Quality/Quantity]],0)</f>
        <v>15300</v>
      </c>
      <c r="K1442" s="43">
        <f>IFERROR(SUMIFS(Tabela10[Fod Worth],Tabela10[Drop],DropAnalityka[[#This Row],[Drop]],Tabela10[Grade],DropAnalityka[[#This Row],[Grade]])*DropAnalityka[[#This Row],[Quality/Quantity]],0)</f>
        <v>0</v>
      </c>
      <c r="L1442" s="43">
        <f>IFERROR(SUMIFS(Tabela10[Exp Gain only 2*+],Tabela10[Drop],DropAnalityka[[#This Row],[Drop]],Tabela10[Grade],DropAnalityka[[#This Row],[Grade]])*DropAnalityka[[#This Row],[Quality/Quantity]],0)</f>
        <v>0</v>
      </c>
    </row>
    <row r="1443" spans="1:13">
      <c r="A1443" t="s">
        <v>178</v>
      </c>
      <c r="B1443" t="s">
        <v>9</v>
      </c>
      <c r="C1443">
        <v>10</v>
      </c>
      <c r="D1443">
        <v>4592</v>
      </c>
      <c r="E1443">
        <v>2</v>
      </c>
      <c r="F1443" t="s">
        <v>291</v>
      </c>
      <c r="G1443">
        <v>1</v>
      </c>
      <c r="H1443" t="s">
        <v>28</v>
      </c>
      <c r="I1443">
        <v>8670</v>
      </c>
      <c r="J1443">
        <f>DropAnalityka[[#This Row],[Sell Drop]]+IFERROR(SUMIFS(Tabela10[Drop Worth],Tabela10[Drop],DropAnalityka[[#This Row],[Drop]],Tabela10[Grade],DropAnalityka[[#This Row],[Grade]])*DropAnalityka[[#This Row],[Quality/Quantity]],0)</f>
        <v>8670</v>
      </c>
      <c r="K1443" s="43">
        <f>IFERROR(SUMIFS(Tabela10[Fod Worth],Tabela10[Drop],DropAnalityka[[#This Row],[Drop]],Tabela10[Grade],DropAnalityka[[#This Row],[Grade]])*DropAnalityka[[#This Row],[Quality/Quantity]],0)</f>
        <v>0</v>
      </c>
      <c r="L1443" s="43">
        <f>IFERROR(SUMIFS(Tabela10[Exp Gain only 2*+],Tabela10[Drop],DropAnalityka[[#This Row],[Drop]],Tabela10[Grade],DropAnalityka[[#This Row],[Grade]])*DropAnalityka[[#This Row],[Quality/Quantity]],0)</f>
        <v>0</v>
      </c>
    </row>
    <row r="1444" spans="1:13">
      <c r="A1444" t="s">
        <v>178</v>
      </c>
      <c r="B1444" t="s">
        <v>9</v>
      </c>
      <c r="C1444">
        <v>10</v>
      </c>
      <c r="D1444">
        <v>1084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44" s="43">
        <f>IFERROR(SUMIFS(Tabela10[Fod Worth],Tabela10[Drop],DropAnalityka[[#This Row],[Drop]],Tabela10[Grade],DropAnalityka[[#This Row],[Grade]])*DropAnalityka[[#This Row],[Quality/Quantity]],0)</f>
        <v>0</v>
      </c>
      <c r="L1444" s="43">
        <f>IFERROR(SUMIFS(Tabela10[Exp Gain only 2*+],Tabela10[Drop],DropAnalityka[[#This Row],[Drop]],Tabela10[Grade],DropAnalityka[[#This Row],[Grade]])*DropAnalityka[[#This Row],[Quality/Quantity]],0)</f>
        <v>0</v>
      </c>
      <c r="M1444" t="s">
        <v>204</v>
      </c>
    </row>
    <row r="1445" spans="1:13">
      <c r="A1445" t="s">
        <v>178</v>
      </c>
      <c r="B1445" t="s">
        <v>9</v>
      </c>
      <c r="C1445">
        <v>10</v>
      </c>
      <c r="D1445">
        <v>4409</v>
      </c>
      <c r="E1445">
        <v>2</v>
      </c>
      <c r="F1445" t="s">
        <v>34</v>
      </c>
      <c r="G1445">
        <v>5</v>
      </c>
      <c r="H1445" t="s">
        <v>17</v>
      </c>
      <c r="I1445">
        <v>0</v>
      </c>
      <c r="J1445">
        <f>DropAnalityka[[#This Row],[Sell Drop]]+IFERROR(SUMIFS(Tabela10[Drop Worth],Tabela10[Drop],DropAnalityka[[#This Row],[Drop]],Tabela10[Grade],DropAnalityka[[#This Row],[Grade]])*DropAnalityka[[#This Row],[Quality/Quantity]],0)</f>
        <v>10000</v>
      </c>
      <c r="K1445" s="43">
        <f>IFERROR(SUMIFS(Tabela10[Fod Worth],Tabela10[Drop],DropAnalityka[[#This Row],[Drop]],Tabela10[Grade],DropAnalityka[[#This Row],[Grade]])*DropAnalityka[[#This Row],[Quality/Quantity]],0)</f>
        <v>0</v>
      </c>
      <c r="L1445" s="43">
        <f>IFERROR(SUMIFS(Tabela10[Exp Gain only 2*+],Tabela10[Drop],DropAnalityka[[#This Row],[Drop]],Tabela10[Grade],DropAnalityka[[#This Row],[Grade]])*DropAnalityka[[#This Row],[Quality/Quantity]],0)</f>
        <v>4000</v>
      </c>
    </row>
    <row r="1446" spans="1:13">
      <c r="A1446" t="s">
        <v>178</v>
      </c>
      <c r="B1446" t="s">
        <v>9</v>
      </c>
      <c r="C1446">
        <v>10</v>
      </c>
      <c r="D1446">
        <v>4227</v>
      </c>
      <c r="E1446">
        <v>0</v>
      </c>
      <c r="F1446" t="s">
        <v>34</v>
      </c>
      <c r="G1446">
        <v>4</v>
      </c>
      <c r="H1446" t="s">
        <v>17</v>
      </c>
      <c r="I1446">
        <v>0</v>
      </c>
      <c r="J1446">
        <f>DropAnalityka[[#This Row],[Sell Drop]]+IFERROR(SUMIFS(Tabela10[Drop Worth],Tabela10[Drop],DropAnalityka[[#This Row],[Drop]],Tabela10[Grade],DropAnalityka[[#This Row],[Grade]])*DropAnalityka[[#This Row],[Quality/Quantity]],0)</f>
        <v>8000</v>
      </c>
      <c r="K1446" s="43">
        <f>IFERROR(SUMIFS(Tabela10[Fod Worth],Tabela10[Drop],DropAnalityka[[#This Row],[Drop]],Tabela10[Grade],DropAnalityka[[#This Row],[Grade]])*DropAnalityka[[#This Row],[Quality/Quantity]],0)</f>
        <v>0</v>
      </c>
      <c r="L1446" s="43">
        <f>IFERROR(SUMIFS(Tabela10[Exp Gain only 2*+],Tabela10[Drop],DropAnalityka[[#This Row],[Drop]],Tabela10[Grade],DropAnalityka[[#This Row],[Grade]])*DropAnalityka[[#This Row],[Quality/Quantity]],0)</f>
        <v>3200</v>
      </c>
    </row>
    <row r="1447" spans="1:13">
      <c r="J14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47" s="43">
        <f>IFERROR(SUMIFS(Tabela10[Fod Worth],Tabela10[Drop],DropAnalityka[[#This Row],[Drop]],Tabela10[Grade],DropAnalityka[[#This Row],[Grade]])*DropAnalityka[[#This Row],[Quality/Quantity]],0)</f>
        <v>0</v>
      </c>
      <c r="L1447" s="43">
        <f>IFERROR(SUMIFS(Tabela10[Exp Gain only 2*+],Tabela10[Drop],DropAnalityka[[#This Row],[Drop]],Tabela10[Grade],DropAnalityka[[#This Row],[Grade]])*DropAnalityka[[#This Row],[Quality/Quantity]],0)</f>
        <v>0</v>
      </c>
    </row>
    <row r="1448" spans="1:13">
      <c r="J14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48" s="43">
        <f>IFERROR(SUMIFS(Tabela10[Fod Worth],Tabela10[Drop],DropAnalityka[[#This Row],[Drop]],Tabela10[Grade],DropAnalityka[[#This Row],[Grade]])*DropAnalityka[[#This Row],[Quality/Quantity]],0)</f>
        <v>0</v>
      </c>
      <c r="L1448" s="43">
        <f>IFERROR(SUMIFS(Tabela10[Exp Gain only 2*+],Tabela10[Drop],DropAnalityka[[#This Row],[Drop]],Tabela10[Grade],DropAnalityka[[#This Row],[Grade]])*DropAnalityka[[#This Row],[Quality/Quantity]],0)</f>
        <v>0</v>
      </c>
    </row>
    <row r="1449" spans="1:13">
      <c r="J14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49" s="43">
        <f>IFERROR(SUMIFS(Tabela10[Fod Worth],Tabela10[Drop],DropAnalityka[[#This Row],[Drop]],Tabela10[Grade],DropAnalityka[[#This Row],[Grade]])*DropAnalityka[[#This Row],[Quality/Quantity]],0)</f>
        <v>0</v>
      </c>
      <c r="L1449" s="43">
        <f>IFERROR(SUMIFS(Tabela10[Exp Gain only 2*+],Tabela10[Drop],DropAnalityka[[#This Row],[Drop]],Tabela10[Grade],DropAnalityka[[#This Row],[Grade]])*DropAnalityka[[#This Row],[Quality/Quantity]],0)</f>
        <v>0</v>
      </c>
    </row>
    <row r="1450" spans="1:13">
      <c r="J14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0" s="43">
        <f>IFERROR(SUMIFS(Tabela10[Fod Worth],Tabela10[Drop],DropAnalityka[[#This Row],[Drop]],Tabela10[Grade],DropAnalityka[[#This Row],[Grade]])*DropAnalityka[[#This Row],[Quality/Quantity]],0)</f>
        <v>0</v>
      </c>
      <c r="L1450" s="43">
        <f>IFERROR(SUMIFS(Tabela10[Exp Gain only 2*+],Tabela10[Drop],DropAnalityka[[#This Row],[Drop]],Tabela10[Grade],DropAnalityka[[#This Row],[Grade]])*DropAnalityka[[#This Row],[Quality/Quantity]],0)</f>
        <v>0</v>
      </c>
    </row>
    <row r="1451" spans="1:13">
      <c r="J14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1" s="43">
        <f>IFERROR(SUMIFS(Tabela10[Fod Worth],Tabela10[Drop],DropAnalityka[[#This Row],[Drop]],Tabela10[Grade],DropAnalityka[[#This Row],[Grade]])*DropAnalityka[[#This Row],[Quality/Quantity]],0)</f>
        <v>0</v>
      </c>
      <c r="L1451" s="43">
        <f>IFERROR(SUMIFS(Tabela10[Exp Gain only 2*+],Tabela10[Drop],DropAnalityka[[#This Row],[Drop]],Tabela10[Grade],DropAnalityka[[#This Row],[Grade]])*DropAnalityka[[#This Row],[Quality/Quantity]],0)</f>
        <v>0</v>
      </c>
    </row>
    <row r="1452" spans="1:13">
      <c r="J14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2" s="43">
        <f>IFERROR(SUMIFS(Tabela10[Fod Worth],Tabela10[Drop],DropAnalityka[[#This Row],[Drop]],Tabela10[Grade],DropAnalityka[[#This Row],[Grade]])*DropAnalityka[[#This Row],[Quality/Quantity]],0)</f>
        <v>0</v>
      </c>
      <c r="L1452" s="43">
        <f>IFERROR(SUMIFS(Tabela10[Exp Gain only 2*+],Tabela10[Drop],DropAnalityka[[#This Row],[Drop]],Tabela10[Grade],DropAnalityka[[#This Row],[Grade]])*DropAnalityka[[#This Row],[Quality/Quantity]],0)</f>
        <v>0</v>
      </c>
    </row>
    <row r="1453" spans="1:13">
      <c r="J14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3" s="43">
        <f>IFERROR(SUMIFS(Tabela10[Fod Worth],Tabela10[Drop],DropAnalityka[[#This Row],[Drop]],Tabela10[Grade],DropAnalityka[[#This Row],[Grade]])*DropAnalityka[[#This Row],[Quality/Quantity]],0)</f>
        <v>0</v>
      </c>
      <c r="L1453" s="43">
        <f>IFERROR(SUMIFS(Tabela10[Exp Gain only 2*+],Tabela10[Drop],DropAnalityka[[#This Row],[Drop]],Tabela10[Grade],DropAnalityka[[#This Row],[Grade]])*DropAnalityka[[#This Row],[Quality/Quantity]],0)</f>
        <v>0</v>
      </c>
    </row>
    <row r="1454" spans="1:13">
      <c r="J14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4" s="43">
        <f>IFERROR(SUMIFS(Tabela10[Fod Worth],Tabela10[Drop],DropAnalityka[[#This Row],[Drop]],Tabela10[Grade],DropAnalityka[[#This Row],[Grade]])*DropAnalityka[[#This Row],[Quality/Quantity]],0)</f>
        <v>0</v>
      </c>
      <c r="L1454" s="43">
        <f>IFERROR(SUMIFS(Tabela10[Exp Gain only 2*+],Tabela10[Drop],DropAnalityka[[#This Row],[Drop]],Tabela10[Grade],DropAnalityka[[#This Row],[Grade]])*DropAnalityka[[#This Row],[Quality/Quantity]],0)</f>
        <v>0</v>
      </c>
    </row>
    <row r="1455" spans="1:13">
      <c r="J14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5" s="43">
        <f>IFERROR(SUMIFS(Tabela10[Fod Worth],Tabela10[Drop],DropAnalityka[[#This Row],[Drop]],Tabela10[Grade],DropAnalityka[[#This Row],[Grade]])*DropAnalityka[[#This Row],[Quality/Quantity]],0)</f>
        <v>0</v>
      </c>
      <c r="L1455" s="43">
        <f>IFERROR(SUMIFS(Tabela10[Exp Gain only 2*+],Tabela10[Drop],DropAnalityka[[#This Row],[Drop]],Tabela10[Grade],DropAnalityka[[#This Row],[Grade]])*DropAnalityka[[#This Row],[Quality/Quantity]],0)</f>
        <v>0</v>
      </c>
    </row>
    <row r="1456" spans="1:13">
      <c r="J14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6" s="43">
        <f>IFERROR(SUMIFS(Tabela10[Fod Worth],Tabela10[Drop],DropAnalityka[[#This Row],[Drop]],Tabela10[Grade],DropAnalityka[[#This Row],[Grade]])*DropAnalityka[[#This Row],[Quality/Quantity]],0)</f>
        <v>0</v>
      </c>
      <c r="L1456" s="43">
        <f>IFERROR(SUMIFS(Tabela10[Exp Gain only 2*+],Tabela10[Drop],DropAnalityka[[#This Row],[Drop]],Tabela10[Grade],DropAnalityka[[#This Row],[Grade]])*DropAnalityka[[#This Row],[Quality/Quantity]],0)</f>
        <v>0</v>
      </c>
    </row>
    <row r="1457" spans="10:12">
      <c r="J14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7" s="43">
        <f>IFERROR(SUMIFS(Tabela10[Fod Worth],Tabela10[Drop],DropAnalityka[[#This Row],[Drop]],Tabela10[Grade],DropAnalityka[[#This Row],[Grade]])*DropAnalityka[[#This Row],[Quality/Quantity]],0)</f>
        <v>0</v>
      </c>
      <c r="L1457" s="43">
        <f>IFERROR(SUMIFS(Tabela10[Exp Gain only 2*+],Tabela10[Drop],DropAnalityka[[#This Row],[Drop]],Tabela10[Grade],DropAnalityka[[#This Row],[Grade]])*DropAnalityka[[#This Row],[Quality/Quantity]],0)</f>
        <v>0</v>
      </c>
    </row>
    <row r="1458" spans="10:12">
      <c r="J14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8" s="43">
        <f>IFERROR(SUMIFS(Tabela10[Fod Worth],Tabela10[Drop],DropAnalityka[[#This Row],[Drop]],Tabela10[Grade],DropAnalityka[[#This Row],[Grade]])*DropAnalityka[[#This Row],[Quality/Quantity]],0)</f>
        <v>0</v>
      </c>
      <c r="L1458" s="43">
        <f>IFERROR(SUMIFS(Tabela10[Exp Gain only 2*+],Tabela10[Drop],DropAnalityka[[#This Row],[Drop]],Tabela10[Grade],DropAnalityka[[#This Row],[Grade]])*DropAnalityka[[#This Row],[Quality/Quantity]],0)</f>
        <v>0</v>
      </c>
    </row>
    <row r="1459" spans="10:12">
      <c r="J14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59" s="43">
        <f>IFERROR(SUMIFS(Tabela10[Fod Worth],Tabela10[Drop],DropAnalityka[[#This Row],[Drop]],Tabela10[Grade],DropAnalityka[[#This Row],[Grade]])*DropAnalityka[[#This Row],[Quality/Quantity]],0)</f>
        <v>0</v>
      </c>
      <c r="L1459" s="43">
        <f>IFERROR(SUMIFS(Tabela10[Exp Gain only 2*+],Tabela10[Drop],DropAnalityka[[#This Row],[Drop]],Tabela10[Grade],DropAnalityka[[#This Row],[Grade]])*DropAnalityka[[#This Row],[Quality/Quantity]],0)</f>
        <v>0</v>
      </c>
    </row>
    <row r="1460" spans="10:12">
      <c r="J14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0" s="43">
        <f>IFERROR(SUMIFS(Tabela10[Fod Worth],Tabela10[Drop],DropAnalityka[[#This Row],[Drop]],Tabela10[Grade],DropAnalityka[[#This Row],[Grade]])*DropAnalityka[[#This Row],[Quality/Quantity]],0)</f>
        <v>0</v>
      </c>
      <c r="L1460" s="43">
        <f>IFERROR(SUMIFS(Tabela10[Exp Gain only 2*+],Tabela10[Drop],DropAnalityka[[#This Row],[Drop]],Tabela10[Grade],DropAnalityka[[#This Row],[Grade]])*DropAnalityka[[#This Row],[Quality/Quantity]],0)</f>
        <v>0</v>
      </c>
    </row>
    <row r="1461" spans="10:12">
      <c r="J14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1" s="43">
        <f>IFERROR(SUMIFS(Tabela10[Fod Worth],Tabela10[Drop],DropAnalityka[[#This Row],[Drop]],Tabela10[Grade],DropAnalityka[[#This Row],[Grade]])*DropAnalityka[[#This Row],[Quality/Quantity]],0)</f>
        <v>0</v>
      </c>
      <c r="L1461" s="43">
        <f>IFERROR(SUMIFS(Tabela10[Exp Gain only 2*+],Tabela10[Drop],DropAnalityka[[#This Row],[Drop]],Tabela10[Grade],DropAnalityka[[#This Row],[Grade]])*DropAnalityka[[#This Row],[Quality/Quantity]],0)</f>
        <v>0</v>
      </c>
    </row>
    <row r="1462" spans="10:12">
      <c r="J14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2" s="43">
        <f>IFERROR(SUMIFS(Tabela10[Fod Worth],Tabela10[Drop],DropAnalityka[[#This Row],[Drop]],Tabela10[Grade],DropAnalityka[[#This Row],[Grade]])*DropAnalityka[[#This Row],[Quality/Quantity]],0)</f>
        <v>0</v>
      </c>
      <c r="L1462" s="43">
        <f>IFERROR(SUMIFS(Tabela10[Exp Gain only 2*+],Tabela10[Drop],DropAnalityka[[#This Row],[Drop]],Tabela10[Grade],DropAnalityka[[#This Row],[Grade]])*DropAnalityka[[#This Row],[Quality/Quantity]],0)</f>
        <v>0</v>
      </c>
    </row>
    <row r="1463" spans="10:12">
      <c r="J14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3" s="43">
        <f>IFERROR(SUMIFS(Tabela10[Fod Worth],Tabela10[Drop],DropAnalityka[[#This Row],[Drop]],Tabela10[Grade],DropAnalityka[[#This Row],[Grade]])*DropAnalityka[[#This Row],[Quality/Quantity]],0)</f>
        <v>0</v>
      </c>
      <c r="L1463" s="43">
        <f>IFERROR(SUMIFS(Tabela10[Exp Gain only 2*+],Tabela10[Drop],DropAnalityka[[#This Row],[Drop]],Tabela10[Grade],DropAnalityka[[#This Row],[Grade]])*DropAnalityka[[#This Row],[Quality/Quantity]],0)</f>
        <v>0</v>
      </c>
    </row>
    <row r="1464" spans="10:12">
      <c r="J14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4" s="43">
        <f>IFERROR(SUMIFS(Tabela10[Fod Worth],Tabela10[Drop],DropAnalityka[[#This Row],[Drop]],Tabela10[Grade],DropAnalityka[[#This Row],[Grade]])*DropAnalityka[[#This Row],[Quality/Quantity]],0)</f>
        <v>0</v>
      </c>
      <c r="L1464" s="43">
        <f>IFERROR(SUMIFS(Tabela10[Exp Gain only 2*+],Tabela10[Drop],DropAnalityka[[#This Row],[Drop]],Tabela10[Grade],DropAnalityka[[#This Row],[Grade]])*DropAnalityka[[#This Row],[Quality/Quantity]],0)</f>
        <v>0</v>
      </c>
    </row>
    <row r="1465" spans="10:12">
      <c r="J14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5" s="43">
        <f>IFERROR(SUMIFS(Tabela10[Fod Worth],Tabela10[Drop],DropAnalityka[[#This Row],[Drop]],Tabela10[Grade],DropAnalityka[[#This Row],[Grade]])*DropAnalityka[[#This Row],[Quality/Quantity]],0)</f>
        <v>0</v>
      </c>
      <c r="L1465" s="43">
        <f>IFERROR(SUMIFS(Tabela10[Exp Gain only 2*+],Tabela10[Drop],DropAnalityka[[#This Row],[Drop]],Tabela10[Grade],DropAnalityka[[#This Row],[Grade]])*DropAnalityka[[#This Row],[Quality/Quantity]],0)</f>
        <v>0</v>
      </c>
    </row>
    <row r="1466" spans="10:12">
      <c r="J14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6" s="43">
        <f>IFERROR(SUMIFS(Tabela10[Fod Worth],Tabela10[Drop],DropAnalityka[[#This Row],[Drop]],Tabela10[Grade],DropAnalityka[[#This Row],[Grade]])*DropAnalityka[[#This Row],[Quality/Quantity]],0)</f>
        <v>0</v>
      </c>
      <c r="L1466" s="43">
        <f>IFERROR(SUMIFS(Tabela10[Exp Gain only 2*+],Tabela10[Drop],DropAnalityka[[#This Row],[Drop]],Tabela10[Grade],DropAnalityka[[#This Row],[Grade]])*DropAnalityka[[#This Row],[Quality/Quantity]],0)</f>
        <v>0</v>
      </c>
    </row>
    <row r="1467" spans="10:12">
      <c r="J14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7" s="43">
        <f>IFERROR(SUMIFS(Tabela10[Fod Worth],Tabela10[Drop],DropAnalityka[[#This Row],[Drop]],Tabela10[Grade],DropAnalityka[[#This Row],[Grade]])*DropAnalityka[[#This Row],[Quality/Quantity]],0)</f>
        <v>0</v>
      </c>
      <c r="L1467" s="43">
        <f>IFERROR(SUMIFS(Tabela10[Exp Gain only 2*+],Tabela10[Drop],DropAnalityka[[#This Row],[Drop]],Tabela10[Grade],DropAnalityka[[#This Row],[Grade]])*DropAnalityka[[#This Row],[Quality/Quantity]],0)</f>
        <v>0</v>
      </c>
    </row>
    <row r="1468" spans="10:12">
      <c r="J14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8" s="43">
        <f>IFERROR(SUMIFS(Tabela10[Fod Worth],Tabela10[Drop],DropAnalityka[[#This Row],[Drop]],Tabela10[Grade],DropAnalityka[[#This Row],[Grade]])*DropAnalityka[[#This Row],[Quality/Quantity]],0)</f>
        <v>0</v>
      </c>
      <c r="L1468" s="43">
        <f>IFERROR(SUMIFS(Tabela10[Exp Gain only 2*+],Tabela10[Drop],DropAnalityka[[#This Row],[Drop]],Tabela10[Grade],DropAnalityka[[#This Row],[Grade]])*DropAnalityka[[#This Row],[Quality/Quantity]],0)</f>
        <v>0</v>
      </c>
    </row>
    <row r="1469" spans="10:12">
      <c r="J14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69" s="43">
        <f>IFERROR(SUMIFS(Tabela10[Fod Worth],Tabela10[Drop],DropAnalityka[[#This Row],[Drop]],Tabela10[Grade],DropAnalityka[[#This Row],[Grade]])*DropAnalityka[[#This Row],[Quality/Quantity]],0)</f>
        <v>0</v>
      </c>
      <c r="L1469" s="43">
        <f>IFERROR(SUMIFS(Tabela10[Exp Gain only 2*+],Tabela10[Drop],DropAnalityka[[#This Row],[Drop]],Tabela10[Grade],DropAnalityka[[#This Row],[Grade]])*DropAnalityka[[#This Row],[Quality/Quantity]],0)</f>
        <v>0</v>
      </c>
    </row>
    <row r="1470" spans="10:12">
      <c r="J14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0" s="43">
        <f>IFERROR(SUMIFS(Tabela10[Fod Worth],Tabela10[Drop],DropAnalityka[[#This Row],[Drop]],Tabela10[Grade],DropAnalityka[[#This Row],[Grade]])*DropAnalityka[[#This Row],[Quality/Quantity]],0)</f>
        <v>0</v>
      </c>
      <c r="L1470" s="43">
        <f>IFERROR(SUMIFS(Tabela10[Exp Gain only 2*+],Tabela10[Drop],DropAnalityka[[#This Row],[Drop]],Tabela10[Grade],DropAnalityka[[#This Row],[Grade]])*DropAnalityka[[#This Row],[Quality/Quantity]],0)</f>
        <v>0</v>
      </c>
    </row>
    <row r="1471" spans="10:12">
      <c r="J14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1" s="43">
        <f>IFERROR(SUMIFS(Tabela10[Fod Worth],Tabela10[Drop],DropAnalityka[[#This Row],[Drop]],Tabela10[Grade],DropAnalityka[[#This Row],[Grade]])*DropAnalityka[[#This Row],[Quality/Quantity]],0)</f>
        <v>0</v>
      </c>
      <c r="L1471" s="43">
        <f>IFERROR(SUMIFS(Tabela10[Exp Gain only 2*+],Tabela10[Drop],DropAnalityka[[#This Row],[Drop]],Tabela10[Grade],DropAnalityka[[#This Row],[Grade]])*DropAnalityka[[#This Row],[Quality/Quantity]],0)</f>
        <v>0</v>
      </c>
    </row>
    <row r="1472" spans="10:12">
      <c r="J14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2" s="43">
        <f>IFERROR(SUMIFS(Tabela10[Fod Worth],Tabela10[Drop],DropAnalityka[[#This Row],[Drop]],Tabela10[Grade],DropAnalityka[[#This Row],[Grade]])*DropAnalityka[[#This Row],[Quality/Quantity]],0)</f>
        <v>0</v>
      </c>
      <c r="L1472" s="43">
        <f>IFERROR(SUMIFS(Tabela10[Exp Gain only 2*+],Tabela10[Drop],DropAnalityka[[#This Row],[Drop]],Tabela10[Grade],DropAnalityka[[#This Row],[Grade]])*DropAnalityka[[#This Row],[Quality/Quantity]],0)</f>
        <v>0</v>
      </c>
    </row>
    <row r="1473" spans="10:12">
      <c r="J14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3" s="43">
        <f>IFERROR(SUMIFS(Tabela10[Fod Worth],Tabela10[Drop],DropAnalityka[[#This Row],[Drop]],Tabela10[Grade],DropAnalityka[[#This Row],[Grade]])*DropAnalityka[[#This Row],[Quality/Quantity]],0)</f>
        <v>0</v>
      </c>
      <c r="L1473" s="43">
        <f>IFERROR(SUMIFS(Tabela10[Exp Gain only 2*+],Tabela10[Drop],DropAnalityka[[#This Row],[Drop]],Tabela10[Grade],DropAnalityka[[#This Row],[Grade]])*DropAnalityka[[#This Row],[Quality/Quantity]],0)</f>
        <v>0</v>
      </c>
    </row>
    <row r="1474" spans="10:12">
      <c r="J14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4" s="43">
        <f>IFERROR(SUMIFS(Tabela10[Fod Worth],Tabela10[Drop],DropAnalityka[[#This Row],[Drop]],Tabela10[Grade],DropAnalityka[[#This Row],[Grade]])*DropAnalityka[[#This Row],[Quality/Quantity]],0)</f>
        <v>0</v>
      </c>
      <c r="L1474" s="43">
        <f>IFERROR(SUMIFS(Tabela10[Exp Gain only 2*+],Tabela10[Drop],DropAnalityka[[#This Row],[Drop]],Tabela10[Grade],DropAnalityka[[#This Row],[Grade]])*DropAnalityka[[#This Row],[Quality/Quantity]],0)</f>
        <v>0</v>
      </c>
    </row>
    <row r="1475" spans="10:12">
      <c r="J14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5" s="43">
        <f>IFERROR(SUMIFS(Tabela10[Fod Worth],Tabela10[Drop],DropAnalityka[[#This Row],[Drop]],Tabela10[Grade],DropAnalityka[[#This Row],[Grade]])*DropAnalityka[[#This Row],[Quality/Quantity]],0)</f>
        <v>0</v>
      </c>
      <c r="L1475" s="43">
        <f>IFERROR(SUMIFS(Tabela10[Exp Gain only 2*+],Tabela10[Drop],DropAnalityka[[#This Row],[Drop]],Tabela10[Grade],DropAnalityka[[#This Row],[Grade]])*DropAnalityka[[#This Row],[Quality/Quantity]],0)</f>
        <v>0</v>
      </c>
    </row>
    <row r="1476" spans="10:12">
      <c r="J14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6" s="43">
        <f>IFERROR(SUMIFS(Tabela10[Fod Worth],Tabela10[Drop],DropAnalityka[[#This Row],[Drop]],Tabela10[Grade],DropAnalityka[[#This Row],[Grade]])*DropAnalityka[[#This Row],[Quality/Quantity]],0)</f>
        <v>0</v>
      </c>
      <c r="L1476" s="43">
        <f>IFERROR(SUMIFS(Tabela10[Exp Gain only 2*+],Tabela10[Drop],DropAnalityka[[#This Row],[Drop]],Tabela10[Grade],DropAnalityka[[#This Row],[Grade]])*DropAnalityka[[#This Row],[Quality/Quantity]],0)</f>
        <v>0</v>
      </c>
    </row>
    <row r="1477" spans="10:12">
      <c r="J14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7" s="43">
        <f>IFERROR(SUMIFS(Tabela10[Fod Worth],Tabela10[Drop],DropAnalityka[[#This Row],[Drop]],Tabela10[Grade],DropAnalityka[[#This Row],[Grade]])*DropAnalityka[[#This Row],[Quality/Quantity]],0)</f>
        <v>0</v>
      </c>
      <c r="L1477" s="43">
        <f>IFERROR(SUMIFS(Tabela10[Exp Gain only 2*+],Tabela10[Drop],DropAnalityka[[#This Row],[Drop]],Tabela10[Grade],DropAnalityka[[#This Row],[Grade]])*DropAnalityka[[#This Row],[Quality/Quantity]],0)</f>
        <v>0</v>
      </c>
    </row>
    <row r="1478" spans="10:12">
      <c r="J14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8" s="43">
        <f>IFERROR(SUMIFS(Tabela10[Fod Worth],Tabela10[Drop],DropAnalityka[[#This Row],[Drop]],Tabela10[Grade],DropAnalityka[[#This Row],[Grade]])*DropAnalityka[[#This Row],[Quality/Quantity]],0)</f>
        <v>0</v>
      </c>
      <c r="L1478" s="43">
        <f>IFERROR(SUMIFS(Tabela10[Exp Gain only 2*+],Tabela10[Drop],DropAnalityka[[#This Row],[Drop]],Tabela10[Grade],DropAnalityka[[#This Row],[Grade]])*DropAnalityka[[#This Row],[Quality/Quantity]],0)</f>
        <v>0</v>
      </c>
    </row>
    <row r="1479" spans="10:12">
      <c r="J14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79" s="43">
        <f>IFERROR(SUMIFS(Tabela10[Fod Worth],Tabela10[Drop],DropAnalityka[[#This Row],[Drop]],Tabela10[Grade],DropAnalityka[[#This Row],[Grade]])*DropAnalityka[[#This Row],[Quality/Quantity]],0)</f>
        <v>0</v>
      </c>
      <c r="L1479" s="43">
        <f>IFERROR(SUMIFS(Tabela10[Exp Gain only 2*+],Tabela10[Drop],DropAnalityka[[#This Row],[Drop]],Tabela10[Grade],DropAnalityka[[#This Row],[Grade]])*DropAnalityka[[#This Row],[Quality/Quantity]],0)</f>
        <v>0</v>
      </c>
    </row>
    <row r="1480" spans="10:12">
      <c r="J14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0" s="43">
        <f>IFERROR(SUMIFS(Tabela10[Fod Worth],Tabela10[Drop],DropAnalityka[[#This Row],[Drop]],Tabela10[Grade],DropAnalityka[[#This Row],[Grade]])*DropAnalityka[[#This Row],[Quality/Quantity]],0)</f>
        <v>0</v>
      </c>
      <c r="L1480" s="43">
        <f>IFERROR(SUMIFS(Tabela10[Exp Gain only 2*+],Tabela10[Drop],DropAnalityka[[#This Row],[Drop]],Tabela10[Grade],DropAnalityka[[#This Row],[Grade]])*DropAnalityka[[#This Row],[Quality/Quantity]],0)</f>
        <v>0</v>
      </c>
    </row>
    <row r="1481" spans="10:12">
      <c r="J14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1" s="43">
        <f>IFERROR(SUMIFS(Tabela10[Fod Worth],Tabela10[Drop],DropAnalityka[[#This Row],[Drop]],Tabela10[Grade],DropAnalityka[[#This Row],[Grade]])*DropAnalityka[[#This Row],[Quality/Quantity]],0)</f>
        <v>0</v>
      </c>
      <c r="L1481" s="43">
        <f>IFERROR(SUMIFS(Tabela10[Exp Gain only 2*+],Tabela10[Drop],DropAnalityka[[#This Row],[Drop]],Tabela10[Grade],DropAnalityka[[#This Row],[Grade]])*DropAnalityka[[#This Row],[Quality/Quantity]],0)</f>
        <v>0</v>
      </c>
    </row>
    <row r="1482" spans="10:12">
      <c r="J14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2" s="43">
        <f>IFERROR(SUMIFS(Tabela10[Fod Worth],Tabela10[Drop],DropAnalityka[[#This Row],[Drop]],Tabela10[Grade],DropAnalityka[[#This Row],[Grade]])*DropAnalityka[[#This Row],[Quality/Quantity]],0)</f>
        <v>0</v>
      </c>
      <c r="L1482" s="43">
        <f>IFERROR(SUMIFS(Tabela10[Exp Gain only 2*+],Tabela10[Drop],DropAnalityka[[#This Row],[Drop]],Tabela10[Grade],DropAnalityka[[#This Row],[Grade]])*DropAnalityka[[#This Row],[Quality/Quantity]],0)</f>
        <v>0</v>
      </c>
    </row>
    <row r="1483" spans="10:12">
      <c r="J14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3" s="43">
        <f>IFERROR(SUMIFS(Tabela10[Fod Worth],Tabela10[Drop],DropAnalityka[[#This Row],[Drop]],Tabela10[Grade],DropAnalityka[[#This Row],[Grade]])*DropAnalityka[[#This Row],[Quality/Quantity]],0)</f>
        <v>0</v>
      </c>
      <c r="L1483" s="43">
        <f>IFERROR(SUMIFS(Tabela10[Exp Gain only 2*+],Tabela10[Drop],DropAnalityka[[#This Row],[Drop]],Tabela10[Grade],DropAnalityka[[#This Row],[Grade]])*DropAnalityka[[#This Row],[Quality/Quantity]],0)</f>
        <v>0</v>
      </c>
    </row>
    <row r="1484" spans="10:12">
      <c r="J14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4" s="43">
        <f>IFERROR(SUMIFS(Tabela10[Fod Worth],Tabela10[Drop],DropAnalityka[[#This Row],[Drop]],Tabela10[Grade],DropAnalityka[[#This Row],[Grade]])*DropAnalityka[[#This Row],[Quality/Quantity]],0)</f>
        <v>0</v>
      </c>
      <c r="L1484" s="43">
        <f>IFERROR(SUMIFS(Tabela10[Exp Gain only 2*+],Tabela10[Drop],DropAnalityka[[#This Row],[Drop]],Tabela10[Grade],DropAnalityka[[#This Row],[Grade]])*DropAnalityka[[#This Row],[Quality/Quantity]],0)</f>
        <v>0</v>
      </c>
    </row>
    <row r="1485" spans="10:12">
      <c r="J14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5" s="43">
        <f>IFERROR(SUMIFS(Tabela10[Fod Worth],Tabela10[Drop],DropAnalityka[[#This Row],[Drop]],Tabela10[Grade],DropAnalityka[[#This Row],[Grade]])*DropAnalityka[[#This Row],[Quality/Quantity]],0)</f>
        <v>0</v>
      </c>
      <c r="L1485" s="43">
        <f>IFERROR(SUMIFS(Tabela10[Exp Gain only 2*+],Tabela10[Drop],DropAnalityka[[#This Row],[Drop]],Tabela10[Grade],DropAnalityka[[#This Row],[Grade]])*DropAnalityka[[#This Row],[Quality/Quantity]],0)</f>
        <v>0</v>
      </c>
    </row>
    <row r="1486" spans="10:12">
      <c r="J14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6" s="43">
        <f>IFERROR(SUMIFS(Tabela10[Fod Worth],Tabela10[Drop],DropAnalityka[[#This Row],[Drop]],Tabela10[Grade],DropAnalityka[[#This Row],[Grade]])*DropAnalityka[[#This Row],[Quality/Quantity]],0)</f>
        <v>0</v>
      </c>
      <c r="L1486" s="43">
        <f>IFERROR(SUMIFS(Tabela10[Exp Gain only 2*+],Tabela10[Drop],DropAnalityka[[#This Row],[Drop]],Tabela10[Grade],DropAnalityka[[#This Row],[Grade]])*DropAnalityka[[#This Row],[Quality/Quantity]],0)</f>
        <v>0</v>
      </c>
    </row>
    <row r="1487" spans="10:12">
      <c r="J14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7" s="43">
        <f>IFERROR(SUMIFS(Tabela10[Fod Worth],Tabela10[Drop],DropAnalityka[[#This Row],[Drop]],Tabela10[Grade],DropAnalityka[[#This Row],[Grade]])*DropAnalityka[[#This Row],[Quality/Quantity]],0)</f>
        <v>0</v>
      </c>
      <c r="L1487" s="43">
        <f>IFERROR(SUMIFS(Tabela10[Exp Gain only 2*+],Tabela10[Drop],DropAnalityka[[#This Row],[Drop]],Tabela10[Grade],DropAnalityka[[#This Row],[Grade]])*DropAnalityka[[#This Row],[Quality/Quantity]],0)</f>
        <v>0</v>
      </c>
    </row>
    <row r="1488" spans="10:12">
      <c r="J14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8" s="43">
        <f>IFERROR(SUMIFS(Tabela10[Fod Worth],Tabela10[Drop],DropAnalityka[[#This Row],[Drop]],Tabela10[Grade],DropAnalityka[[#This Row],[Grade]])*DropAnalityka[[#This Row],[Quality/Quantity]],0)</f>
        <v>0</v>
      </c>
      <c r="L1488" s="43">
        <f>IFERROR(SUMIFS(Tabela10[Exp Gain only 2*+],Tabela10[Drop],DropAnalityka[[#This Row],[Drop]],Tabela10[Grade],DropAnalityka[[#This Row],[Grade]])*DropAnalityka[[#This Row],[Quality/Quantity]],0)</f>
        <v>0</v>
      </c>
    </row>
    <row r="1489" spans="10:12">
      <c r="J14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89" s="43">
        <f>IFERROR(SUMIFS(Tabela10[Fod Worth],Tabela10[Drop],DropAnalityka[[#This Row],[Drop]],Tabela10[Grade],DropAnalityka[[#This Row],[Grade]])*DropAnalityka[[#This Row],[Quality/Quantity]],0)</f>
        <v>0</v>
      </c>
      <c r="L1489" s="43">
        <f>IFERROR(SUMIFS(Tabela10[Exp Gain only 2*+],Tabela10[Drop],DropAnalityka[[#This Row],[Drop]],Tabela10[Grade],DropAnalityka[[#This Row],[Grade]])*DropAnalityka[[#This Row],[Quality/Quantity]],0)</f>
        <v>0</v>
      </c>
    </row>
    <row r="1490" spans="10:12">
      <c r="J14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0" s="43">
        <f>IFERROR(SUMIFS(Tabela10[Fod Worth],Tabela10[Drop],DropAnalityka[[#This Row],[Drop]],Tabela10[Grade],DropAnalityka[[#This Row],[Grade]])*DropAnalityka[[#This Row],[Quality/Quantity]],0)</f>
        <v>0</v>
      </c>
      <c r="L1490" s="43">
        <f>IFERROR(SUMIFS(Tabela10[Exp Gain only 2*+],Tabela10[Drop],DropAnalityka[[#This Row],[Drop]],Tabela10[Grade],DropAnalityka[[#This Row],[Grade]])*DropAnalityka[[#This Row],[Quality/Quantity]],0)</f>
        <v>0</v>
      </c>
    </row>
    <row r="1491" spans="10:12">
      <c r="J14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1" s="43">
        <f>IFERROR(SUMIFS(Tabela10[Fod Worth],Tabela10[Drop],DropAnalityka[[#This Row],[Drop]],Tabela10[Grade],DropAnalityka[[#This Row],[Grade]])*DropAnalityka[[#This Row],[Quality/Quantity]],0)</f>
        <v>0</v>
      </c>
      <c r="L1491" s="43">
        <f>IFERROR(SUMIFS(Tabela10[Exp Gain only 2*+],Tabela10[Drop],DropAnalityka[[#This Row],[Drop]],Tabela10[Grade],DropAnalityka[[#This Row],[Grade]])*DropAnalityka[[#This Row],[Quality/Quantity]],0)</f>
        <v>0</v>
      </c>
    </row>
    <row r="1492" spans="10:12">
      <c r="J14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2" s="43">
        <f>IFERROR(SUMIFS(Tabela10[Fod Worth],Tabela10[Drop],DropAnalityka[[#This Row],[Drop]],Tabela10[Grade],DropAnalityka[[#This Row],[Grade]])*DropAnalityka[[#This Row],[Quality/Quantity]],0)</f>
        <v>0</v>
      </c>
      <c r="L1492" s="43">
        <f>IFERROR(SUMIFS(Tabela10[Exp Gain only 2*+],Tabela10[Drop],DropAnalityka[[#This Row],[Drop]],Tabela10[Grade],DropAnalityka[[#This Row],[Grade]])*DropAnalityka[[#This Row],[Quality/Quantity]],0)</f>
        <v>0</v>
      </c>
    </row>
    <row r="1493" spans="10:12">
      <c r="J14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3" s="43">
        <f>IFERROR(SUMIFS(Tabela10[Fod Worth],Tabela10[Drop],DropAnalityka[[#This Row],[Drop]],Tabela10[Grade],DropAnalityka[[#This Row],[Grade]])*DropAnalityka[[#This Row],[Quality/Quantity]],0)</f>
        <v>0</v>
      </c>
      <c r="L1493" s="43">
        <f>IFERROR(SUMIFS(Tabela10[Exp Gain only 2*+],Tabela10[Drop],DropAnalityka[[#This Row],[Drop]],Tabela10[Grade],DropAnalityka[[#This Row],[Grade]])*DropAnalityka[[#This Row],[Quality/Quantity]],0)</f>
        <v>0</v>
      </c>
    </row>
    <row r="1494" spans="10:12">
      <c r="J14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4" s="43">
        <f>IFERROR(SUMIFS(Tabela10[Fod Worth],Tabela10[Drop],DropAnalityka[[#This Row],[Drop]],Tabela10[Grade],DropAnalityka[[#This Row],[Grade]])*DropAnalityka[[#This Row],[Quality/Quantity]],0)</f>
        <v>0</v>
      </c>
      <c r="L1494" s="43">
        <f>IFERROR(SUMIFS(Tabela10[Exp Gain only 2*+],Tabela10[Drop],DropAnalityka[[#This Row],[Drop]],Tabela10[Grade],DropAnalityka[[#This Row],[Grade]])*DropAnalityka[[#This Row],[Quality/Quantity]],0)</f>
        <v>0</v>
      </c>
    </row>
    <row r="1495" spans="10:12">
      <c r="J14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5" s="43">
        <f>IFERROR(SUMIFS(Tabela10[Fod Worth],Tabela10[Drop],DropAnalityka[[#This Row],[Drop]],Tabela10[Grade],DropAnalityka[[#This Row],[Grade]])*DropAnalityka[[#This Row],[Quality/Quantity]],0)</f>
        <v>0</v>
      </c>
      <c r="L1495" s="43">
        <f>IFERROR(SUMIFS(Tabela10[Exp Gain only 2*+],Tabela10[Drop],DropAnalityka[[#This Row],[Drop]],Tabela10[Grade],DropAnalityka[[#This Row],[Grade]])*DropAnalityka[[#This Row],[Quality/Quantity]],0)</f>
        <v>0</v>
      </c>
    </row>
    <row r="1496" spans="10:12">
      <c r="J14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6" s="43">
        <f>IFERROR(SUMIFS(Tabela10[Fod Worth],Tabela10[Drop],DropAnalityka[[#This Row],[Drop]],Tabela10[Grade],DropAnalityka[[#This Row],[Grade]])*DropAnalityka[[#This Row],[Quality/Quantity]],0)</f>
        <v>0</v>
      </c>
      <c r="L1496" s="43">
        <f>IFERROR(SUMIFS(Tabela10[Exp Gain only 2*+],Tabela10[Drop],DropAnalityka[[#This Row],[Drop]],Tabela10[Grade],DropAnalityka[[#This Row],[Grade]])*DropAnalityka[[#This Row],[Quality/Quantity]],0)</f>
        <v>0</v>
      </c>
    </row>
    <row r="1497" spans="10:12">
      <c r="J14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7" s="43">
        <f>IFERROR(SUMIFS(Tabela10[Fod Worth],Tabela10[Drop],DropAnalityka[[#This Row],[Drop]],Tabela10[Grade],DropAnalityka[[#This Row],[Grade]])*DropAnalityka[[#This Row],[Quality/Quantity]],0)</f>
        <v>0</v>
      </c>
      <c r="L1497" s="43">
        <f>IFERROR(SUMIFS(Tabela10[Exp Gain only 2*+],Tabela10[Drop],DropAnalityka[[#This Row],[Drop]],Tabela10[Grade],DropAnalityka[[#This Row],[Grade]])*DropAnalityka[[#This Row],[Quality/Quantity]],0)</f>
        <v>0</v>
      </c>
    </row>
    <row r="1498" spans="10:12">
      <c r="J14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8" s="43">
        <f>IFERROR(SUMIFS(Tabela10[Fod Worth],Tabela10[Drop],DropAnalityka[[#This Row],[Drop]],Tabela10[Grade],DropAnalityka[[#This Row],[Grade]])*DropAnalityka[[#This Row],[Quality/Quantity]],0)</f>
        <v>0</v>
      </c>
      <c r="L1498" s="43">
        <f>IFERROR(SUMIFS(Tabela10[Exp Gain only 2*+],Tabela10[Drop],DropAnalityka[[#This Row],[Drop]],Tabela10[Grade],DropAnalityka[[#This Row],[Grade]])*DropAnalityka[[#This Row],[Quality/Quantity]],0)</f>
        <v>0</v>
      </c>
    </row>
    <row r="1499" spans="10:12">
      <c r="J14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499" s="43">
        <f>IFERROR(SUMIFS(Tabela10[Fod Worth],Tabela10[Drop],DropAnalityka[[#This Row],[Drop]],Tabela10[Grade],DropAnalityka[[#This Row],[Grade]])*DropAnalityka[[#This Row],[Quality/Quantity]],0)</f>
        <v>0</v>
      </c>
      <c r="L1499" s="43">
        <f>IFERROR(SUMIFS(Tabela10[Exp Gain only 2*+],Tabela10[Drop],DropAnalityka[[#This Row],[Drop]],Tabela10[Grade],DropAnalityka[[#This Row],[Grade]])*DropAnalityka[[#This Row],[Quality/Quantity]],0)</f>
        <v>0</v>
      </c>
    </row>
    <row r="1500" spans="10:12">
      <c r="J15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0" s="43">
        <f>IFERROR(SUMIFS(Tabela10[Fod Worth],Tabela10[Drop],DropAnalityka[[#This Row],[Drop]],Tabela10[Grade],DropAnalityka[[#This Row],[Grade]])*DropAnalityka[[#This Row],[Quality/Quantity]],0)</f>
        <v>0</v>
      </c>
      <c r="L1500" s="43">
        <f>IFERROR(SUMIFS(Tabela10[Exp Gain only 2*+],Tabela10[Drop],DropAnalityka[[#This Row],[Drop]],Tabela10[Grade],DropAnalityka[[#This Row],[Grade]])*DropAnalityka[[#This Row],[Quality/Quantity]],0)</f>
        <v>0</v>
      </c>
    </row>
    <row r="1501" spans="10:12">
      <c r="J15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1" s="43">
        <f>IFERROR(SUMIFS(Tabela10[Fod Worth],Tabela10[Drop],DropAnalityka[[#This Row],[Drop]],Tabela10[Grade],DropAnalityka[[#This Row],[Grade]])*DropAnalityka[[#This Row],[Quality/Quantity]],0)</f>
        <v>0</v>
      </c>
      <c r="L1501" s="43">
        <f>IFERROR(SUMIFS(Tabela10[Exp Gain only 2*+],Tabela10[Drop],DropAnalityka[[#This Row],[Drop]],Tabela10[Grade],DropAnalityka[[#This Row],[Grade]])*DropAnalityka[[#This Row],[Quality/Quantity]],0)</f>
        <v>0</v>
      </c>
    </row>
    <row r="1502" spans="10:12">
      <c r="J15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2" s="43">
        <f>IFERROR(SUMIFS(Tabela10[Fod Worth],Tabela10[Drop],DropAnalityka[[#This Row],[Drop]],Tabela10[Grade],DropAnalityka[[#This Row],[Grade]])*DropAnalityka[[#This Row],[Quality/Quantity]],0)</f>
        <v>0</v>
      </c>
      <c r="L1502" s="43">
        <f>IFERROR(SUMIFS(Tabela10[Exp Gain only 2*+],Tabela10[Drop],DropAnalityka[[#This Row],[Drop]],Tabela10[Grade],DropAnalityka[[#This Row],[Grade]])*DropAnalityka[[#This Row],[Quality/Quantity]],0)</f>
        <v>0</v>
      </c>
    </row>
    <row r="1503" spans="10:12">
      <c r="J15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3" s="43">
        <f>IFERROR(SUMIFS(Tabela10[Fod Worth],Tabela10[Drop],DropAnalityka[[#This Row],[Drop]],Tabela10[Grade],DropAnalityka[[#This Row],[Grade]])*DropAnalityka[[#This Row],[Quality/Quantity]],0)</f>
        <v>0</v>
      </c>
      <c r="L1503" s="43">
        <f>IFERROR(SUMIFS(Tabela10[Exp Gain only 2*+],Tabela10[Drop],DropAnalityka[[#This Row],[Drop]],Tabela10[Grade],DropAnalityka[[#This Row],[Grade]])*DropAnalityka[[#This Row],[Quality/Quantity]],0)</f>
        <v>0</v>
      </c>
    </row>
    <row r="1504" spans="10:12">
      <c r="J15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4" s="43">
        <f>IFERROR(SUMIFS(Tabela10[Fod Worth],Tabela10[Drop],DropAnalityka[[#This Row],[Drop]],Tabela10[Grade],DropAnalityka[[#This Row],[Grade]])*DropAnalityka[[#This Row],[Quality/Quantity]],0)</f>
        <v>0</v>
      </c>
      <c r="L1504" s="43">
        <f>IFERROR(SUMIFS(Tabela10[Exp Gain only 2*+],Tabela10[Drop],DropAnalityka[[#This Row],[Drop]],Tabela10[Grade],DropAnalityka[[#This Row],[Grade]])*DropAnalityka[[#This Row],[Quality/Quantity]],0)</f>
        <v>0</v>
      </c>
    </row>
    <row r="1505" spans="10:12">
      <c r="J15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5" s="43">
        <f>IFERROR(SUMIFS(Tabela10[Fod Worth],Tabela10[Drop],DropAnalityka[[#This Row],[Drop]],Tabela10[Grade],DropAnalityka[[#This Row],[Grade]])*DropAnalityka[[#This Row],[Quality/Quantity]],0)</f>
        <v>0</v>
      </c>
      <c r="L1505" s="43">
        <f>IFERROR(SUMIFS(Tabela10[Exp Gain only 2*+],Tabela10[Drop],DropAnalityka[[#This Row],[Drop]],Tabela10[Grade],DropAnalityka[[#This Row],[Grade]])*DropAnalityka[[#This Row],[Quality/Quantity]],0)</f>
        <v>0</v>
      </c>
    </row>
    <row r="1506" spans="10:12">
      <c r="J15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6" s="43">
        <f>IFERROR(SUMIFS(Tabela10[Fod Worth],Tabela10[Drop],DropAnalityka[[#This Row],[Drop]],Tabela10[Grade],DropAnalityka[[#This Row],[Grade]])*DropAnalityka[[#This Row],[Quality/Quantity]],0)</f>
        <v>0</v>
      </c>
      <c r="L1506" s="43">
        <f>IFERROR(SUMIFS(Tabela10[Exp Gain only 2*+],Tabela10[Drop],DropAnalityka[[#This Row],[Drop]],Tabela10[Grade],DropAnalityka[[#This Row],[Grade]])*DropAnalityka[[#This Row],[Quality/Quantity]],0)</f>
        <v>0</v>
      </c>
    </row>
    <row r="1507" spans="10:12">
      <c r="J15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7" s="43">
        <f>IFERROR(SUMIFS(Tabela10[Fod Worth],Tabela10[Drop],DropAnalityka[[#This Row],[Drop]],Tabela10[Grade],DropAnalityka[[#This Row],[Grade]])*DropAnalityka[[#This Row],[Quality/Quantity]],0)</f>
        <v>0</v>
      </c>
      <c r="L1507" s="43">
        <f>IFERROR(SUMIFS(Tabela10[Exp Gain only 2*+],Tabela10[Drop],DropAnalityka[[#This Row],[Drop]],Tabela10[Grade],DropAnalityka[[#This Row],[Grade]])*DropAnalityka[[#This Row],[Quality/Quantity]],0)</f>
        <v>0</v>
      </c>
    </row>
    <row r="1508" spans="10:12">
      <c r="J150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8" s="43">
        <f>IFERROR(SUMIFS(Tabela10[Fod Worth],Tabela10[Drop],DropAnalityka[[#This Row],[Drop]],Tabela10[Grade],DropAnalityka[[#This Row],[Grade]])*DropAnalityka[[#This Row],[Quality/Quantity]],0)</f>
        <v>0</v>
      </c>
      <c r="L1508" s="43">
        <f>IFERROR(SUMIFS(Tabela10[Exp Gain only 2*+],Tabela10[Drop],DropAnalityka[[#This Row],[Drop]],Tabela10[Grade],DropAnalityka[[#This Row],[Grade]])*DropAnalityka[[#This Row],[Quality/Quantity]],0)</f>
        <v>0</v>
      </c>
    </row>
    <row r="1509" spans="10:12">
      <c r="J15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09" s="43">
        <f>IFERROR(SUMIFS(Tabela10[Fod Worth],Tabela10[Drop],DropAnalityka[[#This Row],[Drop]],Tabela10[Grade],DropAnalityka[[#This Row],[Grade]])*DropAnalityka[[#This Row],[Quality/Quantity]],0)</f>
        <v>0</v>
      </c>
      <c r="L1509" s="43">
        <f>IFERROR(SUMIFS(Tabela10[Exp Gain only 2*+],Tabela10[Drop],DropAnalityka[[#This Row],[Drop]],Tabela10[Grade],DropAnalityka[[#This Row],[Grade]])*DropAnalityka[[#This Row],[Quality/Quantity]],0)</f>
        <v>0</v>
      </c>
    </row>
    <row r="1510" spans="10:12">
      <c r="J15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0" s="43">
        <f>IFERROR(SUMIFS(Tabela10[Fod Worth],Tabela10[Drop],DropAnalityka[[#This Row],[Drop]],Tabela10[Grade],DropAnalityka[[#This Row],[Grade]])*DropAnalityka[[#This Row],[Quality/Quantity]],0)</f>
        <v>0</v>
      </c>
      <c r="L1510" s="43">
        <f>IFERROR(SUMIFS(Tabela10[Exp Gain only 2*+],Tabela10[Drop],DropAnalityka[[#This Row],[Drop]],Tabela10[Grade],DropAnalityka[[#This Row],[Grade]])*DropAnalityka[[#This Row],[Quality/Quantity]],0)</f>
        <v>0</v>
      </c>
    </row>
    <row r="1511" spans="10:12">
      <c r="J15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1" s="43">
        <f>IFERROR(SUMIFS(Tabela10[Fod Worth],Tabela10[Drop],DropAnalityka[[#This Row],[Drop]],Tabela10[Grade],DropAnalityka[[#This Row],[Grade]])*DropAnalityka[[#This Row],[Quality/Quantity]],0)</f>
        <v>0</v>
      </c>
      <c r="L1511" s="43">
        <f>IFERROR(SUMIFS(Tabela10[Exp Gain only 2*+],Tabela10[Drop],DropAnalityka[[#This Row],[Drop]],Tabela10[Grade],DropAnalityka[[#This Row],[Grade]])*DropAnalityka[[#This Row],[Quality/Quantity]],0)</f>
        <v>0</v>
      </c>
    </row>
    <row r="1512" spans="10:12">
      <c r="J15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2" s="43">
        <f>IFERROR(SUMIFS(Tabela10[Fod Worth],Tabela10[Drop],DropAnalityka[[#This Row],[Drop]],Tabela10[Grade],DropAnalityka[[#This Row],[Grade]])*DropAnalityka[[#This Row],[Quality/Quantity]],0)</f>
        <v>0</v>
      </c>
      <c r="L1512" s="43">
        <f>IFERROR(SUMIFS(Tabela10[Exp Gain only 2*+],Tabela10[Drop],DropAnalityka[[#This Row],[Drop]],Tabela10[Grade],DropAnalityka[[#This Row],[Grade]])*DropAnalityka[[#This Row],[Quality/Quantity]],0)</f>
        <v>0</v>
      </c>
    </row>
    <row r="1513" spans="10:12">
      <c r="J15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3" s="43">
        <f>IFERROR(SUMIFS(Tabela10[Fod Worth],Tabela10[Drop],DropAnalityka[[#This Row],[Drop]],Tabela10[Grade],DropAnalityka[[#This Row],[Grade]])*DropAnalityka[[#This Row],[Quality/Quantity]],0)</f>
        <v>0</v>
      </c>
      <c r="L1513" s="43">
        <f>IFERROR(SUMIFS(Tabela10[Exp Gain only 2*+],Tabela10[Drop],DropAnalityka[[#This Row],[Drop]],Tabela10[Grade],DropAnalityka[[#This Row],[Grade]])*DropAnalityka[[#This Row],[Quality/Quantity]],0)</f>
        <v>0</v>
      </c>
    </row>
    <row r="1514" spans="10:12">
      <c r="J15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4" s="43">
        <f>IFERROR(SUMIFS(Tabela10[Fod Worth],Tabela10[Drop],DropAnalityka[[#This Row],[Drop]],Tabela10[Grade],DropAnalityka[[#This Row],[Grade]])*DropAnalityka[[#This Row],[Quality/Quantity]],0)</f>
        <v>0</v>
      </c>
      <c r="L1514" s="43">
        <f>IFERROR(SUMIFS(Tabela10[Exp Gain only 2*+],Tabela10[Drop],DropAnalityka[[#This Row],[Drop]],Tabela10[Grade],DropAnalityka[[#This Row],[Grade]])*DropAnalityka[[#This Row],[Quality/Quantity]],0)</f>
        <v>0</v>
      </c>
    </row>
    <row r="1515" spans="10:12">
      <c r="J15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5" s="43">
        <f>IFERROR(SUMIFS(Tabela10[Fod Worth],Tabela10[Drop],DropAnalityka[[#This Row],[Drop]],Tabela10[Grade],DropAnalityka[[#This Row],[Grade]])*DropAnalityka[[#This Row],[Quality/Quantity]],0)</f>
        <v>0</v>
      </c>
      <c r="L1515" s="43">
        <f>IFERROR(SUMIFS(Tabela10[Exp Gain only 2*+],Tabela10[Drop],DropAnalityka[[#This Row],[Drop]],Tabela10[Grade],DropAnalityka[[#This Row],[Grade]])*DropAnalityka[[#This Row],[Quality/Quantity]],0)</f>
        <v>0</v>
      </c>
    </row>
    <row r="1516" spans="10:12">
      <c r="J15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6" s="43">
        <f>IFERROR(SUMIFS(Tabela10[Fod Worth],Tabela10[Drop],DropAnalityka[[#This Row],[Drop]],Tabela10[Grade],DropAnalityka[[#This Row],[Grade]])*DropAnalityka[[#This Row],[Quality/Quantity]],0)</f>
        <v>0</v>
      </c>
      <c r="L1516" s="43">
        <f>IFERROR(SUMIFS(Tabela10[Exp Gain only 2*+],Tabela10[Drop],DropAnalityka[[#This Row],[Drop]],Tabela10[Grade],DropAnalityka[[#This Row],[Grade]])*DropAnalityka[[#This Row],[Quality/Quantity]],0)</f>
        <v>0</v>
      </c>
    </row>
    <row r="1517" spans="10:12">
      <c r="J15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7" s="43">
        <f>IFERROR(SUMIFS(Tabela10[Fod Worth],Tabela10[Drop],DropAnalityka[[#This Row],[Drop]],Tabela10[Grade],DropAnalityka[[#This Row],[Grade]])*DropAnalityka[[#This Row],[Quality/Quantity]],0)</f>
        <v>0</v>
      </c>
      <c r="L1517" s="43">
        <f>IFERROR(SUMIFS(Tabela10[Exp Gain only 2*+],Tabela10[Drop],DropAnalityka[[#This Row],[Drop]],Tabela10[Grade],DropAnalityka[[#This Row],[Grade]])*DropAnalityka[[#This Row],[Quality/Quantity]],0)</f>
        <v>0</v>
      </c>
    </row>
    <row r="1518" spans="10:12">
      <c r="J15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8" s="43">
        <f>IFERROR(SUMIFS(Tabela10[Fod Worth],Tabela10[Drop],DropAnalityka[[#This Row],[Drop]],Tabela10[Grade],DropAnalityka[[#This Row],[Grade]])*DropAnalityka[[#This Row],[Quality/Quantity]],0)</f>
        <v>0</v>
      </c>
      <c r="L1518" s="43">
        <f>IFERROR(SUMIFS(Tabela10[Exp Gain only 2*+],Tabela10[Drop],DropAnalityka[[#This Row],[Drop]],Tabela10[Grade],DropAnalityka[[#This Row],[Grade]])*DropAnalityka[[#This Row],[Quality/Quantity]],0)</f>
        <v>0</v>
      </c>
    </row>
    <row r="1519" spans="10:12">
      <c r="J15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19" s="43">
        <f>IFERROR(SUMIFS(Tabela10[Fod Worth],Tabela10[Drop],DropAnalityka[[#This Row],[Drop]],Tabela10[Grade],DropAnalityka[[#This Row],[Grade]])*DropAnalityka[[#This Row],[Quality/Quantity]],0)</f>
        <v>0</v>
      </c>
      <c r="L1519" s="43">
        <f>IFERROR(SUMIFS(Tabela10[Exp Gain only 2*+],Tabela10[Drop],DropAnalityka[[#This Row],[Drop]],Tabela10[Grade],DropAnalityka[[#This Row],[Grade]])*DropAnalityka[[#This Row],[Quality/Quantity]],0)</f>
        <v>0</v>
      </c>
    </row>
    <row r="1520" spans="10:12">
      <c r="J15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0" s="43">
        <f>IFERROR(SUMIFS(Tabela10[Fod Worth],Tabela10[Drop],DropAnalityka[[#This Row],[Drop]],Tabela10[Grade],DropAnalityka[[#This Row],[Grade]])*DropAnalityka[[#This Row],[Quality/Quantity]],0)</f>
        <v>0</v>
      </c>
      <c r="L1520" s="43">
        <f>IFERROR(SUMIFS(Tabela10[Exp Gain only 2*+],Tabela10[Drop],DropAnalityka[[#This Row],[Drop]],Tabela10[Grade],DropAnalityka[[#This Row],[Grade]])*DropAnalityka[[#This Row],[Quality/Quantity]],0)</f>
        <v>0</v>
      </c>
    </row>
    <row r="1521" spans="10:12">
      <c r="J15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1" s="43">
        <f>IFERROR(SUMIFS(Tabela10[Fod Worth],Tabela10[Drop],DropAnalityka[[#This Row],[Drop]],Tabela10[Grade],DropAnalityka[[#This Row],[Grade]])*DropAnalityka[[#This Row],[Quality/Quantity]],0)</f>
        <v>0</v>
      </c>
      <c r="L1521" s="43">
        <f>IFERROR(SUMIFS(Tabela10[Exp Gain only 2*+],Tabela10[Drop],DropAnalityka[[#This Row],[Drop]],Tabela10[Grade],DropAnalityka[[#This Row],[Grade]])*DropAnalityka[[#This Row],[Quality/Quantity]],0)</f>
        <v>0</v>
      </c>
    </row>
    <row r="1522" spans="10:12">
      <c r="J15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2" s="43">
        <f>IFERROR(SUMIFS(Tabela10[Fod Worth],Tabela10[Drop],DropAnalityka[[#This Row],[Drop]],Tabela10[Grade],DropAnalityka[[#This Row],[Grade]])*DropAnalityka[[#This Row],[Quality/Quantity]],0)</f>
        <v>0</v>
      </c>
      <c r="L1522" s="43">
        <f>IFERROR(SUMIFS(Tabela10[Exp Gain only 2*+],Tabela10[Drop],DropAnalityka[[#This Row],[Drop]],Tabela10[Grade],DropAnalityka[[#This Row],[Grade]])*DropAnalityka[[#This Row],[Quality/Quantity]],0)</f>
        <v>0</v>
      </c>
    </row>
    <row r="1523" spans="10:12">
      <c r="J15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3" s="43">
        <f>IFERROR(SUMIFS(Tabela10[Fod Worth],Tabela10[Drop],DropAnalityka[[#This Row],[Drop]],Tabela10[Grade],DropAnalityka[[#This Row],[Grade]])*DropAnalityka[[#This Row],[Quality/Quantity]],0)</f>
        <v>0</v>
      </c>
      <c r="L1523" s="43">
        <f>IFERROR(SUMIFS(Tabela10[Exp Gain only 2*+],Tabela10[Drop],DropAnalityka[[#This Row],[Drop]],Tabela10[Grade],DropAnalityka[[#This Row],[Grade]])*DropAnalityka[[#This Row],[Quality/Quantity]],0)</f>
        <v>0</v>
      </c>
    </row>
    <row r="1524" spans="10:12">
      <c r="J15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4" s="43">
        <f>IFERROR(SUMIFS(Tabela10[Fod Worth],Tabela10[Drop],DropAnalityka[[#This Row],[Drop]],Tabela10[Grade],DropAnalityka[[#This Row],[Grade]])*DropAnalityka[[#This Row],[Quality/Quantity]],0)</f>
        <v>0</v>
      </c>
      <c r="L1524" s="43">
        <f>IFERROR(SUMIFS(Tabela10[Exp Gain only 2*+],Tabela10[Drop],DropAnalityka[[#This Row],[Drop]],Tabela10[Grade],DropAnalityka[[#This Row],[Grade]])*DropAnalityka[[#This Row],[Quality/Quantity]],0)</f>
        <v>0</v>
      </c>
    </row>
    <row r="1525" spans="10:12">
      <c r="J15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5" s="43">
        <f>IFERROR(SUMIFS(Tabela10[Fod Worth],Tabela10[Drop],DropAnalityka[[#This Row],[Drop]],Tabela10[Grade],DropAnalityka[[#This Row],[Grade]])*DropAnalityka[[#This Row],[Quality/Quantity]],0)</f>
        <v>0</v>
      </c>
      <c r="L1525" s="43">
        <f>IFERROR(SUMIFS(Tabela10[Exp Gain only 2*+],Tabela10[Drop],DropAnalityka[[#This Row],[Drop]],Tabela10[Grade],DropAnalityka[[#This Row],[Grade]])*DropAnalityka[[#This Row],[Quality/Quantity]],0)</f>
        <v>0</v>
      </c>
    </row>
    <row r="1526" spans="10:12">
      <c r="J15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6" s="43">
        <f>IFERROR(SUMIFS(Tabela10[Fod Worth],Tabela10[Drop],DropAnalityka[[#This Row],[Drop]],Tabela10[Grade],DropAnalityka[[#This Row],[Grade]])*DropAnalityka[[#This Row],[Quality/Quantity]],0)</f>
        <v>0</v>
      </c>
      <c r="L1526" s="43">
        <f>IFERROR(SUMIFS(Tabela10[Exp Gain only 2*+],Tabela10[Drop],DropAnalityka[[#This Row],[Drop]],Tabela10[Grade],DropAnalityka[[#This Row],[Grade]])*DropAnalityka[[#This Row],[Quality/Quantity]],0)</f>
        <v>0</v>
      </c>
    </row>
    <row r="1527" spans="10:12">
      <c r="J15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7" s="43">
        <f>IFERROR(SUMIFS(Tabela10[Fod Worth],Tabela10[Drop],DropAnalityka[[#This Row],[Drop]],Tabela10[Grade],DropAnalityka[[#This Row],[Grade]])*DropAnalityka[[#This Row],[Quality/Quantity]],0)</f>
        <v>0</v>
      </c>
      <c r="L1527" s="43">
        <f>IFERROR(SUMIFS(Tabela10[Exp Gain only 2*+],Tabela10[Drop],DropAnalityka[[#This Row],[Drop]],Tabela10[Grade],DropAnalityka[[#This Row],[Grade]])*DropAnalityka[[#This Row],[Quality/Quantity]],0)</f>
        <v>0</v>
      </c>
    </row>
    <row r="1528" spans="10:12">
      <c r="J15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8" s="43">
        <f>IFERROR(SUMIFS(Tabela10[Fod Worth],Tabela10[Drop],DropAnalityka[[#This Row],[Drop]],Tabela10[Grade],DropAnalityka[[#This Row],[Grade]])*DropAnalityka[[#This Row],[Quality/Quantity]],0)</f>
        <v>0</v>
      </c>
      <c r="L1528" s="43">
        <f>IFERROR(SUMIFS(Tabela10[Exp Gain only 2*+],Tabela10[Drop],DropAnalityka[[#This Row],[Drop]],Tabela10[Grade],DropAnalityka[[#This Row],[Grade]])*DropAnalityka[[#This Row],[Quality/Quantity]],0)</f>
        <v>0</v>
      </c>
    </row>
    <row r="1529" spans="10:12">
      <c r="J15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29" s="43">
        <f>IFERROR(SUMIFS(Tabela10[Fod Worth],Tabela10[Drop],DropAnalityka[[#This Row],[Drop]],Tabela10[Grade],DropAnalityka[[#This Row],[Grade]])*DropAnalityka[[#This Row],[Quality/Quantity]],0)</f>
        <v>0</v>
      </c>
      <c r="L1529" s="43">
        <f>IFERROR(SUMIFS(Tabela10[Exp Gain only 2*+],Tabela10[Drop],DropAnalityka[[#This Row],[Drop]],Tabela10[Grade],DropAnalityka[[#This Row],[Grade]])*DropAnalityka[[#This Row],[Quality/Quantity]],0)</f>
        <v>0</v>
      </c>
    </row>
    <row r="1530" spans="10:12">
      <c r="J15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0" s="43">
        <f>IFERROR(SUMIFS(Tabela10[Fod Worth],Tabela10[Drop],DropAnalityka[[#This Row],[Drop]],Tabela10[Grade],DropAnalityka[[#This Row],[Grade]])*DropAnalityka[[#This Row],[Quality/Quantity]],0)</f>
        <v>0</v>
      </c>
      <c r="L1530" s="43">
        <f>IFERROR(SUMIFS(Tabela10[Exp Gain only 2*+],Tabela10[Drop],DropAnalityka[[#This Row],[Drop]],Tabela10[Grade],DropAnalityka[[#This Row],[Grade]])*DropAnalityka[[#This Row],[Quality/Quantity]],0)</f>
        <v>0</v>
      </c>
    </row>
    <row r="1531" spans="10:12">
      <c r="J15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1" s="43">
        <f>IFERROR(SUMIFS(Tabela10[Fod Worth],Tabela10[Drop],DropAnalityka[[#This Row],[Drop]],Tabela10[Grade],DropAnalityka[[#This Row],[Grade]])*DropAnalityka[[#This Row],[Quality/Quantity]],0)</f>
        <v>0</v>
      </c>
      <c r="L1531" s="43">
        <f>IFERROR(SUMIFS(Tabela10[Exp Gain only 2*+],Tabela10[Drop],DropAnalityka[[#This Row],[Drop]],Tabela10[Grade],DropAnalityka[[#This Row],[Grade]])*DropAnalityka[[#This Row],[Quality/Quantity]],0)</f>
        <v>0</v>
      </c>
    </row>
    <row r="1532" spans="10:12">
      <c r="J15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2" s="43">
        <f>IFERROR(SUMIFS(Tabela10[Fod Worth],Tabela10[Drop],DropAnalityka[[#This Row],[Drop]],Tabela10[Grade],DropAnalityka[[#This Row],[Grade]])*DropAnalityka[[#This Row],[Quality/Quantity]],0)</f>
        <v>0</v>
      </c>
      <c r="L1532" s="43">
        <f>IFERROR(SUMIFS(Tabela10[Exp Gain only 2*+],Tabela10[Drop],DropAnalityka[[#This Row],[Drop]],Tabela10[Grade],DropAnalityka[[#This Row],[Grade]])*DropAnalityka[[#This Row],[Quality/Quantity]],0)</f>
        <v>0</v>
      </c>
    </row>
    <row r="1533" spans="10:12">
      <c r="J15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3" s="43">
        <f>IFERROR(SUMIFS(Tabela10[Fod Worth],Tabela10[Drop],DropAnalityka[[#This Row],[Drop]],Tabela10[Grade],DropAnalityka[[#This Row],[Grade]])*DropAnalityka[[#This Row],[Quality/Quantity]],0)</f>
        <v>0</v>
      </c>
      <c r="L1533" s="43">
        <f>IFERROR(SUMIFS(Tabela10[Exp Gain only 2*+],Tabela10[Drop],DropAnalityka[[#This Row],[Drop]],Tabela10[Grade],DropAnalityka[[#This Row],[Grade]])*DropAnalityka[[#This Row],[Quality/Quantity]],0)</f>
        <v>0</v>
      </c>
    </row>
    <row r="1534" spans="10:12">
      <c r="J15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4" s="43">
        <f>IFERROR(SUMIFS(Tabela10[Fod Worth],Tabela10[Drop],DropAnalityka[[#This Row],[Drop]],Tabela10[Grade],DropAnalityka[[#This Row],[Grade]])*DropAnalityka[[#This Row],[Quality/Quantity]],0)</f>
        <v>0</v>
      </c>
      <c r="L1534" s="43">
        <f>IFERROR(SUMIFS(Tabela10[Exp Gain only 2*+],Tabela10[Drop],DropAnalityka[[#This Row],[Drop]],Tabela10[Grade],DropAnalityka[[#This Row],[Grade]])*DropAnalityka[[#This Row],[Quality/Quantity]],0)</f>
        <v>0</v>
      </c>
    </row>
    <row r="1535" spans="10:12">
      <c r="J15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5" s="43">
        <f>IFERROR(SUMIFS(Tabela10[Fod Worth],Tabela10[Drop],DropAnalityka[[#This Row],[Drop]],Tabela10[Grade],DropAnalityka[[#This Row],[Grade]])*DropAnalityka[[#This Row],[Quality/Quantity]],0)</f>
        <v>0</v>
      </c>
      <c r="L1535" s="43">
        <f>IFERROR(SUMIFS(Tabela10[Exp Gain only 2*+],Tabela10[Drop],DropAnalityka[[#This Row],[Drop]],Tabela10[Grade],DropAnalityka[[#This Row],[Grade]])*DropAnalityka[[#This Row],[Quality/Quantity]],0)</f>
        <v>0</v>
      </c>
    </row>
    <row r="1536" spans="10:12">
      <c r="J15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6" s="43">
        <f>IFERROR(SUMIFS(Tabela10[Fod Worth],Tabela10[Drop],DropAnalityka[[#This Row],[Drop]],Tabela10[Grade],DropAnalityka[[#This Row],[Grade]])*DropAnalityka[[#This Row],[Quality/Quantity]],0)</f>
        <v>0</v>
      </c>
      <c r="L1536" s="43">
        <f>IFERROR(SUMIFS(Tabela10[Exp Gain only 2*+],Tabela10[Drop],DropAnalityka[[#This Row],[Drop]],Tabela10[Grade],DropAnalityka[[#This Row],[Grade]])*DropAnalityka[[#This Row],[Quality/Quantity]],0)</f>
        <v>0</v>
      </c>
    </row>
    <row r="1537" spans="10:12">
      <c r="J15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7" s="43">
        <f>IFERROR(SUMIFS(Tabela10[Fod Worth],Tabela10[Drop],DropAnalityka[[#This Row],[Drop]],Tabela10[Grade],DropAnalityka[[#This Row],[Grade]])*DropAnalityka[[#This Row],[Quality/Quantity]],0)</f>
        <v>0</v>
      </c>
      <c r="L1537" s="43">
        <f>IFERROR(SUMIFS(Tabela10[Exp Gain only 2*+],Tabela10[Drop],DropAnalityka[[#This Row],[Drop]],Tabela10[Grade],DropAnalityka[[#This Row],[Grade]])*DropAnalityka[[#This Row],[Quality/Quantity]],0)</f>
        <v>0</v>
      </c>
    </row>
    <row r="1538" spans="10:12">
      <c r="J15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8" s="43">
        <f>IFERROR(SUMIFS(Tabela10[Fod Worth],Tabela10[Drop],DropAnalityka[[#This Row],[Drop]],Tabela10[Grade],DropAnalityka[[#This Row],[Grade]])*DropAnalityka[[#This Row],[Quality/Quantity]],0)</f>
        <v>0</v>
      </c>
      <c r="L1538" s="43">
        <f>IFERROR(SUMIFS(Tabela10[Exp Gain only 2*+],Tabela10[Drop],DropAnalityka[[#This Row],[Drop]],Tabela10[Grade],DropAnalityka[[#This Row],[Grade]])*DropAnalityka[[#This Row],[Quality/Quantity]],0)</f>
        <v>0</v>
      </c>
    </row>
    <row r="1539" spans="10:12">
      <c r="J15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39" s="43">
        <f>IFERROR(SUMIFS(Tabela10[Fod Worth],Tabela10[Drop],DropAnalityka[[#This Row],[Drop]],Tabela10[Grade],DropAnalityka[[#This Row],[Grade]])*DropAnalityka[[#This Row],[Quality/Quantity]],0)</f>
        <v>0</v>
      </c>
      <c r="L1539" s="43">
        <f>IFERROR(SUMIFS(Tabela10[Exp Gain only 2*+],Tabela10[Drop],DropAnalityka[[#This Row],[Drop]],Tabela10[Grade],DropAnalityka[[#This Row],[Grade]])*DropAnalityka[[#This Row],[Quality/Quantity]],0)</f>
        <v>0</v>
      </c>
    </row>
    <row r="1540" spans="10:12">
      <c r="J15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0" s="43">
        <f>IFERROR(SUMIFS(Tabela10[Fod Worth],Tabela10[Drop],DropAnalityka[[#This Row],[Drop]],Tabela10[Grade],DropAnalityka[[#This Row],[Grade]])*DropAnalityka[[#This Row],[Quality/Quantity]],0)</f>
        <v>0</v>
      </c>
      <c r="L1540" s="43">
        <f>IFERROR(SUMIFS(Tabela10[Exp Gain only 2*+],Tabela10[Drop],DropAnalityka[[#This Row],[Drop]],Tabela10[Grade],DropAnalityka[[#This Row],[Grade]])*DropAnalityka[[#This Row],[Quality/Quantity]],0)</f>
        <v>0</v>
      </c>
    </row>
    <row r="1541" spans="10:12">
      <c r="J15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1" s="43">
        <f>IFERROR(SUMIFS(Tabela10[Fod Worth],Tabela10[Drop],DropAnalityka[[#This Row],[Drop]],Tabela10[Grade],DropAnalityka[[#This Row],[Grade]])*DropAnalityka[[#This Row],[Quality/Quantity]],0)</f>
        <v>0</v>
      </c>
      <c r="L1541" s="43">
        <f>IFERROR(SUMIFS(Tabela10[Exp Gain only 2*+],Tabela10[Drop],DropAnalityka[[#This Row],[Drop]],Tabela10[Grade],DropAnalityka[[#This Row],[Grade]])*DropAnalityka[[#This Row],[Quality/Quantity]],0)</f>
        <v>0</v>
      </c>
    </row>
    <row r="1542" spans="10:12">
      <c r="J15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2" s="43">
        <f>IFERROR(SUMIFS(Tabela10[Fod Worth],Tabela10[Drop],DropAnalityka[[#This Row],[Drop]],Tabela10[Grade],DropAnalityka[[#This Row],[Grade]])*DropAnalityka[[#This Row],[Quality/Quantity]],0)</f>
        <v>0</v>
      </c>
      <c r="L1542" s="43">
        <f>IFERROR(SUMIFS(Tabela10[Exp Gain only 2*+],Tabela10[Drop],DropAnalityka[[#This Row],[Drop]],Tabela10[Grade],DropAnalityka[[#This Row],[Grade]])*DropAnalityka[[#This Row],[Quality/Quantity]],0)</f>
        <v>0</v>
      </c>
    </row>
    <row r="1543" spans="10:12">
      <c r="J15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3" s="43">
        <f>IFERROR(SUMIFS(Tabela10[Fod Worth],Tabela10[Drop],DropAnalityka[[#This Row],[Drop]],Tabela10[Grade],DropAnalityka[[#This Row],[Grade]])*DropAnalityka[[#This Row],[Quality/Quantity]],0)</f>
        <v>0</v>
      </c>
      <c r="L1543" s="43">
        <f>IFERROR(SUMIFS(Tabela10[Exp Gain only 2*+],Tabela10[Drop],DropAnalityka[[#This Row],[Drop]],Tabela10[Grade],DropAnalityka[[#This Row],[Grade]])*DropAnalityka[[#This Row],[Quality/Quantity]],0)</f>
        <v>0</v>
      </c>
    </row>
    <row r="1544" spans="10:12">
      <c r="J15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4" s="43">
        <f>IFERROR(SUMIFS(Tabela10[Fod Worth],Tabela10[Drop],DropAnalityka[[#This Row],[Drop]],Tabela10[Grade],DropAnalityka[[#This Row],[Grade]])*DropAnalityka[[#This Row],[Quality/Quantity]],0)</f>
        <v>0</v>
      </c>
      <c r="L1544" s="43">
        <f>IFERROR(SUMIFS(Tabela10[Exp Gain only 2*+],Tabela10[Drop],DropAnalityka[[#This Row],[Drop]],Tabela10[Grade],DropAnalityka[[#This Row],[Grade]])*DropAnalityka[[#This Row],[Quality/Quantity]],0)</f>
        <v>0</v>
      </c>
    </row>
    <row r="1545" spans="10:12">
      <c r="J15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5" s="43">
        <f>IFERROR(SUMIFS(Tabela10[Fod Worth],Tabela10[Drop],DropAnalityka[[#This Row],[Drop]],Tabela10[Grade],DropAnalityka[[#This Row],[Grade]])*DropAnalityka[[#This Row],[Quality/Quantity]],0)</f>
        <v>0</v>
      </c>
      <c r="L1545" s="43">
        <f>IFERROR(SUMIFS(Tabela10[Exp Gain only 2*+],Tabela10[Drop],DropAnalityka[[#This Row],[Drop]],Tabela10[Grade],DropAnalityka[[#This Row],[Grade]])*DropAnalityka[[#This Row],[Quality/Quantity]],0)</f>
        <v>0</v>
      </c>
    </row>
    <row r="1546" spans="10:12">
      <c r="J15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6" s="43">
        <f>IFERROR(SUMIFS(Tabela10[Fod Worth],Tabela10[Drop],DropAnalityka[[#This Row],[Drop]],Tabela10[Grade],DropAnalityka[[#This Row],[Grade]])*DropAnalityka[[#This Row],[Quality/Quantity]],0)</f>
        <v>0</v>
      </c>
      <c r="L1546" s="43">
        <f>IFERROR(SUMIFS(Tabela10[Exp Gain only 2*+],Tabela10[Drop],DropAnalityka[[#This Row],[Drop]],Tabela10[Grade],DropAnalityka[[#This Row],[Grade]])*DropAnalityka[[#This Row],[Quality/Quantity]],0)</f>
        <v>0</v>
      </c>
    </row>
    <row r="1547" spans="10:12">
      <c r="J15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7" s="43">
        <f>IFERROR(SUMIFS(Tabela10[Fod Worth],Tabela10[Drop],DropAnalityka[[#This Row],[Drop]],Tabela10[Grade],DropAnalityka[[#This Row],[Grade]])*DropAnalityka[[#This Row],[Quality/Quantity]],0)</f>
        <v>0</v>
      </c>
      <c r="L1547" s="43">
        <f>IFERROR(SUMIFS(Tabela10[Exp Gain only 2*+],Tabela10[Drop],DropAnalityka[[#This Row],[Drop]],Tabela10[Grade],DropAnalityka[[#This Row],[Grade]])*DropAnalityka[[#This Row],[Quality/Quantity]],0)</f>
        <v>0</v>
      </c>
    </row>
    <row r="1548" spans="10:12">
      <c r="J15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8" s="43">
        <f>IFERROR(SUMIFS(Tabela10[Fod Worth],Tabela10[Drop],DropAnalityka[[#This Row],[Drop]],Tabela10[Grade],DropAnalityka[[#This Row],[Grade]])*DropAnalityka[[#This Row],[Quality/Quantity]],0)</f>
        <v>0</v>
      </c>
      <c r="L1548" s="43">
        <f>IFERROR(SUMIFS(Tabela10[Exp Gain only 2*+],Tabela10[Drop],DropAnalityka[[#This Row],[Drop]],Tabela10[Grade],DropAnalityka[[#This Row],[Grade]])*DropAnalityka[[#This Row],[Quality/Quantity]],0)</f>
        <v>0</v>
      </c>
    </row>
    <row r="1549" spans="10:12">
      <c r="J15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49" s="43">
        <f>IFERROR(SUMIFS(Tabela10[Fod Worth],Tabela10[Drop],DropAnalityka[[#This Row],[Drop]],Tabela10[Grade],DropAnalityka[[#This Row],[Grade]])*DropAnalityka[[#This Row],[Quality/Quantity]],0)</f>
        <v>0</v>
      </c>
      <c r="L1549" s="43">
        <f>IFERROR(SUMIFS(Tabela10[Exp Gain only 2*+],Tabela10[Drop],DropAnalityka[[#This Row],[Drop]],Tabela10[Grade],DropAnalityka[[#This Row],[Grade]])*DropAnalityka[[#This Row],[Quality/Quantity]],0)</f>
        <v>0</v>
      </c>
    </row>
    <row r="1550" spans="10:12">
      <c r="J15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0" s="43">
        <f>IFERROR(SUMIFS(Tabela10[Fod Worth],Tabela10[Drop],DropAnalityka[[#This Row],[Drop]],Tabela10[Grade],DropAnalityka[[#This Row],[Grade]])*DropAnalityka[[#This Row],[Quality/Quantity]],0)</f>
        <v>0</v>
      </c>
      <c r="L1550" s="43">
        <f>IFERROR(SUMIFS(Tabela10[Exp Gain only 2*+],Tabela10[Drop],DropAnalityka[[#This Row],[Drop]],Tabela10[Grade],DropAnalityka[[#This Row],[Grade]])*DropAnalityka[[#This Row],[Quality/Quantity]],0)</f>
        <v>0</v>
      </c>
    </row>
    <row r="1551" spans="10:12">
      <c r="J15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1" s="43">
        <f>IFERROR(SUMIFS(Tabela10[Fod Worth],Tabela10[Drop],DropAnalityka[[#This Row],[Drop]],Tabela10[Grade],DropAnalityka[[#This Row],[Grade]])*DropAnalityka[[#This Row],[Quality/Quantity]],0)</f>
        <v>0</v>
      </c>
      <c r="L1551" s="43">
        <f>IFERROR(SUMIFS(Tabela10[Exp Gain only 2*+],Tabela10[Drop],DropAnalityka[[#This Row],[Drop]],Tabela10[Grade],DropAnalityka[[#This Row],[Grade]])*DropAnalityka[[#This Row],[Quality/Quantity]],0)</f>
        <v>0</v>
      </c>
    </row>
    <row r="1552" spans="10:12">
      <c r="J15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2" s="43">
        <f>IFERROR(SUMIFS(Tabela10[Fod Worth],Tabela10[Drop],DropAnalityka[[#This Row],[Drop]],Tabela10[Grade],DropAnalityka[[#This Row],[Grade]])*DropAnalityka[[#This Row],[Quality/Quantity]],0)</f>
        <v>0</v>
      </c>
      <c r="L1552" s="43">
        <f>IFERROR(SUMIFS(Tabela10[Exp Gain only 2*+],Tabela10[Drop],DropAnalityka[[#This Row],[Drop]],Tabela10[Grade],DropAnalityka[[#This Row],[Grade]])*DropAnalityka[[#This Row],[Quality/Quantity]],0)</f>
        <v>0</v>
      </c>
    </row>
    <row r="1553" spans="10:12">
      <c r="J15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3" s="43">
        <f>IFERROR(SUMIFS(Tabela10[Fod Worth],Tabela10[Drop],DropAnalityka[[#This Row],[Drop]],Tabela10[Grade],DropAnalityka[[#This Row],[Grade]])*DropAnalityka[[#This Row],[Quality/Quantity]],0)</f>
        <v>0</v>
      </c>
      <c r="L1553" s="43">
        <f>IFERROR(SUMIFS(Tabela10[Exp Gain only 2*+],Tabela10[Drop],DropAnalityka[[#This Row],[Drop]],Tabela10[Grade],DropAnalityka[[#This Row],[Grade]])*DropAnalityka[[#This Row],[Quality/Quantity]],0)</f>
        <v>0</v>
      </c>
    </row>
    <row r="1554" spans="10:12">
      <c r="J15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4" s="43">
        <f>IFERROR(SUMIFS(Tabela10[Fod Worth],Tabela10[Drop],DropAnalityka[[#This Row],[Drop]],Tabela10[Grade],DropAnalityka[[#This Row],[Grade]])*DropAnalityka[[#This Row],[Quality/Quantity]],0)</f>
        <v>0</v>
      </c>
      <c r="L1554" s="43">
        <f>IFERROR(SUMIFS(Tabela10[Exp Gain only 2*+],Tabela10[Drop],DropAnalityka[[#This Row],[Drop]],Tabela10[Grade],DropAnalityka[[#This Row],[Grade]])*DropAnalityka[[#This Row],[Quality/Quantity]],0)</f>
        <v>0</v>
      </c>
    </row>
    <row r="1555" spans="10:12">
      <c r="J15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5" s="43">
        <f>IFERROR(SUMIFS(Tabela10[Fod Worth],Tabela10[Drop],DropAnalityka[[#This Row],[Drop]],Tabela10[Grade],DropAnalityka[[#This Row],[Grade]])*DropAnalityka[[#This Row],[Quality/Quantity]],0)</f>
        <v>0</v>
      </c>
      <c r="L1555" s="43">
        <f>IFERROR(SUMIFS(Tabela10[Exp Gain only 2*+],Tabela10[Drop],DropAnalityka[[#This Row],[Drop]],Tabela10[Grade],DropAnalityka[[#This Row],[Grade]])*DropAnalityka[[#This Row],[Quality/Quantity]],0)</f>
        <v>0</v>
      </c>
    </row>
    <row r="1556" spans="10:12">
      <c r="J15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6" s="43">
        <f>IFERROR(SUMIFS(Tabela10[Fod Worth],Tabela10[Drop],DropAnalityka[[#This Row],[Drop]],Tabela10[Grade],DropAnalityka[[#This Row],[Grade]])*DropAnalityka[[#This Row],[Quality/Quantity]],0)</f>
        <v>0</v>
      </c>
      <c r="L1556" s="43">
        <f>IFERROR(SUMIFS(Tabela10[Exp Gain only 2*+],Tabela10[Drop],DropAnalityka[[#This Row],[Drop]],Tabela10[Grade],DropAnalityka[[#This Row],[Grade]])*DropAnalityka[[#This Row],[Quality/Quantity]],0)</f>
        <v>0</v>
      </c>
    </row>
    <row r="1557" spans="10:12">
      <c r="J15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7" s="43">
        <f>IFERROR(SUMIFS(Tabela10[Fod Worth],Tabela10[Drop],DropAnalityka[[#This Row],[Drop]],Tabela10[Grade],DropAnalityka[[#This Row],[Grade]])*DropAnalityka[[#This Row],[Quality/Quantity]],0)</f>
        <v>0</v>
      </c>
      <c r="L1557" s="43">
        <f>IFERROR(SUMIFS(Tabela10[Exp Gain only 2*+],Tabela10[Drop],DropAnalityka[[#This Row],[Drop]],Tabela10[Grade],DropAnalityka[[#This Row],[Grade]])*DropAnalityka[[#This Row],[Quality/Quantity]],0)</f>
        <v>0</v>
      </c>
    </row>
    <row r="1558" spans="10:12">
      <c r="J15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8" s="43">
        <f>IFERROR(SUMIFS(Tabela10[Fod Worth],Tabela10[Drop],DropAnalityka[[#This Row],[Drop]],Tabela10[Grade],DropAnalityka[[#This Row],[Grade]])*DropAnalityka[[#This Row],[Quality/Quantity]],0)</f>
        <v>0</v>
      </c>
      <c r="L1558" s="43">
        <f>IFERROR(SUMIFS(Tabela10[Exp Gain only 2*+],Tabela10[Drop],DropAnalityka[[#This Row],[Drop]],Tabela10[Grade],DropAnalityka[[#This Row],[Grade]])*DropAnalityka[[#This Row],[Quality/Quantity]],0)</f>
        <v>0</v>
      </c>
    </row>
    <row r="1559" spans="10:12">
      <c r="J15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59" s="43">
        <f>IFERROR(SUMIFS(Tabela10[Fod Worth],Tabela10[Drop],DropAnalityka[[#This Row],[Drop]],Tabela10[Grade],DropAnalityka[[#This Row],[Grade]])*DropAnalityka[[#This Row],[Quality/Quantity]],0)</f>
        <v>0</v>
      </c>
      <c r="L1559" s="43">
        <f>IFERROR(SUMIFS(Tabela10[Exp Gain only 2*+],Tabela10[Drop],DropAnalityka[[#This Row],[Drop]],Tabela10[Grade],DropAnalityka[[#This Row],[Grade]])*DropAnalityka[[#This Row],[Quality/Quantity]],0)</f>
        <v>0</v>
      </c>
    </row>
    <row r="1560" spans="10:12">
      <c r="J15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0" s="43">
        <f>IFERROR(SUMIFS(Tabela10[Fod Worth],Tabela10[Drop],DropAnalityka[[#This Row],[Drop]],Tabela10[Grade],DropAnalityka[[#This Row],[Grade]])*DropAnalityka[[#This Row],[Quality/Quantity]],0)</f>
        <v>0</v>
      </c>
      <c r="L1560" s="43">
        <f>IFERROR(SUMIFS(Tabela10[Exp Gain only 2*+],Tabela10[Drop],DropAnalityka[[#This Row],[Drop]],Tabela10[Grade],DropAnalityka[[#This Row],[Grade]])*DropAnalityka[[#This Row],[Quality/Quantity]],0)</f>
        <v>0</v>
      </c>
    </row>
    <row r="1561" spans="10:12">
      <c r="J15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1" s="43">
        <f>IFERROR(SUMIFS(Tabela10[Fod Worth],Tabela10[Drop],DropAnalityka[[#This Row],[Drop]],Tabela10[Grade],DropAnalityka[[#This Row],[Grade]])*DropAnalityka[[#This Row],[Quality/Quantity]],0)</f>
        <v>0</v>
      </c>
      <c r="L1561" s="43">
        <f>IFERROR(SUMIFS(Tabela10[Exp Gain only 2*+],Tabela10[Drop],DropAnalityka[[#This Row],[Drop]],Tabela10[Grade],DropAnalityka[[#This Row],[Grade]])*DropAnalityka[[#This Row],[Quality/Quantity]],0)</f>
        <v>0</v>
      </c>
    </row>
    <row r="1562" spans="10:12">
      <c r="J15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2" s="43">
        <f>IFERROR(SUMIFS(Tabela10[Fod Worth],Tabela10[Drop],DropAnalityka[[#This Row],[Drop]],Tabela10[Grade],DropAnalityka[[#This Row],[Grade]])*DropAnalityka[[#This Row],[Quality/Quantity]],0)</f>
        <v>0</v>
      </c>
      <c r="L1562" s="43">
        <f>IFERROR(SUMIFS(Tabela10[Exp Gain only 2*+],Tabela10[Drop],DropAnalityka[[#This Row],[Drop]],Tabela10[Grade],DropAnalityka[[#This Row],[Grade]])*DropAnalityka[[#This Row],[Quality/Quantity]],0)</f>
        <v>0</v>
      </c>
    </row>
    <row r="1563" spans="10:12">
      <c r="J15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3" s="43">
        <f>IFERROR(SUMIFS(Tabela10[Fod Worth],Tabela10[Drop],DropAnalityka[[#This Row],[Drop]],Tabela10[Grade],DropAnalityka[[#This Row],[Grade]])*DropAnalityka[[#This Row],[Quality/Quantity]],0)</f>
        <v>0</v>
      </c>
      <c r="L1563" s="43">
        <f>IFERROR(SUMIFS(Tabela10[Exp Gain only 2*+],Tabela10[Drop],DropAnalityka[[#This Row],[Drop]],Tabela10[Grade],DropAnalityka[[#This Row],[Grade]])*DropAnalityka[[#This Row],[Quality/Quantity]],0)</f>
        <v>0</v>
      </c>
    </row>
    <row r="1564" spans="10:12">
      <c r="J15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4" s="43">
        <f>IFERROR(SUMIFS(Tabela10[Fod Worth],Tabela10[Drop],DropAnalityka[[#This Row],[Drop]],Tabela10[Grade],DropAnalityka[[#This Row],[Grade]])*DropAnalityka[[#This Row],[Quality/Quantity]],0)</f>
        <v>0</v>
      </c>
      <c r="L1564" s="43">
        <f>IFERROR(SUMIFS(Tabela10[Exp Gain only 2*+],Tabela10[Drop],DropAnalityka[[#This Row],[Drop]],Tabela10[Grade],DropAnalityka[[#This Row],[Grade]])*DropAnalityka[[#This Row],[Quality/Quantity]],0)</f>
        <v>0</v>
      </c>
    </row>
    <row r="1565" spans="10:12">
      <c r="J15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5" s="43">
        <f>IFERROR(SUMIFS(Tabela10[Fod Worth],Tabela10[Drop],DropAnalityka[[#This Row],[Drop]],Tabela10[Grade],DropAnalityka[[#This Row],[Grade]])*DropAnalityka[[#This Row],[Quality/Quantity]],0)</f>
        <v>0</v>
      </c>
      <c r="L1565" s="43">
        <f>IFERROR(SUMIFS(Tabela10[Exp Gain only 2*+],Tabela10[Drop],DropAnalityka[[#This Row],[Drop]],Tabela10[Grade],DropAnalityka[[#This Row],[Grade]])*DropAnalityka[[#This Row],[Quality/Quantity]],0)</f>
        <v>0</v>
      </c>
    </row>
    <row r="1566" spans="10:12">
      <c r="J15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6" s="43">
        <f>IFERROR(SUMIFS(Tabela10[Fod Worth],Tabela10[Drop],DropAnalityka[[#This Row],[Drop]],Tabela10[Grade],DropAnalityka[[#This Row],[Grade]])*DropAnalityka[[#This Row],[Quality/Quantity]],0)</f>
        <v>0</v>
      </c>
      <c r="L1566" s="43">
        <f>IFERROR(SUMIFS(Tabela10[Exp Gain only 2*+],Tabela10[Drop],DropAnalityka[[#This Row],[Drop]],Tabela10[Grade],DropAnalityka[[#This Row],[Grade]])*DropAnalityka[[#This Row],[Quality/Quantity]],0)</f>
        <v>0</v>
      </c>
    </row>
    <row r="1567" spans="10:12">
      <c r="J15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7" s="43">
        <f>IFERROR(SUMIFS(Tabela10[Fod Worth],Tabela10[Drop],DropAnalityka[[#This Row],[Drop]],Tabela10[Grade],DropAnalityka[[#This Row],[Grade]])*DropAnalityka[[#This Row],[Quality/Quantity]],0)</f>
        <v>0</v>
      </c>
      <c r="L1567" s="43">
        <f>IFERROR(SUMIFS(Tabela10[Exp Gain only 2*+],Tabela10[Drop],DropAnalityka[[#This Row],[Drop]],Tabela10[Grade],DropAnalityka[[#This Row],[Grade]])*DropAnalityka[[#This Row],[Quality/Quantity]],0)</f>
        <v>0</v>
      </c>
    </row>
    <row r="1568" spans="10:12">
      <c r="J15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8" s="43">
        <f>IFERROR(SUMIFS(Tabela10[Fod Worth],Tabela10[Drop],DropAnalityka[[#This Row],[Drop]],Tabela10[Grade],DropAnalityka[[#This Row],[Grade]])*DropAnalityka[[#This Row],[Quality/Quantity]],0)</f>
        <v>0</v>
      </c>
      <c r="L1568" s="43">
        <f>IFERROR(SUMIFS(Tabela10[Exp Gain only 2*+],Tabela10[Drop],DropAnalityka[[#This Row],[Drop]],Tabela10[Grade],DropAnalityka[[#This Row],[Grade]])*DropAnalityka[[#This Row],[Quality/Quantity]],0)</f>
        <v>0</v>
      </c>
    </row>
    <row r="1569" spans="10:12">
      <c r="J15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69" s="43">
        <f>IFERROR(SUMIFS(Tabela10[Fod Worth],Tabela10[Drop],DropAnalityka[[#This Row],[Drop]],Tabela10[Grade],DropAnalityka[[#This Row],[Grade]])*DropAnalityka[[#This Row],[Quality/Quantity]],0)</f>
        <v>0</v>
      </c>
      <c r="L1569" s="43">
        <f>IFERROR(SUMIFS(Tabela10[Exp Gain only 2*+],Tabela10[Drop],DropAnalityka[[#This Row],[Drop]],Tabela10[Grade],DropAnalityka[[#This Row],[Grade]])*DropAnalityka[[#This Row],[Quality/Quantity]],0)</f>
        <v>0</v>
      </c>
    </row>
    <row r="1570" spans="10:12">
      <c r="J15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0" s="43">
        <f>IFERROR(SUMIFS(Tabela10[Fod Worth],Tabela10[Drop],DropAnalityka[[#This Row],[Drop]],Tabela10[Grade],DropAnalityka[[#This Row],[Grade]])*DropAnalityka[[#This Row],[Quality/Quantity]],0)</f>
        <v>0</v>
      </c>
      <c r="L1570" s="43">
        <f>IFERROR(SUMIFS(Tabela10[Exp Gain only 2*+],Tabela10[Drop],DropAnalityka[[#This Row],[Drop]],Tabela10[Grade],DropAnalityka[[#This Row],[Grade]])*DropAnalityka[[#This Row],[Quality/Quantity]],0)</f>
        <v>0</v>
      </c>
    </row>
    <row r="1571" spans="10:12">
      <c r="J15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1" s="43">
        <f>IFERROR(SUMIFS(Tabela10[Fod Worth],Tabela10[Drop],DropAnalityka[[#This Row],[Drop]],Tabela10[Grade],DropAnalityka[[#This Row],[Grade]])*DropAnalityka[[#This Row],[Quality/Quantity]],0)</f>
        <v>0</v>
      </c>
      <c r="L1571" s="43">
        <f>IFERROR(SUMIFS(Tabela10[Exp Gain only 2*+],Tabela10[Drop],DropAnalityka[[#This Row],[Drop]],Tabela10[Grade],DropAnalityka[[#This Row],[Grade]])*DropAnalityka[[#This Row],[Quality/Quantity]],0)</f>
        <v>0</v>
      </c>
    </row>
    <row r="1572" spans="10:12">
      <c r="J15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2" s="43">
        <f>IFERROR(SUMIFS(Tabela10[Fod Worth],Tabela10[Drop],DropAnalityka[[#This Row],[Drop]],Tabela10[Grade],DropAnalityka[[#This Row],[Grade]])*DropAnalityka[[#This Row],[Quality/Quantity]],0)</f>
        <v>0</v>
      </c>
      <c r="L1572" s="43">
        <f>IFERROR(SUMIFS(Tabela10[Exp Gain only 2*+],Tabela10[Drop],DropAnalityka[[#This Row],[Drop]],Tabela10[Grade],DropAnalityka[[#This Row],[Grade]])*DropAnalityka[[#This Row],[Quality/Quantity]],0)</f>
        <v>0</v>
      </c>
    </row>
    <row r="1573" spans="10:12">
      <c r="J15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3" s="43">
        <f>IFERROR(SUMIFS(Tabela10[Fod Worth],Tabela10[Drop],DropAnalityka[[#This Row],[Drop]],Tabela10[Grade],DropAnalityka[[#This Row],[Grade]])*DropAnalityka[[#This Row],[Quality/Quantity]],0)</f>
        <v>0</v>
      </c>
      <c r="L1573" s="43">
        <f>IFERROR(SUMIFS(Tabela10[Exp Gain only 2*+],Tabela10[Drop],DropAnalityka[[#This Row],[Drop]],Tabela10[Grade],DropAnalityka[[#This Row],[Grade]])*DropAnalityka[[#This Row],[Quality/Quantity]],0)</f>
        <v>0</v>
      </c>
    </row>
    <row r="1574" spans="10:12">
      <c r="J15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4" s="43">
        <f>IFERROR(SUMIFS(Tabela10[Fod Worth],Tabela10[Drop],DropAnalityka[[#This Row],[Drop]],Tabela10[Grade],DropAnalityka[[#This Row],[Grade]])*DropAnalityka[[#This Row],[Quality/Quantity]],0)</f>
        <v>0</v>
      </c>
      <c r="L1574" s="43">
        <f>IFERROR(SUMIFS(Tabela10[Exp Gain only 2*+],Tabela10[Drop],DropAnalityka[[#This Row],[Drop]],Tabela10[Grade],DropAnalityka[[#This Row],[Grade]])*DropAnalityka[[#This Row],[Quality/Quantity]],0)</f>
        <v>0</v>
      </c>
    </row>
    <row r="1575" spans="10:12">
      <c r="J15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5" s="43">
        <f>IFERROR(SUMIFS(Tabela10[Fod Worth],Tabela10[Drop],DropAnalityka[[#This Row],[Drop]],Tabela10[Grade],DropAnalityka[[#This Row],[Grade]])*DropAnalityka[[#This Row],[Quality/Quantity]],0)</f>
        <v>0</v>
      </c>
      <c r="L1575" s="43">
        <f>IFERROR(SUMIFS(Tabela10[Exp Gain only 2*+],Tabela10[Drop],DropAnalityka[[#This Row],[Drop]],Tabela10[Grade],DropAnalityka[[#This Row],[Grade]])*DropAnalityka[[#This Row],[Quality/Quantity]],0)</f>
        <v>0</v>
      </c>
    </row>
    <row r="1576" spans="10:12">
      <c r="J15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6" s="43">
        <f>IFERROR(SUMIFS(Tabela10[Fod Worth],Tabela10[Drop],DropAnalityka[[#This Row],[Drop]],Tabela10[Grade],DropAnalityka[[#This Row],[Grade]])*DropAnalityka[[#This Row],[Quality/Quantity]],0)</f>
        <v>0</v>
      </c>
      <c r="L1576" s="43">
        <f>IFERROR(SUMIFS(Tabela10[Exp Gain only 2*+],Tabela10[Drop],DropAnalityka[[#This Row],[Drop]],Tabela10[Grade],DropAnalityka[[#This Row],[Grade]])*DropAnalityka[[#This Row],[Quality/Quantity]],0)</f>
        <v>0</v>
      </c>
    </row>
    <row r="1577" spans="10:12">
      <c r="J15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7" s="43">
        <f>IFERROR(SUMIFS(Tabela10[Fod Worth],Tabela10[Drop],DropAnalityka[[#This Row],[Drop]],Tabela10[Grade],DropAnalityka[[#This Row],[Grade]])*DropAnalityka[[#This Row],[Quality/Quantity]],0)</f>
        <v>0</v>
      </c>
      <c r="L1577" s="43">
        <f>IFERROR(SUMIFS(Tabela10[Exp Gain only 2*+],Tabela10[Drop],DropAnalityka[[#This Row],[Drop]],Tabela10[Grade],DropAnalityka[[#This Row],[Grade]])*DropAnalityka[[#This Row],[Quality/Quantity]],0)</f>
        <v>0</v>
      </c>
    </row>
    <row r="1578" spans="10:12">
      <c r="J15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8" s="43">
        <f>IFERROR(SUMIFS(Tabela10[Fod Worth],Tabela10[Drop],DropAnalityka[[#This Row],[Drop]],Tabela10[Grade],DropAnalityka[[#This Row],[Grade]])*DropAnalityka[[#This Row],[Quality/Quantity]],0)</f>
        <v>0</v>
      </c>
      <c r="L1578" s="43">
        <f>IFERROR(SUMIFS(Tabela10[Exp Gain only 2*+],Tabela10[Drop],DropAnalityka[[#This Row],[Drop]],Tabela10[Grade],DropAnalityka[[#This Row],[Grade]])*DropAnalityka[[#This Row],[Quality/Quantity]],0)</f>
        <v>0</v>
      </c>
    </row>
    <row r="1579" spans="10:12">
      <c r="J15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79" s="43">
        <f>IFERROR(SUMIFS(Tabela10[Fod Worth],Tabela10[Drop],DropAnalityka[[#This Row],[Drop]],Tabela10[Grade],DropAnalityka[[#This Row],[Grade]])*DropAnalityka[[#This Row],[Quality/Quantity]],0)</f>
        <v>0</v>
      </c>
      <c r="L1579" s="43">
        <f>IFERROR(SUMIFS(Tabela10[Exp Gain only 2*+],Tabela10[Drop],DropAnalityka[[#This Row],[Drop]],Tabela10[Grade],DropAnalityka[[#This Row],[Grade]])*DropAnalityka[[#This Row],[Quality/Quantity]],0)</f>
        <v>0</v>
      </c>
    </row>
    <row r="1580" spans="10:12">
      <c r="J15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0" s="43">
        <f>IFERROR(SUMIFS(Tabela10[Fod Worth],Tabela10[Drop],DropAnalityka[[#This Row],[Drop]],Tabela10[Grade],DropAnalityka[[#This Row],[Grade]])*DropAnalityka[[#This Row],[Quality/Quantity]],0)</f>
        <v>0</v>
      </c>
      <c r="L1580" s="43">
        <f>IFERROR(SUMIFS(Tabela10[Exp Gain only 2*+],Tabela10[Drop],DropAnalityka[[#This Row],[Drop]],Tabela10[Grade],DropAnalityka[[#This Row],[Grade]])*DropAnalityka[[#This Row],[Quality/Quantity]],0)</f>
        <v>0</v>
      </c>
    </row>
    <row r="1581" spans="10:12">
      <c r="J15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1" s="43">
        <f>IFERROR(SUMIFS(Tabela10[Fod Worth],Tabela10[Drop],DropAnalityka[[#This Row],[Drop]],Tabela10[Grade],DropAnalityka[[#This Row],[Grade]])*DropAnalityka[[#This Row],[Quality/Quantity]],0)</f>
        <v>0</v>
      </c>
      <c r="L1581" s="43">
        <f>IFERROR(SUMIFS(Tabela10[Exp Gain only 2*+],Tabela10[Drop],DropAnalityka[[#This Row],[Drop]],Tabela10[Grade],DropAnalityka[[#This Row],[Grade]])*DropAnalityka[[#This Row],[Quality/Quantity]],0)</f>
        <v>0</v>
      </c>
    </row>
    <row r="1582" spans="10:12">
      <c r="J15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2" s="43">
        <f>IFERROR(SUMIFS(Tabela10[Fod Worth],Tabela10[Drop],DropAnalityka[[#This Row],[Drop]],Tabela10[Grade],DropAnalityka[[#This Row],[Grade]])*DropAnalityka[[#This Row],[Quality/Quantity]],0)</f>
        <v>0</v>
      </c>
      <c r="L1582" s="43">
        <f>IFERROR(SUMIFS(Tabela10[Exp Gain only 2*+],Tabela10[Drop],DropAnalityka[[#This Row],[Drop]],Tabela10[Grade],DropAnalityka[[#This Row],[Grade]])*DropAnalityka[[#This Row],[Quality/Quantity]],0)</f>
        <v>0</v>
      </c>
    </row>
    <row r="1583" spans="10:12">
      <c r="J15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3" s="43">
        <f>IFERROR(SUMIFS(Tabela10[Fod Worth],Tabela10[Drop],DropAnalityka[[#This Row],[Drop]],Tabela10[Grade],DropAnalityka[[#This Row],[Grade]])*DropAnalityka[[#This Row],[Quality/Quantity]],0)</f>
        <v>0</v>
      </c>
      <c r="L1583" s="43">
        <f>IFERROR(SUMIFS(Tabela10[Exp Gain only 2*+],Tabela10[Drop],DropAnalityka[[#This Row],[Drop]],Tabela10[Grade],DropAnalityka[[#This Row],[Grade]])*DropAnalityka[[#This Row],[Quality/Quantity]],0)</f>
        <v>0</v>
      </c>
    </row>
    <row r="1584" spans="10:12">
      <c r="J15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4" s="43">
        <f>IFERROR(SUMIFS(Tabela10[Fod Worth],Tabela10[Drop],DropAnalityka[[#This Row],[Drop]],Tabela10[Grade],DropAnalityka[[#This Row],[Grade]])*DropAnalityka[[#This Row],[Quality/Quantity]],0)</f>
        <v>0</v>
      </c>
      <c r="L1584" s="43">
        <f>IFERROR(SUMIFS(Tabela10[Exp Gain only 2*+],Tabela10[Drop],DropAnalityka[[#This Row],[Drop]],Tabela10[Grade],DropAnalityka[[#This Row],[Grade]])*DropAnalityka[[#This Row],[Quality/Quantity]],0)</f>
        <v>0</v>
      </c>
    </row>
    <row r="1585" spans="10:12">
      <c r="J15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5" s="43">
        <f>IFERROR(SUMIFS(Tabela10[Fod Worth],Tabela10[Drop],DropAnalityka[[#This Row],[Drop]],Tabela10[Grade],DropAnalityka[[#This Row],[Grade]])*DropAnalityka[[#This Row],[Quality/Quantity]],0)</f>
        <v>0</v>
      </c>
      <c r="L1585" s="43">
        <f>IFERROR(SUMIFS(Tabela10[Exp Gain only 2*+],Tabela10[Drop],DropAnalityka[[#This Row],[Drop]],Tabela10[Grade],DropAnalityka[[#This Row],[Grade]])*DropAnalityka[[#This Row],[Quality/Quantity]],0)</f>
        <v>0</v>
      </c>
    </row>
    <row r="1586" spans="10:12">
      <c r="J15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6" s="43">
        <f>IFERROR(SUMIFS(Tabela10[Fod Worth],Tabela10[Drop],DropAnalityka[[#This Row],[Drop]],Tabela10[Grade],DropAnalityka[[#This Row],[Grade]])*DropAnalityka[[#This Row],[Quality/Quantity]],0)</f>
        <v>0</v>
      </c>
      <c r="L1586" s="43">
        <f>IFERROR(SUMIFS(Tabela10[Exp Gain only 2*+],Tabela10[Drop],DropAnalityka[[#This Row],[Drop]],Tabela10[Grade],DropAnalityka[[#This Row],[Grade]])*DropAnalityka[[#This Row],[Quality/Quantity]],0)</f>
        <v>0</v>
      </c>
    </row>
    <row r="1587" spans="10:12">
      <c r="J15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7" s="43">
        <f>IFERROR(SUMIFS(Tabela10[Fod Worth],Tabela10[Drop],DropAnalityka[[#This Row],[Drop]],Tabela10[Grade],DropAnalityka[[#This Row],[Grade]])*DropAnalityka[[#This Row],[Quality/Quantity]],0)</f>
        <v>0</v>
      </c>
      <c r="L1587" s="43">
        <f>IFERROR(SUMIFS(Tabela10[Exp Gain only 2*+],Tabela10[Drop],DropAnalityka[[#This Row],[Drop]],Tabela10[Grade],DropAnalityka[[#This Row],[Grade]])*DropAnalityka[[#This Row],[Quality/Quantity]],0)</f>
        <v>0</v>
      </c>
    </row>
    <row r="1588" spans="10:12">
      <c r="J15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8" s="43">
        <f>IFERROR(SUMIFS(Tabela10[Fod Worth],Tabela10[Drop],DropAnalityka[[#This Row],[Drop]],Tabela10[Grade],DropAnalityka[[#This Row],[Grade]])*DropAnalityka[[#This Row],[Quality/Quantity]],0)</f>
        <v>0</v>
      </c>
      <c r="L1588" s="43">
        <f>IFERROR(SUMIFS(Tabela10[Exp Gain only 2*+],Tabela10[Drop],DropAnalityka[[#This Row],[Drop]],Tabela10[Grade],DropAnalityka[[#This Row],[Grade]])*DropAnalityka[[#This Row],[Quality/Quantity]],0)</f>
        <v>0</v>
      </c>
    </row>
    <row r="1589" spans="10:12">
      <c r="J15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89" s="43">
        <f>IFERROR(SUMIFS(Tabela10[Fod Worth],Tabela10[Drop],DropAnalityka[[#This Row],[Drop]],Tabela10[Grade],DropAnalityka[[#This Row],[Grade]])*DropAnalityka[[#This Row],[Quality/Quantity]],0)</f>
        <v>0</v>
      </c>
      <c r="L1589" s="43">
        <f>IFERROR(SUMIFS(Tabela10[Exp Gain only 2*+],Tabela10[Drop],DropAnalityka[[#This Row],[Drop]],Tabela10[Grade],DropAnalityka[[#This Row],[Grade]])*DropAnalityka[[#This Row],[Quality/Quantity]],0)</f>
        <v>0</v>
      </c>
    </row>
    <row r="1590" spans="10:12">
      <c r="J15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0" s="43">
        <f>IFERROR(SUMIFS(Tabela10[Fod Worth],Tabela10[Drop],DropAnalityka[[#This Row],[Drop]],Tabela10[Grade],DropAnalityka[[#This Row],[Grade]])*DropAnalityka[[#This Row],[Quality/Quantity]],0)</f>
        <v>0</v>
      </c>
      <c r="L1590" s="43">
        <f>IFERROR(SUMIFS(Tabela10[Exp Gain only 2*+],Tabela10[Drop],DropAnalityka[[#This Row],[Drop]],Tabela10[Grade],DropAnalityka[[#This Row],[Grade]])*DropAnalityka[[#This Row],[Quality/Quantity]],0)</f>
        <v>0</v>
      </c>
    </row>
    <row r="1591" spans="10:12">
      <c r="J15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1" s="43">
        <f>IFERROR(SUMIFS(Tabela10[Fod Worth],Tabela10[Drop],DropAnalityka[[#This Row],[Drop]],Tabela10[Grade],DropAnalityka[[#This Row],[Grade]])*DropAnalityka[[#This Row],[Quality/Quantity]],0)</f>
        <v>0</v>
      </c>
      <c r="L1591" s="43">
        <f>IFERROR(SUMIFS(Tabela10[Exp Gain only 2*+],Tabela10[Drop],DropAnalityka[[#This Row],[Drop]],Tabela10[Grade],DropAnalityka[[#This Row],[Grade]])*DropAnalityka[[#This Row],[Quality/Quantity]],0)</f>
        <v>0</v>
      </c>
    </row>
    <row r="1592" spans="10:12">
      <c r="J15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2" s="43">
        <f>IFERROR(SUMIFS(Tabela10[Fod Worth],Tabela10[Drop],DropAnalityka[[#This Row],[Drop]],Tabela10[Grade],DropAnalityka[[#This Row],[Grade]])*DropAnalityka[[#This Row],[Quality/Quantity]],0)</f>
        <v>0</v>
      </c>
      <c r="L1592" s="43">
        <f>IFERROR(SUMIFS(Tabela10[Exp Gain only 2*+],Tabela10[Drop],DropAnalityka[[#This Row],[Drop]],Tabela10[Grade],DropAnalityka[[#This Row],[Grade]])*DropAnalityka[[#This Row],[Quality/Quantity]],0)</f>
        <v>0</v>
      </c>
    </row>
    <row r="1593" spans="10:12">
      <c r="J15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3" s="43">
        <f>IFERROR(SUMIFS(Tabela10[Fod Worth],Tabela10[Drop],DropAnalityka[[#This Row],[Drop]],Tabela10[Grade],DropAnalityka[[#This Row],[Grade]])*DropAnalityka[[#This Row],[Quality/Quantity]],0)</f>
        <v>0</v>
      </c>
      <c r="L1593" s="43">
        <f>IFERROR(SUMIFS(Tabela10[Exp Gain only 2*+],Tabela10[Drop],DropAnalityka[[#This Row],[Drop]],Tabela10[Grade],DropAnalityka[[#This Row],[Grade]])*DropAnalityka[[#This Row],[Quality/Quantity]],0)</f>
        <v>0</v>
      </c>
    </row>
    <row r="1594" spans="10:12">
      <c r="J15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4" s="43">
        <f>IFERROR(SUMIFS(Tabela10[Fod Worth],Tabela10[Drop],DropAnalityka[[#This Row],[Drop]],Tabela10[Grade],DropAnalityka[[#This Row],[Grade]])*DropAnalityka[[#This Row],[Quality/Quantity]],0)</f>
        <v>0</v>
      </c>
      <c r="L1594" s="43">
        <f>IFERROR(SUMIFS(Tabela10[Exp Gain only 2*+],Tabela10[Drop],DropAnalityka[[#This Row],[Drop]],Tabela10[Grade],DropAnalityka[[#This Row],[Grade]])*DropAnalityka[[#This Row],[Quality/Quantity]],0)</f>
        <v>0</v>
      </c>
    </row>
    <row r="1595" spans="10:12">
      <c r="J15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5" s="43">
        <f>IFERROR(SUMIFS(Tabela10[Fod Worth],Tabela10[Drop],DropAnalityka[[#This Row],[Drop]],Tabela10[Grade],DropAnalityka[[#This Row],[Grade]])*DropAnalityka[[#This Row],[Quality/Quantity]],0)</f>
        <v>0</v>
      </c>
      <c r="L1595" s="43">
        <f>IFERROR(SUMIFS(Tabela10[Exp Gain only 2*+],Tabela10[Drop],DropAnalityka[[#This Row],[Drop]],Tabela10[Grade],DropAnalityka[[#This Row],[Grade]])*DropAnalityka[[#This Row],[Quality/Quantity]],0)</f>
        <v>0</v>
      </c>
    </row>
    <row r="1596" spans="10:12">
      <c r="J15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6" s="43">
        <f>IFERROR(SUMIFS(Tabela10[Fod Worth],Tabela10[Drop],DropAnalityka[[#This Row],[Drop]],Tabela10[Grade],DropAnalityka[[#This Row],[Grade]])*DropAnalityka[[#This Row],[Quality/Quantity]],0)</f>
        <v>0</v>
      </c>
      <c r="L1596" s="43">
        <f>IFERROR(SUMIFS(Tabela10[Exp Gain only 2*+],Tabela10[Drop],DropAnalityka[[#This Row],[Drop]],Tabela10[Grade],DropAnalityka[[#This Row],[Grade]])*DropAnalityka[[#This Row],[Quality/Quantity]],0)</f>
        <v>0</v>
      </c>
    </row>
    <row r="1597" spans="10:12">
      <c r="J15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7" s="43">
        <f>IFERROR(SUMIFS(Tabela10[Fod Worth],Tabela10[Drop],DropAnalityka[[#This Row],[Drop]],Tabela10[Grade],DropAnalityka[[#This Row],[Grade]])*DropAnalityka[[#This Row],[Quality/Quantity]],0)</f>
        <v>0</v>
      </c>
      <c r="L1597" s="43">
        <f>IFERROR(SUMIFS(Tabela10[Exp Gain only 2*+],Tabela10[Drop],DropAnalityka[[#This Row],[Drop]],Tabela10[Grade],DropAnalityka[[#This Row],[Grade]])*DropAnalityka[[#This Row],[Quality/Quantity]],0)</f>
        <v>0</v>
      </c>
    </row>
    <row r="1598" spans="10:12">
      <c r="J15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8" s="43">
        <f>IFERROR(SUMIFS(Tabela10[Fod Worth],Tabela10[Drop],DropAnalityka[[#This Row],[Drop]],Tabela10[Grade],DropAnalityka[[#This Row],[Grade]])*DropAnalityka[[#This Row],[Quality/Quantity]],0)</f>
        <v>0</v>
      </c>
      <c r="L1598" s="43">
        <f>IFERROR(SUMIFS(Tabela10[Exp Gain only 2*+],Tabela10[Drop],DropAnalityka[[#This Row],[Drop]],Tabela10[Grade],DropAnalityka[[#This Row],[Grade]])*DropAnalityka[[#This Row],[Quality/Quantity]],0)</f>
        <v>0</v>
      </c>
    </row>
    <row r="1599" spans="10:12">
      <c r="J15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599" s="43">
        <f>IFERROR(SUMIFS(Tabela10[Fod Worth],Tabela10[Drop],DropAnalityka[[#This Row],[Drop]],Tabela10[Grade],DropAnalityka[[#This Row],[Grade]])*DropAnalityka[[#This Row],[Quality/Quantity]],0)</f>
        <v>0</v>
      </c>
      <c r="L1599" s="43">
        <f>IFERROR(SUMIFS(Tabela10[Exp Gain only 2*+],Tabela10[Drop],DropAnalityka[[#This Row],[Drop]],Tabela10[Grade],DropAnalityka[[#This Row],[Grade]])*DropAnalityka[[#This Row],[Quality/Quantity]],0)</f>
        <v>0</v>
      </c>
    </row>
    <row r="1600" spans="10:12">
      <c r="J16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0" s="43">
        <f>IFERROR(SUMIFS(Tabela10[Fod Worth],Tabela10[Drop],DropAnalityka[[#This Row],[Drop]],Tabela10[Grade],DropAnalityka[[#This Row],[Grade]])*DropAnalityka[[#This Row],[Quality/Quantity]],0)</f>
        <v>0</v>
      </c>
      <c r="L1600" s="43">
        <f>IFERROR(SUMIFS(Tabela10[Exp Gain only 2*+],Tabela10[Drop],DropAnalityka[[#This Row],[Drop]],Tabela10[Grade],DropAnalityka[[#This Row],[Grade]])*DropAnalityka[[#This Row],[Quality/Quantity]],0)</f>
        <v>0</v>
      </c>
    </row>
    <row r="1601" spans="10:12">
      <c r="J16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1" s="43">
        <f>IFERROR(SUMIFS(Tabela10[Fod Worth],Tabela10[Drop],DropAnalityka[[#This Row],[Drop]],Tabela10[Grade],DropAnalityka[[#This Row],[Grade]])*DropAnalityka[[#This Row],[Quality/Quantity]],0)</f>
        <v>0</v>
      </c>
      <c r="L1601" s="43">
        <f>IFERROR(SUMIFS(Tabela10[Exp Gain only 2*+],Tabela10[Drop],DropAnalityka[[#This Row],[Drop]],Tabela10[Grade],DropAnalityka[[#This Row],[Grade]])*DropAnalityka[[#This Row],[Quality/Quantity]],0)</f>
        <v>0</v>
      </c>
    </row>
    <row r="1602" spans="10:12">
      <c r="J16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2" s="43">
        <f>IFERROR(SUMIFS(Tabela10[Fod Worth],Tabela10[Drop],DropAnalityka[[#This Row],[Drop]],Tabela10[Grade],DropAnalityka[[#This Row],[Grade]])*DropAnalityka[[#This Row],[Quality/Quantity]],0)</f>
        <v>0</v>
      </c>
      <c r="L1602" s="43">
        <f>IFERROR(SUMIFS(Tabela10[Exp Gain only 2*+],Tabela10[Drop],DropAnalityka[[#This Row],[Drop]],Tabela10[Grade],DropAnalityka[[#This Row],[Grade]])*DropAnalityka[[#This Row],[Quality/Quantity]],0)</f>
        <v>0</v>
      </c>
    </row>
    <row r="1603" spans="10:12">
      <c r="J16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3" s="43">
        <f>IFERROR(SUMIFS(Tabela10[Fod Worth],Tabela10[Drop],DropAnalityka[[#This Row],[Drop]],Tabela10[Grade],DropAnalityka[[#This Row],[Grade]])*DropAnalityka[[#This Row],[Quality/Quantity]],0)</f>
        <v>0</v>
      </c>
      <c r="L1603" s="43">
        <f>IFERROR(SUMIFS(Tabela10[Exp Gain only 2*+],Tabela10[Drop],DropAnalityka[[#This Row],[Drop]],Tabela10[Grade],DropAnalityka[[#This Row],[Grade]])*DropAnalityka[[#This Row],[Quality/Quantity]],0)</f>
        <v>0</v>
      </c>
    </row>
    <row r="1604" spans="10:12">
      <c r="J16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4" s="43">
        <f>IFERROR(SUMIFS(Tabela10[Fod Worth],Tabela10[Drop],DropAnalityka[[#This Row],[Drop]],Tabela10[Grade],DropAnalityka[[#This Row],[Grade]])*DropAnalityka[[#This Row],[Quality/Quantity]],0)</f>
        <v>0</v>
      </c>
      <c r="L1604" s="43">
        <f>IFERROR(SUMIFS(Tabela10[Exp Gain only 2*+],Tabela10[Drop],DropAnalityka[[#This Row],[Drop]],Tabela10[Grade],DropAnalityka[[#This Row],[Grade]])*DropAnalityka[[#This Row],[Quality/Quantity]],0)</f>
        <v>0</v>
      </c>
    </row>
    <row r="1605" spans="10:12">
      <c r="J16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5" s="43">
        <f>IFERROR(SUMIFS(Tabela10[Fod Worth],Tabela10[Drop],DropAnalityka[[#This Row],[Drop]],Tabela10[Grade],DropAnalityka[[#This Row],[Grade]])*DropAnalityka[[#This Row],[Quality/Quantity]],0)</f>
        <v>0</v>
      </c>
      <c r="L1605" s="43">
        <f>IFERROR(SUMIFS(Tabela10[Exp Gain only 2*+],Tabela10[Drop],DropAnalityka[[#This Row],[Drop]],Tabela10[Grade],DropAnalityka[[#This Row],[Grade]])*DropAnalityka[[#This Row],[Quality/Quantity]],0)</f>
        <v>0</v>
      </c>
    </row>
    <row r="1606" spans="10:12">
      <c r="J16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6" s="43">
        <f>IFERROR(SUMIFS(Tabela10[Fod Worth],Tabela10[Drop],DropAnalityka[[#This Row],[Drop]],Tabela10[Grade],DropAnalityka[[#This Row],[Grade]])*DropAnalityka[[#This Row],[Quality/Quantity]],0)</f>
        <v>0</v>
      </c>
      <c r="L1606" s="43">
        <f>IFERROR(SUMIFS(Tabela10[Exp Gain only 2*+],Tabela10[Drop],DropAnalityka[[#This Row],[Drop]],Tabela10[Grade],DropAnalityka[[#This Row],[Grade]])*DropAnalityka[[#This Row],[Quality/Quantity]],0)</f>
        <v>0</v>
      </c>
    </row>
    <row r="1607" spans="10:12">
      <c r="J16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7" s="43">
        <f>IFERROR(SUMIFS(Tabela10[Fod Worth],Tabela10[Drop],DropAnalityka[[#This Row],[Drop]],Tabela10[Grade],DropAnalityka[[#This Row],[Grade]])*DropAnalityka[[#This Row],[Quality/Quantity]],0)</f>
        <v>0</v>
      </c>
      <c r="L1607" s="43">
        <f>IFERROR(SUMIFS(Tabela10[Exp Gain only 2*+],Tabela10[Drop],DropAnalityka[[#This Row],[Drop]],Tabela10[Grade],DropAnalityka[[#This Row],[Grade]])*DropAnalityka[[#This Row],[Quality/Quantity]],0)</f>
        <v>0</v>
      </c>
    </row>
    <row r="1608" spans="10:12">
      <c r="J160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8" s="43">
        <f>IFERROR(SUMIFS(Tabela10[Fod Worth],Tabela10[Drop],DropAnalityka[[#This Row],[Drop]],Tabela10[Grade],DropAnalityka[[#This Row],[Grade]])*DropAnalityka[[#This Row],[Quality/Quantity]],0)</f>
        <v>0</v>
      </c>
      <c r="L1608" s="43">
        <f>IFERROR(SUMIFS(Tabela10[Exp Gain only 2*+],Tabela10[Drop],DropAnalityka[[#This Row],[Drop]],Tabela10[Grade],DropAnalityka[[#This Row],[Grade]])*DropAnalityka[[#This Row],[Quality/Quantity]],0)</f>
        <v>0</v>
      </c>
    </row>
    <row r="1609" spans="10:12">
      <c r="J16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09" s="43">
        <f>IFERROR(SUMIFS(Tabela10[Fod Worth],Tabela10[Drop],DropAnalityka[[#This Row],[Drop]],Tabela10[Grade],DropAnalityka[[#This Row],[Grade]])*DropAnalityka[[#This Row],[Quality/Quantity]],0)</f>
        <v>0</v>
      </c>
      <c r="L1609" s="43">
        <f>IFERROR(SUMIFS(Tabela10[Exp Gain only 2*+],Tabela10[Drop],DropAnalityka[[#This Row],[Drop]],Tabela10[Grade],DropAnalityka[[#This Row],[Grade]])*DropAnalityka[[#This Row],[Quality/Quantity]],0)</f>
        <v>0</v>
      </c>
    </row>
    <row r="1610" spans="10:12">
      <c r="J16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0" s="43">
        <f>IFERROR(SUMIFS(Tabela10[Fod Worth],Tabela10[Drop],DropAnalityka[[#This Row],[Drop]],Tabela10[Grade],DropAnalityka[[#This Row],[Grade]])*DropAnalityka[[#This Row],[Quality/Quantity]],0)</f>
        <v>0</v>
      </c>
      <c r="L1610" s="43">
        <f>IFERROR(SUMIFS(Tabela10[Exp Gain only 2*+],Tabela10[Drop],DropAnalityka[[#This Row],[Drop]],Tabela10[Grade],DropAnalityka[[#This Row],[Grade]])*DropAnalityka[[#This Row],[Quality/Quantity]],0)</f>
        <v>0</v>
      </c>
    </row>
    <row r="1611" spans="10:12">
      <c r="J16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1" s="43">
        <f>IFERROR(SUMIFS(Tabela10[Fod Worth],Tabela10[Drop],DropAnalityka[[#This Row],[Drop]],Tabela10[Grade],DropAnalityka[[#This Row],[Grade]])*DropAnalityka[[#This Row],[Quality/Quantity]],0)</f>
        <v>0</v>
      </c>
      <c r="L1611" s="43">
        <f>IFERROR(SUMIFS(Tabela10[Exp Gain only 2*+],Tabela10[Drop],DropAnalityka[[#This Row],[Drop]],Tabela10[Grade],DropAnalityka[[#This Row],[Grade]])*DropAnalityka[[#This Row],[Quality/Quantity]],0)</f>
        <v>0</v>
      </c>
    </row>
    <row r="1612" spans="10:12">
      <c r="J16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2" s="43">
        <f>IFERROR(SUMIFS(Tabela10[Fod Worth],Tabela10[Drop],DropAnalityka[[#This Row],[Drop]],Tabela10[Grade],DropAnalityka[[#This Row],[Grade]])*DropAnalityka[[#This Row],[Quality/Quantity]],0)</f>
        <v>0</v>
      </c>
      <c r="L1612" s="43">
        <f>IFERROR(SUMIFS(Tabela10[Exp Gain only 2*+],Tabela10[Drop],DropAnalityka[[#This Row],[Drop]],Tabela10[Grade],DropAnalityka[[#This Row],[Grade]])*DropAnalityka[[#This Row],[Quality/Quantity]],0)</f>
        <v>0</v>
      </c>
    </row>
    <row r="1613" spans="10:12">
      <c r="J16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3" s="43">
        <f>IFERROR(SUMIFS(Tabela10[Fod Worth],Tabela10[Drop],DropAnalityka[[#This Row],[Drop]],Tabela10[Grade],DropAnalityka[[#This Row],[Grade]])*DropAnalityka[[#This Row],[Quality/Quantity]],0)</f>
        <v>0</v>
      </c>
      <c r="L1613" s="43">
        <f>IFERROR(SUMIFS(Tabela10[Exp Gain only 2*+],Tabela10[Drop],DropAnalityka[[#This Row],[Drop]],Tabela10[Grade],DropAnalityka[[#This Row],[Grade]])*DropAnalityka[[#This Row],[Quality/Quantity]],0)</f>
        <v>0</v>
      </c>
    </row>
    <row r="1614" spans="10:12">
      <c r="J16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4" s="43">
        <f>IFERROR(SUMIFS(Tabela10[Fod Worth],Tabela10[Drop],DropAnalityka[[#This Row],[Drop]],Tabela10[Grade],DropAnalityka[[#This Row],[Grade]])*DropAnalityka[[#This Row],[Quality/Quantity]],0)</f>
        <v>0</v>
      </c>
      <c r="L1614" s="43">
        <f>IFERROR(SUMIFS(Tabela10[Exp Gain only 2*+],Tabela10[Drop],DropAnalityka[[#This Row],[Drop]],Tabela10[Grade],DropAnalityka[[#This Row],[Grade]])*DropAnalityka[[#This Row],[Quality/Quantity]],0)</f>
        <v>0</v>
      </c>
    </row>
    <row r="1615" spans="10:12">
      <c r="J16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5" s="43">
        <f>IFERROR(SUMIFS(Tabela10[Fod Worth],Tabela10[Drop],DropAnalityka[[#This Row],[Drop]],Tabela10[Grade],DropAnalityka[[#This Row],[Grade]])*DropAnalityka[[#This Row],[Quality/Quantity]],0)</f>
        <v>0</v>
      </c>
      <c r="L1615" s="43">
        <f>IFERROR(SUMIFS(Tabela10[Exp Gain only 2*+],Tabela10[Drop],DropAnalityka[[#This Row],[Drop]],Tabela10[Grade],DropAnalityka[[#This Row],[Grade]])*DropAnalityka[[#This Row],[Quality/Quantity]],0)</f>
        <v>0</v>
      </c>
    </row>
    <row r="1616" spans="10:12">
      <c r="J16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6" s="43">
        <f>IFERROR(SUMIFS(Tabela10[Fod Worth],Tabela10[Drop],DropAnalityka[[#This Row],[Drop]],Tabela10[Grade],DropAnalityka[[#This Row],[Grade]])*DropAnalityka[[#This Row],[Quality/Quantity]],0)</f>
        <v>0</v>
      </c>
      <c r="L1616" s="43">
        <f>IFERROR(SUMIFS(Tabela10[Exp Gain only 2*+],Tabela10[Drop],DropAnalityka[[#This Row],[Drop]],Tabela10[Grade],DropAnalityka[[#This Row],[Grade]])*DropAnalityka[[#This Row],[Quality/Quantity]],0)</f>
        <v>0</v>
      </c>
    </row>
    <row r="1617" spans="10:12">
      <c r="J16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7" s="43">
        <f>IFERROR(SUMIFS(Tabela10[Fod Worth],Tabela10[Drop],DropAnalityka[[#This Row],[Drop]],Tabela10[Grade],DropAnalityka[[#This Row],[Grade]])*DropAnalityka[[#This Row],[Quality/Quantity]],0)</f>
        <v>0</v>
      </c>
      <c r="L1617" s="43">
        <f>IFERROR(SUMIFS(Tabela10[Exp Gain only 2*+],Tabela10[Drop],DropAnalityka[[#This Row],[Drop]],Tabela10[Grade],DropAnalityka[[#This Row],[Grade]])*DropAnalityka[[#This Row],[Quality/Quantity]],0)</f>
        <v>0</v>
      </c>
    </row>
    <row r="1618" spans="10:12">
      <c r="J16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8" s="43">
        <f>IFERROR(SUMIFS(Tabela10[Fod Worth],Tabela10[Drop],DropAnalityka[[#This Row],[Drop]],Tabela10[Grade],DropAnalityka[[#This Row],[Grade]])*DropAnalityka[[#This Row],[Quality/Quantity]],0)</f>
        <v>0</v>
      </c>
      <c r="L1618" s="43">
        <f>IFERROR(SUMIFS(Tabela10[Exp Gain only 2*+],Tabela10[Drop],DropAnalityka[[#This Row],[Drop]],Tabela10[Grade],DropAnalityka[[#This Row],[Grade]])*DropAnalityka[[#This Row],[Quality/Quantity]],0)</f>
        <v>0</v>
      </c>
    </row>
    <row r="1619" spans="10:12">
      <c r="J16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19" s="43">
        <f>IFERROR(SUMIFS(Tabela10[Fod Worth],Tabela10[Drop],DropAnalityka[[#This Row],[Drop]],Tabela10[Grade],DropAnalityka[[#This Row],[Grade]])*DropAnalityka[[#This Row],[Quality/Quantity]],0)</f>
        <v>0</v>
      </c>
      <c r="L1619" s="43">
        <f>IFERROR(SUMIFS(Tabela10[Exp Gain only 2*+],Tabela10[Drop],DropAnalityka[[#This Row],[Drop]],Tabela10[Grade],DropAnalityka[[#This Row],[Grade]])*DropAnalityka[[#This Row],[Quality/Quantity]],0)</f>
        <v>0</v>
      </c>
    </row>
    <row r="1620" spans="10:12">
      <c r="J16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0" s="43">
        <f>IFERROR(SUMIFS(Tabela10[Fod Worth],Tabela10[Drop],DropAnalityka[[#This Row],[Drop]],Tabela10[Grade],DropAnalityka[[#This Row],[Grade]])*DropAnalityka[[#This Row],[Quality/Quantity]],0)</f>
        <v>0</v>
      </c>
      <c r="L1620" s="43">
        <f>IFERROR(SUMIFS(Tabela10[Exp Gain only 2*+],Tabela10[Drop],DropAnalityka[[#This Row],[Drop]],Tabela10[Grade],DropAnalityka[[#This Row],[Grade]])*DropAnalityka[[#This Row],[Quality/Quantity]],0)</f>
        <v>0</v>
      </c>
    </row>
    <row r="1621" spans="10:12">
      <c r="J16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1" s="43">
        <f>IFERROR(SUMIFS(Tabela10[Fod Worth],Tabela10[Drop],DropAnalityka[[#This Row],[Drop]],Tabela10[Grade],DropAnalityka[[#This Row],[Grade]])*DropAnalityka[[#This Row],[Quality/Quantity]],0)</f>
        <v>0</v>
      </c>
      <c r="L1621" s="43">
        <f>IFERROR(SUMIFS(Tabela10[Exp Gain only 2*+],Tabela10[Drop],DropAnalityka[[#This Row],[Drop]],Tabela10[Grade],DropAnalityka[[#This Row],[Grade]])*DropAnalityka[[#This Row],[Quality/Quantity]],0)</f>
        <v>0</v>
      </c>
    </row>
    <row r="1622" spans="10:12">
      <c r="J16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2" s="43">
        <f>IFERROR(SUMIFS(Tabela10[Fod Worth],Tabela10[Drop],DropAnalityka[[#This Row],[Drop]],Tabela10[Grade],DropAnalityka[[#This Row],[Grade]])*DropAnalityka[[#This Row],[Quality/Quantity]],0)</f>
        <v>0</v>
      </c>
      <c r="L1622" s="43">
        <f>IFERROR(SUMIFS(Tabela10[Exp Gain only 2*+],Tabela10[Drop],DropAnalityka[[#This Row],[Drop]],Tabela10[Grade],DropAnalityka[[#This Row],[Grade]])*DropAnalityka[[#This Row],[Quality/Quantity]],0)</f>
        <v>0</v>
      </c>
    </row>
    <row r="1623" spans="10:12">
      <c r="J16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3" s="43">
        <f>IFERROR(SUMIFS(Tabela10[Fod Worth],Tabela10[Drop],DropAnalityka[[#This Row],[Drop]],Tabela10[Grade],DropAnalityka[[#This Row],[Grade]])*DropAnalityka[[#This Row],[Quality/Quantity]],0)</f>
        <v>0</v>
      </c>
      <c r="L1623" s="43">
        <f>IFERROR(SUMIFS(Tabela10[Exp Gain only 2*+],Tabela10[Drop],DropAnalityka[[#This Row],[Drop]],Tabela10[Grade],DropAnalityka[[#This Row],[Grade]])*DropAnalityka[[#This Row],[Quality/Quantity]],0)</f>
        <v>0</v>
      </c>
    </row>
    <row r="1624" spans="10:12">
      <c r="J16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4" s="43">
        <f>IFERROR(SUMIFS(Tabela10[Fod Worth],Tabela10[Drop],DropAnalityka[[#This Row],[Drop]],Tabela10[Grade],DropAnalityka[[#This Row],[Grade]])*DropAnalityka[[#This Row],[Quality/Quantity]],0)</f>
        <v>0</v>
      </c>
      <c r="L1624" s="43">
        <f>IFERROR(SUMIFS(Tabela10[Exp Gain only 2*+],Tabela10[Drop],DropAnalityka[[#This Row],[Drop]],Tabela10[Grade],DropAnalityka[[#This Row],[Grade]])*DropAnalityka[[#This Row],[Quality/Quantity]],0)</f>
        <v>0</v>
      </c>
    </row>
    <row r="1625" spans="10:12">
      <c r="J16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5" s="43">
        <f>IFERROR(SUMIFS(Tabela10[Fod Worth],Tabela10[Drop],DropAnalityka[[#This Row],[Drop]],Tabela10[Grade],DropAnalityka[[#This Row],[Grade]])*DropAnalityka[[#This Row],[Quality/Quantity]],0)</f>
        <v>0</v>
      </c>
      <c r="L1625" s="43">
        <f>IFERROR(SUMIFS(Tabela10[Exp Gain only 2*+],Tabela10[Drop],DropAnalityka[[#This Row],[Drop]],Tabela10[Grade],DropAnalityka[[#This Row],[Grade]])*DropAnalityka[[#This Row],[Quality/Quantity]],0)</f>
        <v>0</v>
      </c>
    </row>
    <row r="1626" spans="10:12">
      <c r="J16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6" s="43">
        <f>IFERROR(SUMIFS(Tabela10[Fod Worth],Tabela10[Drop],DropAnalityka[[#This Row],[Drop]],Tabela10[Grade],DropAnalityka[[#This Row],[Grade]])*DropAnalityka[[#This Row],[Quality/Quantity]],0)</f>
        <v>0</v>
      </c>
      <c r="L1626" s="43">
        <f>IFERROR(SUMIFS(Tabela10[Exp Gain only 2*+],Tabela10[Drop],DropAnalityka[[#This Row],[Drop]],Tabela10[Grade],DropAnalityka[[#This Row],[Grade]])*DropAnalityka[[#This Row],[Quality/Quantity]],0)</f>
        <v>0</v>
      </c>
    </row>
    <row r="1627" spans="10:12">
      <c r="J16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7" s="43">
        <f>IFERROR(SUMIFS(Tabela10[Fod Worth],Tabela10[Drop],DropAnalityka[[#This Row],[Drop]],Tabela10[Grade],DropAnalityka[[#This Row],[Grade]])*DropAnalityka[[#This Row],[Quality/Quantity]],0)</f>
        <v>0</v>
      </c>
      <c r="L1627" s="43">
        <f>IFERROR(SUMIFS(Tabela10[Exp Gain only 2*+],Tabela10[Drop],DropAnalityka[[#This Row],[Drop]],Tabela10[Grade],DropAnalityka[[#This Row],[Grade]])*DropAnalityka[[#This Row],[Quality/Quantity]],0)</f>
        <v>0</v>
      </c>
    </row>
    <row r="1628" spans="10:12">
      <c r="J16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8" s="43">
        <f>IFERROR(SUMIFS(Tabela10[Fod Worth],Tabela10[Drop],DropAnalityka[[#This Row],[Drop]],Tabela10[Grade],DropAnalityka[[#This Row],[Grade]])*DropAnalityka[[#This Row],[Quality/Quantity]],0)</f>
        <v>0</v>
      </c>
      <c r="L1628" s="43">
        <f>IFERROR(SUMIFS(Tabela10[Exp Gain only 2*+],Tabela10[Drop],DropAnalityka[[#This Row],[Drop]],Tabela10[Grade],DropAnalityka[[#This Row],[Grade]])*DropAnalityka[[#This Row],[Quality/Quantity]],0)</f>
        <v>0</v>
      </c>
    </row>
    <row r="1629" spans="10:12">
      <c r="J16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29" s="43">
        <f>IFERROR(SUMIFS(Tabela10[Fod Worth],Tabela10[Drop],DropAnalityka[[#This Row],[Drop]],Tabela10[Grade],DropAnalityka[[#This Row],[Grade]])*DropAnalityka[[#This Row],[Quality/Quantity]],0)</f>
        <v>0</v>
      </c>
      <c r="L1629" s="43">
        <f>IFERROR(SUMIFS(Tabela10[Exp Gain only 2*+],Tabela10[Drop],DropAnalityka[[#This Row],[Drop]],Tabela10[Grade],DropAnalityka[[#This Row],[Grade]])*DropAnalityka[[#This Row],[Quality/Quantity]],0)</f>
        <v>0</v>
      </c>
    </row>
    <row r="1630" spans="10:12">
      <c r="J16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0" s="43">
        <f>IFERROR(SUMIFS(Tabela10[Fod Worth],Tabela10[Drop],DropAnalityka[[#This Row],[Drop]],Tabela10[Grade],DropAnalityka[[#This Row],[Grade]])*DropAnalityka[[#This Row],[Quality/Quantity]],0)</f>
        <v>0</v>
      </c>
      <c r="L1630" s="43">
        <f>IFERROR(SUMIFS(Tabela10[Exp Gain only 2*+],Tabela10[Drop],DropAnalityka[[#This Row],[Drop]],Tabela10[Grade],DropAnalityka[[#This Row],[Grade]])*DropAnalityka[[#This Row],[Quality/Quantity]],0)</f>
        <v>0</v>
      </c>
    </row>
    <row r="1631" spans="10:12">
      <c r="J16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1" s="43">
        <f>IFERROR(SUMIFS(Tabela10[Fod Worth],Tabela10[Drop],DropAnalityka[[#This Row],[Drop]],Tabela10[Grade],DropAnalityka[[#This Row],[Grade]])*DropAnalityka[[#This Row],[Quality/Quantity]],0)</f>
        <v>0</v>
      </c>
      <c r="L1631" s="43">
        <f>IFERROR(SUMIFS(Tabela10[Exp Gain only 2*+],Tabela10[Drop],DropAnalityka[[#This Row],[Drop]],Tabela10[Grade],DropAnalityka[[#This Row],[Grade]])*DropAnalityka[[#This Row],[Quality/Quantity]],0)</f>
        <v>0</v>
      </c>
    </row>
    <row r="1632" spans="10:12">
      <c r="J16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2" s="43">
        <f>IFERROR(SUMIFS(Tabela10[Fod Worth],Tabela10[Drop],DropAnalityka[[#This Row],[Drop]],Tabela10[Grade],DropAnalityka[[#This Row],[Grade]])*DropAnalityka[[#This Row],[Quality/Quantity]],0)</f>
        <v>0</v>
      </c>
      <c r="L1632" s="43">
        <f>IFERROR(SUMIFS(Tabela10[Exp Gain only 2*+],Tabela10[Drop],DropAnalityka[[#This Row],[Drop]],Tabela10[Grade],DropAnalityka[[#This Row],[Grade]])*DropAnalityka[[#This Row],[Quality/Quantity]],0)</f>
        <v>0</v>
      </c>
    </row>
    <row r="1633" spans="10:12">
      <c r="J16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3" s="43">
        <f>IFERROR(SUMIFS(Tabela10[Fod Worth],Tabela10[Drop],DropAnalityka[[#This Row],[Drop]],Tabela10[Grade],DropAnalityka[[#This Row],[Grade]])*DropAnalityka[[#This Row],[Quality/Quantity]],0)</f>
        <v>0</v>
      </c>
      <c r="L1633" s="43">
        <f>IFERROR(SUMIFS(Tabela10[Exp Gain only 2*+],Tabela10[Drop],DropAnalityka[[#This Row],[Drop]],Tabela10[Grade],DropAnalityka[[#This Row],[Grade]])*DropAnalityka[[#This Row],[Quality/Quantity]],0)</f>
        <v>0</v>
      </c>
    </row>
    <row r="1634" spans="10:12">
      <c r="J16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4" s="43">
        <f>IFERROR(SUMIFS(Tabela10[Fod Worth],Tabela10[Drop],DropAnalityka[[#This Row],[Drop]],Tabela10[Grade],DropAnalityka[[#This Row],[Grade]])*DropAnalityka[[#This Row],[Quality/Quantity]],0)</f>
        <v>0</v>
      </c>
      <c r="L1634" s="43">
        <f>IFERROR(SUMIFS(Tabela10[Exp Gain only 2*+],Tabela10[Drop],DropAnalityka[[#This Row],[Drop]],Tabela10[Grade],DropAnalityka[[#This Row],[Grade]])*DropAnalityka[[#This Row],[Quality/Quantity]],0)</f>
        <v>0</v>
      </c>
    </row>
    <row r="1635" spans="10:12">
      <c r="J16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5" s="43">
        <f>IFERROR(SUMIFS(Tabela10[Fod Worth],Tabela10[Drop],DropAnalityka[[#This Row],[Drop]],Tabela10[Grade],DropAnalityka[[#This Row],[Grade]])*DropAnalityka[[#This Row],[Quality/Quantity]],0)</f>
        <v>0</v>
      </c>
      <c r="L1635" s="43">
        <f>IFERROR(SUMIFS(Tabela10[Exp Gain only 2*+],Tabela10[Drop],DropAnalityka[[#This Row],[Drop]],Tabela10[Grade],DropAnalityka[[#This Row],[Grade]])*DropAnalityka[[#This Row],[Quality/Quantity]],0)</f>
        <v>0</v>
      </c>
    </row>
    <row r="1636" spans="10:12">
      <c r="J16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6" s="43">
        <f>IFERROR(SUMIFS(Tabela10[Fod Worth],Tabela10[Drop],DropAnalityka[[#This Row],[Drop]],Tabela10[Grade],DropAnalityka[[#This Row],[Grade]])*DropAnalityka[[#This Row],[Quality/Quantity]],0)</f>
        <v>0</v>
      </c>
      <c r="L1636" s="43">
        <f>IFERROR(SUMIFS(Tabela10[Exp Gain only 2*+],Tabela10[Drop],DropAnalityka[[#This Row],[Drop]],Tabela10[Grade],DropAnalityka[[#This Row],[Grade]])*DropAnalityka[[#This Row],[Quality/Quantity]],0)</f>
        <v>0</v>
      </c>
    </row>
    <row r="1637" spans="10:12">
      <c r="J16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7" s="43">
        <f>IFERROR(SUMIFS(Tabela10[Fod Worth],Tabela10[Drop],DropAnalityka[[#This Row],[Drop]],Tabela10[Grade],DropAnalityka[[#This Row],[Grade]])*DropAnalityka[[#This Row],[Quality/Quantity]],0)</f>
        <v>0</v>
      </c>
      <c r="L1637" s="43">
        <f>IFERROR(SUMIFS(Tabela10[Exp Gain only 2*+],Tabela10[Drop],DropAnalityka[[#This Row],[Drop]],Tabela10[Grade],DropAnalityka[[#This Row],[Grade]])*DropAnalityka[[#This Row],[Quality/Quantity]],0)</f>
        <v>0</v>
      </c>
    </row>
    <row r="1638" spans="10:12">
      <c r="J16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8" s="43">
        <f>IFERROR(SUMIFS(Tabela10[Fod Worth],Tabela10[Drop],DropAnalityka[[#This Row],[Drop]],Tabela10[Grade],DropAnalityka[[#This Row],[Grade]])*DropAnalityka[[#This Row],[Quality/Quantity]],0)</f>
        <v>0</v>
      </c>
      <c r="L1638" s="43">
        <f>IFERROR(SUMIFS(Tabela10[Exp Gain only 2*+],Tabela10[Drop],DropAnalityka[[#This Row],[Drop]],Tabela10[Grade],DropAnalityka[[#This Row],[Grade]])*DropAnalityka[[#This Row],[Quality/Quantity]],0)</f>
        <v>0</v>
      </c>
    </row>
    <row r="1639" spans="10:12">
      <c r="J16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39" s="43">
        <f>IFERROR(SUMIFS(Tabela10[Fod Worth],Tabela10[Drop],DropAnalityka[[#This Row],[Drop]],Tabela10[Grade],DropAnalityka[[#This Row],[Grade]])*DropAnalityka[[#This Row],[Quality/Quantity]],0)</f>
        <v>0</v>
      </c>
      <c r="L1639" s="43">
        <f>IFERROR(SUMIFS(Tabela10[Exp Gain only 2*+],Tabela10[Drop],DropAnalityka[[#This Row],[Drop]],Tabela10[Grade],DropAnalityka[[#This Row],[Grade]])*DropAnalityka[[#This Row],[Quality/Quantity]],0)</f>
        <v>0</v>
      </c>
    </row>
    <row r="1640" spans="10:12">
      <c r="J16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0" s="43">
        <f>IFERROR(SUMIFS(Tabela10[Fod Worth],Tabela10[Drop],DropAnalityka[[#This Row],[Drop]],Tabela10[Grade],DropAnalityka[[#This Row],[Grade]])*DropAnalityka[[#This Row],[Quality/Quantity]],0)</f>
        <v>0</v>
      </c>
      <c r="L1640" s="43">
        <f>IFERROR(SUMIFS(Tabela10[Exp Gain only 2*+],Tabela10[Drop],DropAnalityka[[#This Row],[Drop]],Tabela10[Grade],DropAnalityka[[#This Row],[Grade]])*DropAnalityka[[#This Row],[Quality/Quantity]],0)</f>
        <v>0</v>
      </c>
    </row>
    <row r="1641" spans="10:12">
      <c r="J16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1" s="43">
        <f>IFERROR(SUMIFS(Tabela10[Fod Worth],Tabela10[Drop],DropAnalityka[[#This Row],[Drop]],Tabela10[Grade],DropAnalityka[[#This Row],[Grade]])*DropAnalityka[[#This Row],[Quality/Quantity]],0)</f>
        <v>0</v>
      </c>
      <c r="L1641" s="43">
        <f>IFERROR(SUMIFS(Tabela10[Exp Gain only 2*+],Tabela10[Drop],DropAnalityka[[#This Row],[Drop]],Tabela10[Grade],DropAnalityka[[#This Row],[Grade]])*DropAnalityka[[#This Row],[Quality/Quantity]],0)</f>
        <v>0</v>
      </c>
    </row>
    <row r="1642" spans="10:12">
      <c r="J16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2" s="43">
        <f>IFERROR(SUMIFS(Tabela10[Fod Worth],Tabela10[Drop],DropAnalityka[[#This Row],[Drop]],Tabela10[Grade],DropAnalityka[[#This Row],[Grade]])*DropAnalityka[[#This Row],[Quality/Quantity]],0)</f>
        <v>0</v>
      </c>
      <c r="L1642" s="43">
        <f>IFERROR(SUMIFS(Tabela10[Exp Gain only 2*+],Tabela10[Drop],DropAnalityka[[#This Row],[Drop]],Tabela10[Grade],DropAnalityka[[#This Row],[Grade]])*DropAnalityka[[#This Row],[Quality/Quantity]],0)</f>
        <v>0</v>
      </c>
    </row>
    <row r="1643" spans="10:12">
      <c r="J16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3" s="43">
        <f>IFERROR(SUMIFS(Tabela10[Fod Worth],Tabela10[Drop],DropAnalityka[[#This Row],[Drop]],Tabela10[Grade],DropAnalityka[[#This Row],[Grade]])*DropAnalityka[[#This Row],[Quality/Quantity]],0)</f>
        <v>0</v>
      </c>
      <c r="L1643" s="43">
        <f>IFERROR(SUMIFS(Tabela10[Exp Gain only 2*+],Tabela10[Drop],DropAnalityka[[#This Row],[Drop]],Tabela10[Grade],DropAnalityka[[#This Row],[Grade]])*DropAnalityka[[#This Row],[Quality/Quantity]],0)</f>
        <v>0</v>
      </c>
    </row>
    <row r="1644" spans="10:12">
      <c r="J16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4" s="43">
        <f>IFERROR(SUMIFS(Tabela10[Fod Worth],Tabela10[Drop],DropAnalityka[[#This Row],[Drop]],Tabela10[Grade],DropAnalityka[[#This Row],[Grade]])*DropAnalityka[[#This Row],[Quality/Quantity]],0)</f>
        <v>0</v>
      </c>
      <c r="L1644" s="43">
        <f>IFERROR(SUMIFS(Tabela10[Exp Gain only 2*+],Tabela10[Drop],DropAnalityka[[#This Row],[Drop]],Tabela10[Grade],DropAnalityka[[#This Row],[Grade]])*DropAnalityka[[#This Row],[Quality/Quantity]],0)</f>
        <v>0</v>
      </c>
    </row>
    <row r="1645" spans="10:12">
      <c r="J16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5" s="43">
        <f>IFERROR(SUMIFS(Tabela10[Fod Worth],Tabela10[Drop],DropAnalityka[[#This Row],[Drop]],Tabela10[Grade],DropAnalityka[[#This Row],[Grade]])*DropAnalityka[[#This Row],[Quality/Quantity]],0)</f>
        <v>0</v>
      </c>
      <c r="L1645" s="43">
        <f>IFERROR(SUMIFS(Tabela10[Exp Gain only 2*+],Tabela10[Drop],DropAnalityka[[#This Row],[Drop]],Tabela10[Grade],DropAnalityka[[#This Row],[Grade]])*DropAnalityka[[#This Row],[Quality/Quantity]],0)</f>
        <v>0</v>
      </c>
    </row>
    <row r="1646" spans="10:12">
      <c r="J16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6" s="43">
        <f>IFERROR(SUMIFS(Tabela10[Fod Worth],Tabela10[Drop],DropAnalityka[[#This Row],[Drop]],Tabela10[Grade],DropAnalityka[[#This Row],[Grade]])*DropAnalityka[[#This Row],[Quality/Quantity]],0)</f>
        <v>0</v>
      </c>
      <c r="L1646" s="43">
        <f>IFERROR(SUMIFS(Tabela10[Exp Gain only 2*+],Tabela10[Drop],DropAnalityka[[#This Row],[Drop]],Tabela10[Grade],DropAnalityka[[#This Row],[Grade]])*DropAnalityka[[#This Row],[Quality/Quantity]],0)</f>
        <v>0</v>
      </c>
    </row>
    <row r="1647" spans="10:12">
      <c r="J16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7" s="43">
        <f>IFERROR(SUMIFS(Tabela10[Fod Worth],Tabela10[Drop],DropAnalityka[[#This Row],[Drop]],Tabela10[Grade],DropAnalityka[[#This Row],[Grade]])*DropAnalityka[[#This Row],[Quality/Quantity]],0)</f>
        <v>0</v>
      </c>
      <c r="L1647" s="43">
        <f>IFERROR(SUMIFS(Tabela10[Exp Gain only 2*+],Tabela10[Drop],DropAnalityka[[#This Row],[Drop]],Tabela10[Grade],DropAnalityka[[#This Row],[Grade]])*DropAnalityka[[#This Row],[Quality/Quantity]],0)</f>
        <v>0</v>
      </c>
    </row>
    <row r="1648" spans="10:12">
      <c r="J16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8" s="43">
        <f>IFERROR(SUMIFS(Tabela10[Fod Worth],Tabela10[Drop],DropAnalityka[[#This Row],[Drop]],Tabela10[Grade],DropAnalityka[[#This Row],[Grade]])*DropAnalityka[[#This Row],[Quality/Quantity]],0)</f>
        <v>0</v>
      </c>
      <c r="L1648" s="43">
        <f>IFERROR(SUMIFS(Tabela10[Exp Gain only 2*+],Tabela10[Drop],DropAnalityka[[#This Row],[Drop]],Tabela10[Grade],DropAnalityka[[#This Row],[Grade]])*DropAnalityka[[#This Row],[Quality/Quantity]],0)</f>
        <v>0</v>
      </c>
    </row>
    <row r="1649" spans="10:12">
      <c r="J16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49" s="43">
        <f>IFERROR(SUMIFS(Tabela10[Fod Worth],Tabela10[Drop],DropAnalityka[[#This Row],[Drop]],Tabela10[Grade],DropAnalityka[[#This Row],[Grade]])*DropAnalityka[[#This Row],[Quality/Quantity]],0)</f>
        <v>0</v>
      </c>
      <c r="L1649" s="43">
        <f>IFERROR(SUMIFS(Tabela10[Exp Gain only 2*+],Tabela10[Drop],DropAnalityka[[#This Row],[Drop]],Tabela10[Grade],DropAnalityka[[#This Row],[Grade]])*DropAnalityka[[#This Row],[Quality/Quantity]],0)</f>
        <v>0</v>
      </c>
    </row>
    <row r="1650" spans="10:12">
      <c r="J16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0" s="43">
        <f>IFERROR(SUMIFS(Tabela10[Fod Worth],Tabela10[Drop],DropAnalityka[[#This Row],[Drop]],Tabela10[Grade],DropAnalityka[[#This Row],[Grade]])*DropAnalityka[[#This Row],[Quality/Quantity]],0)</f>
        <v>0</v>
      </c>
      <c r="L1650" s="43">
        <f>IFERROR(SUMIFS(Tabela10[Exp Gain only 2*+],Tabela10[Drop],DropAnalityka[[#This Row],[Drop]],Tabela10[Grade],DropAnalityka[[#This Row],[Grade]])*DropAnalityka[[#This Row],[Quality/Quantity]],0)</f>
        <v>0</v>
      </c>
    </row>
    <row r="1651" spans="10:12">
      <c r="J16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1" s="43">
        <f>IFERROR(SUMIFS(Tabela10[Fod Worth],Tabela10[Drop],DropAnalityka[[#This Row],[Drop]],Tabela10[Grade],DropAnalityka[[#This Row],[Grade]])*DropAnalityka[[#This Row],[Quality/Quantity]],0)</f>
        <v>0</v>
      </c>
      <c r="L1651" s="43">
        <f>IFERROR(SUMIFS(Tabela10[Exp Gain only 2*+],Tabela10[Drop],DropAnalityka[[#This Row],[Drop]],Tabela10[Grade],DropAnalityka[[#This Row],[Grade]])*DropAnalityka[[#This Row],[Quality/Quantity]],0)</f>
        <v>0</v>
      </c>
    </row>
    <row r="1652" spans="10:12">
      <c r="J16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2" s="43">
        <f>IFERROR(SUMIFS(Tabela10[Fod Worth],Tabela10[Drop],DropAnalityka[[#This Row],[Drop]],Tabela10[Grade],DropAnalityka[[#This Row],[Grade]])*DropAnalityka[[#This Row],[Quality/Quantity]],0)</f>
        <v>0</v>
      </c>
      <c r="L1652" s="43">
        <f>IFERROR(SUMIFS(Tabela10[Exp Gain only 2*+],Tabela10[Drop],DropAnalityka[[#This Row],[Drop]],Tabela10[Grade],DropAnalityka[[#This Row],[Grade]])*DropAnalityka[[#This Row],[Quality/Quantity]],0)</f>
        <v>0</v>
      </c>
    </row>
    <row r="1653" spans="10:12">
      <c r="J16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3" s="43">
        <f>IFERROR(SUMIFS(Tabela10[Fod Worth],Tabela10[Drop],DropAnalityka[[#This Row],[Drop]],Tabela10[Grade],DropAnalityka[[#This Row],[Grade]])*DropAnalityka[[#This Row],[Quality/Quantity]],0)</f>
        <v>0</v>
      </c>
      <c r="L1653" s="43">
        <f>IFERROR(SUMIFS(Tabela10[Exp Gain only 2*+],Tabela10[Drop],DropAnalityka[[#This Row],[Drop]],Tabela10[Grade],DropAnalityka[[#This Row],[Grade]])*DropAnalityka[[#This Row],[Quality/Quantity]],0)</f>
        <v>0</v>
      </c>
    </row>
    <row r="1654" spans="10:12">
      <c r="J16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4" s="43">
        <f>IFERROR(SUMIFS(Tabela10[Fod Worth],Tabela10[Drop],DropAnalityka[[#This Row],[Drop]],Tabela10[Grade],DropAnalityka[[#This Row],[Grade]])*DropAnalityka[[#This Row],[Quality/Quantity]],0)</f>
        <v>0</v>
      </c>
      <c r="L1654" s="43">
        <f>IFERROR(SUMIFS(Tabela10[Exp Gain only 2*+],Tabela10[Drop],DropAnalityka[[#This Row],[Drop]],Tabela10[Grade],DropAnalityka[[#This Row],[Grade]])*DropAnalityka[[#This Row],[Quality/Quantity]],0)</f>
        <v>0</v>
      </c>
    </row>
    <row r="1655" spans="10:12">
      <c r="J16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5" s="43">
        <f>IFERROR(SUMIFS(Tabela10[Fod Worth],Tabela10[Drop],DropAnalityka[[#This Row],[Drop]],Tabela10[Grade],DropAnalityka[[#This Row],[Grade]])*DropAnalityka[[#This Row],[Quality/Quantity]],0)</f>
        <v>0</v>
      </c>
      <c r="L1655" s="43">
        <f>IFERROR(SUMIFS(Tabela10[Exp Gain only 2*+],Tabela10[Drop],DropAnalityka[[#This Row],[Drop]],Tabela10[Grade],DropAnalityka[[#This Row],[Grade]])*DropAnalityka[[#This Row],[Quality/Quantity]],0)</f>
        <v>0</v>
      </c>
    </row>
    <row r="1656" spans="10:12">
      <c r="J16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6" s="43">
        <f>IFERROR(SUMIFS(Tabela10[Fod Worth],Tabela10[Drop],DropAnalityka[[#This Row],[Drop]],Tabela10[Grade],DropAnalityka[[#This Row],[Grade]])*DropAnalityka[[#This Row],[Quality/Quantity]],0)</f>
        <v>0</v>
      </c>
      <c r="L1656" s="43">
        <f>IFERROR(SUMIFS(Tabela10[Exp Gain only 2*+],Tabela10[Drop],DropAnalityka[[#This Row],[Drop]],Tabela10[Grade],DropAnalityka[[#This Row],[Grade]])*DropAnalityka[[#This Row],[Quality/Quantity]],0)</f>
        <v>0</v>
      </c>
    </row>
    <row r="1657" spans="10:12">
      <c r="J16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7" s="43">
        <f>IFERROR(SUMIFS(Tabela10[Fod Worth],Tabela10[Drop],DropAnalityka[[#This Row],[Drop]],Tabela10[Grade],DropAnalityka[[#This Row],[Grade]])*DropAnalityka[[#This Row],[Quality/Quantity]],0)</f>
        <v>0</v>
      </c>
      <c r="L1657" s="43">
        <f>IFERROR(SUMIFS(Tabela10[Exp Gain only 2*+],Tabela10[Drop],DropAnalityka[[#This Row],[Drop]],Tabela10[Grade],DropAnalityka[[#This Row],[Grade]])*DropAnalityka[[#This Row],[Quality/Quantity]],0)</f>
        <v>0</v>
      </c>
    </row>
    <row r="1658" spans="10:12">
      <c r="J16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8" s="43">
        <f>IFERROR(SUMIFS(Tabela10[Fod Worth],Tabela10[Drop],DropAnalityka[[#This Row],[Drop]],Tabela10[Grade],DropAnalityka[[#This Row],[Grade]])*DropAnalityka[[#This Row],[Quality/Quantity]],0)</f>
        <v>0</v>
      </c>
      <c r="L1658" s="43">
        <f>IFERROR(SUMIFS(Tabela10[Exp Gain only 2*+],Tabela10[Drop],DropAnalityka[[#This Row],[Drop]],Tabela10[Grade],DropAnalityka[[#This Row],[Grade]])*DropAnalityka[[#This Row],[Quality/Quantity]],0)</f>
        <v>0</v>
      </c>
    </row>
    <row r="1659" spans="10:12">
      <c r="J16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59" s="43">
        <f>IFERROR(SUMIFS(Tabela10[Fod Worth],Tabela10[Drop],DropAnalityka[[#This Row],[Drop]],Tabela10[Grade],DropAnalityka[[#This Row],[Grade]])*DropAnalityka[[#This Row],[Quality/Quantity]],0)</f>
        <v>0</v>
      </c>
      <c r="L1659" s="43">
        <f>IFERROR(SUMIFS(Tabela10[Exp Gain only 2*+],Tabela10[Drop],DropAnalityka[[#This Row],[Drop]],Tabela10[Grade],DropAnalityka[[#This Row],[Grade]])*DropAnalityka[[#This Row],[Quality/Quantity]],0)</f>
        <v>0</v>
      </c>
    </row>
    <row r="1660" spans="10:12">
      <c r="J16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0" s="43">
        <f>IFERROR(SUMIFS(Tabela10[Fod Worth],Tabela10[Drop],DropAnalityka[[#This Row],[Drop]],Tabela10[Grade],DropAnalityka[[#This Row],[Grade]])*DropAnalityka[[#This Row],[Quality/Quantity]],0)</f>
        <v>0</v>
      </c>
      <c r="L1660" s="43">
        <f>IFERROR(SUMIFS(Tabela10[Exp Gain only 2*+],Tabela10[Drop],DropAnalityka[[#This Row],[Drop]],Tabela10[Grade],DropAnalityka[[#This Row],[Grade]])*DropAnalityka[[#This Row],[Quality/Quantity]],0)</f>
        <v>0</v>
      </c>
    </row>
    <row r="1661" spans="10:12">
      <c r="J16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1" s="43">
        <f>IFERROR(SUMIFS(Tabela10[Fod Worth],Tabela10[Drop],DropAnalityka[[#This Row],[Drop]],Tabela10[Grade],DropAnalityka[[#This Row],[Grade]])*DropAnalityka[[#This Row],[Quality/Quantity]],0)</f>
        <v>0</v>
      </c>
      <c r="L1661" s="43">
        <f>IFERROR(SUMIFS(Tabela10[Exp Gain only 2*+],Tabela10[Drop],DropAnalityka[[#This Row],[Drop]],Tabela10[Grade],DropAnalityka[[#This Row],[Grade]])*DropAnalityka[[#This Row],[Quality/Quantity]],0)</f>
        <v>0</v>
      </c>
    </row>
    <row r="1662" spans="10:12">
      <c r="J16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2" s="43">
        <f>IFERROR(SUMIFS(Tabela10[Fod Worth],Tabela10[Drop],DropAnalityka[[#This Row],[Drop]],Tabela10[Grade],DropAnalityka[[#This Row],[Grade]])*DropAnalityka[[#This Row],[Quality/Quantity]],0)</f>
        <v>0</v>
      </c>
      <c r="L1662" s="43">
        <f>IFERROR(SUMIFS(Tabela10[Exp Gain only 2*+],Tabela10[Drop],DropAnalityka[[#This Row],[Drop]],Tabela10[Grade],DropAnalityka[[#This Row],[Grade]])*DropAnalityka[[#This Row],[Quality/Quantity]],0)</f>
        <v>0</v>
      </c>
    </row>
    <row r="1663" spans="10:12">
      <c r="J16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3" s="43">
        <f>IFERROR(SUMIFS(Tabela10[Fod Worth],Tabela10[Drop],DropAnalityka[[#This Row],[Drop]],Tabela10[Grade],DropAnalityka[[#This Row],[Grade]])*DropAnalityka[[#This Row],[Quality/Quantity]],0)</f>
        <v>0</v>
      </c>
      <c r="L1663" s="43">
        <f>IFERROR(SUMIFS(Tabela10[Exp Gain only 2*+],Tabela10[Drop],DropAnalityka[[#This Row],[Drop]],Tabela10[Grade],DropAnalityka[[#This Row],[Grade]])*DropAnalityka[[#This Row],[Quality/Quantity]],0)</f>
        <v>0</v>
      </c>
    </row>
    <row r="1664" spans="10:12">
      <c r="J16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4" s="43">
        <f>IFERROR(SUMIFS(Tabela10[Fod Worth],Tabela10[Drop],DropAnalityka[[#This Row],[Drop]],Tabela10[Grade],DropAnalityka[[#This Row],[Grade]])*DropAnalityka[[#This Row],[Quality/Quantity]],0)</f>
        <v>0</v>
      </c>
      <c r="L1664" s="43">
        <f>IFERROR(SUMIFS(Tabela10[Exp Gain only 2*+],Tabela10[Drop],DropAnalityka[[#This Row],[Drop]],Tabela10[Grade],DropAnalityka[[#This Row],[Grade]])*DropAnalityka[[#This Row],[Quality/Quantity]],0)</f>
        <v>0</v>
      </c>
    </row>
    <row r="1665" spans="10:12">
      <c r="J16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5" s="43">
        <f>IFERROR(SUMIFS(Tabela10[Fod Worth],Tabela10[Drop],DropAnalityka[[#This Row],[Drop]],Tabela10[Grade],DropAnalityka[[#This Row],[Grade]])*DropAnalityka[[#This Row],[Quality/Quantity]],0)</f>
        <v>0</v>
      </c>
      <c r="L1665" s="43">
        <f>IFERROR(SUMIFS(Tabela10[Exp Gain only 2*+],Tabela10[Drop],DropAnalityka[[#This Row],[Drop]],Tabela10[Grade],DropAnalityka[[#This Row],[Grade]])*DropAnalityka[[#This Row],[Quality/Quantity]],0)</f>
        <v>0</v>
      </c>
    </row>
    <row r="1666" spans="10:12">
      <c r="J16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6" s="43">
        <f>IFERROR(SUMIFS(Tabela10[Fod Worth],Tabela10[Drop],DropAnalityka[[#This Row],[Drop]],Tabela10[Grade],DropAnalityka[[#This Row],[Grade]])*DropAnalityka[[#This Row],[Quality/Quantity]],0)</f>
        <v>0</v>
      </c>
      <c r="L1666" s="43">
        <f>IFERROR(SUMIFS(Tabela10[Exp Gain only 2*+],Tabela10[Drop],DropAnalityka[[#This Row],[Drop]],Tabela10[Grade],DropAnalityka[[#This Row],[Grade]])*DropAnalityka[[#This Row],[Quality/Quantity]],0)</f>
        <v>0</v>
      </c>
    </row>
    <row r="1667" spans="10:12">
      <c r="J16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7" s="43">
        <f>IFERROR(SUMIFS(Tabela10[Fod Worth],Tabela10[Drop],DropAnalityka[[#This Row],[Drop]],Tabela10[Grade],DropAnalityka[[#This Row],[Grade]])*DropAnalityka[[#This Row],[Quality/Quantity]],0)</f>
        <v>0</v>
      </c>
      <c r="L1667" s="43">
        <f>IFERROR(SUMIFS(Tabela10[Exp Gain only 2*+],Tabela10[Drop],DropAnalityka[[#This Row],[Drop]],Tabela10[Grade],DropAnalityka[[#This Row],[Grade]])*DropAnalityka[[#This Row],[Quality/Quantity]],0)</f>
        <v>0</v>
      </c>
    </row>
    <row r="1668" spans="10:12">
      <c r="J16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8" s="43">
        <f>IFERROR(SUMIFS(Tabela10[Fod Worth],Tabela10[Drop],DropAnalityka[[#This Row],[Drop]],Tabela10[Grade],DropAnalityka[[#This Row],[Grade]])*DropAnalityka[[#This Row],[Quality/Quantity]],0)</f>
        <v>0</v>
      </c>
      <c r="L1668" s="43">
        <f>IFERROR(SUMIFS(Tabela10[Exp Gain only 2*+],Tabela10[Drop],DropAnalityka[[#This Row],[Drop]],Tabela10[Grade],DropAnalityka[[#This Row],[Grade]])*DropAnalityka[[#This Row],[Quality/Quantity]],0)</f>
        <v>0</v>
      </c>
    </row>
    <row r="1669" spans="10:12">
      <c r="J16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69" s="43">
        <f>IFERROR(SUMIFS(Tabela10[Fod Worth],Tabela10[Drop],DropAnalityka[[#This Row],[Drop]],Tabela10[Grade],DropAnalityka[[#This Row],[Grade]])*DropAnalityka[[#This Row],[Quality/Quantity]],0)</f>
        <v>0</v>
      </c>
      <c r="L1669" s="43">
        <f>IFERROR(SUMIFS(Tabela10[Exp Gain only 2*+],Tabela10[Drop],DropAnalityka[[#This Row],[Drop]],Tabela10[Grade],DropAnalityka[[#This Row],[Grade]])*DropAnalityka[[#This Row],[Quality/Quantity]],0)</f>
        <v>0</v>
      </c>
    </row>
    <row r="1670" spans="10:12">
      <c r="J16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0" s="43">
        <f>IFERROR(SUMIFS(Tabela10[Fod Worth],Tabela10[Drop],DropAnalityka[[#This Row],[Drop]],Tabela10[Grade],DropAnalityka[[#This Row],[Grade]])*DropAnalityka[[#This Row],[Quality/Quantity]],0)</f>
        <v>0</v>
      </c>
      <c r="L1670" s="43">
        <f>IFERROR(SUMIFS(Tabela10[Exp Gain only 2*+],Tabela10[Drop],DropAnalityka[[#This Row],[Drop]],Tabela10[Grade],DropAnalityka[[#This Row],[Grade]])*DropAnalityka[[#This Row],[Quality/Quantity]],0)</f>
        <v>0</v>
      </c>
    </row>
    <row r="1671" spans="10:12">
      <c r="J16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1" s="43">
        <f>IFERROR(SUMIFS(Tabela10[Fod Worth],Tabela10[Drop],DropAnalityka[[#This Row],[Drop]],Tabela10[Grade],DropAnalityka[[#This Row],[Grade]])*DropAnalityka[[#This Row],[Quality/Quantity]],0)</f>
        <v>0</v>
      </c>
      <c r="L1671" s="43">
        <f>IFERROR(SUMIFS(Tabela10[Exp Gain only 2*+],Tabela10[Drop],DropAnalityka[[#This Row],[Drop]],Tabela10[Grade],DropAnalityka[[#This Row],[Grade]])*DropAnalityka[[#This Row],[Quality/Quantity]],0)</f>
        <v>0</v>
      </c>
    </row>
    <row r="1672" spans="10:12">
      <c r="J16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2" s="43">
        <f>IFERROR(SUMIFS(Tabela10[Fod Worth],Tabela10[Drop],DropAnalityka[[#This Row],[Drop]],Tabela10[Grade],DropAnalityka[[#This Row],[Grade]])*DropAnalityka[[#This Row],[Quality/Quantity]],0)</f>
        <v>0</v>
      </c>
      <c r="L1672" s="43">
        <f>IFERROR(SUMIFS(Tabela10[Exp Gain only 2*+],Tabela10[Drop],DropAnalityka[[#This Row],[Drop]],Tabela10[Grade],DropAnalityka[[#This Row],[Grade]])*DropAnalityka[[#This Row],[Quality/Quantity]],0)</f>
        <v>0</v>
      </c>
    </row>
    <row r="1673" spans="10:12">
      <c r="J16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3" s="43">
        <f>IFERROR(SUMIFS(Tabela10[Fod Worth],Tabela10[Drop],DropAnalityka[[#This Row],[Drop]],Tabela10[Grade],DropAnalityka[[#This Row],[Grade]])*DropAnalityka[[#This Row],[Quality/Quantity]],0)</f>
        <v>0</v>
      </c>
      <c r="L1673" s="43">
        <f>IFERROR(SUMIFS(Tabela10[Exp Gain only 2*+],Tabela10[Drop],DropAnalityka[[#This Row],[Drop]],Tabela10[Grade],DropAnalityka[[#This Row],[Grade]])*DropAnalityka[[#This Row],[Quality/Quantity]],0)</f>
        <v>0</v>
      </c>
    </row>
    <row r="1674" spans="10:12">
      <c r="J16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4" s="43">
        <f>IFERROR(SUMIFS(Tabela10[Fod Worth],Tabela10[Drop],DropAnalityka[[#This Row],[Drop]],Tabela10[Grade],DropAnalityka[[#This Row],[Grade]])*DropAnalityka[[#This Row],[Quality/Quantity]],0)</f>
        <v>0</v>
      </c>
      <c r="L1674" s="43">
        <f>IFERROR(SUMIFS(Tabela10[Exp Gain only 2*+],Tabela10[Drop],DropAnalityka[[#This Row],[Drop]],Tabela10[Grade],DropAnalityka[[#This Row],[Grade]])*DropAnalityka[[#This Row],[Quality/Quantity]],0)</f>
        <v>0</v>
      </c>
    </row>
    <row r="1675" spans="10:12">
      <c r="J16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5" s="43">
        <f>IFERROR(SUMIFS(Tabela10[Fod Worth],Tabela10[Drop],DropAnalityka[[#This Row],[Drop]],Tabela10[Grade],DropAnalityka[[#This Row],[Grade]])*DropAnalityka[[#This Row],[Quality/Quantity]],0)</f>
        <v>0</v>
      </c>
      <c r="L1675" s="43">
        <f>IFERROR(SUMIFS(Tabela10[Exp Gain only 2*+],Tabela10[Drop],DropAnalityka[[#This Row],[Drop]],Tabela10[Grade],DropAnalityka[[#This Row],[Grade]])*DropAnalityka[[#This Row],[Quality/Quantity]],0)</f>
        <v>0</v>
      </c>
    </row>
    <row r="1676" spans="10:12">
      <c r="J16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6" s="43">
        <f>IFERROR(SUMIFS(Tabela10[Fod Worth],Tabela10[Drop],DropAnalityka[[#This Row],[Drop]],Tabela10[Grade],DropAnalityka[[#This Row],[Grade]])*DropAnalityka[[#This Row],[Quality/Quantity]],0)</f>
        <v>0</v>
      </c>
      <c r="L1676" s="43">
        <f>IFERROR(SUMIFS(Tabela10[Exp Gain only 2*+],Tabela10[Drop],DropAnalityka[[#This Row],[Drop]],Tabela10[Grade],DropAnalityka[[#This Row],[Grade]])*DropAnalityka[[#This Row],[Quality/Quantity]],0)</f>
        <v>0</v>
      </c>
    </row>
    <row r="1677" spans="10:12">
      <c r="J16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7" s="43">
        <f>IFERROR(SUMIFS(Tabela10[Fod Worth],Tabela10[Drop],DropAnalityka[[#This Row],[Drop]],Tabela10[Grade],DropAnalityka[[#This Row],[Grade]])*DropAnalityka[[#This Row],[Quality/Quantity]],0)</f>
        <v>0</v>
      </c>
      <c r="L1677" s="43">
        <f>IFERROR(SUMIFS(Tabela10[Exp Gain only 2*+],Tabela10[Drop],DropAnalityka[[#This Row],[Drop]],Tabela10[Grade],DropAnalityka[[#This Row],[Grade]])*DropAnalityka[[#This Row],[Quality/Quantity]],0)</f>
        <v>0</v>
      </c>
    </row>
    <row r="1678" spans="10:12">
      <c r="J16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8" s="43">
        <f>IFERROR(SUMIFS(Tabela10[Fod Worth],Tabela10[Drop],DropAnalityka[[#This Row],[Drop]],Tabela10[Grade],DropAnalityka[[#This Row],[Grade]])*DropAnalityka[[#This Row],[Quality/Quantity]],0)</f>
        <v>0</v>
      </c>
      <c r="L1678" s="43">
        <f>IFERROR(SUMIFS(Tabela10[Exp Gain only 2*+],Tabela10[Drop],DropAnalityka[[#This Row],[Drop]],Tabela10[Grade],DropAnalityka[[#This Row],[Grade]])*DropAnalityka[[#This Row],[Quality/Quantity]],0)</f>
        <v>0</v>
      </c>
    </row>
    <row r="1679" spans="10:12">
      <c r="J16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79" s="43">
        <f>IFERROR(SUMIFS(Tabela10[Fod Worth],Tabela10[Drop],DropAnalityka[[#This Row],[Drop]],Tabela10[Grade],DropAnalityka[[#This Row],[Grade]])*DropAnalityka[[#This Row],[Quality/Quantity]],0)</f>
        <v>0</v>
      </c>
      <c r="L1679" s="43">
        <f>IFERROR(SUMIFS(Tabela10[Exp Gain only 2*+],Tabela10[Drop],DropAnalityka[[#This Row],[Drop]],Tabela10[Grade],DropAnalityka[[#This Row],[Grade]])*DropAnalityka[[#This Row],[Quality/Quantity]],0)</f>
        <v>0</v>
      </c>
    </row>
    <row r="1680" spans="10:12">
      <c r="J16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0" s="43">
        <f>IFERROR(SUMIFS(Tabela10[Fod Worth],Tabela10[Drop],DropAnalityka[[#This Row],[Drop]],Tabela10[Grade],DropAnalityka[[#This Row],[Grade]])*DropAnalityka[[#This Row],[Quality/Quantity]],0)</f>
        <v>0</v>
      </c>
      <c r="L1680" s="43">
        <f>IFERROR(SUMIFS(Tabela10[Exp Gain only 2*+],Tabela10[Drop],DropAnalityka[[#This Row],[Drop]],Tabela10[Grade],DropAnalityka[[#This Row],[Grade]])*DropAnalityka[[#This Row],[Quality/Quantity]],0)</f>
        <v>0</v>
      </c>
    </row>
    <row r="1681" spans="10:12">
      <c r="J16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1" s="43">
        <f>IFERROR(SUMIFS(Tabela10[Fod Worth],Tabela10[Drop],DropAnalityka[[#This Row],[Drop]],Tabela10[Grade],DropAnalityka[[#This Row],[Grade]])*DropAnalityka[[#This Row],[Quality/Quantity]],0)</f>
        <v>0</v>
      </c>
      <c r="L1681" s="43">
        <f>IFERROR(SUMIFS(Tabela10[Exp Gain only 2*+],Tabela10[Drop],DropAnalityka[[#This Row],[Drop]],Tabela10[Grade],DropAnalityka[[#This Row],[Grade]])*DropAnalityka[[#This Row],[Quality/Quantity]],0)</f>
        <v>0</v>
      </c>
    </row>
    <row r="1682" spans="10:12">
      <c r="J16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2" s="43">
        <f>IFERROR(SUMIFS(Tabela10[Fod Worth],Tabela10[Drop],DropAnalityka[[#This Row],[Drop]],Tabela10[Grade],DropAnalityka[[#This Row],[Grade]])*DropAnalityka[[#This Row],[Quality/Quantity]],0)</f>
        <v>0</v>
      </c>
      <c r="L1682" s="43">
        <f>IFERROR(SUMIFS(Tabela10[Exp Gain only 2*+],Tabela10[Drop],DropAnalityka[[#This Row],[Drop]],Tabela10[Grade],DropAnalityka[[#This Row],[Grade]])*DropAnalityka[[#This Row],[Quality/Quantity]],0)</f>
        <v>0</v>
      </c>
    </row>
    <row r="1683" spans="10:12">
      <c r="J16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3" s="43">
        <f>IFERROR(SUMIFS(Tabela10[Fod Worth],Tabela10[Drop],DropAnalityka[[#This Row],[Drop]],Tabela10[Grade],DropAnalityka[[#This Row],[Grade]])*DropAnalityka[[#This Row],[Quality/Quantity]],0)</f>
        <v>0</v>
      </c>
      <c r="L1683" s="43">
        <f>IFERROR(SUMIFS(Tabela10[Exp Gain only 2*+],Tabela10[Drop],DropAnalityka[[#This Row],[Drop]],Tabela10[Grade],DropAnalityka[[#This Row],[Grade]])*DropAnalityka[[#This Row],[Quality/Quantity]],0)</f>
        <v>0</v>
      </c>
    </row>
    <row r="1684" spans="10:12">
      <c r="J16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4" s="43">
        <f>IFERROR(SUMIFS(Tabela10[Fod Worth],Tabela10[Drop],DropAnalityka[[#This Row],[Drop]],Tabela10[Grade],DropAnalityka[[#This Row],[Grade]])*DropAnalityka[[#This Row],[Quality/Quantity]],0)</f>
        <v>0</v>
      </c>
      <c r="L1684" s="43">
        <f>IFERROR(SUMIFS(Tabela10[Exp Gain only 2*+],Tabela10[Drop],DropAnalityka[[#This Row],[Drop]],Tabela10[Grade],DropAnalityka[[#This Row],[Grade]])*DropAnalityka[[#This Row],[Quality/Quantity]],0)</f>
        <v>0</v>
      </c>
    </row>
    <row r="1685" spans="10:12">
      <c r="J16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5" s="43">
        <f>IFERROR(SUMIFS(Tabela10[Fod Worth],Tabela10[Drop],DropAnalityka[[#This Row],[Drop]],Tabela10[Grade],DropAnalityka[[#This Row],[Grade]])*DropAnalityka[[#This Row],[Quality/Quantity]],0)</f>
        <v>0</v>
      </c>
      <c r="L1685" s="43">
        <f>IFERROR(SUMIFS(Tabela10[Exp Gain only 2*+],Tabela10[Drop],DropAnalityka[[#This Row],[Drop]],Tabela10[Grade],DropAnalityka[[#This Row],[Grade]])*DropAnalityka[[#This Row],[Quality/Quantity]],0)</f>
        <v>0</v>
      </c>
    </row>
    <row r="1686" spans="10:12">
      <c r="J16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6" s="43">
        <f>IFERROR(SUMIFS(Tabela10[Fod Worth],Tabela10[Drop],DropAnalityka[[#This Row],[Drop]],Tabela10[Grade],DropAnalityka[[#This Row],[Grade]])*DropAnalityka[[#This Row],[Quality/Quantity]],0)</f>
        <v>0</v>
      </c>
      <c r="L1686" s="43">
        <f>IFERROR(SUMIFS(Tabela10[Exp Gain only 2*+],Tabela10[Drop],DropAnalityka[[#This Row],[Drop]],Tabela10[Grade],DropAnalityka[[#This Row],[Grade]])*DropAnalityka[[#This Row],[Quality/Quantity]],0)</f>
        <v>0</v>
      </c>
    </row>
    <row r="1687" spans="10:12">
      <c r="J16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7" s="43">
        <f>IFERROR(SUMIFS(Tabela10[Fod Worth],Tabela10[Drop],DropAnalityka[[#This Row],[Drop]],Tabela10[Grade],DropAnalityka[[#This Row],[Grade]])*DropAnalityka[[#This Row],[Quality/Quantity]],0)</f>
        <v>0</v>
      </c>
      <c r="L1687" s="43">
        <f>IFERROR(SUMIFS(Tabela10[Exp Gain only 2*+],Tabela10[Drop],DropAnalityka[[#This Row],[Drop]],Tabela10[Grade],DropAnalityka[[#This Row],[Grade]])*DropAnalityka[[#This Row],[Quality/Quantity]],0)</f>
        <v>0</v>
      </c>
    </row>
    <row r="1688" spans="10:12">
      <c r="J16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8" s="43">
        <f>IFERROR(SUMIFS(Tabela10[Fod Worth],Tabela10[Drop],DropAnalityka[[#This Row],[Drop]],Tabela10[Grade],DropAnalityka[[#This Row],[Grade]])*DropAnalityka[[#This Row],[Quality/Quantity]],0)</f>
        <v>0</v>
      </c>
      <c r="L1688" s="43">
        <f>IFERROR(SUMIFS(Tabela10[Exp Gain only 2*+],Tabela10[Drop],DropAnalityka[[#This Row],[Drop]],Tabela10[Grade],DropAnalityka[[#This Row],[Grade]])*DropAnalityka[[#This Row],[Quality/Quantity]],0)</f>
        <v>0</v>
      </c>
    </row>
    <row r="1689" spans="10:12">
      <c r="J16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89" s="43">
        <f>IFERROR(SUMIFS(Tabela10[Fod Worth],Tabela10[Drop],DropAnalityka[[#This Row],[Drop]],Tabela10[Grade],DropAnalityka[[#This Row],[Grade]])*DropAnalityka[[#This Row],[Quality/Quantity]],0)</f>
        <v>0</v>
      </c>
      <c r="L1689" s="43">
        <f>IFERROR(SUMIFS(Tabela10[Exp Gain only 2*+],Tabela10[Drop],DropAnalityka[[#This Row],[Drop]],Tabela10[Grade],DropAnalityka[[#This Row],[Grade]])*DropAnalityka[[#This Row],[Quality/Quantity]],0)</f>
        <v>0</v>
      </c>
    </row>
    <row r="1690" spans="10:12">
      <c r="J16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0" s="43">
        <f>IFERROR(SUMIFS(Tabela10[Fod Worth],Tabela10[Drop],DropAnalityka[[#This Row],[Drop]],Tabela10[Grade],DropAnalityka[[#This Row],[Grade]])*DropAnalityka[[#This Row],[Quality/Quantity]],0)</f>
        <v>0</v>
      </c>
      <c r="L1690" s="43">
        <f>IFERROR(SUMIFS(Tabela10[Exp Gain only 2*+],Tabela10[Drop],DropAnalityka[[#This Row],[Drop]],Tabela10[Grade],DropAnalityka[[#This Row],[Grade]])*DropAnalityka[[#This Row],[Quality/Quantity]],0)</f>
        <v>0</v>
      </c>
    </row>
    <row r="1691" spans="10:12">
      <c r="J16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1" s="43">
        <f>IFERROR(SUMIFS(Tabela10[Fod Worth],Tabela10[Drop],DropAnalityka[[#This Row],[Drop]],Tabela10[Grade],DropAnalityka[[#This Row],[Grade]])*DropAnalityka[[#This Row],[Quality/Quantity]],0)</f>
        <v>0</v>
      </c>
      <c r="L1691" s="43">
        <f>IFERROR(SUMIFS(Tabela10[Exp Gain only 2*+],Tabela10[Drop],DropAnalityka[[#This Row],[Drop]],Tabela10[Grade],DropAnalityka[[#This Row],[Grade]])*DropAnalityka[[#This Row],[Quality/Quantity]],0)</f>
        <v>0</v>
      </c>
    </row>
    <row r="1692" spans="10:12">
      <c r="J16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2" s="43">
        <f>IFERROR(SUMIFS(Tabela10[Fod Worth],Tabela10[Drop],DropAnalityka[[#This Row],[Drop]],Tabela10[Grade],DropAnalityka[[#This Row],[Grade]])*DropAnalityka[[#This Row],[Quality/Quantity]],0)</f>
        <v>0</v>
      </c>
      <c r="L1692" s="43">
        <f>IFERROR(SUMIFS(Tabela10[Exp Gain only 2*+],Tabela10[Drop],DropAnalityka[[#This Row],[Drop]],Tabela10[Grade],DropAnalityka[[#This Row],[Grade]])*DropAnalityka[[#This Row],[Quality/Quantity]],0)</f>
        <v>0</v>
      </c>
    </row>
    <row r="1693" spans="10:12">
      <c r="J16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3" s="43">
        <f>IFERROR(SUMIFS(Tabela10[Fod Worth],Tabela10[Drop],DropAnalityka[[#This Row],[Drop]],Tabela10[Grade],DropAnalityka[[#This Row],[Grade]])*DropAnalityka[[#This Row],[Quality/Quantity]],0)</f>
        <v>0</v>
      </c>
      <c r="L1693" s="43">
        <f>IFERROR(SUMIFS(Tabela10[Exp Gain only 2*+],Tabela10[Drop],DropAnalityka[[#This Row],[Drop]],Tabela10[Grade],DropAnalityka[[#This Row],[Grade]])*DropAnalityka[[#This Row],[Quality/Quantity]],0)</f>
        <v>0</v>
      </c>
    </row>
    <row r="1694" spans="10:12">
      <c r="J16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4" s="43">
        <f>IFERROR(SUMIFS(Tabela10[Fod Worth],Tabela10[Drop],DropAnalityka[[#This Row],[Drop]],Tabela10[Grade],DropAnalityka[[#This Row],[Grade]])*DropAnalityka[[#This Row],[Quality/Quantity]],0)</f>
        <v>0</v>
      </c>
      <c r="L1694" s="43">
        <f>IFERROR(SUMIFS(Tabela10[Exp Gain only 2*+],Tabela10[Drop],DropAnalityka[[#This Row],[Drop]],Tabela10[Grade],DropAnalityka[[#This Row],[Grade]])*DropAnalityka[[#This Row],[Quality/Quantity]],0)</f>
        <v>0</v>
      </c>
    </row>
    <row r="1695" spans="10:12">
      <c r="J16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5" s="43">
        <f>IFERROR(SUMIFS(Tabela10[Fod Worth],Tabela10[Drop],DropAnalityka[[#This Row],[Drop]],Tabela10[Grade],DropAnalityka[[#This Row],[Grade]])*DropAnalityka[[#This Row],[Quality/Quantity]],0)</f>
        <v>0</v>
      </c>
      <c r="L1695" s="43">
        <f>IFERROR(SUMIFS(Tabela10[Exp Gain only 2*+],Tabela10[Drop],DropAnalityka[[#This Row],[Drop]],Tabela10[Grade],DropAnalityka[[#This Row],[Grade]])*DropAnalityka[[#This Row],[Quality/Quantity]],0)</f>
        <v>0</v>
      </c>
    </row>
    <row r="1696" spans="10:12">
      <c r="J16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6" s="43">
        <f>IFERROR(SUMIFS(Tabela10[Fod Worth],Tabela10[Drop],DropAnalityka[[#This Row],[Drop]],Tabela10[Grade],DropAnalityka[[#This Row],[Grade]])*DropAnalityka[[#This Row],[Quality/Quantity]],0)</f>
        <v>0</v>
      </c>
      <c r="L1696" s="43">
        <f>IFERROR(SUMIFS(Tabela10[Exp Gain only 2*+],Tabela10[Drop],DropAnalityka[[#This Row],[Drop]],Tabela10[Grade],DropAnalityka[[#This Row],[Grade]])*DropAnalityka[[#This Row],[Quality/Quantity]],0)</f>
        <v>0</v>
      </c>
    </row>
    <row r="1697" spans="10:12">
      <c r="J16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7" s="43">
        <f>IFERROR(SUMIFS(Tabela10[Fod Worth],Tabela10[Drop],DropAnalityka[[#This Row],[Drop]],Tabela10[Grade],DropAnalityka[[#This Row],[Grade]])*DropAnalityka[[#This Row],[Quality/Quantity]],0)</f>
        <v>0</v>
      </c>
      <c r="L1697" s="43">
        <f>IFERROR(SUMIFS(Tabela10[Exp Gain only 2*+],Tabela10[Drop],DropAnalityka[[#This Row],[Drop]],Tabela10[Grade],DropAnalityka[[#This Row],[Grade]])*DropAnalityka[[#This Row],[Quality/Quantity]],0)</f>
        <v>0</v>
      </c>
    </row>
    <row r="1698" spans="10:12">
      <c r="J16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8" s="43">
        <f>IFERROR(SUMIFS(Tabela10[Fod Worth],Tabela10[Drop],DropAnalityka[[#This Row],[Drop]],Tabela10[Grade],DropAnalityka[[#This Row],[Grade]])*DropAnalityka[[#This Row],[Quality/Quantity]],0)</f>
        <v>0</v>
      </c>
      <c r="L1698" s="43">
        <f>IFERROR(SUMIFS(Tabela10[Exp Gain only 2*+],Tabela10[Drop],DropAnalityka[[#This Row],[Drop]],Tabela10[Grade],DropAnalityka[[#This Row],[Grade]])*DropAnalityka[[#This Row],[Quality/Quantity]],0)</f>
        <v>0</v>
      </c>
    </row>
    <row r="1699" spans="10:12">
      <c r="J16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699" s="43">
        <f>IFERROR(SUMIFS(Tabela10[Fod Worth],Tabela10[Drop],DropAnalityka[[#This Row],[Drop]],Tabela10[Grade],DropAnalityka[[#This Row],[Grade]])*DropAnalityka[[#This Row],[Quality/Quantity]],0)</f>
        <v>0</v>
      </c>
      <c r="L1699" s="43">
        <f>IFERROR(SUMIFS(Tabela10[Exp Gain only 2*+],Tabela10[Drop],DropAnalityka[[#This Row],[Drop]],Tabela10[Grade],DropAnalityka[[#This Row],[Grade]])*DropAnalityka[[#This Row],[Quality/Quantity]],0)</f>
        <v>0</v>
      </c>
    </row>
    <row r="1700" spans="10:12">
      <c r="J17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0" s="43">
        <f>IFERROR(SUMIFS(Tabela10[Fod Worth],Tabela10[Drop],DropAnalityka[[#This Row],[Drop]],Tabela10[Grade],DropAnalityka[[#This Row],[Grade]])*DropAnalityka[[#This Row],[Quality/Quantity]],0)</f>
        <v>0</v>
      </c>
      <c r="L1700" s="43">
        <f>IFERROR(SUMIFS(Tabela10[Exp Gain only 2*+],Tabela10[Drop],DropAnalityka[[#This Row],[Drop]],Tabela10[Grade],DropAnalityka[[#This Row],[Grade]])*DropAnalityka[[#This Row],[Quality/Quantity]],0)</f>
        <v>0</v>
      </c>
    </row>
    <row r="1701" spans="10:12">
      <c r="J17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1" s="43">
        <f>IFERROR(SUMIFS(Tabela10[Fod Worth],Tabela10[Drop],DropAnalityka[[#This Row],[Drop]],Tabela10[Grade],DropAnalityka[[#This Row],[Grade]])*DropAnalityka[[#This Row],[Quality/Quantity]],0)</f>
        <v>0</v>
      </c>
      <c r="L1701" s="43">
        <f>IFERROR(SUMIFS(Tabela10[Exp Gain only 2*+],Tabela10[Drop],DropAnalityka[[#This Row],[Drop]],Tabela10[Grade],DropAnalityka[[#This Row],[Grade]])*DropAnalityka[[#This Row],[Quality/Quantity]],0)</f>
        <v>0</v>
      </c>
    </row>
    <row r="1702" spans="10:12">
      <c r="J17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2" s="43">
        <f>IFERROR(SUMIFS(Tabela10[Fod Worth],Tabela10[Drop],DropAnalityka[[#This Row],[Drop]],Tabela10[Grade],DropAnalityka[[#This Row],[Grade]])*DropAnalityka[[#This Row],[Quality/Quantity]],0)</f>
        <v>0</v>
      </c>
      <c r="L1702" s="43">
        <f>IFERROR(SUMIFS(Tabela10[Exp Gain only 2*+],Tabela10[Drop],DropAnalityka[[#This Row],[Drop]],Tabela10[Grade],DropAnalityka[[#This Row],[Grade]])*DropAnalityka[[#This Row],[Quality/Quantity]],0)</f>
        <v>0</v>
      </c>
    </row>
    <row r="1703" spans="10:12">
      <c r="J17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3" s="43">
        <f>IFERROR(SUMIFS(Tabela10[Fod Worth],Tabela10[Drop],DropAnalityka[[#This Row],[Drop]],Tabela10[Grade],DropAnalityka[[#This Row],[Grade]])*DropAnalityka[[#This Row],[Quality/Quantity]],0)</f>
        <v>0</v>
      </c>
      <c r="L1703" s="43">
        <f>IFERROR(SUMIFS(Tabela10[Exp Gain only 2*+],Tabela10[Drop],DropAnalityka[[#This Row],[Drop]],Tabela10[Grade],DropAnalityka[[#This Row],[Grade]])*DropAnalityka[[#This Row],[Quality/Quantity]],0)</f>
        <v>0</v>
      </c>
    </row>
    <row r="1704" spans="10:12">
      <c r="J17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4" s="43">
        <f>IFERROR(SUMIFS(Tabela10[Fod Worth],Tabela10[Drop],DropAnalityka[[#This Row],[Drop]],Tabela10[Grade],DropAnalityka[[#This Row],[Grade]])*DropAnalityka[[#This Row],[Quality/Quantity]],0)</f>
        <v>0</v>
      </c>
      <c r="L1704" s="43">
        <f>IFERROR(SUMIFS(Tabela10[Exp Gain only 2*+],Tabela10[Drop],DropAnalityka[[#This Row],[Drop]],Tabela10[Grade],DropAnalityka[[#This Row],[Grade]])*DropAnalityka[[#This Row],[Quality/Quantity]],0)</f>
        <v>0</v>
      </c>
    </row>
    <row r="1705" spans="10:12">
      <c r="J17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5" s="43">
        <f>IFERROR(SUMIFS(Tabela10[Fod Worth],Tabela10[Drop],DropAnalityka[[#This Row],[Drop]],Tabela10[Grade],DropAnalityka[[#This Row],[Grade]])*DropAnalityka[[#This Row],[Quality/Quantity]],0)</f>
        <v>0</v>
      </c>
      <c r="L1705" s="43">
        <f>IFERROR(SUMIFS(Tabela10[Exp Gain only 2*+],Tabela10[Drop],DropAnalityka[[#This Row],[Drop]],Tabela10[Grade],DropAnalityka[[#This Row],[Grade]])*DropAnalityka[[#This Row],[Quality/Quantity]],0)</f>
        <v>0</v>
      </c>
    </row>
    <row r="1706" spans="10:12">
      <c r="J17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6" s="43">
        <f>IFERROR(SUMIFS(Tabela10[Fod Worth],Tabela10[Drop],DropAnalityka[[#This Row],[Drop]],Tabela10[Grade],DropAnalityka[[#This Row],[Grade]])*DropAnalityka[[#This Row],[Quality/Quantity]],0)</f>
        <v>0</v>
      </c>
      <c r="L1706" s="43">
        <f>IFERROR(SUMIFS(Tabela10[Exp Gain only 2*+],Tabela10[Drop],DropAnalityka[[#This Row],[Drop]],Tabela10[Grade],DropAnalityka[[#This Row],[Grade]])*DropAnalityka[[#This Row],[Quality/Quantity]],0)</f>
        <v>0</v>
      </c>
    </row>
    <row r="1707" spans="10:12">
      <c r="J17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7" s="43">
        <f>IFERROR(SUMIFS(Tabela10[Fod Worth],Tabela10[Drop],DropAnalityka[[#This Row],[Drop]],Tabela10[Grade],DropAnalityka[[#This Row],[Grade]])*DropAnalityka[[#This Row],[Quality/Quantity]],0)</f>
        <v>0</v>
      </c>
      <c r="L1707" s="43">
        <f>IFERROR(SUMIFS(Tabela10[Exp Gain only 2*+],Tabela10[Drop],DropAnalityka[[#This Row],[Drop]],Tabela10[Grade],DropAnalityka[[#This Row],[Grade]])*DropAnalityka[[#This Row],[Quality/Quantity]],0)</f>
        <v>0</v>
      </c>
    </row>
    <row r="1708" spans="10:12">
      <c r="J170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8" s="43">
        <f>IFERROR(SUMIFS(Tabela10[Fod Worth],Tabela10[Drop],DropAnalityka[[#This Row],[Drop]],Tabela10[Grade],DropAnalityka[[#This Row],[Grade]])*DropAnalityka[[#This Row],[Quality/Quantity]],0)</f>
        <v>0</v>
      </c>
      <c r="L1708" s="43">
        <f>IFERROR(SUMIFS(Tabela10[Exp Gain only 2*+],Tabela10[Drop],DropAnalityka[[#This Row],[Drop]],Tabela10[Grade],DropAnalityka[[#This Row],[Grade]])*DropAnalityka[[#This Row],[Quality/Quantity]],0)</f>
        <v>0</v>
      </c>
    </row>
    <row r="1709" spans="10:12">
      <c r="J17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09" s="43">
        <f>IFERROR(SUMIFS(Tabela10[Fod Worth],Tabela10[Drop],DropAnalityka[[#This Row],[Drop]],Tabela10[Grade],DropAnalityka[[#This Row],[Grade]])*DropAnalityka[[#This Row],[Quality/Quantity]],0)</f>
        <v>0</v>
      </c>
      <c r="L1709" s="43">
        <f>IFERROR(SUMIFS(Tabela10[Exp Gain only 2*+],Tabela10[Drop],DropAnalityka[[#This Row],[Drop]],Tabela10[Grade],DropAnalityka[[#This Row],[Grade]])*DropAnalityka[[#This Row],[Quality/Quantity]],0)</f>
        <v>0</v>
      </c>
    </row>
    <row r="1710" spans="10:12">
      <c r="J17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0" s="43">
        <f>IFERROR(SUMIFS(Tabela10[Fod Worth],Tabela10[Drop],DropAnalityka[[#This Row],[Drop]],Tabela10[Grade],DropAnalityka[[#This Row],[Grade]])*DropAnalityka[[#This Row],[Quality/Quantity]],0)</f>
        <v>0</v>
      </c>
      <c r="L1710" s="43">
        <f>IFERROR(SUMIFS(Tabela10[Exp Gain only 2*+],Tabela10[Drop],DropAnalityka[[#This Row],[Drop]],Tabela10[Grade],DropAnalityka[[#This Row],[Grade]])*DropAnalityka[[#This Row],[Quality/Quantity]],0)</f>
        <v>0</v>
      </c>
    </row>
    <row r="1711" spans="10:12">
      <c r="J17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1" s="43">
        <f>IFERROR(SUMIFS(Tabela10[Fod Worth],Tabela10[Drop],DropAnalityka[[#This Row],[Drop]],Tabela10[Grade],DropAnalityka[[#This Row],[Grade]])*DropAnalityka[[#This Row],[Quality/Quantity]],0)</f>
        <v>0</v>
      </c>
      <c r="L1711" s="43">
        <f>IFERROR(SUMIFS(Tabela10[Exp Gain only 2*+],Tabela10[Drop],DropAnalityka[[#This Row],[Drop]],Tabela10[Grade],DropAnalityka[[#This Row],[Grade]])*DropAnalityka[[#This Row],[Quality/Quantity]],0)</f>
        <v>0</v>
      </c>
    </row>
    <row r="1712" spans="10:12">
      <c r="J17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2" s="43">
        <f>IFERROR(SUMIFS(Tabela10[Fod Worth],Tabela10[Drop],DropAnalityka[[#This Row],[Drop]],Tabela10[Grade],DropAnalityka[[#This Row],[Grade]])*DropAnalityka[[#This Row],[Quality/Quantity]],0)</f>
        <v>0</v>
      </c>
      <c r="L1712" s="43">
        <f>IFERROR(SUMIFS(Tabela10[Exp Gain only 2*+],Tabela10[Drop],DropAnalityka[[#This Row],[Drop]],Tabela10[Grade],DropAnalityka[[#This Row],[Grade]])*DropAnalityka[[#This Row],[Quality/Quantity]],0)</f>
        <v>0</v>
      </c>
    </row>
    <row r="1713" spans="10:12">
      <c r="J17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3" s="43">
        <f>IFERROR(SUMIFS(Tabela10[Fod Worth],Tabela10[Drop],DropAnalityka[[#This Row],[Drop]],Tabela10[Grade],DropAnalityka[[#This Row],[Grade]])*DropAnalityka[[#This Row],[Quality/Quantity]],0)</f>
        <v>0</v>
      </c>
      <c r="L1713" s="43">
        <f>IFERROR(SUMIFS(Tabela10[Exp Gain only 2*+],Tabela10[Drop],DropAnalityka[[#This Row],[Drop]],Tabela10[Grade],DropAnalityka[[#This Row],[Grade]])*DropAnalityka[[#This Row],[Quality/Quantity]],0)</f>
        <v>0</v>
      </c>
    </row>
    <row r="1714" spans="10:12">
      <c r="J17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4" s="43">
        <f>IFERROR(SUMIFS(Tabela10[Fod Worth],Tabela10[Drop],DropAnalityka[[#This Row],[Drop]],Tabela10[Grade],DropAnalityka[[#This Row],[Grade]])*DropAnalityka[[#This Row],[Quality/Quantity]],0)</f>
        <v>0</v>
      </c>
      <c r="L1714" s="43">
        <f>IFERROR(SUMIFS(Tabela10[Exp Gain only 2*+],Tabela10[Drop],DropAnalityka[[#This Row],[Drop]],Tabela10[Grade],DropAnalityka[[#This Row],[Grade]])*DropAnalityka[[#This Row],[Quality/Quantity]],0)</f>
        <v>0</v>
      </c>
    </row>
    <row r="1715" spans="10:12">
      <c r="J17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5" s="43">
        <f>IFERROR(SUMIFS(Tabela10[Fod Worth],Tabela10[Drop],DropAnalityka[[#This Row],[Drop]],Tabela10[Grade],DropAnalityka[[#This Row],[Grade]])*DropAnalityka[[#This Row],[Quality/Quantity]],0)</f>
        <v>0</v>
      </c>
      <c r="L1715" s="43">
        <f>IFERROR(SUMIFS(Tabela10[Exp Gain only 2*+],Tabela10[Drop],DropAnalityka[[#This Row],[Drop]],Tabela10[Grade],DropAnalityka[[#This Row],[Grade]])*DropAnalityka[[#This Row],[Quality/Quantity]],0)</f>
        <v>0</v>
      </c>
    </row>
    <row r="1716" spans="10:12">
      <c r="J17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6" s="43">
        <f>IFERROR(SUMIFS(Tabela10[Fod Worth],Tabela10[Drop],DropAnalityka[[#This Row],[Drop]],Tabela10[Grade],DropAnalityka[[#This Row],[Grade]])*DropAnalityka[[#This Row],[Quality/Quantity]],0)</f>
        <v>0</v>
      </c>
      <c r="L1716" s="43">
        <f>IFERROR(SUMIFS(Tabela10[Exp Gain only 2*+],Tabela10[Drop],DropAnalityka[[#This Row],[Drop]],Tabela10[Grade],DropAnalityka[[#This Row],[Grade]])*DropAnalityka[[#This Row],[Quality/Quantity]],0)</f>
        <v>0</v>
      </c>
    </row>
    <row r="1717" spans="10:12">
      <c r="J17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7" s="43">
        <f>IFERROR(SUMIFS(Tabela10[Fod Worth],Tabela10[Drop],DropAnalityka[[#This Row],[Drop]],Tabela10[Grade],DropAnalityka[[#This Row],[Grade]])*DropAnalityka[[#This Row],[Quality/Quantity]],0)</f>
        <v>0</v>
      </c>
      <c r="L1717" s="43">
        <f>IFERROR(SUMIFS(Tabela10[Exp Gain only 2*+],Tabela10[Drop],DropAnalityka[[#This Row],[Drop]],Tabela10[Grade],DropAnalityka[[#This Row],[Grade]])*DropAnalityka[[#This Row],[Quality/Quantity]],0)</f>
        <v>0</v>
      </c>
    </row>
    <row r="1718" spans="10:12">
      <c r="J17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8" s="43">
        <f>IFERROR(SUMIFS(Tabela10[Fod Worth],Tabela10[Drop],DropAnalityka[[#This Row],[Drop]],Tabela10[Grade],DropAnalityka[[#This Row],[Grade]])*DropAnalityka[[#This Row],[Quality/Quantity]],0)</f>
        <v>0</v>
      </c>
      <c r="L1718" s="43">
        <f>IFERROR(SUMIFS(Tabela10[Exp Gain only 2*+],Tabela10[Drop],DropAnalityka[[#This Row],[Drop]],Tabela10[Grade],DropAnalityka[[#This Row],[Grade]])*DropAnalityka[[#This Row],[Quality/Quantity]],0)</f>
        <v>0</v>
      </c>
    </row>
    <row r="1719" spans="10:12">
      <c r="J17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19" s="43">
        <f>IFERROR(SUMIFS(Tabela10[Fod Worth],Tabela10[Drop],DropAnalityka[[#This Row],[Drop]],Tabela10[Grade],DropAnalityka[[#This Row],[Grade]])*DropAnalityka[[#This Row],[Quality/Quantity]],0)</f>
        <v>0</v>
      </c>
      <c r="L1719" s="43">
        <f>IFERROR(SUMIFS(Tabela10[Exp Gain only 2*+],Tabela10[Drop],DropAnalityka[[#This Row],[Drop]],Tabela10[Grade],DropAnalityka[[#This Row],[Grade]])*DropAnalityka[[#This Row],[Quality/Quantity]],0)</f>
        <v>0</v>
      </c>
    </row>
    <row r="1720" spans="10:12">
      <c r="J17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0" s="43">
        <f>IFERROR(SUMIFS(Tabela10[Fod Worth],Tabela10[Drop],DropAnalityka[[#This Row],[Drop]],Tabela10[Grade],DropAnalityka[[#This Row],[Grade]])*DropAnalityka[[#This Row],[Quality/Quantity]],0)</f>
        <v>0</v>
      </c>
      <c r="L1720" s="43">
        <f>IFERROR(SUMIFS(Tabela10[Exp Gain only 2*+],Tabela10[Drop],DropAnalityka[[#This Row],[Drop]],Tabela10[Grade],DropAnalityka[[#This Row],[Grade]])*DropAnalityka[[#This Row],[Quality/Quantity]],0)</f>
        <v>0</v>
      </c>
    </row>
    <row r="1721" spans="10:12">
      <c r="J17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1" s="43">
        <f>IFERROR(SUMIFS(Tabela10[Fod Worth],Tabela10[Drop],DropAnalityka[[#This Row],[Drop]],Tabela10[Grade],DropAnalityka[[#This Row],[Grade]])*DropAnalityka[[#This Row],[Quality/Quantity]],0)</f>
        <v>0</v>
      </c>
      <c r="L1721" s="43">
        <f>IFERROR(SUMIFS(Tabela10[Exp Gain only 2*+],Tabela10[Drop],DropAnalityka[[#This Row],[Drop]],Tabela10[Grade],DropAnalityka[[#This Row],[Grade]])*DropAnalityka[[#This Row],[Quality/Quantity]],0)</f>
        <v>0</v>
      </c>
    </row>
    <row r="1722" spans="10:12">
      <c r="J17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2" s="43">
        <f>IFERROR(SUMIFS(Tabela10[Fod Worth],Tabela10[Drop],DropAnalityka[[#This Row],[Drop]],Tabela10[Grade],DropAnalityka[[#This Row],[Grade]])*DropAnalityka[[#This Row],[Quality/Quantity]],0)</f>
        <v>0</v>
      </c>
      <c r="L1722" s="43">
        <f>IFERROR(SUMIFS(Tabela10[Exp Gain only 2*+],Tabela10[Drop],DropAnalityka[[#This Row],[Drop]],Tabela10[Grade],DropAnalityka[[#This Row],[Grade]])*DropAnalityka[[#This Row],[Quality/Quantity]],0)</f>
        <v>0</v>
      </c>
    </row>
    <row r="1723" spans="10:12">
      <c r="J17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3" s="43">
        <f>IFERROR(SUMIFS(Tabela10[Fod Worth],Tabela10[Drop],DropAnalityka[[#This Row],[Drop]],Tabela10[Grade],DropAnalityka[[#This Row],[Grade]])*DropAnalityka[[#This Row],[Quality/Quantity]],0)</f>
        <v>0</v>
      </c>
      <c r="L1723" s="43">
        <f>IFERROR(SUMIFS(Tabela10[Exp Gain only 2*+],Tabela10[Drop],DropAnalityka[[#This Row],[Drop]],Tabela10[Grade],DropAnalityka[[#This Row],[Grade]])*DropAnalityka[[#This Row],[Quality/Quantity]],0)</f>
        <v>0</v>
      </c>
    </row>
    <row r="1724" spans="10:12">
      <c r="J17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4" s="43">
        <f>IFERROR(SUMIFS(Tabela10[Fod Worth],Tabela10[Drop],DropAnalityka[[#This Row],[Drop]],Tabela10[Grade],DropAnalityka[[#This Row],[Grade]])*DropAnalityka[[#This Row],[Quality/Quantity]],0)</f>
        <v>0</v>
      </c>
      <c r="L1724" s="43">
        <f>IFERROR(SUMIFS(Tabela10[Exp Gain only 2*+],Tabela10[Drop],DropAnalityka[[#This Row],[Drop]],Tabela10[Grade],DropAnalityka[[#This Row],[Grade]])*DropAnalityka[[#This Row],[Quality/Quantity]],0)</f>
        <v>0</v>
      </c>
    </row>
    <row r="1725" spans="10:12">
      <c r="J17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5" s="43">
        <f>IFERROR(SUMIFS(Tabela10[Fod Worth],Tabela10[Drop],DropAnalityka[[#This Row],[Drop]],Tabela10[Grade],DropAnalityka[[#This Row],[Grade]])*DropAnalityka[[#This Row],[Quality/Quantity]],0)</f>
        <v>0</v>
      </c>
      <c r="L1725" s="43">
        <f>IFERROR(SUMIFS(Tabela10[Exp Gain only 2*+],Tabela10[Drop],DropAnalityka[[#This Row],[Drop]],Tabela10[Grade],DropAnalityka[[#This Row],[Grade]])*DropAnalityka[[#This Row],[Quality/Quantity]],0)</f>
        <v>0</v>
      </c>
    </row>
    <row r="1726" spans="10:12">
      <c r="J17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6" s="43">
        <f>IFERROR(SUMIFS(Tabela10[Fod Worth],Tabela10[Drop],DropAnalityka[[#This Row],[Drop]],Tabela10[Grade],DropAnalityka[[#This Row],[Grade]])*DropAnalityka[[#This Row],[Quality/Quantity]],0)</f>
        <v>0</v>
      </c>
      <c r="L1726" s="43">
        <f>IFERROR(SUMIFS(Tabela10[Exp Gain only 2*+],Tabela10[Drop],DropAnalityka[[#This Row],[Drop]],Tabela10[Grade],DropAnalityka[[#This Row],[Grade]])*DropAnalityka[[#This Row],[Quality/Quantity]],0)</f>
        <v>0</v>
      </c>
    </row>
    <row r="1727" spans="10:12">
      <c r="J17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7" s="43">
        <f>IFERROR(SUMIFS(Tabela10[Fod Worth],Tabela10[Drop],DropAnalityka[[#This Row],[Drop]],Tabela10[Grade],DropAnalityka[[#This Row],[Grade]])*DropAnalityka[[#This Row],[Quality/Quantity]],0)</f>
        <v>0</v>
      </c>
      <c r="L1727" s="43">
        <f>IFERROR(SUMIFS(Tabela10[Exp Gain only 2*+],Tabela10[Drop],DropAnalityka[[#This Row],[Drop]],Tabela10[Grade],DropAnalityka[[#This Row],[Grade]])*DropAnalityka[[#This Row],[Quality/Quantity]],0)</f>
        <v>0</v>
      </c>
    </row>
    <row r="1728" spans="10:12">
      <c r="J17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8" s="43">
        <f>IFERROR(SUMIFS(Tabela10[Fod Worth],Tabela10[Drop],DropAnalityka[[#This Row],[Drop]],Tabela10[Grade],DropAnalityka[[#This Row],[Grade]])*DropAnalityka[[#This Row],[Quality/Quantity]],0)</f>
        <v>0</v>
      </c>
      <c r="L1728" s="43">
        <f>IFERROR(SUMIFS(Tabela10[Exp Gain only 2*+],Tabela10[Drop],DropAnalityka[[#This Row],[Drop]],Tabela10[Grade],DropAnalityka[[#This Row],[Grade]])*DropAnalityka[[#This Row],[Quality/Quantity]],0)</f>
        <v>0</v>
      </c>
    </row>
    <row r="1729" spans="10:12">
      <c r="J17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29" s="43">
        <f>IFERROR(SUMIFS(Tabela10[Fod Worth],Tabela10[Drop],DropAnalityka[[#This Row],[Drop]],Tabela10[Grade],DropAnalityka[[#This Row],[Grade]])*DropAnalityka[[#This Row],[Quality/Quantity]],0)</f>
        <v>0</v>
      </c>
      <c r="L1729" s="43">
        <f>IFERROR(SUMIFS(Tabela10[Exp Gain only 2*+],Tabela10[Drop],DropAnalityka[[#This Row],[Drop]],Tabela10[Grade],DropAnalityka[[#This Row],[Grade]])*DropAnalityka[[#This Row],[Quality/Quantity]],0)</f>
        <v>0</v>
      </c>
    </row>
    <row r="1730" spans="10:12">
      <c r="J17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0" s="43">
        <f>IFERROR(SUMIFS(Tabela10[Fod Worth],Tabela10[Drop],DropAnalityka[[#This Row],[Drop]],Tabela10[Grade],DropAnalityka[[#This Row],[Grade]])*DropAnalityka[[#This Row],[Quality/Quantity]],0)</f>
        <v>0</v>
      </c>
      <c r="L1730" s="43">
        <f>IFERROR(SUMIFS(Tabela10[Exp Gain only 2*+],Tabela10[Drop],DropAnalityka[[#This Row],[Drop]],Tabela10[Grade],DropAnalityka[[#This Row],[Grade]])*DropAnalityka[[#This Row],[Quality/Quantity]],0)</f>
        <v>0</v>
      </c>
    </row>
    <row r="1731" spans="10:12">
      <c r="J17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1" s="43">
        <f>IFERROR(SUMIFS(Tabela10[Fod Worth],Tabela10[Drop],DropAnalityka[[#This Row],[Drop]],Tabela10[Grade],DropAnalityka[[#This Row],[Grade]])*DropAnalityka[[#This Row],[Quality/Quantity]],0)</f>
        <v>0</v>
      </c>
      <c r="L1731" s="43">
        <f>IFERROR(SUMIFS(Tabela10[Exp Gain only 2*+],Tabela10[Drop],DropAnalityka[[#This Row],[Drop]],Tabela10[Grade],DropAnalityka[[#This Row],[Grade]])*DropAnalityka[[#This Row],[Quality/Quantity]],0)</f>
        <v>0</v>
      </c>
    </row>
    <row r="1732" spans="10:12">
      <c r="J17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2" s="43">
        <f>IFERROR(SUMIFS(Tabela10[Fod Worth],Tabela10[Drop],DropAnalityka[[#This Row],[Drop]],Tabela10[Grade],DropAnalityka[[#This Row],[Grade]])*DropAnalityka[[#This Row],[Quality/Quantity]],0)</f>
        <v>0</v>
      </c>
      <c r="L1732" s="43">
        <f>IFERROR(SUMIFS(Tabela10[Exp Gain only 2*+],Tabela10[Drop],DropAnalityka[[#This Row],[Drop]],Tabela10[Grade],DropAnalityka[[#This Row],[Grade]])*DropAnalityka[[#This Row],[Quality/Quantity]],0)</f>
        <v>0</v>
      </c>
    </row>
    <row r="1733" spans="10:12">
      <c r="J17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3" s="43">
        <f>IFERROR(SUMIFS(Tabela10[Fod Worth],Tabela10[Drop],DropAnalityka[[#This Row],[Drop]],Tabela10[Grade],DropAnalityka[[#This Row],[Grade]])*DropAnalityka[[#This Row],[Quality/Quantity]],0)</f>
        <v>0</v>
      </c>
      <c r="L1733" s="43">
        <f>IFERROR(SUMIFS(Tabela10[Exp Gain only 2*+],Tabela10[Drop],DropAnalityka[[#This Row],[Drop]],Tabela10[Grade],DropAnalityka[[#This Row],[Grade]])*DropAnalityka[[#This Row],[Quality/Quantity]],0)</f>
        <v>0</v>
      </c>
    </row>
    <row r="1734" spans="10:12">
      <c r="J17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4" s="43">
        <f>IFERROR(SUMIFS(Tabela10[Fod Worth],Tabela10[Drop],DropAnalityka[[#This Row],[Drop]],Tabela10[Grade],DropAnalityka[[#This Row],[Grade]])*DropAnalityka[[#This Row],[Quality/Quantity]],0)</f>
        <v>0</v>
      </c>
      <c r="L1734" s="43">
        <f>IFERROR(SUMIFS(Tabela10[Exp Gain only 2*+],Tabela10[Drop],DropAnalityka[[#This Row],[Drop]],Tabela10[Grade],DropAnalityka[[#This Row],[Grade]])*DropAnalityka[[#This Row],[Quality/Quantity]],0)</f>
        <v>0</v>
      </c>
    </row>
    <row r="1735" spans="10:12">
      <c r="J17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5" s="43">
        <f>IFERROR(SUMIFS(Tabela10[Fod Worth],Tabela10[Drop],DropAnalityka[[#This Row],[Drop]],Tabela10[Grade],DropAnalityka[[#This Row],[Grade]])*DropAnalityka[[#This Row],[Quality/Quantity]],0)</f>
        <v>0</v>
      </c>
      <c r="L1735" s="43">
        <f>IFERROR(SUMIFS(Tabela10[Exp Gain only 2*+],Tabela10[Drop],DropAnalityka[[#This Row],[Drop]],Tabela10[Grade],DropAnalityka[[#This Row],[Grade]])*DropAnalityka[[#This Row],[Quality/Quantity]],0)</f>
        <v>0</v>
      </c>
    </row>
    <row r="1736" spans="10:12">
      <c r="J17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6" s="43">
        <f>IFERROR(SUMIFS(Tabela10[Fod Worth],Tabela10[Drop],DropAnalityka[[#This Row],[Drop]],Tabela10[Grade],DropAnalityka[[#This Row],[Grade]])*DropAnalityka[[#This Row],[Quality/Quantity]],0)</f>
        <v>0</v>
      </c>
      <c r="L1736" s="43">
        <f>IFERROR(SUMIFS(Tabela10[Exp Gain only 2*+],Tabela10[Drop],DropAnalityka[[#This Row],[Drop]],Tabela10[Grade],DropAnalityka[[#This Row],[Grade]])*DropAnalityka[[#This Row],[Quality/Quantity]],0)</f>
        <v>0</v>
      </c>
    </row>
    <row r="1737" spans="10:12">
      <c r="J17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7" s="43">
        <f>IFERROR(SUMIFS(Tabela10[Fod Worth],Tabela10[Drop],DropAnalityka[[#This Row],[Drop]],Tabela10[Grade],DropAnalityka[[#This Row],[Grade]])*DropAnalityka[[#This Row],[Quality/Quantity]],0)</f>
        <v>0</v>
      </c>
      <c r="L1737" s="43">
        <f>IFERROR(SUMIFS(Tabela10[Exp Gain only 2*+],Tabela10[Drop],DropAnalityka[[#This Row],[Drop]],Tabela10[Grade],DropAnalityka[[#This Row],[Grade]])*DropAnalityka[[#This Row],[Quality/Quantity]],0)</f>
        <v>0</v>
      </c>
    </row>
    <row r="1738" spans="10:12">
      <c r="J17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8" s="43">
        <f>IFERROR(SUMIFS(Tabela10[Fod Worth],Tabela10[Drop],DropAnalityka[[#This Row],[Drop]],Tabela10[Grade],DropAnalityka[[#This Row],[Grade]])*DropAnalityka[[#This Row],[Quality/Quantity]],0)</f>
        <v>0</v>
      </c>
      <c r="L1738" s="43">
        <f>IFERROR(SUMIFS(Tabela10[Exp Gain only 2*+],Tabela10[Drop],DropAnalityka[[#This Row],[Drop]],Tabela10[Grade],DropAnalityka[[#This Row],[Grade]])*DropAnalityka[[#This Row],[Quality/Quantity]],0)</f>
        <v>0</v>
      </c>
    </row>
    <row r="1739" spans="10:12">
      <c r="J17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39" s="43">
        <f>IFERROR(SUMIFS(Tabela10[Fod Worth],Tabela10[Drop],DropAnalityka[[#This Row],[Drop]],Tabela10[Grade],DropAnalityka[[#This Row],[Grade]])*DropAnalityka[[#This Row],[Quality/Quantity]],0)</f>
        <v>0</v>
      </c>
      <c r="L1739" s="43">
        <f>IFERROR(SUMIFS(Tabela10[Exp Gain only 2*+],Tabela10[Drop],DropAnalityka[[#This Row],[Drop]],Tabela10[Grade],DropAnalityka[[#This Row],[Grade]])*DropAnalityka[[#This Row],[Quality/Quantity]],0)</f>
        <v>0</v>
      </c>
    </row>
    <row r="1740" spans="10:12">
      <c r="J17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0" s="43">
        <f>IFERROR(SUMIFS(Tabela10[Fod Worth],Tabela10[Drop],DropAnalityka[[#This Row],[Drop]],Tabela10[Grade],DropAnalityka[[#This Row],[Grade]])*DropAnalityka[[#This Row],[Quality/Quantity]],0)</f>
        <v>0</v>
      </c>
      <c r="L1740" s="43">
        <f>IFERROR(SUMIFS(Tabela10[Exp Gain only 2*+],Tabela10[Drop],DropAnalityka[[#This Row],[Drop]],Tabela10[Grade],DropAnalityka[[#This Row],[Grade]])*DropAnalityka[[#This Row],[Quality/Quantity]],0)</f>
        <v>0</v>
      </c>
    </row>
    <row r="1741" spans="10:12">
      <c r="J17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1" s="43">
        <f>IFERROR(SUMIFS(Tabela10[Fod Worth],Tabela10[Drop],DropAnalityka[[#This Row],[Drop]],Tabela10[Grade],DropAnalityka[[#This Row],[Grade]])*DropAnalityka[[#This Row],[Quality/Quantity]],0)</f>
        <v>0</v>
      </c>
      <c r="L1741" s="43">
        <f>IFERROR(SUMIFS(Tabela10[Exp Gain only 2*+],Tabela10[Drop],DropAnalityka[[#This Row],[Drop]],Tabela10[Grade],DropAnalityka[[#This Row],[Grade]])*DropAnalityka[[#This Row],[Quality/Quantity]],0)</f>
        <v>0</v>
      </c>
    </row>
    <row r="1742" spans="10:12">
      <c r="J17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2" s="43">
        <f>IFERROR(SUMIFS(Tabela10[Fod Worth],Tabela10[Drop],DropAnalityka[[#This Row],[Drop]],Tabela10[Grade],DropAnalityka[[#This Row],[Grade]])*DropAnalityka[[#This Row],[Quality/Quantity]],0)</f>
        <v>0</v>
      </c>
      <c r="L1742" s="43">
        <f>IFERROR(SUMIFS(Tabela10[Exp Gain only 2*+],Tabela10[Drop],DropAnalityka[[#This Row],[Drop]],Tabela10[Grade],DropAnalityka[[#This Row],[Grade]])*DropAnalityka[[#This Row],[Quality/Quantity]],0)</f>
        <v>0</v>
      </c>
    </row>
    <row r="1743" spans="10:12">
      <c r="J17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3" s="43">
        <f>IFERROR(SUMIFS(Tabela10[Fod Worth],Tabela10[Drop],DropAnalityka[[#This Row],[Drop]],Tabela10[Grade],DropAnalityka[[#This Row],[Grade]])*DropAnalityka[[#This Row],[Quality/Quantity]],0)</f>
        <v>0</v>
      </c>
      <c r="L1743" s="43">
        <f>IFERROR(SUMIFS(Tabela10[Exp Gain only 2*+],Tabela10[Drop],DropAnalityka[[#This Row],[Drop]],Tabela10[Grade],DropAnalityka[[#This Row],[Grade]])*DropAnalityka[[#This Row],[Quality/Quantity]],0)</f>
        <v>0</v>
      </c>
    </row>
    <row r="1744" spans="10:12">
      <c r="J17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4" s="43">
        <f>IFERROR(SUMIFS(Tabela10[Fod Worth],Tabela10[Drop],DropAnalityka[[#This Row],[Drop]],Tabela10[Grade],DropAnalityka[[#This Row],[Grade]])*DropAnalityka[[#This Row],[Quality/Quantity]],0)</f>
        <v>0</v>
      </c>
      <c r="L1744" s="43">
        <f>IFERROR(SUMIFS(Tabela10[Exp Gain only 2*+],Tabela10[Drop],DropAnalityka[[#This Row],[Drop]],Tabela10[Grade],DropAnalityka[[#This Row],[Grade]])*DropAnalityka[[#This Row],[Quality/Quantity]],0)</f>
        <v>0</v>
      </c>
    </row>
    <row r="1745" spans="10:12">
      <c r="J17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5" s="43">
        <f>IFERROR(SUMIFS(Tabela10[Fod Worth],Tabela10[Drop],DropAnalityka[[#This Row],[Drop]],Tabela10[Grade],DropAnalityka[[#This Row],[Grade]])*DropAnalityka[[#This Row],[Quality/Quantity]],0)</f>
        <v>0</v>
      </c>
      <c r="L1745" s="43">
        <f>IFERROR(SUMIFS(Tabela10[Exp Gain only 2*+],Tabela10[Drop],DropAnalityka[[#This Row],[Drop]],Tabela10[Grade],DropAnalityka[[#This Row],[Grade]])*DropAnalityka[[#This Row],[Quality/Quantity]],0)</f>
        <v>0</v>
      </c>
    </row>
    <row r="1746" spans="10:12">
      <c r="J17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6" s="43">
        <f>IFERROR(SUMIFS(Tabela10[Fod Worth],Tabela10[Drop],DropAnalityka[[#This Row],[Drop]],Tabela10[Grade],DropAnalityka[[#This Row],[Grade]])*DropAnalityka[[#This Row],[Quality/Quantity]],0)</f>
        <v>0</v>
      </c>
      <c r="L1746" s="43">
        <f>IFERROR(SUMIFS(Tabela10[Exp Gain only 2*+],Tabela10[Drop],DropAnalityka[[#This Row],[Drop]],Tabela10[Grade],DropAnalityka[[#This Row],[Grade]])*DropAnalityka[[#This Row],[Quality/Quantity]],0)</f>
        <v>0</v>
      </c>
    </row>
    <row r="1747" spans="10:12">
      <c r="J17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7" s="43">
        <f>IFERROR(SUMIFS(Tabela10[Fod Worth],Tabela10[Drop],DropAnalityka[[#This Row],[Drop]],Tabela10[Grade],DropAnalityka[[#This Row],[Grade]])*DropAnalityka[[#This Row],[Quality/Quantity]],0)</f>
        <v>0</v>
      </c>
      <c r="L1747" s="43">
        <f>IFERROR(SUMIFS(Tabela10[Exp Gain only 2*+],Tabela10[Drop],DropAnalityka[[#This Row],[Drop]],Tabela10[Grade],DropAnalityka[[#This Row],[Grade]])*DropAnalityka[[#This Row],[Quality/Quantity]],0)</f>
        <v>0</v>
      </c>
    </row>
    <row r="1748" spans="10:12">
      <c r="J17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8" s="43">
        <f>IFERROR(SUMIFS(Tabela10[Fod Worth],Tabela10[Drop],DropAnalityka[[#This Row],[Drop]],Tabela10[Grade],DropAnalityka[[#This Row],[Grade]])*DropAnalityka[[#This Row],[Quality/Quantity]],0)</f>
        <v>0</v>
      </c>
      <c r="L1748" s="43">
        <f>IFERROR(SUMIFS(Tabela10[Exp Gain only 2*+],Tabela10[Drop],DropAnalityka[[#This Row],[Drop]],Tabela10[Grade],DropAnalityka[[#This Row],[Grade]])*DropAnalityka[[#This Row],[Quality/Quantity]],0)</f>
        <v>0</v>
      </c>
    </row>
    <row r="1749" spans="10:12">
      <c r="J17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49" s="43">
        <f>IFERROR(SUMIFS(Tabela10[Fod Worth],Tabela10[Drop],DropAnalityka[[#This Row],[Drop]],Tabela10[Grade],DropAnalityka[[#This Row],[Grade]])*DropAnalityka[[#This Row],[Quality/Quantity]],0)</f>
        <v>0</v>
      </c>
      <c r="L1749" s="43">
        <f>IFERROR(SUMIFS(Tabela10[Exp Gain only 2*+],Tabela10[Drop],DropAnalityka[[#This Row],[Drop]],Tabela10[Grade],DropAnalityka[[#This Row],[Grade]])*DropAnalityka[[#This Row],[Quality/Quantity]],0)</f>
        <v>0</v>
      </c>
    </row>
    <row r="1750" spans="10:12">
      <c r="J17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0" s="43">
        <f>IFERROR(SUMIFS(Tabela10[Fod Worth],Tabela10[Drop],DropAnalityka[[#This Row],[Drop]],Tabela10[Grade],DropAnalityka[[#This Row],[Grade]])*DropAnalityka[[#This Row],[Quality/Quantity]],0)</f>
        <v>0</v>
      </c>
      <c r="L1750" s="43">
        <f>IFERROR(SUMIFS(Tabela10[Exp Gain only 2*+],Tabela10[Drop],DropAnalityka[[#This Row],[Drop]],Tabela10[Grade],DropAnalityka[[#This Row],[Grade]])*DropAnalityka[[#This Row],[Quality/Quantity]],0)</f>
        <v>0</v>
      </c>
    </row>
    <row r="1751" spans="10:12">
      <c r="J17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1" s="43">
        <f>IFERROR(SUMIFS(Tabela10[Fod Worth],Tabela10[Drop],DropAnalityka[[#This Row],[Drop]],Tabela10[Grade],DropAnalityka[[#This Row],[Grade]])*DropAnalityka[[#This Row],[Quality/Quantity]],0)</f>
        <v>0</v>
      </c>
      <c r="L1751" s="43">
        <f>IFERROR(SUMIFS(Tabela10[Exp Gain only 2*+],Tabela10[Drop],DropAnalityka[[#This Row],[Drop]],Tabela10[Grade],DropAnalityka[[#This Row],[Grade]])*DropAnalityka[[#This Row],[Quality/Quantity]],0)</f>
        <v>0</v>
      </c>
    </row>
    <row r="1752" spans="10:12">
      <c r="J17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2" s="43">
        <f>IFERROR(SUMIFS(Tabela10[Fod Worth],Tabela10[Drop],DropAnalityka[[#This Row],[Drop]],Tabela10[Grade],DropAnalityka[[#This Row],[Grade]])*DropAnalityka[[#This Row],[Quality/Quantity]],0)</f>
        <v>0</v>
      </c>
      <c r="L1752" s="43">
        <f>IFERROR(SUMIFS(Tabela10[Exp Gain only 2*+],Tabela10[Drop],DropAnalityka[[#This Row],[Drop]],Tabela10[Grade],DropAnalityka[[#This Row],[Grade]])*DropAnalityka[[#This Row],[Quality/Quantity]],0)</f>
        <v>0</v>
      </c>
    </row>
    <row r="1753" spans="10:12">
      <c r="J17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3" s="43">
        <f>IFERROR(SUMIFS(Tabela10[Fod Worth],Tabela10[Drop],DropAnalityka[[#This Row],[Drop]],Tabela10[Grade],DropAnalityka[[#This Row],[Grade]])*DropAnalityka[[#This Row],[Quality/Quantity]],0)</f>
        <v>0</v>
      </c>
      <c r="L1753" s="43">
        <f>IFERROR(SUMIFS(Tabela10[Exp Gain only 2*+],Tabela10[Drop],DropAnalityka[[#This Row],[Drop]],Tabela10[Grade],DropAnalityka[[#This Row],[Grade]])*DropAnalityka[[#This Row],[Quality/Quantity]],0)</f>
        <v>0</v>
      </c>
    </row>
    <row r="1754" spans="10:12">
      <c r="J17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4" s="43">
        <f>IFERROR(SUMIFS(Tabela10[Fod Worth],Tabela10[Drop],DropAnalityka[[#This Row],[Drop]],Tabela10[Grade],DropAnalityka[[#This Row],[Grade]])*DropAnalityka[[#This Row],[Quality/Quantity]],0)</f>
        <v>0</v>
      </c>
      <c r="L1754" s="43">
        <f>IFERROR(SUMIFS(Tabela10[Exp Gain only 2*+],Tabela10[Drop],DropAnalityka[[#This Row],[Drop]],Tabela10[Grade],DropAnalityka[[#This Row],[Grade]])*DropAnalityka[[#This Row],[Quality/Quantity]],0)</f>
        <v>0</v>
      </c>
    </row>
    <row r="1755" spans="10:12">
      <c r="J17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5" s="43">
        <f>IFERROR(SUMIFS(Tabela10[Fod Worth],Tabela10[Drop],DropAnalityka[[#This Row],[Drop]],Tabela10[Grade],DropAnalityka[[#This Row],[Grade]])*DropAnalityka[[#This Row],[Quality/Quantity]],0)</f>
        <v>0</v>
      </c>
      <c r="L1755" s="43">
        <f>IFERROR(SUMIFS(Tabela10[Exp Gain only 2*+],Tabela10[Drop],DropAnalityka[[#This Row],[Drop]],Tabela10[Grade],DropAnalityka[[#This Row],[Grade]])*DropAnalityka[[#This Row],[Quality/Quantity]],0)</f>
        <v>0</v>
      </c>
    </row>
    <row r="1756" spans="10:12">
      <c r="J17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6" s="43">
        <f>IFERROR(SUMIFS(Tabela10[Fod Worth],Tabela10[Drop],DropAnalityka[[#This Row],[Drop]],Tabela10[Grade],DropAnalityka[[#This Row],[Grade]])*DropAnalityka[[#This Row],[Quality/Quantity]],0)</f>
        <v>0</v>
      </c>
      <c r="L1756" s="43">
        <f>IFERROR(SUMIFS(Tabela10[Exp Gain only 2*+],Tabela10[Drop],DropAnalityka[[#This Row],[Drop]],Tabela10[Grade],DropAnalityka[[#This Row],[Grade]])*DropAnalityka[[#This Row],[Quality/Quantity]],0)</f>
        <v>0</v>
      </c>
    </row>
    <row r="1757" spans="10:12">
      <c r="J17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7" s="43">
        <f>IFERROR(SUMIFS(Tabela10[Fod Worth],Tabela10[Drop],DropAnalityka[[#This Row],[Drop]],Tabela10[Grade],DropAnalityka[[#This Row],[Grade]])*DropAnalityka[[#This Row],[Quality/Quantity]],0)</f>
        <v>0</v>
      </c>
      <c r="L1757" s="43">
        <f>IFERROR(SUMIFS(Tabela10[Exp Gain only 2*+],Tabela10[Drop],DropAnalityka[[#This Row],[Drop]],Tabela10[Grade],DropAnalityka[[#This Row],[Grade]])*DropAnalityka[[#This Row],[Quality/Quantity]],0)</f>
        <v>0</v>
      </c>
    </row>
    <row r="1758" spans="10:12">
      <c r="J17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8" s="43">
        <f>IFERROR(SUMIFS(Tabela10[Fod Worth],Tabela10[Drop],DropAnalityka[[#This Row],[Drop]],Tabela10[Grade],DropAnalityka[[#This Row],[Grade]])*DropAnalityka[[#This Row],[Quality/Quantity]],0)</f>
        <v>0</v>
      </c>
      <c r="L1758" s="43">
        <f>IFERROR(SUMIFS(Tabela10[Exp Gain only 2*+],Tabela10[Drop],DropAnalityka[[#This Row],[Drop]],Tabela10[Grade],DropAnalityka[[#This Row],[Grade]])*DropAnalityka[[#This Row],[Quality/Quantity]],0)</f>
        <v>0</v>
      </c>
    </row>
    <row r="1759" spans="10:12">
      <c r="J17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59" s="43">
        <f>IFERROR(SUMIFS(Tabela10[Fod Worth],Tabela10[Drop],DropAnalityka[[#This Row],[Drop]],Tabela10[Grade],DropAnalityka[[#This Row],[Grade]])*DropAnalityka[[#This Row],[Quality/Quantity]],0)</f>
        <v>0</v>
      </c>
      <c r="L1759" s="43">
        <f>IFERROR(SUMIFS(Tabela10[Exp Gain only 2*+],Tabela10[Drop],DropAnalityka[[#This Row],[Drop]],Tabela10[Grade],DropAnalityka[[#This Row],[Grade]])*DropAnalityka[[#This Row],[Quality/Quantity]],0)</f>
        <v>0</v>
      </c>
    </row>
    <row r="1760" spans="10:12">
      <c r="J17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0" s="43">
        <f>IFERROR(SUMIFS(Tabela10[Fod Worth],Tabela10[Drop],DropAnalityka[[#This Row],[Drop]],Tabela10[Grade],DropAnalityka[[#This Row],[Grade]])*DropAnalityka[[#This Row],[Quality/Quantity]],0)</f>
        <v>0</v>
      </c>
      <c r="L1760" s="43">
        <f>IFERROR(SUMIFS(Tabela10[Exp Gain only 2*+],Tabela10[Drop],DropAnalityka[[#This Row],[Drop]],Tabela10[Grade],DropAnalityka[[#This Row],[Grade]])*DropAnalityka[[#This Row],[Quality/Quantity]],0)</f>
        <v>0</v>
      </c>
    </row>
    <row r="1761" spans="10:12">
      <c r="J17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1" s="43">
        <f>IFERROR(SUMIFS(Tabela10[Fod Worth],Tabela10[Drop],DropAnalityka[[#This Row],[Drop]],Tabela10[Grade],DropAnalityka[[#This Row],[Grade]])*DropAnalityka[[#This Row],[Quality/Quantity]],0)</f>
        <v>0</v>
      </c>
      <c r="L1761" s="43">
        <f>IFERROR(SUMIFS(Tabela10[Exp Gain only 2*+],Tabela10[Drop],DropAnalityka[[#This Row],[Drop]],Tabela10[Grade],DropAnalityka[[#This Row],[Grade]])*DropAnalityka[[#This Row],[Quality/Quantity]],0)</f>
        <v>0</v>
      </c>
    </row>
    <row r="1762" spans="10:12">
      <c r="J17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2" s="43">
        <f>IFERROR(SUMIFS(Tabela10[Fod Worth],Tabela10[Drop],DropAnalityka[[#This Row],[Drop]],Tabela10[Grade],DropAnalityka[[#This Row],[Grade]])*DropAnalityka[[#This Row],[Quality/Quantity]],0)</f>
        <v>0</v>
      </c>
      <c r="L1762" s="43">
        <f>IFERROR(SUMIFS(Tabela10[Exp Gain only 2*+],Tabela10[Drop],DropAnalityka[[#This Row],[Drop]],Tabela10[Grade],DropAnalityka[[#This Row],[Grade]])*DropAnalityka[[#This Row],[Quality/Quantity]],0)</f>
        <v>0</v>
      </c>
    </row>
    <row r="1763" spans="10:12">
      <c r="J17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3" s="43">
        <f>IFERROR(SUMIFS(Tabela10[Fod Worth],Tabela10[Drop],DropAnalityka[[#This Row],[Drop]],Tabela10[Grade],DropAnalityka[[#This Row],[Grade]])*DropAnalityka[[#This Row],[Quality/Quantity]],0)</f>
        <v>0</v>
      </c>
      <c r="L1763" s="43">
        <f>IFERROR(SUMIFS(Tabela10[Exp Gain only 2*+],Tabela10[Drop],DropAnalityka[[#This Row],[Drop]],Tabela10[Grade],DropAnalityka[[#This Row],[Grade]])*DropAnalityka[[#This Row],[Quality/Quantity]],0)</f>
        <v>0</v>
      </c>
    </row>
    <row r="1764" spans="10:12">
      <c r="J17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4" s="43">
        <f>IFERROR(SUMIFS(Tabela10[Fod Worth],Tabela10[Drop],DropAnalityka[[#This Row],[Drop]],Tabela10[Grade],DropAnalityka[[#This Row],[Grade]])*DropAnalityka[[#This Row],[Quality/Quantity]],0)</f>
        <v>0</v>
      </c>
      <c r="L1764" s="43">
        <f>IFERROR(SUMIFS(Tabela10[Exp Gain only 2*+],Tabela10[Drop],DropAnalityka[[#This Row],[Drop]],Tabela10[Grade],DropAnalityka[[#This Row],[Grade]])*DropAnalityka[[#This Row],[Quality/Quantity]],0)</f>
        <v>0</v>
      </c>
    </row>
    <row r="1765" spans="10:12">
      <c r="J17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5" s="43">
        <f>IFERROR(SUMIFS(Tabela10[Fod Worth],Tabela10[Drop],DropAnalityka[[#This Row],[Drop]],Tabela10[Grade],DropAnalityka[[#This Row],[Grade]])*DropAnalityka[[#This Row],[Quality/Quantity]],0)</f>
        <v>0</v>
      </c>
      <c r="L1765" s="43">
        <f>IFERROR(SUMIFS(Tabela10[Exp Gain only 2*+],Tabela10[Drop],DropAnalityka[[#This Row],[Drop]],Tabela10[Grade],DropAnalityka[[#This Row],[Grade]])*DropAnalityka[[#This Row],[Quality/Quantity]],0)</f>
        <v>0</v>
      </c>
    </row>
    <row r="1766" spans="10:12">
      <c r="J17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6" s="43">
        <f>IFERROR(SUMIFS(Tabela10[Fod Worth],Tabela10[Drop],DropAnalityka[[#This Row],[Drop]],Tabela10[Grade],DropAnalityka[[#This Row],[Grade]])*DropAnalityka[[#This Row],[Quality/Quantity]],0)</f>
        <v>0</v>
      </c>
      <c r="L1766" s="43">
        <f>IFERROR(SUMIFS(Tabela10[Exp Gain only 2*+],Tabela10[Drop],DropAnalityka[[#This Row],[Drop]],Tabela10[Grade],DropAnalityka[[#This Row],[Grade]])*DropAnalityka[[#This Row],[Quality/Quantity]],0)</f>
        <v>0</v>
      </c>
    </row>
    <row r="1767" spans="10:12">
      <c r="J17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7" s="43">
        <f>IFERROR(SUMIFS(Tabela10[Fod Worth],Tabela10[Drop],DropAnalityka[[#This Row],[Drop]],Tabela10[Grade],DropAnalityka[[#This Row],[Grade]])*DropAnalityka[[#This Row],[Quality/Quantity]],0)</f>
        <v>0</v>
      </c>
      <c r="L1767" s="43">
        <f>IFERROR(SUMIFS(Tabela10[Exp Gain only 2*+],Tabela10[Drop],DropAnalityka[[#This Row],[Drop]],Tabela10[Grade],DropAnalityka[[#This Row],[Grade]])*DropAnalityka[[#This Row],[Quality/Quantity]],0)</f>
        <v>0</v>
      </c>
    </row>
    <row r="1768" spans="10:12">
      <c r="J17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8" s="43">
        <f>IFERROR(SUMIFS(Tabela10[Fod Worth],Tabela10[Drop],DropAnalityka[[#This Row],[Drop]],Tabela10[Grade],DropAnalityka[[#This Row],[Grade]])*DropAnalityka[[#This Row],[Quality/Quantity]],0)</f>
        <v>0</v>
      </c>
      <c r="L1768" s="43">
        <f>IFERROR(SUMIFS(Tabela10[Exp Gain only 2*+],Tabela10[Drop],DropAnalityka[[#This Row],[Drop]],Tabela10[Grade],DropAnalityka[[#This Row],[Grade]])*DropAnalityka[[#This Row],[Quality/Quantity]],0)</f>
        <v>0</v>
      </c>
    </row>
    <row r="1769" spans="10:12">
      <c r="J17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69" s="43">
        <f>IFERROR(SUMIFS(Tabela10[Fod Worth],Tabela10[Drop],DropAnalityka[[#This Row],[Drop]],Tabela10[Grade],DropAnalityka[[#This Row],[Grade]])*DropAnalityka[[#This Row],[Quality/Quantity]],0)</f>
        <v>0</v>
      </c>
      <c r="L1769" s="43">
        <f>IFERROR(SUMIFS(Tabela10[Exp Gain only 2*+],Tabela10[Drop],DropAnalityka[[#This Row],[Drop]],Tabela10[Grade],DropAnalityka[[#This Row],[Grade]])*DropAnalityka[[#This Row],[Quality/Quantity]],0)</f>
        <v>0</v>
      </c>
    </row>
    <row r="1770" spans="10:12">
      <c r="J17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0" s="43">
        <f>IFERROR(SUMIFS(Tabela10[Fod Worth],Tabela10[Drop],DropAnalityka[[#This Row],[Drop]],Tabela10[Grade],DropAnalityka[[#This Row],[Grade]])*DropAnalityka[[#This Row],[Quality/Quantity]],0)</f>
        <v>0</v>
      </c>
      <c r="L1770" s="43">
        <f>IFERROR(SUMIFS(Tabela10[Exp Gain only 2*+],Tabela10[Drop],DropAnalityka[[#This Row],[Drop]],Tabela10[Grade],DropAnalityka[[#This Row],[Grade]])*DropAnalityka[[#This Row],[Quality/Quantity]],0)</f>
        <v>0</v>
      </c>
    </row>
    <row r="1771" spans="10:12">
      <c r="J17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1" s="43">
        <f>IFERROR(SUMIFS(Tabela10[Fod Worth],Tabela10[Drop],DropAnalityka[[#This Row],[Drop]],Tabela10[Grade],DropAnalityka[[#This Row],[Grade]])*DropAnalityka[[#This Row],[Quality/Quantity]],0)</f>
        <v>0</v>
      </c>
      <c r="L1771" s="43">
        <f>IFERROR(SUMIFS(Tabela10[Exp Gain only 2*+],Tabela10[Drop],DropAnalityka[[#This Row],[Drop]],Tabela10[Grade],DropAnalityka[[#This Row],[Grade]])*DropAnalityka[[#This Row],[Quality/Quantity]],0)</f>
        <v>0</v>
      </c>
    </row>
    <row r="1772" spans="10:12">
      <c r="J17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2" s="43">
        <f>IFERROR(SUMIFS(Tabela10[Fod Worth],Tabela10[Drop],DropAnalityka[[#This Row],[Drop]],Tabela10[Grade],DropAnalityka[[#This Row],[Grade]])*DropAnalityka[[#This Row],[Quality/Quantity]],0)</f>
        <v>0</v>
      </c>
      <c r="L1772" s="43">
        <f>IFERROR(SUMIFS(Tabela10[Exp Gain only 2*+],Tabela10[Drop],DropAnalityka[[#This Row],[Drop]],Tabela10[Grade],DropAnalityka[[#This Row],[Grade]])*DropAnalityka[[#This Row],[Quality/Quantity]],0)</f>
        <v>0</v>
      </c>
    </row>
    <row r="1773" spans="10:12">
      <c r="J17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3" s="43">
        <f>IFERROR(SUMIFS(Tabela10[Fod Worth],Tabela10[Drop],DropAnalityka[[#This Row],[Drop]],Tabela10[Grade],DropAnalityka[[#This Row],[Grade]])*DropAnalityka[[#This Row],[Quality/Quantity]],0)</f>
        <v>0</v>
      </c>
      <c r="L1773" s="43">
        <f>IFERROR(SUMIFS(Tabela10[Exp Gain only 2*+],Tabela10[Drop],DropAnalityka[[#This Row],[Drop]],Tabela10[Grade],DropAnalityka[[#This Row],[Grade]])*DropAnalityka[[#This Row],[Quality/Quantity]],0)</f>
        <v>0</v>
      </c>
    </row>
    <row r="1774" spans="10:12">
      <c r="J17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4" s="43">
        <f>IFERROR(SUMIFS(Tabela10[Fod Worth],Tabela10[Drop],DropAnalityka[[#This Row],[Drop]],Tabela10[Grade],DropAnalityka[[#This Row],[Grade]])*DropAnalityka[[#This Row],[Quality/Quantity]],0)</f>
        <v>0</v>
      </c>
      <c r="L1774" s="43">
        <f>IFERROR(SUMIFS(Tabela10[Exp Gain only 2*+],Tabela10[Drop],DropAnalityka[[#This Row],[Drop]],Tabela10[Grade],DropAnalityka[[#This Row],[Grade]])*DropAnalityka[[#This Row],[Quality/Quantity]],0)</f>
        <v>0</v>
      </c>
    </row>
    <row r="1775" spans="10:12">
      <c r="J17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5" s="43">
        <f>IFERROR(SUMIFS(Tabela10[Fod Worth],Tabela10[Drop],DropAnalityka[[#This Row],[Drop]],Tabela10[Grade],DropAnalityka[[#This Row],[Grade]])*DropAnalityka[[#This Row],[Quality/Quantity]],0)</f>
        <v>0</v>
      </c>
      <c r="L1775" s="43">
        <f>IFERROR(SUMIFS(Tabela10[Exp Gain only 2*+],Tabela10[Drop],DropAnalityka[[#This Row],[Drop]],Tabela10[Grade],DropAnalityka[[#This Row],[Grade]])*DropAnalityka[[#This Row],[Quality/Quantity]],0)</f>
        <v>0</v>
      </c>
    </row>
    <row r="1776" spans="10:12">
      <c r="J17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6" s="43">
        <f>IFERROR(SUMIFS(Tabela10[Fod Worth],Tabela10[Drop],DropAnalityka[[#This Row],[Drop]],Tabela10[Grade],DropAnalityka[[#This Row],[Grade]])*DropAnalityka[[#This Row],[Quality/Quantity]],0)</f>
        <v>0</v>
      </c>
      <c r="L1776" s="43">
        <f>IFERROR(SUMIFS(Tabela10[Exp Gain only 2*+],Tabela10[Drop],DropAnalityka[[#This Row],[Drop]],Tabela10[Grade],DropAnalityka[[#This Row],[Grade]])*DropAnalityka[[#This Row],[Quality/Quantity]],0)</f>
        <v>0</v>
      </c>
    </row>
    <row r="1777" spans="10:12">
      <c r="J17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7" s="43">
        <f>IFERROR(SUMIFS(Tabela10[Fod Worth],Tabela10[Drop],DropAnalityka[[#This Row],[Drop]],Tabela10[Grade],DropAnalityka[[#This Row],[Grade]])*DropAnalityka[[#This Row],[Quality/Quantity]],0)</f>
        <v>0</v>
      </c>
      <c r="L1777" s="43">
        <f>IFERROR(SUMIFS(Tabela10[Exp Gain only 2*+],Tabela10[Drop],DropAnalityka[[#This Row],[Drop]],Tabela10[Grade],DropAnalityka[[#This Row],[Grade]])*DropAnalityka[[#This Row],[Quality/Quantity]],0)</f>
        <v>0</v>
      </c>
    </row>
    <row r="1778" spans="10:12">
      <c r="J17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8" s="43">
        <f>IFERROR(SUMIFS(Tabela10[Fod Worth],Tabela10[Drop],DropAnalityka[[#This Row],[Drop]],Tabela10[Grade],DropAnalityka[[#This Row],[Grade]])*DropAnalityka[[#This Row],[Quality/Quantity]],0)</f>
        <v>0</v>
      </c>
      <c r="L1778" s="43">
        <f>IFERROR(SUMIFS(Tabela10[Exp Gain only 2*+],Tabela10[Drop],DropAnalityka[[#This Row],[Drop]],Tabela10[Grade],DropAnalityka[[#This Row],[Grade]])*DropAnalityka[[#This Row],[Quality/Quantity]],0)</f>
        <v>0</v>
      </c>
    </row>
    <row r="1779" spans="10:12">
      <c r="J17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79" s="43">
        <f>IFERROR(SUMIFS(Tabela10[Fod Worth],Tabela10[Drop],DropAnalityka[[#This Row],[Drop]],Tabela10[Grade],DropAnalityka[[#This Row],[Grade]])*DropAnalityka[[#This Row],[Quality/Quantity]],0)</f>
        <v>0</v>
      </c>
      <c r="L1779" s="43">
        <f>IFERROR(SUMIFS(Tabela10[Exp Gain only 2*+],Tabela10[Drop],DropAnalityka[[#This Row],[Drop]],Tabela10[Grade],DropAnalityka[[#This Row],[Grade]])*DropAnalityka[[#This Row],[Quality/Quantity]],0)</f>
        <v>0</v>
      </c>
    </row>
    <row r="1780" spans="10:12">
      <c r="J17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0" s="43">
        <f>IFERROR(SUMIFS(Tabela10[Fod Worth],Tabela10[Drop],DropAnalityka[[#This Row],[Drop]],Tabela10[Grade],DropAnalityka[[#This Row],[Grade]])*DropAnalityka[[#This Row],[Quality/Quantity]],0)</f>
        <v>0</v>
      </c>
      <c r="L1780" s="43">
        <f>IFERROR(SUMIFS(Tabela10[Exp Gain only 2*+],Tabela10[Drop],DropAnalityka[[#This Row],[Drop]],Tabela10[Grade],DropAnalityka[[#This Row],[Grade]])*DropAnalityka[[#This Row],[Quality/Quantity]],0)</f>
        <v>0</v>
      </c>
    </row>
    <row r="1781" spans="10:12">
      <c r="J17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1" s="43">
        <f>IFERROR(SUMIFS(Tabela10[Fod Worth],Tabela10[Drop],DropAnalityka[[#This Row],[Drop]],Tabela10[Grade],DropAnalityka[[#This Row],[Grade]])*DropAnalityka[[#This Row],[Quality/Quantity]],0)</f>
        <v>0</v>
      </c>
      <c r="L1781" s="43">
        <f>IFERROR(SUMIFS(Tabela10[Exp Gain only 2*+],Tabela10[Drop],DropAnalityka[[#This Row],[Drop]],Tabela10[Grade],DropAnalityka[[#This Row],[Grade]])*DropAnalityka[[#This Row],[Quality/Quantity]],0)</f>
        <v>0</v>
      </c>
    </row>
    <row r="1782" spans="10:12">
      <c r="J17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2" s="43">
        <f>IFERROR(SUMIFS(Tabela10[Fod Worth],Tabela10[Drop],DropAnalityka[[#This Row],[Drop]],Tabela10[Grade],DropAnalityka[[#This Row],[Grade]])*DropAnalityka[[#This Row],[Quality/Quantity]],0)</f>
        <v>0</v>
      </c>
      <c r="L1782" s="43">
        <f>IFERROR(SUMIFS(Tabela10[Exp Gain only 2*+],Tabela10[Drop],DropAnalityka[[#This Row],[Drop]],Tabela10[Grade],DropAnalityka[[#This Row],[Grade]])*DropAnalityka[[#This Row],[Quality/Quantity]],0)</f>
        <v>0</v>
      </c>
    </row>
    <row r="1783" spans="10:12">
      <c r="J17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3" s="43">
        <f>IFERROR(SUMIFS(Tabela10[Fod Worth],Tabela10[Drop],DropAnalityka[[#This Row],[Drop]],Tabela10[Grade],DropAnalityka[[#This Row],[Grade]])*DropAnalityka[[#This Row],[Quality/Quantity]],0)</f>
        <v>0</v>
      </c>
      <c r="L1783" s="43">
        <f>IFERROR(SUMIFS(Tabela10[Exp Gain only 2*+],Tabela10[Drop],DropAnalityka[[#This Row],[Drop]],Tabela10[Grade],DropAnalityka[[#This Row],[Grade]])*DropAnalityka[[#This Row],[Quality/Quantity]],0)</f>
        <v>0</v>
      </c>
    </row>
    <row r="1784" spans="10:12">
      <c r="J17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4" s="43">
        <f>IFERROR(SUMIFS(Tabela10[Fod Worth],Tabela10[Drop],DropAnalityka[[#This Row],[Drop]],Tabela10[Grade],DropAnalityka[[#This Row],[Grade]])*DropAnalityka[[#This Row],[Quality/Quantity]],0)</f>
        <v>0</v>
      </c>
      <c r="L1784" s="43">
        <f>IFERROR(SUMIFS(Tabela10[Exp Gain only 2*+],Tabela10[Drop],DropAnalityka[[#This Row],[Drop]],Tabela10[Grade],DropAnalityka[[#This Row],[Grade]])*DropAnalityka[[#This Row],[Quality/Quantity]],0)</f>
        <v>0</v>
      </c>
    </row>
    <row r="1785" spans="10:12">
      <c r="J17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5" s="43">
        <f>IFERROR(SUMIFS(Tabela10[Fod Worth],Tabela10[Drop],DropAnalityka[[#This Row],[Drop]],Tabela10[Grade],DropAnalityka[[#This Row],[Grade]])*DropAnalityka[[#This Row],[Quality/Quantity]],0)</f>
        <v>0</v>
      </c>
      <c r="L1785" s="43">
        <f>IFERROR(SUMIFS(Tabela10[Exp Gain only 2*+],Tabela10[Drop],DropAnalityka[[#This Row],[Drop]],Tabela10[Grade],DropAnalityka[[#This Row],[Grade]])*DropAnalityka[[#This Row],[Quality/Quantity]],0)</f>
        <v>0</v>
      </c>
    </row>
    <row r="1786" spans="10:12">
      <c r="J17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6" s="43">
        <f>IFERROR(SUMIFS(Tabela10[Fod Worth],Tabela10[Drop],DropAnalityka[[#This Row],[Drop]],Tabela10[Grade],DropAnalityka[[#This Row],[Grade]])*DropAnalityka[[#This Row],[Quality/Quantity]],0)</f>
        <v>0</v>
      </c>
      <c r="L1786" s="43">
        <f>IFERROR(SUMIFS(Tabela10[Exp Gain only 2*+],Tabela10[Drop],DropAnalityka[[#This Row],[Drop]],Tabela10[Grade],DropAnalityka[[#This Row],[Grade]])*DropAnalityka[[#This Row],[Quality/Quantity]],0)</f>
        <v>0</v>
      </c>
    </row>
    <row r="1787" spans="10:12">
      <c r="J17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7" s="43">
        <f>IFERROR(SUMIFS(Tabela10[Fod Worth],Tabela10[Drop],DropAnalityka[[#This Row],[Drop]],Tabela10[Grade],DropAnalityka[[#This Row],[Grade]])*DropAnalityka[[#This Row],[Quality/Quantity]],0)</f>
        <v>0</v>
      </c>
      <c r="L1787" s="43">
        <f>IFERROR(SUMIFS(Tabela10[Exp Gain only 2*+],Tabela10[Drop],DropAnalityka[[#This Row],[Drop]],Tabela10[Grade],DropAnalityka[[#This Row],[Grade]])*DropAnalityka[[#This Row],[Quality/Quantity]],0)</f>
        <v>0</v>
      </c>
    </row>
    <row r="1788" spans="10:12">
      <c r="J17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8" s="43">
        <f>IFERROR(SUMIFS(Tabela10[Fod Worth],Tabela10[Drop],DropAnalityka[[#This Row],[Drop]],Tabela10[Grade],DropAnalityka[[#This Row],[Grade]])*DropAnalityka[[#This Row],[Quality/Quantity]],0)</f>
        <v>0</v>
      </c>
      <c r="L1788" s="43">
        <f>IFERROR(SUMIFS(Tabela10[Exp Gain only 2*+],Tabela10[Drop],DropAnalityka[[#This Row],[Drop]],Tabela10[Grade],DropAnalityka[[#This Row],[Grade]])*DropAnalityka[[#This Row],[Quality/Quantity]],0)</f>
        <v>0</v>
      </c>
    </row>
    <row r="1789" spans="10:12">
      <c r="J17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89" s="43">
        <f>IFERROR(SUMIFS(Tabela10[Fod Worth],Tabela10[Drop],DropAnalityka[[#This Row],[Drop]],Tabela10[Grade],DropAnalityka[[#This Row],[Grade]])*DropAnalityka[[#This Row],[Quality/Quantity]],0)</f>
        <v>0</v>
      </c>
      <c r="L1789" s="43">
        <f>IFERROR(SUMIFS(Tabela10[Exp Gain only 2*+],Tabela10[Drop],DropAnalityka[[#This Row],[Drop]],Tabela10[Grade],DropAnalityka[[#This Row],[Grade]])*DropAnalityka[[#This Row],[Quality/Quantity]],0)</f>
        <v>0</v>
      </c>
    </row>
    <row r="1790" spans="10:12">
      <c r="J17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0" s="43">
        <f>IFERROR(SUMIFS(Tabela10[Fod Worth],Tabela10[Drop],DropAnalityka[[#This Row],[Drop]],Tabela10[Grade],DropAnalityka[[#This Row],[Grade]])*DropAnalityka[[#This Row],[Quality/Quantity]],0)</f>
        <v>0</v>
      </c>
      <c r="L1790" s="43">
        <f>IFERROR(SUMIFS(Tabela10[Exp Gain only 2*+],Tabela10[Drop],DropAnalityka[[#This Row],[Drop]],Tabela10[Grade],DropAnalityka[[#This Row],[Grade]])*DropAnalityka[[#This Row],[Quality/Quantity]],0)</f>
        <v>0</v>
      </c>
    </row>
    <row r="1791" spans="10:12">
      <c r="J17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1" s="43">
        <f>IFERROR(SUMIFS(Tabela10[Fod Worth],Tabela10[Drop],DropAnalityka[[#This Row],[Drop]],Tabela10[Grade],DropAnalityka[[#This Row],[Grade]])*DropAnalityka[[#This Row],[Quality/Quantity]],0)</f>
        <v>0</v>
      </c>
      <c r="L1791" s="43">
        <f>IFERROR(SUMIFS(Tabela10[Exp Gain only 2*+],Tabela10[Drop],DropAnalityka[[#This Row],[Drop]],Tabela10[Grade],DropAnalityka[[#This Row],[Grade]])*DropAnalityka[[#This Row],[Quality/Quantity]],0)</f>
        <v>0</v>
      </c>
    </row>
    <row r="1792" spans="10:12">
      <c r="J17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2" s="43">
        <f>IFERROR(SUMIFS(Tabela10[Fod Worth],Tabela10[Drop],DropAnalityka[[#This Row],[Drop]],Tabela10[Grade],DropAnalityka[[#This Row],[Grade]])*DropAnalityka[[#This Row],[Quality/Quantity]],0)</f>
        <v>0</v>
      </c>
      <c r="L1792" s="43">
        <f>IFERROR(SUMIFS(Tabela10[Exp Gain only 2*+],Tabela10[Drop],DropAnalityka[[#This Row],[Drop]],Tabela10[Grade],DropAnalityka[[#This Row],[Grade]])*DropAnalityka[[#This Row],[Quality/Quantity]],0)</f>
        <v>0</v>
      </c>
    </row>
    <row r="1793" spans="10:12">
      <c r="J17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3" s="43">
        <f>IFERROR(SUMIFS(Tabela10[Fod Worth],Tabela10[Drop],DropAnalityka[[#This Row],[Drop]],Tabela10[Grade],DropAnalityka[[#This Row],[Grade]])*DropAnalityka[[#This Row],[Quality/Quantity]],0)</f>
        <v>0</v>
      </c>
      <c r="L1793" s="43">
        <f>IFERROR(SUMIFS(Tabela10[Exp Gain only 2*+],Tabela10[Drop],DropAnalityka[[#This Row],[Drop]],Tabela10[Grade],DropAnalityka[[#This Row],[Grade]])*DropAnalityka[[#This Row],[Quality/Quantity]],0)</f>
        <v>0</v>
      </c>
    </row>
    <row r="1794" spans="10:12">
      <c r="J17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4" s="43">
        <f>IFERROR(SUMIFS(Tabela10[Fod Worth],Tabela10[Drop],DropAnalityka[[#This Row],[Drop]],Tabela10[Grade],DropAnalityka[[#This Row],[Grade]])*DropAnalityka[[#This Row],[Quality/Quantity]],0)</f>
        <v>0</v>
      </c>
      <c r="L1794" s="43">
        <f>IFERROR(SUMIFS(Tabela10[Exp Gain only 2*+],Tabela10[Drop],DropAnalityka[[#This Row],[Drop]],Tabela10[Grade],DropAnalityka[[#This Row],[Grade]])*DropAnalityka[[#This Row],[Quality/Quantity]],0)</f>
        <v>0</v>
      </c>
    </row>
    <row r="1795" spans="10:12">
      <c r="J17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5" s="43">
        <f>IFERROR(SUMIFS(Tabela10[Fod Worth],Tabela10[Drop],DropAnalityka[[#This Row],[Drop]],Tabela10[Grade],DropAnalityka[[#This Row],[Grade]])*DropAnalityka[[#This Row],[Quality/Quantity]],0)</f>
        <v>0</v>
      </c>
      <c r="L1795" s="43">
        <f>IFERROR(SUMIFS(Tabela10[Exp Gain only 2*+],Tabela10[Drop],DropAnalityka[[#This Row],[Drop]],Tabela10[Grade],DropAnalityka[[#This Row],[Grade]])*DropAnalityka[[#This Row],[Quality/Quantity]],0)</f>
        <v>0</v>
      </c>
    </row>
    <row r="1796" spans="10:12">
      <c r="J17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6" s="43">
        <f>IFERROR(SUMIFS(Tabela10[Fod Worth],Tabela10[Drop],DropAnalityka[[#This Row],[Drop]],Tabela10[Grade],DropAnalityka[[#This Row],[Grade]])*DropAnalityka[[#This Row],[Quality/Quantity]],0)</f>
        <v>0</v>
      </c>
      <c r="L1796" s="43">
        <f>IFERROR(SUMIFS(Tabela10[Exp Gain only 2*+],Tabela10[Drop],DropAnalityka[[#This Row],[Drop]],Tabela10[Grade],DropAnalityka[[#This Row],[Grade]])*DropAnalityka[[#This Row],[Quality/Quantity]],0)</f>
        <v>0</v>
      </c>
    </row>
    <row r="1797" spans="10:12">
      <c r="J17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7" s="43">
        <f>IFERROR(SUMIFS(Tabela10[Fod Worth],Tabela10[Drop],DropAnalityka[[#This Row],[Drop]],Tabela10[Grade],DropAnalityka[[#This Row],[Grade]])*DropAnalityka[[#This Row],[Quality/Quantity]],0)</f>
        <v>0</v>
      </c>
      <c r="L1797" s="43">
        <f>IFERROR(SUMIFS(Tabela10[Exp Gain only 2*+],Tabela10[Drop],DropAnalityka[[#This Row],[Drop]],Tabela10[Grade],DropAnalityka[[#This Row],[Grade]])*DropAnalityka[[#This Row],[Quality/Quantity]],0)</f>
        <v>0</v>
      </c>
    </row>
    <row r="1798" spans="10:12">
      <c r="J17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8" s="43">
        <f>IFERROR(SUMIFS(Tabela10[Fod Worth],Tabela10[Drop],DropAnalityka[[#This Row],[Drop]],Tabela10[Grade],DropAnalityka[[#This Row],[Grade]])*DropAnalityka[[#This Row],[Quality/Quantity]],0)</f>
        <v>0</v>
      </c>
      <c r="L1798" s="43">
        <f>IFERROR(SUMIFS(Tabela10[Exp Gain only 2*+],Tabela10[Drop],DropAnalityka[[#This Row],[Drop]],Tabela10[Grade],DropAnalityka[[#This Row],[Grade]])*DropAnalityka[[#This Row],[Quality/Quantity]],0)</f>
        <v>0</v>
      </c>
    </row>
    <row r="1799" spans="10:12">
      <c r="J17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799" s="43">
        <f>IFERROR(SUMIFS(Tabela10[Fod Worth],Tabela10[Drop],DropAnalityka[[#This Row],[Drop]],Tabela10[Grade],DropAnalityka[[#This Row],[Grade]])*DropAnalityka[[#This Row],[Quality/Quantity]],0)</f>
        <v>0</v>
      </c>
      <c r="L1799" s="43">
        <f>IFERROR(SUMIFS(Tabela10[Exp Gain only 2*+],Tabela10[Drop],DropAnalityka[[#This Row],[Drop]],Tabela10[Grade],DropAnalityka[[#This Row],[Grade]])*DropAnalityka[[#This Row],[Quality/Quantity]],0)</f>
        <v>0</v>
      </c>
    </row>
    <row r="1800" spans="10:12">
      <c r="J18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0" s="43">
        <f>IFERROR(SUMIFS(Tabela10[Fod Worth],Tabela10[Drop],DropAnalityka[[#This Row],[Drop]],Tabela10[Grade],DropAnalityka[[#This Row],[Grade]])*DropAnalityka[[#This Row],[Quality/Quantity]],0)</f>
        <v>0</v>
      </c>
      <c r="L1800" s="43">
        <f>IFERROR(SUMIFS(Tabela10[Exp Gain only 2*+],Tabela10[Drop],DropAnalityka[[#This Row],[Drop]],Tabela10[Grade],DropAnalityka[[#This Row],[Grade]])*DropAnalityka[[#This Row],[Quality/Quantity]],0)</f>
        <v>0</v>
      </c>
    </row>
    <row r="1801" spans="10:12">
      <c r="J18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1" s="43">
        <f>IFERROR(SUMIFS(Tabela10[Fod Worth],Tabela10[Drop],DropAnalityka[[#This Row],[Drop]],Tabela10[Grade],DropAnalityka[[#This Row],[Grade]])*DropAnalityka[[#This Row],[Quality/Quantity]],0)</f>
        <v>0</v>
      </c>
      <c r="L1801" s="43">
        <f>IFERROR(SUMIFS(Tabela10[Exp Gain only 2*+],Tabela10[Drop],DropAnalityka[[#This Row],[Drop]],Tabela10[Grade],DropAnalityka[[#This Row],[Grade]])*DropAnalityka[[#This Row],[Quality/Quantity]],0)</f>
        <v>0</v>
      </c>
    </row>
    <row r="1802" spans="10:12">
      <c r="J18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2" s="43">
        <f>IFERROR(SUMIFS(Tabela10[Fod Worth],Tabela10[Drop],DropAnalityka[[#This Row],[Drop]],Tabela10[Grade],DropAnalityka[[#This Row],[Grade]])*DropAnalityka[[#This Row],[Quality/Quantity]],0)</f>
        <v>0</v>
      </c>
      <c r="L1802" s="43">
        <f>IFERROR(SUMIFS(Tabela10[Exp Gain only 2*+],Tabela10[Drop],DropAnalityka[[#This Row],[Drop]],Tabela10[Grade],DropAnalityka[[#This Row],[Grade]])*DropAnalityka[[#This Row],[Quality/Quantity]],0)</f>
        <v>0</v>
      </c>
    </row>
    <row r="1803" spans="10:12">
      <c r="J18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3" s="43">
        <f>IFERROR(SUMIFS(Tabela10[Fod Worth],Tabela10[Drop],DropAnalityka[[#This Row],[Drop]],Tabela10[Grade],DropAnalityka[[#This Row],[Grade]])*DropAnalityka[[#This Row],[Quality/Quantity]],0)</f>
        <v>0</v>
      </c>
      <c r="L1803" s="43">
        <f>IFERROR(SUMIFS(Tabela10[Exp Gain only 2*+],Tabela10[Drop],DropAnalityka[[#This Row],[Drop]],Tabela10[Grade],DropAnalityka[[#This Row],[Grade]])*DropAnalityka[[#This Row],[Quality/Quantity]],0)</f>
        <v>0</v>
      </c>
    </row>
    <row r="1804" spans="10:12">
      <c r="J18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4" s="43">
        <f>IFERROR(SUMIFS(Tabela10[Fod Worth],Tabela10[Drop],DropAnalityka[[#This Row],[Drop]],Tabela10[Grade],DropAnalityka[[#This Row],[Grade]])*DropAnalityka[[#This Row],[Quality/Quantity]],0)</f>
        <v>0</v>
      </c>
      <c r="L1804" s="43">
        <f>IFERROR(SUMIFS(Tabela10[Exp Gain only 2*+],Tabela10[Drop],DropAnalityka[[#This Row],[Drop]],Tabela10[Grade],DropAnalityka[[#This Row],[Grade]])*DropAnalityka[[#This Row],[Quality/Quantity]],0)</f>
        <v>0</v>
      </c>
    </row>
    <row r="1805" spans="10:12">
      <c r="J18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5" s="43">
        <f>IFERROR(SUMIFS(Tabela10[Fod Worth],Tabela10[Drop],DropAnalityka[[#This Row],[Drop]],Tabela10[Grade],DropAnalityka[[#This Row],[Grade]])*DropAnalityka[[#This Row],[Quality/Quantity]],0)</f>
        <v>0</v>
      </c>
      <c r="L1805" s="43">
        <f>IFERROR(SUMIFS(Tabela10[Exp Gain only 2*+],Tabela10[Drop],DropAnalityka[[#This Row],[Drop]],Tabela10[Grade],DropAnalityka[[#This Row],[Grade]])*DropAnalityka[[#This Row],[Quality/Quantity]],0)</f>
        <v>0</v>
      </c>
    </row>
    <row r="1806" spans="10:12">
      <c r="J18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6" s="43">
        <f>IFERROR(SUMIFS(Tabela10[Fod Worth],Tabela10[Drop],DropAnalityka[[#This Row],[Drop]],Tabela10[Grade],DropAnalityka[[#This Row],[Grade]])*DropAnalityka[[#This Row],[Quality/Quantity]],0)</f>
        <v>0</v>
      </c>
      <c r="L1806" s="43">
        <f>IFERROR(SUMIFS(Tabela10[Exp Gain only 2*+],Tabela10[Drop],DropAnalityka[[#This Row],[Drop]],Tabela10[Grade],DropAnalityka[[#This Row],[Grade]])*DropAnalityka[[#This Row],[Quality/Quantity]],0)</f>
        <v>0</v>
      </c>
    </row>
    <row r="1807" spans="10:12">
      <c r="J18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7" s="43">
        <f>IFERROR(SUMIFS(Tabela10[Fod Worth],Tabela10[Drop],DropAnalityka[[#This Row],[Drop]],Tabela10[Grade],DropAnalityka[[#This Row],[Grade]])*DropAnalityka[[#This Row],[Quality/Quantity]],0)</f>
        <v>0</v>
      </c>
      <c r="L1807" s="43">
        <f>IFERROR(SUMIFS(Tabela10[Exp Gain only 2*+],Tabela10[Drop],DropAnalityka[[#This Row],[Drop]],Tabela10[Grade],DropAnalityka[[#This Row],[Grade]])*DropAnalityka[[#This Row],[Quality/Quantity]],0)</f>
        <v>0</v>
      </c>
    </row>
    <row r="1808" spans="10:12">
      <c r="J180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8" s="43">
        <f>IFERROR(SUMIFS(Tabela10[Fod Worth],Tabela10[Drop],DropAnalityka[[#This Row],[Drop]],Tabela10[Grade],DropAnalityka[[#This Row],[Grade]])*DropAnalityka[[#This Row],[Quality/Quantity]],0)</f>
        <v>0</v>
      </c>
      <c r="L1808" s="43">
        <f>IFERROR(SUMIFS(Tabela10[Exp Gain only 2*+],Tabela10[Drop],DropAnalityka[[#This Row],[Drop]],Tabela10[Grade],DropAnalityka[[#This Row],[Grade]])*DropAnalityka[[#This Row],[Quality/Quantity]],0)</f>
        <v>0</v>
      </c>
    </row>
    <row r="1809" spans="10:12">
      <c r="J18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09" s="43">
        <f>IFERROR(SUMIFS(Tabela10[Fod Worth],Tabela10[Drop],DropAnalityka[[#This Row],[Drop]],Tabela10[Grade],DropAnalityka[[#This Row],[Grade]])*DropAnalityka[[#This Row],[Quality/Quantity]],0)</f>
        <v>0</v>
      </c>
      <c r="L1809" s="43">
        <f>IFERROR(SUMIFS(Tabela10[Exp Gain only 2*+],Tabela10[Drop],DropAnalityka[[#This Row],[Drop]],Tabela10[Grade],DropAnalityka[[#This Row],[Grade]])*DropAnalityka[[#This Row],[Quality/Quantity]],0)</f>
        <v>0</v>
      </c>
    </row>
    <row r="1810" spans="10:12">
      <c r="J18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0" s="43">
        <f>IFERROR(SUMIFS(Tabela10[Fod Worth],Tabela10[Drop],DropAnalityka[[#This Row],[Drop]],Tabela10[Grade],DropAnalityka[[#This Row],[Grade]])*DropAnalityka[[#This Row],[Quality/Quantity]],0)</f>
        <v>0</v>
      </c>
      <c r="L1810" s="43">
        <f>IFERROR(SUMIFS(Tabela10[Exp Gain only 2*+],Tabela10[Drop],DropAnalityka[[#This Row],[Drop]],Tabela10[Grade],DropAnalityka[[#This Row],[Grade]])*DropAnalityka[[#This Row],[Quality/Quantity]],0)</f>
        <v>0</v>
      </c>
    </row>
    <row r="1811" spans="10:12">
      <c r="J18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1" s="43">
        <f>IFERROR(SUMIFS(Tabela10[Fod Worth],Tabela10[Drop],DropAnalityka[[#This Row],[Drop]],Tabela10[Grade],DropAnalityka[[#This Row],[Grade]])*DropAnalityka[[#This Row],[Quality/Quantity]],0)</f>
        <v>0</v>
      </c>
      <c r="L1811" s="43">
        <f>IFERROR(SUMIFS(Tabela10[Exp Gain only 2*+],Tabela10[Drop],DropAnalityka[[#This Row],[Drop]],Tabela10[Grade],DropAnalityka[[#This Row],[Grade]])*DropAnalityka[[#This Row],[Quality/Quantity]],0)</f>
        <v>0</v>
      </c>
    </row>
    <row r="1812" spans="10:12">
      <c r="J18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2" s="43">
        <f>IFERROR(SUMIFS(Tabela10[Fod Worth],Tabela10[Drop],DropAnalityka[[#This Row],[Drop]],Tabela10[Grade],DropAnalityka[[#This Row],[Grade]])*DropAnalityka[[#This Row],[Quality/Quantity]],0)</f>
        <v>0</v>
      </c>
      <c r="L1812" s="43">
        <f>IFERROR(SUMIFS(Tabela10[Exp Gain only 2*+],Tabela10[Drop],DropAnalityka[[#This Row],[Drop]],Tabela10[Grade],DropAnalityka[[#This Row],[Grade]])*DropAnalityka[[#This Row],[Quality/Quantity]],0)</f>
        <v>0</v>
      </c>
    </row>
    <row r="1813" spans="10:12">
      <c r="J18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3" s="43">
        <f>IFERROR(SUMIFS(Tabela10[Fod Worth],Tabela10[Drop],DropAnalityka[[#This Row],[Drop]],Tabela10[Grade],DropAnalityka[[#This Row],[Grade]])*DropAnalityka[[#This Row],[Quality/Quantity]],0)</f>
        <v>0</v>
      </c>
      <c r="L1813" s="43">
        <f>IFERROR(SUMIFS(Tabela10[Exp Gain only 2*+],Tabela10[Drop],DropAnalityka[[#This Row],[Drop]],Tabela10[Grade],DropAnalityka[[#This Row],[Grade]])*DropAnalityka[[#This Row],[Quality/Quantity]],0)</f>
        <v>0</v>
      </c>
    </row>
    <row r="1814" spans="10:12">
      <c r="J18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4" s="43">
        <f>IFERROR(SUMIFS(Tabela10[Fod Worth],Tabela10[Drop],DropAnalityka[[#This Row],[Drop]],Tabela10[Grade],DropAnalityka[[#This Row],[Grade]])*DropAnalityka[[#This Row],[Quality/Quantity]],0)</f>
        <v>0</v>
      </c>
      <c r="L1814" s="43">
        <f>IFERROR(SUMIFS(Tabela10[Exp Gain only 2*+],Tabela10[Drop],DropAnalityka[[#This Row],[Drop]],Tabela10[Grade],DropAnalityka[[#This Row],[Grade]])*DropAnalityka[[#This Row],[Quality/Quantity]],0)</f>
        <v>0</v>
      </c>
    </row>
    <row r="1815" spans="10:12">
      <c r="J18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5" s="43">
        <f>IFERROR(SUMIFS(Tabela10[Fod Worth],Tabela10[Drop],DropAnalityka[[#This Row],[Drop]],Tabela10[Grade],DropAnalityka[[#This Row],[Grade]])*DropAnalityka[[#This Row],[Quality/Quantity]],0)</f>
        <v>0</v>
      </c>
      <c r="L1815" s="43">
        <f>IFERROR(SUMIFS(Tabela10[Exp Gain only 2*+],Tabela10[Drop],DropAnalityka[[#This Row],[Drop]],Tabela10[Grade],DropAnalityka[[#This Row],[Grade]])*DropAnalityka[[#This Row],[Quality/Quantity]],0)</f>
        <v>0</v>
      </c>
    </row>
    <row r="1816" spans="10:12">
      <c r="J18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6" s="43">
        <f>IFERROR(SUMIFS(Tabela10[Fod Worth],Tabela10[Drop],DropAnalityka[[#This Row],[Drop]],Tabela10[Grade],DropAnalityka[[#This Row],[Grade]])*DropAnalityka[[#This Row],[Quality/Quantity]],0)</f>
        <v>0</v>
      </c>
      <c r="L1816" s="43">
        <f>IFERROR(SUMIFS(Tabela10[Exp Gain only 2*+],Tabela10[Drop],DropAnalityka[[#This Row],[Drop]],Tabela10[Grade],DropAnalityka[[#This Row],[Grade]])*DropAnalityka[[#This Row],[Quality/Quantity]],0)</f>
        <v>0</v>
      </c>
    </row>
    <row r="1817" spans="10:12">
      <c r="J18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7" s="43">
        <f>IFERROR(SUMIFS(Tabela10[Fod Worth],Tabela10[Drop],DropAnalityka[[#This Row],[Drop]],Tabela10[Grade],DropAnalityka[[#This Row],[Grade]])*DropAnalityka[[#This Row],[Quality/Quantity]],0)</f>
        <v>0</v>
      </c>
      <c r="L1817" s="43">
        <f>IFERROR(SUMIFS(Tabela10[Exp Gain only 2*+],Tabela10[Drop],DropAnalityka[[#This Row],[Drop]],Tabela10[Grade],DropAnalityka[[#This Row],[Grade]])*DropAnalityka[[#This Row],[Quality/Quantity]],0)</f>
        <v>0</v>
      </c>
    </row>
    <row r="1818" spans="10:12">
      <c r="J18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8" s="43">
        <f>IFERROR(SUMIFS(Tabela10[Fod Worth],Tabela10[Drop],DropAnalityka[[#This Row],[Drop]],Tabela10[Grade],DropAnalityka[[#This Row],[Grade]])*DropAnalityka[[#This Row],[Quality/Quantity]],0)</f>
        <v>0</v>
      </c>
      <c r="L1818" s="43">
        <f>IFERROR(SUMIFS(Tabela10[Exp Gain only 2*+],Tabela10[Drop],DropAnalityka[[#This Row],[Drop]],Tabela10[Grade],DropAnalityka[[#This Row],[Grade]])*DropAnalityka[[#This Row],[Quality/Quantity]],0)</f>
        <v>0</v>
      </c>
    </row>
    <row r="1819" spans="10:12">
      <c r="J18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19" s="43">
        <f>IFERROR(SUMIFS(Tabela10[Fod Worth],Tabela10[Drop],DropAnalityka[[#This Row],[Drop]],Tabela10[Grade],DropAnalityka[[#This Row],[Grade]])*DropAnalityka[[#This Row],[Quality/Quantity]],0)</f>
        <v>0</v>
      </c>
      <c r="L1819" s="43">
        <f>IFERROR(SUMIFS(Tabela10[Exp Gain only 2*+],Tabela10[Drop],DropAnalityka[[#This Row],[Drop]],Tabela10[Grade],DropAnalityka[[#This Row],[Grade]])*DropAnalityka[[#This Row],[Quality/Quantity]],0)</f>
        <v>0</v>
      </c>
    </row>
    <row r="1820" spans="10:12">
      <c r="J18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0" s="43">
        <f>IFERROR(SUMIFS(Tabela10[Fod Worth],Tabela10[Drop],DropAnalityka[[#This Row],[Drop]],Tabela10[Grade],DropAnalityka[[#This Row],[Grade]])*DropAnalityka[[#This Row],[Quality/Quantity]],0)</f>
        <v>0</v>
      </c>
      <c r="L1820" s="43">
        <f>IFERROR(SUMIFS(Tabela10[Exp Gain only 2*+],Tabela10[Drop],DropAnalityka[[#This Row],[Drop]],Tabela10[Grade],DropAnalityka[[#This Row],[Grade]])*DropAnalityka[[#This Row],[Quality/Quantity]],0)</f>
        <v>0</v>
      </c>
    </row>
    <row r="1821" spans="10:12">
      <c r="J18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1" s="43">
        <f>IFERROR(SUMIFS(Tabela10[Fod Worth],Tabela10[Drop],DropAnalityka[[#This Row],[Drop]],Tabela10[Grade],DropAnalityka[[#This Row],[Grade]])*DropAnalityka[[#This Row],[Quality/Quantity]],0)</f>
        <v>0</v>
      </c>
      <c r="L1821" s="43">
        <f>IFERROR(SUMIFS(Tabela10[Exp Gain only 2*+],Tabela10[Drop],DropAnalityka[[#This Row],[Drop]],Tabela10[Grade],DropAnalityka[[#This Row],[Grade]])*DropAnalityka[[#This Row],[Quality/Quantity]],0)</f>
        <v>0</v>
      </c>
    </row>
    <row r="1822" spans="10:12">
      <c r="J18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2" s="43">
        <f>IFERROR(SUMIFS(Tabela10[Fod Worth],Tabela10[Drop],DropAnalityka[[#This Row],[Drop]],Tabela10[Grade],DropAnalityka[[#This Row],[Grade]])*DropAnalityka[[#This Row],[Quality/Quantity]],0)</f>
        <v>0</v>
      </c>
      <c r="L1822" s="43">
        <f>IFERROR(SUMIFS(Tabela10[Exp Gain only 2*+],Tabela10[Drop],DropAnalityka[[#This Row],[Drop]],Tabela10[Grade],DropAnalityka[[#This Row],[Grade]])*DropAnalityka[[#This Row],[Quality/Quantity]],0)</f>
        <v>0</v>
      </c>
    </row>
    <row r="1823" spans="10:12">
      <c r="J18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3" s="43">
        <f>IFERROR(SUMIFS(Tabela10[Fod Worth],Tabela10[Drop],DropAnalityka[[#This Row],[Drop]],Tabela10[Grade],DropAnalityka[[#This Row],[Grade]])*DropAnalityka[[#This Row],[Quality/Quantity]],0)</f>
        <v>0</v>
      </c>
      <c r="L1823" s="43">
        <f>IFERROR(SUMIFS(Tabela10[Exp Gain only 2*+],Tabela10[Drop],DropAnalityka[[#This Row],[Drop]],Tabela10[Grade],DropAnalityka[[#This Row],[Grade]])*DropAnalityka[[#This Row],[Quality/Quantity]],0)</f>
        <v>0</v>
      </c>
    </row>
    <row r="1824" spans="10:12">
      <c r="J18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4" s="43">
        <f>IFERROR(SUMIFS(Tabela10[Fod Worth],Tabela10[Drop],DropAnalityka[[#This Row],[Drop]],Tabela10[Grade],DropAnalityka[[#This Row],[Grade]])*DropAnalityka[[#This Row],[Quality/Quantity]],0)</f>
        <v>0</v>
      </c>
      <c r="L1824" s="43">
        <f>IFERROR(SUMIFS(Tabela10[Exp Gain only 2*+],Tabela10[Drop],DropAnalityka[[#This Row],[Drop]],Tabela10[Grade],DropAnalityka[[#This Row],[Grade]])*DropAnalityka[[#This Row],[Quality/Quantity]],0)</f>
        <v>0</v>
      </c>
    </row>
    <row r="1825" spans="10:12">
      <c r="J18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5" s="43">
        <f>IFERROR(SUMIFS(Tabela10[Fod Worth],Tabela10[Drop],DropAnalityka[[#This Row],[Drop]],Tabela10[Grade],DropAnalityka[[#This Row],[Grade]])*DropAnalityka[[#This Row],[Quality/Quantity]],0)</f>
        <v>0</v>
      </c>
      <c r="L1825" s="43">
        <f>IFERROR(SUMIFS(Tabela10[Exp Gain only 2*+],Tabela10[Drop],DropAnalityka[[#This Row],[Drop]],Tabela10[Grade],DropAnalityka[[#This Row],[Grade]])*DropAnalityka[[#This Row],[Quality/Quantity]],0)</f>
        <v>0</v>
      </c>
    </row>
    <row r="1826" spans="10:12">
      <c r="J18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6" s="43">
        <f>IFERROR(SUMIFS(Tabela10[Fod Worth],Tabela10[Drop],DropAnalityka[[#This Row],[Drop]],Tabela10[Grade],DropAnalityka[[#This Row],[Grade]])*DropAnalityka[[#This Row],[Quality/Quantity]],0)</f>
        <v>0</v>
      </c>
      <c r="L1826" s="43">
        <f>IFERROR(SUMIFS(Tabela10[Exp Gain only 2*+],Tabela10[Drop],DropAnalityka[[#This Row],[Drop]],Tabela10[Grade],DropAnalityka[[#This Row],[Grade]])*DropAnalityka[[#This Row],[Quality/Quantity]],0)</f>
        <v>0</v>
      </c>
    </row>
    <row r="1827" spans="10:12">
      <c r="J18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7" s="43">
        <f>IFERROR(SUMIFS(Tabela10[Fod Worth],Tabela10[Drop],DropAnalityka[[#This Row],[Drop]],Tabela10[Grade],DropAnalityka[[#This Row],[Grade]])*DropAnalityka[[#This Row],[Quality/Quantity]],0)</f>
        <v>0</v>
      </c>
      <c r="L1827" s="43">
        <f>IFERROR(SUMIFS(Tabela10[Exp Gain only 2*+],Tabela10[Drop],DropAnalityka[[#This Row],[Drop]],Tabela10[Grade],DropAnalityka[[#This Row],[Grade]])*DropAnalityka[[#This Row],[Quality/Quantity]],0)</f>
        <v>0</v>
      </c>
    </row>
    <row r="1828" spans="10:12">
      <c r="J18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8" s="43">
        <f>IFERROR(SUMIFS(Tabela10[Fod Worth],Tabela10[Drop],DropAnalityka[[#This Row],[Drop]],Tabela10[Grade],DropAnalityka[[#This Row],[Grade]])*DropAnalityka[[#This Row],[Quality/Quantity]],0)</f>
        <v>0</v>
      </c>
      <c r="L1828" s="43">
        <f>IFERROR(SUMIFS(Tabela10[Exp Gain only 2*+],Tabela10[Drop],DropAnalityka[[#This Row],[Drop]],Tabela10[Grade],DropAnalityka[[#This Row],[Grade]])*DropAnalityka[[#This Row],[Quality/Quantity]],0)</f>
        <v>0</v>
      </c>
    </row>
    <row r="1829" spans="10:12">
      <c r="J18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29" s="43">
        <f>IFERROR(SUMIFS(Tabela10[Fod Worth],Tabela10[Drop],DropAnalityka[[#This Row],[Drop]],Tabela10[Grade],DropAnalityka[[#This Row],[Grade]])*DropAnalityka[[#This Row],[Quality/Quantity]],0)</f>
        <v>0</v>
      </c>
      <c r="L1829" s="43">
        <f>IFERROR(SUMIFS(Tabela10[Exp Gain only 2*+],Tabela10[Drop],DropAnalityka[[#This Row],[Drop]],Tabela10[Grade],DropAnalityka[[#This Row],[Grade]])*DropAnalityka[[#This Row],[Quality/Quantity]],0)</f>
        <v>0</v>
      </c>
    </row>
    <row r="1830" spans="10:12">
      <c r="J18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0" s="43">
        <f>IFERROR(SUMIFS(Tabela10[Fod Worth],Tabela10[Drop],DropAnalityka[[#This Row],[Drop]],Tabela10[Grade],DropAnalityka[[#This Row],[Grade]])*DropAnalityka[[#This Row],[Quality/Quantity]],0)</f>
        <v>0</v>
      </c>
      <c r="L1830" s="43">
        <f>IFERROR(SUMIFS(Tabela10[Exp Gain only 2*+],Tabela10[Drop],DropAnalityka[[#This Row],[Drop]],Tabela10[Grade],DropAnalityka[[#This Row],[Grade]])*DropAnalityka[[#This Row],[Quality/Quantity]],0)</f>
        <v>0</v>
      </c>
    </row>
    <row r="1831" spans="10:12">
      <c r="J18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1" s="43">
        <f>IFERROR(SUMIFS(Tabela10[Fod Worth],Tabela10[Drop],DropAnalityka[[#This Row],[Drop]],Tabela10[Grade],DropAnalityka[[#This Row],[Grade]])*DropAnalityka[[#This Row],[Quality/Quantity]],0)</f>
        <v>0</v>
      </c>
      <c r="L1831" s="43">
        <f>IFERROR(SUMIFS(Tabela10[Exp Gain only 2*+],Tabela10[Drop],DropAnalityka[[#This Row],[Drop]],Tabela10[Grade],DropAnalityka[[#This Row],[Grade]])*DropAnalityka[[#This Row],[Quality/Quantity]],0)</f>
        <v>0</v>
      </c>
    </row>
    <row r="1832" spans="10:12">
      <c r="J18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2" s="43">
        <f>IFERROR(SUMIFS(Tabela10[Fod Worth],Tabela10[Drop],DropAnalityka[[#This Row],[Drop]],Tabela10[Grade],DropAnalityka[[#This Row],[Grade]])*DropAnalityka[[#This Row],[Quality/Quantity]],0)</f>
        <v>0</v>
      </c>
      <c r="L1832" s="43">
        <f>IFERROR(SUMIFS(Tabela10[Exp Gain only 2*+],Tabela10[Drop],DropAnalityka[[#This Row],[Drop]],Tabela10[Grade],DropAnalityka[[#This Row],[Grade]])*DropAnalityka[[#This Row],[Quality/Quantity]],0)</f>
        <v>0</v>
      </c>
    </row>
    <row r="1833" spans="10:12">
      <c r="J18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3" s="43">
        <f>IFERROR(SUMIFS(Tabela10[Fod Worth],Tabela10[Drop],DropAnalityka[[#This Row],[Drop]],Tabela10[Grade],DropAnalityka[[#This Row],[Grade]])*DropAnalityka[[#This Row],[Quality/Quantity]],0)</f>
        <v>0</v>
      </c>
      <c r="L1833" s="43">
        <f>IFERROR(SUMIFS(Tabela10[Exp Gain only 2*+],Tabela10[Drop],DropAnalityka[[#This Row],[Drop]],Tabela10[Grade],DropAnalityka[[#This Row],[Grade]])*DropAnalityka[[#This Row],[Quality/Quantity]],0)</f>
        <v>0</v>
      </c>
    </row>
    <row r="1834" spans="10:12">
      <c r="J18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4" s="43">
        <f>IFERROR(SUMIFS(Tabela10[Fod Worth],Tabela10[Drop],DropAnalityka[[#This Row],[Drop]],Tabela10[Grade],DropAnalityka[[#This Row],[Grade]])*DropAnalityka[[#This Row],[Quality/Quantity]],0)</f>
        <v>0</v>
      </c>
      <c r="L1834" s="43">
        <f>IFERROR(SUMIFS(Tabela10[Exp Gain only 2*+],Tabela10[Drop],DropAnalityka[[#This Row],[Drop]],Tabela10[Grade],DropAnalityka[[#This Row],[Grade]])*DropAnalityka[[#This Row],[Quality/Quantity]],0)</f>
        <v>0</v>
      </c>
    </row>
    <row r="1835" spans="10:12">
      <c r="J18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5" s="43">
        <f>IFERROR(SUMIFS(Tabela10[Fod Worth],Tabela10[Drop],DropAnalityka[[#This Row],[Drop]],Tabela10[Grade],DropAnalityka[[#This Row],[Grade]])*DropAnalityka[[#This Row],[Quality/Quantity]],0)</f>
        <v>0</v>
      </c>
      <c r="L1835" s="43">
        <f>IFERROR(SUMIFS(Tabela10[Exp Gain only 2*+],Tabela10[Drop],DropAnalityka[[#This Row],[Drop]],Tabela10[Grade],DropAnalityka[[#This Row],[Grade]])*DropAnalityka[[#This Row],[Quality/Quantity]],0)</f>
        <v>0</v>
      </c>
    </row>
    <row r="1836" spans="10:12">
      <c r="J18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6" s="43">
        <f>IFERROR(SUMIFS(Tabela10[Fod Worth],Tabela10[Drop],DropAnalityka[[#This Row],[Drop]],Tabela10[Grade],DropAnalityka[[#This Row],[Grade]])*DropAnalityka[[#This Row],[Quality/Quantity]],0)</f>
        <v>0</v>
      </c>
      <c r="L1836" s="43">
        <f>IFERROR(SUMIFS(Tabela10[Exp Gain only 2*+],Tabela10[Drop],DropAnalityka[[#This Row],[Drop]],Tabela10[Grade],DropAnalityka[[#This Row],[Grade]])*DropAnalityka[[#This Row],[Quality/Quantity]],0)</f>
        <v>0</v>
      </c>
    </row>
    <row r="1837" spans="10:12">
      <c r="J18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7" s="43">
        <f>IFERROR(SUMIFS(Tabela10[Fod Worth],Tabela10[Drop],DropAnalityka[[#This Row],[Drop]],Tabela10[Grade],DropAnalityka[[#This Row],[Grade]])*DropAnalityka[[#This Row],[Quality/Quantity]],0)</f>
        <v>0</v>
      </c>
      <c r="L1837" s="43">
        <f>IFERROR(SUMIFS(Tabela10[Exp Gain only 2*+],Tabela10[Drop],DropAnalityka[[#This Row],[Drop]],Tabela10[Grade],DropAnalityka[[#This Row],[Grade]])*DropAnalityka[[#This Row],[Quality/Quantity]],0)</f>
        <v>0</v>
      </c>
    </row>
    <row r="1838" spans="10:12">
      <c r="J18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8" s="43">
        <f>IFERROR(SUMIFS(Tabela10[Fod Worth],Tabela10[Drop],DropAnalityka[[#This Row],[Drop]],Tabela10[Grade],DropAnalityka[[#This Row],[Grade]])*DropAnalityka[[#This Row],[Quality/Quantity]],0)</f>
        <v>0</v>
      </c>
      <c r="L1838" s="43">
        <f>IFERROR(SUMIFS(Tabela10[Exp Gain only 2*+],Tabela10[Drop],DropAnalityka[[#This Row],[Drop]],Tabela10[Grade],DropAnalityka[[#This Row],[Grade]])*DropAnalityka[[#This Row],[Quality/Quantity]],0)</f>
        <v>0</v>
      </c>
    </row>
    <row r="1839" spans="10:12">
      <c r="J18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39" s="43">
        <f>IFERROR(SUMIFS(Tabela10[Fod Worth],Tabela10[Drop],DropAnalityka[[#This Row],[Drop]],Tabela10[Grade],DropAnalityka[[#This Row],[Grade]])*DropAnalityka[[#This Row],[Quality/Quantity]],0)</f>
        <v>0</v>
      </c>
      <c r="L1839" s="43">
        <f>IFERROR(SUMIFS(Tabela10[Exp Gain only 2*+],Tabela10[Drop],DropAnalityka[[#This Row],[Drop]],Tabela10[Grade],DropAnalityka[[#This Row],[Grade]])*DropAnalityka[[#This Row],[Quality/Quantity]],0)</f>
        <v>0</v>
      </c>
    </row>
    <row r="1840" spans="10:12">
      <c r="J18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0" s="43">
        <f>IFERROR(SUMIFS(Tabela10[Fod Worth],Tabela10[Drop],DropAnalityka[[#This Row],[Drop]],Tabela10[Grade],DropAnalityka[[#This Row],[Grade]])*DropAnalityka[[#This Row],[Quality/Quantity]],0)</f>
        <v>0</v>
      </c>
      <c r="L1840" s="43">
        <f>IFERROR(SUMIFS(Tabela10[Exp Gain only 2*+],Tabela10[Drop],DropAnalityka[[#This Row],[Drop]],Tabela10[Grade],DropAnalityka[[#This Row],[Grade]])*DropAnalityka[[#This Row],[Quality/Quantity]],0)</f>
        <v>0</v>
      </c>
    </row>
    <row r="1841" spans="10:12">
      <c r="J18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1" s="43">
        <f>IFERROR(SUMIFS(Tabela10[Fod Worth],Tabela10[Drop],DropAnalityka[[#This Row],[Drop]],Tabela10[Grade],DropAnalityka[[#This Row],[Grade]])*DropAnalityka[[#This Row],[Quality/Quantity]],0)</f>
        <v>0</v>
      </c>
      <c r="L1841" s="43">
        <f>IFERROR(SUMIFS(Tabela10[Exp Gain only 2*+],Tabela10[Drop],DropAnalityka[[#This Row],[Drop]],Tabela10[Grade],DropAnalityka[[#This Row],[Grade]])*DropAnalityka[[#This Row],[Quality/Quantity]],0)</f>
        <v>0</v>
      </c>
    </row>
    <row r="1842" spans="10:12">
      <c r="J18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2" s="43">
        <f>IFERROR(SUMIFS(Tabela10[Fod Worth],Tabela10[Drop],DropAnalityka[[#This Row],[Drop]],Tabela10[Grade],DropAnalityka[[#This Row],[Grade]])*DropAnalityka[[#This Row],[Quality/Quantity]],0)</f>
        <v>0</v>
      </c>
      <c r="L1842" s="43">
        <f>IFERROR(SUMIFS(Tabela10[Exp Gain only 2*+],Tabela10[Drop],DropAnalityka[[#This Row],[Drop]],Tabela10[Grade],DropAnalityka[[#This Row],[Grade]])*DropAnalityka[[#This Row],[Quality/Quantity]],0)</f>
        <v>0</v>
      </c>
    </row>
    <row r="1843" spans="10:12">
      <c r="J18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3" s="43">
        <f>IFERROR(SUMIFS(Tabela10[Fod Worth],Tabela10[Drop],DropAnalityka[[#This Row],[Drop]],Tabela10[Grade],DropAnalityka[[#This Row],[Grade]])*DropAnalityka[[#This Row],[Quality/Quantity]],0)</f>
        <v>0</v>
      </c>
      <c r="L1843" s="43">
        <f>IFERROR(SUMIFS(Tabela10[Exp Gain only 2*+],Tabela10[Drop],DropAnalityka[[#This Row],[Drop]],Tabela10[Grade],DropAnalityka[[#This Row],[Grade]])*DropAnalityka[[#This Row],[Quality/Quantity]],0)</f>
        <v>0</v>
      </c>
    </row>
    <row r="1844" spans="10:12">
      <c r="J18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4" s="43">
        <f>IFERROR(SUMIFS(Tabela10[Fod Worth],Tabela10[Drop],DropAnalityka[[#This Row],[Drop]],Tabela10[Grade],DropAnalityka[[#This Row],[Grade]])*DropAnalityka[[#This Row],[Quality/Quantity]],0)</f>
        <v>0</v>
      </c>
      <c r="L1844" s="43">
        <f>IFERROR(SUMIFS(Tabela10[Exp Gain only 2*+],Tabela10[Drop],DropAnalityka[[#This Row],[Drop]],Tabela10[Grade],DropAnalityka[[#This Row],[Grade]])*DropAnalityka[[#This Row],[Quality/Quantity]],0)</f>
        <v>0</v>
      </c>
    </row>
    <row r="1845" spans="10:12">
      <c r="J18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5" s="43">
        <f>IFERROR(SUMIFS(Tabela10[Fod Worth],Tabela10[Drop],DropAnalityka[[#This Row],[Drop]],Tabela10[Grade],DropAnalityka[[#This Row],[Grade]])*DropAnalityka[[#This Row],[Quality/Quantity]],0)</f>
        <v>0</v>
      </c>
      <c r="L1845" s="43">
        <f>IFERROR(SUMIFS(Tabela10[Exp Gain only 2*+],Tabela10[Drop],DropAnalityka[[#This Row],[Drop]],Tabela10[Grade],DropAnalityka[[#This Row],[Grade]])*DropAnalityka[[#This Row],[Quality/Quantity]],0)</f>
        <v>0</v>
      </c>
    </row>
    <row r="1846" spans="10:12">
      <c r="J18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6" s="43">
        <f>IFERROR(SUMIFS(Tabela10[Fod Worth],Tabela10[Drop],DropAnalityka[[#This Row],[Drop]],Tabela10[Grade],DropAnalityka[[#This Row],[Grade]])*DropAnalityka[[#This Row],[Quality/Quantity]],0)</f>
        <v>0</v>
      </c>
      <c r="L1846" s="43">
        <f>IFERROR(SUMIFS(Tabela10[Exp Gain only 2*+],Tabela10[Drop],DropAnalityka[[#This Row],[Drop]],Tabela10[Grade],DropAnalityka[[#This Row],[Grade]])*DropAnalityka[[#This Row],[Quality/Quantity]],0)</f>
        <v>0</v>
      </c>
    </row>
    <row r="1847" spans="10:12">
      <c r="J18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7" s="43">
        <f>IFERROR(SUMIFS(Tabela10[Fod Worth],Tabela10[Drop],DropAnalityka[[#This Row],[Drop]],Tabela10[Grade],DropAnalityka[[#This Row],[Grade]])*DropAnalityka[[#This Row],[Quality/Quantity]],0)</f>
        <v>0</v>
      </c>
      <c r="L1847" s="43">
        <f>IFERROR(SUMIFS(Tabela10[Exp Gain only 2*+],Tabela10[Drop],DropAnalityka[[#This Row],[Drop]],Tabela10[Grade],DropAnalityka[[#This Row],[Grade]])*DropAnalityka[[#This Row],[Quality/Quantity]],0)</f>
        <v>0</v>
      </c>
    </row>
    <row r="1848" spans="10:12">
      <c r="J18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8" s="43">
        <f>IFERROR(SUMIFS(Tabela10[Fod Worth],Tabela10[Drop],DropAnalityka[[#This Row],[Drop]],Tabela10[Grade],DropAnalityka[[#This Row],[Grade]])*DropAnalityka[[#This Row],[Quality/Quantity]],0)</f>
        <v>0</v>
      </c>
      <c r="L1848" s="43">
        <f>IFERROR(SUMIFS(Tabela10[Exp Gain only 2*+],Tabela10[Drop],DropAnalityka[[#This Row],[Drop]],Tabela10[Grade],DropAnalityka[[#This Row],[Grade]])*DropAnalityka[[#This Row],[Quality/Quantity]],0)</f>
        <v>0</v>
      </c>
    </row>
    <row r="1849" spans="10:12">
      <c r="J18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49" s="43">
        <f>IFERROR(SUMIFS(Tabela10[Fod Worth],Tabela10[Drop],DropAnalityka[[#This Row],[Drop]],Tabela10[Grade],DropAnalityka[[#This Row],[Grade]])*DropAnalityka[[#This Row],[Quality/Quantity]],0)</f>
        <v>0</v>
      </c>
      <c r="L1849" s="43">
        <f>IFERROR(SUMIFS(Tabela10[Exp Gain only 2*+],Tabela10[Drop],DropAnalityka[[#This Row],[Drop]],Tabela10[Grade],DropAnalityka[[#This Row],[Grade]])*DropAnalityka[[#This Row],[Quality/Quantity]],0)</f>
        <v>0</v>
      </c>
    </row>
    <row r="1850" spans="10:12">
      <c r="J18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0" s="43">
        <f>IFERROR(SUMIFS(Tabela10[Fod Worth],Tabela10[Drop],DropAnalityka[[#This Row],[Drop]],Tabela10[Grade],DropAnalityka[[#This Row],[Grade]])*DropAnalityka[[#This Row],[Quality/Quantity]],0)</f>
        <v>0</v>
      </c>
      <c r="L1850" s="43">
        <f>IFERROR(SUMIFS(Tabela10[Exp Gain only 2*+],Tabela10[Drop],DropAnalityka[[#This Row],[Drop]],Tabela10[Grade],DropAnalityka[[#This Row],[Grade]])*DropAnalityka[[#This Row],[Quality/Quantity]],0)</f>
        <v>0</v>
      </c>
    </row>
    <row r="1851" spans="10:12">
      <c r="J18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1" s="43">
        <f>IFERROR(SUMIFS(Tabela10[Fod Worth],Tabela10[Drop],DropAnalityka[[#This Row],[Drop]],Tabela10[Grade],DropAnalityka[[#This Row],[Grade]])*DropAnalityka[[#This Row],[Quality/Quantity]],0)</f>
        <v>0</v>
      </c>
      <c r="L1851" s="43">
        <f>IFERROR(SUMIFS(Tabela10[Exp Gain only 2*+],Tabela10[Drop],DropAnalityka[[#This Row],[Drop]],Tabela10[Grade],DropAnalityka[[#This Row],[Grade]])*DropAnalityka[[#This Row],[Quality/Quantity]],0)</f>
        <v>0</v>
      </c>
    </row>
    <row r="1852" spans="10:12">
      <c r="J18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2" s="43">
        <f>IFERROR(SUMIFS(Tabela10[Fod Worth],Tabela10[Drop],DropAnalityka[[#This Row],[Drop]],Tabela10[Grade],DropAnalityka[[#This Row],[Grade]])*DropAnalityka[[#This Row],[Quality/Quantity]],0)</f>
        <v>0</v>
      </c>
      <c r="L1852" s="43">
        <f>IFERROR(SUMIFS(Tabela10[Exp Gain only 2*+],Tabela10[Drop],DropAnalityka[[#This Row],[Drop]],Tabela10[Grade],DropAnalityka[[#This Row],[Grade]])*DropAnalityka[[#This Row],[Quality/Quantity]],0)</f>
        <v>0</v>
      </c>
    </row>
    <row r="1853" spans="10:12">
      <c r="J18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3" s="43">
        <f>IFERROR(SUMIFS(Tabela10[Fod Worth],Tabela10[Drop],DropAnalityka[[#This Row],[Drop]],Tabela10[Grade],DropAnalityka[[#This Row],[Grade]])*DropAnalityka[[#This Row],[Quality/Quantity]],0)</f>
        <v>0</v>
      </c>
      <c r="L1853" s="43">
        <f>IFERROR(SUMIFS(Tabela10[Exp Gain only 2*+],Tabela10[Drop],DropAnalityka[[#This Row],[Drop]],Tabela10[Grade],DropAnalityka[[#This Row],[Grade]])*DropAnalityka[[#This Row],[Quality/Quantity]],0)</f>
        <v>0</v>
      </c>
    </row>
    <row r="1854" spans="10:12">
      <c r="J18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4" s="43">
        <f>IFERROR(SUMIFS(Tabela10[Fod Worth],Tabela10[Drop],DropAnalityka[[#This Row],[Drop]],Tabela10[Grade],DropAnalityka[[#This Row],[Grade]])*DropAnalityka[[#This Row],[Quality/Quantity]],0)</f>
        <v>0</v>
      </c>
      <c r="L1854" s="43">
        <f>IFERROR(SUMIFS(Tabela10[Exp Gain only 2*+],Tabela10[Drop],DropAnalityka[[#This Row],[Drop]],Tabela10[Grade],DropAnalityka[[#This Row],[Grade]])*DropAnalityka[[#This Row],[Quality/Quantity]],0)</f>
        <v>0</v>
      </c>
    </row>
    <row r="1855" spans="10:12">
      <c r="J18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5" s="43">
        <f>IFERROR(SUMIFS(Tabela10[Fod Worth],Tabela10[Drop],DropAnalityka[[#This Row],[Drop]],Tabela10[Grade],DropAnalityka[[#This Row],[Grade]])*DropAnalityka[[#This Row],[Quality/Quantity]],0)</f>
        <v>0</v>
      </c>
      <c r="L1855" s="43">
        <f>IFERROR(SUMIFS(Tabela10[Exp Gain only 2*+],Tabela10[Drop],DropAnalityka[[#This Row],[Drop]],Tabela10[Grade],DropAnalityka[[#This Row],[Grade]])*DropAnalityka[[#This Row],[Quality/Quantity]],0)</f>
        <v>0</v>
      </c>
    </row>
    <row r="1856" spans="10:12">
      <c r="J18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6" s="43">
        <f>IFERROR(SUMIFS(Tabela10[Fod Worth],Tabela10[Drop],DropAnalityka[[#This Row],[Drop]],Tabela10[Grade],DropAnalityka[[#This Row],[Grade]])*DropAnalityka[[#This Row],[Quality/Quantity]],0)</f>
        <v>0</v>
      </c>
      <c r="L1856" s="43">
        <f>IFERROR(SUMIFS(Tabela10[Exp Gain only 2*+],Tabela10[Drop],DropAnalityka[[#This Row],[Drop]],Tabela10[Grade],DropAnalityka[[#This Row],[Grade]])*DropAnalityka[[#This Row],[Quality/Quantity]],0)</f>
        <v>0</v>
      </c>
    </row>
    <row r="1857" spans="10:12">
      <c r="J18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7" s="43">
        <f>IFERROR(SUMIFS(Tabela10[Fod Worth],Tabela10[Drop],DropAnalityka[[#This Row],[Drop]],Tabela10[Grade],DropAnalityka[[#This Row],[Grade]])*DropAnalityka[[#This Row],[Quality/Quantity]],0)</f>
        <v>0</v>
      </c>
      <c r="L1857" s="43">
        <f>IFERROR(SUMIFS(Tabela10[Exp Gain only 2*+],Tabela10[Drop],DropAnalityka[[#This Row],[Drop]],Tabela10[Grade],DropAnalityka[[#This Row],[Grade]])*DropAnalityka[[#This Row],[Quality/Quantity]],0)</f>
        <v>0</v>
      </c>
    </row>
    <row r="1858" spans="10:12">
      <c r="J18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8" s="43">
        <f>IFERROR(SUMIFS(Tabela10[Fod Worth],Tabela10[Drop],DropAnalityka[[#This Row],[Drop]],Tabela10[Grade],DropAnalityka[[#This Row],[Grade]])*DropAnalityka[[#This Row],[Quality/Quantity]],0)</f>
        <v>0</v>
      </c>
      <c r="L1858" s="43">
        <f>IFERROR(SUMIFS(Tabela10[Exp Gain only 2*+],Tabela10[Drop],DropAnalityka[[#This Row],[Drop]],Tabela10[Grade],DropAnalityka[[#This Row],[Grade]])*DropAnalityka[[#This Row],[Quality/Quantity]],0)</f>
        <v>0</v>
      </c>
    </row>
    <row r="1859" spans="10:12">
      <c r="J18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59" s="43">
        <f>IFERROR(SUMIFS(Tabela10[Fod Worth],Tabela10[Drop],DropAnalityka[[#This Row],[Drop]],Tabela10[Grade],DropAnalityka[[#This Row],[Grade]])*DropAnalityka[[#This Row],[Quality/Quantity]],0)</f>
        <v>0</v>
      </c>
      <c r="L1859" s="43">
        <f>IFERROR(SUMIFS(Tabela10[Exp Gain only 2*+],Tabela10[Drop],DropAnalityka[[#This Row],[Drop]],Tabela10[Grade],DropAnalityka[[#This Row],[Grade]])*DropAnalityka[[#This Row],[Quality/Quantity]],0)</f>
        <v>0</v>
      </c>
    </row>
    <row r="1860" spans="10:12">
      <c r="J18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0" s="43">
        <f>IFERROR(SUMIFS(Tabela10[Fod Worth],Tabela10[Drop],DropAnalityka[[#This Row],[Drop]],Tabela10[Grade],DropAnalityka[[#This Row],[Grade]])*DropAnalityka[[#This Row],[Quality/Quantity]],0)</f>
        <v>0</v>
      </c>
      <c r="L1860" s="43">
        <f>IFERROR(SUMIFS(Tabela10[Exp Gain only 2*+],Tabela10[Drop],DropAnalityka[[#This Row],[Drop]],Tabela10[Grade],DropAnalityka[[#This Row],[Grade]])*DropAnalityka[[#This Row],[Quality/Quantity]],0)</f>
        <v>0</v>
      </c>
    </row>
    <row r="1861" spans="10:12">
      <c r="J18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1" s="43">
        <f>IFERROR(SUMIFS(Tabela10[Fod Worth],Tabela10[Drop],DropAnalityka[[#This Row],[Drop]],Tabela10[Grade],DropAnalityka[[#This Row],[Grade]])*DropAnalityka[[#This Row],[Quality/Quantity]],0)</f>
        <v>0</v>
      </c>
      <c r="L1861" s="43">
        <f>IFERROR(SUMIFS(Tabela10[Exp Gain only 2*+],Tabela10[Drop],DropAnalityka[[#This Row],[Drop]],Tabela10[Grade],DropAnalityka[[#This Row],[Grade]])*DropAnalityka[[#This Row],[Quality/Quantity]],0)</f>
        <v>0</v>
      </c>
    </row>
    <row r="1862" spans="10:12">
      <c r="J18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2" s="43">
        <f>IFERROR(SUMIFS(Tabela10[Fod Worth],Tabela10[Drop],DropAnalityka[[#This Row],[Drop]],Tabela10[Grade],DropAnalityka[[#This Row],[Grade]])*DropAnalityka[[#This Row],[Quality/Quantity]],0)</f>
        <v>0</v>
      </c>
      <c r="L1862" s="43">
        <f>IFERROR(SUMIFS(Tabela10[Exp Gain only 2*+],Tabela10[Drop],DropAnalityka[[#This Row],[Drop]],Tabela10[Grade],DropAnalityka[[#This Row],[Grade]])*DropAnalityka[[#This Row],[Quality/Quantity]],0)</f>
        <v>0</v>
      </c>
    </row>
    <row r="1863" spans="10:12">
      <c r="J18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3" s="43">
        <f>IFERROR(SUMIFS(Tabela10[Fod Worth],Tabela10[Drop],DropAnalityka[[#This Row],[Drop]],Tabela10[Grade],DropAnalityka[[#This Row],[Grade]])*DropAnalityka[[#This Row],[Quality/Quantity]],0)</f>
        <v>0</v>
      </c>
      <c r="L1863" s="43">
        <f>IFERROR(SUMIFS(Tabela10[Exp Gain only 2*+],Tabela10[Drop],DropAnalityka[[#This Row],[Drop]],Tabela10[Grade],DropAnalityka[[#This Row],[Grade]])*DropAnalityka[[#This Row],[Quality/Quantity]],0)</f>
        <v>0</v>
      </c>
    </row>
    <row r="1864" spans="10:12">
      <c r="J18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4" s="43">
        <f>IFERROR(SUMIFS(Tabela10[Fod Worth],Tabela10[Drop],DropAnalityka[[#This Row],[Drop]],Tabela10[Grade],DropAnalityka[[#This Row],[Grade]])*DropAnalityka[[#This Row],[Quality/Quantity]],0)</f>
        <v>0</v>
      </c>
      <c r="L1864" s="43">
        <f>IFERROR(SUMIFS(Tabela10[Exp Gain only 2*+],Tabela10[Drop],DropAnalityka[[#This Row],[Drop]],Tabela10[Grade],DropAnalityka[[#This Row],[Grade]])*DropAnalityka[[#This Row],[Quality/Quantity]],0)</f>
        <v>0</v>
      </c>
    </row>
    <row r="1865" spans="10:12">
      <c r="J18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5" s="43">
        <f>IFERROR(SUMIFS(Tabela10[Fod Worth],Tabela10[Drop],DropAnalityka[[#This Row],[Drop]],Tabela10[Grade],DropAnalityka[[#This Row],[Grade]])*DropAnalityka[[#This Row],[Quality/Quantity]],0)</f>
        <v>0</v>
      </c>
      <c r="L1865" s="43">
        <f>IFERROR(SUMIFS(Tabela10[Exp Gain only 2*+],Tabela10[Drop],DropAnalityka[[#This Row],[Drop]],Tabela10[Grade],DropAnalityka[[#This Row],[Grade]])*DropAnalityka[[#This Row],[Quality/Quantity]],0)</f>
        <v>0</v>
      </c>
    </row>
    <row r="1866" spans="10:12">
      <c r="J18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6" s="43">
        <f>IFERROR(SUMIFS(Tabela10[Fod Worth],Tabela10[Drop],DropAnalityka[[#This Row],[Drop]],Tabela10[Grade],DropAnalityka[[#This Row],[Grade]])*DropAnalityka[[#This Row],[Quality/Quantity]],0)</f>
        <v>0</v>
      </c>
      <c r="L1866" s="43">
        <f>IFERROR(SUMIFS(Tabela10[Exp Gain only 2*+],Tabela10[Drop],DropAnalityka[[#This Row],[Drop]],Tabela10[Grade],DropAnalityka[[#This Row],[Grade]])*DropAnalityka[[#This Row],[Quality/Quantity]],0)</f>
        <v>0</v>
      </c>
    </row>
    <row r="1867" spans="10:12">
      <c r="J18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7" s="43">
        <f>IFERROR(SUMIFS(Tabela10[Fod Worth],Tabela10[Drop],DropAnalityka[[#This Row],[Drop]],Tabela10[Grade],DropAnalityka[[#This Row],[Grade]])*DropAnalityka[[#This Row],[Quality/Quantity]],0)</f>
        <v>0</v>
      </c>
      <c r="L1867" s="43">
        <f>IFERROR(SUMIFS(Tabela10[Exp Gain only 2*+],Tabela10[Drop],DropAnalityka[[#This Row],[Drop]],Tabela10[Grade],DropAnalityka[[#This Row],[Grade]])*DropAnalityka[[#This Row],[Quality/Quantity]],0)</f>
        <v>0</v>
      </c>
    </row>
    <row r="1868" spans="10:12">
      <c r="J18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8" s="43">
        <f>IFERROR(SUMIFS(Tabela10[Fod Worth],Tabela10[Drop],DropAnalityka[[#This Row],[Drop]],Tabela10[Grade],DropAnalityka[[#This Row],[Grade]])*DropAnalityka[[#This Row],[Quality/Quantity]],0)</f>
        <v>0</v>
      </c>
      <c r="L1868" s="43">
        <f>IFERROR(SUMIFS(Tabela10[Exp Gain only 2*+],Tabela10[Drop],DropAnalityka[[#This Row],[Drop]],Tabela10[Grade],DropAnalityka[[#This Row],[Grade]])*DropAnalityka[[#This Row],[Quality/Quantity]],0)</f>
        <v>0</v>
      </c>
    </row>
    <row r="1869" spans="10:12">
      <c r="J18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69" s="43">
        <f>IFERROR(SUMIFS(Tabela10[Fod Worth],Tabela10[Drop],DropAnalityka[[#This Row],[Drop]],Tabela10[Grade],DropAnalityka[[#This Row],[Grade]])*DropAnalityka[[#This Row],[Quality/Quantity]],0)</f>
        <v>0</v>
      </c>
      <c r="L1869" s="43">
        <f>IFERROR(SUMIFS(Tabela10[Exp Gain only 2*+],Tabela10[Drop],DropAnalityka[[#This Row],[Drop]],Tabela10[Grade],DropAnalityka[[#This Row],[Grade]])*DropAnalityka[[#This Row],[Quality/Quantity]],0)</f>
        <v>0</v>
      </c>
    </row>
    <row r="1870" spans="10:12">
      <c r="J18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0" s="43">
        <f>IFERROR(SUMIFS(Tabela10[Fod Worth],Tabela10[Drop],DropAnalityka[[#This Row],[Drop]],Tabela10[Grade],DropAnalityka[[#This Row],[Grade]])*DropAnalityka[[#This Row],[Quality/Quantity]],0)</f>
        <v>0</v>
      </c>
      <c r="L1870" s="43">
        <f>IFERROR(SUMIFS(Tabela10[Exp Gain only 2*+],Tabela10[Drop],DropAnalityka[[#This Row],[Drop]],Tabela10[Grade],DropAnalityka[[#This Row],[Grade]])*DropAnalityka[[#This Row],[Quality/Quantity]],0)</f>
        <v>0</v>
      </c>
    </row>
    <row r="1871" spans="10:12">
      <c r="J18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1" s="43">
        <f>IFERROR(SUMIFS(Tabela10[Fod Worth],Tabela10[Drop],DropAnalityka[[#This Row],[Drop]],Tabela10[Grade],DropAnalityka[[#This Row],[Grade]])*DropAnalityka[[#This Row],[Quality/Quantity]],0)</f>
        <v>0</v>
      </c>
      <c r="L1871" s="43">
        <f>IFERROR(SUMIFS(Tabela10[Exp Gain only 2*+],Tabela10[Drop],DropAnalityka[[#This Row],[Drop]],Tabela10[Grade],DropAnalityka[[#This Row],[Grade]])*DropAnalityka[[#This Row],[Quality/Quantity]],0)</f>
        <v>0</v>
      </c>
    </row>
    <row r="1872" spans="10:12">
      <c r="J18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2" s="43">
        <f>IFERROR(SUMIFS(Tabela10[Fod Worth],Tabela10[Drop],DropAnalityka[[#This Row],[Drop]],Tabela10[Grade],DropAnalityka[[#This Row],[Grade]])*DropAnalityka[[#This Row],[Quality/Quantity]],0)</f>
        <v>0</v>
      </c>
      <c r="L1872" s="43">
        <f>IFERROR(SUMIFS(Tabela10[Exp Gain only 2*+],Tabela10[Drop],DropAnalityka[[#This Row],[Drop]],Tabela10[Grade],DropAnalityka[[#This Row],[Grade]])*DropAnalityka[[#This Row],[Quality/Quantity]],0)</f>
        <v>0</v>
      </c>
    </row>
    <row r="1873" spans="10:12">
      <c r="J18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3" s="43">
        <f>IFERROR(SUMIFS(Tabela10[Fod Worth],Tabela10[Drop],DropAnalityka[[#This Row],[Drop]],Tabela10[Grade],DropAnalityka[[#This Row],[Grade]])*DropAnalityka[[#This Row],[Quality/Quantity]],0)</f>
        <v>0</v>
      </c>
      <c r="L1873" s="43">
        <f>IFERROR(SUMIFS(Tabela10[Exp Gain only 2*+],Tabela10[Drop],DropAnalityka[[#This Row],[Drop]],Tabela10[Grade],DropAnalityka[[#This Row],[Grade]])*DropAnalityka[[#This Row],[Quality/Quantity]],0)</f>
        <v>0</v>
      </c>
    </row>
    <row r="1874" spans="10:12">
      <c r="J18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4" s="43">
        <f>IFERROR(SUMIFS(Tabela10[Fod Worth],Tabela10[Drop],DropAnalityka[[#This Row],[Drop]],Tabela10[Grade],DropAnalityka[[#This Row],[Grade]])*DropAnalityka[[#This Row],[Quality/Quantity]],0)</f>
        <v>0</v>
      </c>
      <c r="L1874" s="43">
        <f>IFERROR(SUMIFS(Tabela10[Exp Gain only 2*+],Tabela10[Drop],DropAnalityka[[#This Row],[Drop]],Tabela10[Grade],DropAnalityka[[#This Row],[Grade]])*DropAnalityka[[#This Row],[Quality/Quantity]],0)</f>
        <v>0</v>
      </c>
    </row>
    <row r="1875" spans="10:12">
      <c r="J18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5" s="43">
        <f>IFERROR(SUMIFS(Tabela10[Fod Worth],Tabela10[Drop],DropAnalityka[[#This Row],[Drop]],Tabela10[Grade],DropAnalityka[[#This Row],[Grade]])*DropAnalityka[[#This Row],[Quality/Quantity]],0)</f>
        <v>0</v>
      </c>
      <c r="L1875" s="43">
        <f>IFERROR(SUMIFS(Tabela10[Exp Gain only 2*+],Tabela10[Drop],DropAnalityka[[#This Row],[Drop]],Tabela10[Grade],DropAnalityka[[#This Row],[Grade]])*DropAnalityka[[#This Row],[Quality/Quantity]],0)</f>
        <v>0</v>
      </c>
    </row>
    <row r="1876" spans="10:12">
      <c r="J18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6" s="43">
        <f>IFERROR(SUMIFS(Tabela10[Fod Worth],Tabela10[Drop],DropAnalityka[[#This Row],[Drop]],Tabela10[Grade],DropAnalityka[[#This Row],[Grade]])*DropAnalityka[[#This Row],[Quality/Quantity]],0)</f>
        <v>0</v>
      </c>
      <c r="L1876" s="43">
        <f>IFERROR(SUMIFS(Tabela10[Exp Gain only 2*+],Tabela10[Drop],DropAnalityka[[#This Row],[Drop]],Tabela10[Grade],DropAnalityka[[#This Row],[Grade]])*DropAnalityka[[#This Row],[Quality/Quantity]],0)</f>
        <v>0</v>
      </c>
    </row>
    <row r="1877" spans="10:12">
      <c r="J18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7" s="43">
        <f>IFERROR(SUMIFS(Tabela10[Fod Worth],Tabela10[Drop],DropAnalityka[[#This Row],[Drop]],Tabela10[Grade],DropAnalityka[[#This Row],[Grade]])*DropAnalityka[[#This Row],[Quality/Quantity]],0)</f>
        <v>0</v>
      </c>
      <c r="L1877" s="43">
        <f>IFERROR(SUMIFS(Tabela10[Exp Gain only 2*+],Tabela10[Drop],DropAnalityka[[#This Row],[Drop]],Tabela10[Grade],DropAnalityka[[#This Row],[Grade]])*DropAnalityka[[#This Row],[Quality/Quantity]],0)</f>
        <v>0</v>
      </c>
    </row>
    <row r="1878" spans="10:12">
      <c r="J18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8" s="43">
        <f>IFERROR(SUMIFS(Tabela10[Fod Worth],Tabela10[Drop],DropAnalityka[[#This Row],[Drop]],Tabela10[Grade],DropAnalityka[[#This Row],[Grade]])*DropAnalityka[[#This Row],[Quality/Quantity]],0)</f>
        <v>0</v>
      </c>
      <c r="L1878" s="43">
        <f>IFERROR(SUMIFS(Tabela10[Exp Gain only 2*+],Tabela10[Drop],DropAnalityka[[#This Row],[Drop]],Tabela10[Grade],DropAnalityka[[#This Row],[Grade]])*DropAnalityka[[#This Row],[Quality/Quantity]],0)</f>
        <v>0</v>
      </c>
    </row>
    <row r="1879" spans="10:12">
      <c r="J18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79" s="43">
        <f>IFERROR(SUMIFS(Tabela10[Fod Worth],Tabela10[Drop],DropAnalityka[[#This Row],[Drop]],Tabela10[Grade],DropAnalityka[[#This Row],[Grade]])*DropAnalityka[[#This Row],[Quality/Quantity]],0)</f>
        <v>0</v>
      </c>
      <c r="L1879" s="43">
        <f>IFERROR(SUMIFS(Tabela10[Exp Gain only 2*+],Tabela10[Drop],DropAnalityka[[#This Row],[Drop]],Tabela10[Grade],DropAnalityka[[#This Row],[Grade]])*DropAnalityka[[#This Row],[Quality/Quantity]],0)</f>
        <v>0</v>
      </c>
    </row>
    <row r="1880" spans="10:12">
      <c r="J18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0" s="43">
        <f>IFERROR(SUMIFS(Tabela10[Fod Worth],Tabela10[Drop],DropAnalityka[[#This Row],[Drop]],Tabela10[Grade],DropAnalityka[[#This Row],[Grade]])*DropAnalityka[[#This Row],[Quality/Quantity]],0)</f>
        <v>0</v>
      </c>
      <c r="L1880" s="43">
        <f>IFERROR(SUMIFS(Tabela10[Exp Gain only 2*+],Tabela10[Drop],DropAnalityka[[#This Row],[Drop]],Tabela10[Grade],DropAnalityka[[#This Row],[Grade]])*DropAnalityka[[#This Row],[Quality/Quantity]],0)</f>
        <v>0</v>
      </c>
    </row>
    <row r="1881" spans="10:12">
      <c r="J18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1" s="43">
        <f>IFERROR(SUMIFS(Tabela10[Fod Worth],Tabela10[Drop],DropAnalityka[[#This Row],[Drop]],Tabela10[Grade],DropAnalityka[[#This Row],[Grade]])*DropAnalityka[[#This Row],[Quality/Quantity]],0)</f>
        <v>0</v>
      </c>
      <c r="L1881" s="43">
        <f>IFERROR(SUMIFS(Tabela10[Exp Gain only 2*+],Tabela10[Drop],DropAnalityka[[#This Row],[Drop]],Tabela10[Grade],DropAnalityka[[#This Row],[Grade]])*DropAnalityka[[#This Row],[Quality/Quantity]],0)</f>
        <v>0</v>
      </c>
    </row>
    <row r="1882" spans="10:12">
      <c r="J18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2" s="43">
        <f>IFERROR(SUMIFS(Tabela10[Fod Worth],Tabela10[Drop],DropAnalityka[[#This Row],[Drop]],Tabela10[Grade],DropAnalityka[[#This Row],[Grade]])*DropAnalityka[[#This Row],[Quality/Quantity]],0)</f>
        <v>0</v>
      </c>
      <c r="L1882" s="43">
        <f>IFERROR(SUMIFS(Tabela10[Exp Gain only 2*+],Tabela10[Drop],DropAnalityka[[#This Row],[Drop]],Tabela10[Grade],DropAnalityka[[#This Row],[Grade]])*DropAnalityka[[#This Row],[Quality/Quantity]],0)</f>
        <v>0</v>
      </c>
    </row>
    <row r="1883" spans="10:12">
      <c r="J18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3" s="43">
        <f>IFERROR(SUMIFS(Tabela10[Fod Worth],Tabela10[Drop],DropAnalityka[[#This Row],[Drop]],Tabela10[Grade],DropAnalityka[[#This Row],[Grade]])*DropAnalityka[[#This Row],[Quality/Quantity]],0)</f>
        <v>0</v>
      </c>
      <c r="L1883" s="43">
        <f>IFERROR(SUMIFS(Tabela10[Exp Gain only 2*+],Tabela10[Drop],DropAnalityka[[#This Row],[Drop]],Tabela10[Grade],DropAnalityka[[#This Row],[Grade]])*DropAnalityka[[#This Row],[Quality/Quantity]],0)</f>
        <v>0</v>
      </c>
    </row>
    <row r="1884" spans="10:12">
      <c r="J18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4" s="43">
        <f>IFERROR(SUMIFS(Tabela10[Fod Worth],Tabela10[Drop],DropAnalityka[[#This Row],[Drop]],Tabela10[Grade],DropAnalityka[[#This Row],[Grade]])*DropAnalityka[[#This Row],[Quality/Quantity]],0)</f>
        <v>0</v>
      </c>
      <c r="L1884" s="43">
        <f>IFERROR(SUMIFS(Tabela10[Exp Gain only 2*+],Tabela10[Drop],DropAnalityka[[#This Row],[Drop]],Tabela10[Grade],DropAnalityka[[#This Row],[Grade]])*DropAnalityka[[#This Row],[Quality/Quantity]],0)</f>
        <v>0</v>
      </c>
    </row>
    <row r="1885" spans="10:12">
      <c r="J18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5" s="43">
        <f>IFERROR(SUMIFS(Tabela10[Fod Worth],Tabela10[Drop],DropAnalityka[[#This Row],[Drop]],Tabela10[Grade],DropAnalityka[[#This Row],[Grade]])*DropAnalityka[[#This Row],[Quality/Quantity]],0)</f>
        <v>0</v>
      </c>
      <c r="L1885" s="43">
        <f>IFERROR(SUMIFS(Tabela10[Exp Gain only 2*+],Tabela10[Drop],DropAnalityka[[#This Row],[Drop]],Tabela10[Grade],DropAnalityka[[#This Row],[Grade]])*DropAnalityka[[#This Row],[Quality/Quantity]],0)</f>
        <v>0</v>
      </c>
    </row>
    <row r="1886" spans="10:12">
      <c r="J18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6" s="43">
        <f>IFERROR(SUMIFS(Tabela10[Fod Worth],Tabela10[Drop],DropAnalityka[[#This Row],[Drop]],Tabela10[Grade],DropAnalityka[[#This Row],[Grade]])*DropAnalityka[[#This Row],[Quality/Quantity]],0)</f>
        <v>0</v>
      </c>
      <c r="L1886" s="43">
        <f>IFERROR(SUMIFS(Tabela10[Exp Gain only 2*+],Tabela10[Drop],DropAnalityka[[#This Row],[Drop]],Tabela10[Grade],DropAnalityka[[#This Row],[Grade]])*DropAnalityka[[#This Row],[Quality/Quantity]],0)</f>
        <v>0</v>
      </c>
    </row>
    <row r="1887" spans="10:12">
      <c r="J18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7" s="43">
        <f>IFERROR(SUMIFS(Tabela10[Fod Worth],Tabela10[Drop],DropAnalityka[[#This Row],[Drop]],Tabela10[Grade],DropAnalityka[[#This Row],[Grade]])*DropAnalityka[[#This Row],[Quality/Quantity]],0)</f>
        <v>0</v>
      </c>
      <c r="L1887" s="43">
        <f>IFERROR(SUMIFS(Tabela10[Exp Gain only 2*+],Tabela10[Drop],DropAnalityka[[#This Row],[Drop]],Tabela10[Grade],DropAnalityka[[#This Row],[Grade]])*DropAnalityka[[#This Row],[Quality/Quantity]],0)</f>
        <v>0</v>
      </c>
    </row>
    <row r="1888" spans="10:12">
      <c r="J18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8" s="43">
        <f>IFERROR(SUMIFS(Tabela10[Fod Worth],Tabela10[Drop],DropAnalityka[[#This Row],[Drop]],Tabela10[Grade],DropAnalityka[[#This Row],[Grade]])*DropAnalityka[[#This Row],[Quality/Quantity]],0)</f>
        <v>0</v>
      </c>
      <c r="L1888" s="43">
        <f>IFERROR(SUMIFS(Tabela10[Exp Gain only 2*+],Tabela10[Drop],DropAnalityka[[#This Row],[Drop]],Tabela10[Grade],DropAnalityka[[#This Row],[Grade]])*DropAnalityka[[#This Row],[Quality/Quantity]],0)</f>
        <v>0</v>
      </c>
    </row>
    <row r="1889" spans="10:12">
      <c r="J18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89" s="43">
        <f>IFERROR(SUMIFS(Tabela10[Fod Worth],Tabela10[Drop],DropAnalityka[[#This Row],[Drop]],Tabela10[Grade],DropAnalityka[[#This Row],[Grade]])*DropAnalityka[[#This Row],[Quality/Quantity]],0)</f>
        <v>0</v>
      </c>
      <c r="L1889" s="43">
        <f>IFERROR(SUMIFS(Tabela10[Exp Gain only 2*+],Tabela10[Drop],DropAnalityka[[#This Row],[Drop]],Tabela10[Grade],DropAnalityka[[#This Row],[Grade]])*DropAnalityka[[#This Row],[Quality/Quantity]],0)</f>
        <v>0</v>
      </c>
    </row>
    <row r="1890" spans="10:12">
      <c r="J18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0" s="43">
        <f>IFERROR(SUMIFS(Tabela10[Fod Worth],Tabela10[Drop],DropAnalityka[[#This Row],[Drop]],Tabela10[Grade],DropAnalityka[[#This Row],[Grade]])*DropAnalityka[[#This Row],[Quality/Quantity]],0)</f>
        <v>0</v>
      </c>
      <c r="L1890" s="43">
        <f>IFERROR(SUMIFS(Tabela10[Exp Gain only 2*+],Tabela10[Drop],DropAnalityka[[#This Row],[Drop]],Tabela10[Grade],DropAnalityka[[#This Row],[Grade]])*DropAnalityka[[#This Row],[Quality/Quantity]],0)</f>
        <v>0</v>
      </c>
    </row>
    <row r="1891" spans="10:12">
      <c r="J18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1" s="43">
        <f>IFERROR(SUMIFS(Tabela10[Fod Worth],Tabela10[Drop],DropAnalityka[[#This Row],[Drop]],Tabela10[Grade],DropAnalityka[[#This Row],[Grade]])*DropAnalityka[[#This Row],[Quality/Quantity]],0)</f>
        <v>0</v>
      </c>
      <c r="L1891" s="43">
        <f>IFERROR(SUMIFS(Tabela10[Exp Gain only 2*+],Tabela10[Drop],DropAnalityka[[#This Row],[Drop]],Tabela10[Grade],DropAnalityka[[#This Row],[Grade]])*DropAnalityka[[#This Row],[Quality/Quantity]],0)</f>
        <v>0</v>
      </c>
    </row>
    <row r="1892" spans="10:12">
      <c r="J18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2" s="43">
        <f>IFERROR(SUMIFS(Tabela10[Fod Worth],Tabela10[Drop],DropAnalityka[[#This Row],[Drop]],Tabela10[Grade],DropAnalityka[[#This Row],[Grade]])*DropAnalityka[[#This Row],[Quality/Quantity]],0)</f>
        <v>0</v>
      </c>
      <c r="L1892" s="43">
        <f>IFERROR(SUMIFS(Tabela10[Exp Gain only 2*+],Tabela10[Drop],DropAnalityka[[#This Row],[Drop]],Tabela10[Grade],DropAnalityka[[#This Row],[Grade]])*DropAnalityka[[#This Row],[Quality/Quantity]],0)</f>
        <v>0</v>
      </c>
    </row>
    <row r="1893" spans="10:12">
      <c r="J18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3" s="43">
        <f>IFERROR(SUMIFS(Tabela10[Fod Worth],Tabela10[Drop],DropAnalityka[[#This Row],[Drop]],Tabela10[Grade],DropAnalityka[[#This Row],[Grade]])*DropAnalityka[[#This Row],[Quality/Quantity]],0)</f>
        <v>0</v>
      </c>
      <c r="L1893" s="43">
        <f>IFERROR(SUMIFS(Tabela10[Exp Gain only 2*+],Tabela10[Drop],DropAnalityka[[#This Row],[Drop]],Tabela10[Grade],DropAnalityka[[#This Row],[Grade]])*DropAnalityka[[#This Row],[Quality/Quantity]],0)</f>
        <v>0</v>
      </c>
    </row>
    <row r="1894" spans="10:12">
      <c r="J18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4" s="43">
        <f>IFERROR(SUMIFS(Tabela10[Fod Worth],Tabela10[Drop],DropAnalityka[[#This Row],[Drop]],Tabela10[Grade],DropAnalityka[[#This Row],[Grade]])*DropAnalityka[[#This Row],[Quality/Quantity]],0)</f>
        <v>0</v>
      </c>
      <c r="L1894" s="43">
        <f>IFERROR(SUMIFS(Tabela10[Exp Gain only 2*+],Tabela10[Drop],DropAnalityka[[#This Row],[Drop]],Tabela10[Grade],DropAnalityka[[#This Row],[Grade]])*DropAnalityka[[#This Row],[Quality/Quantity]],0)</f>
        <v>0</v>
      </c>
    </row>
    <row r="1895" spans="10:12">
      <c r="J18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5" s="43">
        <f>IFERROR(SUMIFS(Tabela10[Fod Worth],Tabela10[Drop],DropAnalityka[[#This Row],[Drop]],Tabela10[Grade],DropAnalityka[[#This Row],[Grade]])*DropAnalityka[[#This Row],[Quality/Quantity]],0)</f>
        <v>0</v>
      </c>
      <c r="L1895" s="43">
        <f>IFERROR(SUMIFS(Tabela10[Exp Gain only 2*+],Tabela10[Drop],DropAnalityka[[#This Row],[Drop]],Tabela10[Grade],DropAnalityka[[#This Row],[Grade]])*DropAnalityka[[#This Row],[Quality/Quantity]],0)</f>
        <v>0</v>
      </c>
    </row>
    <row r="1896" spans="10:12">
      <c r="J18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6" s="43">
        <f>IFERROR(SUMIFS(Tabela10[Fod Worth],Tabela10[Drop],DropAnalityka[[#This Row],[Drop]],Tabela10[Grade],DropAnalityka[[#This Row],[Grade]])*DropAnalityka[[#This Row],[Quality/Quantity]],0)</f>
        <v>0</v>
      </c>
      <c r="L1896" s="43">
        <f>IFERROR(SUMIFS(Tabela10[Exp Gain only 2*+],Tabela10[Drop],DropAnalityka[[#This Row],[Drop]],Tabela10[Grade],DropAnalityka[[#This Row],[Grade]])*DropAnalityka[[#This Row],[Quality/Quantity]],0)</f>
        <v>0</v>
      </c>
    </row>
    <row r="1897" spans="10:12">
      <c r="J18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7" s="43">
        <f>IFERROR(SUMIFS(Tabela10[Fod Worth],Tabela10[Drop],DropAnalityka[[#This Row],[Drop]],Tabela10[Grade],DropAnalityka[[#This Row],[Grade]])*DropAnalityka[[#This Row],[Quality/Quantity]],0)</f>
        <v>0</v>
      </c>
      <c r="L1897" s="43">
        <f>IFERROR(SUMIFS(Tabela10[Exp Gain only 2*+],Tabela10[Drop],DropAnalityka[[#This Row],[Drop]],Tabela10[Grade],DropAnalityka[[#This Row],[Grade]])*DropAnalityka[[#This Row],[Quality/Quantity]],0)</f>
        <v>0</v>
      </c>
    </row>
    <row r="1898" spans="10:12">
      <c r="J189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8" s="43">
        <f>IFERROR(SUMIFS(Tabela10[Fod Worth],Tabela10[Drop],DropAnalityka[[#This Row],[Drop]],Tabela10[Grade],DropAnalityka[[#This Row],[Grade]])*DropAnalityka[[#This Row],[Quality/Quantity]],0)</f>
        <v>0</v>
      </c>
      <c r="L1898" s="43">
        <f>IFERROR(SUMIFS(Tabela10[Exp Gain only 2*+],Tabela10[Drop],DropAnalityka[[#This Row],[Drop]],Tabela10[Grade],DropAnalityka[[#This Row],[Grade]])*DropAnalityka[[#This Row],[Quality/Quantity]],0)</f>
        <v>0</v>
      </c>
    </row>
    <row r="1899" spans="10:12">
      <c r="J189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899" s="43">
        <f>IFERROR(SUMIFS(Tabela10[Fod Worth],Tabela10[Drop],DropAnalityka[[#This Row],[Drop]],Tabela10[Grade],DropAnalityka[[#This Row],[Grade]])*DropAnalityka[[#This Row],[Quality/Quantity]],0)</f>
        <v>0</v>
      </c>
      <c r="L1899" s="43">
        <f>IFERROR(SUMIFS(Tabela10[Exp Gain only 2*+],Tabela10[Drop],DropAnalityka[[#This Row],[Drop]],Tabela10[Grade],DropAnalityka[[#This Row],[Grade]])*DropAnalityka[[#This Row],[Quality/Quantity]],0)</f>
        <v>0</v>
      </c>
    </row>
    <row r="1900" spans="10:12">
      <c r="J190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0" s="43">
        <f>IFERROR(SUMIFS(Tabela10[Fod Worth],Tabela10[Drop],DropAnalityka[[#This Row],[Drop]],Tabela10[Grade],DropAnalityka[[#This Row],[Grade]])*DropAnalityka[[#This Row],[Quality/Quantity]],0)</f>
        <v>0</v>
      </c>
      <c r="L1900" s="43">
        <f>IFERROR(SUMIFS(Tabela10[Exp Gain only 2*+],Tabela10[Drop],DropAnalityka[[#This Row],[Drop]],Tabela10[Grade],DropAnalityka[[#This Row],[Grade]])*DropAnalityka[[#This Row],[Quality/Quantity]],0)</f>
        <v>0</v>
      </c>
    </row>
    <row r="1901" spans="10:12">
      <c r="J190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1" s="43">
        <f>IFERROR(SUMIFS(Tabela10[Fod Worth],Tabela10[Drop],DropAnalityka[[#This Row],[Drop]],Tabela10[Grade],DropAnalityka[[#This Row],[Grade]])*DropAnalityka[[#This Row],[Quality/Quantity]],0)</f>
        <v>0</v>
      </c>
      <c r="L1901" s="43">
        <f>IFERROR(SUMIFS(Tabela10[Exp Gain only 2*+],Tabela10[Drop],DropAnalityka[[#This Row],[Drop]],Tabela10[Grade],DropAnalityka[[#This Row],[Grade]])*DropAnalityka[[#This Row],[Quality/Quantity]],0)</f>
        <v>0</v>
      </c>
    </row>
    <row r="1902" spans="10:12">
      <c r="J190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2" s="43">
        <f>IFERROR(SUMIFS(Tabela10[Fod Worth],Tabela10[Drop],DropAnalityka[[#This Row],[Drop]],Tabela10[Grade],DropAnalityka[[#This Row],[Grade]])*DropAnalityka[[#This Row],[Quality/Quantity]],0)</f>
        <v>0</v>
      </c>
      <c r="L1902" s="43">
        <f>IFERROR(SUMIFS(Tabela10[Exp Gain only 2*+],Tabela10[Drop],DropAnalityka[[#This Row],[Drop]],Tabela10[Grade],DropAnalityka[[#This Row],[Grade]])*DropAnalityka[[#This Row],[Quality/Quantity]],0)</f>
        <v>0</v>
      </c>
    </row>
    <row r="1903" spans="10:12">
      <c r="J190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3" s="43">
        <f>IFERROR(SUMIFS(Tabela10[Fod Worth],Tabela10[Drop],DropAnalityka[[#This Row],[Drop]],Tabela10[Grade],DropAnalityka[[#This Row],[Grade]])*DropAnalityka[[#This Row],[Quality/Quantity]],0)</f>
        <v>0</v>
      </c>
      <c r="L1903" s="43">
        <f>IFERROR(SUMIFS(Tabela10[Exp Gain only 2*+],Tabela10[Drop],DropAnalityka[[#This Row],[Drop]],Tabela10[Grade],DropAnalityka[[#This Row],[Grade]])*DropAnalityka[[#This Row],[Quality/Quantity]],0)</f>
        <v>0</v>
      </c>
    </row>
    <row r="1904" spans="10:12">
      <c r="J190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4" s="43">
        <f>IFERROR(SUMIFS(Tabela10[Fod Worth],Tabela10[Drop],DropAnalityka[[#This Row],[Drop]],Tabela10[Grade],DropAnalityka[[#This Row],[Grade]])*DropAnalityka[[#This Row],[Quality/Quantity]],0)</f>
        <v>0</v>
      </c>
      <c r="L1904" s="43">
        <f>IFERROR(SUMIFS(Tabela10[Exp Gain only 2*+],Tabela10[Drop],DropAnalityka[[#This Row],[Drop]],Tabela10[Grade],DropAnalityka[[#This Row],[Grade]])*DropAnalityka[[#This Row],[Quality/Quantity]],0)</f>
        <v>0</v>
      </c>
    </row>
    <row r="1905" spans="10:12">
      <c r="J190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5" s="43">
        <f>IFERROR(SUMIFS(Tabela10[Fod Worth],Tabela10[Drop],DropAnalityka[[#This Row],[Drop]],Tabela10[Grade],DropAnalityka[[#This Row],[Grade]])*DropAnalityka[[#This Row],[Quality/Quantity]],0)</f>
        <v>0</v>
      </c>
      <c r="L1905" s="43">
        <f>IFERROR(SUMIFS(Tabela10[Exp Gain only 2*+],Tabela10[Drop],DropAnalityka[[#This Row],[Drop]],Tabela10[Grade],DropAnalityka[[#This Row],[Grade]])*DropAnalityka[[#This Row],[Quality/Quantity]],0)</f>
        <v>0</v>
      </c>
    </row>
    <row r="1906" spans="10:12">
      <c r="J190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6" s="43">
        <f>IFERROR(SUMIFS(Tabela10[Fod Worth],Tabela10[Drop],DropAnalityka[[#This Row],[Drop]],Tabela10[Grade],DropAnalityka[[#This Row],[Grade]])*DropAnalityka[[#This Row],[Quality/Quantity]],0)</f>
        <v>0</v>
      </c>
      <c r="L1906" s="43">
        <f>IFERROR(SUMIFS(Tabela10[Exp Gain only 2*+],Tabela10[Drop],DropAnalityka[[#This Row],[Drop]],Tabela10[Grade],DropAnalityka[[#This Row],[Grade]])*DropAnalityka[[#This Row],[Quality/Quantity]],0)</f>
        <v>0</v>
      </c>
    </row>
    <row r="1907" spans="10:12">
      <c r="J190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7" s="43">
        <f>IFERROR(SUMIFS(Tabela10[Fod Worth],Tabela10[Drop],DropAnalityka[[#This Row],[Drop]],Tabela10[Grade],DropAnalityka[[#This Row],[Grade]])*DropAnalityka[[#This Row],[Quality/Quantity]],0)</f>
        <v>0</v>
      </c>
      <c r="L1907" s="43">
        <f>IFERROR(SUMIFS(Tabela10[Exp Gain only 2*+],Tabela10[Drop],DropAnalityka[[#This Row],[Drop]],Tabela10[Grade],DropAnalityka[[#This Row],[Grade]])*DropAnalityka[[#This Row],[Quality/Quantity]],0)</f>
        <v>0</v>
      </c>
    </row>
    <row r="1908" spans="10:12">
      <c r="J190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8" s="43">
        <f>IFERROR(SUMIFS(Tabela10[Fod Worth],Tabela10[Drop],DropAnalityka[[#This Row],[Drop]],Tabela10[Grade],DropAnalityka[[#This Row],[Grade]])*DropAnalityka[[#This Row],[Quality/Quantity]],0)</f>
        <v>0</v>
      </c>
      <c r="L1908" s="43">
        <f>IFERROR(SUMIFS(Tabela10[Exp Gain only 2*+],Tabela10[Drop],DropAnalityka[[#This Row],[Drop]],Tabela10[Grade],DropAnalityka[[#This Row],[Grade]])*DropAnalityka[[#This Row],[Quality/Quantity]],0)</f>
        <v>0</v>
      </c>
    </row>
    <row r="1909" spans="10:12">
      <c r="J190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09" s="43">
        <f>IFERROR(SUMIFS(Tabela10[Fod Worth],Tabela10[Drop],DropAnalityka[[#This Row],[Drop]],Tabela10[Grade],DropAnalityka[[#This Row],[Grade]])*DropAnalityka[[#This Row],[Quality/Quantity]],0)</f>
        <v>0</v>
      </c>
      <c r="L1909" s="43">
        <f>IFERROR(SUMIFS(Tabela10[Exp Gain only 2*+],Tabela10[Drop],DropAnalityka[[#This Row],[Drop]],Tabela10[Grade],DropAnalityka[[#This Row],[Grade]])*DropAnalityka[[#This Row],[Quality/Quantity]],0)</f>
        <v>0</v>
      </c>
    </row>
    <row r="1910" spans="10:12">
      <c r="J191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0" s="43">
        <f>IFERROR(SUMIFS(Tabela10[Fod Worth],Tabela10[Drop],DropAnalityka[[#This Row],[Drop]],Tabela10[Grade],DropAnalityka[[#This Row],[Grade]])*DropAnalityka[[#This Row],[Quality/Quantity]],0)</f>
        <v>0</v>
      </c>
      <c r="L1910" s="43">
        <f>IFERROR(SUMIFS(Tabela10[Exp Gain only 2*+],Tabela10[Drop],DropAnalityka[[#This Row],[Drop]],Tabela10[Grade],DropAnalityka[[#This Row],[Grade]])*DropAnalityka[[#This Row],[Quality/Quantity]],0)</f>
        <v>0</v>
      </c>
    </row>
    <row r="1911" spans="10:12">
      <c r="J191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1" s="43">
        <f>IFERROR(SUMIFS(Tabela10[Fod Worth],Tabela10[Drop],DropAnalityka[[#This Row],[Drop]],Tabela10[Grade],DropAnalityka[[#This Row],[Grade]])*DropAnalityka[[#This Row],[Quality/Quantity]],0)</f>
        <v>0</v>
      </c>
      <c r="L1911" s="43">
        <f>IFERROR(SUMIFS(Tabela10[Exp Gain only 2*+],Tabela10[Drop],DropAnalityka[[#This Row],[Drop]],Tabela10[Grade],DropAnalityka[[#This Row],[Grade]])*DropAnalityka[[#This Row],[Quality/Quantity]],0)</f>
        <v>0</v>
      </c>
    </row>
    <row r="1912" spans="10:12">
      <c r="J191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2" s="43">
        <f>IFERROR(SUMIFS(Tabela10[Fod Worth],Tabela10[Drop],DropAnalityka[[#This Row],[Drop]],Tabela10[Grade],DropAnalityka[[#This Row],[Grade]])*DropAnalityka[[#This Row],[Quality/Quantity]],0)</f>
        <v>0</v>
      </c>
      <c r="L1912" s="43">
        <f>IFERROR(SUMIFS(Tabela10[Exp Gain only 2*+],Tabela10[Drop],DropAnalityka[[#This Row],[Drop]],Tabela10[Grade],DropAnalityka[[#This Row],[Grade]])*DropAnalityka[[#This Row],[Quality/Quantity]],0)</f>
        <v>0</v>
      </c>
    </row>
    <row r="1913" spans="10:12">
      <c r="J191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3" s="43">
        <f>IFERROR(SUMIFS(Tabela10[Fod Worth],Tabela10[Drop],DropAnalityka[[#This Row],[Drop]],Tabela10[Grade],DropAnalityka[[#This Row],[Grade]])*DropAnalityka[[#This Row],[Quality/Quantity]],0)</f>
        <v>0</v>
      </c>
      <c r="L1913" s="43">
        <f>IFERROR(SUMIFS(Tabela10[Exp Gain only 2*+],Tabela10[Drop],DropAnalityka[[#This Row],[Drop]],Tabela10[Grade],DropAnalityka[[#This Row],[Grade]])*DropAnalityka[[#This Row],[Quality/Quantity]],0)</f>
        <v>0</v>
      </c>
    </row>
    <row r="1914" spans="10:12">
      <c r="J191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4" s="43">
        <f>IFERROR(SUMIFS(Tabela10[Fod Worth],Tabela10[Drop],DropAnalityka[[#This Row],[Drop]],Tabela10[Grade],DropAnalityka[[#This Row],[Grade]])*DropAnalityka[[#This Row],[Quality/Quantity]],0)</f>
        <v>0</v>
      </c>
      <c r="L1914" s="43">
        <f>IFERROR(SUMIFS(Tabela10[Exp Gain only 2*+],Tabela10[Drop],DropAnalityka[[#This Row],[Drop]],Tabela10[Grade],DropAnalityka[[#This Row],[Grade]])*DropAnalityka[[#This Row],[Quality/Quantity]],0)</f>
        <v>0</v>
      </c>
    </row>
    <row r="1915" spans="10:12">
      <c r="J191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5" s="43">
        <f>IFERROR(SUMIFS(Tabela10[Fod Worth],Tabela10[Drop],DropAnalityka[[#This Row],[Drop]],Tabela10[Grade],DropAnalityka[[#This Row],[Grade]])*DropAnalityka[[#This Row],[Quality/Quantity]],0)</f>
        <v>0</v>
      </c>
      <c r="L1915" s="43">
        <f>IFERROR(SUMIFS(Tabela10[Exp Gain only 2*+],Tabela10[Drop],DropAnalityka[[#This Row],[Drop]],Tabela10[Grade],DropAnalityka[[#This Row],[Grade]])*DropAnalityka[[#This Row],[Quality/Quantity]],0)</f>
        <v>0</v>
      </c>
    </row>
    <row r="1916" spans="10:12">
      <c r="J191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6" s="43">
        <f>IFERROR(SUMIFS(Tabela10[Fod Worth],Tabela10[Drop],DropAnalityka[[#This Row],[Drop]],Tabela10[Grade],DropAnalityka[[#This Row],[Grade]])*DropAnalityka[[#This Row],[Quality/Quantity]],0)</f>
        <v>0</v>
      </c>
      <c r="L1916" s="43">
        <f>IFERROR(SUMIFS(Tabela10[Exp Gain only 2*+],Tabela10[Drop],DropAnalityka[[#This Row],[Drop]],Tabela10[Grade],DropAnalityka[[#This Row],[Grade]])*DropAnalityka[[#This Row],[Quality/Quantity]],0)</f>
        <v>0</v>
      </c>
    </row>
    <row r="1917" spans="10:12">
      <c r="J191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7" s="43">
        <f>IFERROR(SUMIFS(Tabela10[Fod Worth],Tabela10[Drop],DropAnalityka[[#This Row],[Drop]],Tabela10[Grade],DropAnalityka[[#This Row],[Grade]])*DropAnalityka[[#This Row],[Quality/Quantity]],0)</f>
        <v>0</v>
      </c>
      <c r="L1917" s="43">
        <f>IFERROR(SUMIFS(Tabela10[Exp Gain only 2*+],Tabela10[Drop],DropAnalityka[[#This Row],[Drop]],Tabela10[Grade],DropAnalityka[[#This Row],[Grade]])*DropAnalityka[[#This Row],[Quality/Quantity]],0)</f>
        <v>0</v>
      </c>
    </row>
    <row r="1918" spans="10:12">
      <c r="J191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8" s="43">
        <f>IFERROR(SUMIFS(Tabela10[Fod Worth],Tabela10[Drop],DropAnalityka[[#This Row],[Drop]],Tabela10[Grade],DropAnalityka[[#This Row],[Grade]])*DropAnalityka[[#This Row],[Quality/Quantity]],0)</f>
        <v>0</v>
      </c>
      <c r="L1918" s="43">
        <f>IFERROR(SUMIFS(Tabela10[Exp Gain only 2*+],Tabela10[Drop],DropAnalityka[[#This Row],[Drop]],Tabela10[Grade],DropAnalityka[[#This Row],[Grade]])*DropAnalityka[[#This Row],[Quality/Quantity]],0)</f>
        <v>0</v>
      </c>
    </row>
    <row r="1919" spans="10:12">
      <c r="J191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19" s="43">
        <f>IFERROR(SUMIFS(Tabela10[Fod Worth],Tabela10[Drop],DropAnalityka[[#This Row],[Drop]],Tabela10[Grade],DropAnalityka[[#This Row],[Grade]])*DropAnalityka[[#This Row],[Quality/Quantity]],0)</f>
        <v>0</v>
      </c>
      <c r="L1919" s="43">
        <f>IFERROR(SUMIFS(Tabela10[Exp Gain only 2*+],Tabela10[Drop],DropAnalityka[[#This Row],[Drop]],Tabela10[Grade],DropAnalityka[[#This Row],[Grade]])*DropAnalityka[[#This Row],[Quality/Quantity]],0)</f>
        <v>0</v>
      </c>
    </row>
    <row r="1920" spans="10:12">
      <c r="J192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0" s="43">
        <f>IFERROR(SUMIFS(Tabela10[Fod Worth],Tabela10[Drop],DropAnalityka[[#This Row],[Drop]],Tabela10[Grade],DropAnalityka[[#This Row],[Grade]])*DropAnalityka[[#This Row],[Quality/Quantity]],0)</f>
        <v>0</v>
      </c>
      <c r="L1920" s="43">
        <f>IFERROR(SUMIFS(Tabela10[Exp Gain only 2*+],Tabela10[Drop],DropAnalityka[[#This Row],[Drop]],Tabela10[Grade],DropAnalityka[[#This Row],[Grade]])*DropAnalityka[[#This Row],[Quality/Quantity]],0)</f>
        <v>0</v>
      </c>
    </row>
    <row r="1921" spans="10:12">
      <c r="J192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1" s="43">
        <f>IFERROR(SUMIFS(Tabela10[Fod Worth],Tabela10[Drop],DropAnalityka[[#This Row],[Drop]],Tabela10[Grade],DropAnalityka[[#This Row],[Grade]])*DropAnalityka[[#This Row],[Quality/Quantity]],0)</f>
        <v>0</v>
      </c>
      <c r="L1921" s="43">
        <f>IFERROR(SUMIFS(Tabela10[Exp Gain only 2*+],Tabela10[Drop],DropAnalityka[[#This Row],[Drop]],Tabela10[Grade],DropAnalityka[[#This Row],[Grade]])*DropAnalityka[[#This Row],[Quality/Quantity]],0)</f>
        <v>0</v>
      </c>
    </row>
    <row r="1922" spans="10:12">
      <c r="J192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2" s="43">
        <f>IFERROR(SUMIFS(Tabela10[Fod Worth],Tabela10[Drop],DropAnalityka[[#This Row],[Drop]],Tabela10[Grade],DropAnalityka[[#This Row],[Grade]])*DropAnalityka[[#This Row],[Quality/Quantity]],0)</f>
        <v>0</v>
      </c>
      <c r="L1922" s="43">
        <f>IFERROR(SUMIFS(Tabela10[Exp Gain only 2*+],Tabela10[Drop],DropAnalityka[[#This Row],[Drop]],Tabela10[Grade],DropAnalityka[[#This Row],[Grade]])*DropAnalityka[[#This Row],[Quality/Quantity]],0)</f>
        <v>0</v>
      </c>
    </row>
    <row r="1923" spans="10:12">
      <c r="J192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3" s="43">
        <f>IFERROR(SUMIFS(Tabela10[Fod Worth],Tabela10[Drop],DropAnalityka[[#This Row],[Drop]],Tabela10[Grade],DropAnalityka[[#This Row],[Grade]])*DropAnalityka[[#This Row],[Quality/Quantity]],0)</f>
        <v>0</v>
      </c>
      <c r="L1923" s="43">
        <f>IFERROR(SUMIFS(Tabela10[Exp Gain only 2*+],Tabela10[Drop],DropAnalityka[[#This Row],[Drop]],Tabela10[Grade],DropAnalityka[[#This Row],[Grade]])*DropAnalityka[[#This Row],[Quality/Quantity]],0)</f>
        <v>0</v>
      </c>
    </row>
    <row r="1924" spans="10:12">
      <c r="J192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4" s="43">
        <f>IFERROR(SUMIFS(Tabela10[Fod Worth],Tabela10[Drop],DropAnalityka[[#This Row],[Drop]],Tabela10[Grade],DropAnalityka[[#This Row],[Grade]])*DropAnalityka[[#This Row],[Quality/Quantity]],0)</f>
        <v>0</v>
      </c>
      <c r="L1924" s="43">
        <f>IFERROR(SUMIFS(Tabela10[Exp Gain only 2*+],Tabela10[Drop],DropAnalityka[[#This Row],[Drop]],Tabela10[Grade],DropAnalityka[[#This Row],[Grade]])*DropAnalityka[[#This Row],[Quality/Quantity]],0)</f>
        <v>0</v>
      </c>
    </row>
    <row r="1925" spans="10:12">
      <c r="J192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5" s="43">
        <f>IFERROR(SUMIFS(Tabela10[Fod Worth],Tabela10[Drop],DropAnalityka[[#This Row],[Drop]],Tabela10[Grade],DropAnalityka[[#This Row],[Grade]])*DropAnalityka[[#This Row],[Quality/Quantity]],0)</f>
        <v>0</v>
      </c>
      <c r="L1925" s="43">
        <f>IFERROR(SUMIFS(Tabela10[Exp Gain only 2*+],Tabela10[Drop],DropAnalityka[[#This Row],[Drop]],Tabela10[Grade],DropAnalityka[[#This Row],[Grade]])*DropAnalityka[[#This Row],[Quality/Quantity]],0)</f>
        <v>0</v>
      </c>
    </row>
    <row r="1926" spans="10:12">
      <c r="J192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6" s="43">
        <f>IFERROR(SUMIFS(Tabela10[Fod Worth],Tabela10[Drop],DropAnalityka[[#This Row],[Drop]],Tabela10[Grade],DropAnalityka[[#This Row],[Grade]])*DropAnalityka[[#This Row],[Quality/Quantity]],0)</f>
        <v>0</v>
      </c>
      <c r="L1926" s="43">
        <f>IFERROR(SUMIFS(Tabela10[Exp Gain only 2*+],Tabela10[Drop],DropAnalityka[[#This Row],[Drop]],Tabela10[Grade],DropAnalityka[[#This Row],[Grade]])*DropAnalityka[[#This Row],[Quality/Quantity]],0)</f>
        <v>0</v>
      </c>
    </row>
    <row r="1927" spans="10:12">
      <c r="J192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7" s="43">
        <f>IFERROR(SUMIFS(Tabela10[Fod Worth],Tabela10[Drop],DropAnalityka[[#This Row],[Drop]],Tabela10[Grade],DropAnalityka[[#This Row],[Grade]])*DropAnalityka[[#This Row],[Quality/Quantity]],0)</f>
        <v>0</v>
      </c>
      <c r="L1927" s="43">
        <f>IFERROR(SUMIFS(Tabela10[Exp Gain only 2*+],Tabela10[Drop],DropAnalityka[[#This Row],[Drop]],Tabela10[Grade],DropAnalityka[[#This Row],[Grade]])*DropAnalityka[[#This Row],[Quality/Quantity]],0)</f>
        <v>0</v>
      </c>
    </row>
    <row r="1928" spans="10:12">
      <c r="J192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8" s="43">
        <f>IFERROR(SUMIFS(Tabela10[Fod Worth],Tabela10[Drop],DropAnalityka[[#This Row],[Drop]],Tabela10[Grade],DropAnalityka[[#This Row],[Grade]])*DropAnalityka[[#This Row],[Quality/Quantity]],0)</f>
        <v>0</v>
      </c>
      <c r="L1928" s="43">
        <f>IFERROR(SUMIFS(Tabela10[Exp Gain only 2*+],Tabela10[Drop],DropAnalityka[[#This Row],[Drop]],Tabela10[Grade],DropAnalityka[[#This Row],[Grade]])*DropAnalityka[[#This Row],[Quality/Quantity]],0)</f>
        <v>0</v>
      </c>
    </row>
    <row r="1929" spans="10:12">
      <c r="J192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29" s="43">
        <f>IFERROR(SUMIFS(Tabela10[Fod Worth],Tabela10[Drop],DropAnalityka[[#This Row],[Drop]],Tabela10[Grade],DropAnalityka[[#This Row],[Grade]])*DropAnalityka[[#This Row],[Quality/Quantity]],0)</f>
        <v>0</v>
      </c>
      <c r="L1929" s="43">
        <f>IFERROR(SUMIFS(Tabela10[Exp Gain only 2*+],Tabela10[Drop],DropAnalityka[[#This Row],[Drop]],Tabela10[Grade],DropAnalityka[[#This Row],[Grade]])*DropAnalityka[[#This Row],[Quality/Quantity]],0)</f>
        <v>0</v>
      </c>
    </row>
    <row r="1930" spans="10:12">
      <c r="J193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0" s="43">
        <f>IFERROR(SUMIFS(Tabela10[Fod Worth],Tabela10[Drop],DropAnalityka[[#This Row],[Drop]],Tabela10[Grade],DropAnalityka[[#This Row],[Grade]])*DropAnalityka[[#This Row],[Quality/Quantity]],0)</f>
        <v>0</v>
      </c>
      <c r="L1930" s="43">
        <f>IFERROR(SUMIFS(Tabela10[Exp Gain only 2*+],Tabela10[Drop],DropAnalityka[[#This Row],[Drop]],Tabela10[Grade],DropAnalityka[[#This Row],[Grade]])*DropAnalityka[[#This Row],[Quality/Quantity]],0)</f>
        <v>0</v>
      </c>
    </row>
    <row r="1931" spans="10:12">
      <c r="J193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1" s="43">
        <f>IFERROR(SUMIFS(Tabela10[Fod Worth],Tabela10[Drop],DropAnalityka[[#This Row],[Drop]],Tabela10[Grade],DropAnalityka[[#This Row],[Grade]])*DropAnalityka[[#This Row],[Quality/Quantity]],0)</f>
        <v>0</v>
      </c>
      <c r="L1931" s="43">
        <f>IFERROR(SUMIFS(Tabela10[Exp Gain only 2*+],Tabela10[Drop],DropAnalityka[[#This Row],[Drop]],Tabela10[Grade],DropAnalityka[[#This Row],[Grade]])*DropAnalityka[[#This Row],[Quality/Quantity]],0)</f>
        <v>0</v>
      </c>
    </row>
    <row r="1932" spans="10:12">
      <c r="J193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2" s="43">
        <f>IFERROR(SUMIFS(Tabela10[Fod Worth],Tabela10[Drop],DropAnalityka[[#This Row],[Drop]],Tabela10[Grade],DropAnalityka[[#This Row],[Grade]])*DropAnalityka[[#This Row],[Quality/Quantity]],0)</f>
        <v>0</v>
      </c>
      <c r="L1932" s="43">
        <f>IFERROR(SUMIFS(Tabela10[Exp Gain only 2*+],Tabela10[Drop],DropAnalityka[[#This Row],[Drop]],Tabela10[Grade],DropAnalityka[[#This Row],[Grade]])*DropAnalityka[[#This Row],[Quality/Quantity]],0)</f>
        <v>0</v>
      </c>
    </row>
    <row r="1933" spans="10:12">
      <c r="J193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3" s="43">
        <f>IFERROR(SUMIFS(Tabela10[Fod Worth],Tabela10[Drop],DropAnalityka[[#This Row],[Drop]],Tabela10[Grade],DropAnalityka[[#This Row],[Grade]])*DropAnalityka[[#This Row],[Quality/Quantity]],0)</f>
        <v>0</v>
      </c>
      <c r="L1933" s="43">
        <f>IFERROR(SUMIFS(Tabela10[Exp Gain only 2*+],Tabela10[Drop],DropAnalityka[[#This Row],[Drop]],Tabela10[Grade],DropAnalityka[[#This Row],[Grade]])*DropAnalityka[[#This Row],[Quality/Quantity]],0)</f>
        <v>0</v>
      </c>
    </row>
    <row r="1934" spans="10:12">
      <c r="J193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4" s="43">
        <f>IFERROR(SUMIFS(Tabela10[Fod Worth],Tabela10[Drop],DropAnalityka[[#This Row],[Drop]],Tabela10[Grade],DropAnalityka[[#This Row],[Grade]])*DropAnalityka[[#This Row],[Quality/Quantity]],0)</f>
        <v>0</v>
      </c>
      <c r="L1934" s="43">
        <f>IFERROR(SUMIFS(Tabela10[Exp Gain only 2*+],Tabela10[Drop],DropAnalityka[[#This Row],[Drop]],Tabela10[Grade],DropAnalityka[[#This Row],[Grade]])*DropAnalityka[[#This Row],[Quality/Quantity]],0)</f>
        <v>0</v>
      </c>
    </row>
    <row r="1935" spans="10:12">
      <c r="J193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5" s="43">
        <f>IFERROR(SUMIFS(Tabela10[Fod Worth],Tabela10[Drop],DropAnalityka[[#This Row],[Drop]],Tabela10[Grade],DropAnalityka[[#This Row],[Grade]])*DropAnalityka[[#This Row],[Quality/Quantity]],0)</f>
        <v>0</v>
      </c>
      <c r="L1935" s="43">
        <f>IFERROR(SUMIFS(Tabela10[Exp Gain only 2*+],Tabela10[Drop],DropAnalityka[[#This Row],[Drop]],Tabela10[Grade],DropAnalityka[[#This Row],[Grade]])*DropAnalityka[[#This Row],[Quality/Quantity]],0)</f>
        <v>0</v>
      </c>
    </row>
    <row r="1936" spans="10:12">
      <c r="J193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6" s="43">
        <f>IFERROR(SUMIFS(Tabela10[Fod Worth],Tabela10[Drop],DropAnalityka[[#This Row],[Drop]],Tabela10[Grade],DropAnalityka[[#This Row],[Grade]])*DropAnalityka[[#This Row],[Quality/Quantity]],0)</f>
        <v>0</v>
      </c>
      <c r="L1936" s="43">
        <f>IFERROR(SUMIFS(Tabela10[Exp Gain only 2*+],Tabela10[Drop],DropAnalityka[[#This Row],[Drop]],Tabela10[Grade],DropAnalityka[[#This Row],[Grade]])*DropAnalityka[[#This Row],[Quality/Quantity]],0)</f>
        <v>0</v>
      </c>
    </row>
    <row r="1937" spans="10:12">
      <c r="J193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7" s="43">
        <f>IFERROR(SUMIFS(Tabela10[Fod Worth],Tabela10[Drop],DropAnalityka[[#This Row],[Drop]],Tabela10[Grade],DropAnalityka[[#This Row],[Grade]])*DropAnalityka[[#This Row],[Quality/Quantity]],0)</f>
        <v>0</v>
      </c>
      <c r="L1937" s="43">
        <f>IFERROR(SUMIFS(Tabela10[Exp Gain only 2*+],Tabela10[Drop],DropAnalityka[[#This Row],[Drop]],Tabela10[Grade],DropAnalityka[[#This Row],[Grade]])*DropAnalityka[[#This Row],[Quality/Quantity]],0)</f>
        <v>0</v>
      </c>
    </row>
    <row r="1938" spans="10:12">
      <c r="J193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8" s="43">
        <f>IFERROR(SUMIFS(Tabela10[Fod Worth],Tabela10[Drop],DropAnalityka[[#This Row],[Drop]],Tabela10[Grade],DropAnalityka[[#This Row],[Grade]])*DropAnalityka[[#This Row],[Quality/Quantity]],0)</f>
        <v>0</v>
      </c>
      <c r="L1938" s="43">
        <f>IFERROR(SUMIFS(Tabela10[Exp Gain only 2*+],Tabela10[Drop],DropAnalityka[[#This Row],[Drop]],Tabela10[Grade],DropAnalityka[[#This Row],[Grade]])*DropAnalityka[[#This Row],[Quality/Quantity]],0)</f>
        <v>0</v>
      </c>
    </row>
    <row r="1939" spans="10:12">
      <c r="J193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39" s="43">
        <f>IFERROR(SUMIFS(Tabela10[Fod Worth],Tabela10[Drop],DropAnalityka[[#This Row],[Drop]],Tabela10[Grade],DropAnalityka[[#This Row],[Grade]])*DropAnalityka[[#This Row],[Quality/Quantity]],0)</f>
        <v>0</v>
      </c>
      <c r="L1939" s="43">
        <f>IFERROR(SUMIFS(Tabela10[Exp Gain only 2*+],Tabela10[Drop],DropAnalityka[[#This Row],[Drop]],Tabela10[Grade],DropAnalityka[[#This Row],[Grade]])*DropAnalityka[[#This Row],[Quality/Quantity]],0)</f>
        <v>0</v>
      </c>
    </row>
    <row r="1940" spans="10:12">
      <c r="J194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0" s="43">
        <f>IFERROR(SUMIFS(Tabela10[Fod Worth],Tabela10[Drop],DropAnalityka[[#This Row],[Drop]],Tabela10[Grade],DropAnalityka[[#This Row],[Grade]])*DropAnalityka[[#This Row],[Quality/Quantity]],0)</f>
        <v>0</v>
      </c>
      <c r="L1940" s="43">
        <f>IFERROR(SUMIFS(Tabela10[Exp Gain only 2*+],Tabela10[Drop],DropAnalityka[[#This Row],[Drop]],Tabela10[Grade],DropAnalityka[[#This Row],[Grade]])*DropAnalityka[[#This Row],[Quality/Quantity]],0)</f>
        <v>0</v>
      </c>
    </row>
    <row r="1941" spans="10:12">
      <c r="J194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1" s="43">
        <f>IFERROR(SUMIFS(Tabela10[Fod Worth],Tabela10[Drop],DropAnalityka[[#This Row],[Drop]],Tabela10[Grade],DropAnalityka[[#This Row],[Grade]])*DropAnalityka[[#This Row],[Quality/Quantity]],0)</f>
        <v>0</v>
      </c>
      <c r="L1941" s="43">
        <f>IFERROR(SUMIFS(Tabela10[Exp Gain only 2*+],Tabela10[Drop],DropAnalityka[[#This Row],[Drop]],Tabela10[Grade],DropAnalityka[[#This Row],[Grade]])*DropAnalityka[[#This Row],[Quality/Quantity]],0)</f>
        <v>0</v>
      </c>
    </row>
    <row r="1942" spans="10:12">
      <c r="J194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2" s="43">
        <f>IFERROR(SUMIFS(Tabela10[Fod Worth],Tabela10[Drop],DropAnalityka[[#This Row],[Drop]],Tabela10[Grade],DropAnalityka[[#This Row],[Grade]])*DropAnalityka[[#This Row],[Quality/Quantity]],0)</f>
        <v>0</v>
      </c>
      <c r="L1942" s="43">
        <f>IFERROR(SUMIFS(Tabela10[Exp Gain only 2*+],Tabela10[Drop],DropAnalityka[[#This Row],[Drop]],Tabela10[Grade],DropAnalityka[[#This Row],[Grade]])*DropAnalityka[[#This Row],[Quality/Quantity]],0)</f>
        <v>0</v>
      </c>
    </row>
    <row r="1943" spans="10:12">
      <c r="J194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3" s="43">
        <f>IFERROR(SUMIFS(Tabela10[Fod Worth],Tabela10[Drop],DropAnalityka[[#This Row],[Drop]],Tabela10[Grade],DropAnalityka[[#This Row],[Grade]])*DropAnalityka[[#This Row],[Quality/Quantity]],0)</f>
        <v>0</v>
      </c>
      <c r="L1943" s="43">
        <f>IFERROR(SUMIFS(Tabela10[Exp Gain only 2*+],Tabela10[Drop],DropAnalityka[[#This Row],[Drop]],Tabela10[Grade],DropAnalityka[[#This Row],[Grade]])*DropAnalityka[[#This Row],[Quality/Quantity]],0)</f>
        <v>0</v>
      </c>
    </row>
    <row r="1944" spans="10:12">
      <c r="J194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4" s="43">
        <f>IFERROR(SUMIFS(Tabela10[Fod Worth],Tabela10[Drop],DropAnalityka[[#This Row],[Drop]],Tabela10[Grade],DropAnalityka[[#This Row],[Grade]])*DropAnalityka[[#This Row],[Quality/Quantity]],0)</f>
        <v>0</v>
      </c>
      <c r="L1944" s="43">
        <f>IFERROR(SUMIFS(Tabela10[Exp Gain only 2*+],Tabela10[Drop],DropAnalityka[[#This Row],[Drop]],Tabela10[Grade],DropAnalityka[[#This Row],[Grade]])*DropAnalityka[[#This Row],[Quality/Quantity]],0)</f>
        <v>0</v>
      </c>
    </row>
    <row r="1945" spans="10:12">
      <c r="J194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5" s="43">
        <f>IFERROR(SUMIFS(Tabela10[Fod Worth],Tabela10[Drop],DropAnalityka[[#This Row],[Drop]],Tabela10[Grade],DropAnalityka[[#This Row],[Grade]])*DropAnalityka[[#This Row],[Quality/Quantity]],0)</f>
        <v>0</v>
      </c>
      <c r="L1945" s="43">
        <f>IFERROR(SUMIFS(Tabela10[Exp Gain only 2*+],Tabela10[Drop],DropAnalityka[[#This Row],[Drop]],Tabela10[Grade],DropAnalityka[[#This Row],[Grade]])*DropAnalityka[[#This Row],[Quality/Quantity]],0)</f>
        <v>0</v>
      </c>
    </row>
    <row r="1946" spans="10:12">
      <c r="J194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6" s="43">
        <f>IFERROR(SUMIFS(Tabela10[Fod Worth],Tabela10[Drop],DropAnalityka[[#This Row],[Drop]],Tabela10[Grade],DropAnalityka[[#This Row],[Grade]])*DropAnalityka[[#This Row],[Quality/Quantity]],0)</f>
        <v>0</v>
      </c>
      <c r="L1946" s="43">
        <f>IFERROR(SUMIFS(Tabela10[Exp Gain only 2*+],Tabela10[Drop],DropAnalityka[[#This Row],[Drop]],Tabela10[Grade],DropAnalityka[[#This Row],[Grade]])*DropAnalityka[[#This Row],[Quality/Quantity]],0)</f>
        <v>0</v>
      </c>
    </row>
    <row r="1947" spans="10:12">
      <c r="J194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7" s="43">
        <f>IFERROR(SUMIFS(Tabela10[Fod Worth],Tabela10[Drop],DropAnalityka[[#This Row],[Drop]],Tabela10[Grade],DropAnalityka[[#This Row],[Grade]])*DropAnalityka[[#This Row],[Quality/Quantity]],0)</f>
        <v>0</v>
      </c>
      <c r="L1947" s="43">
        <f>IFERROR(SUMIFS(Tabela10[Exp Gain only 2*+],Tabela10[Drop],DropAnalityka[[#This Row],[Drop]],Tabela10[Grade],DropAnalityka[[#This Row],[Grade]])*DropAnalityka[[#This Row],[Quality/Quantity]],0)</f>
        <v>0</v>
      </c>
    </row>
    <row r="1948" spans="10:12">
      <c r="J194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8" s="43">
        <f>IFERROR(SUMIFS(Tabela10[Fod Worth],Tabela10[Drop],DropAnalityka[[#This Row],[Drop]],Tabela10[Grade],DropAnalityka[[#This Row],[Grade]])*DropAnalityka[[#This Row],[Quality/Quantity]],0)</f>
        <v>0</v>
      </c>
      <c r="L1948" s="43">
        <f>IFERROR(SUMIFS(Tabela10[Exp Gain only 2*+],Tabela10[Drop],DropAnalityka[[#This Row],[Drop]],Tabela10[Grade],DropAnalityka[[#This Row],[Grade]])*DropAnalityka[[#This Row],[Quality/Quantity]],0)</f>
        <v>0</v>
      </c>
    </row>
    <row r="1949" spans="10:12">
      <c r="J194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49" s="43">
        <f>IFERROR(SUMIFS(Tabela10[Fod Worth],Tabela10[Drop],DropAnalityka[[#This Row],[Drop]],Tabela10[Grade],DropAnalityka[[#This Row],[Grade]])*DropAnalityka[[#This Row],[Quality/Quantity]],0)</f>
        <v>0</v>
      </c>
      <c r="L1949" s="43">
        <f>IFERROR(SUMIFS(Tabela10[Exp Gain only 2*+],Tabela10[Drop],DropAnalityka[[#This Row],[Drop]],Tabela10[Grade],DropAnalityka[[#This Row],[Grade]])*DropAnalityka[[#This Row],[Quality/Quantity]],0)</f>
        <v>0</v>
      </c>
    </row>
    <row r="1950" spans="10:12">
      <c r="J195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0" s="43">
        <f>IFERROR(SUMIFS(Tabela10[Fod Worth],Tabela10[Drop],DropAnalityka[[#This Row],[Drop]],Tabela10[Grade],DropAnalityka[[#This Row],[Grade]])*DropAnalityka[[#This Row],[Quality/Quantity]],0)</f>
        <v>0</v>
      </c>
      <c r="L1950" s="43">
        <f>IFERROR(SUMIFS(Tabela10[Exp Gain only 2*+],Tabela10[Drop],DropAnalityka[[#This Row],[Drop]],Tabela10[Grade],DropAnalityka[[#This Row],[Grade]])*DropAnalityka[[#This Row],[Quality/Quantity]],0)</f>
        <v>0</v>
      </c>
    </row>
    <row r="1951" spans="10:12">
      <c r="J195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1" s="43">
        <f>IFERROR(SUMIFS(Tabela10[Fod Worth],Tabela10[Drop],DropAnalityka[[#This Row],[Drop]],Tabela10[Grade],DropAnalityka[[#This Row],[Grade]])*DropAnalityka[[#This Row],[Quality/Quantity]],0)</f>
        <v>0</v>
      </c>
      <c r="L1951" s="43">
        <f>IFERROR(SUMIFS(Tabela10[Exp Gain only 2*+],Tabela10[Drop],DropAnalityka[[#This Row],[Drop]],Tabela10[Grade],DropAnalityka[[#This Row],[Grade]])*DropAnalityka[[#This Row],[Quality/Quantity]],0)</f>
        <v>0</v>
      </c>
    </row>
    <row r="1952" spans="10:12">
      <c r="J195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2" s="43">
        <f>IFERROR(SUMIFS(Tabela10[Fod Worth],Tabela10[Drop],DropAnalityka[[#This Row],[Drop]],Tabela10[Grade],DropAnalityka[[#This Row],[Grade]])*DropAnalityka[[#This Row],[Quality/Quantity]],0)</f>
        <v>0</v>
      </c>
      <c r="L1952" s="43">
        <f>IFERROR(SUMIFS(Tabela10[Exp Gain only 2*+],Tabela10[Drop],DropAnalityka[[#This Row],[Drop]],Tabela10[Grade],DropAnalityka[[#This Row],[Grade]])*DropAnalityka[[#This Row],[Quality/Quantity]],0)</f>
        <v>0</v>
      </c>
    </row>
    <row r="1953" spans="10:12">
      <c r="J195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3" s="43">
        <f>IFERROR(SUMIFS(Tabela10[Fod Worth],Tabela10[Drop],DropAnalityka[[#This Row],[Drop]],Tabela10[Grade],DropAnalityka[[#This Row],[Grade]])*DropAnalityka[[#This Row],[Quality/Quantity]],0)</f>
        <v>0</v>
      </c>
      <c r="L1953" s="43">
        <f>IFERROR(SUMIFS(Tabela10[Exp Gain only 2*+],Tabela10[Drop],DropAnalityka[[#This Row],[Drop]],Tabela10[Grade],DropAnalityka[[#This Row],[Grade]])*DropAnalityka[[#This Row],[Quality/Quantity]],0)</f>
        <v>0</v>
      </c>
    </row>
    <row r="1954" spans="10:12">
      <c r="J195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4" s="43">
        <f>IFERROR(SUMIFS(Tabela10[Fod Worth],Tabela10[Drop],DropAnalityka[[#This Row],[Drop]],Tabela10[Grade],DropAnalityka[[#This Row],[Grade]])*DropAnalityka[[#This Row],[Quality/Quantity]],0)</f>
        <v>0</v>
      </c>
      <c r="L1954" s="43">
        <f>IFERROR(SUMIFS(Tabela10[Exp Gain only 2*+],Tabela10[Drop],DropAnalityka[[#This Row],[Drop]],Tabela10[Grade],DropAnalityka[[#This Row],[Grade]])*DropAnalityka[[#This Row],[Quality/Quantity]],0)</f>
        <v>0</v>
      </c>
    </row>
    <row r="1955" spans="10:12">
      <c r="J195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5" s="43">
        <f>IFERROR(SUMIFS(Tabela10[Fod Worth],Tabela10[Drop],DropAnalityka[[#This Row],[Drop]],Tabela10[Grade],DropAnalityka[[#This Row],[Grade]])*DropAnalityka[[#This Row],[Quality/Quantity]],0)</f>
        <v>0</v>
      </c>
      <c r="L1955" s="43">
        <f>IFERROR(SUMIFS(Tabela10[Exp Gain only 2*+],Tabela10[Drop],DropAnalityka[[#This Row],[Drop]],Tabela10[Grade],DropAnalityka[[#This Row],[Grade]])*DropAnalityka[[#This Row],[Quality/Quantity]],0)</f>
        <v>0</v>
      </c>
    </row>
    <row r="1956" spans="10:12">
      <c r="J195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6" s="43">
        <f>IFERROR(SUMIFS(Tabela10[Fod Worth],Tabela10[Drop],DropAnalityka[[#This Row],[Drop]],Tabela10[Grade],DropAnalityka[[#This Row],[Grade]])*DropAnalityka[[#This Row],[Quality/Quantity]],0)</f>
        <v>0</v>
      </c>
      <c r="L1956" s="43">
        <f>IFERROR(SUMIFS(Tabela10[Exp Gain only 2*+],Tabela10[Drop],DropAnalityka[[#This Row],[Drop]],Tabela10[Grade],DropAnalityka[[#This Row],[Grade]])*DropAnalityka[[#This Row],[Quality/Quantity]],0)</f>
        <v>0</v>
      </c>
    </row>
    <row r="1957" spans="10:12">
      <c r="J195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7" s="43">
        <f>IFERROR(SUMIFS(Tabela10[Fod Worth],Tabela10[Drop],DropAnalityka[[#This Row],[Drop]],Tabela10[Grade],DropAnalityka[[#This Row],[Grade]])*DropAnalityka[[#This Row],[Quality/Quantity]],0)</f>
        <v>0</v>
      </c>
      <c r="L1957" s="43">
        <f>IFERROR(SUMIFS(Tabela10[Exp Gain only 2*+],Tabela10[Drop],DropAnalityka[[#This Row],[Drop]],Tabela10[Grade],DropAnalityka[[#This Row],[Grade]])*DropAnalityka[[#This Row],[Quality/Quantity]],0)</f>
        <v>0</v>
      </c>
    </row>
    <row r="1958" spans="10:12">
      <c r="J195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8" s="43">
        <f>IFERROR(SUMIFS(Tabela10[Fod Worth],Tabela10[Drop],DropAnalityka[[#This Row],[Drop]],Tabela10[Grade],DropAnalityka[[#This Row],[Grade]])*DropAnalityka[[#This Row],[Quality/Quantity]],0)</f>
        <v>0</v>
      </c>
      <c r="L1958" s="43">
        <f>IFERROR(SUMIFS(Tabela10[Exp Gain only 2*+],Tabela10[Drop],DropAnalityka[[#This Row],[Drop]],Tabela10[Grade],DropAnalityka[[#This Row],[Grade]])*DropAnalityka[[#This Row],[Quality/Quantity]],0)</f>
        <v>0</v>
      </c>
    </row>
    <row r="1959" spans="10:12">
      <c r="J195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59" s="43">
        <f>IFERROR(SUMIFS(Tabela10[Fod Worth],Tabela10[Drop],DropAnalityka[[#This Row],[Drop]],Tabela10[Grade],DropAnalityka[[#This Row],[Grade]])*DropAnalityka[[#This Row],[Quality/Quantity]],0)</f>
        <v>0</v>
      </c>
      <c r="L1959" s="43">
        <f>IFERROR(SUMIFS(Tabela10[Exp Gain only 2*+],Tabela10[Drop],DropAnalityka[[#This Row],[Drop]],Tabela10[Grade],DropAnalityka[[#This Row],[Grade]])*DropAnalityka[[#This Row],[Quality/Quantity]],0)</f>
        <v>0</v>
      </c>
    </row>
    <row r="1960" spans="10:12">
      <c r="J196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0" s="43">
        <f>IFERROR(SUMIFS(Tabela10[Fod Worth],Tabela10[Drop],DropAnalityka[[#This Row],[Drop]],Tabela10[Grade],DropAnalityka[[#This Row],[Grade]])*DropAnalityka[[#This Row],[Quality/Quantity]],0)</f>
        <v>0</v>
      </c>
      <c r="L1960" s="43">
        <f>IFERROR(SUMIFS(Tabela10[Exp Gain only 2*+],Tabela10[Drop],DropAnalityka[[#This Row],[Drop]],Tabela10[Grade],DropAnalityka[[#This Row],[Grade]])*DropAnalityka[[#This Row],[Quality/Quantity]],0)</f>
        <v>0</v>
      </c>
    </row>
    <row r="1961" spans="10:12">
      <c r="J196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1" s="43">
        <f>IFERROR(SUMIFS(Tabela10[Fod Worth],Tabela10[Drop],DropAnalityka[[#This Row],[Drop]],Tabela10[Grade],DropAnalityka[[#This Row],[Grade]])*DropAnalityka[[#This Row],[Quality/Quantity]],0)</f>
        <v>0</v>
      </c>
      <c r="L1961" s="43">
        <f>IFERROR(SUMIFS(Tabela10[Exp Gain only 2*+],Tabela10[Drop],DropAnalityka[[#This Row],[Drop]],Tabela10[Grade],DropAnalityka[[#This Row],[Grade]])*DropAnalityka[[#This Row],[Quality/Quantity]],0)</f>
        <v>0</v>
      </c>
    </row>
    <row r="1962" spans="10:12">
      <c r="J196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2" s="43">
        <f>IFERROR(SUMIFS(Tabela10[Fod Worth],Tabela10[Drop],DropAnalityka[[#This Row],[Drop]],Tabela10[Grade],DropAnalityka[[#This Row],[Grade]])*DropAnalityka[[#This Row],[Quality/Quantity]],0)</f>
        <v>0</v>
      </c>
      <c r="L1962" s="43">
        <f>IFERROR(SUMIFS(Tabela10[Exp Gain only 2*+],Tabela10[Drop],DropAnalityka[[#This Row],[Drop]],Tabela10[Grade],DropAnalityka[[#This Row],[Grade]])*DropAnalityka[[#This Row],[Quality/Quantity]],0)</f>
        <v>0</v>
      </c>
    </row>
    <row r="1963" spans="10:12">
      <c r="J196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3" s="43">
        <f>IFERROR(SUMIFS(Tabela10[Fod Worth],Tabela10[Drop],DropAnalityka[[#This Row],[Drop]],Tabela10[Grade],DropAnalityka[[#This Row],[Grade]])*DropAnalityka[[#This Row],[Quality/Quantity]],0)</f>
        <v>0</v>
      </c>
      <c r="L1963" s="43">
        <f>IFERROR(SUMIFS(Tabela10[Exp Gain only 2*+],Tabela10[Drop],DropAnalityka[[#This Row],[Drop]],Tabela10[Grade],DropAnalityka[[#This Row],[Grade]])*DropAnalityka[[#This Row],[Quality/Quantity]],0)</f>
        <v>0</v>
      </c>
    </row>
    <row r="1964" spans="10:12">
      <c r="J196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4" s="43">
        <f>IFERROR(SUMIFS(Tabela10[Fod Worth],Tabela10[Drop],DropAnalityka[[#This Row],[Drop]],Tabela10[Grade],DropAnalityka[[#This Row],[Grade]])*DropAnalityka[[#This Row],[Quality/Quantity]],0)</f>
        <v>0</v>
      </c>
      <c r="L1964" s="43">
        <f>IFERROR(SUMIFS(Tabela10[Exp Gain only 2*+],Tabela10[Drop],DropAnalityka[[#This Row],[Drop]],Tabela10[Grade],DropAnalityka[[#This Row],[Grade]])*DropAnalityka[[#This Row],[Quality/Quantity]],0)</f>
        <v>0</v>
      </c>
    </row>
    <row r="1965" spans="10:12">
      <c r="J196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5" s="43">
        <f>IFERROR(SUMIFS(Tabela10[Fod Worth],Tabela10[Drop],DropAnalityka[[#This Row],[Drop]],Tabela10[Grade],DropAnalityka[[#This Row],[Grade]])*DropAnalityka[[#This Row],[Quality/Quantity]],0)</f>
        <v>0</v>
      </c>
      <c r="L1965" s="43">
        <f>IFERROR(SUMIFS(Tabela10[Exp Gain only 2*+],Tabela10[Drop],DropAnalityka[[#This Row],[Drop]],Tabela10[Grade],DropAnalityka[[#This Row],[Grade]])*DropAnalityka[[#This Row],[Quality/Quantity]],0)</f>
        <v>0</v>
      </c>
    </row>
    <row r="1966" spans="10:12">
      <c r="J196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6" s="43">
        <f>IFERROR(SUMIFS(Tabela10[Fod Worth],Tabela10[Drop],DropAnalityka[[#This Row],[Drop]],Tabela10[Grade],DropAnalityka[[#This Row],[Grade]])*DropAnalityka[[#This Row],[Quality/Quantity]],0)</f>
        <v>0</v>
      </c>
      <c r="L1966" s="43">
        <f>IFERROR(SUMIFS(Tabela10[Exp Gain only 2*+],Tabela10[Drop],DropAnalityka[[#This Row],[Drop]],Tabela10[Grade],DropAnalityka[[#This Row],[Grade]])*DropAnalityka[[#This Row],[Quality/Quantity]],0)</f>
        <v>0</v>
      </c>
    </row>
    <row r="1967" spans="10:12">
      <c r="J196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7" s="43">
        <f>IFERROR(SUMIFS(Tabela10[Fod Worth],Tabela10[Drop],DropAnalityka[[#This Row],[Drop]],Tabela10[Grade],DropAnalityka[[#This Row],[Grade]])*DropAnalityka[[#This Row],[Quality/Quantity]],0)</f>
        <v>0</v>
      </c>
      <c r="L1967" s="43">
        <f>IFERROR(SUMIFS(Tabela10[Exp Gain only 2*+],Tabela10[Drop],DropAnalityka[[#This Row],[Drop]],Tabela10[Grade],DropAnalityka[[#This Row],[Grade]])*DropAnalityka[[#This Row],[Quality/Quantity]],0)</f>
        <v>0</v>
      </c>
    </row>
    <row r="1968" spans="10:12">
      <c r="J196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8" s="43">
        <f>IFERROR(SUMIFS(Tabela10[Fod Worth],Tabela10[Drop],DropAnalityka[[#This Row],[Drop]],Tabela10[Grade],DropAnalityka[[#This Row],[Grade]])*DropAnalityka[[#This Row],[Quality/Quantity]],0)</f>
        <v>0</v>
      </c>
      <c r="L1968" s="43">
        <f>IFERROR(SUMIFS(Tabela10[Exp Gain only 2*+],Tabela10[Drop],DropAnalityka[[#This Row],[Drop]],Tabela10[Grade],DropAnalityka[[#This Row],[Grade]])*DropAnalityka[[#This Row],[Quality/Quantity]],0)</f>
        <v>0</v>
      </c>
    </row>
    <row r="1969" spans="10:12">
      <c r="J196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69" s="43">
        <f>IFERROR(SUMIFS(Tabela10[Fod Worth],Tabela10[Drop],DropAnalityka[[#This Row],[Drop]],Tabela10[Grade],DropAnalityka[[#This Row],[Grade]])*DropAnalityka[[#This Row],[Quality/Quantity]],0)</f>
        <v>0</v>
      </c>
      <c r="L1969" s="43">
        <f>IFERROR(SUMIFS(Tabela10[Exp Gain only 2*+],Tabela10[Drop],DropAnalityka[[#This Row],[Drop]],Tabela10[Grade],DropAnalityka[[#This Row],[Grade]])*DropAnalityka[[#This Row],[Quality/Quantity]],0)</f>
        <v>0</v>
      </c>
    </row>
    <row r="1970" spans="10:12">
      <c r="J197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0" s="43">
        <f>IFERROR(SUMIFS(Tabela10[Fod Worth],Tabela10[Drop],DropAnalityka[[#This Row],[Drop]],Tabela10[Grade],DropAnalityka[[#This Row],[Grade]])*DropAnalityka[[#This Row],[Quality/Quantity]],0)</f>
        <v>0</v>
      </c>
      <c r="L1970" s="43">
        <f>IFERROR(SUMIFS(Tabela10[Exp Gain only 2*+],Tabela10[Drop],DropAnalityka[[#This Row],[Drop]],Tabela10[Grade],DropAnalityka[[#This Row],[Grade]])*DropAnalityka[[#This Row],[Quality/Quantity]],0)</f>
        <v>0</v>
      </c>
    </row>
    <row r="1971" spans="10:12">
      <c r="J197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1" s="43">
        <f>IFERROR(SUMIFS(Tabela10[Fod Worth],Tabela10[Drop],DropAnalityka[[#This Row],[Drop]],Tabela10[Grade],DropAnalityka[[#This Row],[Grade]])*DropAnalityka[[#This Row],[Quality/Quantity]],0)</f>
        <v>0</v>
      </c>
      <c r="L1971" s="43">
        <f>IFERROR(SUMIFS(Tabela10[Exp Gain only 2*+],Tabela10[Drop],DropAnalityka[[#This Row],[Drop]],Tabela10[Grade],DropAnalityka[[#This Row],[Grade]])*DropAnalityka[[#This Row],[Quality/Quantity]],0)</f>
        <v>0</v>
      </c>
    </row>
    <row r="1972" spans="10:12">
      <c r="J197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2" s="43">
        <f>IFERROR(SUMIFS(Tabela10[Fod Worth],Tabela10[Drop],DropAnalityka[[#This Row],[Drop]],Tabela10[Grade],DropAnalityka[[#This Row],[Grade]])*DropAnalityka[[#This Row],[Quality/Quantity]],0)</f>
        <v>0</v>
      </c>
      <c r="L1972" s="43">
        <f>IFERROR(SUMIFS(Tabela10[Exp Gain only 2*+],Tabela10[Drop],DropAnalityka[[#This Row],[Drop]],Tabela10[Grade],DropAnalityka[[#This Row],[Grade]])*DropAnalityka[[#This Row],[Quality/Quantity]],0)</f>
        <v>0</v>
      </c>
    </row>
    <row r="1973" spans="10:12">
      <c r="J197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3" s="43">
        <f>IFERROR(SUMIFS(Tabela10[Fod Worth],Tabela10[Drop],DropAnalityka[[#This Row],[Drop]],Tabela10[Grade],DropAnalityka[[#This Row],[Grade]])*DropAnalityka[[#This Row],[Quality/Quantity]],0)</f>
        <v>0</v>
      </c>
      <c r="L1973" s="43">
        <f>IFERROR(SUMIFS(Tabela10[Exp Gain only 2*+],Tabela10[Drop],DropAnalityka[[#This Row],[Drop]],Tabela10[Grade],DropAnalityka[[#This Row],[Grade]])*DropAnalityka[[#This Row],[Quality/Quantity]],0)</f>
        <v>0</v>
      </c>
    </row>
    <row r="1974" spans="10:12">
      <c r="J197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4" s="43">
        <f>IFERROR(SUMIFS(Tabela10[Fod Worth],Tabela10[Drop],DropAnalityka[[#This Row],[Drop]],Tabela10[Grade],DropAnalityka[[#This Row],[Grade]])*DropAnalityka[[#This Row],[Quality/Quantity]],0)</f>
        <v>0</v>
      </c>
      <c r="L1974" s="43">
        <f>IFERROR(SUMIFS(Tabela10[Exp Gain only 2*+],Tabela10[Drop],DropAnalityka[[#This Row],[Drop]],Tabela10[Grade],DropAnalityka[[#This Row],[Grade]])*DropAnalityka[[#This Row],[Quality/Quantity]],0)</f>
        <v>0</v>
      </c>
    </row>
    <row r="1975" spans="10:12">
      <c r="J197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5" s="43">
        <f>IFERROR(SUMIFS(Tabela10[Fod Worth],Tabela10[Drop],DropAnalityka[[#This Row],[Drop]],Tabela10[Grade],DropAnalityka[[#This Row],[Grade]])*DropAnalityka[[#This Row],[Quality/Quantity]],0)</f>
        <v>0</v>
      </c>
      <c r="L1975" s="43">
        <f>IFERROR(SUMIFS(Tabela10[Exp Gain only 2*+],Tabela10[Drop],DropAnalityka[[#This Row],[Drop]],Tabela10[Grade],DropAnalityka[[#This Row],[Grade]])*DropAnalityka[[#This Row],[Quality/Quantity]],0)</f>
        <v>0</v>
      </c>
    </row>
    <row r="1976" spans="10:12">
      <c r="J197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6" s="43">
        <f>IFERROR(SUMIFS(Tabela10[Fod Worth],Tabela10[Drop],DropAnalityka[[#This Row],[Drop]],Tabela10[Grade],DropAnalityka[[#This Row],[Grade]])*DropAnalityka[[#This Row],[Quality/Quantity]],0)</f>
        <v>0</v>
      </c>
      <c r="L1976" s="43">
        <f>IFERROR(SUMIFS(Tabela10[Exp Gain only 2*+],Tabela10[Drop],DropAnalityka[[#This Row],[Drop]],Tabela10[Grade],DropAnalityka[[#This Row],[Grade]])*DropAnalityka[[#This Row],[Quality/Quantity]],0)</f>
        <v>0</v>
      </c>
    </row>
    <row r="1977" spans="10:12">
      <c r="J197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7" s="43">
        <f>IFERROR(SUMIFS(Tabela10[Fod Worth],Tabela10[Drop],DropAnalityka[[#This Row],[Drop]],Tabela10[Grade],DropAnalityka[[#This Row],[Grade]])*DropAnalityka[[#This Row],[Quality/Quantity]],0)</f>
        <v>0</v>
      </c>
      <c r="L1977" s="43">
        <f>IFERROR(SUMIFS(Tabela10[Exp Gain only 2*+],Tabela10[Drop],DropAnalityka[[#This Row],[Drop]],Tabela10[Grade],DropAnalityka[[#This Row],[Grade]])*DropAnalityka[[#This Row],[Quality/Quantity]],0)</f>
        <v>0</v>
      </c>
    </row>
    <row r="1978" spans="10:12">
      <c r="J197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8" s="43">
        <f>IFERROR(SUMIFS(Tabela10[Fod Worth],Tabela10[Drop],DropAnalityka[[#This Row],[Drop]],Tabela10[Grade],DropAnalityka[[#This Row],[Grade]])*DropAnalityka[[#This Row],[Quality/Quantity]],0)</f>
        <v>0</v>
      </c>
      <c r="L1978" s="43">
        <f>IFERROR(SUMIFS(Tabela10[Exp Gain only 2*+],Tabela10[Drop],DropAnalityka[[#This Row],[Drop]],Tabela10[Grade],DropAnalityka[[#This Row],[Grade]])*DropAnalityka[[#This Row],[Quality/Quantity]],0)</f>
        <v>0</v>
      </c>
    </row>
    <row r="1979" spans="10:12">
      <c r="J197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79" s="43">
        <f>IFERROR(SUMIFS(Tabela10[Fod Worth],Tabela10[Drop],DropAnalityka[[#This Row],[Drop]],Tabela10[Grade],DropAnalityka[[#This Row],[Grade]])*DropAnalityka[[#This Row],[Quality/Quantity]],0)</f>
        <v>0</v>
      </c>
      <c r="L1979" s="43">
        <f>IFERROR(SUMIFS(Tabela10[Exp Gain only 2*+],Tabela10[Drop],DropAnalityka[[#This Row],[Drop]],Tabela10[Grade],DropAnalityka[[#This Row],[Grade]])*DropAnalityka[[#This Row],[Quality/Quantity]],0)</f>
        <v>0</v>
      </c>
    </row>
    <row r="1980" spans="10:12">
      <c r="J198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0" s="43">
        <f>IFERROR(SUMIFS(Tabela10[Fod Worth],Tabela10[Drop],DropAnalityka[[#This Row],[Drop]],Tabela10[Grade],DropAnalityka[[#This Row],[Grade]])*DropAnalityka[[#This Row],[Quality/Quantity]],0)</f>
        <v>0</v>
      </c>
      <c r="L1980" s="43">
        <f>IFERROR(SUMIFS(Tabela10[Exp Gain only 2*+],Tabela10[Drop],DropAnalityka[[#This Row],[Drop]],Tabela10[Grade],DropAnalityka[[#This Row],[Grade]])*DropAnalityka[[#This Row],[Quality/Quantity]],0)</f>
        <v>0</v>
      </c>
    </row>
    <row r="1981" spans="10:12">
      <c r="J198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1" s="43">
        <f>IFERROR(SUMIFS(Tabela10[Fod Worth],Tabela10[Drop],DropAnalityka[[#This Row],[Drop]],Tabela10[Grade],DropAnalityka[[#This Row],[Grade]])*DropAnalityka[[#This Row],[Quality/Quantity]],0)</f>
        <v>0</v>
      </c>
      <c r="L1981" s="43">
        <f>IFERROR(SUMIFS(Tabela10[Exp Gain only 2*+],Tabela10[Drop],DropAnalityka[[#This Row],[Drop]],Tabela10[Grade],DropAnalityka[[#This Row],[Grade]])*DropAnalityka[[#This Row],[Quality/Quantity]],0)</f>
        <v>0</v>
      </c>
    </row>
    <row r="1982" spans="10:12">
      <c r="J198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2" s="43">
        <f>IFERROR(SUMIFS(Tabela10[Fod Worth],Tabela10[Drop],DropAnalityka[[#This Row],[Drop]],Tabela10[Grade],DropAnalityka[[#This Row],[Grade]])*DropAnalityka[[#This Row],[Quality/Quantity]],0)</f>
        <v>0</v>
      </c>
      <c r="L1982" s="43">
        <f>IFERROR(SUMIFS(Tabela10[Exp Gain only 2*+],Tabela10[Drop],DropAnalityka[[#This Row],[Drop]],Tabela10[Grade],DropAnalityka[[#This Row],[Grade]])*DropAnalityka[[#This Row],[Quality/Quantity]],0)</f>
        <v>0</v>
      </c>
    </row>
    <row r="1983" spans="10:12">
      <c r="J198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3" s="43">
        <f>IFERROR(SUMIFS(Tabela10[Fod Worth],Tabela10[Drop],DropAnalityka[[#This Row],[Drop]],Tabela10[Grade],DropAnalityka[[#This Row],[Grade]])*DropAnalityka[[#This Row],[Quality/Quantity]],0)</f>
        <v>0</v>
      </c>
      <c r="L1983" s="43">
        <f>IFERROR(SUMIFS(Tabela10[Exp Gain only 2*+],Tabela10[Drop],DropAnalityka[[#This Row],[Drop]],Tabela10[Grade],DropAnalityka[[#This Row],[Grade]])*DropAnalityka[[#This Row],[Quality/Quantity]],0)</f>
        <v>0</v>
      </c>
    </row>
    <row r="1984" spans="10:12">
      <c r="J198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4" s="43">
        <f>IFERROR(SUMIFS(Tabela10[Fod Worth],Tabela10[Drop],DropAnalityka[[#This Row],[Drop]],Tabela10[Grade],DropAnalityka[[#This Row],[Grade]])*DropAnalityka[[#This Row],[Quality/Quantity]],0)</f>
        <v>0</v>
      </c>
      <c r="L1984" s="43">
        <f>IFERROR(SUMIFS(Tabela10[Exp Gain only 2*+],Tabela10[Drop],DropAnalityka[[#This Row],[Drop]],Tabela10[Grade],DropAnalityka[[#This Row],[Grade]])*DropAnalityka[[#This Row],[Quality/Quantity]],0)</f>
        <v>0</v>
      </c>
    </row>
    <row r="1985" spans="1:13">
      <c r="J198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5" s="43">
        <f>IFERROR(SUMIFS(Tabela10[Fod Worth],Tabela10[Drop],DropAnalityka[[#This Row],[Drop]],Tabela10[Grade],DropAnalityka[[#This Row],[Grade]])*DropAnalityka[[#This Row],[Quality/Quantity]],0)</f>
        <v>0</v>
      </c>
      <c r="L1985" s="43">
        <f>IFERROR(SUMIFS(Tabela10[Exp Gain only 2*+],Tabela10[Drop],DropAnalityka[[#This Row],[Drop]],Tabela10[Grade],DropAnalityka[[#This Row],[Grade]])*DropAnalityka[[#This Row],[Quality/Quantity]],0)</f>
        <v>0</v>
      </c>
    </row>
    <row r="1986" spans="1:13">
      <c r="J198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6" s="43">
        <f>IFERROR(SUMIFS(Tabela10[Fod Worth],Tabela10[Drop],DropAnalityka[[#This Row],[Drop]],Tabela10[Grade],DropAnalityka[[#This Row],[Grade]])*DropAnalityka[[#This Row],[Quality/Quantity]],0)</f>
        <v>0</v>
      </c>
      <c r="L1986" s="43">
        <f>IFERROR(SUMIFS(Tabela10[Exp Gain only 2*+],Tabela10[Drop],DropAnalityka[[#This Row],[Drop]],Tabela10[Grade],DropAnalityka[[#This Row],[Grade]])*DropAnalityka[[#This Row],[Quality/Quantity]],0)</f>
        <v>0</v>
      </c>
    </row>
    <row r="1987" spans="1:13">
      <c r="J198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7" s="43">
        <f>IFERROR(SUMIFS(Tabela10[Fod Worth],Tabela10[Drop],DropAnalityka[[#This Row],[Drop]],Tabela10[Grade],DropAnalityka[[#This Row],[Grade]])*DropAnalityka[[#This Row],[Quality/Quantity]],0)</f>
        <v>0</v>
      </c>
      <c r="L1987" s="43">
        <f>IFERROR(SUMIFS(Tabela10[Exp Gain only 2*+],Tabela10[Drop],DropAnalityka[[#This Row],[Drop]],Tabela10[Grade],DropAnalityka[[#This Row],[Grade]])*DropAnalityka[[#This Row],[Quality/Quantity]],0)</f>
        <v>0</v>
      </c>
    </row>
    <row r="1988" spans="1:13">
      <c r="J1988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8" s="43">
        <f>IFERROR(SUMIFS(Tabela10[Fod Worth],Tabela10[Drop],DropAnalityka[[#This Row],[Drop]],Tabela10[Grade],DropAnalityka[[#This Row],[Grade]])*DropAnalityka[[#This Row],[Quality/Quantity]],0)</f>
        <v>0</v>
      </c>
      <c r="L1988" s="43">
        <f>IFERROR(SUMIFS(Tabela10[Exp Gain only 2*+],Tabela10[Drop],DropAnalityka[[#This Row],[Drop]],Tabela10[Grade],DropAnalityka[[#This Row],[Grade]])*DropAnalityka[[#This Row],[Quality/Quantity]],0)</f>
        <v>0</v>
      </c>
    </row>
    <row r="1989" spans="1:13">
      <c r="J1989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89" s="43">
        <f>IFERROR(SUMIFS(Tabela10[Fod Worth],Tabela10[Drop],DropAnalityka[[#This Row],[Drop]],Tabela10[Grade],DropAnalityka[[#This Row],[Grade]])*DropAnalityka[[#This Row],[Quality/Quantity]],0)</f>
        <v>0</v>
      </c>
      <c r="L1989" s="43">
        <f>IFERROR(SUMIFS(Tabela10[Exp Gain only 2*+],Tabela10[Drop],DropAnalityka[[#This Row],[Drop]],Tabela10[Grade],DropAnalityka[[#This Row],[Grade]])*DropAnalityka[[#This Row],[Quality/Quantity]],0)</f>
        <v>0</v>
      </c>
    </row>
    <row r="1990" spans="1:13">
      <c r="J1990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0" s="43">
        <f>IFERROR(SUMIFS(Tabela10[Fod Worth],Tabela10[Drop],DropAnalityka[[#This Row],[Drop]],Tabela10[Grade],DropAnalityka[[#This Row],[Grade]])*DropAnalityka[[#This Row],[Quality/Quantity]],0)</f>
        <v>0</v>
      </c>
      <c r="L1990" s="43">
        <f>IFERROR(SUMIFS(Tabela10[Exp Gain only 2*+],Tabela10[Drop],DropAnalityka[[#This Row],[Drop]],Tabela10[Grade],DropAnalityka[[#This Row],[Grade]])*DropAnalityka[[#This Row],[Quality/Quantity]],0)</f>
        <v>0</v>
      </c>
    </row>
    <row r="1991" spans="1:13">
      <c r="J1991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1" s="43">
        <f>IFERROR(SUMIFS(Tabela10[Fod Worth],Tabela10[Drop],DropAnalityka[[#This Row],[Drop]],Tabela10[Grade],DropAnalityka[[#This Row],[Grade]])*DropAnalityka[[#This Row],[Quality/Quantity]],0)</f>
        <v>0</v>
      </c>
      <c r="L1991" s="43">
        <f>IFERROR(SUMIFS(Tabela10[Exp Gain only 2*+],Tabela10[Drop],DropAnalityka[[#This Row],[Drop]],Tabela10[Grade],DropAnalityka[[#This Row],[Grade]])*DropAnalityka[[#This Row],[Quality/Quantity]],0)</f>
        <v>0</v>
      </c>
    </row>
    <row r="1992" spans="1:13">
      <c r="J1992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2" s="43">
        <f>IFERROR(SUMIFS(Tabela10[Fod Worth],Tabela10[Drop],DropAnalityka[[#This Row],[Drop]],Tabela10[Grade],DropAnalityka[[#This Row],[Grade]])*DropAnalityka[[#This Row],[Quality/Quantity]],0)</f>
        <v>0</v>
      </c>
      <c r="L1992" s="43">
        <f>IFERROR(SUMIFS(Tabela10[Exp Gain only 2*+],Tabela10[Drop],DropAnalityka[[#This Row],[Drop]],Tabela10[Grade],DropAnalityka[[#This Row],[Grade]])*DropAnalityka[[#This Row],[Quality/Quantity]],0)</f>
        <v>0</v>
      </c>
    </row>
    <row r="1993" spans="1:13">
      <c r="J1993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3" s="43">
        <f>IFERROR(SUMIFS(Tabela10[Fod Worth],Tabela10[Drop],DropAnalityka[[#This Row],[Drop]],Tabela10[Grade],DropAnalityka[[#This Row],[Grade]])*DropAnalityka[[#This Row],[Quality/Quantity]],0)</f>
        <v>0</v>
      </c>
      <c r="L1993" s="43">
        <f>IFERROR(SUMIFS(Tabela10[Exp Gain only 2*+],Tabela10[Drop],DropAnalityka[[#This Row],[Drop]],Tabela10[Grade],DropAnalityka[[#This Row],[Grade]])*DropAnalityka[[#This Row],[Quality/Quantity]],0)</f>
        <v>0</v>
      </c>
    </row>
    <row r="1994" spans="1:13">
      <c r="J1994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4" s="43">
        <f>IFERROR(SUMIFS(Tabela10[Fod Worth],Tabela10[Drop],DropAnalityka[[#This Row],[Drop]],Tabela10[Grade],DropAnalityka[[#This Row],[Grade]])*DropAnalityka[[#This Row],[Quality/Quantity]],0)</f>
        <v>0</v>
      </c>
      <c r="L1994" s="43">
        <f>IFERROR(SUMIFS(Tabela10[Exp Gain only 2*+],Tabela10[Drop],DropAnalityka[[#This Row],[Drop]],Tabela10[Grade],DropAnalityka[[#This Row],[Grade]])*DropAnalityka[[#This Row],[Quality/Quantity]],0)</f>
        <v>0</v>
      </c>
    </row>
    <row r="1995" spans="1:13">
      <c r="J1995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5" s="43">
        <f>IFERROR(SUMIFS(Tabela10[Fod Worth],Tabela10[Drop],DropAnalityka[[#This Row],[Drop]],Tabela10[Grade],DropAnalityka[[#This Row],[Grade]])*DropAnalityka[[#This Row],[Quality/Quantity]],0)</f>
        <v>0</v>
      </c>
      <c r="L1995" s="43">
        <f>IFERROR(SUMIFS(Tabela10[Exp Gain only 2*+],Tabela10[Drop],DropAnalityka[[#This Row],[Drop]],Tabela10[Grade],DropAnalityka[[#This Row],[Grade]])*DropAnalityka[[#This Row],[Quality/Quantity]],0)</f>
        <v>0</v>
      </c>
    </row>
    <row r="1996" spans="1:13">
      <c r="J1996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6" s="43">
        <f>IFERROR(SUMIFS(Tabela10[Fod Worth],Tabela10[Drop],DropAnalityka[[#This Row],[Drop]],Tabela10[Grade],DropAnalityka[[#This Row],[Grade]])*DropAnalityka[[#This Row],[Quality/Quantity]],0)</f>
        <v>0</v>
      </c>
      <c r="L1996" s="43">
        <f>IFERROR(SUMIFS(Tabela10[Exp Gain only 2*+],Tabela10[Drop],DropAnalityka[[#This Row],[Drop]],Tabela10[Grade],DropAnalityka[[#This Row],[Grade]])*DropAnalityka[[#This Row],[Quality/Quantity]],0)</f>
        <v>0</v>
      </c>
    </row>
    <row r="1997" spans="1:13">
      <c r="A1997" s="6"/>
      <c r="B1997" s="6"/>
      <c r="C1997" s="6"/>
      <c r="D1997" s="6"/>
      <c r="E1997" s="6"/>
      <c r="F1997" s="6"/>
      <c r="G1997" s="6"/>
      <c r="H1997" s="6"/>
      <c r="I1997" s="6"/>
      <c r="J1997">
        <f>DropAnalityka[[#This Row],[Sell Drop]]+IFERROR(SUMIFS(Tabela10[Drop Worth],Tabela10[Drop],DropAnalityka[[#This Row],[Drop]],Tabela10[Grade],DropAnalityka[[#This Row],[Grade]])*DropAnalityka[[#This Row],[Quality/Quantity]],0)</f>
        <v>0</v>
      </c>
      <c r="K1997" s="69">
        <f>IFERROR(SUMIFS(Tabela10[Fod Worth],Tabela10[Drop],DropAnalityka[[#This Row],[Drop]],Tabela10[Grade],DropAnalityka[[#This Row],[Grade]])*DropAnalityka[[#This Row],[Quality/Quantity]],0)</f>
        <v>0</v>
      </c>
      <c r="L1997" s="69">
        <f>IFERROR(SUMIFS(Tabela10[Exp Gain only 2*+],Tabela10[Drop],DropAnalityka[[#This Row],[Drop]],Tabela10[Grade],DropAnalityka[[#This Row],[Grade]])*DropAnalityka[[#This Row],[Quality/Quantity]],0)</f>
        <v>0</v>
      </c>
      <c r="M1997" s="6"/>
    </row>
  </sheetData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4:U99"/>
  <sheetViews>
    <sheetView topLeftCell="A34" zoomScale="85" zoomScaleNormal="85" workbookViewId="0">
      <selection activeCell="S57" sqref="S57"/>
    </sheetView>
  </sheetViews>
  <sheetFormatPr defaultRowHeight="14.25"/>
  <cols>
    <col min="1" max="1" width="16.625" customWidth="1"/>
    <col min="2" max="2" width="15.375" bestFit="1" customWidth="1"/>
    <col min="4" max="4" width="15.5" customWidth="1"/>
    <col min="7" max="7" width="18.25" customWidth="1"/>
    <col min="8" max="8" width="11.5" customWidth="1"/>
    <col min="9" max="9" width="12.375" customWidth="1"/>
    <col min="10" max="10" width="13.125" customWidth="1"/>
    <col min="11" max="12" width="9.125" bestFit="1" customWidth="1"/>
    <col min="13" max="13" width="9.75" bestFit="1" customWidth="1"/>
    <col min="14" max="15" width="9.125" bestFit="1" customWidth="1"/>
    <col min="16" max="16" width="9.75" bestFit="1" customWidth="1"/>
    <col min="17" max="20" width="9.125" bestFit="1" customWidth="1"/>
    <col min="21" max="21" width="15.125" bestFit="1" customWidth="1"/>
  </cols>
  <sheetData>
    <row r="4" spans="1:20" ht="15" thickBot="1"/>
    <row r="5" spans="1:20" ht="15" thickBot="1">
      <c r="F5" s="202" t="s">
        <v>249</v>
      </c>
      <c r="G5" s="203"/>
      <c r="H5" s="204"/>
      <c r="I5" s="205" t="s">
        <v>250</v>
      </c>
      <c r="J5" s="206"/>
      <c r="K5" s="207"/>
      <c r="L5" s="208" t="s">
        <v>18</v>
      </c>
      <c r="M5" s="209"/>
      <c r="N5" s="210"/>
      <c r="O5" s="211" t="s">
        <v>252</v>
      </c>
      <c r="P5" s="212"/>
      <c r="Q5" s="213"/>
      <c r="R5" s="214" t="s">
        <v>251</v>
      </c>
      <c r="S5" s="215"/>
      <c r="T5" s="216"/>
    </row>
    <row r="6" spans="1:20" ht="15.75" thickBot="1">
      <c r="C6" s="33" t="s">
        <v>247</v>
      </c>
      <c r="D6" s="32" t="s">
        <v>835</v>
      </c>
      <c r="E6" s="52"/>
      <c r="F6" s="73" t="s">
        <v>253</v>
      </c>
      <c r="G6" s="74" t="s">
        <v>293</v>
      </c>
      <c r="H6" s="75" t="s">
        <v>254</v>
      </c>
      <c r="I6" s="81" t="s">
        <v>253</v>
      </c>
      <c r="J6" s="82" t="s">
        <v>293</v>
      </c>
      <c r="K6" s="83" t="s">
        <v>254</v>
      </c>
      <c r="L6" s="89" t="s">
        <v>253</v>
      </c>
      <c r="M6" s="90" t="s">
        <v>293</v>
      </c>
      <c r="N6" s="91" t="s">
        <v>254</v>
      </c>
      <c r="O6" s="107" t="s">
        <v>253</v>
      </c>
      <c r="P6" s="108" t="s">
        <v>293</v>
      </c>
      <c r="Q6" s="109" t="s">
        <v>254</v>
      </c>
      <c r="R6" s="97" t="s">
        <v>253</v>
      </c>
      <c r="S6" s="98" t="s">
        <v>293</v>
      </c>
      <c r="T6" s="99" t="s">
        <v>254</v>
      </c>
    </row>
    <row r="7" spans="1:20" ht="15">
      <c r="A7" s="58" t="s">
        <v>248</v>
      </c>
      <c r="B7" s="63" t="s">
        <v>840</v>
      </c>
      <c r="C7" s="61"/>
      <c r="D7" s="192" t="s">
        <v>330</v>
      </c>
      <c r="E7" s="62"/>
      <c r="F7" s="76"/>
      <c r="G7" s="77"/>
      <c r="H7" s="78"/>
      <c r="I7" s="84"/>
      <c r="J7" s="85"/>
      <c r="K7" s="86"/>
      <c r="L7" s="92"/>
      <c r="M7" s="93"/>
      <c r="N7" s="94"/>
      <c r="O7" s="110"/>
      <c r="P7" s="111"/>
      <c r="Q7" s="112"/>
      <c r="R7" s="100"/>
      <c r="S7" s="101"/>
      <c r="T7" s="102"/>
    </row>
    <row r="8" spans="1:20">
      <c r="A8" s="59" t="s">
        <v>248</v>
      </c>
      <c r="B8" s="64" t="s">
        <v>228</v>
      </c>
      <c r="C8" s="5" t="s">
        <v>204</v>
      </c>
      <c r="D8" s="56" t="s">
        <v>327</v>
      </c>
      <c r="E8" s="53"/>
      <c r="F8" s="76"/>
      <c r="G8" s="77"/>
      <c r="H8" s="78"/>
      <c r="I8" s="84"/>
      <c r="J8" s="85"/>
      <c r="K8" s="86"/>
      <c r="L8" s="92"/>
      <c r="M8" s="93"/>
      <c r="N8" s="94"/>
      <c r="O8" s="110"/>
      <c r="P8" s="111"/>
      <c r="Q8" s="112"/>
      <c r="R8" s="100"/>
      <c r="S8" s="101"/>
      <c r="T8" s="102"/>
    </row>
    <row r="9" spans="1:20">
      <c r="A9" s="59" t="s">
        <v>248</v>
      </c>
      <c r="B9" s="64" t="s">
        <v>229</v>
      </c>
      <c r="C9" s="5" t="s">
        <v>204</v>
      </c>
      <c r="D9" s="56" t="s">
        <v>327</v>
      </c>
      <c r="E9" s="53"/>
      <c r="F9" s="76"/>
      <c r="G9" s="77"/>
      <c r="H9" s="78"/>
      <c r="I9" s="84"/>
      <c r="J9" s="85"/>
      <c r="K9" s="86"/>
      <c r="L9" s="92"/>
      <c r="M9" s="93"/>
      <c r="N9" s="94"/>
      <c r="O9" s="110"/>
      <c r="P9" s="111"/>
      <c r="Q9" s="112"/>
      <c r="R9" s="100"/>
      <c r="S9" s="101"/>
      <c r="T9" s="102"/>
    </row>
    <row r="10" spans="1:20">
      <c r="A10" s="59" t="s">
        <v>248</v>
      </c>
      <c r="B10" s="64" t="s">
        <v>230</v>
      </c>
      <c r="C10" s="5" t="s">
        <v>204</v>
      </c>
      <c r="D10" s="56" t="s">
        <v>327</v>
      </c>
      <c r="E10" s="53"/>
      <c r="F10" s="76"/>
      <c r="G10" s="77"/>
      <c r="H10" s="78"/>
      <c r="I10" s="84"/>
      <c r="J10" s="85"/>
      <c r="K10" s="86"/>
      <c r="L10" s="92"/>
      <c r="M10" s="93"/>
      <c r="N10" s="94"/>
      <c r="O10" s="110"/>
      <c r="P10" s="111"/>
      <c r="Q10" s="112"/>
      <c r="R10" s="100"/>
      <c r="S10" s="101"/>
      <c r="T10" s="102"/>
    </row>
    <row r="11" spans="1:20" ht="15" thickBot="1">
      <c r="A11" s="59" t="s">
        <v>248</v>
      </c>
      <c r="B11" s="65" t="s">
        <v>231</v>
      </c>
      <c r="C11" s="5" t="s">
        <v>204</v>
      </c>
      <c r="D11" s="56" t="s">
        <v>327</v>
      </c>
      <c r="E11" s="53"/>
      <c r="F11" s="76"/>
      <c r="G11" s="77"/>
      <c r="H11" s="78"/>
      <c r="I11" s="84"/>
      <c r="J11" s="85"/>
      <c r="K11" s="86"/>
      <c r="L11" s="92"/>
      <c r="M11" s="93"/>
      <c r="N11" s="94"/>
      <c r="O11" s="110"/>
      <c r="P11" s="111"/>
      <c r="Q11" s="112"/>
      <c r="R11" s="100"/>
      <c r="S11" s="101"/>
      <c r="T11" s="102"/>
    </row>
    <row r="12" spans="1:20" ht="15">
      <c r="A12" s="59" t="s">
        <v>248</v>
      </c>
      <c r="B12" s="63" t="s">
        <v>843</v>
      </c>
      <c r="C12" s="5" t="s">
        <v>204</v>
      </c>
      <c r="D12" s="56" t="s">
        <v>330</v>
      </c>
      <c r="E12" s="53"/>
      <c r="F12" s="76"/>
      <c r="G12" s="77"/>
      <c r="H12" s="78"/>
      <c r="I12" s="84"/>
      <c r="J12" s="85"/>
      <c r="K12" s="86"/>
      <c r="L12" s="92"/>
      <c r="M12" s="93"/>
      <c r="N12" s="94"/>
      <c r="O12" s="110"/>
      <c r="P12" s="111"/>
      <c r="Q12" s="112"/>
      <c r="R12" s="100"/>
      <c r="S12" s="101"/>
      <c r="T12" s="102"/>
    </row>
    <row r="13" spans="1:20">
      <c r="A13" s="59" t="s">
        <v>248</v>
      </c>
      <c r="B13" s="64" t="s">
        <v>232</v>
      </c>
      <c r="C13" s="5" t="s">
        <v>204</v>
      </c>
      <c r="D13" s="56" t="s">
        <v>327</v>
      </c>
      <c r="E13" s="53"/>
      <c r="F13" s="76"/>
      <c r="G13" s="77"/>
      <c r="H13" s="78"/>
      <c r="I13" s="84"/>
      <c r="J13" s="85"/>
      <c r="K13" s="86"/>
      <c r="L13" s="92"/>
      <c r="M13" s="93"/>
      <c r="N13" s="94"/>
      <c r="O13" s="110"/>
      <c r="P13" s="111"/>
      <c r="Q13" s="112"/>
      <c r="R13" s="100"/>
      <c r="S13" s="101"/>
      <c r="T13" s="102"/>
    </row>
    <row r="14" spans="1:20">
      <c r="A14" s="59" t="s">
        <v>248</v>
      </c>
      <c r="B14" s="64" t="s">
        <v>233</v>
      </c>
      <c r="C14" s="5" t="s">
        <v>204</v>
      </c>
      <c r="D14" s="56" t="s">
        <v>327</v>
      </c>
      <c r="E14" s="53"/>
      <c r="F14" s="76"/>
      <c r="G14" s="77"/>
      <c r="H14" s="78"/>
      <c r="I14" s="84"/>
      <c r="J14" s="85"/>
      <c r="K14" s="86"/>
      <c r="L14" s="92"/>
      <c r="M14" s="93"/>
      <c r="N14" s="94"/>
      <c r="O14" s="110"/>
      <c r="P14" s="111"/>
      <c r="Q14" s="112"/>
      <c r="R14" s="100"/>
      <c r="S14" s="101"/>
      <c r="T14" s="102"/>
    </row>
    <row r="15" spans="1:20">
      <c r="A15" s="59" t="s">
        <v>248</v>
      </c>
      <c r="B15" s="64" t="s">
        <v>234</v>
      </c>
      <c r="C15" s="5" t="s">
        <v>204</v>
      </c>
      <c r="D15" s="56" t="s">
        <v>327</v>
      </c>
      <c r="E15" s="53"/>
      <c r="F15" s="76"/>
      <c r="G15" s="77"/>
      <c r="H15" s="78"/>
      <c r="I15" s="84"/>
      <c r="J15" s="85"/>
      <c r="K15" s="86"/>
      <c r="L15" s="92"/>
      <c r="M15" s="93"/>
      <c r="N15" s="94"/>
      <c r="O15" s="110"/>
      <c r="P15" s="111"/>
      <c r="Q15" s="112"/>
      <c r="R15" s="100"/>
      <c r="S15" s="101"/>
      <c r="T15" s="102"/>
    </row>
    <row r="16" spans="1:20" ht="15" thickBot="1">
      <c r="A16" s="59" t="s">
        <v>248</v>
      </c>
      <c r="B16" s="65" t="s">
        <v>235</v>
      </c>
      <c r="C16" s="5" t="s">
        <v>204</v>
      </c>
      <c r="D16" s="56" t="s">
        <v>327</v>
      </c>
      <c r="E16" s="53"/>
      <c r="F16" s="76"/>
      <c r="G16" s="77"/>
      <c r="H16" s="78"/>
      <c r="I16" s="84"/>
      <c r="J16" s="85"/>
      <c r="K16" s="86"/>
      <c r="L16" s="92"/>
      <c r="M16" s="93"/>
      <c r="N16" s="94"/>
      <c r="O16" s="110"/>
      <c r="P16" s="111"/>
      <c r="Q16" s="112"/>
      <c r="R16" s="100"/>
      <c r="S16" s="101"/>
      <c r="T16" s="102"/>
    </row>
    <row r="17" spans="1:21" ht="15">
      <c r="A17" s="59" t="s">
        <v>248</v>
      </c>
      <c r="B17" s="63" t="s">
        <v>844</v>
      </c>
      <c r="C17" s="5" t="s">
        <v>204</v>
      </c>
      <c r="D17" s="56" t="s">
        <v>330</v>
      </c>
      <c r="E17" s="53"/>
      <c r="F17" s="76"/>
      <c r="G17" s="77"/>
      <c r="H17" s="78"/>
      <c r="I17" s="84"/>
      <c r="J17" s="85"/>
      <c r="K17" s="86"/>
      <c r="L17" s="92"/>
      <c r="M17" s="93"/>
      <c r="N17" s="94"/>
      <c r="O17" s="110"/>
      <c r="P17" s="111"/>
      <c r="Q17" s="112"/>
      <c r="R17" s="100"/>
      <c r="S17" s="101"/>
      <c r="T17" s="102"/>
    </row>
    <row r="18" spans="1:21">
      <c r="A18" s="59" t="s">
        <v>248</v>
      </c>
      <c r="B18" s="64" t="s">
        <v>236</v>
      </c>
      <c r="C18" s="64" t="s">
        <v>204</v>
      </c>
      <c r="D18" s="56" t="s">
        <v>327</v>
      </c>
      <c r="E18" s="53"/>
      <c r="F18" s="76"/>
      <c r="G18" s="77"/>
      <c r="H18" s="78"/>
      <c r="I18" s="84"/>
      <c r="J18" s="85"/>
      <c r="K18" s="86"/>
      <c r="L18" s="92"/>
      <c r="M18" s="93"/>
      <c r="N18" s="94"/>
      <c r="O18" s="110"/>
      <c r="P18" s="111"/>
      <c r="Q18" s="112"/>
      <c r="R18" s="100"/>
      <c r="S18" s="101"/>
      <c r="T18" s="102"/>
    </row>
    <row r="19" spans="1:21">
      <c r="A19" s="59" t="s">
        <v>248</v>
      </c>
      <c r="B19" s="64" t="s">
        <v>237</v>
      </c>
      <c r="C19" s="5" t="s">
        <v>204</v>
      </c>
      <c r="D19" s="56" t="s">
        <v>327</v>
      </c>
      <c r="E19" s="53"/>
      <c r="F19" s="76"/>
      <c r="G19" s="77"/>
      <c r="H19" s="78"/>
      <c r="I19" s="84"/>
      <c r="J19" s="85"/>
      <c r="K19" s="86"/>
      <c r="L19" s="92"/>
      <c r="M19" s="93"/>
      <c r="N19" s="94"/>
      <c r="O19" s="110"/>
      <c r="P19" s="111"/>
      <c r="Q19" s="112"/>
      <c r="R19" s="100"/>
      <c r="S19" s="101"/>
      <c r="T19" s="102"/>
    </row>
    <row r="20" spans="1:21">
      <c r="A20" s="59" t="s">
        <v>248</v>
      </c>
      <c r="B20" s="64" t="s">
        <v>238</v>
      </c>
      <c r="C20" s="5" t="s">
        <v>204</v>
      </c>
      <c r="D20" s="56" t="s">
        <v>327</v>
      </c>
      <c r="E20" s="53"/>
      <c r="F20" s="76"/>
      <c r="G20" s="77"/>
      <c r="H20" s="78"/>
      <c r="I20" s="84"/>
      <c r="J20" s="85"/>
      <c r="K20" s="86"/>
      <c r="L20" s="92"/>
      <c r="M20" s="93"/>
      <c r="N20" s="94"/>
      <c r="O20" s="110"/>
      <c r="P20" s="111"/>
      <c r="Q20" s="112"/>
      <c r="R20" s="100"/>
      <c r="S20" s="101"/>
      <c r="T20" s="102"/>
    </row>
    <row r="21" spans="1:21" ht="15" thickBot="1">
      <c r="A21" s="59" t="s">
        <v>248</v>
      </c>
      <c r="B21" s="65" t="s">
        <v>239</v>
      </c>
      <c r="C21" s="5" t="s">
        <v>204</v>
      </c>
      <c r="D21" s="56" t="s">
        <v>327</v>
      </c>
      <c r="E21" s="53"/>
      <c r="F21" s="76"/>
      <c r="G21" s="77"/>
      <c r="H21" s="78"/>
      <c r="I21" s="84"/>
      <c r="J21" s="85"/>
      <c r="K21" s="86"/>
      <c r="L21" s="92"/>
      <c r="M21" s="93"/>
      <c r="N21" s="94"/>
      <c r="O21" s="110"/>
      <c r="P21" s="111"/>
      <c r="Q21" s="112"/>
      <c r="R21" s="100"/>
      <c r="S21" s="101"/>
      <c r="T21" s="102"/>
    </row>
    <row r="22" spans="1:21" ht="15.75" thickBot="1">
      <c r="A22" s="59" t="s">
        <v>248</v>
      </c>
      <c r="B22" s="190" t="s">
        <v>240</v>
      </c>
      <c r="C22" s="5"/>
      <c r="D22" s="56" t="s">
        <v>827</v>
      </c>
      <c r="E22" s="53"/>
      <c r="F22" s="76"/>
      <c r="G22" s="77"/>
      <c r="H22" s="78"/>
      <c r="I22" s="84"/>
      <c r="J22" s="85"/>
      <c r="K22" s="86"/>
      <c r="L22" s="92"/>
      <c r="M22" s="93"/>
      <c r="N22" s="94"/>
      <c r="O22" s="110"/>
      <c r="P22" s="111"/>
      <c r="Q22" s="112"/>
      <c r="R22" s="100"/>
      <c r="S22" s="101"/>
      <c r="T22" s="102"/>
    </row>
    <row r="23" spans="1:21" ht="15.75" thickBot="1">
      <c r="A23" s="60" t="s">
        <v>248</v>
      </c>
      <c r="B23" s="66" t="s">
        <v>224</v>
      </c>
      <c r="C23" s="7" t="s">
        <v>204</v>
      </c>
      <c r="D23" s="193" t="s">
        <v>845</v>
      </c>
      <c r="E23" s="9"/>
      <c r="F23" s="76"/>
      <c r="G23" s="77"/>
      <c r="H23" s="78"/>
      <c r="I23" s="84"/>
      <c r="J23" s="85"/>
      <c r="K23" s="86"/>
      <c r="L23" s="92"/>
      <c r="M23" s="93"/>
      <c r="N23" s="94"/>
      <c r="O23" s="110"/>
      <c r="P23" s="111">
        <v>5</v>
      </c>
      <c r="Q23" s="112">
        <v>15</v>
      </c>
      <c r="R23" s="100"/>
      <c r="S23" s="101">
        <v>10</v>
      </c>
      <c r="T23" s="102">
        <v>20</v>
      </c>
    </row>
    <row r="24" spans="1:21">
      <c r="E24" s="59" t="s">
        <v>255</v>
      </c>
      <c r="F24" s="79">
        <f t="shared" ref="F24:T24" si="0">SUM(F$7:F$23)</f>
        <v>0</v>
      </c>
      <c r="G24" s="79">
        <f t="shared" si="0"/>
        <v>0</v>
      </c>
      <c r="H24" s="79">
        <f t="shared" si="0"/>
        <v>0</v>
      </c>
      <c r="I24" s="87">
        <f t="shared" si="0"/>
        <v>0</v>
      </c>
      <c r="J24" s="87">
        <f t="shared" si="0"/>
        <v>0</v>
      </c>
      <c r="K24" s="87">
        <f t="shared" si="0"/>
        <v>0</v>
      </c>
      <c r="L24" s="95">
        <f t="shared" si="0"/>
        <v>0</v>
      </c>
      <c r="M24" s="95">
        <f t="shared" si="0"/>
        <v>0</v>
      </c>
      <c r="N24" s="95">
        <f t="shared" si="0"/>
        <v>0</v>
      </c>
      <c r="O24" s="113">
        <f t="shared" si="0"/>
        <v>0</v>
      </c>
      <c r="P24" s="113">
        <f t="shared" si="0"/>
        <v>5</v>
      </c>
      <c r="Q24" s="113">
        <f t="shared" si="0"/>
        <v>15</v>
      </c>
      <c r="R24" s="103">
        <f t="shared" si="0"/>
        <v>0</v>
      </c>
      <c r="S24" s="103">
        <f t="shared" si="0"/>
        <v>10</v>
      </c>
      <c r="T24" s="105">
        <f t="shared" si="0"/>
        <v>20</v>
      </c>
    </row>
    <row r="25" spans="1:21">
      <c r="E25" s="59" t="s">
        <v>256</v>
      </c>
      <c r="F25" s="77"/>
      <c r="G25" s="77"/>
      <c r="H25" s="77"/>
      <c r="I25" s="85"/>
      <c r="J25" s="85"/>
      <c r="K25" s="85"/>
      <c r="L25" s="93"/>
      <c r="M25" s="93"/>
      <c r="N25" s="93"/>
      <c r="O25" s="111"/>
      <c r="P25" s="111"/>
      <c r="Q25" s="111"/>
      <c r="R25" s="101"/>
      <c r="S25" s="101"/>
      <c r="T25" s="102"/>
    </row>
    <row r="26" spans="1:21" ht="15.75" thickBot="1">
      <c r="E26" s="68" t="s">
        <v>116</v>
      </c>
      <c r="F26" s="80">
        <f>MAXA(F24-F25,0)</f>
        <v>0</v>
      </c>
      <c r="G26" s="80">
        <f t="shared" ref="G26:T26" si="1">MAXA(G24-G25,0)</f>
        <v>0</v>
      </c>
      <c r="H26" s="80">
        <f t="shared" si="1"/>
        <v>0</v>
      </c>
      <c r="I26" s="88">
        <f t="shared" si="1"/>
        <v>0</v>
      </c>
      <c r="J26" s="88">
        <f t="shared" si="1"/>
        <v>0</v>
      </c>
      <c r="K26" s="88">
        <f t="shared" si="1"/>
        <v>0</v>
      </c>
      <c r="L26" s="96">
        <f t="shared" si="1"/>
        <v>0</v>
      </c>
      <c r="M26" s="96">
        <f t="shared" si="1"/>
        <v>0</v>
      </c>
      <c r="N26" s="96">
        <f t="shared" si="1"/>
        <v>0</v>
      </c>
      <c r="O26" s="114">
        <f t="shared" si="1"/>
        <v>0</v>
      </c>
      <c r="P26" s="114">
        <f t="shared" si="1"/>
        <v>5</v>
      </c>
      <c r="Q26" s="114">
        <f t="shared" si="1"/>
        <v>15</v>
      </c>
      <c r="R26" s="104">
        <f t="shared" si="1"/>
        <v>0</v>
      </c>
      <c r="S26" s="104">
        <f t="shared" si="1"/>
        <v>10</v>
      </c>
      <c r="T26" s="106">
        <f t="shared" si="1"/>
        <v>20</v>
      </c>
    </row>
    <row r="27" spans="1:21">
      <c r="E27" s="61"/>
      <c r="F27" s="51"/>
      <c r="G27" s="197" t="s">
        <v>281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8"/>
    </row>
    <row r="28" spans="1:21">
      <c r="E28" s="5">
        <v>9</v>
      </c>
      <c r="F28" s="6">
        <f>F$26/VLOOKUP(F$6,Tabela11[#All],6,FALSE)</f>
        <v>0</v>
      </c>
      <c r="G28" s="118">
        <f>G$26/VLOOKUP(G$6,Tabela11[#All],6,FALSE)</f>
        <v>0</v>
      </c>
      <c r="H28" s="118">
        <f>H$26/VLOOKUP(H$6,Tabela11[#All],6,FALSE)</f>
        <v>0</v>
      </c>
      <c r="I28" s="118">
        <f>I$26/VLOOKUP(I$6,Tabela11[#All],6,FALSE)</f>
        <v>0</v>
      </c>
      <c r="J28" s="118">
        <f>J$26/VLOOKUP(J$6,Tabela11[#All],6,FALSE)</f>
        <v>0</v>
      </c>
      <c r="K28" s="118">
        <f>K$26/VLOOKUP(K$6,Tabela11[#All],6,FALSE)</f>
        <v>0</v>
      </c>
      <c r="L28" s="118">
        <f>L$26/VLOOKUP(L$6,Tabela11[#All],6,FALSE)</f>
        <v>0</v>
      </c>
      <c r="M28" s="118">
        <f>M$26/VLOOKUP(M$6,Tabela11[#All],6,FALSE)</f>
        <v>0</v>
      </c>
      <c r="N28" s="118">
        <f>N$26/VLOOKUP(N$6,Tabela11[#All],6,FALSE)</f>
        <v>0</v>
      </c>
      <c r="O28" s="118">
        <f>O$26/VLOOKUP(O$6,Tabela11[#All],6,FALSE)</f>
        <v>0</v>
      </c>
      <c r="P28" s="118">
        <f>P$26/VLOOKUP(P$6,Tabela11[#All],6,FALSE)</f>
        <v>8.9552238805970141</v>
      </c>
      <c r="Q28" s="118">
        <f>Q$26/VLOOKUP(Q$6,Tabela11[#All],6,FALSE)</f>
        <v>56.25</v>
      </c>
      <c r="R28" s="118">
        <f>R$26/VLOOKUP(R$6,Tabela11[#All],6,FALSE)</f>
        <v>0</v>
      </c>
      <c r="S28" s="118">
        <f>S$26/VLOOKUP(S$6,Tabela11[#All],6,FALSE)</f>
        <v>17.910447761194028</v>
      </c>
      <c r="T28" s="119">
        <f>T$26/VLOOKUP(T$6,Tabela11[#All],6,FALSE)</f>
        <v>75</v>
      </c>
    </row>
    <row r="29" spans="1:21">
      <c r="E29" s="5">
        <v>8</v>
      </c>
      <c r="F29" s="6">
        <f>F$26/VLOOKUP(F$6,Tabela11[#All],5,FALSE)</f>
        <v>0</v>
      </c>
      <c r="G29" s="118">
        <f>G$26/VLOOKUP(G$6,Tabela11[#All],5,FALSE)</f>
        <v>0</v>
      </c>
      <c r="H29" s="118">
        <f>H$26/VLOOKUP(H$6,Tabela11[#All],5,FALSE)</f>
        <v>0</v>
      </c>
      <c r="I29" s="118">
        <f>I$26/VLOOKUP(I$6,Tabela11[#All],5,FALSE)</f>
        <v>0</v>
      </c>
      <c r="J29" s="118">
        <f>J$26/VLOOKUP(J$6,Tabela11[#All],5,FALSE)</f>
        <v>0</v>
      </c>
      <c r="K29" s="118">
        <f>K$26/VLOOKUP(K$6,Tabela11[#All],5,FALSE)</f>
        <v>0</v>
      </c>
      <c r="L29" s="118">
        <f>L$26/VLOOKUP(L$6,Tabela11[#All],5,FALSE)</f>
        <v>0</v>
      </c>
      <c r="M29" s="118">
        <f>M$26/VLOOKUP(M$6,Tabela11[#All],5,FALSE)</f>
        <v>0</v>
      </c>
      <c r="N29" s="118">
        <f>N$26/VLOOKUP(N$6,Tabela11[#All],5,FALSE)</f>
        <v>0</v>
      </c>
      <c r="O29" s="118">
        <f>O$26/VLOOKUP(O$6,Tabela11[#All],5,FALSE)</f>
        <v>0</v>
      </c>
      <c r="P29" s="118">
        <f>P$26/VLOOKUP(P$6,Tabela11[#All],5,FALSE)</f>
        <v>22.857142857142858</v>
      </c>
      <c r="Q29" s="118">
        <f>Q$26/VLOOKUP(Q$6,Tabela11[#All],5,FALSE)</f>
        <v>68.571428571428569</v>
      </c>
      <c r="R29" s="118">
        <f>R$26/VLOOKUP(R$6,Tabela11[#All],5,FALSE)</f>
        <v>0</v>
      </c>
      <c r="S29" s="118">
        <f>S$26/VLOOKUP(S$6,Tabela11[#All],5,FALSE)</f>
        <v>45.714285714285715</v>
      </c>
      <c r="T29" s="119">
        <f>T$26/VLOOKUP(T$6,Tabela11[#All],5,FALSE)</f>
        <v>91.428571428571431</v>
      </c>
    </row>
    <row r="30" spans="1:21" ht="15" thickBot="1">
      <c r="E30" s="7">
        <v>7</v>
      </c>
      <c r="F30" s="8">
        <f>F$26/VLOOKUP(F$6,Tabela11[#All],4,FALSE)</f>
        <v>0</v>
      </c>
      <c r="G30" s="120">
        <f>G$26/VLOOKUP(G$6,Tabela11[#All],4,FALSE)</f>
        <v>0</v>
      </c>
      <c r="H30" s="120">
        <f>H$26/VLOOKUP(H$6,Tabela11[#All],4,FALSE)</f>
        <v>0</v>
      </c>
      <c r="I30" s="120">
        <f>I$26/VLOOKUP(I$6,Tabela11[#All],4,FALSE)</f>
        <v>0</v>
      </c>
      <c r="J30" s="120">
        <f>J$26/VLOOKUP(J$6,Tabela11[#All],4,FALSE)</f>
        <v>0</v>
      </c>
      <c r="K30" s="120">
        <f>K$26/VLOOKUP(K$6,Tabela11[#All],4,FALSE)</f>
        <v>0</v>
      </c>
      <c r="L30" s="120">
        <f>L$26/VLOOKUP(L$6,Tabela11[#All],4,FALSE)</f>
        <v>0</v>
      </c>
      <c r="M30" s="120">
        <f>M$26/VLOOKUP(M$6,Tabela11[#All],4,FALSE)</f>
        <v>0</v>
      </c>
      <c r="N30" s="120">
        <f>N$26/VLOOKUP(N$6,Tabela11[#All],4,FALSE)</f>
        <v>0</v>
      </c>
      <c r="O30" s="120">
        <f>O$26/VLOOKUP(O$6,Tabela11[#All],4,FALSE)</f>
        <v>0</v>
      </c>
      <c r="P30" s="120">
        <f>P$26/VLOOKUP(P$6,Tabela11[#All],4,FALSE)</f>
        <v>9.0540540540540526</v>
      </c>
      <c r="Q30" s="120">
        <f>Q$26/VLOOKUP(Q$6,Tabela11[#All],4,FALSE)</f>
        <v>111.66666666666667</v>
      </c>
      <c r="R30" s="120">
        <f>R$26/VLOOKUP(R$6,Tabela11[#All],4,FALSE)</f>
        <v>0</v>
      </c>
      <c r="S30" s="120">
        <f>S$26/VLOOKUP(S$6,Tabela11[#All],4,FALSE)</f>
        <v>18.108108108108105</v>
      </c>
      <c r="T30" s="121">
        <f>T$26/VLOOKUP(T$6,Tabela11[#All],4,FALSE)</f>
        <v>148.88888888888889</v>
      </c>
    </row>
    <row r="31" spans="1:21" ht="15" thickBot="1"/>
    <row r="32" spans="1:21" ht="15.75" thickBot="1">
      <c r="E32" s="61"/>
      <c r="F32" s="51"/>
      <c r="G32" s="199" t="s">
        <v>280</v>
      </c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1"/>
      <c r="U32" s="122" t="s">
        <v>282</v>
      </c>
    </row>
    <row r="33" spans="1:21">
      <c r="E33" s="5">
        <v>9</v>
      </c>
      <c r="F33" s="6">
        <f>F$26/VLOOKUP(F$6,Tabela11[#All],6,FALSE)*(7-12*0.065)</f>
        <v>0</v>
      </c>
      <c r="G33" s="126">
        <f>G$26/VLOOKUP(G$6,Tabela11[#All],6,FALSE)*(7-12*0.065)</f>
        <v>0</v>
      </c>
      <c r="H33" s="126">
        <f>H$26/VLOOKUP(H$6,Tabela11[#All],6,FALSE)*(7-12*0.065)</f>
        <v>0</v>
      </c>
      <c r="I33" s="126">
        <f>I$26/VLOOKUP(I$6,Tabela11[#All],6,FALSE)*(7-12*0.065)</f>
        <v>0</v>
      </c>
      <c r="J33" s="126">
        <f>J$26/VLOOKUP(J$6,Tabela11[#All],6,FALSE)*(7-12*0.065)</f>
        <v>0</v>
      </c>
      <c r="K33" s="126">
        <f>K$26/VLOOKUP(K$6,Tabela11[#All],6,FALSE)*(7-12*0.065)</f>
        <v>0</v>
      </c>
      <c r="L33" s="126">
        <f>L$26/VLOOKUP(L$6,Tabela11[#All],6,FALSE)*(7-12*0.065)</f>
        <v>0</v>
      </c>
      <c r="M33" s="126">
        <f>M$26/VLOOKUP(M$6,Tabela11[#All],6,FALSE)*(7-12*0.065)</f>
        <v>0</v>
      </c>
      <c r="N33" s="126">
        <f>N$26/VLOOKUP(N$6,Tabela11[#All],6,FALSE)*(7-12*0.065)</f>
        <v>0</v>
      </c>
      <c r="O33" s="126">
        <f>O$26/VLOOKUP(O$6,Tabela11[#All],6,FALSE)*(7-12*0.065)</f>
        <v>0</v>
      </c>
      <c r="P33" s="126">
        <f>P$26/VLOOKUP(P$6,Tabela11[#All],6,FALSE)*(7-12*0.065)</f>
        <v>55.701492537313428</v>
      </c>
      <c r="Q33" s="126">
        <f>Q$26/VLOOKUP(Q$6,Tabela11[#All],6,FALSE)*(7-12*0.065)</f>
        <v>349.875</v>
      </c>
      <c r="R33" s="126">
        <f>R$26/VLOOKUP(R$6,Tabela11[#All],6,FALSE)*(7-12*0.065)</f>
        <v>0</v>
      </c>
      <c r="S33" s="126">
        <f>S$26/VLOOKUP(S$6,Tabela11[#All],6,FALSE)*(7-12*0.065)</f>
        <v>111.40298507462686</v>
      </c>
      <c r="T33" s="127">
        <f>T$26/VLOOKUP(T$6,Tabela11[#All],6,FALSE)*(7-12*0.065)</f>
        <v>466.5</v>
      </c>
      <c r="U33" s="123">
        <f>MAX(F33:H33)+MAX(I33:K33)+MAX(L33:N33)+MAX(O33:Q33)+MAX(R33:T33)</f>
        <v>816.375</v>
      </c>
    </row>
    <row r="34" spans="1:21">
      <c r="E34" s="5">
        <v>8</v>
      </c>
      <c r="F34" s="6">
        <f>F$26/VLOOKUP(F$6,Tabela11[#All],5,FALSE)*(7-12*0.065)</f>
        <v>0</v>
      </c>
      <c r="G34" s="126">
        <f>G$26/VLOOKUP(G$6,Tabela11[#All],5,FALSE)*(7-12*0.065)</f>
        <v>0</v>
      </c>
      <c r="H34" s="126">
        <f>H$26/VLOOKUP(H$6,Tabela11[#All],5,FALSE)*(7-12*0.065)</f>
        <v>0</v>
      </c>
      <c r="I34" s="126">
        <f>I$26/VLOOKUP(I$6,Tabela11[#All],5,FALSE)*(7-12*0.065)</f>
        <v>0</v>
      </c>
      <c r="J34" s="126">
        <f>J$26/VLOOKUP(J$6,Tabela11[#All],5,FALSE)*(7-12*0.065)</f>
        <v>0</v>
      </c>
      <c r="K34" s="126">
        <f>K$26/VLOOKUP(K$6,Tabela11[#All],5,FALSE)*(7-12*0.065)</f>
        <v>0</v>
      </c>
      <c r="L34" s="126">
        <f>L$26/VLOOKUP(L$6,Tabela11[#All],5,FALSE)*(7-12*0.065)</f>
        <v>0</v>
      </c>
      <c r="M34" s="126">
        <f>M$26/VLOOKUP(M$6,Tabela11[#All],5,FALSE)*(7-12*0.065)</f>
        <v>0</v>
      </c>
      <c r="N34" s="126">
        <f>N$26/VLOOKUP(N$6,Tabela11[#All],5,FALSE)*(7-12*0.065)</f>
        <v>0</v>
      </c>
      <c r="O34" s="126">
        <f>O$26/VLOOKUP(O$6,Tabela11[#All],5,FALSE)*(7-12*0.065)</f>
        <v>0</v>
      </c>
      <c r="P34" s="126">
        <f>P$26/VLOOKUP(P$6,Tabela11[#All],5,FALSE)*(7-12*0.065)</f>
        <v>142.17142857142858</v>
      </c>
      <c r="Q34" s="126">
        <f>Q$26/VLOOKUP(Q$6,Tabela11[#All],5,FALSE)*(7-12*0.065)</f>
        <v>426.51428571428568</v>
      </c>
      <c r="R34" s="126">
        <f>R$26/VLOOKUP(R$6,Tabela11[#All],5,FALSE)*(7-12*0.065)</f>
        <v>0</v>
      </c>
      <c r="S34" s="126">
        <f>S$26/VLOOKUP(S$6,Tabela11[#All],5,FALSE)*(7-12*0.065)</f>
        <v>284.34285714285716</v>
      </c>
      <c r="T34" s="127">
        <f>T$26/VLOOKUP(T$6,Tabela11[#All],5,FALSE)*(7-12*0.065)</f>
        <v>568.68571428571431</v>
      </c>
      <c r="U34" s="124">
        <f>MAX(F34:H34)+MAX(I34:K34)+MAX(L34:N34)+MAX(O34:Q34)+MAX(R34:T34)</f>
        <v>995.2</v>
      </c>
    </row>
    <row r="35" spans="1:21" ht="15" thickBot="1">
      <c r="E35" s="7">
        <v>7</v>
      </c>
      <c r="F35" s="8">
        <f>F$26/VLOOKUP(F$6,Tabela11[#All],4,FALSE)*(6-12*0.065)</f>
        <v>0</v>
      </c>
      <c r="G35" s="128">
        <f>G$26/VLOOKUP(G$6,Tabela11[#All],4,FALSE)*(6-12*0.065)</f>
        <v>0</v>
      </c>
      <c r="H35" s="128">
        <f>H$26/VLOOKUP(H$6,Tabela11[#All],4,FALSE)*(6-12*0.065)</f>
        <v>0</v>
      </c>
      <c r="I35" s="128">
        <f>I$26/VLOOKUP(I$6,Tabela11[#All],4,FALSE)*(6-12*0.065)</f>
        <v>0</v>
      </c>
      <c r="J35" s="128">
        <f>J$26/VLOOKUP(J$6,Tabela11[#All],4,FALSE)*(6-12*0.065)</f>
        <v>0</v>
      </c>
      <c r="K35" s="128">
        <f>K$26/VLOOKUP(K$6,Tabela11[#All],4,FALSE)*(6-12*0.065)</f>
        <v>0</v>
      </c>
      <c r="L35" s="128">
        <f>L$26/VLOOKUP(L$6,Tabela11[#All],4,FALSE)*(6-12*0.065)</f>
        <v>0</v>
      </c>
      <c r="M35" s="128">
        <f>M$26/VLOOKUP(M$6,Tabela11[#All],4,FALSE)*(6-12*0.065)</f>
        <v>0</v>
      </c>
      <c r="N35" s="128">
        <f>N$26/VLOOKUP(N$6,Tabela11[#All],4,FALSE)*(6-12*0.065)</f>
        <v>0</v>
      </c>
      <c r="O35" s="128">
        <f>O$26/VLOOKUP(O$6,Tabela11[#All],4,FALSE)*(6-12*0.065)</f>
        <v>0</v>
      </c>
      <c r="P35" s="128">
        <f>P$26/VLOOKUP(P$6,Tabela11[#All],4,FALSE)*(6-12*0.065)</f>
        <v>47.262162162162156</v>
      </c>
      <c r="Q35" s="128">
        <f>Q$26/VLOOKUP(Q$6,Tabela11[#All],4,FALSE)*(6-12*0.065)</f>
        <v>582.9</v>
      </c>
      <c r="R35" s="128">
        <f>R$26/VLOOKUP(R$6,Tabela11[#All],4,FALSE)*(6-12*0.065)</f>
        <v>0</v>
      </c>
      <c r="S35" s="128">
        <f>S$26/VLOOKUP(S$6,Tabela11[#All],4,FALSE)*(6-12*0.065)</f>
        <v>94.524324324324311</v>
      </c>
      <c r="T35" s="129">
        <f>T$26/VLOOKUP(T$6,Tabela11[#All],4,FALSE)*(6-12*0.065)</f>
        <v>777.19999999999993</v>
      </c>
      <c r="U35" s="125">
        <f>MAX(F35:H35)+MAX(I35:K35)+MAX(L35:N35)+MAX(O35:Q35)+MAX(R35:T35)</f>
        <v>1360.1</v>
      </c>
    </row>
    <row r="36" spans="1:21" ht="15" thickBot="1"/>
    <row r="37" spans="1:21" ht="15" thickBot="1">
      <c r="F37" s="202" t="s">
        <v>249</v>
      </c>
      <c r="G37" s="203"/>
      <c r="H37" s="204"/>
      <c r="I37" s="205" t="s">
        <v>250</v>
      </c>
      <c r="J37" s="206"/>
      <c r="K37" s="207"/>
      <c r="L37" s="208" t="s">
        <v>18</v>
      </c>
      <c r="M37" s="209"/>
      <c r="N37" s="210"/>
      <c r="O37" s="211" t="s">
        <v>252</v>
      </c>
      <c r="P37" s="212"/>
      <c r="Q37" s="213"/>
      <c r="R37" s="214" t="s">
        <v>251</v>
      </c>
      <c r="S37" s="215"/>
      <c r="T37" s="216"/>
    </row>
    <row r="38" spans="1:21" ht="15.75" thickBot="1">
      <c r="C38" s="33" t="s">
        <v>247</v>
      </c>
      <c r="D38" s="32" t="s">
        <v>835</v>
      </c>
      <c r="E38" s="52"/>
      <c r="F38" s="73" t="s">
        <v>253</v>
      </c>
      <c r="G38" s="74" t="s">
        <v>293</v>
      </c>
      <c r="H38" s="75" t="s">
        <v>254</v>
      </c>
      <c r="I38" s="81" t="s">
        <v>253</v>
      </c>
      <c r="J38" s="82" t="s">
        <v>293</v>
      </c>
      <c r="K38" s="83" t="s">
        <v>254</v>
      </c>
      <c r="L38" s="89" t="s">
        <v>253</v>
      </c>
      <c r="M38" s="90" t="s">
        <v>293</v>
      </c>
      <c r="N38" s="91" t="s">
        <v>254</v>
      </c>
      <c r="O38" s="107" t="s">
        <v>253</v>
      </c>
      <c r="P38" s="108" t="s">
        <v>293</v>
      </c>
      <c r="Q38" s="109" t="s">
        <v>254</v>
      </c>
      <c r="R38" s="97" t="s">
        <v>253</v>
      </c>
      <c r="S38" s="98" t="s">
        <v>293</v>
      </c>
      <c r="T38" s="99" t="s">
        <v>254</v>
      </c>
    </row>
    <row r="39" spans="1:21" ht="15">
      <c r="A39" s="58" t="s">
        <v>828</v>
      </c>
      <c r="B39" s="63" t="s">
        <v>829</v>
      </c>
      <c r="C39" s="61"/>
      <c r="D39" s="61"/>
      <c r="E39" s="62"/>
      <c r="F39" s="76"/>
      <c r="G39" s="77"/>
      <c r="H39" s="78"/>
      <c r="I39" s="84"/>
      <c r="J39" s="85"/>
      <c r="K39" s="86"/>
      <c r="L39" s="92"/>
      <c r="M39" s="93">
        <v>20</v>
      </c>
      <c r="N39" s="94">
        <v>10</v>
      </c>
      <c r="O39" s="110"/>
      <c r="P39" s="111">
        <v>15</v>
      </c>
      <c r="Q39" s="112">
        <v>5</v>
      </c>
      <c r="R39" s="100"/>
      <c r="S39" s="101"/>
      <c r="T39" s="102"/>
    </row>
    <row r="40" spans="1:21">
      <c r="A40" s="59" t="s">
        <v>828</v>
      </c>
      <c r="B40" s="64" t="s">
        <v>213</v>
      </c>
      <c r="C40" s="64">
        <v>1</v>
      </c>
      <c r="D40" s="64"/>
      <c r="E40" s="53"/>
      <c r="F40" s="76"/>
      <c r="G40" s="77"/>
      <c r="H40" s="78"/>
      <c r="I40" s="84"/>
      <c r="J40" s="85"/>
      <c r="K40" s="86"/>
      <c r="L40" s="92">
        <v>10</v>
      </c>
      <c r="M40" s="93">
        <v>15</v>
      </c>
      <c r="N40" s="94"/>
      <c r="O40" s="110">
        <v>5</v>
      </c>
      <c r="P40" s="111">
        <v>10</v>
      </c>
      <c r="Q40" s="112"/>
      <c r="R40" s="100"/>
      <c r="S40" s="101"/>
      <c r="T40" s="102"/>
    </row>
    <row r="41" spans="1:21">
      <c r="A41" s="59" t="s">
        <v>828</v>
      </c>
      <c r="B41" s="64" t="s">
        <v>212</v>
      </c>
      <c r="C41" s="64">
        <v>2</v>
      </c>
      <c r="D41" s="64"/>
      <c r="E41" s="53"/>
      <c r="F41" s="76"/>
      <c r="G41" s="77"/>
      <c r="H41" s="78"/>
      <c r="I41" s="84"/>
      <c r="J41" s="85"/>
      <c r="K41" s="86"/>
      <c r="L41" s="92">
        <v>5</v>
      </c>
      <c r="M41" s="93">
        <v>20</v>
      </c>
      <c r="N41" s="94"/>
      <c r="O41" s="110">
        <v>5</v>
      </c>
      <c r="P41" s="111">
        <v>15</v>
      </c>
      <c r="Q41" s="112"/>
      <c r="R41" s="100"/>
      <c r="S41" s="101"/>
      <c r="T41" s="102"/>
    </row>
    <row r="42" spans="1:21">
      <c r="A42" s="59" t="s">
        <v>828</v>
      </c>
      <c r="B42" s="64" t="s">
        <v>211</v>
      </c>
      <c r="C42" s="64">
        <v>1</v>
      </c>
      <c r="D42" s="64"/>
      <c r="E42" s="53"/>
      <c r="F42" s="76">
        <v>10</v>
      </c>
      <c r="G42" s="77">
        <v>15</v>
      </c>
      <c r="H42" s="78"/>
      <c r="I42" s="84"/>
      <c r="J42" s="85"/>
      <c r="K42" s="86"/>
      <c r="L42" s="92"/>
      <c r="M42" s="93"/>
      <c r="N42" s="94"/>
      <c r="O42" s="110">
        <v>5</v>
      </c>
      <c r="P42" s="111">
        <v>10</v>
      </c>
      <c r="Q42" s="112"/>
      <c r="R42" s="100"/>
      <c r="S42" s="101"/>
      <c r="T42" s="102"/>
    </row>
    <row r="43" spans="1:21" ht="15" thickBot="1">
      <c r="A43" s="59" t="s">
        <v>828</v>
      </c>
      <c r="B43" s="65" t="s">
        <v>214</v>
      </c>
      <c r="C43" s="64">
        <v>1</v>
      </c>
      <c r="D43" s="64"/>
      <c r="E43" s="53"/>
      <c r="F43" s="76"/>
      <c r="G43" s="77"/>
      <c r="H43" s="78"/>
      <c r="I43" s="84">
        <v>20</v>
      </c>
      <c r="J43" s="85"/>
      <c r="K43" s="86"/>
      <c r="L43" s="92"/>
      <c r="M43" s="93"/>
      <c r="N43" s="94"/>
      <c r="O43" s="110">
        <v>15</v>
      </c>
      <c r="P43" s="111"/>
      <c r="Q43" s="112"/>
      <c r="R43" s="100"/>
      <c r="S43" s="101"/>
      <c r="T43" s="102"/>
    </row>
    <row r="44" spans="1:21" ht="15">
      <c r="A44" s="59" t="s">
        <v>828</v>
      </c>
      <c r="B44" s="63" t="s">
        <v>830</v>
      </c>
      <c r="C44" s="64"/>
      <c r="D44" s="64"/>
      <c r="E44" s="53"/>
      <c r="F44" s="76"/>
      <c r="G44" s="77">
        <v>20</v>
      </c>
      <c r="H44" s="78">
        <v>10</v>
      </c>
      <c r="I44" s="84"/>
      <c r="J44" s="85"/>
      <c r="K44" s="86"/>
      <c r="L44" s="92"/>
      <c r="M44" s="93"/>
      <c r="N44" s="94"/>
      <c r="O44" s="110"/>
      <c r="P44" s="111">
        <v>15</v>
      </c>
      <c r="Q44" s="112">
        <v>5</v>
      </c>
      <c r="R44" s="100"/>
      <c r="S44" s="101"/>
      <c r="T44" s="102"/>
    </row>
    <row r="45" spans="1:21">
      <c r="A45" s="59" t="s">
        <v>828</v>
      </c>
      <c r="B45" s="64" t="s">
        <v>216</v>
      </c>
      <c r="C45" s="64">
        <v>1</v>
      </c>
      <c r="D45" s="64"/>
      <c r="E45" s="53"/>
      <c r="F45" s="76">
        <v>10</v>
      </c>
      <c r="G45" s="77">
        <v>15</v>
      </c>
      <c r="H45" s="78"/>
      <c r="I45" s="84"/>
      <c r="J45" s="85"/>
      <c r="K45" s="86"/>
      <c r="L45" s="92"/>
      <c r="M45" s="93"/>
      <c r="N45" s="94"/>
      <c r="O45" s="110">
        <v>5</v>
      </c>
      <c r="P45" s="111">
        <v>10</v>
      </c>
      <c r="Q45" s="112"/>
      <c r="R45" s="100"/>
      <c r="S45" s="101"/>
      <c r="T45" s="102"/>
    </row>
    <row r="46" spans="1:21">
      <c r="A46" s="59" t="s">
        <v>828</v>
      </c>
      <c r="B46" s="64" t="s">
        <v>217</v>
      </c>
      <c r="C46" s="64">
        <v>1</v>
      </c>
      <c r="D46" s="64"/>
      <c r="E46" s="53"/>
      <c r="F46" s="76">
        <v>10</v>
      </c>
      <c r="G46" s="77">
        <v>15</v>
      </c>
      <c r="H46" s="78"/>
      <c r="I46" s="84"/>
      <c r="J46" s="85"/>
      <c r="K46" s="86"/>
      <c r="L46" s="92"/>
      <c r="M46" s="93"/>
      <c r="N46" s="94"/>
      <c r="O46" s="110">
        <v>5</v>
      </c>
      <c r="P46" s="111">
        <v>10</v>
      </c>
      <c r="Q46" s="112"/>
      <c r="R46" s="100"/>
      <c r="S46" s="101"/>
      <c r="T46" s="102"/>
    </row>
    <row r="47" spans="1:21">
      <c r="A47" s="59" t="s">
        <v>828</v>
      </c>
      <c r="B47" s="64" t="s">
        <v>218</v>
      </c>
      <c r="C47" s="64">
        <v>1</v>
      </c>
      <c r="D47" s="64"/>
      <c r="E47" s="53"/>
      <c r="F47" s="76"/>
      <c r="G47" s="77"/>
      <c r="H47" s="78"/>
      <c r="I47" s="84">
        <v>10</v>
      </c>
      <c r="J47" s="85">
        <v>15</v>
      </c>
      <c r="K47" s="86"/>
      <c r="L47" s="92"/>
      <c r="M47" s="93"/>
      <c r="N47" s="94"/>
      <c r="O47" s="110">
        <v>5</v>
      </c>
      <c r="P47" s="111">
        <v>10</v>
      </c>
      <c r="Q47" s="112"/>
      <c r="R47" s="100"/>
      <c r="S47" s="101"/>
      <c r="T47" s="102"/>
    </row>
    <row r="48" spans="1:21" ht="15" thickBot="1">
      <c r="A48" s="59" t="s">
        <v>828</v>
      </c>
      <c r="B48" s="65" t="s">
        <v>219</v>
      </c>
      <c r="C48" s="64">
        <v>1</v>
      </c>
      <c r="D48" s="64"/>
      <c r="E48" s="53"/>
      <c r="F48" s="76"/>
      <c r="G48" s="77"/>
      <c r="H48" s="78"/>
      <c r="I48" s="84"/>
      <c r="J48" s="85"/>
      <c r="K48" s="86"/>
      <c r="L48" s="92">
        <v>15</v>
      </c>
      <c r="M48" s="93">
        <v>1</v>
      </c>
      <c r="N48" s="94"/>
      <c r="O48" s="110">
        <v>20</v>
      </c>
      <c r="P48" s="111"/>
      <c r="Q48" s="112"/>
      <c r="R48" s="100"/>
      <c r="S48" s="101"/>
      <c r="T48" s="102"/>
    </row>
    <row r="49" spans="1:21" ht="15">
      <c r="A49" s="59" t="s">
        <v>828</v>
      </c>
      <c r="B49" s="63" t="s">
        <v>833</v>
      </c>
      <c r="C49" s="64"/>
      <c r="D49" s="64"/>
      <c r="E49" s="53"/>
      <c r="F49" s="76"/>
      <c r="G49" s="77"/>
      <c r="H49" s="78"/>
      <c r="I49" s="84"/>
      <c r="J49" s="85">
        <v>20</v>
      </c>
      <c r="K49" s="86">
        <v>10</v>
      </c>
      <c r="L49" s="92"/>
      <c r="M49" s="93"/>
      <c r="N49" s="94"/>
      <c r="O49" s="110"/>
      <c r="P49" s="111">
        <v>15</v>
      </c>
      <c r="Q49" s="112">
        <v>5</v>
      </c>
      <c r="R49" s="100"/>
      <c r="S49" s="101"/>
      <c r="T49" s="102"/>
    </row>
    <row r="50" spans="1:21">
      <c r="A50" s="59" t="s">
        <v>828</v>
      </c>
      <c r="B50" s="64" t="s">
        <v>220</v>
      </c>
      <c r="C50" s="64">
        <v>2</v>
      </c>
      <c r="D50" s="64"/>
      <c r="E50" s="53"/>
      <c r="F50" s="76"/>
      <c r="G50" s="77"/>
      <c r="H50" s="78"/>
      <c r="I50" s="84">
        <v>10</v>
      </c>
      <c r="J50" s="85">
        <v>15</v>
      </c>
      <c r="K50" s="86"/>
      <c r="L50" s="92"/>
      <c r="M50" s="93"/>
      <c r="N50" s="94"/>
      <c r="O50" s="110">
        <v>10</v>
      </c>
      <c r="P50" s="111">
        <v>10</v>
      </c>
      <c r="Q50" s="112"/>
      <c r="R50" s="100"/>
      <c r="S50" s="101"/>
      <c r="T50" s="102"/>
    </row>
    <row r="51" spans="1:21">
      <c r="A51" s="59" t="s">
        <v>828</v>
      </c>
      <c r="B51" s="64" t="s">
        <v>221</v>
      </c>
      <c r="C51" s="64">
        <v>2</v>
      </c>
      <c r="D51" s="64"/>
      <c r="E51" s="53"/>
      <c r="F51" s="76"/>
      <c r="G51" s="77"/>
      <c r="H51" s="78"/>
      <c r="I51" s="84">
        <v>10</v>
      </c>
      <c r="J51" s="85">
        <v>15</v>
      </c>
      <c r="K51" s="86"/>
      <c r="L51" s="92"/>
      <c r="M51" s="93"/>
      <c r="N51" s="94"/>
      <c r="O51" s="110">
        <v>5</v>
      </c>
      <c r="P51" s="111">
        <v>10</v>
      </c>
      <c r="Q51" s="112"/>
      <c r="R51" s="100"/>
      <c r="S51" s="101"/>
      <c r="T51" s="102"/>
    </row>
    <row r="52" spans="1:21">
      <c r="A52" s="59" t="s">
        <v>828</v>
      </c>
      <c r="B52" s="64" t="s">
        <v>834</v>
      </c>
      <c r="C52" s="64">
        <v>2</v>
      </c>
      <c r="D52" s="64"/>
      <c r="E52" s="53"/>
      <c r="F52" s="76"/>
      <c r="G52" s="77"/>
      <c r="H52" s="78"/>
      <c r="I52" s="84"/>
      <c r="J52" s="85"/>
      <c r="K52" s="86"/>
      <c r="L52" s="92">
        <v>10</v>
      </c>
      <c r="M52" s="93">
        <v>15</v>
      </c>
      <c r="N52" s="94"/>
      <c r="O52" s="110">
        <v>5</v>
      </c>
      <c r="P52" s="111">
        <v>10</v>
      </c>
      <c r="Q52" s="112"/>
      <c r="R52" s="100"/>
      <c r="S52" s="101"/>
      <c r="T52" s="102"/>
    </row>
    <row r="53" spans="1:21" ht="15" thickBot="1">
      <c r="A53" s="59" t="s">
        <v>828</v>
      </c>
      <c r="B53" s="65" t="s">
        <v>222</v>
      </c>
      <c r="C53" s="64">
        <v>1</v>
      </c>
      <c r="D53" s="64"/>
      <c r="E53" s="53"/>
      <c r="F53" s="76">
        <v>15</v>
      </c>
      <c r="G53" s="77">
        <v>2</v>
      </c>
      <c r="H53" s="78"/>
      <c r="I53" s="84"/>
      <c r="J53" s="85"/>
      <c r="K53" s="86"/>
      <c r="L53" s="92"/>
      <c r="M53" s="93"/>
      <c r="N53" s="94"/>
      <c r="O53" s="110">
        <v>15</v>
      </c>
      <c r="P53" s="111"/>
      <c r="Q53" s="112"/>
      <c r="R53" s="100"/>
      <c r="S53" s="101"/>
      <c r="T53" s="102"/>
    </row>
    <row r="54" spans="1:21" ht="15.75" thickBot="1">
      <c r="A54" s="59" t="s">
        <v>828</v>
      </c>
      <c r="B54" s="190" t="s">
        <v>831</v>
      </c>
      <c r="C54" s="64">
        <v>1</v>
      </c>
      <c r="D54" s="64"/>
      <c r="E54" s="53"/>
      <c r="F54" s="76">
        <v>10</v>
      </c>
      <c r="G54" s="77">
        <v>15</v>
      </c>
      <c r="H54" s="78"/>
      <c r="I54" s="84"/>
      <c r="J54" s="85"/>
      <c r="K54" s="86"/>
      <c r="L54" s="92"/>
      <c r="M54" s="93"/>
      <c r="N54" s="94"/>
      <c r="O54" s="110">
        <v>5</v>
      </c>
      <c r="P54" s="111">
        <v>10</v>
      </c>
      <c r="Q54" s="112"/>
      <c r="R54" s="100"/>
      <c r="S54" s="101"/>
      <c r="T54" s="102"/>
    </row>
    <row r="55" spans="1:21" ht="15.75" thickBot="1">
      <c r="A55" s="60" t="s">
        <v>828</v>
      </c>
      <c r="B55" s="66" t="s">
        <v>832</v>
      </c>
      <c r="C55" s="65"/>
      <c r="D55" s="65"/>
      <c r="E55" s="9"/>
      <c r="F55" s="76"/>
      <c r="G55" s="77">
        <v>10</v>
      </c>
      <c r="H55" s="78">
        <v>20</v>
      </c>
      <c r="I55" s="84"/>
      <c r="J55" s="85"/>
      <c r="K55" s="86"/>
      <c r="L55" s="92"/>
      <c r="M55" s="93"/>
      <c r="N55" s="94"/>
      <c r="O55" s="110"/>
      <c r="P55" s="111">
        <v>5</v>
      </c>
      <c r="Q55" s="112">
        <v>15</v>
      </c>
      <c r="R55" s="100"/>
      <c r="S55" s="101"/>
      <c r="T55" s="102"/>
    </row>
    <row r="56" spans="1:21">
      <c r="E56" s="59" t="s">
        <v>255</v>
      </c>
      <c r="F56" s="79">
        <f>SUM(F39:F55)</f>
        <v>55</v>
      </c>
      <c r="G56" s="79">
        <f t="shared" ref="G56:T56" si="2">SUM(G39:G55)</f>
        <v>92</v>
      </c>
      <c r="H56" s="79">
        <f t="shared" si="2"/>
        <v>30</v>
      </c>
      <c r="I56" s="87">
        <f t="shared" si="2"/>
        <v>50</v>
      </c>
      <c r="J56" s="87">
        <f t="shared" si="2"/>
        <v>65</v>
      </c>
      <c r="K56" s="87">
        <f t="shared" si="2"/>
        <v>10</v>
      </c>
      <c r="L56" s="95">
        <f t="shared" si="2"/>
        <v>40</v>
      </c>
      <c r="M56" s="95">
        <f t="shared" si="2"/>
        <v>71</v>
      </c>
      <c r="N56" s="95">
        <f t="shared" si="2"/>
        <v>10</v>
      </c>
      <c r="O56" s="113">
        <f t="shared" si="2"/>
        <v>105</v>
      </c>
      <c r="P56" s="113">
        <f t="shared" si="2"/>
        <v>155</v>
      </c>
      <c r="Q56" s="113">
        <f t="shared" si="2"/>
        <v>30</v>
      </c>
      <c r="R56" s="103">
        <f t="shared" si="2"/>
        <v>0</v>
      </c>
      <c r="S56" s="103">
        <f t="shared" si="2"/>
        <v>0</v>
      </c>
      <c r="T56" s="105">
        <f t="shared" si="2"/>
        <v>0</v>
      </c>
    </row>
    <row r="57" spans="1:21">
      <c r="E57" s="59" t="s">
        <v>256</v>
      </c>
      <c r="F57" s="77">
        <v>189</v>
      </c>
      <c r="G57" s="77">
        <v>4</v>
      </c>
      <c r="H57" s="77">
        <v>8</v>
      </c>
      <c r="I57" s="85">
        <v>94</v>
      </c>
      <c r="J57" s="85">
        <v>17</v>
      </c>
      <c r="K57" s="85">
        <v>24</v>
      </c>
      <c r="L57" s="93">
        <v>76</v>
      </c>
      <c r="M57" s="93">
        <v>19</v>
      </c>
      <c r="N57" s="93">
        <v>30</v>
      </c>
      <c r="O57" s="111">
        <v>285</v>
      </c>
      <c r="P57" s="111">
        <v>3</v>
      </c>
      <c r="Q57" s="111">
        <v>48</v>
      </c>
      <c r="R57" s="101">
        <v>70</v>
      </c>
      <c r="S57" s="101">
        <v>45</v>
      </c>
      <c r="T57" s="102">
        <v>0</v>
      </c>
    </row>
    <row r="58" spans="1:21" ht="15.75" thickBot="1">
      <c r="E58" s="68" t="s">
        <v>116</v>
      </c>
      <c r="F58" s="80">
        <f>MAXA(F56-F57,0)</f>
        <v>0</v>
      </c>
      <c r="G58" s="80">
        <f t="shared" ref="G58:T58" si="3">MAXA(G56-G57,0)</f>
        <v>88</v>
      </c>
      <c r="H58" s="80">
        <f t="shared" si="3"/>
        <v>22</v>
      </c>
      <c r="I58" s="88">
        <f t="shared" si="3"/>
        <v>0</v>
      </c>
      <c r="J58" s="88">
        <f t="shared" si="3"/>
        <v>48</v>
      </c>
      <c r="K58" s="88">
        <f t="shared" si="3"/>
        <v>0</v>
      </c>
      <c r="L58" s="96">
        <f t="shared" si="3"/>
        <v>0</v>
      </c>
      <c r="M58" s="96">
        <f t="shared" si="3"/>
        <v>52</v>
      </c>
      <c r="N58" s="96">
        <f t="shared" si="3"/>
        <v>0</v>
      </c>
      <c r="O58" s="114">
        <f t="shared" si="3"/>
        <v>0</v>
      </c>
      <c r="P58" s="114">
        <f t="shared" si="3"/>
        <v>152</v>
      </c>
      <c r="Q58" s="114">
        <f t="shared" si="3"/>
        <v>0</v>
      </c>
      <c r="R58" s="104">
        <f t="shared" si="3"/>
        <v>0</v>
      </c>
      <c r="S58" s="104">
        <f t="shared" si="3"/>
        <v>0</v>
      </c>
      <c r="T58" s="106">
        <f t="shared" si="3"/>
        <v>0</v>
      </c>
    </row>
    <row r="59" spans="1:21">
      <c r="E59" s="61"/>
      <c r="F59" s="51"/>
      <c r="G59" s="197" t="s">
        <v>281</v>
      </c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8"/>
    </row>
    <row r="60" spans="1:21">
      <c r="E60" s="5">
        <v>9</v>
      </c>
      <c r="F60" s="126">
        <f>F$58/VLOOKUP(F$38,Tabela11[#All],6,FALSE)</f>
        <v>0</v>
      </c>
      <c r="G60" s="126">
        <f>G$58/VLOOKUP(G$38,Tabela11[#All],6,FALSE)</f>
        <v>157.61194029850745</v>
      </c>
      <c r="H60" s="126">
        <f>H$58/VLOOKUP(H$38,Tabela11[#All],6,FALSE)</f>
        <v>82.5</v>
      </c>
      <c r="I60" s="126">
        <f>I$58/VLOOKUP(I$38,Tabela11[#All],6,FALSE)</f>
        <v>0</v>
      </c>
      <c r="J60" s="126">
        <f>J$58/VLOOKUP(J$38,Tabela11[#All],6,FALSE)</f>
        <v>85.970149253731336</v>
      </c>
      <c r="K60" s="126">
        <f>K$58/VLOOKUP(K$38,Tabela11[#All],6,FALSE)</f>
        <v>0</v>
      </c>
      <c r="L60" s="126">
        <f>L$58/VLOOKUP(L$38,Tabela11[#All],6,FALSE)</f>
        <v>0</v>
      </c>
      <c r="M60" s="126">
        <f>M$58/VLOOKUP(M$38,Tabela11[#All],6,FALSE)</f>
        <v>93.134328358208947</v>
      </c>
      <c r="N60" s="126">
        <f>N$58/VLOOKUP(N$38,Tabela11[#All],6,FALSE)</f>
        <v>0</v>
      </c>
      <c r="O60" s="126">
        <f>O$58/VLOOKUP(O$38,Tabela11[#All],6,FALSE)</f>
        <v>0</v>
      </c>
      <c r="P60" s="126">
        <f>P$58/VLOOKUP(P$38,Tabela11[#All],6,FALSE)</f>
        <v>272.23880597014926</v>
      </c>
      <c r="Q60" s="126">
        <f>Q$58/VLOOKUP(Q$38,Tabela11[#All],6,FALSE)</f>
        <v>0</v>
      </c>
      <c r="R60" s="126">
        <f>R$58/VLOOKUP(R$38,Tabela11[#All],6,FALSE)</f>
        <v>0</v>
      </c>
      <c r="S60" s="126">
        <f>S$58/VLOOKUP(S$38,Tabela11[#All],6,FALSE)</f>
        <v>0</v>
      </c>
      <c r="T60" s="127">
        <f>T$58/VLOOKUP(T$38,Tabela11[#All],6,FALSE)</f>
        <v>0</v>
      </c>
    </row>
    <row r="61" spans="1:21">
      <c r="E61" s="5">
        <v>8</v>
      </c>
      <c r="F61" s="126">
        <f>F$58/VLOOKUP(F$38,Tabela11[#All],5,FALSE)</f>
        <v>0</v>
      </c>
      <c r="G61" s="126">
        <f>G$58/VLOOKUP(G$38,Tabela11[#All],5,FALSE)</f>
        <v>402.28571428571428</v>
      </c>
      <c r="H61" s="126">
        <f>H$58/VLOOKUP(H$38,Tabela11[#All],5,FALSE)</f>
        <v>100.57142857142857</v>
      </c>
      <c r="I61" s="126">
        <f>I$58/VLOOKUP(I$38,Tabela11[#All],5,FALSE)</f>
        <v>0</v>
      </c>
      <c r="J61" s="126">
        <f>J$58/VLOOKUP(J$38,Tabela11[#All],5,FALSE)</f>
        <v>219.42857142857142</v>
      </c>
      <c r="K61" s="126">
        <f>K$58/VLOOKUP(K$38,Tabela11[#All],5,FALSE)</f>
        <v>0</v>
      </c>
      <c r="L61" s="126">
        <f>L$58/VLOOKUP(L$38,Tabela11[#All],5,FALSE)</f>
        <v>0</v>
      </c>
      <c r="M61" s="126">
        <f>M$58/VLOOKUP(M$38,Tabela11[#All],5,FALSE)</f>
        <v>237.71428571428572</v>
      </c>
      <c r="N61" s="126">
        <f>N$58/VLOOKUP(N$38,Tabela11[#All],5,FALSE)</f>
        <v>0</v>
      </c>
      <c r="O61" s="126">
        <f>O$58/VLOOKUP(O$38,Tabela11[#All],5,FALSE)</f>
        <v>0</v>
      </c>
      <c r="P61" s="126">
        <f>P$58/VLOOKUP(P$38,Tabela11[#All],5,FALSE)</f>
        <v>694.85714285714289</v>
      </c>
      <c r="Q61" s="126">
        <f>Q$58/VLOOKUP(Q$38,Tabela11[#All],5,FALSE)</f>
        <v>0</v>
      </c>
      <c r="R61" s="126">
        <f>R$58/VLOOKUP(R$38,Tabela11[#All],5,FALSE)</f>
        <v>0</v>
      </c>
      <c r="S61" s="126">
        <f>S$58/VLOOKUP(S$38,Tabela11[#All],5,FALSE)</f>
        <v>0</v>
      </c>
      <c r="T61" s="127">
        <f>T$58/VLOOKUP(T$38,Tabela11[#All],5,FALSE)</f>
        <v>0</v>
      </c>
    </row>
    <row r="62" spans="1:21" ht="15" thickBot="1">
      <c r="E62" s="7">
        <v>7</v>
      </c>
      <c r="F62" s="128">
        <f>F$58/VLOOKUP(F$38,Tabela11[#All],4,FALSE)</f>
        <v>0</v>
      </c>
      <c r="G62" s="128">
        <f>G$58/VLOOKUP(G$38,Tabela11[#All],4,FALSE)</f>
        <v>159.35135135135133</v>
      </c>
      <c r="H62" s="128">
        <f>H$58/VLOOKUP(H$38,Tabela11[#All],4,FALSE)</f>
        <v>163.77777777777777</v>
      </c>
      <c r="I62" s="128">
        <f>I$58/VLOOKUP(I$38,Tabela11[#All],4,FALSE)</f>
        <v>0</v>
      </c>
      <c r="J62" s="128">
        <f>J$58/VLOOKUP(J$38,Tabela11[#All],4,FALSE)</f>
        <v>86.918918918918919</v>
      </c>
      <c r="K62" s="128">
        <f>K$58/VLOOKUP(K$38,Tabela11[#All],4,FALSE)</f>
        <v>0</v>
      </c>
      <c r="L62" s="128">
        <f>L$58/VLOOKUP(L$38,Tabela11[#All],4,FALSE)</f>
        <v>0</v>
      </c>
      <c r="M62" s="128">
        <f>M$58/VLOOKUP(M$38,Tabela11[#All],4,FALSE)</f>
        <v>94.162162162162161</v>
      </c>
      <c r="N62" s="128">
        <f>N$58/VLOOKUP(N$38,Tabela11[#All],4,FALSE)</f>
        <v>0</v>
      </c>
      <c r="O62" s="128">
        <f>O$58/VLOOKUP(O$38,Tabela11[#All],4,FALSE)</f>
        <v>0</v>
      </c>
      <c r="P62" s="128">
        <f>P$58/VLOOKUP(P$38,Tabela11[#All],4,FALSE)</f>
        <v>275.24324324324323</v>
      </c>
      <c r="Q62" s="128">
        <f>Q$58/VLOOKUP(Q$38,Tabela11[#All],4,FALSE)</f>
        <v>0</v>
      </c>
      <c r="R62" s="128">
        <f>R$58/VLOOKUP(R$38,Tabela11[#All],4,FALSE)</f>
        <v>0</v>
      </c>
      <c r="S62" s="128">
        <f>S$58/VLOOKUP(S$38,Tabela11[#All],4,FALSE)</f>
        <v>0</v>
      </c>
      <c r="T62" s="129">
        <f>T$58/VLOOKUP(T$38,Tabela11[#All],4,FALSE)</f>
        <v>0</v>
      </c>
    </row>
    <row r="63" spans="1:21" ht="15" thickBot="1"/>
    <row r="64" spans="1:21" ht="15.75" thickBot="1">
      <c r="E64" s="61"/>
      <c r="F64" s="51"/>
      <c r="G64" s="199" t="s">
        <v>280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1"/>
      <c r="U64" s="122" t="s">
        <v>282</v>
      </c>
    </row>
    <row r="65" spans="1:21">
      <c r="E65" s="5">
        <v>9</v>
      </c>
      <c r="F65" s="126">
        <f>F$58/VLOOKUP(F$38,Tabela11[#All],6,FALSE)*(7-12*0.065)</f>
        <v>0</v>
      </c>
      <c r="G65" s="126">
        <f>G$58/VLOOKUP(G$38,Tabela11[#All],6,FALSE)*(7-12*0.065)</f>
        <v>980.34626865671635</v>
      </c>
      <c r="H65" s="126">
        <f>H$58/VLOOKUP(H$38,Tabela11[#All],6,FALSE)*(7-12*0.065)</f>
        <v>513.15</v>
      </c>
      <c r="I65" s="126">
        <f>I$58/VLOOKUP(I$38,Tabela11[#All],6,FALSE)*(7-12*0.065)</f>
        <v>0</v>
      </c>
      <c r="J65" s="126">
        <f>J$58/VLOOKUP(J$38,Tabela11[#All],6,FALSE)*(7-12*0.065)</f>
        <v>534.73432835820893</v>
      </c>
      <c r="K65" s="126">
        <f>K$58/VLOOKUP(K$38,Tabela11[#All],6,FALSE)*(7-12*0.065)</f>
        <v>0</v>
      </c>
      <c r="L65" s="126">
        <f>L$58/VLOOKUP(L$38,Tabela11[#All],6,FALSE)*(7-12*0.065)</f>
        <v>0</v>
      </c>
      <c r="M65" s="126">
        <f>M$58/VLOOKUP(M$38,Tabela11[#All],6,FALSE)*(7-12*0.065)</f>
        <v>579.29552238805968</v>
      </c>
      <c r="N65" s="126">
        <f>N$58/VLOOKUP(N$38,Tabela11[#All],6,FALSE)*(7-12*0.065)</f>
        <v>0</v>
      </c>
      <c r="O65" s="126">
        <f>O$58/VLOOKUP(O$38,Tabela11[#All],6,FALSE)*(7-12*0.065)</f>
        <v>0</v>
      </c>
      <c r="P65" s="126">
        <f>P$58/VLOOKUP(P$38,Tabela11[#All],6,FALSE)*(7-12*0.065)</f>
        <v>1693.3253731343284</v>
      </c>
      <c r="Q65" s="126">
        <f>Q$58/VLOOKUP(Q$38,Tabela11[#All],6,FALSE)*(7-12*0.065)</f>
        <v>0</v>
      </c>
      <c r="R65" s="126">
        <f>R$58/VLOOKUP(R$38,Tabela11[#All],6,FALSE)*(7-12*0.065)</f>
        <v>0</v>
      </c>
      <c r="S65" s="126">
        <f>S$58/VLOOKUP(S$38,Tabela11[#All],6,FALSE)*(7-12*0.065)</f>
        <v>0</v>
      </c>
      <c r="T65" s="127">
        <f>T$58/VLOOKUP(T$38,Tabela11[#All],6,FALSE)*(7-12*0.065)</f>
        <v>0</v>
      </c>
      <c r="U65" s="123">
        <f>MAX(F65:H65)+MAX(I65:K65)+MAX(L65:N65)+MAX(O65:Q65)+MAX(R65:T65)</f>
        <v>3787.7014925373132</v>
      </c>
    </row>
    <row r="66" spans="1:21">
      <c r="E66" s="5">
        <v>8</v>
      </c>
      <c r="F66" s="126">
        <f>F$58/VLOOKUP(F$38,Tabela11[#All],5,FALSE)*(7-12*0.065)</f>
        <v>0</v>
      </c>
      <c r="G66" s="126">
        <f>G$58/VLOOKUP(G$38,Tabela11[#All],5,FALSE)*(7-12*0.065)</f>
        <v>2502.2171428571428</v>
      </c>
      <c r="H66" s="126">
        <f>H$58/VLOOKUP(H$38,Tabela11[#All],5,FALSE)*(7-12*0.065)</f>
        <v>625.5542857142857</v>
      </c>
      <c r="I66" s="126">
        <f>I$58/VLOOKUP(I$38,Tabela11[#All],5,FALSE)*(7-12*0.065)</f>
        <v>0</v>
      </c>
      <c r="J66" s="126">
        <f>J$58/VLOOKUP(J$38,Tabela11[#All],5,FALSE)*(7-12*0.065)</f>
        <v>1364.8457142857142</v>
      </c>
      <c r="K66" s="126">
        <f>K$58/VLOOKUP(K$38,Tabela11[#All],5,FALSE)*(7-12*0.065)</f>
        <v>0</v>
      </c>
      <c r="L66" s="126">
        <f>L$58/VLOOKUP(L$38,Tabela11[#All],5,FALSE)*(7-12*0.065)</f>
        <v>0</v>
      </c>
      <c r="M66" s="126">
        <f>M$58/VLOOKUP(M$38,Tabela11[#All],5,FALSE)*(7-12*0.065)</f>
        <v>1478.5828571428572</v>
      </c>
      <c r="N66" s="126">
        <f>N$58/VLOOKUP(N$38,Tabela11[#All],5,FALSE)*(7-12*0.065)</f>
        <v>0</v>
      </c>
      <c r="O66" s="126">
        <f>O$58/VLOOKUP(O$38,Tabela11[#All],5,FALSE)*(7-12*0.065)</f>
        <v>0</v>
      </c>
      <c r="P66" s="126">
        <f>P$58/VLOOKUP(P$38,Tabela11[#All],5,FALSE)*(7-12*0.065)</f>
        <v>4322.011428571429</v>
      </c>
      <c r="Q66" s="126">
        <f>Q$58/VLOOKUP(Q$38,Tabela11[#All],5,FALSE)*(7-12*0.065)</f>
        <v>0</v>
      </c>
      <c r="R66" s="126">
        <f>R$58/VLOOKUP(R$38,Tabela11[#All],5,FALSE)*(7-12*0.065)</f>
        <v>0</v>
      </c>
      <c r="S66" s="126">
        <f>S$58/VLOOKUP(S$38,Tabela11[#All],5,FALSE)*(7-12*0.065)</f>
        <v>0</v>
      </c>
      <c r="T66" s="126">
        <f>T$58/VLOOKUP(T$38,Tabela11[#All],5,FALSE)*(7-12*0.065)</f>
        <v>0</v>
      </c>
      <c r="U66" s="124">
        <f>MAX(F66:H66)+MAX(I66:K66)+MAX(L66:N66)+MAX(O66:Q66)+MAX(R66:T66)</f>
        <v>9667.6571428571442</v>
      </c>
    </row>
    <row r="67" spans="1:21" ht="15" thickBot="1">
      <c r="E67" s="7">
        <v>7</v>
      </c>
      <c r="F67" s="128">
        <f>F$58/VLOOKUP(F$38,Tabela11[#All],4,FALSE)*(6-12*0.065)</f>
        <v>0</v>
      </c>
      <c r="G67" s="128">
        <f>G$58/VLOOKUP(G$38,Tabela11[#All],4,FALSE)*(6-12*0.065)</f>
        <v>831.81405405405383</v>
      </c>
      <c r="H67" s="128">
        <f>H$58/VLOOKUP(H$38,Tabela11[#All],4,FALSE)*(6-12*0.065)</f>
        <v>854.92</v>
      </c>
      <c r="I67" s="128">
        <f>I$58/VLOOKUP(I$38,Tabela11[#All],4,FALSE)*(6-12*0.065)</f>
        <v>0</v>
      </c>
      <c r="J67" s="128">
        <f>J$58/VLOOKUP(J$38,Tabela11[#All],4,FALSE)*(6-12*0.065)</f>
        <v>453.71675675675675</v>
      </c>
      <c r="K67" s="128">
        <f>K$58/VLOOKUP(K$38,Tabela11[#All],4,FALSE)*(6-12*0.065)</f>
        <v>0</v>
      </c>
      <c r="L67" s="128">
        <f>L$58/VLOOKUP(L$38,Tabela11[#All],4,FALSE)*(6-12*0.065)</f>
        <v>0</v>
      </c>
      <c r="M67" s="128">
        <f>M$58/VLOOKUP(M$38,Tabela11[#All],4,FALSE)*(6-12*0.065)</f>
        <v>491.52648648648648</v>
      </c>
      <c r="N67" s="128">
        <f>N$58/VLOOKUP(N$38,Tabela11[#All],4,FALSE)*(6-12*0.065)</f>
        <v>0</v>
      </c>
      <c r="O67" s="128">
        <f>O$58/VLOOKUP(O$38,Tabela11[#All],4,FALSE)*(6-12*0.065)</f>
        <v>0</v>
      </c>
      <c r="P67" s="128">
        <f>P$58/VLOOKUP(P$38,Tabela11[#All],4,FALSE)*(6-12*0.065)</f>
        <v>1436.7697297297295</v>
      </c>
      <c r="Q67" s="128">
        <f>Q$58/VLOOKUP(Q$38,Tabela11[#All],4,FALSE)*(6-12*0.065)</f>
        <v>0</v>
      </c>
      <c r="R67" s="128">
        <f>R$58/VLOOKUP(R$38,Tabela11[#All],4,FALSE)*(6-12*0.065)</f>
        <v>0</v>
      </c>
      <c r="S67" s="128">
        <f>S$58/VLOOKUP(S$38,Tabela11[#All],4,FALSE)*(6-12*0.065)</f>
        <v>0</v>
      </c>
      <c r="T67" s="128">
        <f>T$58/VLOOKUP(T$38,Tabela11[#All],4,FALSE)*(6-12*0.065)</f>
        <v>0</v>
      </c>
      <c r="U67" s="125">
        <f>MAX(F67:H67)+MAX(I67:K67)+MAX(L67:N67)+MAX(O67:Q67)+MAX(R67:T67)</f>
        <v>3236.9329729729725</v>
      </c>
    </row>
    <row r="68" spans="1:21" ht="15" thickBot="1"/>
    <row r="69" spans="1:21" ht="15" thickBot="1">
      <c r="F69" s="202" t="s">
        <v>249</v>
      </c>
      <c r="G69" s="203"/>
      <c r="H69" s="204"/>
      <c r="I69" s="205" t="s">
        <v>250</v>
      </c>
      <c r="J69" s="206"/>
      <c r="K69" s="207"/>
      <c r="L69" s="208" t="s">
        <v>18</v>
      </c>
      <c r="M69" s="209"/>
      <c r="N69" s="210"/>
      <c r="O69" s="211" t="s">
        <v>252</v>
      </c>
      <c r="P69" s="212"/>
      <c r="Q69" s="213"/>
      <c r="R69" s="214" t="s">
        <v>251</v>
      </c>
      <c r="S69" s="215"/>
      <c r="T69" s="216"/>
    </row>
    <row r="70" spans="1:21" ht="15.75" thickBot="1">
      <c r="C70" s="33" t="s">
        <v>247</v>
      </c>
      <c r="D70" s="32" t="s">
        <v>835</v>
      </c>
      <c r="E70" s="52"/>
      <c r="F70" s="73" t="s">
        <v>253</v>
      </c>
      <c r="G70" s="74" t="s">
        <v>293</v>
      </c>
      <c r="H70" s="75" t="s">
        <v>254</v>
      </c>
      <c r="I70" s="81" t="s">
        <v>253</v>
      </c>
      <c r="J70" s="82" t="s">
        <v>293</v>
      </c>
      <c r="K70" s="83" t="s">
        <v>254</v>
      </c>
      <c r="L70" s="89" t="s">
        <v>253</v>
      </c>
      <c r="M70" s="90" t="s">
        <v>293</v>
      </c>
      <c r="N70" s="91" t="s">
        <v>254</v>
      </c>
      <c r="O70" s="107" t="s">
        <v>253</v>
      </c>
      <c r="P70" s="108" t="s">
        <v>293</v>
      </c>
      <c r="Q70" s="109" t="s">
        <v>254</v>
      </c>
      <c r="R70" s="97" t="s">
        <v>253</v>
      </c>
      <c r="S70" s="98" t="s">
        <v>293</v>
      </c>
      <c r="T70" s="99" t="s">
        <v>254</v>
      </c>
    </row>
    <row r="71" spans="1:21" ht="15">
      <c r="A71" s="58" t="s">
        <v>837</v>
      </c>
      <c r="B71" s="63" t="s">
        <v>839</v>
      </c>
      <c r="C71" s="61"/>
      <c r="D71" s="61"/>
      <c r="E71" s="62"/>
      <c r="F71" s="76"/>
      <c r="G71" s="77">
        <v>20</v>
      </c>
      <c r="H71" s="78">
        <v>10</v>
      </c>
      <c r="I71" s="84"/>
      <c r="J71" s="85"/>
      <c r="K71" s="86"/>
      <c r="L71" s="92"/>
      <c r="M71" s="93"/>
      <c r="N71" s="94"/>
      <c r="O71" s="110"/>
      <c r="P71" s="111">
        <v>15</v>
      </c>
      <c r="Q71" s="112">
        <v>5</v>
      </c>
      <c r="R71" s="100"/>
      <c r="S71" s="101"/>
      <c r="T71" s="102"/>
    </row>
    <row r="72" spans="1:21">
      <c r="A72" s="59" t="s">
        <v>837</v>
      </c>
      <c r="B72" s="64" t="s">
        <v>241</v>
      </c>
      <c r="C72" s="64">
        <v>0</v>
      </c>
      <c r="D72" s="64"/>
      <c r="E72" s="53"/>
      <c r="F72" s="76">
        <v>10</v>
      </c>
      <c r="G72" s="77">
        <v>15</v>
      </c>
      <c r="H72" s="78"/>
      <c r="I72" s="84"/>
      <c r="J72" s="85"/>
      <c r="K72" s="86"/>
      <c r="L72" s="92"/>
      <c r="M72" s="93"/>
      <c r="N72" s="94"/>
      <c r="O72" s="110">
        <v>5</v>
      </c>
      <c r="P72" s="111">
        <v>10</v>
      </c>
      <c r="Q72" s="112"/>
      <c r="R72" s="100"/>
      <c r="S72" s="101"/>
      <c r="T72" s="102"/>
    </row>
    <row r="73" spans="1:21">
      <c r="A73" s="59" t="s">
        <v>837</v>
      </c>
      <c r="B73" s="64" t="s">
        <v>242</v>
      </c>
      <c r="C73" s="64">
        <v>2</v>
      </c>
      <c r="D73" s="64"/>
      <c r="E73" s="53"/>
      <c r="F73" s="76">
        <v>10</v>
      </c>
      <c r="G73" s="77">
        <v>15</v>
      </c>
      <c r="H73" s="78"/>
      <c r="I73" s="84"/>
      <c r="J73" s="85"/>
      <c r="K73" s="86"/>
      <c r="L73" s="92"/>
      <c r="M73" s="93"/>
      <c r="N73" s="94"/>
      <c r="O73" s="110">
        <v>5</v>
      </c>
      <c r="P73" s="111">
        <v>10</v>
      </c>
      <c r="Q73" s="112"/>
      <c r="R73" s="100"/>
      <c r="S73" s="101"/>
      <c r="T73" s="102"/>
    </row>
    <row r="74" spans="1:21">
      <c r="A74" s="59" t="s">
        <v>837</v>
      </c>
      <c r="B74" s="64" t="s">
        <v>243</v>
      </c>
      <c r="C74" s="64">
        <v>1</v>
      </c>
      <c r="D74" s="64"/>
      <c r="E74" s="53"/>
      <c r="F74" s="76"/>
      <c r="G74" s="77"/>
      <c r="H74" s="78"/>
      <c r="I74" s="84">
        <v>10</v>
      </c>
      <c r="J74" s="85">
        <v>15</v>
      </c>
      <c r="K74" s="86"/>
      <c r="L74" s="92"/>
      <c r="M74" s="93"/>
      <c r="N74" s="94"/>
      <c r="O74" s="110">
        <v>5</v>
      </c>
      <c r="P74" s="111">
        <v>10</v>
      </c>
      <c r="Q74" s="112"/>
      <c r="R74" s="100"/>
      <c r="S74" s="101"/>
      <c r="T74" s="102"/>
    </row>
    <row r="75" spans="1:21" ht="15" thickBot="1">
      <c r="A75" s="59" t="s">
        <v>837</v>
      </c>
      <c r="B75" s="65" t="s">
        <v>244</v>
      </c>
      <c r="C75" s="64">
        <v>0</v>
      </c>
      <c r="D75" s="64"/>
      <c r="E75" s="53"/>
      <c r="F75" s="76"/>
      <c r="G75" s="77"/>
      <c r="H75" s="78"/>
      <c r="I75" s="84"/>
      <c r="J75" s="85"/>
      <c r="K75" s="86"/>
      <c r="L75" s="92">
        <v>20</v>
      </c>
      <c r="M75" s="93"/>
      <c r="N75" s="94"/>
      <c r="O75" s="110">
        <v>15</v>
      </c>
      <c r="P75" s="111"/>
      <c r="Q75" s="112"/>
      <c r="R75" s="100"/>
      <c r="S75" s="101"/>
      <c r="T75" s="102"/>
    </row>
    <row r="76" spans="1:21" ht="15">
      <c r="A76" s="59" t="s">
        <v>837</v>
      </c>
      <c r="B76" s="63" t="s">
        <v>840</v>
      </c>
      <c r="C76" s="64"/>
      <c r="D76" s="64"/>
      <c r="E76" s="53"/>
      <c r="F76" s="76"/>
      <c r="G76" s="77"/>
      <c r="H76" s="78"/>
      <c r="I76" s="84"/>
      <c r="J76" s="85"/>
      <c r="K76" s="86"/>
      <c r="L76" s="92"/>
      <c r="M76" s="93">
        <v>20</v>
      </c>
      <c r="N76" s="94">
        <v>10</v>
      </c>
      <c r="O76" s="110"/>
      <c r="P76" s="111">
        <v>15</v>
      </c>
      <c r="Q76" s="112">
        <v>5</v>
      </c>
      <c r="R76" s="100"/>
      <c r="S76" s="101"/>
      <c r="T76" s="102"/>
    </row>
    <row r="77" spans="1:21">
      <c r="A77" s="59" t="s">
        <v>837</v>
      </c>
      <c r="B77" s="64" t="s">
        <v>228</v>
      </c>
      <c r="C77" s="64">
        <v>1</v>
      </c>
      <c r="D77" s="64"/>
      <c r="E77" s="53"/>
      <c r="F77" s="76"/>
      <c r="G77" s="77"/>
      <c r="H77" s="78"/>
      <c r="I77" s="84"/>
      <c r="J77" s="85"/>
      <c r="K77" s="86"/>
      <c r="L77" s="92"/>
      <c r="M77" s="93"/>
      <c r="N77" s="94"/>
      <c r="O77" s="110"/>
      <c r="P77" s="111"/>
      <c r="Q77" s="112"/>
      <c r="R77" s="100"/>
      <c r="S77" s="101"/>
      <c r="T77" s="102"/>
    </row>
    <row r="78" spans="1:21">
      <c r="A78" s="59" t="s">
        <v>837</v>
      </c>
      <c r="B78" s="64" t="s">
        <v>841</v>
      </c>
      <c r="C78" s="64">
        <v>1</v>
      </c>
      <c r="D78" s="64"/>
      <c r="E78" s="53"/>
      <c r="F78" s="76"/>
      <c r="G78" s="77"/>
      <c r="H78" s="78"/>
      <c r="I78" s="84"/>
      <c r="J78" s="85"/>
      <c r="K78" s="86"/>
      <c r="L78" s="92"/>
      <c r="M78" s="93"/>
      <c r="N78" s="94"/>
      <c r="O78" s="110"/>
      <c r="P78" s="111"/>
      <c r="Q78" s="112"/>
      <c r="R78" s="100"/>
      <c r="S78" s="101"/>
      <c r="T78" s="102"/>
    </row>
    <row r="79" spans="1:21">
      <c r="A79" s="59" t="s">
        <v>837</v>
      </c>
      <c r="B79" s="64" t="s">
        <v>230</v>
      </c>
      <c r="C79" s="64" t="s">
        <v>842</v>
      </c>
      <c r="D79" s="64"/>
      <c r="E79" s="53"/>
      <c r="F79" s="76">
        <v>10</v>
      </c>
      <c r="G79" s="77">
        <v>15</v>
      </c>
      <c r="H79" s="78"/>
      <c r="I79" s="84"/>
      <c r="J79" s="85"/>
      <c r="K79" s="86"/>
      <c r="L79" s="92"/>
      <c r="M79" s="93"/>
      <c r="N79" s="94"/>
      <c r="O79" s="110"/>
      <c r="P79" s="111"/>
      <c r="Q79" s="112"/>
      <c r="R79" s="100"/>
      <c r="S79" s="101"/>
      <c r="T79" s="102"/>
    </row>
    <row r="80" spans="1:21" ht="15" thickBot="1">
      <c r="A80" s="59" t="s">
        <v>837</v>
      </c>
      <c r="B80" s="65" t="s">
        <v>231</v>
      </c>
      <c r="C80" s="64">
        <v>2</v>
      </c>
      <c r="D80" s="64"/>
      <c r="E80" s="53"/>
      <c r="F80" s="76"/>
      <c r="G80" s="77"/>
      <c r="H80" s="78"/>
      <c r="I80" s="84"/>
      <c r="J80" s="85"/>
      <c r="K80" s="86"/>
      <c r="L80" s="92"/>
      <c r="M80" s="93"/>
      <c r="N80" s="94"/>
      <c r="O80" s="110"/>
      <c r="P80" s="111"/>
      <c r="Q80" s="112"/>
      <c r="R80" s="100"/>
      <c r="S80" s="101"/>
      <c r="T80" s="102"/>
    </row>
    <row r="81" spans="1:21" ht="15">
      <c r="A81" s="59" t="s">
        <v>837</v>
      </c>
      <c r="B81" s="63" t="s">
        <v>833</v>
      </c>
      <c r="C81" s="64"/>
      <c r="D81" s="64"/>
      <c r="E81" s="53"/>
      <c r="F81" s="76"/>
      <c r="G81" s="77"/>
      <c r="H81" s="78"/>
      <c r="I81" s="84"/>
      <c r="J81" s="85">
        <v>15</v>
      </c>
      <c r="K81" s="86">
        <v>12</v>
      </c>
      <c r="L81" s="92"/>
      <c r="M81" s="93"/>
      <c r="N81" s="94"/>
      <c r="O81" s="110"/>
      <c r="P81" s="111">
        <v>15</v>
      </c>
      <c r="Q81" s="112">
        <v>10</v>
      </c>
      <c r="R81" s="100"/>
      <c r="S81" s="101"/>
      <c r="T81" s="102"/>
    </row>
    <row r="82" spans="1:21">
      <c r="A82" s="59" t="s">
        <v>837</v>
      </c>
      <c r="B82" s="64" t="s">
        <v>220</v>
      </c>
      <c r="C82" s="64">
        <v>2</v>
      </c>
      <c r="D82" s="64"/>
      <c r="E82" s="53"/>
      <c r="F82" s="76"/>
      <c r="G82" s="77"/>
      <c r="H82" s="78"/>
      <c r="I82" s="84">
        <v>10</v>
      </c>
      <c r="J82" s="85">
        <v>15</v>
      </c>
      <c r="K82" s="86"/>
      <c r="L82" s="92"/>
      <c r="M82" s="93"/>
      <c r="N82" s="94"/>
      <c r="O82" s="110">
        <v>5</v>
      </c>
      <c r="P82" s="111">
        <v>10</v>
      </c>
      <c r="Q82" s="112"/>
      <c r="R82" s="100"/>
      <c r="S82" s="101"/>
      <c r="T82" s="102"/>
    </row>
    <row r="83" spans="1:21">
      <c r="A83" s="59" t="s">
        <v>837</v>
      </c>
      <c r="B83" s="64" t="s">
        <v>221</v>
      </c>
      <c r="C83" s="64">
        <v>2</v>
      </c>
      <c r="D83" s="64"/>
      <c r="E83" s="53"/>
      <c r="F83" s="76"/>
      <c r="G83" s="77"/>
      <c r="H83" s="78"/>
      <c r="I83" s="84">
        <v>10</v>
      </c>
      <c r="J83" s="85">
        <v>15</v>
      </c>
      <c r="K83" s="86"/>
      <c r="L83" s="92"/>
      <c r="M83" s="93"/>
      <c r="N83" s="94"/>
      <c r="O83" s="110">
        <v>5</v>
      </c>
      <c r="P83" s="111">
        <v>10</v>
      </c>
      <c r="Q83" s="112"/>
      <c r="R83" s="100"/>
      <c r="S83" s="101"/>
      <c r="T83" s="102"/>
    </row>
    <row r="84" spans="1:21">
      <c r="A84" s="59" t="s">
        <v>837</v>
      </c>
      <c r="B84" s="64" t="s">
        <v>834</v>
      </c>
      <c r="C84" s="64">
        <v>2</v>
      </c>
      <c r="D84" s="64"/>
      <c r="E84" s="53"/>
      <c r="F84" s="76"/>
      <c r="G84" s="77"/>
      <c r="H84" s="78"/>
      <c r="I84" s="84"/>
      <c r="J84" s="85"/>
      <c r="K84" s="86"/>
      <c r="L84" s="92">
        <v>10</v>
      </c>
      <c r="M84" s="93">
        <v>15</v>
      </c>
      <c r="N84" s="94"/>
      <c r="O84" s="110">
        <v>5</v>
      </c>
      <c r="P84" s="111">
        <v>10</v>
      </c>
      <c r="Q84" s="112"/>
      <c r="R84" s="100"/>
      <c r="S84" s="101"/>
      <c r="T84" s="102"/>
    </row>
    <row r="85" spans="1:21" ht="15" thickBot="1">
      <c r="A85" s="59" t="s">
        <v>837</v>
      </c>
      <c r="B85" s="65" t="s">
        <v>222</v>
      </c>
      <c r="C85" s="64">
        <v>1</v>
      </c>
      <c r="D85" s="64"/>
      <c r="E85" s="53"/>
      <c r="F85" s="76">
        <v>20</v>
      </c>
      <c r="G85" s="77"/>
      <c r="H85" s="78"/>
      <c r="I85" s="84"/>
      <c r="J85" s="85"/>
      <c r="K85" s="86"/>
      <c r="L85" s="92"/>
      <c r="M85" s="93"/>
      <c r="N85" s="94"/>
      <c r="O85" s="110">
        <v>15</v>
      </c>
      <c r="P85" s="111"/>
      <c r="Q85" s="112"/>
      <c r="R85" s="100"/>
      <c r="S85" s="101"/>
      <c r="T85" s="102"/>
    </row>
    <row r="86" spans="1:21" ht="15.75" thickBot="1">
      <c r="A86" s="59" t="s">
        <v>837</v>
      </c>
      <c r="B86" s="190" t="s">
        <v>838</v>
      </c>
      <c r="C86" s="64"/>
      <c r="D86" s="64"/>
      <c r="E86" s="53"/>
      <c r="F86" s="76"/>
      <c r="G86" s="77"/>
      <c r="H86" s="78"/>
      <c r="I86" s="84"/>
      <c r="J86" s="85"/>
      <c r="K86" s="86"/>
      <c r="L86" s="92"/>
      <c r="M86" s="93"/>
      <c r="N86" s="94"/>
      <c r="O86" s="110">
        <v>20</v>
      </c>
      <c r="P86" s="111"/>
      <c r="Q86" s="112"/>
      <c r="R86" s="100"/>
      <c r="S86" s="101"/>
      <c r="T86" s="102"/>
    </row>
    <row r="87" spans="1:21" ht="15.75" thickBot="1">
      <c r="A87" s="60" t="s">
        <v>837</v>
      </c>
      <c r="B87" s="66" t="s">
        <v>836</v>
      </c>
      <c r="C87" s="65"/>
      <c r="D87" s="65"/>
      <c r="E87" s="9"/>
      <c r="F87" s="76"/>
      <c r="G87" s="77"/>
      <c r="H87" s="78"/>
      <c r="I87" s="84"/>
      <c r="J87" s="85"/>
      <c r="K87" s="86"/>
      <c r="L87" s="92"/>
      <c r="M87" s="93"/>
      <c r="N87" s="94"/>
      <c r="O87" s="110"/>
      <c r="P87" s="111">
        <v>5</v>
      </c>
      <c r="Q87" s="112">
        <v>15</v>
      </c>
      <c r="R87" s="100"/>
      <c r="S87" s="101"/>
      <c r="T87" s="102"/>
    </row>
    <row r="88" spans="1:21">
      <c r="E88" s="59" t="s">
        <v>255</v>
      </c>
      <c r="F88" s="79">
        <f>SUM(F71:F87)</f>
        <v>50</v>
      </c>
      <c r="G88" s="79">
        <f t="shared" ref="G88:T88" si="4">SUM(G71:G87)</f>
        <v>65</v>
      </c>
      <c r="H88" s="79">
        <f t="shared" si="4"/>
        <v>10</v>
      </c>
      <c r="I88" s="87">
        <f t="shared" si="4"/>
        <v>30</v>
      </c>
      <c r="J88" s="87">
        <f t="shared" si="4"/>
        <v>60</v>
      </c>
      <c r="K88" s="87">
        <f t="shared" si="4"/>
        <v>12</v>
      </c>
      <c r="L88" s="95">
        <f t="shared" si="4"/>
        <v>30</v>
      </c>
      <c r="M88" s="95">
        <f t="shared" si="4"/>
        <v>35</v>
      </c>
      <c r="N88" s="95">
        <f t="shared" si="4"/>
        <v>10</v>
      </c>
      <c r="O88" s="113">
        <f t="shared" si="4"/>
        <v>80</v>
      </c>
      <c r="P88" s="113">
        <f t="shared" si="4"/>
        <v>110</v>
      </c>
      <c r="Q88" s="113">
        <f t="shared" si="4"/>
        <v>35</v>
      </c>
      <c r="R88" s="103">
        <f t="shared" si="4"/>
        <v>0</v>
      </c>
      <c r="S88" s="103">
        <f t="shared" si="4"/>
        <v>0</v>
      </c>
      <c r="T88" s="105">
        <f t="shared" si="4"/>
        <v>0</v>
      </c>
    </row>
    <row r="89" spans="1:21">
      <c r="E89" s="59" t="s">
        <v>256</v>
      </c>
      <c r="F89" s="77">
        <v>207</v>
      </c>
      <c r="G89" s="77">
        <v>1</v>
      </c>
      <c r="H89" s="77">
        <v>19</v>
      </c>
      <c r="I89" s="85">
        <v>90</v>
      </c>
      <c r="J89" s="85">
        <v>14</v>
      </c>
      <c r="K89" s="85">
        <v>24</v>
      </c>
      <c r="L89" s="93">
        <v>64</v>
      </c>
      <c r="M89" s="93">
        <v>24</v>
      </c>
      <c r="N89" s="93">
        <v>23</v>
      </c>
      <c r="O89" s="111">
        <v>312</v>
      </c>
      <c r="P89" s="111">
        <v>31</v>
      </c>
      <c r="Q89" s="111">
        <v>66</v>
      </c>
      <c r="R89" s="101">
        <f t="shared" ref="R89" si="5">MAXA(R57-R56,0)</f>
        <v>70</v>
      </c>
      <c r="S89" s="101">
        <v>44</v>
      </c>
      <c r="T89" s="102">
        <v>0</v>
      </c>
    </row>
    <row r="90" spans="1:21" ht="15.75" thickBot="1">
      <c r="E90" s="68" t="s">
        <v>116</v>
      </c>
      <c r="F90" s="80">
        <f>MAXA(F88-F89,0)</f>
        <v>0</v>
      </c>
      <c r="G90" s="80">
        <f t="shared" ref="G90:T90" si="6">MAXA(G88-G89,0)</f>
        <v>64</v>
      </c>
      <c r="H90" s="80">
        <f t="shared" si="6"/>
        <v>0</v>
      </c>
      <c r="I90" s="88">
        <f t="shared" si="6"/>
        <v>0</v>
      </c>
      <c r="J90" s="88">
        <f t="shared" si="6"/>
        <v>46</v>
      </c>
      <c r="K90" s="88">
        <f t="shared" si="6"/>
        <v>0</v>
      </c>
      <c r="L90" s="96">
        <f t="shared" si="6"/>
        <v>0</v>
      </c>
      <c r="M90" s="96">
        <f t="shared" si="6"/>
        <v>11</v>
      </c>
      <c r="N90" s="96">
        <f t="shared" si="6"/>
        <v>0</v>
      </c>
      <c r="O90" s="114">
        <f t="shared" si="6"/>
        <v>0</v>
      </c>
      <c r="P90" s="114">
        <f t="shared" si="6"/>
        <v>79</v>
      </c>
      <c r="Q90" s="114">
        <f t="shared" si="6"/>
        <v>0</v>
      </c>
      <c r="R90" s="104">
        <f t="shared" si="6"/>
        <v>0</v>
      </c>
      <c r="S90" s="104">
        <f t="shared" si="6"/>
        <v>0</v>
      </c>
      <c r="T90" s="106">
        <f t="shared" si="6"/>
        <v>0</v>
      </c>
    </row>
    <row r="91" spans="1:21">
      <c r="E91" s="61"/>
      <c r="F91" s="51"/>
      <c r="G91" s="197" t="s">
        <v>281</v>
      </c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8"/>
    </row>
    <row r="92" spans="1:21">
      <c r="E92" s="5">
        <v>9</v>
      </c>
      <c r="F92" s="6">
        <f>F$90/VLOOKUP(F$6,Tabela11[#All],6,FALSE)</f>
        <v>0</v>
      </c>
      <c r="G92" s="118">
        <f>G$90/VLOOKUP(G$6,Tabela11[#All],6,FALSE)</f>
        <v>114.6268656716418</v>
      </c>
      <c r="H92" s="118">
        <f>H$90/VLOOKUP(H$6,Tabela11[#All],6,FALSE)</f>
        <v>0</v>
      </c>
      <c r="I92" s="118">
        <f>I$90/VLOOKUP(I$6,Tabela11[#All],6,FALSE)</f>
        <v>0</v>
      </c>
      <c r="J92" s="118">
        <f>J$90/VLOOKUP(J$6,Tabela11[#All],6,FALSE)</f>
        <v>82.388059701492537</v>
      </c>
      <c r="K92" s="118">
        <f>K$90/VLOOKUP(K$6,Tabela11[#All],6,FALSE)</f>
        <v>0</v>
      </c>
      <c r="L92" s="118">
        <f>L$90/VLOOKUP(L$6,Tabela11[#All],6,FALSE)</f>
        <v>0</v>
      </c>
      <c r="M92" s="118">
        <f>M$90/VLOOKUP(M$6,Tabela11[#All],6,FALSE)</f>
        <v>19.701492537313431</v>
      </c>
      <c r="N92" s="118">
        <f>N$90/VLOOKUP(N$6,Tabela11[#All],6,FALSE)</f>
        <v>0</v>
      </c>
      <c r="O92" s="118">
        <f>O$90/VLOOKUP(O$6,Tabela11[#All],6,FALSE)</f>
        <v>0</v>
      </c>
      <c r="P92" s="118">
        <f>P$90/VLOOKUP(P$6,Tabela11[#All],6,FALSE)</f>
        <v>141.49253731343282</v>
      </c>
      <c r="Q92" s="118">
        <f>Q$90/VLOOKUP(Q$6,Tabela11[#All],6,FALSE)</f>
        <v>0</v>
      </c>
      <c r="R92" s="118">
        <f>R$90/VLOOKUP(R$6,Tabela11[#All],6,FALSE)</f>
        <v>0</v>
      </c>
      <c r="S92" s="118">
        <f>S$90/VLOOKUP(S$6,Tabela11[#All],6,FALSE)</f>
        <v>0</v>
      </c>
      <c r="T92" s="119">
        <f>T$90/VLOOKUP(T$6,Tabela11[#All],6,FALSE)</f>
        <v>0</v>
      </c>
    </row>
    <row r="93" spans="1:21">
      <c r="E93" s="5">
        <v>8</v>
      </c>
      <c r="F93" s="6">
        <f>F$90/VLOOKUP(F$6,Tabela11[#All],5,FALSE)</f>
        <v>0</v>
      </c>
      <c r="G93" s="118">
        <f>G$90/VLOOKUP(G$6,Tabela11[#All],5,FALSE)</f>
        <v>292.57142857142856</v>
      </c>
      <c r="H93" s="118">
        <f>H$90/VLOOKUP(H$6,Tabela11[#All],5,FALSE)</f>
        <v>0</v>
      </c>
      <c r="I93" s="118">
        <f>I$90/VLOOKUP(I$6,Tabela11[#All],5,FALSE)</f>
        <v>0</v>
      </c>
      <c r="J93" s="118">
        <f>J$90/VLOOKUP(J$6,Tabela11[#All],5,FALSE)</f>
        <v>210.28571428571428</v>
      </c>
      <c r="K93" s="118">
        <f>K$90/VLOOKUP(K$6,Tabela11[#All],5,FALSE)</f>
        <v>0</v>
      </c>
      <c r="L93" s="118">
        <f>L$90/VLOOKUP(L$6,Tabela11[#All],5,FALSE)</f>
        <v>0</v>
      </c>
      <c r="M93" s="118">
        <f>M$90/VLOOKUP(M$6,Tabela11[#All],5,FALSE)</f>
        <v>50.285714285714285</v>
      </c>
      <c r="N93" s="118">
        <f>N$90/VLOOKUP(N$6,Tabela11[#All],5,FALSE)</f>
        <v>0</v>
      </c>
      <c r="O93" s="118">
        <f>O$90/VLOOKUP(O$6,Tabela11[#All],5,FALSE)</f>
        <v>0</v>
      </c>
      <c r="P93" s="118">
        <f>P$90/VLOOKUP(P$6,Tabela11[#All],5,FALSE)</f>
        <v>361.14285714285717</v>
      </c>
      <c r="Q93" s="118">
        <f>Q$90/VLOOKUP(Q$6,Tabela11[#All],5,FALSE)</f>
        <v>0</v>
      </c>
      <c r="R93" s="118">
        <f>R$90/VLOOKUP(R$6,Tabela11[#All],5,FALSE)</f>
        <v>0</v>
      </c>
      <c r="S93" s="118">
        <f>S$90/VLOOKUP(S$6,Tabela11[#All],5,FALSE)</f>
        <v>0</v>
      </c>
      <c r="T93" s="119">
        <f>T$90/VLOOKUP(T$6,Tabela11[#All],5,FALSE)</f>
        <v>0</v>
      </c>
    </row>
    <row r="94" spans="1:21" ht="15" thickBot="1">
      <c r="E94" s="7">
        <v>7</v>
      </c>
      <c r="F94" s="8">
        <f>F$90/VLOOKUP(F$6,Tabela11[#All],4,FALSE)</f>
        <v>0</v>
      </c>
      <c r="G94" s="120">
        <f>G$90/VLOOKUP(G$6,Tabela11[#All],4,FALSE)</f>
        <v>115.89189189189189</v>
      </c>
      <c r="H94" s="120">
        <f>H$90/VLOOKUP(H$6,Tabela11[#All],4,FALSE)</f>
        <v>0</v>
      </c>
      <c r="I94" s="120">
        <f>I$90/VLOOKUP(I$6,Tabela11[#All],4,FALSE)</f>
        <v>0</v>
      </c>
      <c r="J94" s="120">
        <f>J$90/VLOOKUP(J$6,Tabela11[#All],4,FALSE)</f>
        <v>83.297297297297291</v>
      </c>
      <c r="K94" s="120">
        <f>K$90/VLOOKUP(K$6,Tabela11[#All],4,FALSE)</f>
        <v>0</v>
      </c>
      <c r="L94" s="120">
        <f>L$90/VLOOKUP(L$6,Tabela11[#All],4,FALSE)</f>
        <v>0</v>
      </c>
      <c r="M94" s="120">
        <f>M$90/VLOOKUP(M$6,Tabela11[#All],4,FALSE)</f>
        <v>19.918918918918916</v>
      </c>
      <c r="N94" s="120">
        <f>N$90/VLOOKUP(N$6,Tabela11[#All],4,FALSE)</f>
        <v>0</v>
      </c>
      <c r="O94" s="120">
        <f>O$90/VLOOKUP(O$6,Tabela11[#All],4,FALSE)</f>
        <v>0</v>
      </c>
      <c r="P94" s="120">
        <f>P$90/VLOOKUP(P$6,Tabela11[#All],4,FALSE)</f>
        <v>143.05405405405403</v>
      </c>
      <c r="Q94" s="120">
        <f>Q$90/VLOOKUP(Q$6,Tabela11[#All],4,FALSE)</f>
        <v>0</v>
      </c>
      <c r="R94" s="120">
        <f>R$90/VLOOKUP(R$6,Tabela11[#All],4,FALSE)</f>
        <v>0</v>
      </c>
      <c r="S94" s="120">
        <f>S$90/VLOOKUP(S$6,Tabela11[#All],4,FALSE)</f>
        <v>0</v>
      </c>
      <c r="T94" s="121">
        <f>T$90/VLOOKUP(T$6,Tabela11[#All],4,FALSE)</f>
        <v>0</v>
      </c>
    </row>
    <row r="95" spans="1:21" ht="15" thickBot="1"/>
    <row r="96" spans="1:21" ht="15.75" thickBot="1">
      <c r="E96" s="61"/>
      <c r="F96" s="51"/>
      <c r="G96" s="199" t="s">
        <v>280</v>
      </c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1"/>
      <c r="U96" s="122" t="s">
        <v>282</v>
      </c>
    </row>
    <row r="97" spans="5:21">
      <c r="E97" s="5">
        <v>9</v>
      </c>
      <c r="F97" s="6">
        <f>F$90/VLOOKUP(F$6,Tabela11[#All],6,FALSE)*(7-12*0.065)</f>
        <v>0</v>
      </c>
      <c r="G97" s="126">
        <f>G$90/VLOOKUP(G$6,Tabela11[#All],6,FALSE)*(7-12*0.065)</f>
        <v>712.97910447761194</v>
      </c>
      <c r="H97" s="126">
        <f>H$90/VLOOKUP(H$6,Tabela11[#All],6,FALSE)*(7-12*0.065)</f>
        <v>0</v>
      </c>
      <c r="I97" s="126">
        <f>I$90/VLOOKUP(I$6,Tabela11[#All],6,FALSE)*(7-12*0.065)</f>
        <v>0</v>
      </c>
      <c r="J97" s="126">
        <f>J$90/VLOOKUP(J$6,Tabela11[#All],6,FALSE)*(7-12*0.065)</f>
        <v>512.45373134328361</v>
      </c>
      <c r="K97" s="126">
        <f>K$90/VLOOKUP(K$6,Tabela11[#All],6,FALSE)*(7-12*0.065)</f>
        <v>0</v>
      </c>
      <c r="L97" s="126">
        <f>L$90/VLOOKUP(L$6,Tabela11[#All],6,FALSE)*(7-12*0.065)</f>
        <v>0</v>
      </c>
      <c r="M97" s="126">
        <f>M$90/VLOOKUP(M$6,Tabela11[#All],6,FALSE)*(7-12*0.065)</f>
        <v>122.54328358208954</v>
      </c>
      <c r="N97" s="126">
        <f>N$90/VLOOKUP(N$6,Tabela11[#All],6,FALSE)*(7-12*0.065)</f>
        <v>0</v>
      </c>
      <c r="O97" s="126">
        <f>O$90/VLOOKUP(O$6,Tabela11[#All],6,FALSE)*(7-12*0.065)</f>
        <v>0</v>
      </c>
      <c r="P97" s="126">
        <f>P$90/VLOOKUP(P$6,Tabela11[#All],6,FALSE)*(7-12*0.065)</f>
        <v>880.08358208955212</v>
      </c>
      <c r="Q97" s="126">
        <f>Q$90/VLOOKUP(Q$6,Tabela11[#All],6,FALSE)*(7-12*0.065)</f>
        <v>0</v>
      </c>
      <c r="R97" s="126">
        <f>R$90/VLOOKUP(R$6,Tabela11[#All],6,FALSE)*(7-12*0.065)</f>
        <v>0</v>
      </c>
      <c r="S97" s="126">
        <f>S$90/VLOOKUP(S$6,Tabela11[#All],6,FALSE)*(7-12*0.065)</f>
        <v>0</v>
      </c>
      <c r="T97" s="127">
        <f>T$90/VLOOKUP(T$6,Tabela11[#All],6,FALSE)*(7-12*0.065)</f>
        <v>0</v>
      </c>
      <c r="U97" s="123">
        <f>MAX(F97:H97)+MAX(I97:K97)+MAX(L97:N97)+MAX(O97:Q97)+MAX(R97:T97)</f>
        <v>2228.059701492537</v>
      </c>
    </row>
    <row r="98" spans="5:21">
      <c r="E98" s="5">
        <v>8</v>
      </c>
      <c r="F98" s="6">
        <f>F$90/VLOOKUP(F$6,Tabela11[#All],5,FALSE)*(7-12*0.065)</f>
        <v>0</v>
      </c>
      <c r="G98" s="126">
        <f>G$90/VLOOKUP(G$6,Tabela11[#All],5,FALSE)*(7-12*0.065)</f>
        <v>1819.7942857142855</v>
      </c>
      <c r="H98" s="126">
        <f>H$90/VLOOKUP(H$6,Tabela11[#All],5,FALSE)*(7-12*0.065)</f>
        <v>0</v>
      </c>
      <c r="I98" s="126">
        <f>I$90/VLOOKUP(I$6,Tabela11[#All],5,FALSE)*(7-12*0.065)</f>
        <v>0</v>
      </c>
      <c r="J98" s="126">
        <f>J$90/VLOOKUP(J$6,Tabela11[#All],5,FALSE)*(7-12*0.065)</f>
        <v>1307.9771428571428</v>
      </c>
      <c r="K98" s="126">
        <f>K$90/VLOOKUP(K$6,Tabela11[#All],5,FALSE)*(7-12*0.065)</f>
        <v>0</v>
      </c>
      <c r="L98" s="126">
        <f>L$90/VLOOKUP(L$6,Tabela11[#All],5,FALSE)*(7-12*0.065)</f>
        <v>0</v>
      </c>
      <c r="M98" s="126">
        <f>M$90/VLOOKUP(M$6,Tabela11[#All],5,FALSE)*(7-12*0.065)</f>
        <v>312.77714285714285</v>
      </c>
      <c r="N98" s="126">
        <f>N$90/VLOOKUP(N$6,Tabela11[#All],5,FALSE)*(7-12*0.065)</f>
        <v>0</v>
      </c>
      <c r="O98" s="126">
        <f>O$90/VLOOKUP(O$6,Tabela11[#All],5,FALSE)*(7-12*0.065)</f>
        <v>0</v>
      </c>
      <c r="P98" s="126">
        <f>P$90/VLOOKUP(P$6,Tabela11[#All],5,FALSE)*(7-12*0.065)</f>
        <v>2246.3085714285717</v>
      </c>
      <c r="Q98" s="126">
        <f>Q$90/VLOOKUP(Q$6,Tabela11[#All],5,FALSE)*(7-12*0.065)</f>
        <v>0</v>
      </c>
      <c r="R98" s="126">
        <f>R$90/VLOOKUP(R$6,Tabela11[#All],5,FALSE)*(7-12*0.065)</f>
        <v>0</v>
      </c>
      <c r="S98" s="126">
        <f>S$90/VLOOKUP(S$6,Tabela11[#All],5,FALSE)*(7-12*0.065)</f>
        <v>0</v>
      </c>
      <c r="T98" s="127">
        <f>T$90/VLOOKUP(T$6,Tabela11[#All],5,FALSE)*(7-12*0.065)</f>
        <v>0</v>
      </c>
      <c r="U98" s="124">
        <f>MAX(F98:H98)+MAX(I98:K98)+MAX(L98:N98)+MAX(O98:Q98)+MAX(R98:T98)</f>
        <v>5686.8571428571431</v>
      </c>
    </row>
    <row r="99" spans="5:21" ht="15" thickBot="1">
      <c r="E99" s="7">
        <v>7</v>
      </c>
      <c r="F99" s="8">
        <f>F$90/VLOOKUP(F$6,Tabela11[#All],4,FALSE)*(6-12*0.065)</f>
        <v>0</v>
      </c>
      <c r="G99" s="128">
        <f>G$90/VLOOKUP(G$6,Tabela11[#All],4,FALSE)*(6-12*0.065)</f>
        <v>604.95567567567559</v>
      </c>
      <c r="H99" s="128">
        <f>H$90/VLOOKUP(H$6,Tabela11[#All],4,FALSE)*(6-12*0.065)</f>
        <v>0</v>
      </c>
      <c r="I99" s="128">
        <f>I$90/VLOOKUP(I$6,Tabela11[#All],4,FALSE)*(6-12*0.065)</f>
        <v>0</v>
      </c>
      <c r="J99" s="128">
        <f>J$90/VLOOKUP(J$6,Tabela11[#All],4,FALSE)*(6-12*0.065)</f>
        <v>434.81189189189183</v>
      </c>
      <c r="K99" s="128">
        <f>K$90/VLOOKUP(K$6,Tabela11[#All],4,FALSE)*(6-12*0.065)</f>
        <v>0</v>
      </c>
      <c r="L99" s="128">
        <f>L$90/VLOOKUP(L$6,Tabela11[#All],4,FALSE)*(6-12*0.065)</f>
        <v>0</v>
      </c>
      <c r="M99" s="128">
        <f>M$90/VLOOKUP(M$6,Tabela11[#All],4,FALSE)*(6-12*0.065)</f>
        <v>103.97675675675673</v>
      </c>
      <c r="N99" s="128">
        <f>N$90/VLOOKUP(N$6,Tabela11[#All],4,FALSE)*(6-12*0.065)</f>
        <v>0</v>
      </c>
      <c r="O99" s="128">
        <f>O$90/VLOOKUP(O$6,Tabela11[#All],4,FALSE)*(6-12*0.065)</f>
        <v>0</v>
      </c>
      <c r="P99" s="128">
        <f>P$90/VLOOKUP(P$6,Tabela11[#All],4,FALSE)*(6-12*0.065)</f>
        <v>746.742162162162</v>
      </c>
      <c r="Q99" s="128">
        <f>Q$90/VLOOKUP(Q$6,Tabela11[#All],4,FALSE)*(6-12*0.065)</f>
        <v>0</v>
      </c>
      <c r="R99" s="128">
        <f>R$90/VLOOKUP(R$6,Tabela11[#All],4,FALSE)*(6-12*0.065)</f>
        <v>0</v>
      </c>
      <c r="S99" s="128">
        <f>S$90/VLOOKUP(S$6,Tabela11[#All],4,FALSE)*(6-12*0.065)</f>
        <v>0</v>
      </c>
      <c r="T99" s="129">
        <f>T$90/VLOOKUP(T$6,Tabela11[#All],4,FALSE)*(6-12*0.065)</f>
        <v>0</v>
      </c>
      <c r="U99" s="125">
        <f>MAX(F99:H99)+MAX(I99:K99)+MAX(L99:N99)+MAX(O99:Q99)+MAX(R99:T99)</f>
        <v>1890.486486486486</v>
      </c>
    </row>
  </sheetData>
  <mergeCells count="21">
    <mergeCell ref="G32:T32"/>
    <mergeCell ref="G27:T27"/>
    <mergeCell ref="R5:T5"/>
    <mergeCell ref="F5:H5"/>
    <mergeCell ref="I5:K5"/>
    <mergeCell ref="L5:N5"/>
    <mergeCell ref="O5:Q5"/>
    <mergeCell ref="F37:H37"/>
    <mergeCell ref="I37:K37"/>
    <mergeCell ref="L37:N37"/>
    <mergeCell ref="O37:Q37"/>
    <mergeCell ref="R37:T37"/>
    <mergeCell ref="G91:T91"/>
    <mergeCell ref="G96:T96"/>
    <mergeCell ref="G59:T59"/>
    <mergeCell ref="G64:T64"/>
    <mergeCell ref="F69:H69"/>
    <mergeCell ref="I69:K69"/>
    <mergeCell ref="L69:N69"/>
    <mergeCell ref="O69:Q69"/>
    <mergeCell ref="R69:T6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V94"/>
  <sheetViews>
    <sheetView zoomScale="85" zoomScaleNormal="85" workbookViewId="0">
      <selection activeCell="R7" sqref="R7"/>
    </sheetView>
  </sheetViews>
  <sheetFormatPr defaultRowHeight="14.25"/>
  <cols>
    <col min="1" max="1" width="12.25" bestFit="1" customWidth="1"/>
    <col min="4" max="4" width="9.125" customWidth="1"/>
    <col min="5" max="5" width="8.625" customWidth="1"/>
    <col min="6" max="6" width="7.75" customWidth="1"/>
    <col min="7" max="7" width="0" hidden="1" customWidth="1"/>
    <col min="8" max="8" width="8.375" hidden="1" customWidth="1"/>
    <col min="9" max="9" width="12.75" customWidth="1"/>
    <col min="10" max="11" width="13.25" customWidth="1"/>
    <col min="12" max="13" width="9.875" customWidth="1"/>
    <col min="14" max="15" width="14.25" customWidth="1"/>
    <col min="16" max="16" width="12" customWidth="1"/>
    <col min="18" max="18" width="19.125" bestFit="1" customWidth="1"/>
    <col min="20" max="20" width="20.125" bestFit="1" customWidth="1"/>
  </cols>
  <sheetData>
    <row r="1" spans="1:22" ht="42.75">
      <c r="A1" s="67" t="s">
        <v>7</v>
      </c>
      <c r="B1" s="67" t="s">
        <v>5</v>
      </c>
      <c r="C1" s="67" t="s">
        <v>6</v>
      </c>
      <c r="D1" s="67" t="s">
        <v>23</v>
      </c>
      <c r="E1" s="67" t="s">
        <v>15</v>
      </c>
      <c r="F1" s="67" t="s">
        <v>19</v>
      </c>
      <c r="G1" s="67" t="s">
        <v>10</v>
      </c>
      <c r="H1" s="67" t="s">
        <v>20</v>
      </c>
      <c r="I1" s="67" t="s">
        <v>176</v>
      </c>
      <c r="J1" s="67" t="s">
        <v>22</v>
      </c>
      <c r="K1" s="67" t="s">
        <v>55</v>
      </c>
      <c r="L1" s="67" t="s">
        <v>54</v>
      </c>
      <c r="M1" s="67" t="s">
        <v>180</v>
      </c>
      <c r="N1" s="67" t="s">
        <v>177</v>
      </c>
      <c r="O1" s="67" t="s">
        <v>182</v>
      </c>
      <c r="P1" s="67" t="s">
        <v>24</v>
      </c>
      <c r="Q1" s="67" t="s">
        <v>245</v>
      </c>
      <c r="R1" s="67" t="s">
        <v>257</v>
      </c>
      <c r="S1" s="67" t="s">
        <v>130</v>
      </c>
      <c r="T1" s="67" t="s">
        <v>129</v>
      </c>
      <c r="U1" t="s">
        <v>132</v>
      </c>
      <c r="V1" t="s">
        <v>133</v>
      </c>
    </row>
    <row r="2" spans="1:22">
      <c r="A2" t="s">
        <v>60</v>
      </c>
      <c r="B2" t="s">
        <v>30</v>
      </c>
      <c r="C2">
        <v>11</v>
      </c>
      <c r="D2" s="10">
        <v>4</v>
      </c>
      <c r="E2" s="10">
        <v>1394</v>
      </c>
      <c r="F2" s="10">
        <v>13</v>
      </c>
      <c r="G2" s="10"/>
      <c r="H2" s="10"/>
      <c r="I2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4948.25</v>
      </c>
      <c r="J2" s="19">
        <f>AVERAGEIFS(DropAnalityka[Energy Drop],DropAnalityka[Location],LocFeatures[[#This Row],[Location]],DropAnalityka[LVL],LocFeatures[[#This Row],[LVL]],DropAnalityka[Stage],LocFeatures[[#This Row],[Stage]])</f>
        <v>0.78125</v>
      </c>
      <c r="K2" s="10">
        <f>4*LocFeatures[[#This Row],[XP Gain per member]]</f>
        <v>5576</v>
      </c>
      <c r="L2">
        <f>3*LocFeatures[[#This Row],[XP Gain per member]]</f>
        <v>4182</v>
      </c>
      <c r="M2" s="50">
        <f>AVERAGEIFS(DropAnalityka[Exp Gain],DropAnalityka[Location],LocFeatures[[#This Row],[Location]],DropAnalityka[LVL],LocFeatures[[#This Row],[LVL]],DropAnalityka[Stage],LocFeatures[[#This Row],[Stage]])</f>
        <v>1519.4375</v>
      </c>
      <c r="N2" s="50">
        <f>LocFeatures[[#This Row],[Drop worth gain]]/(LocFeatures[[#This Row],[E. Cost]]-LocFeatures[[#This Row],[Energy gain]])</f>
        <v>1537.3203883495146</v>
      </c>
      <c r="O2" s="50">
        <f>LocFeatures[[#This Row],[XP Train Gain]]/(LocFeatures[[#This Row],[E. Cost]]-LocFeatures[[#This Row],[Energy gain]])</f>
        <v>1299.2621359223301</v>
      </c>
      <c r="P2" s="50">
        <f>(LocFeatures[[#This Row],[XP Train Gain]]+LocFeatures[[#This Row],[XP drop]])/(LocFeatures[[#This Row],[E. Cost]]-LocFeatures[[#This Row],[Energy gain]])</f>
        <v>1771.3203883495146</v>
      </c>
      <c r="Q2" s="47">
        <f>COUNTIFS(DropAnalityka[Location],LocFeatures[[#This Row],[Location]],DropAnalityka[LVL],LocFeatures[[#This Row],[LVL]],DropAnalityka[Stage],LocFeatures[[#This Row],[Stage]])</f>
        <v>32</v>
      </c>
      <c r="R2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4821.8645954692556</v>
      </c>
    </row>
    <row r="3" spans="1:22">
      <c r="A3" s="10" t="s">
        <v>60</v>
      </c>
      <c r="B3" s="10" t="s">
        <v>9</v>
      </c>
      <c r="C3" s="10">
        <v>1</v>
      </c>
      <c r="D3" s="10">
        <v>3</v>
      </c>
      <c r="E3" s="10">
        <v>799</v>
      </c>
      <c r="F3" s="10">
        <v>13</v>
      </c>
      <c r="G3" s="10"/>
      <c r="H3" s="10"/>
      <c r="I3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3789.9479166666665</v>
      </c>
      <c r="J3" s="19">
        <f>AVERAGEIFS(DropAnalityka[Energy Drop],DropAnalityka[Location],LocFeatures[[#This Row],[Location]],DropAnalityka[LVL],LocFeatures[[#This Row],[LVL]],DropAnalityka[Stage],LocFeatures[[#This Row],[Stage]])</f>
        <v>0.88541666666666663</v>
      </c>
      <c r="K3" s="10">
        <f>4*LocFeatures[[#This Row],[XP Gain per member]]</f>
        <v>3196</v>
      </c>
      <c r="L3">
        <f>3*LocFeatures[[#This Row],[XP Gain per member]]</f>
        <v>2397</v>
      </c>
      <c r="M3" s="50">
        <f>AVERAGEIFS(DropAnalityka[Exp Gain],DropAnalityka[Location],LocFeatures[[#This Row],[Location]],DropAnalityka[LVL],LocFeatures[[#This Row],[LVL]],DropAnalityka[Stage],LocFeatures[[#This Row],[Stage]])</f>
        <v>175</v>
      </c>
      <c r="N3" s="50">
        <f>LocFeatures[[#This Row],[Drop worth gain]]/(LocFeatures[[#This Row],[E. Cost]]-LocFeatures[[#This Row],[Energy gain]])</f>
        <v>1792.2906403940885</v>
      </c>
      <c r="O3" s="50">
        <f>LocFeatures[[#This Row],[XP Train Gain]]/(LocFeatures[[#This Row],[E. Cost]]-LocFeatures[[#This Row],[Energy gain]])</f>
        <v>1133.5566502463053</v>
      </c>
      <c r="P3" s="50">
        <f>(LocFeatures[[#This Row],[XP Train Gain]]+LocFeatures[[#This Row],[XP drop]])/(LocFeatures[[#This Row],[E. Cost]]-LocFeatures[[#This Row],[Energy gain]])</f>
        <v>1216.3152709359606</v>
      </c>
      <c r="Q3" s="47">
        <f>COUNTIFS(DropAnalityka[Location],LocFeatures[[#This Row],[Location]],DropAnalityka[LVL],LocFeatures[[#This Row],[LVL]],DropAnalityka[Stage],LocFeatures[[#This Row],[Stage]])</f>
        <v>96</v>
      </c>
      <c r="R3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4790.3990147783243</v>
      </c>
      <c r="T3" s="10"/>
      <c r="U3" s="10"/>
      <c r="V3" s="10"/>
    </row>
    <row r="4" spans="1:22" s="10" customFormat="1">
      <c r="A4" s="10" t="s">
        <v>60</v>
      </c>
      <c r="B4" s="10" t="s">
        <v>9</v>
      </c>
      <c r="C4" s="10">
        <v>2</v>
      </c>
      <c r="D4" s="10">
        <v>3</v>
      </c>
      <c r="E4" s="10">
        <v>804</v>
      </c>
      <c r="F4" s="10">
        <v>13</v>
      </c>
      <c r="I4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3392</v>
      </c>
      <c r="J4" s="19">
        <f>AVERAGEIFS(DropAnalityka[Energy Drop],DropAnalityka[Location],LocFeatures[[#This Row],[Location]],DropAnalityka[LVL],LocFeatures[[#This Row],[LVL]],DropAnalityka[Stage],LocFeatures[[#This Row],[Stage]])</f>
        <v>0</v>
      </c>
      <c r="K4" s="10">
        <f>4*LocFeatures[[#This Row],[XP Gain per member]]</f>
        <v>3216</v>
      </c>
      <c r="L4">
        <f>3*LocFeatures[[#This Row],[XP Gain per member]]</f>
        <v>2412</v>
      </c>
      <c r="M4" s="50">
        <f>AVERAGEIFS(DropAnalityka[Exp Gain],DropAnalityka[Location],LocFeatures[[#This Row],[Location]],DropAnalityka[LVL],LocFeatures[[#This Row],[LVL]],DropAnalityka[Stage],LocFeatures[[#This Row],[Stage]])</f>
        <v>0</v>
      </c>
      <c r="N4" s="50">
        <f>LocFeatures[[#This Row],[Drop worth gain]]/(LocFeatures[[#This Row],[E. Cost]]-LocFeatures[[#This Row],[Energy gain]])</f>
        <v>1130.6666666666667</v>
      </c>
      <c r="O4" s="50">
        <f>LocFeatures[[#This Row],[XP Train Gain]]/(LocFeatures[[#This Row],[E. Cost]]-LocFeatures[[#This Row],[Energy gain]])</f>
        <v>804</v>
      </c>
      <c r="P4" s="50">
        <f>(LocFeatures[[#This Row],[XP Train Gain]]+LocFeatures[[#This Row],[XP drop]])/(LocFeatures[[#This Row],[E. Cost]]-LocFeatures[[#This Row],[Energy gain]])</f>
        <v>804</v>
      </c>
      <c r="Q4" s="47">
        <f>COUNTIFS(DropAnalityka[Location],LocFeatures[[#This Row],[Location]],DropAnalityka[LVL],LocFeatures[[#This Row],[LVL]],DropAnalityka[Stage],LocFeatures[[#This Row],[Stage]])</f>
        <v>1</v>
      </c>
      <c r="R4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4648.2666666666664</v>
      </c>
      <c r="S4"/>
    </row>
    <row r="5" spans="1:22" s="10" customFormat="1">
      <c r="A5" s="10" t="s">
        <v>60</v>
      </c>
      <c r="B5" s="10" t="s">
        <v>9</v>
      </c>
      <c r="C5" s="10">
        <v>3</v>
      </c>
      <c r="D5" s="10">
        <v>3</v>
      </c>
      <c r="E5" s="10">
        <v>804</v>
      </c>
      <c r="I5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2964</v>
      </c>
      <c r="J5" s="19">
        <f>AVERAGEIFS(DropAnalityka[Energy Drop],DropAnalityka[Location],LocFeatures[[#This Row],[Location]],DropAnalityka[LVL],LocFeatures[[#This Row],[LVL]],DropAnalityka[Stage],LocFeatures[[#This Row],[Stage]])</f>
        <v>0</v>
      </c>
      <c r="K5" s="10">
        <f>4*LocFeatures[[#This Row],[XP Gain per member]]</f>
        <v>3216</v>
      </c>
      <c r="L5">
        <f>3*LocFeatures[[#This Row],[XP Gain per member]]</f>
        <v>2412</v>
      </c>
      <c r="M5" s="50">
        <f>AVERAGEIFS(DropAnalityka[Exp Gain],DropAnalityka[Location],LocFeatures[[#This Row],[Location]],DropAnalityka[LVL],LocFeatures[[#This Row],[LVL]],DropAnalityka[Stage],LocFeatures[[#This Row],[Stage]])</f>
        <v>0</v>
      </c>
      <c r="N5" s="50">
        <f>LocFeatures[[#This Row],[Drop worth gain]]/(LocFeatures[[#This Row],[E. Cost]]-LocFeatures[[#This Row],[Energy gain]])</f>
        <v>988</v>
      </c>
      <c r="O5" s="50">
        <f>LocFeatures[[#This Row],[XP Train Gain]]/(LocFeatures[[#This Row],[E. Cost]]-LocFeatures[[#This Row],[Energy gain]])</f>
        <v>804</v>
      </c>
      <c r="P5" s="50">
        <f>(LocFeatures[[#This Row],[XP Train Gain]]+LocFeatures[[#This Row],[XP drop]])/(LocFeatures[[#This Row],[E. Cost]]-LocFeatures[[#This Row],[Energy gain]])</f>
        <v>804</v>
      </c>
      <c r="Q5" s="47">
        <f>COUNTIFS(DropAnalityka[Location],LocFeatures[[#This Row],[Location]],DropAnalityka[LVL],LocFeatures[[#This Row],[LVL]],DropAnalityka[Stage],LocFeatures[[#This Row],[Stage]])</f>
        <v>2</v>
      </c>
      <c r="R5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4163.2</v>
      </c>
      <c r="S5"/>
    </row>
    <row r="6" spans="1:22" s="10" customFormat="1">
      <c r="A6" t="s">
        <v>178</v>
      </c>
      <c r="B6" t="s">
        <v>9</v>
      </c>
      <c r="C6">
        <v>8</v>
      </c>
      <c r="D6">
        <v>8</v>
      </c>
      <c r="I6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12029.388888888889</v>
      </c>
      <c r="J6" s="19">
        <f>AVERAGEIFS(DropAnalityka[Energy Drop],DropAnalityka[Location],LocFeatures[[#This Row],[Location]],DropAnalityka[LVL],LocFeatures[[#This Row],[LVL]],DropAnalityka[Stage],LocFeatures[[#This Row],[Stage]])</f>
        <v>0.88888888888888884</v>
      </c>
      <c r="K6" s="10">
        <f>5*LocFeatures[[#This Row],[XP Gain per member]]</f>
        <v>0</v>
      </c>
      <c r="L6">
        <f>3*LocFeatures[[#This Row],[XP Gain per member]]</f>
        <v>0</v>
      </c>
      <c r="M6" s="50">
        <f>AVERAGEIFS(DropAnalityka[Exp Gain],DropAnalityka[Location],LocFeatures[[#This Row],[Location]],DropAnalityka[LVL],LocFeatures[[#This Row],[LVL]],DropAnalityka[Stage],LocFeatures[[#This Row],[Stage]])</f>
        <v>3190.1111111111113</v>
      </c>
      <c r="N6" s="50">
        <f>LocFeatures[[#This Row],[Drop worth gain]]/(LocFeatures[[#This Row],[E. Cost]]-LocFeatures[[#This Row],[Energy gain]])</f>
        <v>1691.6328125</v>
      </c>
      <c r="O6" s="50">
        <f>LocFeatures[[#This Row],[XP Train Gain]]/(LocFeatures[[#This Row],[E. Cost]]-LocFeatures[[#This Row],[Energy gain]])</f>
        <v>0</v>
      </c>
      <c r="P6" s="50">
        <f>(LocFeatures[[#This Row],[XP Train Gain]]+LocFeatures[[#This Row],[XP drop]])/(LocFeatures[[#This Row],[E. Cost]]-LocFeatures[[#This Row],[Energy gain]])</f>
        <v>448.60937500000006</v>
      </c>
      <c r="Q6" s="47">
        <f>COUNTIFS(DropAnalityka[Location],LocFeatures[[#This Row],[Location]],DropAnalityka[LVL],LocFeatures[[#This Row],[LVL]],DropAnalityka[Stage],LocFeatures[[#This Row],[Stage]])</f>
        <v>18</v>
      </c>
      <c r="R6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4138.1140624999998</v>
      </c>
      <c r="S6"/>
      <c r="T6"/>
      <c r="U6"/>
      <c r="V6"/>
    </row>
    <row r="7" spans="1:22" s="10" customFormat="1">
      <c r="A7" t="s">
        <v>178</v>
      </c>
      <c r="B7" t="s">
        <v>9</v>
      </c>
      <c r="C7">
        <v>9</v>
      </c>
      <c r="D7">
        <v>8</v>
      </c>
      <c r="I7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12550.254545454545</v>
      </c>
      <c r="J7" s="19">
        <f>AVERAGEIFS(DropAnalityka[Energy Drop],DropAnalityka[Location],LocFeatures[[#This Row],[Location]],DropAnalityka[LVL],LocFeatures[[#This Row],[LVL]],DropAnalityka[Stage],LocFeatures[[#This Row],[Stage]])</f>
        <v>1</v>
      </c>
      <c r="K7" s="10">
        <f>5*LocFeatures[[#This Row],[XP Gain per member]]</f>
        <v>0</v>
      </c>
      <c r="L7">
        <f>3*LocFeatures[[#This Row],[XP Gain per member]]</f>
        <v>0</v>
      </c>
      <c r="M7" s="50">
        <f>AVERAGEIFS(DropAnalityka[Exp Gain],DropAnalityka[Location],LocFeatures[[#This Row],[Location]],DropAnalityka[LVL],LocFeatures[[#This Row],[LVL]],DropAnalityka[Stage],LocFeatures[[#This Row],[Stage]])</f>
        <v>2158.7390909090909</v>
      </c>
      <c r="N7" s="50">
        <f>LocFeatures[[#This Row],[Drop worth gain]]/(LocFeatures[[#This Row],[E. Cost]]-LocFeatures[[#This Row],[Energy gain]])</f>
        <v>1792.8935064935065</v>
      </c>
      <c r="O7" s="50">
        <f>LocFeatures[[#This Row],[XP Train Gain]]/(LocFeatures[[#This Row],[E. Cost]]-LocFeatures[[#This Row],[Energy gain]])</f>
        <v>0</v>
      </c>
      <c r="P7" s="50">
        <f>(LocFeatures[[#This Row],[XP Train Gain]]+LocFeatures[[#This Row],[XP drop]])/(LocFeatures[[#This Row],[E. Cost]]-LocFeatures[[#This Row],[Energy gain]])</f>
        <v>308.39129870129869</v>
      </c>
      <c r="Q7" s="47">
        <f>COUNTIFS(DropAnalityka[Location],LocFeatures[[#This Row],[Location]],DropAnalityka[LVL],LocFeatures[[#This Row],[LVL]],DropAnalityka[Stage],LocFeatures[[#This Row],[Stage]])</f>
        <v>110</v>
      </c>
      <c r="R7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4889.6106493506495</v>
      </c>
      <c r="S7"/>
      <c r="T7"/>
      <c r="U7"/>
      <c r="V7"/>
    </row>
    <row r="8" spans="1:22" s="10" customFormat="1">
      <c r="A8" t="s">
        <v>178</v>
      </c>
      <c r="B8" t="s">
        <v>9</v>
      </c>
      <c r="C8">
        <v>10</v>
      </c>
      <c r="D8">
        <v>8</v>
      </c>
      <c r="I8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13626.34090909091</v>
      </c>
      <c r="J8" s="19">
        <f>AVERAGEIFS(DropAnalityka[Energy Drop],DropAnalityka[Location],LocFeatures[[#This Row],[Location]],DropAnalityka[LVL],LocFeatures[[#This Row],[LVL]],DropAnalityka[Stage],LocFeatures[[#This Row],[Stage]])</f>
        <v>1.2272727272727273</v>
      </c>
      <c r="K8" s="10">
        <f>5*LocFeatures[[#This Row],[XP Gain per member]]</f>
        <v>0</v>
      </c>
      <c r="L8">
        <f>3*LocFeatures[[#This Row],[XP Gain per member]]</f>
        <v>0</v>
      </c>
      <c r="M8" s="50">
        <f>AVERAGEIFS(DropAnalityka[Exp Gain],DropAnalityka[Location],LocFeatures[[#This Row],[Location]],DropAnalityka[LVL],LocFeatures[[#This Row],[LVL]],DropAnalityka[Stage],LocFeatures[[#This Row],[Stage]])</f>
        <v>3059.4840909090908</v>
      </c>
      <c r="N8" s="50">
        <f>LocFeatures[[#This Row],[Drop worth gain]]/(LocFeatures[[#This Row],[E. Cost]]-LocFeatures[[#This Row],[Energy gain]])</f>
        <v>2011.9429530201344</v>
      </c>
      <c r="O8" s="50">
        <f>LocFeatures[[#This Row],[XP Train Gain]]/(LocFeatures[[#This Row],[E. Cost]]-LocFeatures[[#This Row],[Energy gain]])</f>
        <v>0</v>
      </c>
      <c r="P8" s="50">
        <f>(LocFeatures[[#This Row],[XP Train Gain]]+LocFeatures[[#This Row],[XP drop]])/(LocFeatures[[#This Row],[E. Cost]]-LocFeatures[[#This Row],[Energy gain]])</f>
        <v>451.73590604026845</v>
      </c>
      <c r="Q8" s="47">
        <f>COUNTIFS(DropAnalityka[Location],LocFeatures[[#This Row],[Location]],DropAnalityka[LVL],LocFeatures[[#This Row],[LVL]],DropAnalityka[Stage],LocFeatures[[#This Row],[Stage]])</f>
        <v>22</v>
      </c>
      <c r="R8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4876.1932885906044</v>
      </c>
      <c r="S8"/>
      <c r="T8"/>
      <c r="U8"/>
      <c r="V8"/>
    </row>
    <row r="9" spans="1:22" s="10" customFormat="1">
      <c r="A9" s="10" t="s">
        <v>31</v>
      </c>
      <c r="B9" s="10" t="s">
        <v>30</v>
      </c>
      <c r="C9" s="10">
        <v>1</v>
      </c>
      <c r="D9" s="10">
        <v>4</v>
      </c>
      <c r="E9" s="10">
        <v>1276</v>
      </c>
      <c r="I9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5674.2093023255811</v>
      </c>
      <c r="J9" s="19">
        <f>AVERAGEIFS(DropAnalityka[Energy Drop],DropAnalityka[Location],LocFeatures[[#This Row],[Location]],DropAnalityka[LVL],LocFeatures[[#This Row],[LVL]],DropAnalityka[Stage],LocFeatures[[#This Row],[Stage]])</f>
        <v>0.79069767441860461</v>
      </c>
      <c r="K9" s="10">
        <f>4*LocFeatures[[#This Row],[XP Gain per member]]</f>
        <v>5104</v>
      </c>
      <c r="L9">
        <f>3*LocFeatures[[#This Row],[XP Gain per member]]</f>
        <v>3828</v>
      </c>
      <c r="M9" s="50">
        <f>AVERAGEIFS(DropAnalityka[Exp Gain],DropAnalityka[Location],LocFeatures[[#This Row],[Location]],DropAnalityka[LVL],LocFeatures[[#This Row],[LVL]],DropAnalityka[Stage],LocFeatures[[#This Row],[Stage]])</f>
        <v>1889.3953488372092</v>
      </c>
      <c r="N9" s="50">
        <f>LocFeatures[[#This Row],[Drop worth gain]]/(LocFeatures[[#This Row],[E. Cost]]-LocFeatures[[#This Row],[Energy gain]])</f>
        <v>1768.050724637681</v>
      </c>
      <c r="O9" s="50">
        <f>LocFeatures[[#This Row],[XP Train Gain]]/(LocFeatures[[#This Row],[E. Cost]]-LocFeatures[[#This Row],[Energy gain]])</f>
        <v>1192.7826086956522</v>
      </c>
      <c r="P9" s="50">
        <f>(LocFeatures[[#This Row],[XP Train Gain]]+LocFeatures[[#This Row],[XP drop]])/(LocFeatures[[#This Row],[E. Cost]]-LocFeatures[[#This Row],[Energy gain]])</f>
        <v>1781.5072463768115</v>
      </c>
      <c r="Q9" s="47">
        <f>COUNTIFS(DropAnalityka[Location],LocFeatures[[#This Row],[Location]],DropAnalityka[LVL],LocFeatures[[#This Row],[LVL]],DropAnalityka[Stage],LocFeatures[[#This Row],[Stage]])</f>
        <v>43</v>
      </c>
      <c r="R9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4629.5173913043482</v>
      </c>
      <c r="S9"/>
    </row>
    <row r="10" spans="1:22" s="10" customFormat="1">
      <c r="A10" s="10" t="s">
        <v>31</v>
      </c>
      <c r="B10" s="10" t="s">
        <v>30</v>
      </c>
      <c r="C10" s="10">
        <v>11</v>
      </c>
      <c r="D10" s="10">
        <v>4</v>
      </c>
      <c r="E10" s="10">
        <v>1276</v>
      </c>
      <c r="I10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4964.7241379310344</v>
      </c>
      <c r="J10" s="19">
        <f>AVERAGEIFS(DropAnalityka[Energy Drop],DropAnalityka[Location],LocFeatures[[#This Row],[Location]],DropAnalityka[LVL],LocFeatures[[#This Row],[LVL]],DropAnalityka[Stage],LocFeatures[[#This Row],[Stage]])</f>
        <v>0.94252873563218387</v>
      </c>
      <c r="K10" s="10">
        <f>4*LocFeatures[[#This Row],[XP Gain per member]]</f>
        <v>5104</v>
      </c>
      <c r="L10">
        <f>3*LocFeatures[[#This Row],[XP Gain per member]]</f>
        <v>3828</v>
      </c>
      <c r="M10" s="50">
        <f>AVERAGEIFS(DropAnalityka[Exp Gain],DropAnalityka[Location],LocFeatures[[#This Row],[Location]],DropAnalityka[LVL],LocFeatures[[#This Row],[LVL]],DropAnalityka[Stage],LocFeatures[[#This Row],[Stage]])</f>
        <v>742.78160919540232</v>
      </c>
      <c r="N10" s="50">
        <f>LocFeatures[[#This Row],[Drop worth gain]]/(LocFeatures[[#This Row],[E. Cost]]-LocFeatures[[#This Row],[Energy gain]])</f>
        <v>1623.8007518796992</v>
      </c>
      <c r="O10" s="50">
        <f>LocFeatures[[#This Row],[XP Train Gain]]/(LocFeatures[[#This Row],[E. Cost]]-LocFeatures[[#This Row],[Energy gain]])</f>
        <v>1252.015037593985</v>
      </c>
      <c r="P10" s="50">
        <f>(LocFeatures[[#This Row],[XP Train Gain]]+LocFeatures[[#This Row],[XP drop]])/(LocFeatures[[#This Row],[E. Cost]]-LocFeatures[[#This Row],[Energy gain]])</f>
        <v>1494.9548872180453</v>
      </c>
      <c r="Q10" s="43">
        <f>COUNTIFS(DropAnalityka[Location],LocFeatures[[#This Row],[Location]],DropAnalityka[LVL],LocFeatures[[#This Row],[LVL]],DropAnalityka[Stage],LocFeatures[[#This Row],[Stage]])</f>
        <v>87</v>
      </c>
      <c r="R10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4676.6969924812029</v>
      </c>
      <c r="S10">
        <v>58</v>
      </c>
      <c r="T10" s="10" t="s">
        <v>246</v>
      </c>
      <c r="U10"/>
      <c r="V10"/>
    </row>
    <row r="11" spans="1:22" s="10" customFormat="1">
      <c r="A11" s="10" t="s">
        <v>31</v>
      </c>
      <c r="B11" s="10" t="s">
        <v>9</v>
      </c>
      <c r="C11" s="10">
        <v>1</v>
      </c>
      <c r="D11" s="10">
        <v>3</v>
      </c>
      <c r="E11" s="10">
        <v>756</v>
      </c>
      <c r="F11" s="10">
        <v>13</v>
      </c>
      <c r="G11" s="10" t="s">
        <v>18</v>
      </c>
      <c r="I11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3224.358024691358</v>
      </c>
      <c r="J11" s="19">
        <f>AVERAGEIFS(DropAnalityka[Energy Drop],DropAnalityka[Location],LocFeatures[[#This Row],[Location]],DropAnalityka[LVL],LocFeatures[[#This Row],[LVL]],DropAnalityka[Stage],LocFeatures[[#This Row],[Stage]])</f>
        <v>0.87654320987654322</v>
      </c>
      <c r="K11" s="10">
        <f>4*LocFeatures[[#This Row],[XP Gain per member]]</f>
        <v>3024</v>
      </c>
      <c r="L11">
        <f>3*LocFeatures[[#This Row],[XP Gain per member]]</f>
        <v>2268</v>
      </c>
      <c r="M11" s="50">
        <f>AVERAGEIFS(DropAnalityka[Exp Gain],DropAnalityka[Location],LocFeatures[[#This Row],[Location]],DropAnalityka[LVL],LocFeatures[[#This Row],[LVL]],DropAnalityka[Stage],LocFeatures[[#This Row],[Stage]])</f>
        <v>227.16049382716051</v>
      </c>
      <c r="N11" s="50">
        <f>LocFeatures[[#This Row],[Drop worth gain]]/(LocFeatures[[#This Row],[E. Cost]]-LocFeatures[[#This Row],[Energy gain]])</f>
        <v>1518.4476744186045</v>
      </c>
      <c r="O11" s="50">
        <f>LocFeatures[[#This Row],[XP Train Gain]]/(LocFeatures[[#This Row],[E. Cost]]-LocFeatures[[#This Row],[Energy gain]])</f>
        <v>1068.0697674418604</v>
      </c>
      <c r="P11" s="50">
        <f>(LocFeatures[[#This Row],[XP Train Gain]]+LocFeatures[[#This Row],[XP drop]])/(LocFeatures[[#This Row],[E. Cost]]-LocFeatures[[#This Row],[Energy gain]])</f>
        <v>1175.0465116279067</v>
      </c>
      <c r="Q11" s="47">
        <f>COUNTIFS(DropAnalityka[Location],LocFeatures[[#This Row],[Location]],DropAnalityka[LVL],LocFeatures[[#This Row],[LVL]],DropAnalityka[Stage],LocFeatures[[#This Row],[Stage]])</f>
        <v>81</v>
      </c>
      <c r="R11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4639.5127906976741</v>
      </c>
      <c r="S11"/>
    </row>
    <row r="12" spans="1:22">
      <c r="A12" s="10" t="s">
        <v>172</v>
      </c>
      <c r="B12" s="10" t="s">
        <v>9</v>
      </c>
      <c r="C12" s="10">
        <v>7</v>
      </c>
      <c r="D12" s="10">
        <v>6</v>
      </c>
      <c r="E12" s="10"/>
      <c r="F12" s="10"/>
      <c r="G12" s="10"/>
      <c r="H12" s="10"/>
      <c r="I12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8235.7000000000007</v>
      </c>
      <c r="J12" s="19">
        <f>AVERAGEIFS(DropAnalityka[Energy Drop],DropAnalityka[Location],LocFeatures[[#This Row],[Location]],DropAnalityka[LVL],LocFeatures[[#This Row],[LVL]],DropAnalityka[Stage],LocFeatures[[#This Row],[Stage]])</f>
        <v>1.1000000000000001</v>
      </c>
      <c r="K12" s="10">
        <f>5*LocFeatures[[#This Row],[XP Gain per member]]</f>
        <v>0</v>
      </c>
      <c r="L12">
        <f>3*LocFeatures[[#This Row],[XP Gain per member]]</f>
        <v>0</v>
      </c>
      <c r="M12" s="50">
        <f>AVERAGEIFS(DropAnalityka[Exp Gain],DropAnalityka[Location],LocFeatures[[#This Row],[Location]],DropAnalityka[LVL],LocFeatures[[#This Row],[LVL]],DropAnalityka[Stage],LocFeatures[[#This Row],[Stage]])</f>
        <v>1664.2620000000002</v>
      </c>
      <c r="N12" s="50">
        <f>LocFeatures[[#This Row],[Drop worth gain]]/(LocFeatures[[#This Row],[E. Cost]]-LocFeatures[[#This Row],[Energy gain]])</f>
        <v>1680.7551020408164</v>
      </c>
      <c r="O12" s="50">
        <f>LocFeatures[[#This Row],[XP Train Gain]]/(LocFeatures[[#This Row],[E. Cost]]-LocFeatures[[#This Row],[Energy gain]])</f>
        <v>0</v>
      </c>
      <c r="P12" s="50">
        <f>(LocFeatures[[#This Row],[XP Train Gain]]+LocFeatures[[#This Row],[XP drop]])/(LocFeatures[[#This Row],[E. Cost]]-LocFeatures[[#This Row],[Energy gain]])</f>
        <v>339.64530612244897</v>
      </c>
      <c r="Q12" s="47">
        <f>COUNTIFS(DropAnalityka[Location],LocFeatures[[#This Row],[Location]],DropAnalityka[LVL],LocFeatures[[#This Row],[LVL]],DropAnalityka[Stage],LocFeatures[[#This Row],[Stage]])</f>
        <v>50</v>
      </c>
      <c r="R12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3948.9959183673463</v>
      </c>
    </row>
    <row r="13" spans="1:22">
      <c r="A13" s="10" t="s">
        <v>172</v>
      </c>
      <c r="B13" s="10" t="s">
        <v>9</v>
      </c>
      <c r="C13" s="10">
        <v>8</v>
      </c>
      <c r="D13" s="10">
        <v>7</v>
      </c>
      <c r="I13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8899.864864864865</v>
      </c>
      <c r="J13" s="19">
        <f>AVERAGEIFS(DropAnalityka[Energy Drop],DropAnalityka[Location],LocFeatures[[#This Row],[Location]],DropAnalityka[LVL],LocFeatures[[#This Row],[LVL]],DropAnalityka[Stage],LocFeatures[[#This Row],[Stage]])</f>
        <v>0.89189189189189189</v>
      </c>
      <c r="K13">
        <f>4*LocFeatures[[#This Row],[XP Gain per member]]</f>
        <v>0</v>
      </c>
      <c r="L13">
        <f>3*LocFeatures[[#This Row],[XP Gain per member]]</f>
        <v>0</v>
      </c>
      <c r="M13" s="50">
        <f>AVERAGEIFS(DropAnalityka[Exp Gain],DropAnalityka[Location],LocFeatures[[#This Row],[Location]],DropAnalityka[LVL],LocFeatures[[#This Row],[LVL]],DropAnalityka[Stage],LocFeatures[[#This Row],[Stage]])</f>
        <v>821.62162162162167</v>
      </c>
      <c r="N13" s="50">
        <f>LocFeatures[[#This Row],[Drop worth gain]]/(LocFeatures[[#This Row],[E. Cost]]-LocFeatures[[#This Row],[Energy gain]])</f>
        <v>1457.0575221238939</v>
      </c>
      <c r="O13" s="50">
        <f>LocFeatures[[#This Row],[XP Train Gain]]/(LocFeatures[[#This Row],[E. Cost]]-LocFeatures[[#This Row],[Energy gain]])</f>
        <v>0</v>
      </c>
      <c r="P13" s="50">
        <f>(LocFeatures[[#This Row],[XP Train Gain]]+LocFeatures[[#This Row],[XP drop]])/(LocFeatures[[#This Row],[E. Cost]]-LocFeatures[[#This Row],[Energy gain]])</f>
        <v>134.51327433628319</v>
      </c>
      <c r="Q13" s="43">
        <f>COUNTIFS(DropAnalityka[Location],LocFeatures[[#This Row],[Location]],DropAnalityka[LVL],LocFeatures[[#This Row],[LVL]],DropAnalityka[Stage],LocFeatures[[#This Row],[Stage]])</f>
        <v>37</v>
      </c>
      <c r="R13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3810.6327433628321</v>
      </c>
    </row>
    <row r="14" spans="1:22">
      <c r="A14" s="10" t="s">
        <v>172</v>
      </c>
      <c r="B14" s="10" t="s">
        <v>9</v>
      </c>
      <c r="C14" s="10">
        <v>10</v>
      </c>
      <c r="D14" s="10">
        <v>8</v>
      </c>
      <c r="E14" s="10"/>
      <c r="F14" s="10"/>
      <c r="G14" s="10"/>
      <c r="H14" s="10"/>
      <c r="I14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12889.106951871658</v>
      </c>
      <c r="J14" s="19">
        <f>AVERAGEIFS(DropAnalityka[Energy Drop],DropAnalityka[Location],LocFeatures[[#This Row],[Location]],DropAnalityka[LVL],LocFeatures[[#This Row],[LVL]],DropAnalityka[Stage],LocFeatures[[#This Row],[Stage]])</f>
        <v>0.94117647058823528</v>
      </c>
      <c r="K14" s="10">
        <f>5*LocFeatures[[#This Row],[XP Gain per member]]</f>
        <v>0</v>
      </c>
      <c r="L14">
        <f>3*LocFeatures[[#This Row],[XP Gain per member]]</f>
        <v>0</v>
      </c>
      <c r="M14" s="50">
        <f>AVERAGEIFS(DropAnalityka[Exp Gain],DropAnalityka[Location],LocFeatures[[#This Row],[Location]],DropAnalityka[LVL],LocFeatures[[#This Row],[LVL]],DropAnalityka[Stage],LocFeatures[[#This Row],[Stage]])</f>
        <v>3498.2850267379681</v>
      </c>
      <c r="N14" s="50">
        <f>LocFeatures[[#This Row],[Drop worth gain]]/(LocFeatures[[#This Row],[E. Cost]]-LocFeatures[[#This Row],[Energy gain]])</f>
        <v>1825.9568181818183</v>
      </c>
      <c r="O14" s="50">
        <f>LocFeatures[[#This Row],[XP Train Gain]]/(LocFeatures[[#This Row],[E. Cost]]-LocFeatures[[#This Row],[Energy gain]])</f>
        <v>0</v>
      </c>
      <c r="P14" s="50">
        <f>(LocFeatures[[#This Row],[XP Train Gain]]+LocFeatures[[#This Row],[XP drop]])/(LocFeatures[[#This Row],[E. Cost]]-LocFeatures[[#This Row],[Energy gain]])</f>
        <v>495.59037878787882</v>
      </c>
      <c r="Q14" s="47">
        <f>COUNTIFS(DropAnalityka[Location],LocFeatures[[#This Row],[Location]],DropAnalityka[LVL],LocFeatures[[#This Row],[LVL]],DropAnalityka[Stage],LocFeatures[[#This Row],[Stage]])</f>
        <v>187</v>
      </c>
      <c r="R14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4550.3024242424235</v>
      </c>
    </row>
    <row r="15" spans="1:22">
      <c r="A15" s="10" t="s">
        <v>262</v>
      </c>
      <c r="B15" t="s">
        <v>9</v>
      </c>
      <c r="C15">
        <v>9</v>
      </c>
      <c r="D15">
        <v>7</v>
      </c>
      <c r="E15">
        <v>642</v>
      </c>
      <c r="F15">
        <v>12</v>
      </c>
      <c r="G15" t="s">
        <v>18</v>
      </c>
      <c r="H15" t="s">
        <v>21</v>
      </c>
      <c r="I15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3797.4814814814813</v>
      </c>
      <c r="J15" s="19">
        <f>AVERAGEIFS(DropAnalityka[Energy Drop],DropAnalityka[Location],LocFeatures[[#This Row],[Location]],DropAnalityka[LVL],LocFeatures[[#This Row],[LVL]],DropAnalityka[Stage],LocFeatures[[#This Row],[Stage]])</f>
        <v>0.62962962962962965</v>
      </c>
      <c r="K15">
        <f>5*LocFeatures[[#This Row],[XP Gain per member]]</f>
        <v>3210</v>
      </c>
      <c r="L15">
        <f>3*LocFeatures[[#This Row],[XP Gain per member]]</f>
        <v>1926</v>
      </c>
      <c r="M15" s="50">
        <f>AVERAGEIFS(DropAnalityka[Exp Gain],DropAnalityka[Location],LocFeatures[[#This Row],[Location]],DropAnalityka[LVL],LocFeatures[[#This Row],[LVL]],DropAnalityka[Stage],LocFeatures[[#This Row],[Stage]])</f>
        <v>2772</v>
      </c>
      <c r="N15" s="50">
        <f>LocFeatures[[#This Row],[Drop worth gain]]/(LocFeatures[[#This Row],[E. Cost]]-LocFeatures[[#This Row],[Energy gain]])</f>
        <v>596.11627906976742</v>
      </c>
      <c r="O15" s="50">
        <f>LocFeatures[[#This Row],[XP Train Gain]]/(LocFeatures[[#This Row],[E. Cost]]-LocFeatures[[#This Row],[Energy gain]])</f>
        <v>302.33720930232556</v>
      </c>
      <c r="P15" s="50">
        <f>(LocFeatures[[#This Row],[XP Train Gain]]+LocFeatures[[#This Row],[XP drop]])/(LocFeatures[[#This Row],[E. Cost]]-LocFeatures[[#This Row],[Energy gain]])</f>
        <v>737.47674418604652</v>
      </c>
      <c r="Q15" s="43">
        <f>COUNTIFS(DropAnalityka[Location],LocFeatures[[#This Row],[Location]],DropAnalityka[LVL],LocFeatures[[#This Row],[LVL]],DropAnalityka[Stage],LocFeatures[[#This Row],[Stage]])</f>
        <v>27</v>
      </c>
      <c r="R15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1716.3418604651163</v>
      </c>
    </row>
    <row r="16" spans="1:22">
      <c r="A16" s="10" t="s">
        <v>36</v>
      </c>
      <c r="B16" s="10" t="s">
        <v>9</v>
      </c>
      <c r="C16" s="10">
        <v>4</v>
      </c>
      <c r="D16" s="10">
        <v>5</v>
      </c>
      <c r="E16" s="10">
        <v>439</v>
      </c>
      <c r="F16" s="10">
        <v>10</v>
      </c>
      <c r="G16" s="10"/>
      <c r="H16" s="10"/>
      <c r="I16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4124.8571428571431</v>
      </c>
      <c r="J16" s="19">
        <f>AVERAGEIFS(DropAnalityka[Energy Drop],DropAnalityka[Location],LocFeatures[[#This Row],[Location]],DropAnalityka[LVL],LocFeatures[[#This Row],[LVL]],DropAnalityka[Stage],LocFeatures[[#This Row],[Stage]])</f>
        <v>0.7142857142857143</v>
      </c>
      <c r="K16" s="10">
        <f>5*LocFeatures[[#This Row],[XP Gain per member]]</f>
        <v>2195</v>
      </c>
      <c r="L16">
        <f>3*LocFeatures[[#This Row],[XP Gain per member]]</f>
        <v>1317</v>
      </c>
      <c r="M16" s="50">
        <f>AVERAGEIFS(DropAnalityka[Exp Gain],DropAnalityka[Location],LocFeatures[[#This Row],[Location]],DropAnalityka[LVL],LocFeatures[[#This Row],[LVL]],DropAnalityka[Stage],LocFeatures[[#This Row],[Stage]])</f>
        <v>1142.8571428571429</v>
      </c>
      <c r="N16" s="50">
        <f>LocFeatures[[#This Row],[Drop worth gain]]/(LocFeatures[[#This Row],[E. Cost]]-LocFeatures[[#This Row],[Energy gain]])</f>
        <v>962.46666666666681</v>
      </c>
      <c r="O16" s="50">
        <f>LocFeatures[[#This Row],[XP Train Gain]]/(LocFeatures[[#This Row],[E. Cost]]-LocFeatures[[#This Row],[Energy gain]])</f>
        <v>307.3</v>
      </c>
      <c r="P16" s="50">
        <f>(LocFeatures[[#This Row],[XP Train Gain]]+LocFeatures[[#This Row],[XP drop]])/(LocFeatures[[#This Row],[E. Cost]]-LocFeatures[[#This Row],[Energy gain]])</f>
        <v>573.9666666666667</v>
      </c>
      <c r="Q16" s="47">
        <f>COUNTIFS(DropAnalityka[Location],LocFeatures[[#This Row],[Location]],DropAnalityka[LVL],LocFeatures[[#This Row],[LVL]],DropAnalityka[Stage],LocFeatures[[#This Row],[Stage]])</f>
        <v>7</v>
      </c>
      <c r="R16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1313.02</v>
      </c>
      <c r="T16" s="10"/>
      <c r="U16" s="10"/>
      <c r="V16" s="10"/>
    </row>
    <row r="17" spans="1:22">
      <c r="A17" s="10" t="s">
        <v>36</v>
      </c>
      <c r="B17" s="10" t="s">
        <v>9</v>
      </c>
      <c r="C17" s="10">
        <v>5</v>
      </c>
      <c r="D17">
        <v>6</v>
      </c>
      <c r="E17">
        <v>642</v>
      </c>
      <c r="F17">
        <v>12</v>
      </c>
      <c r="G17" t="s">
        <v>18</v>
      </c>
      <c r="H17" t="s">
        <v>21</v>
      </c>
      <c r="I17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1404</v>
      </c>
      <c r="J17" s="19">
        <f>AVERAGEIFS(DropAnalityka[Energy Drop],DropAnalityka[Location],LocFeatures[[#This Row],[Location]],DropAnalityka[LVL],LocFeatures[[#This Row],[LVL]],DropAnalityka[Stage],LocFeatures[[#This Row],[Stage]])</f>
        <v>0.66666666666666663</v>
      </c>
      <c r="K17">
        <f>5*LocFeatures[[#This Row],[XP Gain per member]]</f>
        <v>3210</v>
      </c>
      <c r="L17">
        <f>3*LocFeatures[[#This Row],[XP Gain per member]]</f>
        <v>1926</v>
      </c>
      <c r="M17" s="50">
        <f>AVERAGEIFS(DropAnalityka[Exp Gain],DropAnalityka[Location],LocFeatures[[#This Row],[Location]],DropAnalityka[LVL],LocFeatures[[#This Row],[LVL]],DropAnalityka[Stage],LocFeatures[[#This Row],[Stage]])</f>
        <v>0</v>
      </c>
      <c r="N17" s="50">
        <f>LocFeatures[[#This Row],[Drop worth gain]]/(LocFeatures[[#This Row],[E. Cost]]-LocFeatures[[#This Row],[Energy gain]])</f>
        <v>263.25</v>
      </c>
      <c r="O17" s="50">
        <f>LocFeatures[[#This Row],[XP Train Gain]]/(LocFeatures[[#This Row],[E. Cost]]-LocFeatures[[#This Row],[Energy gain]])</f>
        <v>361.125</v>
      </c>
      <c r="P17" s="50">
        <f>(LocFeatures[[#This Row],[XP Train Gain]]+LocFeatures[[#This Row],[XP drop]])/(LocFeatures[[#This Row],[E. Cost]]-LocFeatures[[#This Row],[Energy gain]])</f>
        <v>361.125</v>
      </c>
      <c r="Q17" s="43">
        <f>COUNTIFS(DropAnalityka[Location],LocFeatures[[#This Row],[Location]],DropAnalityka[LVL],LocFeatures[[#This Row],[LVL]],DropAnalityka[Stage],LocFeatures[[#This Row],[Stage]])</f>
        <v>3</v>
      </c>
      <c r="R17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1256.175</v>
      </c>
    </row>
    <row r="18" spans="1:22">
      <c r="A18" s="10" t="s">
        <v>36</v>
      </c>
      <c r="B18" s="10" t="s">
        <v>9</v>
      </c>
      <c r="C18" s="10">
        <v>7</v>
      </c>
      <c r="D18" s="10">
        <v>6</v>
      </c>
      <c r="E18" s="10">
        <v>616</v>
      </c>
      <c r="F18" s="10"/>
      <c r="G18" s="10"/>
      <c r="H18" s="10"/>
      <c r="I18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3279.6290322580649</v>
      </c>
      <c r="J18" s="19">
        <f>AVERAGEIFS(DropAnalityka[Energy Drop],DropAnalityka[Location],LocFeatures[[#This Row],[Location]],DropAnalityka[LVL],LocFeatures[[#This Row],[LVL]],DropAnalityka[Stage],LocFeatures[[#This Row],[Stage]])</f>
        <v>0.58064516129032262</v>
      </c>
      <c r="K18" s="10">
        <f>5*LocFeatures[[#This Row],[XP Gain per member]]</f>
        <v>3080</v>
      </c>
      <c r="L18">
        <f>3*LocFeatures[[#This Row],[XP Gain per member]]</f>
        <v>1848</v>
      </c>
      <c r="M18" s="50">
        <f>AVERAGEIFS(DropAnalityka[Exp Gain],DropAnalityka[Location],LocFeatures[[#This Row],[Location]],DropAnalityka[LVL],LocFeatures[[#This Row],[LVL]],DropAnalityka[Stage],LocFeatures[[#This Row],[Stage]])</f>
        <v>887.45161290322585</v>
      </c>
      <c r="N18" s="50">
        <f>LocFeatures[[#This Row],[Drop worth gain]]/(LocFeatures[[#This Row],[E. Cost]]-LocFeatures[[#This Row],[Energy gain]])</f>
        <v>605.169642857143</v>
      </c>
      <c r="O18" s="50">
        <f>LocFeatures[[#This Row],[XP Train Gain]]/(LocFeatures[[#This Row],[E. Cost]]-LocFeatures[[#This Row],[Energy gain]])</f>
        <v>341</v>
      </c>
      <c r="P18" s="50">
        <f>(LocFeatures[[#This Row],[XP Train Gain]]+LocFeatures[[#This Row],[XP drop]])/(LocFeatures[[#This Row],[E. Cost]]-LocFeatures[[#This Row],[Energy gain]])</f>
        <v>504.75595238095241</v>
      </c>
      <c r="Q18" s="47">
        <f>COUNTIFS(DropAnalityka[Location],LocFeatures[[#This Row],[Location]],DropAnalityka[LVL],LocFeatures[[#This Row],[LVL]],DropAnalityka[Stage],LocFeatures[[#This Row],[Stage]])</f>
        <v>62</v>
      </c>
      <c r="R18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1796.4934523809525</v>
      </c>
    </row>
    <row r="19" spans="1:22">
      <c r="A19" t="s">
        <v>36</v>
      </c>
      <c r="B19" t="s">
        <v>9</v>
      </c>
      <c r="C19">
        <v>9</v>
      </c>
      <c r="D19">
        <v>7</v>
      </c>
      <c r="I19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3863.72</v>
      </c>
      <c r="J19" s="19">
        <f>AVERAGEIFS(DropAnalityka[Energy Drop],DropAnalityka[Location],LocFeatures[[#This Row],[Location]],DropAnalityka[LVL],LocFeatures[[#This Row],[LVL]],DropAnalityka[Stage],LocFeatures[[#This Row],[Stage]])</f>
        <v>0.92</v>
      </c>
      <c r="K19">
        <f>4*LocFeatures[[#This Row],[XP Gain per member]]</f>
        <v>0</v>
      </c>
      <c r="L19">
        <f>3*LocFeatures[[#This Row],[XP Gain per member]]</f>
        <v>0</v>
      </c>
      <c r="M19" s="50">
        <f>AVERAGEIFS(DropAnalityka[Exp Gain],DropAnalityka[Location],LocFeatures[[#This Row],[Location]],DropAnalityka[LVL],LocFeatures[[#This Row],[LVL]],DropAnalityka[Stage],LocFeatures[[#This Row],[Stage]])</f>
        <v>2993.76</v>
      </c>
      <c r="N19" s="50">
        <f>LocFeatures[[#This Row],[Drop worth gain]]/(LocFeatures[[#This Row],[E. Cost]]-LocFeatures[[#This Row],[Energy gain]])</f>
        <v>635.48026315789468</v>
      </c>
      <c r="O19" s="50">
        <f>LocFeatures[[#This Row],[XP Train Gain]]/(LocFeatures[[#This Row],[E. Cost]]-LocFeatures[[#This Row],[Energy gain]])</f>
        <v>0</v>
      </c>
      <c r="P19" s="50">
        <f>(LocFeatures[[#This Row],[XP Train Gain]]+LocFeatures[[#This Row],[XP drop]])/(LocFeatures[[#This Row],[E. Cost]]-LocFeatures[[#This Row],[Energy gain]])</f>
        <v>492.39473684210532</v>
      </c>
      <c r="Q19" s="43">
        <f>COUNTIFS(DropAnalityka[Location],LocFeatures[[#This Row],[Location]],DropAnalityka[LVL],LocFeatures[[#This Row],[LVL]],DropAnalityka[Stage],LocFeatures[[#This Row],[Stage]])</f>
        <v>25</v>
      </c>
      <c r="R19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1467.211842105263</v>
      </c>
    </row>
    <row r="20" spans="1:22">
      <c r="A20" s="10" t="s">
        <v>207</v>
      </c>
      <c r="B20" t="s">
        <v>9</v>
      </c>
      <c r="C20">
        <v>8</v>
      </c>
      <c r="D20">
        <v>7</v>
      </c>
      <c r="E20">
        <v>642</v>
      </c>
      <c r="F20">
        <v>12</v>
      </c>
      <c r="G20" t="s">
        <v>18</v>
      </c>
      <c r="H20" t="s">
        <v>21</v>
      </c>
      <c r="I20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4671.7241379310344</v>
      </c>
      <c r="J20" s="19">
        <f>AVERAGEIFS(DropAnalityka[Energy Drop],DropAnalityka[Location],LocFeatures[[#This Row],[Location]],DropAnalityka[LVL],LocFeatures[[#This Row],[LVL]],DropAnalityka[Stage],LocFeatures[[#This Row],[Stage]])</f>
        <v>1</v>
      </c>
      <c r="K20">
        <f>5*LocFeatures[[#This Row],[XP Gain per member]]</f>
        <v>3210</v>
      </c>
      <c r="L20">
        <f>3*LocFeatures[[#This Row],[XP Gain per member]]</f>
        <v>1926</v>
      </c>
      <c r="M20" s="50">
        <f>AVERAGEIFS(DropAnalityka[Exp Gain],DropAnalityka[Location],LocFeatures[[#This Row],[Location]],DropAnalityka[LVL],LocFeatures[[#This Row],[LVL]],DropAnalityka[Stage],LocFeatures[[#This Row],[Stage]])</f>
        <v>910.34482758620686</v>
      </c>
      <c r="N20" s="50">
        <f>LocFeatures[[#This Row],[Drop worth gain]]/(LocFeatures[[#This Row],[E. Cost]]-LocFeatures[[#This Row],[Energy gain]])</f>
        <v>778.62068965517244</v>
      </c>
      <c r="O20" s="50">
        <f>LocFeatures[[#This Row],[XP Train Gain]]/(LocFeatures[[#This Row],[E. Cost]]-LocFeatures[[#This Row],[Energy gain]])</f>
        <v>321</v>
      </c>
      <c r="P20" s="50">
        <f>(LocFeatures[[#This Row],[XP Train Gain]]+LocFeatures[[#This Row],[XP drop]])/(LocFeatures[[#This Row],[E. Cost]]-LocFeatures[[#This Row],[Energy gain]])</f>
        <v>472.72413793103448</v>
      </c>
      <c r="Q20" s="43">
        <f>COUNTIFS(DropAnalityka[Location],LocFeatures[[#This Row],[Location]],DropAnalityka[LVL],LocFeatures[[#This Row],[LVL]],DropAnalityka[Stage],LocFeatures[[#This Row],[Stage]])</f>
        <v>29</v>
      </c>
      <c r="R20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1678.655172413793</v>
      </c>
    </row>
    <row r="21" spans="1:22">
      <c r="A21" s="10" t="s">
        <v>207</v>
      </c>
      <c r="B21" t="s">
        <v>9</v>
      </c>
      <c r="C21">
        <v>9</v>
      </c>
      <c r="D21">
        <v>7</v>
      </c>
      <c r="E21">
        <v>642</v>
      </c>
      <c r="F21">
        <v>12</v>
      </c>
      <c r="G21" t="s">
        <v>18</v>
      </c>
      <c r="H21" t="s">
        <v>21</v>
      </c>
      <c r="I21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5741.4850746268658</v>
      </c>
      <c r="J21" s="19">
        <f>AVERAGEIFS(DropAnalityka[Energy Drop],DropAnalityka[Location],LocFeatures[[#This Row],[Location]],DropAnalityka[LVL],LocFeatures[[#This Row],[LVL]],DropAnalityka[Stage],LocFeatures[[#This Row],[Stage]])</f>
        <v>0.77611940298507465</v>
      </c>
      <c r="K21">
        <f>5*LocFeatures[[#This Row],[XP Gain per member]]</f>
        <v>3210</v>
      </c>
      <c r="L21">
        <f>3*LocFeatures[[#This Row],[XP Gain per member]]</f>
        <v>1926</v>
      </c>
      <c r="M21" s="50">
        <f>AVERAGEIFS(DropAnalityka[Exp Gain],DropAnalityka[Location],LocFeatures[[#This Row],[Location]],DropAnalityka[LVL],LocFeatures[[#This Row],[LVL]],DropAnalityka[Stage],LocFeatures[[#This Row],[Stage]])</f>
        <v>2491.2335820895523</v>
      </c>
      <c r="N21" s="50">
        <f>LocFeatures[[#This Row],[Drop worth gain]]/(LocFeatures[[#This Row],[E. Cost]]-LocFeatures[[#This Row],[Energy gain]])</f>
        <v>922.49280575539558</v>
      </c>
      <c r="O21" s="50">
        <f>LocFeatures[[#This Row],[XP Train Gain]]/(LocFeatures[[#This Row],[E. Cost]]-LocFeatures[[#This Row],[Energy gain]])</f>
        <v>309.45323741007195</v>
      </c>
      <c r="P21" s="50">
        <f>(LocFeatures[[#This Row],[XP Train Gain]]+LocFeatures[[#This Row],[XP drop]])/(LocFeatures[[#This Row],[E. Cost]]-LocFeatures[[#This Row],[Energy gain]])</f>
        <v>709.72338129496404</v>
      </c>
      <c r="Q21" s="43">
        <f>COUNTIFS(DropAnalityka[Location],LocFeatures[[#This Row],[Location]],DropAnalityka[LVL],LocFeatures[[#This Row],[LVL]],DropAnalityka[Stage],LocFeatures[[#This Row],[Stage]])</f>
        <v>67</v>
      </c>
      <c r="R21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1859.3640287769783</v>
      </c>
    </row>
    <row r="22" spans="1:22">
      <c r="A22" t="s">
        <v>285</v>
      </c>
      <c r="B22" t="s">
        <v>9</v>
      </c>
      <c r="C22">
        <v>9</v>
      </c>
      <c r="D22">
        <v>6</v>
      </c>
      <c r="E22">
        <v>642</v>
      </c>
      <c r="F22">
        <v>12</v>
      </c>
      <c r="G22" t="s">
        <v>18</v>
      </c>
      <c r="H22" t="s">
        <v>21</v>
      </c>
      <c r="I22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6265.070422535211</v>
      </c>
      <c r="J22" s="19">
        <f>AVERAGEIFS(DropAnalityka[Energy Drop],DropAnalityka[Location],LocFeatures[[#This Row],[Location]],DropAnalityka[LVL],LocFeatures[[#This Row],[LVL]],DropAnalityka[Stage],LocFeatures[[#This Row],[Stage]])</f>
        <v>0.74647887323943662</v>
      </c>
      <c r="K22">
        <f>5*LocFeatures[[#This Row],[XP Gain per member]]</f>
        <v>3210</v>
      </c>
      <c r="L22">
        <f>3*LocFeatures[[#This Row],[XP Gain per member]]</f>
        <v>1926</v>
      </c>
      <c r="M22" s="50">
        <f>AVERAGEIFS(DropAnalityka[Exp Gain],DropAnalityka[Location],LocFeatures[[#This Row],[Location]],DropAnalityka[LVL],LocFeatures[[#This Row],[LVL]],DropAnalityka[Stage],LocFeatures[[#This Row],[Stage]])</f>
        <v>5087.4929577464791</v>
      </c>
      <c r="N22" s="50">
        <f>LocFeatures[[#This Row],[Drop worth gain]]/(LocFeatures[[#This Row],[E. Cost]]-LocFeatures[[#This Row],[Energy gain]])</f>
        <v>1192.5469168900804</v>
      </c>
      <c r="O22" s="50">
        <f>LocFeatures[[#This Row],[XP Train Gain]]/(LocFeatures[[#This Row],[E. Cost]]-LocFeatures[[#This Row],[Energy gain]])</f>
        <v>366.61126005361933</v>
      </c>
      <c r="P22" s="50">
        <f>(LocFeatures[[#This Row],[XP Train Gain]]+LocFeatures[[#This Row],[XP drop]])/(LocFeatures[[#This Row],[E. Cost]]-LocFeatures[[#This Row],[Energy gain]])</f>
        <v>1335.0080428954425</v>
      </c>
      <c r="Q22" s="43">
        <f>COUNTIFS(DropAnalityka[Location],LocFeatures[[#This Row],[Location]],DropAnalityka[LVL],LocFeatures[[#This Row],[LVL]],DropAnalityka[Stage],LocFeatures[[#This Row],[Stage]])</f>
        <v>71</v>
      </c>
      <c r="R22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2219.9302949061662</v>
      </c>
    </row>
    <row r="23" spans="1:22">
      <c r="A23" t="s">
        <v>286</v>
      </c>
      <c r="B23" t="s">
        <v>32</v>
      </c>
      <c r="C23">
        <v>5</v>
      </c>
      <c r="D23">
        <v>5</v>
      </c>
      <c r="E23">
        <v>1890</v>
      </c>
      <c r="F23">
        <v>12</v>
      </c>
      <c r="G23" t="s">
        <v>18</v>
      </c>
      <c r="H23" t="s">
        <v>21</v>
      </c>
      <c r="I23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3027.666666666667</v>
      </c>
      <c r="J23" s="19">
        <f>AVERAGEIFS(DropAnalityka[Energy Drop],DropAnalityka[Location],LocFeatures[[#This Row],[Location]],DropAnalityka[LVL],LocFeatures[[#This Row],[LVL]],DropAnalityka[Stage],LocFeatures[[#This Row],[Stage]])</f>
        <v>0.88888888888888884</v>
      </c>
      <c r="K23">
        <f>4*LocFeatures[[#This Row],[XP Gain per member]]</f>
        <v>7560</v>
      </c>
      <c r="L23">
        <f>3*LocFeatures[[#This Row],[XP Gain per member]]</f>
        <v>5670</v>
      </c>
      <c r="M23" s="50">
        <f>AVERAGEIFS(DropAnalityka[Exp Gain],DropAnalityka[Location],LocFeatures[[#This Row],[Location]],DropAnalityka[LVL],LocFeatures[[#This Row],[LVL]],DropAnalityka[Stage],LocFeatures[[#This Row],[Stage]])</f>
        <v>0</v>
      </c>
      <c r="N23" s="50">
        <f>LocFeatures[[#This Row],[Drop worth gain]]/(LocFeatures[[#This Row],[E. Cost]]-LocFeatures[[#This Row],[Energy gain]])</f>
        <v>736.45945945945959</v>
      </c>
      <c r="O23" s="50">
        <f>LocFeatures[[#This Row],[XP Train Gain]]/(LocFeatures[[#This Row],[E. Cost]]-LocFeatures[[#This Row],[Energy gain]])</f>
        <v>1379.1891891891894</v>
      </c>
      <c r="P23" s="50">
        <f>(LocFeatures[[#This Row],[XP Train Gain]]+LocFeatures[[#This Row],[XP drop]])/(LocFeatures[[#This Row],[E. Cost]]-LocFeatures[[#This Row],[Energy gain]])</f>
        <v>1379.1891891891894</v>
      </c>
      <c r="Q23" s="43">
        <f>COUNTIFS(DropAnalityka[Location],LocFeatures[[#This Row],[Location]],DropAnalityka[LVL],LocFeatures[[#This Row],[LVL]],DropAnalityka[Stage],LocFeatures[[#This Row],[Stage]])</f>
        <v>27</v>
      </c>
      <c r="R23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3883.1513513513519</v>
      </c>
    </row>
    <row r="24" spans="1:22">
      <c r="A24" s="10" t="s">
        <v>59</v>
      </c>
      <c r="B24" s="10" t="s">
        <v>32</v>
      </c>
      <c r="C24" s="10">
        <v>2</v>
      </c>
      <c r="D24" s="10">
        <v>5</v>
      </c>
      <c r="E24" s="10">
        <v>1500</v>
      </c>
      <c r="F24" s="10">
        <v>10</v>
      </c>
      <c r="G24" s="10"/>
      <c r="H24" s="10"/>
      <c r="I24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12692</v>
      </c>
      <c r="J24" s="19">
        <f>AVERAGEIFS(DropAnalityka[Energy Drop],DropAnalityka[Location],LocFeatures[[#This Row],[Location]],DropAnalityka[LVL],LocFeatures[[#This Row],[LVL]],DropAnalityka[Stage],LocFeatures[[#This Row],[Stage]])</f>
        <v>1</v>
      </c>
      <c r="K24" s="10">
        <f>4*LocFeatures[[#This Row],[XP Gain per member]]</f>
        <v>6000</v>
      </c>
      <c r="L24">
        <f>3*LocFeatures[[#This Row],[XP Gain per member]]</f>
        <v>4500</v>
      </c>
      <c r="M24" s="50">
        <f>AVERAGEIFS(DropAnalityka[Exp Gain],DropAnalityka[Location],LocFeatures[[#This Row],[Location]],DropAnalityka[LVL],LocFeatures[[#This Row],[LVL]],DropAnalityka[Stage],LocFeatures[[#This Row],[Stage]])</f>
        <v>35822</v>
      </c>
      <c r="N24" s="50">
        <f>LocFeatures[[#This Row],[Drop worth gain]]/(LocFeatures[[#This Row],[E. Cost]]-LocFeatures[[#This Row],[Energy gain]])</f>
        <v>3173</v>
      </c>
      <c r="O24" s="50">
        <f>LocFeatures[[#This Row],[XP Train Gain]]/(LocFeatures[[#This Row],[E. Cost]]-LocFeatures[[#This Row],[Energy gain]])</f>
        <v>1125</v>
      </c>
      <c r="P24" s="50">
        <f>(LocFeatures[[#This Row],[XP Train Gain]]+LocFeatures[[#This Row],[XP drop]])/(LocFeatures[[#This Row],[E. Cost]]-LocFeatures[[#This Row],[Energy gain]])</f>
        <v>10080.5</v>
      </c>
      <c r="Q24" s="47">
        <f>COUNTIFS(DropAnalityka[Location],LocFeatures[[#This Row],[Location]],DropAnalityka[LVL],LocFeatures[[#This Row],[LVL]],DropAnalityka[Stage],LocFeatures[[#This Row],[Stage]])</f>
        <v>1</v>
      </c>
      <c r="R24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2138.1999999999998</v>
      </c>
      <c r="T24" s="10"/>
      <c r="U24" s="10"/>
      <c r="V24" s="10"/>
    </row>
    <row r="25" spans="1:22">
      <c r="A25" t="s">
        <v>223</v>
      </c>
      <c r="B25" t="s">
        <v>9</v>
      </c>
      <c r="C25" t="s">
        <v>26</v>
      </c>
      <c r="D25">
        <v>5</v>
      </c>
      <c r="E25">
        <v>0</v>
      </c>
      <c r="F25">
        <v>12</v>
      </c>
      <c r="G25" t="s">
        <v>18</v>
      </c>
      <c r="H25" t="s">
        <v>21</v>
      </c>
      <c r="I25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9234.5</v>
      </c>
      <c r="J25" s="19">
        <f>AVERAGEIFS(DropAnalityka[Energy Drop],DropAnalityka[Location],LocFeatures[[#This Row],[Location]],DropAnalityka[LVL],LocFeatures[[#This Row],[LVL]],DropAnalityka[Stage],LocFeatures[[#This Row],[Stage]])</f>
        <v>0</v>
      </c>
      <c r="K25">
        <f>4*LocFeatures[[#This Row],[XP Gain per member]]</f>
        <v>0</v>
      </c>
      <c r="L25">
        <f>3*LocFeatures[[#This Row],[XP Gain per member]]</f>
        <v>0</v>
      </c>
      <c r="M25" s="50">
        <f>AVERAGEIFS(DropAnalityka[Exp Gain],DropAnalityka[Location],LocFeatures[[#This Row],[Location]],DropAnalityka[LVL],LocFeatures[[#This Row],[LVL]],DropAnalityka[Stage],LocFeatures[[#This Row],[Stage]])</f>
        <v>3582.2000000000003</v>
      </c>
      <c r="N25" s="50">
        <f>LocFeatures[[#This Row],[Drop worth gain]]/(LocFeatures[[#This Row],[E. Cost]]-LocFeatures[[#This Row],[Energy gain]])</f>
        <v>1846.9</v>
      </c>
      <c r="O25" s="50">
        <f>LocFeatures[[#This Row],[XP Train Gain]]/(LocFeatures[[#This Row],[E. Cost]]-LocFeatures[[#This Row],[Energy gain]])</f>
        <v>0</v>
      </c>
      <c r="P25" s="50">
        <f>(LocFeatures[[#This Row],[XP Train Gain]]+LocFeatures[[#This Row],[XP drop]])/(LocFeatures[[#This Row],[E. Cost]]-LocFeatures[[#This Row],[Energy gain]])</f>
        <v>716.44</v>
      </c>
      <c r="Q25" s="43">
        <f>COUNTIFS(DropAnalityka[Location],LocFeatures[[#This Row],[Location]],DropAnalityka[LVL],LocFeatures[[#This Row],[LVL]],DropAnalityka[Stage],LocFeatures[[#This Row],[Stage]])</f>
        <v>8</v>
      </c>
      <c r="R25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3933.46</v>
      </c>
    </row>
    <row r="26" spans="1:22">
      <c r="A26" s="10" t="s">
        <v>8</v>
      </c>
      <c r="B26" s="10" t="s">
        <v>30</v>
      </c>
      <c r="C26" s="10">
        <v>3</v>
      </c>
      <c r="D26" s="10">
        <v>4</v>
      </c>
      <c r="E26" s="10">
        <v>1098</v>
      </c>
      <c r="F26" s="10">
        <v>12</v>
      </c>
      <c r="G26" s="10" t="s">
        <v>18</v>
      </c>
      <c r="H26" s="10"/>
      <c r="I26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4147.9811320754716</v>
      </c>
      <c r="J26" s="19">
        <f>AVERAGEIFS(DropAnalityka[Energy Drop],DropAnalityka[Location],LocFeatures[[#This Row],[Location]],DropAnalityka[LVL],LocFeatures[[#This Row],[LVL]],DropAnalityka[Stage],LocFeatures[[#This Row],[Stage]])</f>
        <v>0.86792452830188682</v>
      </c>
      <c r="K26" s="10">
        <f>4*LocFeatures[[#This Row],[XP Gain per member]]</f>
        <v>4392</v>
      </c>
      <c r="L26">
        <f>3*LocFeatures[[#This Row],[XP Gain per member]]</f>
        <v>3294</v>
      </c>
      <c r="M26" s="50">
        <f>AVERAGEIFS(DropAnalityka[Exp Gain],DropAnalityka[Location],LocFeatures[[#This Row],[Location]],DropAnalityka[LVL],LocFeatures[[#This Row],[LVL]],DropAnalityka[Stage],LocFeatures[[#This Row],[Stage]])</f>
        <v>1098.5283018867924</v>
      </c>
      <c r="N26" s="50">
        <f>LocFeatures[[#This Row],[Drop worth gain]]/(LocFeatures[[#This Row],[E. Cost]]-LocFeatures[[#This Row],[Energy gain]])</f>
        <v>1324.3554216867471</v>
      </c>
      <c r="O26" s="50">
        <f>LocFeatures[[#This Row],[XP Train Gain]]/(LocFeatures[[#This Row],[E. Cost]]-LocFeatures[[#This Row],[Energy gain]])</f>
        <v>1051.698795180723</v>
      </c>
      <c r="P26" s="50">
        <f>(LocFeatures[[#This Row],[XP Train Gain]]+LocFeatures[[#This Row],[XP drop]])/(LocFeatures[[#This Row],[E. Cost]]-LocFeatures[[#This Row],[Energy gain]])</f>
        <v>1402.433734939759</v>
      </c>
      <c r="Q26" s="47">
        <f>COUNTIFS(DropAnalityka[Location],LocFeatures[[#This Row],[Location]],DropAnalityka[LVL],LocFeatures[[#This Row],[LVL]],DropAnalityka[Stage],LocFeatures[[#This Row],[Stage]])</f>
        <v>53</v>
      </c>
      <c r="R26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3242.036932344764</v>
      </c>
      <c r="T26" s="10"/>
      <c r="U26" s="10"/>
      <c r="V26" s="10"/>
    </row>
    <row r="27" spans="1:22">
      <c r="A27" s="10" t="s">
        <v>8</v>
      </c>
      <c r="B27" s="10" t="s">
        <v>30</v>
      </c>
      <c r="C27" s="10">
        <v>6</v>
      </c>
      <c r="D27" s="10">
        <v>5</v>
      </c>
      <c r="E27" s="10">
        <v>1116</v>
      </c>
      <c r="F27" s="10">
        <v>12</v>
      </c>
      <c r="G27" s="10"/>
      <c r="H27" s="10"/>
      <c r="I27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2652</v>
      </c>
      <c r="J27" s="19">
        <f>AVERAGEIFS(DropAnalityka[Energy Drop],DropAnalityka[Location],LocFeatures[[#This Row],[Location]],DropAnalityka[LVL],LocFeatures[[#This Row],[LVL]],DropAnalityka[Stage],LocFeatures[[#This Row],[Stage]])</f>
        <v>1</v>
      </c>
      <c r="K27" s="10">
        <f>4*LocFeatures[[#This Row],[XP Gain per member]]</f>
        <v>4464</v>
      </c>
      <c r="L27">
        <f>3*LocFeatures[[#This Row],[XP Gain per member]]</f>
        <v>3348</v>
      </c>
      <c r="M27" s="50">
        <f>AVERAGEIFS(DropAnalityka[Exp Gain],DropAnalityka[Location],LocFeatures[[#This Row],[Location]],DropAnalityka[LVL],LocFeatures[[#This Row],[LVL]],DropAnalityka[Stage],LocFeatures[[#This Row],[Stage]])</f>
        <v>0</v>
      </c>
      <c r="N27" s="50">
        <f>LocFeatures[[#This Row],[Drop worth gain]]/(LocFeatures[[#This Row],[E. Cost]]-LocFeatures[[#This Row],[Energy gain]])</f>
        <v>663</v>
      </c>
      <c r="O27" s="50">
        <f>LocFeatures[[#This Row],[XP Train Gain]]/(LocFeatures[[#This Row],[E. Cost]]-LocFeatures[[#This Row],[Energy gain]])</f>
        <v>837</v>
      </c>
      <c r="P27" s="50">
        <f>(LocFeatures[[#This Row],[XP Train Gain]]+LocFeatures[[#This Row],[XP drop]])/(LocFeatures[[#This Row],[E. Cost]]-LocFeatures[[#This Row],[Energy gain]])</f>
        <v>837</v>
      </c>
      <c r="Q27" s="47">
        <f>COUNTIFS(DropAnalityka[Location],LocFeatures[[#This Row],[Location]],DropAnalityka[LVL],LocFeatures[[#This Row],[LVL]],DropAnalityka[Stage],LocFeatures[[#This Row],[Stage]])</f>
        <v>1</v>
      </c>
      <c r="R27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3091.2</v>
      </c>
      <c r="T27" s="10"/>
      <c r="U27" s="10"/>
      <c r="V27" s="10"/>
    </row>
    <row r="28" spans="1:22">
      <c r="A28" s="10" t="s">
        <v>8</v>
      </c>
      <c r="B28" s="10" t="s">
        <v>32</v>
      </c>
      <c r="C28" s="10">
        <v>3</v>
      </c>
      <c r="D28" s="10">
        <v>5</v>
      </c>
      <c r="E28" s="10">
        <v>1800</v>
      </c>
      <c r="F28" s="10">
        <v>12</v>
      </c>
      <c r="G28" s="10"/>
      <c r="H28" s="10"/>
      <c r="I28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4412.5320512820508</v>
      </c>
      <c r="J28" s="19">
        <f>AVERAGEIFS(DropAnalityka[Energy Drop],DropAnalityka[Location],LocFeatures[[#This Row],[Location]],DropAnalityka[LVL],LocFeatures[[#This Row],[LVL]],DropAnalityka[Stage],LocFeatures[[#This Row],[Stage]])</f>
        <v>0.98076923076923073</v>
      </c>
      <c r="K28" s="10">
        <f>4*LocFeatures[[#This Row],[XP Gain per member]]</f>
        <v>7200</v>
      </c>
      <c r="L28">
        <f>3*LocFeatures[[#This Row],[XP Gain per member]]</f>
        <v>5400</v>
      </c>
      <c r="M28" s="50">
        <f>AVERAGEIFS(DropAnalityka[Exp Gain],DropAnalityka[Location],LocFeatures[[#This Row],[Location]],DropAnalityka[LVL],LocFeatures[[#This Row],[LVL]],DropAnalityka[Stage],LocFeatures[[#This Row],[Stage]])</f>
        <v>1241.5897435897436</v>
      </c>
      <c r="N28" s="50">
        <f>LocFeatures[[#This Row],[Drop worth gain]]/(LocFeatures[[#This Row],[E. Cost]]-LocFeatures[[#This Row],[Energy gain]])</f>
        <v>1097.8548644338116</v>
      </c>
      <c r="O28" s="50">
        <f>LocFeatures[[#This Row],[XP Train Gain]]/(LocFeatures[[#This Row],[E. Cost]]-LocFeatures[[#This Row],[Energy gain]])</f>
        <v>1343.5406698564593</v>
      </c>
      <c r="P28" s="50">
        <f>(LocFeatures[[#This Row],[XP Train Gain]]+LocFeatures[[#This Row],[XP drop]])/(LocFeatures[[#This Row],[E. Cost]]-LocFeatures[[#This Row],[Energy gain]])</f>
        <v>1652.4529505582138</v>
      </c>
      <c r="Q28" s="47">
        <f>COUNTIFS(DropAnalityka[Location],LocFeatures[[#This Row],[Location]],DropAnalityka[LVL],LocFeatures[[#This Row],[LVL]],DropAnalityka[Stage],LocFeatures[[#This Row],[Stage]])</f>
        <v>156</v>
      </c>
      <c r="R28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3601.0068048910152</v>
      </c>
      <c r="T28" s="10"/>
      <c r="U28" s="10"/>
      <c r="V28" s="10"/>
    </row>
    <row r="29" spans="1:22">
      <c r="A29" s="10" t="s">
        <v>8</v>
      </c>
      <c r="B29" s="10" t="s">
        <v>32</v>
      </c>
      <c r="C29" s="10">
        <v>13</v>
      </c>
      <c r="D29" s="10">
        <v>5</v>
      </c>
      <c r="E29" s="10">
        <v>1800</v>
      </c>
      <c r="F29" s="10">
        <v>12</v>
      </c>
      <c r="G29" s="10"/>
      <c r="H29" s="10"/>
      <c r="I29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3818.9444444444443</v>
      </c>
      <c r="J29" s="19">
        <f>AVERAGEIFS(DropAnalityka[Energy Drop],DropAnalityka[Location],LocFeatures[[#This Row],[Location]],DropAnalityka[LVL],LocFeatures[[#This Row],[LVL]],DropAnalityka[Stage],LocFeatures[[#This Row],[Stage]])</f>
        <v>0.83333333333333337</v>
      </c>
      <c r="K29" s="10">
        <f>4*LocFeatures[[#This Row],[XP Gain per member]]</f>
        <v>7200</v>
      </c>
      <c r="L29">
        <f>3*LocFeatures[[#This Row],[XP Gain per member]]</f>
        <v>5400</v>
      </c>
      <c r="M29" s="50">
        <f>AVERAGEIFS(DropAnalityka[Exp Gain],DropAnalityka[Location],LocFeatures[[#This Row],[Location]],DropAnalityka[LVL],LocFeatures[[#This Row],[LVL]],DropAnalityka[Stage],LocFeatures[[#This Row],[Stage]])</f>
        <v>400</v>
      </c>
      <c r="N29" s="50">
        <f>LocFeatures[[#This Row],[Drop worth gain]]/(LocFeatures[[#This Row],[E. Cost]]-LocFeatures[[#This Row],[Energy gain]])</f>
        <v>916.54666666666662</v>
      </c>
      <c r="O29" s="50">
        <f>LocFeatures[[#This Row],[XP Train Gain]]/(LocFeatures[[#This Row],[E. Cost]]-LocFeatures[[#This Row],[Energy gain]])</f>
        <v>1296</v>
      </c>
      <c r="P29" s="50">
        <f>(LocFeatures[[#This Row],[XP Train Gain]]+LocFeatures[[#This Row],[XP drop]])/(LocFeatures[[#This Row],[E. Cost]]-LocFeatures[[#This Row],[Energy gain]])</f>
        <v>1392</v>
      </c>
      <c r="Q29" s="47">
        <f>COUNTIFS(DropAnalityka[Location],LocFeatures[[#This Row],[Location]],DropAnalityka[LVL],LocFeatures[[#This Row],[LVL]],DropAnalityka[Stage],LocFeatures[[#This Row],[Stage]])</f>
        <v>18</v>
      </c>
      <c r="R29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3596.2586666666666</v>
      </c>
      <c r="S29">
        <v>92</v>
      </c>
      <c r="T29" s="10" t="s">
        <v>246</v>
      </c>
    </row>
    <row r="30" spans="1:22">
      <c r="A30" t="s">
        <v>8</v>
      </c>
      <c r="B30" t="s">
        <v>9</v>
      </c>
      <c r="C30">
        <v>3</v>
      </c>
      <c r="D30">
        <v>3</v>
      </c>
      <c r="E30">
        <v>642</v>
      </c>
      <c r="F30">
        <v>12</v>
      </c>
      <c r="G30" t="s">
        <v>18</v>
      </c>
      <c r="H30" t="s">
        <v>21</v>
      </c>
      <c r="I30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2788.2439024390246</v>
      </c>
      <c r="J30" s="19">
        <f>AVERAGEIFS(DropAnalityka[Energy Drop],DropAnalityka[Location],LocFeatures[[#This Row],[Location]],DropAnalityka[LVL],LocFeatures[[#This Row],[LVL]],DropAnalityka[Stage],LocFeatures[[#This Row],[Stage]])</f>
        <v>0.82926829268292679</v>
      </c>
      <c r="K30">
        <f>4*LocFeatures[[#This Row],[XP Gain per member]]</f>
        <v>2568</v>
      </c>
      <c r="L30">
        <f>3*LocFeatures[[#This Row],[XP Gain per member]]</f>
        <v>1926</v>
      </c>
      <c r="M30" s="50">
        <f>AVERAGEIFS(DropAnalityka[Exp Gain],DropAnalityka[Location],LocFeatures[[#This Row],[Location]],DropAnalityka[LVL],LocFeatures[[#This Row],[LVL]],DropAnalityka[Stage],LocFeatures[[#This Row],[Stage]])</f>
        <v>175.60975609756099</v>
      </c>
      <c r="N30" s="50">
        <f>LocFeatures[[#This Row],[Drop worth gain]]/(LocFeatures[[#This Row],[E. Cost]]-LocFeatures[[#This Row],[Energy gain]])</f>
        <v>1284.4719101123596</v>
      </c>
      <c r="O30" s="50">
        <f>LocFeatures[[#This Row],[XP Train Gain]]/(LocFeatures[[#This Row],[E. Cost]]-LocFeatures[[#This Row],[Energy gain]])</f>
        <v>887.25842696629206</v>
      </c>
      <c r="P30" s="50">
        <f>(LocFeatures[[#This Row],[XP Train Gain]]+LocFeatures[[#This Row],[XP drop]])/(LocFeatures[[#This Row],[E. Cost]]-LocFeatures[[#This Row],[Energy gain]])</f>
        <v>968.15730337078639</v>
      </c>
      <c r="Q30" s="43">
        <f>COUNTIFS(DropAnalityka[Location],LocFeatures[[#This Row],[Location]],DropAnalityka[LVL],LocFeatures[[#This Row],[LVL]],DropAnalityka[Stage],LocFeatures[[#This Row],[Stage]])</f>
        <v>41</v>
      </c>
      <c r="R30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3248.8449438202247</v>
      </c>
    </row>
    <row r="31" spans="1:22">
      <c r="A31" t="s">
        <v>8</v>
      </c>
      <c r="B31" t="s">
        <v>9</v>
      </c>
      <c r="C31">
        <v>3</v>
      </c>
      <c r="D31">
        <v>3</v>
      </c>
      <c r="I31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2788.2439024390246</v>
      </c>
      <c r="J31" s="19">
        <f>AVERAGEIFS(DropAnalityka[Energy Drop],DropAnalityka[Location],LocFeatures[[#This Row],[Location]],DropAnalityka[LVL],LocFeatures[[#This Row],[LVL]],DropAnalityka[Stage],LocFeatures[[#This Row],[Stage]])</f>
        <v>0.82926829268292679</v>
      </c>
      <c r="K31">
        <f>4*LocFeatures[[#This Row],[XP Gain per member]]</f>
        <v>0</v>
      </c>
      <c r="L31">
        <f>3*LocFeatures[[#This Row],[XP Gain per member]]</f>
        <v>0</v>
      </c>
      <c r="M31" s="50">
        <f>AVERAGEIFS(DropAnalityka[Exp Gain],DropAnalityka[Location],LocFeatures[[#This Row],[Location]],DropAnalityka[LVL],LocFeatures[[#This Row],[LVL]],DropAnalityka[Stage],LocFeatures[[#This Row],[Stage]])</f>
        <v>175.60975609756099</v>
      </c>
      <c r="N31" s="50">
        <f>LocFeatures[[#This Row],[Drop worth gain]]/(LocFeatures[[#This Row],[E. Cost]]-LocFeatures[[#This Row],[Energy gain]])</f>
        <v>1284.4719101123596</v>
      </c>
      <c r="O31" s="50">
        <f>LocFeatures[[#This Row],[XP Train Gain]]/(LocFeatures[[#This Row],[E. Cost]]-LocFeatures[[#This Row],[Energy gain]])</f>
        <v>0</v>
      </c>
      <c r="P31" s="50">
        <f>(LocFeatures[[#This Row],[XP Train Gain]]+LocFeatures[[#This Row],[XP drop]])/(LocFeatures[[#This Row],[E. Cost]]-LocFeatures[[#This Row],[Energy gain]])</f>
        <v>80.898876404494388</v>
      </c>
      <c r="Q31" s="43">
        <f>COUNTIFS(DropAnalityka[Location],LocFeatures[[#This Row],[Location]],DropAnalityka[LVL],LocFeatures[[#This Row],[LVL]],DropAnalityka[Stage],LocFeatures[[#This Row],[Stage]])</f>
        <v>41</v>
      </c>
      <c r="R31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2361.5865168539326</v>
      </c>
    </row>
    <row r="32" spans="1:22">
      <c r="A32" s="10" t="s">
        <v>319</v>
      </c>
      <c r="B32" s="10" t="s">
        <v>30</v>
      </c>
      <c r="C32" s="10">
        <v>1</v>
      </c>
      <c r="D32">
        <v>4</v>
      </c>
      <c r="E32">
        <f>1524*3/4</f>
        <v>1143</v>
      </c>
      <c r="F32">
        <v>12</v>
      </c>
      <c r="G32" t="s">
        <v>18</v>
      </c>
      <c r="H32" t="s">
        <v>21</v>
      </c>
      <c r="I32" s="49">
        <f>AVERAGEIFS(DropAnalityka[Mana drop],DropAnalityka[Location],LocFeatures[[#This Row],[Location]],DropAnalityka[LVL],LocFeatures[[#This Row],[LVL]],DropAnalityka[Stage],LocFeatures[[#This Row],[Stage]])+AVERAGEIFS(DropAnalityka[Drop Worth],DropAnalityka[Location],LocFeatures[[#This Row],[Location]],DropAnalityka[LVL],LocFeatures[[#This Row],[LVL]],DropAnalityka[Stage],LocFeatures[[#This Row],[Stage]])+AVERAGEIFS(DropAnalityka[Fod Worth],DropAnalityka[Location],LocFeatures[[#This Row],[Location]],DropAnalityka[LVL],LocFeatures[[#This Row],[LVL]],DropAnalityka[Stage],LocFeatures[[#This Row],[Stage]])</f>
        <v>3557.5</v>
      </c>
      <c r="J32" s="19">
        <f>AVERAGEIFS(DropAnalityka[Energy Drop],DropAnalityka[Location],LocFeatures[[#This Row],[Location]],DropAnalityka[LVL],LocFeatures[[#This Row],[LVL]],DropAnalityka[Stage],LocFeatures[[#This Row],[Stage]])</f>
        <v>0.875</v>
      </c>
      <c r="K32">
        <f>4*LocFeatures[[#This Row],[XP Gain per member]]</f>
        <v>4572</v>
      </c>
      <c r="L32">
        <f>3*LocFeatures[[#This Row],[XP Gain per member]]</f>
        <v>3429</v>
      </c>
      <c r="M32" s="50">
        <f>AVERAGEIFS(DropAnalityka[Exp Gain],DropAnalityka[Location],LocFeatures[[#This Row],[Location]],DropAnalityka[LVL],LocFeatures[[#This Row],[LVL]],DropAnalityka[Stage],LocFeatures[[#This Row],[Stage]])</f>
        <v>0</v>
      </c>
      <c r="N32" s="50">
        <f>LocFeatures[[#This Row],[Drop worth gain]]/(LocFeatures[[#This Row],[E. Cost]]-LocFeatures[[#This Row],[Energy gain]])</f>
        <v>1138.4000000000001</v>
      </c>
      <c r="O32" s="50">
        <f>LocFeatures[[#This Row],[XP Train Gain]]/(LocFeatures[[#This Row],[E. Cost]]-LocFeatures[[#This Row],[Energy gain]])</f>
        <v>1097.28</v>
      </c>
      <c r="P32" s="50">
        <f>(LocFeatures[[#This Row],[XP Train Gain]]+LocFeatures[[#This Row],[XP drop]])/(LocFeatures[[#This Row],[E. Cost]]-LocFeatures[[#This Row],[Energy gain]])</f>
        <v>1097.28</v>
      </c>
      <c r="Q32" s="43">
        <f>COUNTIFS(DropAnalityka[Location],LocFeatures[[#This Row],[Location]],DropAnalityka[LVL],LocFeatures[[#This Row],[LVL]],DropAnalityka[Stage],LocFeatures[[#This Row],[Stage]])</f>
        <v>8</v>
      </c>
      <c r="R32" s="48">
        <f>((AVERAGEIFS(DropAnalityka[Mana drop],DropAnalityka[Location],LocFeatures[[#This Row],[Location]],DropAnalityka[LVL],LocFeatures[[#This Row],[LVL]],DropAnalityka[Stage],LocFeatures[[#This Row],[Stage]])+AVERAGEIFS(DropAnalityka[Sell Drop],DropAnalityka[Location],LocFeatures[[#This Row],[Location]],DropAnalityka[LVL],LocFeatures[[#This Row],[LVL]],DropAnalityka[Stage],LocFeatures[[#This Row],[Stage]]))/(LocFeatures[[#This Row],[E. Cost]]-LocFeatures[[#This Row],[Energy gain]]))*3.4+LocFeatures[[#This Row],[XP train/energy]]</f>
        <v>4967.84</v>
      </c>
    </row>
    <row r="33" spans="9:17">
      <c r="I33" s="43"/>
      <c r="M33" s="43"/>
      <c r="O33" s="48"/>
      <c r="Q33" s="43"/>
    </row>
    <row r="34" spans="9:17">
      <c r="I34" s="43"/>
      <c r="M34" s="43"/>
      <c r="O34" s="48"/>
      <c r="Q34" s="43"/>
    </row>
    <row r="35" spans="9:17">
      <c r="I35" s="43"/>
      <c r="M35" s="43"/>
      <c r="O35" s="48"/>
      <c r="Q35" s="43"/>
    </row>
    <row r="36" spans="9:17">
      <c r="I36" s="43"/>
      <c r="M36" s="43"/>
      <c r="O36" s="48"/>
      <c r="Q36" s="43"/>
    </row>
    <row r="37" spans="9:17">
      <c r="I37" s="43"/>
      <c r="M37" s="43"/>
      <c r="O37" s="48"/>
      <c r="Q37" s="43"/>
    </row>
    <row r="38" spans="9:17">
      <c r="I38" s="43"/>
      <c r="M38" s="43"/>
      <c r="O38" s="48"/>
      <c r="Q38" s="43"/>
    </row>
    <row r="39" spans="9:17">
      <c r="I39" s="43"/>
      <c r="M39" s="43"/>
      <c r="O39" s="48"/>
      <c r="Q39" s="43"/>
    </row>
    <row r="40" spans="9:17">
      <c r="I40" s="43"/>
      <c r="M40" s="43"/>
      <c r="O40" s="48"/>
      <c r="Q40" s="43"/>
    </row>
    <row r="41" spans="9:17">
      <c r="I41" s="43"/>
      <c r="M41" s="43"/>
      <c r="O41" s="48"/>
      <c r="Q41" s="43"/>
    </row>
    <row r="42" spans="9:17">
      <c r="I42" s="43"/>
      <c r="M42" s="43"/>
      <c r="O42" s="48"/>
      <c r="Q42" s="43"/>
    </row>
    <row r="43" spans="9:17">
      <c r="I43" s="43"/>
      <c r="M43" s="43"/>
      <c r="O43" s="48"/>
      <c r="Q43" s="43"/>
    </row>
    <row r="44" spans="9:17">
      <c r="I44" s="43"/>
      <c r="M44" s="43"/>
      <c r="O44" s="48"/>
      <c r="Q44" s="43"/>
    </row>
    <row r="45" spans="9:17">
      <c r="I45" s="43"/>
      <c r="M45" s="43"/>
      <c r="O45" s="48"/>
      <c r="Q45" s="43"/>
    </row>
    <row r="46" spans="9:17">
      <c r="I46" s="43"/>
      <c r="M46" s="43"/>
      <c r="O46" s="48"/>
      <c r="Q46" s="43"/>
    </row>
    <row r="47" spans="9:17">
      <c r="I47" s="43"/>
      <c r="M47" s="43"/>
      <c r="O47" s="48"/>
      <c r="Q47" s="43"/>
    </row>
    <row r="48" spans="9:17">
      <c r="I48" s="43"/>
      <c r="M48" s="43"/>
      <c r="O48" s="48"/>
      <c r="Q48" s="43"/>
    </row>
    <row r="49" spans="9:17">
      <c r="I49" s="43"/>
      <c r="M49" s="43"/>
      <c r="O49" s="48"/>
      <c r="Q49" s="43"/>
    </row>
    <row r="50" spans="9:17">
      <c r="I50" s="43"/>
      <c r="M50" s="43"/>
      <c r="O50" s="48"/>
      <c r="Q50" s="43"/>
    </row>
    <row r="51" spans="9:17">
      <c r="I51" s="43"/>
      <c r="M51" s="43"/>
      <c r="O51" s="48"/>
      <c r="Q51" s="43"/>
    </row>
    <row r="52" spans="9:17">
      <c r="I52" s="43"/>
      <c r="M52" s="43"/>
      <c r="O52" s="48"/>
      <c r="Q52" s="43"/>
    </row>
    <row r="53" spans="9:17">
      <c r="I53" s="43"/>
      <c r="M53" s="43"/>
      <c r="O53" s="48"/>
      <c r="Q53" s="43"/>
    </row>
    <row r="54" spans="9:17">
      <c r="I54" s="43"/>
      <c r="M54" s="43"/>
      <c r="O54" s="48"/>
      <c r="Q54" s="43"/>
    </row>
    <row r="55" spans="9:17">
      <c r="I55" s="43"/>
      <c r="M55" s="43"/>
      <c r="O55" s="48"/>
      <c r="Q55" s="43"/>
    </row>
    <row r="56" spans="9:17">
      <c r="I56" s="43"/>
      <c r="M56" s="43"/>
      <c r="O56" s="48"/>
      <c r="Q56" s="43"/>
    </row>
    <row r="57" spans="9:17">
      <c r="I57" s="43"/>
      <c r="M57" s="43"/>
      <c r="O57" s="48"/>
      <c r="Q57" s="43"/>
    </row>
    <row r="58" spans="9:17">
      <c r="I58" s="43"/>
      <c r="M58" s="43"/>
      <c r="O58" s="48"/>
      <c r="Q58" s="43"/>
    </row>
    <row r="59" spans="9:17">
      <c r="I59" s="43"/>
      <c r="M59" s="43"/>
      <c r="O59" s="48"/>
      <c r="Q59" s="43"/>
    </row>
    <row r="60" spans="9:17">
      <c r="I60" s="43"/>
      <c r="M60" s="43"/>
      <c r="O60" s="48"/>
      <c r="Q60" s="43"/>
    </row>
    <row r="61" spans="9:17">
      <c r="I61" s="43"/>
      <c r="M61" s="43"/>
      <c r="O61" s="48"/>
      <c r="Q61" s="43"/>
    </row>
    <row r="62" spans="9:17">
      <c r="I62" s="43"/>
      <c r="M62" s="43"/>
      <c r="O62" s="48"/>
      <c r="Q62" s="43"/>
    </row>
    <row r="63" spans="9:17">
      <c r="I63" s="43"/>
      <c r="M63" s="43"/>
      <c r="O63" s="48"/>
      <c r="Q63" s="43"/>
    </row>
    <row r="64" spans="9:17">
      <c r="I64" s="43"/>
      <c r="M64" s="43"/>
      <c r="O64" s="48"/>
      <c r="Q64" s="43"/>
    </row>
    <row r="65" spans="9:17">
      <c r="I65" s="43"/>
      <c r="M65" s="43"/>
      <c r="O65" s="48"/>
      <c r="Q65" s="43"/>
    </row>
    <row r="66" spans="9:17">
      <c r="I66" s="43"/>
      <c r="M66" s="43"/>
      <c r="O66" s="48"/>
      <c r="Q66" s="43"/>
    </row>
    <row r="67" spans="9:17">
      <c r="I67" s="43"/>
      <c r="M67" s="43"/>
      <c r="O67" s="48"/>
      <c r="Q67" s="43"/>
    </row>
    <row r="68" spans="9:17">
      <c r="I68" s="43"/>
      <c r="M68" s="43"/>
      <c r="O68" s="48"/>
      <c r="Q68" s="43"/>
    </row>
    <row r="69" spans="9:17">
      <c r="I69" s="43"/>
      <c r="M69" s="43"/>
      <c r="O69" s="48"/>
      <c r="Q69" s="43"/>
    </row>
    <row r="70" spans="9:17">
      <c r="I70" s="43"/>
      <c r="M70" s="43"/>
      <c r="O70" s="48"/>
      <c r="Q70" s="43"/>
    </row>
    <row r="71" spans="9:17">
      <c r="I71" s="43"/>
      <c r="M71" s="43"/>
      <c r="O71" s="48"/>
      <c r="Q71" s="43"/>
    </row>
    <row r="72" spans="9:17">
      <c r="I72" s="43"/>
      <c r="M72" s="43"/>
      <c r="O72" s="48"/>
      <c r="Q72" s="43"/>
    </row>
    <row r="73" spans="9:17">
      <c r="I73" s="43"/>
      <c r="M73" s="43"/>
      <c r="O73" s="48"/>
      <c r="Q73" s="43"/>
    </row>
    <row r="74" spans="9:17">
      <c r="I74" s="43"/>
      <c r="M74" s="43"/>
      <c r="O74" s="48"/>
      <c r="Q74" s="43"/>
    </row>
    <row r="75" spans="9:17">
      <c r="I75" s="43"/>
      <c r="M75" s="43"/>
      <c r="O75" s="48"/>
      <c r="Q75" s="43"/>
    </row>
    <row r="76" spans="9:17">
      <c r="I76" s="43"/>
      <c r="M76" s="43"/>
      <c r="O76" s="48"/>
      <c r="Q76" s="43"/>
    </row>
    <row r="77" spans="9:17">
      <c r="I77" s="43"/>
      <c r="M77" s="43"/>
      <c r="O77" s="48"/>
      <c r="Q77" s="43"/>
    </row>
    <row r="78" spans="9:17">
      <c r="I78" s="43"/>
      <c r="M78" s="43"/>
      <c r="O78" s="48"/>
      <c r="Q78" s="43"/>
    </row>
    <row r="79" spans="9:17">
      <c r="I79" s="43"/>
      <c r="M79" s="43"/>
      <c r="O79" s="48"/>
      <c r="Q79" s="43"/>
    </row>
    <row r="80" spans="9:17">
      <c r="I80" s="43"/>
      <c r="M80" s="43"/>
      <c r="O80" s="48"/>
      <c r="Q80" s="43"/>
    </row>
    <row r="81" spans="9:17">
      <c r="I81" s="43"/>
      <c r="M81" s="43"/>
      <c r="O81" s="48"/>
      <c r="Q81" s="43"/>
    </row>
    <row r="82" spans="9:17">
      <c r="I82" s="43"/>
      <c r="M82" s="43"/>
      <c r="O82" s="48"/>
      <c r="Q82" s="43"/>
    </row>
    <row r="83" spans="9:17">
      <c r="I83" s="43"/>
      <c r="M83" s="43"/>
      <c r="O83" s="48"/>
      <c r="Q83" s="43"/>
    </row>
    <row r="84" spans="9:17">
      <c r="I84" s="43"/>
      <c r="M84" s="43"/>
      <c r="O84" s="48"/>
      <c r="Q84" s="43"/>
    </row>
    <row r="85" spans="9:17">
      <c r="I85" s="43"/>
      <c r="M85" s="43"/>
      <c r="O85" s="48"/>
      <c r="Q85" s="43"/>
    </row>
    <row r="86" spans="9:17">
      <c r="I86" s="43"/>
      <c r="M86" s="43"/>
      <c r="O86" s="48"/>
      <c r="Q86" s="43"/>
    </row>
    <row r="87" spans="9:17">
      <c r="I87" s="43"/>
      <c r="M87" s="43"/>
      <c r="O87" s="48"/>
      <c r="Q87" s="43"/>
    </row>
    <row r="88" spans="9:17">
      <c r="I88" s="43"/>
      <c r="M88" s="43"/>
      <c r="O88" s="48"/>
      <c r="Q88" s="43"/>
    </row>
    <row r="89" spans="9:17">
      <c r="I89" s="43"/>
      <c r="M89" s="43"/>
      <c r="O89" s="48"/>
      <c r="Q89" s="43"/>
    </row>
    <row r="90" spans="9:17">
      <c r="I90" s="43"/>
      <c r="M90" s="43"/>
      <c r="O90" s="48"/>
      <c r="Q90" s="43"/>
    </row>
    <row r="91" spans="9:17">
      <c r="I91" s="43"/>
      <c r="M91" s="43"/>
      <c r="O91" s="48"/>
      <c r="Q91" s="43"/>
    </row>
    <row r="92" spans="9:17">
      <c r="I92" s="43"/>
      <c r="M92" s="43"/>
      <c r="O92" s="48"/>
      <c r="Q92" s="43"/>
    </row>
    <row r="93" spans="9:17">
      <c r="I93" s="43"/>
      <c r="M93" s="43"/>
      <c r="O93" s="48"/>
      <c r="Q93" s="43"/>
    </row>
    <row r="94" spans="9:17">
      <c r="I94" s="43"/>
      <c r="M94" s="43"/>
      <c r="O94" s="48"/>
      <c r="Q94" s="4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W48"/>
  <sheetViews>
    <sheetView zoomScaleNormal="100" workbookViewId="0">
      <selection activeCell="A11" sqref="A11"/>
    </sheetView>
  </sheetViews>
  <sheetFormatPr defaultRowHeight="14.25"/>
  <cols>
    <col min="1" max="1" width="17" bestFit="1" customWidth="1"/>
    <col min="2" max="2" width="19.375" bestFit="1" customWidth="1"/>
    <col min="3" max="3" width="18" bestFit="1" customWidth="1"/>
    <col min="4" max="4" width="21.25" bestFit="1" customWidth="1"/>
    <col min="5" max="5" width="13.625" bestFit="1" customWidth="1"/>
    <col min="7" max="7" width="22.125" customWidth="1"/>
    <col min="8" max="8" width="18.25" customWidth="1"/>
    <col min="9" max="9" width="2.875" customWidth="1"/>
    <col min="10" max="10" width="3.875" customWidth="1"/>
    <col min="11" max="11" width="2.875" customWidth="1"/>
    <col min="12" max="12" width="3.875" customWidth="1"/>
    <col min="13" max="13" width="2.875" customWidth="1"/>
    <col min="14" max="14" width="14.125" customWidth="1"/>
    <col min="15" max="16" width="1.875" customWidth="1"/>
    <col min="17" max="17" width="11.625" bestFit="1" customWidth="1"/>
    <col min="18" max="23" width="6.375" bestFit="1" customWidth="1"/>
    <col min="24" max="31" width="16.75" customWidth="1"/>
    <col min="32" max="32" width="14.125" customWidth="1"/>
    <col min="33" max="56" width="22.125" bestFit="1" customWidth="1"/>
    <col min="57" max="57" width="29.25" bestFit="1" customWidth="1"/>
    <col min="58" max="58" width="26" bestFit="1" customWidth="1"/>
  </cols>
  <sheetData>
    <row r="1" spans="1:23">
      <c r="G1" s="11" t="s">
        <v>7</v>
      </c>
      <c r="H1" t="s">
        <v>269</v>
      </c>
    </row>
    <row r="2" spans="1:23">
      <c r="R2" s="217" t="s">
        <v>273</v>
      </c>
      <c r="S2" s="217"/>
      <c r="T2" s="217"/>
      <c r="U2" s="217"/>
      <c r="V2" s="217"/>
      <c r="W2" s="217"/>
    </row>
    <row r="3" spans="1:23" ht="15" thickBot="1">
      <c r="B3" s="11" t="s">
        <v>68</v>
      </c>
      <c r="G3" s="11" t="s">
        <v>259</v>
      </c>
      <c r="H3" s="11" t="s">
        <v>142</v>
      </c>
      <c r="Q3" s="6" t="s">
        <v>33</v>
      </c>
      <c r="R3" s="115" t="s">
        <v>274</v>
      </c>
      <c r="S3" s="116" t="s">
        <v>275</v>
      </c>
      <c r="T3" s="116" t="s">
        <v>276</v>
      </c>
      <c r="U3" s="116" t="s">
        <v>277</v>
      </c>
      <c r="V3" s="116" t="s">
        <v>278</v>
      </c>
      <c r="W3" s="117" t="s">
        <v>279</v>
      </c>
    </row>
    <row r="4" spans="1:23">
      <c r="A4" s="11" t="s">
        <v>64</v>
      </c>
      <c r="B4" t="s">
        <v>67</v>
      </c>
      <c r="C4" t="s">
        <v>69</v>
      </c>
      <c r="D4" t="s">
        <v>70</v>
      </c>
      <c r="E4" t="s">
        <v>126</v>
      </c>
      <c r="G4" s="11" t="s">
        <v>64</v>
      </c>
      <c r="H4">
        <v>4</v>
      </c>
      <c r="I4">
        <v>5</v>
      </c>
      <c r="J4">
        <v>7</v>
      </c>
      <c r="K4">
        <v>8</v>
      </c>
      <c r="L4">
        <v>9</v>
      </c>
      <c r="M4">
        <v>10</v>
      </c>
      <c r="N4" t="s">
        <v>66</v>
      </c>
      <c r="Q4" s="51" t="str">
        <f>G5</f>
        <v>high</v>
      </c>
      <c r="R4" s="72">
        <f>GETPIVOTDATA("Quality/Quantity",$G$3,"Stage",4,"Grade","high")/GETPIVOTDATA("LVL",$G$15,"Stage",4)</f>
        <v>0</v>
      </c>
      <c r="S4" s="70">
        <f>GETPIVOTDATA("Quality/Quantity",$G$3,"Stage",5,"Grade","high")/GETPIVOTDATA("LVL",$G$15,"Stage",5)</f>
        <v>0</v>
      </c>
      <c r="T4" s="70">
        <f>GETPIVOTDATA("Quality/Quantity",$G$3,"Stage",7,"Grade","high")/GETPIVOTDATA("LVL",$G$15,"Stage",7)</f>
        <v>0.13432835820895522</v>
      </c>
      <c r="U4" s="70">
        <f>GETPIVOTDATA("Quality/Quantity",$G$3,"Stage",8,"Grade","high")/GETPIVOTDATA("LVL",$G$15,"Stage",8)</f>
        <v>0.21875</v>
      </c>
      <c r="V4" s="70">
        <f>GETPIVOTDATA("Quality/Quantity",$G$3,"Stage",9,"Grade","high")/GETPIVOTDATA("LVL",$G$15,"Stage",9)</f>
        <v>0.26666666666666666</v>
      </c>
      <c r="W4" s="71">
        <f>GETPIVOTDATA("Quality/Quantity",$G$3,"Stage",10,"Grade","high")/GETPIVOTDATA("LVL",$G$15,"Stage",10)</f>
        <v>0.5</v>
      </c>
    </row>
    <row r="5" spans="1:23">
      <c r="A5" s="12" t="s">
        <v>60</v>
      </c>
      <c r="B5" s="1">
        <v>1511.6571428571428</v>
      </c>
      <c r="C5" s="1">
        <v>1090.7463768115942</v>
      </c>
      <c r="D5" s="1">
        <v>0.8571428571428571</v>
      </c>
      <c r="E5" s="43">
        <v>40</v>
      </c>
      <c r="G5" s="12" t="s">
        <v>271</v>
      </c>
      <c r="H5" s="43"/>
      <c r="I5" s="43"/>
      <c r="J5" s="43">
        <v>9</v>
      </c>
      <c r="K5" s="43">
        <v>7</v>
      </c>
      <c r="L5" s="43">
        <v>32</v>
      </c>
      <c r="M5" s="43">
        <v>3</v>
      </c>
      <c r="N5" s="43">
        <v>51</v>
      </c>
      <c r="Q5" s="6" t="str">
        <f>G6</f>
        <v>low</v>
      </c>
      <c r="R5" s="72">
        <f>GETPIVOTDATA("Quality/Quantity",$G$3,"Stage",4,"Grade","low")/GETPIVOTDATA("LVL",$G$15,"Stage",4)</f>
        <v>0.5714285714285714</v>
      </c>
      <c r="S5" s="70">
        <f>GETPIVOTDATA("Quality/Quantity",$G$3,"Stage",5,"Grade","low")/GETPIVOTDATA("LVL",$G$15,"Stage",5)</f>
        <v>1.2</v>
      </c>
      <c r="T5" s="70">
        <f>GETPIVOTDATA("Quality/Quantity",$G$3,"Stage",7,"Grade","low")/GETPIVOTDATA("LVL",$G$15,"Stage",7)</f>
        <v>1.4179104477611941</v>
      </c>
      <c r="U5" s="70">
        <f>GETPIVOTDATA("Quality/Quantity",$G$3,"Stage",8,"Grade","low")/GETPIVOTDATA("LVL",$G$15,"Stage",8)</f>
        <v>1.34375</v>
      </c>
      <c r="V5" s="70">
        <f>GETPIVOTDATA("Quality/Quantity",$G$3,"Stage",9,"Grade","low")/GETPIVOTDATA("LVL",$G$15,"Stage",9)</f>
        <v>1.1166666666666667</v>
      </c>
      <c r="W5" s="71">
        <f>GETPIVOTDATA("Quality/Quantity",$G$3,"Stage",10,"Grade","low")/GETPIVOTDATA("LVL",$G$15,"Stage",10)</f>
        <v>1.6666666666666667</v>
      </c>
    </row>
    <row r="6" spans="1:23">
      <c r="A6" s="13" t="s">
        <v>30</v>
      </c>
      <c r="B6" s="1">
        <v>1612.560975609756</v>
      </c>
      <c r="C6" s="1">
        <v>1753.4615384615386</v>
      </c>
      <c r="D6" s="1">
        <v>0.85365853658536583</v>
      </c>
      <c r="E6" s="43">
        <v>10</v>
      </c>
      <c r="G6" s="12" t="s">
        <v>270</v>
      </c>
      <c r="H6" s="43">
        <v>4</v>
      </c>
      <c r="I6" s="43">
        <v>24</v>
      </c>
      <c r="J6" s="43">
        <v>95</v>
      </c>
      <c r="K6" s="43">
        <v>43</v>
      </c>
      <c r="L6" s="43">
        <v>134</v>
      </c>
      <c r="M6" s="43">
        <v>10</v>
      </c>
      <c r="N6" s="43">
        <v>310</v>
      </c>
      <c r="Q6" s="6" t="str">
        <f>G7</f>
        <v>mid</v>
      </c>
      <c r="R6" s="72">
        <f>GETPIVOTDATA("Quality/Quantity",$G$3,"Stage",4,"Grade","mid")/GETPIVOTDATA("LVL",$G$15,"Stage",4)</f>
        <v>0.14285714285714285</v>
      </c>
      <c r="S6" s="70">
        <f>GETPIVOTDATA("Quality/Quantity",$G$3,"Stage",5,"Grade","mid")/GETPIVOTDATA("LVL",$G$15,"Stage",5)</f>
        <v>0.5</v>
      </c>
      <c r="T6" s="70">
        <f>GETPIVOTDATA("Quality/Quantity",$G$3,"Stage",7,"Grade","mid")/GETPIVOTDATA("LVL",$G$15,"Stage",7)</f>
        <v>0.55223880597014929</v>
      </c>
      <c r="U6" s="70">
        <f>GETPIVOTDATA("Quality/Quantity",$G$3,"Stage",8,"Grade","mid")/GETPIVOTDATA("LVL",$G$15,"Stage",8)</f>
        <v>0.21875</v>
      </c>
      <c r="V6" s="70">
        <f>GETPIVOTDATA("Quality/Quantity",$G$3,"Stage",9,"Grade","mid")/GETPIVOTDATA("LVL",$G$15,"Stage",9)</f>
        <v>0.55833333333333335</v>
      </c>
      <c r="W6" s="71">
        <f>GETPIVOTDATA("Quality/Quantity",$G$3,"Stage",10,"Grade","mid")/GETPIVOTDATA("LVL",$G$15,"Stage",10)</f>
        <v>0.33333333333333331</v>
      </c>
    </row>
    <row r="7" spans="1:23">
      <c r="A7" s="14">
        <v>1</v>
      </c>
      <c r="B7" s="1">
        <v>1480.3333333333333</v>
      </c>
      <c r="C7" s="1">
        <v>1981.4444444444443</v>
      </c>
      <c r="D7" s="1">
        <v>1.1111111111111112</v>
      </c>
      <c r="E7" s="43"/>
      <c r="G7" s="12" t="s">
        <v>292</v>
      </c>
      <c r="H7" s="43">
        <v>1</v>
      </c>
      <c r="I7" s="43">
        <v>10</v>
      </c>
      <c r="J7" s="43">
        <v>37</v>
      </c>
      <c r="K7" s="43">
        <v>7</v>
      </c>
      <c r="L7" s="43">
        <v>67</v>
      </c>
      <c r="M7" s="43">
        <v>2</v>
      </c>
      <c r="N7" s="43">
        <v>124</v>
      </c>
    </row>
    <row r="8" spans="1:23">
      <c r="A8" s="14">
        <v>11</v>
      </c>
      <c r="B8" s="1">
        <v>1649.75</v>
      </c>
      <c r="C8" s="1">
        <v>1685.0666666666666</v>
      </c>
      <c r="D8" s="1">
        <v>0.78125</v>
      </c>
      <c r="E8" s="43">
        <v>10</v>
      </c>
      <c r="G8" s="12" t="s">
        <v>66</v>
      </c>
      <c r="H8" s="43">
        <v>5</v>
      </c>
      <c r="I8" s="43">
        <v>34</v>
      </c>
      <c r="J8" s="43">
        <v>141</v>
      </c>
      <c r="K8" s="43">
        <v>57</v>
      </c>
      <c r="L8" s="43">
        <v>233</v>
      </c>
      <c r="M8" s="43">
        <v>15</v>
      </c>
      <c r="N8" s="43">
        <v>485</v>
      </c>
    </row>
    <row r="9" spans="1:23">
      <c r="A9" s="13" t="s">
        <v>9</v>
      </c>
      <c r="B9" s="1">
        <v>1469.8686868686868</v>
      </c>
      <c r="C9" s="1">
        <v>829.67676767676767</v>
      </c>
      <c r="D9" s="1">
        <v>0.85858585858585856</v>
      </c>
      <c r="E9" s="43">
        <v>30</v>
      </c>
    </row>
    <row r="10" spans="1:23">
      <c r="A10" s="14">
        <v>1</v>
      </c>
      <c r="B10" s="1">
        <v>1457.7395833333333</v>
      </c>
      <c r="C10" s="1">
        <v>816.58333333333337</v>
      </c>
      <c r="D10" s="1">
        <v>0.88541666666666663</v>
      </c>
      <c r="E10" s="43">
        <v>30</v>
      </c>
    </row>
    <row r="11" spans="1:23">
      <c r="A11" s="14">
        <v>2</v>
      </c>
      <c r="B11" s="1">
        <v>2526</v>
      </c>
      <c r="C11" s="1">
        <v>866</v>
      </c>
      <c r="D11" s="1">
        <v>0</v>
      </c>
      <c r="E11" s="43"/>
    </row>
    <row r="12" spans="1:23">
      <c r="A12" s="14">
        <v>3</v>
      </c>
      <c r="B12" s="1">
        <v>1524</v>
      </c>
      <c r="C12" s="1">
        <v>1440</v>
      </c>
      <c r="D12" s="1">
        <v>0</v>
      </c>
      <c r="E12" s="43"/>
    </row>
    <row r="13" spans="1:23">
      <c r="A13" s="12" t="s">
        <v>31</v>
      </c>
      <c r="B13" s="1">
        <v>1504.3632075471698</v>
      </c>
      <c r="C13" s="1">
        <v>1286.0235849056603</v>
      </c>
      <c r="D13" s="1">
        <v>0.8867924528301887</v>
      </c>
      <c r="E13" s="43">
        <v>63</v>
      </c>
    </row>
    <row r="14" spans="1:23">
      <c r="A14" s="13" t="s">
        <v>30</v>
      </c>
      <c r="B14" s="1">
        <v>1569.4198473282443</v>
      </c>
      <c r="C14" s="1">
        <v>1567.1374045801526</v>
      </c>
      <c r="D14" s="1">
        <v>0.89312977099236646</v>
      </c>
      <c r="E14" s="43">
        <v>37</v>
      </c>
    </row>
    <row r="15" spans="1:23">
      <c r="A15" s="14">
        <v>1</v>
      </c>
      <c r="B15" s="1">
        <v>1625.3953488372092</v>
      </c>
      <c r="C15" s="1">
        <v>1618.5813953488373</v>
      </c>
      <c r="D15" s="1">
        <v>0.79069767441860461</v>
      </c>
      <c r="E15" s="43">
        <v>12</v>
      </c>
      <c r="G15" s="11" t="s">
        <v>260</v>
      </c>
      <c r="H15" s="11" t="s">
        <v>142</v>
      </c>
    </row>
    <row r="16" spans="1:23">
      <c r="A16" s="14">
        <v>2</v>
      </c>
      <c r="B16" s="1">
        <v>1387</v>
      </c>
      <c r="C16" s="1">
        <v>2080</v>
      </c>
      <c r="D16" s="1">
        <v>1</v>
      </c>
      <c r="E16" s="43"/>
      <c r="G16" s="11" t="s">
        <v>64</v>
      </c>
      <c r="H16">
        <v>4</v>
      </c>
      <c r="I16">
        <v>5</v>
      </c>
      <c r="J16">
        <v>7</v>
      </c>
      <c r="K16">
        <v>8</v>
      </c>
      <c r="L16">
        <v>9</v>
      </c>
      <c r="M16">
        <v>10</v>
      </c>
      <c r="N16" t="s">
        <v>66</v>
      </c>
    </row>
    <row r="17" spans="1:14">
      <c r="A17" s="14">
        <v>11</v>
      </c>
      <c r="B17" s="1">
        <v>1543.8505747126437</v>
      </c>
      <c r="C17" s="1">
        <v>1535.816091954023</v>
      </c>
      <c r="D17" s="1">
        <v>0.94252873563218387</v>
      </c>
      <c r="E17" s="43">
        <v>25</v>
      </c>
      <c r="G17" s="12" t="s">
        <v>173</v>
      </c>
      <c r="H17" s="43"/>
      <c r="I17" s="43">
        <v>1</v>
      </c>
      <c r="J17" s="43">
        <v>1</v>
      </c>
      <c r="K17" s="43">
        <v>3</v>
      </c>
      <c r="L17" s="43">
        <v>1</v>
      </c>
      <c r="M17" s="43">
        <v>4</v>
      </c>
      <c r="N17" s="43">
        <v>10</v>
      </c>
    </row>
    <row r="18" spans="1:14">
      <c r="A18" s="13" t="s">
        <v>9</v>
      </c>
      <c r="B18" s="1">
        <v>1399.148148148148</v>
      </c>
      <c r="C18" s="1">
        <v>831.38271604938268</v>
      </c>
      <c r="D18" s="1">
        <v>0.87654320987654322</v>
      </c>
      <c r="E18" s="43">
        <v>26</v>
      </c>
      <c r="G18" s="12" t="s">
        <v>139</v>
      </c>
      <c r="H18" s="43"/>
      <c r="I18" s="43">
        <v>16</v>
      </c>
      <c r="J18" s="43"/>
      <c r="K18" s="43"/>
      <c r="L18" s="43"/>
      <c r="M18" s="43"/>
      <c r="N18" s="43">
        <v>16</v>
      </c>
    </row>
    <row r="19" spans="1:14">
      <c r="A19" s="14">
        <v>1</v>
      </c>
      <c r="B19" s="1">
        <v>1399.148148148148</v>
      </c>
      <c r="C19" s="1">
        <v>831.38271604938268</v>
      </c>
      <c r="D19" s="1">
        <v>0.87654320987654322</v>
      </c>
      <c r="E19" s="43">
        <v>26</v>
      </c>
      <c r="G19" s="12" t="s">
        <v>36</v>
      </c>
      <c r="H19" s="43">
        <v>7</v>
      </c>
      <c r="I19" s="43">
        <v>3</v>
      </c>
      <c r="J19" s="43">
        <v>62</v>
      </c>
      <c r="K19" s="43"/>
      <c r="L19" s="43">
        <v>25</v>
      </c>
      <c r="M19" s="43"/>
      <c r="N19" s="43">
        <v>97</v>
      </c>
    </row>
    <row r="20" spans="1:14">
      <c r="A20" s="12" t="s">
        <v>36</v>
      </c>
      <c r="B20" s="1">
        <v>2293.9793814432992</v>
      </c>
      <c r="C20" s="1">
        <v>0</v>
      </c>
      <c r="D20" s="1">
        <v>0.68041237113402064</v>
      </c>
      <c r="E20" s="43">
        <v>96</v>
      </c>
      <c r="G20" s="12" t="s">
        <v>207</v>
      </c>
      <c r="H20" s="43"/>
      <c r="I20" s="43"/>
      <c r="J20" s="43">
        <v>4</v>
      </c>
      <c r="K20" s="43">
        <v>29</v>
      </c>
      <c r="L20" s="43">
        <v>67</v>
      </c>
      <c r="M20" s="43"/>
      <c r="N20" s="43">
        <v>100</v>
      </c>
    </row>
    <row r="21" spans="1:14">
      <c r="A21" s="13" t="s">
        <v>9</v>
      </c>
      <c r="B21" s="1">
        <v>2293.9793814432992</v>
      </c>
      <c r="C21" s="1">
        <v>0</v>
      </c>
      <c r="D21" s="1">
        <v>0.68041237113402064</v>
      </c>
      <c r="E21" s="43">
        <v>96</v>
      </c>
      <c r="G21" s="12" t="s">
        <v>262</v>
      </c>
      <c r="H21" s="43"/>
      <c r="I21" s="43"/>
      <c r="J21" s="43"/>
      <c r="K21" s="43"/>
      <c r="L21" s="43">
        <v>27</v>
      </c>
      <c r="M21" s="43">
        <v>2</v>
      </c>
      <c r="N21" s="43">
        <v>29</v>
      </c>
    </row>
    <row r="22" spans="1:14">
      <c r="A22" s="14">
        <v>4</v>
      </c>
      <c r="B22" s="1">
        <v>1267.7142857142858</v>
      </c>
      <c r="C22" s="1">
        <v>0</v>
      </c>
      <c r="D22" s="1">
        <v>0.7142857142857143</v>
      </c>
      <c r="E22" s="43">
        <v>7</v>
      </c>
      <c r="G22" s="12" t="s">
        <v>66</v>
      </c>
      <c r="H22" s="43">
        <v>7</v>
      </c>
      <c r="I22" s="43">
        <v>20</v>
      </c>
      <c r="J22" s="43">
        <v>67</v>
      </c>
      <c r="K22" s="43">
        <v>32</v>
      </c>
      <c r="L22" s="43">
        <v>120</v>
      </c>
      <c r="M22" s="43">
        <v>6</v>
      </c>
      <c r="N22" s="43">
        <v>252</v>
      </c>
    </row>
    <row r="23" spans="1:14">
      <c r="A23" s="14">
        <v>5</v>
      </c>
      <c r="B23" s="1">
        <v>1404</v>
      </c>
      <c r="C23" s="1">
        <v>0</v>
      </c>
      <c r="D23" s="1">
        <v>0.66666666666666663</v>
      </c>
      <c r="E23" s="43">
        <v>3</v>
      </c>
    </row>
    <row r="24" spans="1:14">
      <c r="A24" s="14">
        <v>7</v>
      </c>
      <c r="B24" s="1">
        <v>2319.9516129032259</v>
      </c>
      <c r="C24" s="1">
        <v>0</v>
      </c>
      <c r="D24" s="1">
        <v>0.58064516129032262</v>
      </c>
      <c r="E24" s="43">
        <v>62</v>
      </c>
    </row>
    <row r="25" spans="1:14">
      <c r="A25" s="14">
        <v>9</v>
      </c>
      <c r="B25" s="1">
        <v>2623.72</v>
      </c>
      <c r="C25" s="1">
        <v>0</v>
      </c>
      <c r="D25" s="1">
        <v>0.92</v>
      </c>
      <c r="E25" s="43">
        <v>24</v>
      </c>
    </row>
    <row r="26" spans="1:14">
      <c r="A26" s="12" t="s">
        <v>59</v>
      </c>
      <c r="B26" s="1">
        <v>1192</v>
      </c>
      <c r="C26" s="1">
        <v>0</v>
      </c>
      <c r="D26" s="1">
        <v>1</v>
      </c>
      <c r="E26" s="43">
        <v>1</v>
      </c>
    </row>
    <row r="27" spans="1:14">
      <c r="A27" s="13" t="s">
        <v>32</v>
      </c>
      <c r="B27" s="1">
        <v>1192</v>
      </c>
      <c r="C27" s="1">
        <v>0</v>
      </c>
      <c r="D27" s="1">
        <v>1</v>
      </c>
      <c r="E27" s="43">
        <v>1</v>
      </c>
    </row>
    <row r="28" spans="1:14">
      <c r="A28" s="14">
        <v>2</v>
      </c>
      <c r="B28" s="1">
        <v>1192</v>
      </c>
      <c r="C28" s="1">
        <v>0</v>
      </c>
      <c r="D28" s="1">
        <v>1</v>
      </c>
      <c r="E28" s="43">
        <v>1</v>
      </c>
    </row>
    <row r="29" spans="1:14">
      <c r="A29" s="12" t="s">
        <v>8</v>
      </c>
      <c r="B29" s="1">
        <v>1458.825925925926</v>
      </c>
      <c r="C29" s="1">
        <v>912.60526315789468</v>
      </c>
      <c r="D29" s="1">
        <v>0.92962962962962958</v>
      </c>
      <c r="E29" s="43">
        <v>78</v>
      </c>
    </row>
    <row r="30" spans="1:14">
      <c r="A30" s="13" t="s">
        <v>30</v>
      </c>
      <c r="B30" s="1">
        <v>1422.1666666666667</v>
      </c>
      <c r="C30" s="1">
        <v>607.5094339622641</v>
      </c>
      <c r="D30" s="1">
        <v>0.87037037037037035</v>
      </c>
      <c r="E30" s="43">
        <v>21</v>
      </c>
    </row>
    <row r="31" spans="1:14">
      <c r="A31" s="14">
        <v>3</v>
      </c>
      <c r="B31" s="1">
        <v>1420.6981132075471</v>
      </c>
      <c r="C31" s="1">
        <v>597.03846153846155</v>
      </c>
      <c r="D31" s="1">
        <v>0.86792452830188682</v>
      </c>
      <c r="E31" s="43">
        <v>21</v>
      </c>
    </row>
    <row r="32" spans="1:14">
      <c r="A32" s="14">
        <v>6</v>
      </c>
      <c r="B32" s="1">
        <v>1500</v>
      </c>
      <c r="C32" s="1">
        <v>1152</v>
      </c>
      <c r="D32" s="1">
        <v>1</v>
      </c>
      <c r="E32" s="43"/>
    </row>
    <row r="33" spans="1:5">
      <c r="A33" s="13" t="s">
        <v>32</v>
      </c>
      <c r="B33" s="1">
        <v>1525.316091954023</v>
      </c>
      <c r="C33" s="1">
        <v>1159.0116959064328</v>
      </c>
      <c r="D33" s="1">
        <v>0.96551724137931039</v>
      </c>
      <c r="E33" s="43">
        <v>43</v>
      </c>
    </row>
    <row r="34" spans="1:5">
      <c r="A34" s="14">
        <v>3</v>
      </c>
      <c r="B34" s="1">
        <v>1519.1730769230769</v>
      </c>
      <c r="C34" s="1">
        <v>1149.437908496732</v>
      </c>
      <c r="D34" s="1">
        <v>0.98076923076923073</v>
      </c>
      <c r="E34" s="43">
        <v>40</v>
      </c>
    </row>
    <row r="35" spans="1:5">
      <c r="A35" s="14">
        <v>13</v>
      </c>
      <c r="B35" s="1">
        <v>1578.5555555555557</v>
      </c>
      <c r="C35" s="1">
        <v>1240.3888888888889</v>
      </c>
      <c r="D35" s="1">
        <v>0.83333333333333337</v>
      </c>
      <c r="E35" s="43">
        <v>3</v>
      </c>
    </row>
    <row r="36" spans="1:5">
      <c r="A36" s="13" t="s">
        <v>9</v>
      </c>
      <c r="B36" s="1">
        <v>1230.5</v>
      </c>
      <c r="C36" s="1">
        <v>294.38095238095241</v>
      </c>
      <c r="D36" s="1">
        <v>0.8571428571428571</v>
      </c>
      <c r="E36" s="43">
        <v>14</v>
      </c>
    </row>
    <row r="37" spans="1:5">
      <c r="A37" s="14">
        <v>1</v>
      </c>
      <c r="B37" s="1">
        <v>1315</v>
      </c>
      <c r="C37" s="1">
        <v>912</v>
      </c>
      <c r="D37" s="1">
        <v>2</v>
      </c>
      <c r="E37" s="43"/>
    </row>
    <row r="38" spans="1:5">
      <c r="A38" s="14">
        <v>3</v>
      </c>
      <c r="B38" s="1">
        <v>1228.439024390244</v>
      </c>
      <c r="C38" s="1">
        <v>279.3170731707317</v>
      </c>
      <c r="D38" s="1">
        <v>0.82926829268292679</v>
      </c>
      <c r="E38" s="43">
        <v>14</v>
      </c>
    </row>
    <row r="39" spans="1:5">
      <c r="A39" s="12" t="s">
        <v>172</v>
      </c>
      <c r="B39" s="1">
        <v>3625.4257425742576</v>
      </c>
      <c r="C39" s="1">
        <v>4470.3861386138615</v>
      </c>
      <c r="D39" s="1">
        <v>1.0066006600660067</v>
      </c>
      <c r="E39" s="43">
        <v>285</v>
      </c>
    </row>
    <row r="40" spans="1:5">
      <c r="A40" s="13" t="s">
        <v>9</v>
      </c>
      <c r="B40" s="1">
        <v>3625.4257425742576</v>
      </c>
      <c r="C40" s="1">
        <v>4470.3861386138615</v>
      </c>
      <c r="D40" s="1">
        <v>1.0066006600660067</v>
      </c>
      <c r="E40" s="43">
        <v>285</v>
      </c>
    </row>
    <row r="41" spans="1:5">
      <c r="A41" s="14">
        <v>3</v>
      </c>
      <c r="B41" s="1">
        <v>1603</v>
      </c>
      <c r="C41" s="1">
        <v>1752</v>
      </c>
      <c r="D41" s="1">
        <v>1</v>
      </c>
      <c r="E41" s="43"/>
    </row>
    <row r="42" spans="1:5">
      <c r="A42" s="14">
        <v>4</v>
      </c>
      <c r="B42" s="1">
        <v>1657</v>
      </c>
      <c r="C42" s="1">
        <v>3168</v>
      </c>
      <c r="D42" s="1">
        <v>2</v>
      </c>
      <c r="E42" s="43"/>
    </row>
    <row r="43" spans="1:5">
      <c r="A43" s="14">
        <v>5</v>
      </c>
      <c r="B43" s="1">
        <v>2308.8125</v>
      </c>
      <c r="C43" s="1">
        <v>3085.6875</v>
      </c>
      <c r="D43" s="1">
        <v>1.75</v>
      </c>
      <c r="E43" s="43">
        <v>6</v>
      </c>
    </row>
    <row r="44" spans="1:5">
      <c r="A44" s="14">
        <v>6</v>
      </c>
      <c r="B44" s="1">
        <v>2534.2727272727275</v>
      </c>
      <c r="C44" s="1">
        <v>2383.5454545454545</v>
      </c>
      <c r="D44" s="1">
        <v>0.90909090909090906</v>
      </c>
      <c r="E44" s="43">
        <v>6</v>
      </c>
    </row>
    <row r="45" spans="1:5">
      <c r="A45" s="14">
        <v>7</v>
      </c>
      <c r="B45" s="1">
        <v>3058.48</v>
      </c>
      <c r="C45" s="1">
        <v>2632.72</v>
      </c>
      <c r="D45" s="1">
        <v>1.1000000000000001</v>
      </c>
      <c r="E45" s="43">
        <v>49</v>
      </c>
    </row>
    <row r="46" spans="1:5">
      <c r="A46" s="14">
        <v>8</v>
      </c>
      <c r="B46" s="1">
        <v>3450.9459459459458</v>
      </c>
      <c r="C46" s="1">
        <v>3394.864864864865</v>
      </c>
      <c r="D46" s="1">
        <v>0.89189189189189189</v>
      </c>
      <c r="E46" s="43">
        <v>37</v>
      </c>
    </row>
    <row r="47" spans="1:5">
      <c r="A47" s="14">
        <v>10</v>
      </c>
      <c r="B47" s="1">
        <v>4009.7165775401068</v>
      </c>
      <c r="C47" s="1">
        <v>5437.2780748663099</v>
      </c>
      <c r="D47" s="1">
        <v>0.94117647058823528</v>
      </c>
      <c r="E47" s="43">
        <v>187</v>
      </c>
    </row>
    <row r="48" spans="1:5">
      <c r="A48" s="12" t="s">
        <v>66</v>
      </c>
      <c r="B48" s="1">
        <v>2196.140762463343</v>
      </c>
      <c r="C48" s="1">
        <v>1988.6220472440946</v>
      </c>
      <c r="D48" s="1">
        <v>0.91006842619745842</v>
      </c>
      <c r="E48" s="43">
        <v>563</v>
      </c>
    </row>
  </sheetData>
  <mergeCells count="1">
    <mergeCell ref="R2:W2"/>
  </mergeCell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3:W23"/>
  <sheetViews>
    <sheetView zoomScaleNormal="100" workbookViewId="0">
      <selection activeCell="E33" sqref="E33"/>
    </sheetView>
  </sheetViews>
  <sheetFormatPr defaultRowHeight="14.25"/>
  <cols>
    <col min="1" max="1" width="17" customWidth="1"/>
    <col min="2" max="2" width="23.875" bestFit="1" customWidth="1"/>
    <col min="3" max="3" width="24.125" bestFit="1" customWidth="1"/>
    <col min="4" max="4" width="25.5" bestFit="1" customWidth="1"/>
    <col min="5" max="5" width="25.75" bestFit="1" customWidth="1"/>
    <col min="6" max="6" width="25.5" bestFit="1" customWidth="1"/>
    <col min="7" max="7" width="25.75" bestFit="1" customWidth="1"/>
    <col min="8" max="8" width="28" bestFit="1" customWidth="1"/>
    <col min="9" max="9" width="28.375" bestFit="1" customWidth="1"/>
    <col min="10" max="10" width="27" bestFit="1" customWidth="1"/>
    <col min="11" max="11" width="27.375" bestFit="1" customWidth="1"/>
    <col min="12" max="12" width="23.875" bestFit="1" customWidth="1"/>
    <col min="13" max="13" width="24.125" bestFit="1" customWidth="1"/>
    <col min="14" max="14" width="25.5" bestFit="1" customWidth="1"/>
    <col min="15" max="15" width="25.75" bestFit="1" customWidth="1"/>
    <col min="16" max="16" width="25.5" bestFit="1" customWidth="1"/>
    <col min="17" max="17" width="25.75" bestFit="1" customWidth="1"/>
    <col min="18" max="18" width="27" bestFit="1" customWidth="1"/>
    <col min="19" max="19" width="27.375" bestFit="1" customWidth="1"/>
    <col min="20" max="20" width="28" bestFit="1" customWidth="1"/>
    <col min="21" max="21" width="28.375" bestFit="1" customWidth="1"/>
    <col min="22" max="22" width="31.125" bestFit="1" customWidth="1"/>
    <col min="23" max="23" width="31.375" bestFit="1" customWidth="1"/>
    <col min="24" max="24" width="24" bestFit="1" customWidth="1"/>
    <col min="25" max="25" width="24.375" bestFit="1" customWidth="1"/>
    <col min="26" max="26" width="25.625" bestFit="1" customWidth="1"/>
    <col min="27" max="27" width="26" bestFit="1" customWidth="1"/>
    <col min="28" max="28" width="25.625" bestFit="1" customWidth="1"/>
    <col min="29" max="29" width="26" bestFit="1" customWidth="1"/>
    <col min="30" max="30" width="27.25" bestFit="1" customWidth="1"/>
    <col min="31" max="31" width="27.625" bestFit="1" customWidth="1"/>
    <col min="32" max="32" width="28.25" bestFit="1" customWidth="1"/>
    <col min="33" max="33" width="28.625" bestFit="1" customWidth="1"/>
    <col min="34" max="34" width="31.25" bestFit="1" customWidth="1"/>
    <col min="35" max="35" width="31.625" bestFit="1" customWidth="1"/>
    <col min="36" max="36" width="25.625" bestFit="1" customWidth="1"/>
    <col min="37" max="37" width="26" bestFit="1" customWidth="1"/>
    <col min="38" max="38" width="27.25" bestFit="1" customWidth="1"/>
    <col min="39" max="39" width="27.625" bestFit="1" customWidth="1"/>
    <col min="40" max="40" width="28.25" bestFit="1" customWidth="1"/>
    <col min="41" max="41" width="28.625" bestFit="1" customWidth="1"/>
    <col min="42" max="42" width="31.25" bestFit="1" customWidth="1"/>
    <col min="43" max="43" width="31.625" bestFit="1" customWidth="1"/>
    <col min="44" max="52" width="19.875" customWidth="1"/>
    <col min="53" max="53" width="23.75" customWidth="1"/>
    <col min="54" max="54" width="24.125" customWidth="1"/>
    <col min="55" max="56" width="19.75" customWidth="1"/>
    <col min="57" max="80" width="19.875" customWidth="1"/>
    <col min="81" max="81" width="23.75" customWidth="1"/>
    <col min="82" max="82" width="24.125" customWidth="1"/>
    <col min="83" max="84" width="19.75" customWidth="1"/>
    <col min="85" max="108" width="19.875" customWidth="1"/>
    <col min="109" max="109" width="23.75" customWidth="1"/>
    <col min="110" max="110" width="24.125" customWidth="1"/>
    <col min="111" max="112" width="19.75" customWidth="1"/>
    <col min="113" max="136" width="19.875" customWidth="1"/>
    <col min="137" max="137" width="23.75" customWidth="1"/>
    <col min="138" max="138" width="24.125" customWidth="1"/>
    <col min="139" max="140" width="19.75" customWidth="1"/>
    <col min="141" max="164" width="19.875" customWidth="1"/>
    <col min="165" max="165" width="24.75" customWidth="1"/>
    <col min="166" max="166" width="25.125" customWidth="1"/>
    <col min="167" max="168" width="20.75" customWidth="1"/>
    <col min="169" max="169" width="26.75" customWidth="1"/>
    <col min="170" max="170" width="27.125" customWidth="1"/>
    <col min="171" max="172" width="22.75" customWidth="1"/>
    <col min="173" max="188" width="19.875" customWidth="1"/>
    <col min="189" max="189" width="23.75" customWidth="1"/>
    <col min="190" max="190" width="24.125" customWidth="1"/>
    <col min="191" max="192" width="19.75" customWidth="1"/>
    <col min="193" max="236" width="19.875" customWidth="1"/>
    <col min="237" max="237" width="23.75" customWidth="1"/>
    <col min="238" max="238" width="24.125" customWidth="1"/>
    <col min="239" max="240" width="19.75" customWidth="1"/>
    <col min="241" max="284" width="19.875" customWidth="1"/>
    <col min="285" max="285" width="24.75" customWidth="1"/>
    <col min="286" max="286" width="25.125" customWidth="1"/>
    <col min="287" max="288" width="20.75" customWidth="1"/>
    <col min="289" max="289" width="22.75" customWidth="1"/>
    <col min="290" max="290" width="23.125" customWidth="1"/>
    <col min="291" max="292" width="18.75" customWidth="1"/>
    <col min="293" max="336" width="19.875" customWidth="1"/>
    <col min="337" max="337" width="22.75" customWidth="1"/>
    <col min="338" max="338" width="23.125" customWidth="1"/>
    <col min="339" max="340" width="18.75" customWidth="1"/>
    <col min="341" max="384" width="19.875" customWidth="1"/>
    <col min="385" max="385" width="23.75" customWidth="1"/>
    <col min="386" max="386" width="24.125" customWidth="1"/>
    <col min="387" max="388" width="19.75" customWidth="1"/>
    <col min="389" max="432" width="19.875" customWidth="1"/>
    <col min="433" max="433" width="23.75" customWidth="1"/>
    <col min="434" max="434" width="24.125" customWidth="1"/>
    <col min="435" max="436" width="19.75" customWidth="1"/>
    <col min="437" max="439" width="19.875" customWidth="1"/>
    <col min="440" max="460" width="19.875" bestFit="1" customWidth="1"/>
    <col min="461" max="462" width="19.875" customWidth="1"/>
    <col min="463" max="471" width="19.875" bestFit="1" customWidth="1"/>
    <col min="472" max="474" width="19.875" customWidth="1"/>
    <col min="475" max="480" width="19.875" bestFit="1" customWidth="1"/>
    <col min="481" max="481" width="23.75" bestFit="1" customWidth="1"/>
    <col min="482" max="482" width="24.125" bestFit="1" customWidth="1"/>
    <col min="483" max="484" width="19.75" customWidth="1"/>
    <col min="485" max="486" width="19.875" customWidth="1"/>
    <col min="487" max="507" width="19.875" bestFit="1" customWidth="1"/>
    <col min="508" max="510" width="19.875" customWidth="1"/>
    <col min="511" max="528" width="19.875" bestFit="1" customWidth="1"/>
    <col min="529" max="529" width="23.75" bestFit="1" customWidth="1"/>
    <col min="530" max="530" width="24.125" bestFit="1" customWidth="1"/>
    <col min="531" max="532" width="19.75" customWidth="1"/>
    <col min="533" max="534" width="19.875" customWidth="1"/>
    <col min="535" max="543" width="19.875" bestFit="1" customWidth="1"/>
    <col min="544" max="546" width="19.875" customWidth="1"/>
    <col min="547" max="556" width="19.875" bestFit="1" customWidth="1"/>
    <col min="557" max="558" width="19.875" customWidth="1"/>
    <col min="559" max="576" width="19.875" bestFit="1" customWidth="1"/>
    <col min="577" max="577" width="24.75" bestFit="1" customWidth="1"/>
    <col min="578" max="578" width="25.125" bestFit="1" customWidth="1"/>
    <col min="579" max="579" width="20.75" bestFit="1" customWidth="1"/>
    <col min="580" max="580" width="20.75" customWidth="1"/>
    <col min="581" max="581" width="23.75" customWidth="1"/>
    <col min="582" max="582" width="24.125" customWidth="1"/>
    <col min="583" max="584" width="19.75" customWidth="1"/>
    <col min="585" max="606" width="19.875" bestFit="1" customWidth="1"/>
    <col min="607" max="608" width="19.875" customWidth="1"/>
    <col min="609" max="615" width="19.875" bestFit="1" customWidth="1"/>
    <col min="616" max="618" width="19.875" customWidth="1"/>
    <col min="619" max="628" width="19.875" bestFit="1" customWidth="1"/>
    <col min="629" max="629" width="22.75" bestFit="1" customWidth="1"/>
    <col min="630" max="630" width="23.125" bestFit="1" customWidth="1"/>
    <col min="631" max="632" width="18.75" customWidth="1"/>
    <col min="633" max="651" width="19.875" bestFit="1" customWidth="1"/>
    <col min="652" max="657" width="19.875" customWidth="1"/>
    <col min="658" max="676" width="19.875" bestFit="1" customWidth="1"/>
    <col min="677" max="677" width="23.75" bestFit="1" customWidth="1"/>
    <col min="678" max="678" width="24.125" bestFit="1" customWidth="1"/>
    <col min="679" max="680" width="19.75" customWidth="1"/>
    <col min="681" max="690" width="19.875" bestFit="1" customWidth="1"/>
    <col min="691" max="693" width="19.875" customWidth="1"/>
    <col min="694" max="702" width="19.875" bestFit="1" customWidth="1"/>
    <col min="703" max="704" width="19.875" customWidth="1"/>
    <col min="705" max="724" width="19.875" bestFit="1" customWidth="1"/>
    <col min="725" max="725" width="23.75" bestFit="1" customWidth="1"/>
    <col min="726" max="726" width="24.125" bestFit="1" customWidth="1"/>
    <col min="727" max="728" width="19.75" customWidth="1"/>
    <col min="729" max="730" width="19.875" customWidth="1"/>
    <col min="731" max="752" width="19.875" bestFit="1" customWidth="1"/>
    <col min="753" max="754" width="19.875" customWidth="1"/>
    <col min="755" max="762" width="19.875" bestFit="1" customWidth="1"/>
    <col min="763" max="765" width="19.875" customWidth="1"/>
    <col min="766" max="772" width="19.875" bestFit="1" customWidth="1"/>
    <col min="773" max="773" width="23.75" bestFit="1" customWidth="1"/>
    <col min="774" max="774" width="24.125" bestFit="1" customWidth="1"/>
    <col min="775" max="776" width="19.75" customWidth="1"/>
    <col min="777" max="778" width="19.875" customWidth="1"/>
    <col min="779" max="798" width="19.875" bestFit="1" customWidth="1"/>
    <col min="799" max="802" width="19.875" customWidth="1"/>
    <col min="803" max="820" width="19.875" bestFit="1" customWidth="1"/>
    <col min="821" max="821" width="23.75" bestFit="1" customWidth="1"/>
    <col min="822" max="822" width="24.125" bestFit="1" customWidth="1"/>
    <col min="823" max="824" width="19.75" customWidth="1"/>
    <col min="825" max="826" width="19.875" customWidth="1"/>
    <col min="827" max="834" width="19.875" bestFit="1" customWidth="1"/>
    <col min="835" max="837" width="19.875" customWidth="1"/>
    <col min="838" max="848" width="19.875" bestFit="1" customWidth="1"/>
    <col min="849" max="850" width="19.875" customWidth="1"/>
    <col min="851" max="868" width="19.875" bestFit="1" customWidth="1"/>
    <col min="869" max="869" width="24.75" bestFit="1" customWidth="1"/>
    <col min="870" max="870" width="25.125" bestFit="1" customWidth="1"/>
    <col min="871" max="872" width="20.75" customWidth="1"/>
    <col min="873" max="873" width="23.75" customWidth="1"/>
    <col min="874" max="874" width="24.125" customWidth="1"/>
    <col min="875" max="876" width="19.75" customWidth="1"/>
    <col min="877" max="878" width="19.875" customWidth="1"/>
    <col min="879" max="909" width="19.875" bestFit="1" customWidth="1"/>
    <col min="910" max="911" width="19.875" customWidth="1"/>
    <col min="912" max="920" width="19.875" bestFit="1" customWidth="1"/>
    <col min="921" max="921" width="22.75" bestFit="1" customWidth="1"/>
    <col min="922" max="922" width="23.125" bestFit="1" customWidth="1"/>
    <col min="923" max="924" width="18.75" customWidth="1"/>
    <col min="925" max="945" width="19.875" bestFit="1" customWidth="1"/>
    <col min="946" max="947" width="19.875" customWidth="1"/>
    <col min="948" max="968" width="19.875" bestFit="1" customWidth="1"/>
    <col min="969" max="969" width="23.75" bestFit="1" customWidth="1"/>
    <col min="970" max="970" width="24.125" bestFit="1" customWidth="1"/>
    <col min="971" max="972" width="19.75" customWidth="1"/>
    <col min="973" max="981" width="19.875" bestFit="1" customWidth="1"/>
    <col min="982" max="983" width="19.875" customWidth="1"/>
    <col min="984" max="1016" width="19.875" bestFit="1" customWidth="1"/>
    <col min="1017" max="1017" width="23.75" bestFit="1" customWidth="1"/>
    <col min="1018" max="1018" width="24.125" bestFit="1" customWidth="1"/>
    <col min="1019" max="1019" width="19.75" customWidth="1"/>
    <col min="1020" max="1020" width="19.75" bestFit="1" customWidth="1"/>
    <col min="1021" max="1053" width="19.875" bestFit="1" customWidth="1"/>
    <col min="1054" max="1055" width="19.875" customWidth="1"/>
    <col min="1056" max="1064" width="19.875" bestFit="1" customWidth="1"/>
    <col min="1065" max="1065" width="23.75" bestFit="1" customWidth="1"/>
    <col min="1066" max="1066" width="24.125" bestFit="1" customWidth="1"/>
    <col min="1067" max="1068" width="19.75" customWidth="1"/>
    <col min="1069" max="1089" width="19.875" bestFit="1" customWidth="1"/>
    <col min="1090" max="1094" width="19.875" customWidth="1"/>
    <col min="1095" max="1112" width="19.875" bestFit="1" customWidth="1"/>
    <col min="1113" max="1113" width="23.75" bestFit="1" customWidth="1"/>
    <col min="1114" max="1114" width="24.125" bestFit="1" customWidth="1"/>
    <col min="1115" max="1116" width="19.75" customWidth="1"/>
    <col min="1117" max="1128" width="19.875" bestFit="1" customWidth="1"/>
    <col min="1129" max="1130" width="19.875" customWidth="1"/>
    <col min="1131" max="1160" width="19.875" bestFit="1" customWidth="1"/>
    <col min="1161" max="1161" width="24.75" bestFit="1" customWidth="1"/>
    <col min="1162" max="1162" width="25.125" bestFit="1" customWidth="1"/>
    <col min="1163" max="1164" width="20.75" bestFit="1" customWidth="1"/>
    <col min="1165" max="1165" width="23.75" bestFit="1" customWidth="1"/>
    <col min="1166" max="1166" width="24.125" bestFit="1" customWidth="1"/>
    <col min="1167" max="1167" width="19.75" bestFit="1" customWidth="1"/>
    <col min="1168" max="1168" width="19.75" customWidth="1"/>
    <col min="1169" max="1200" width="19.875" bestFit="1" customWidth="1"/>
    <col min="1201" max="1202" width="19.875" customWidth="1"/>
    <col min="1203" max="1212" width="19.875" bestFit="1" customWidth="1"/>
    <col min="1213" max="1213" width="22.75" bestFit="1" customWidth="1"/>
    <col min="1214" max="1214" width="23.125" bestFit="1" customWidth="1"/>
    <col min="1215" max="1216" width="18.75" customWidth="1"/>
    <col min="1217" max="1236" width="19.875" bestFit="1" customWidth="1"/>
    <col min="1237" max="1238" width="19.875" customWidth="1"/>
    <col min="1239" max="1260" width="19.875" bestFit="1" customWidth="1"/>
    <col min="1261" max="1261" width="23.75" bestFit="1" customWidth="1"/>
    <col min="1262" max="1262" width="24.125" bestFit="1" customWidth="1"/>
    <col min="1263" max="1264" width="19.75" customWidth="1"/>
    <col min="1265" max="1272" width="19.875" bestFit="1" customWidth="1"/>
    <col min="1273" max="1274" width="19.875" customWidth="1"/>
    <col min="1275" max="1308" width="19.875" bestFit="1" customWidth="1"/>
    <col min="1309" max="1309" width="23.75" customWidth="1"/>
    <col min="1310" max="1310" width="24.125" customWidth="1"/>
    <col min="1311" max="1312" width="19.75" customWidth="1"/>
    <col min="1313" max="1317" width="19.875" customWidth="1"/>
    <col min="1318" max="1356" width="19.875" bestFit="1" customWidth="1"/>
    <col min="1357" max="1357" width="23.75" bestFit="1" customWidth="1"/>
    <col min="1358" max="1358" width="24.125" bestFit="1" customWidth="1"/>
    <col min="1359" max="1360" width="19.75" bestFit="1" customWidth="1"/>
    <col min="1361" max="1404" width="19.875" bestFit="1" customWidth="1"/>
    <col min="1405" max="1405" width="23.75" bestFit="1" customWidth="1"/>
    <col min="1406" max="1406" width="24.125" bestFit="1" customWidth="1"/>
    <col min="1407" max="1408" width="19.75" bestFit="1" customWidth="1"/>
    <col min="1409" max="1452" width="19.875" bestFit="1" customWidth="1"/>
    <col min="1453" max="1453" width="24.75" bestFit="1" customWidth="1"/>
    <col min="1454" max="1454" width="25.125" bestFit="1" customWidth="1"/>
    <col min="1455" max="1456" width="20.75" bestFit="1" customWidth="1"/>
    <col min="1457" max="1457" width="23.75" bestFit="1" customWidth="1"/>
    <col min="1458" max="1458" width="24.125" bestFit="1" customWidth="1"/>
    <col min="1459" max="1460" width="19.75" bestFit="1" customWidth="1"/>
    <col min="1461" max="1504" width="19.875" bestFit="1" customWidth="1"/>
    <col min="1505" max="1505" width="22.75" bestFit="1" customWidth="1"/>
    <col min="1506" max="1506" width="23.125" bestFit="1" customWidth="1"/>
    <col min="1507" max="1508" width="18.75" bestFit="1" customWidth="1"/>
    <col min="1509" max="1552" width="19.875" bestFit="1" customWidth="1"/>
    <col min="1553" max="1553" width="23.75" bestFit="1" customWidth="1"/>
    <col min="1554" max="1554" width="24.125" bestFit="1" customWidth="1"/>
    <col min="1555" max="1556" width="19.75" bestFit="1" customWidth="1"/>
    <col min="1557" max="1600" width="19.875" bestFit="1" customWidth="1"/>
    <col min="1601" max="1601" width="23.75" bestFit="1" customWidth="1"/>
    <col min="1602" max="1602" width="24.125" bestFit="1" customWidth="1"/>
    <col min="1603" max="1604" width="19.75" bestFit="1" customWidth="1"/>
    <col min="1605" max="1648" width="19.875" bestFit="1" customWidth="1"/>
    <col min="1649" max="1649" width="23.75" bestFit="1" customWidth="1"/>
    <col min="1650" max="1650" width="24.125" bestFit="1" customWidth="1"/>
    <col min="1651" max="1652" width="19.75" bestFit="1" customWidth="1"/>
    <col min="1653" max="1696" width="19.875" bestFit="1" customWidth="1"/>
    <col min="1697" max="1697" width="23.75" bestFit="1" customWidth="1"/>
    <col min="1698" max="1698" width="24.125" bestFit="1" customWidth="1"/>
    <col min="1699" max="1700" width="19.75" bestFit="1" customWidth="1"/>
    <col min="1701" max="1744" width="19.875" bestFit="1" customWidth="1"/>
    <col min="1745" max="1745" width="24.75" bestFit="1" customWidth="1"/>
    <col min="1746" max="1746" width="25.125" bestFit="1" customWidth="1"/>
    <col min="1747" max="1748" width="20.75" bestFit="1" customWidth="1"/>
    <col min="1749" max="1749" width="24.75" bestFit="1" customWidth="1"/>
    <col min="1750" max="1750" width="25.125" bestFit="1" customWidth="1"/>
    <col min="1751" max="1752" width="20.75" bestFit="1" customWidth="1"/>
    <col min="1753" max="1753" width="26.75" bestFit="1" customWidth="1"/>
    <col min="1754" max="1754" width="27.125" bestFit="1" customWidth="1"/>
    <col min="1755" max="1756" width="22.75" bestFit="1" customWidth="1"/>
  </cols>
  <sheetData>
    <row r="3" spans="1:23">
      <c r="A3" s="11" t="s">
        <v>33</v>
      </c>
      <c r="B3" s="188">
        <v>0.2</v>
      </c>
    </row>
    <row r="5" spans="1:23">
      <c r="B5" s="11" t="s">
        <v>142</v>
      </c>
    </row>
    <row r="6" spans="1:23">
      <c r="B6" s="15">
        <v>0</v>
      </c>
      <c r="J6" s="15" t="s">
        <v>815</v>
      </c>
      <c r="K6" s="15" t="s">
        <v>816</v>
      </c>
      <c r="L6" s="15">
        <v>0.2</v>
      </c>
      <c r="T6" s="15" t="s">
        <v>817</v>
      </c>
      <c r="U6" s="15" t="s">
        <v>818</v>
      </c>
      <c r="V6" s="15" t="s">
        <v>809</v>
      </c>
      <c r="W6" s="15" t="s">
        <v>810</v>
      </c>
    </row>
    <row r="7" spans="1:23">
      <c r="B7" s="15">
        <v>0.2</v>
      </c>
      <c r="H7" s="15" t="s">
        <v>817</v>
      </c>
      <c r="I7" s="15" t="s">
        <v>818</v>
      </c>
      <c r="L7" s="15">
        <v>0</v>
      </c>
      <c r="R7" s="15" t="s">
        <v>815</v>
      </c>
      <c r="S7" s="15" t="s">
        <v>816</v>
      </c>
    </row>
    <row r="8" spans="1:23">
      <c r="B8" s="50">
        <v>2</v>
      </c>
      <c r="F8" s="50" t="s">
        <v>811</v>
      </c>
      <c r="G8" s="50" t="s">
        <v>812</v>
      </c>
      <c r="L8" s="50">
        <v>2</v>
      </c>
      <c r="P8" s="50" t="s">
        <v>811</v>
      </c>
      <c r="Q8" s="50" t="s">
        <v>812</v>
      </c>
    </row>
    <row r="9" spans="1:23">
      <c r="B9" s="50">
        <v>1</v>
      </c>
      <c r="D9" s="50" t="s">
        <v>813</v>
      </c>
      <c r="E9" s="50" t="s">
        <v>814</v>
      </c>
      <c r="L9" s="50">
        <v>1</v>
      </c>
      <c r="N9" s="50" t="s">
        <v>813</v>
      </c>
      <c r="O9" s="50" t="s">
        <v>814</v>
      </c>
    </row>
    <row r="10" spans="1:23">
      <c r="B10" s="50">
        <v>0</v>
      </c>
      <c r="L10" s="50">
        <v>0</v>
      </c>
    </row>
    <row r="11" spans="1:23">
      <c r="A11" s="11" t="s">
        <v>64</v>
      </c>
      <c r="B11" t="s">
        <v>807</v>
      </c>
      <c r="C11" t="s">
        <v>808</v>
      </c>
      <c r="L11" t="s">
        <v>807</v>
      </c>
      <c r="M11" t="s">
        <v>808</v>
      </c>
    </row>
    <row r="12" spans="1:23">
      <c r="A12" s="188">
        <v>0</v>
      </c>
      <c r="B12" s="43">
        <v>2750.2310000000002</v>
      </c>
      <c r="C12" s="43">
        <v>2477.5859999999998</v>
      </c>
      <c r="D12" s="43">
        <v>2750.2310000000002</v>
      </c>
      <c r="E12" s="43">
        <v>2477.5859999999998</v>
      </c>
      <c r="F12" s="43">
        <v>2750.2310000000002</v>
      </c>
      <c r="G12" s="43">
        <v>2477.5859999999998</v>
      </c>
      <c r="H12" s="43">
        <v>2750.2310000000002</v>
      </c>
      <c r="I12" s="43">
        <v>2477.5859999999998</v>
      </c>
      <c r="J12" s="43">
        <v>2750.2310000000002</v>
      </c>
      <c r="K12" s="43">
        <v>2477.5859999999998</v>
      </c>
      <c r="L12" s="43">
        <v>2889.7510000000002</v>
      </c>
      <c r="M12" s="43">
        <v>2657.6059999999998</v>
      </c>
      <c r="N12" s="43">
        <v>2889.7510000000002</v>
      </c>
      <c r="O12" s="43">
        <v>2657.6059999999998</v>
      </c>
      <c r="P12" s="43">
        <v>2889.7510000000002</v>
      </c>
      <c r="Q12" s="43">
        <v>2657.6059999999998</v>
      </c>
      <c r="R12" s="43">
        <v>2889.7510000000002</v>
      </c>
      <c r="S12" s="43">
        <v>2657.6059999999998</v>
      </c>
      <c r="T12" s="43">
        <v>2889.7510000000002</v>
      </c>
      <c r="U12" s="43">
        <v>2657.6059999999998</v>
      </c>
      <c r="V12" s="43">
        <v>2889.7510000000002</v>
      </c>
      <c r="W12" s="43">
        <v>2657.6059999999998</v>
      </c>
    </row>
    <row r="13" spans="1:23">
      <c r="A13" s="188">
        <v>0.1</v>
      </c>
      <c r="B13" s="43">
        <v>2994.761</v>
      </c>
      <c r="C13" s="43">
        <v>2750.7660000000001</v>
      </c>
      <c r="D13" s="43">
        <v>2994.761</v>
      </c>
      <c r="E13" s="43">
        <v>2750.7660000000001</v>
      </c>
      <c r="F13" s="43">
        <v>2994.761</v>
      </c>
      <c r="G13" s="43">
        <v>2750.7660000000001</v>
      </c>
      <c r="H13" s="43">
        <v>2994.761</v>
      </c>
      <c r="I13" s="43">
        <v>2750.7660000000001</v>
      </c>
      <c r="J13" s="43">
        <v>2994.761</v>
      </c>
      <c r="K13" s="43">
        <v>2750.7660000000001</v>
      </c>
      <c r="L13" s="43">
        <v>3111.8809999999999</v>
      </c>
      <c r="M13" s="43">
        <v>2923.386</v>
      </c>
      <c r="N13" s="43">
        <v>3111.8809999999999</v>
      </c>
      <c r="O13" s="43">
        <v>2923.386</v>
      </c>
      <c r="P13" s="43">
        <v>3111.8809999999999</v>
      </c>
      <c r="Q13" s="43">
        <v>2923.386</v>
      </c>
      <c r="R13" s="43">
        <v>3111.8809999999999</v>
      </c>
      <c r="S13" s="43">
        <v>2923.386</v>
      </c>
      <c r="T13" s="43">
        <v>3111.8809999999999</v>
      </c>
      <c r="U13" s="43">
        <v>2923.386</v>
      </c>
      <c r="V13" s="43">
        <v>3111.8809999999999</v>
      </c>
      <c r="W13" s="43">
        <v>2923.386</v>
      </c>
    </row>
    <row r="14" spans="1:23">
      <c r="A14" s="188">
        <v>0.2</v>
      </c>
      <c r="B14" s="43">
        <v>3239.2909999999993</v>
      </c>
      <c r="C14" s="43">
        <v>3023.9459999999995</v>
      </c>
      <c r="D14" s="43">
        <v>3239.2909999999993</v>
      </c>
      <c r="E14" s="43">
        <v>3023.9459999999995</v>
      </c>
      <c r="F14" s="43">
        <v>3239.2909999999993</v>
      </c>
      <c r="G14" s="43">
        <v>3023.9459999999995</v>
      </c>
      <c r="H14" s="43">
        <v>3239.2909999999993</v>
      </c>
      <c r="I14" s="43">
        <v>3023.9459999999995</v>
      </c>
      <c r="J14" s="43">
        <v>3239.2909999999993</v>
      </c>
      <c r="K14" s="43">
        <v>3023.9459999999995</v>
      </c>
      <c r="L14" s="43">
        <v>3334.0109999999995</v>
      </c>
      <c r="M14" s="43">
        <v>3189.1659999999997</v>
      </c>
      <c r="N14" s="43">
        <v>3334.0109999999995</v>
      </c>
      <c r="O14" s="43">
        <v>3189.1659999999997</v>
      </c>
      <c r="P14" s="43">
        <v>3334.0109999999995</v>
      </c>
      <c r="Q14" s="43">
        <v>3189.1659999999997</v>
      </c>
      <c r="R14" s="43">
        <v>3334.0109999999995</v>
      </c>
      <c r="S14" s="43">
        <v>3189.1659999999997</v>
      </c>
      <c r="T14" s="43">
        <v>3334.0109999999995</v>
      </c>
      <c r="U14" s="43">
        <v>3189.1659999999997</v>
      </c>
      <c r="V14" s="43">
        <v>3334.0109999999995</v>
      </c>
      <c r="W14" s="43">
        <v>3189.1659999999997</v>
      </c>
    </row>
    <row r="15" spans="1:23">
      <c r="A15" s="188">
        <v>0.3</v>
      </c>
      <c r="B15" s="43">
        <v>3483.8209999999999</v>
      </c>
      <c r="C15" s="43">
        <v>3297.1259999999997</v>
      </c>
      <c r="D15" s="43">
        <v>3483.8209999999999</v>
      </c>
      <c r="E15" s="43">
        <v>3297.1259999999997</v>
      </c>
      <c r="F15" s="43">
        <v>3483.8209999999999</v>
      </c>
      <c r="G15" s="43">
        <v>3297.1259999999997</v>
      </c>
      <c r="H15" s="43">
        <v>3483.8209999999999</v>
      </c>
      <c r="I15" s="43">
        <v>3297.1259999999997</v>
      </c>
      <c r="J15" s="43">
        <v>3483.8209999999999</v>
      </c>
      <c r="K15" s="43">
        <v>3297.1259999999997</v>
      </c>
      <c r="L15" s="43">
        <v>3556.1409999999992</v>
      </c>
      <c r="M15" s="43">
        <v>3454.9459999999999</v>
      </c>
      <c r="N15" s="43">
        <v>3556.1409999999992</v>
      </c>
      <c r="O15" s="43">
        <v>3454.9459999999999</v>
      </c>
      <c r="P15" s="43">
        <v>3556.1409999999992</v>
      </c>
      <c r="Q15" s="43">
        <v>3454.9459999999999</v>
      </c>
      <c r="R15" s="43">
        <v>3556.1409999999992</v>
      </c>
      <c r="S15" s="43">
        <v>3454.9459999999999</v>
      </c>
      <c r="T15" s="43">
        <v>3556.1409999999992</v>
      </c>
      <c r="U15" s="43">
        <v>3454.9459999999999</v>
      </c>
      <c r="V15" s="43">
        <v>3556.1409999999992</v>
      </c>
      <c r="W15" s="43">
        <v>3454.9459999999999</v>
      </c>
    </row>
    <row r="16" spans="1:23">
      <c r="A16" s="188">
        <v>0.4</v>
      </c>
      <c r="B16" s="43">
        <v>3728.3510000000001</v>
      </c>
      <c r="C16" s="43">
        <v>3570.3059999999996</v>
      </c>
      <c r="D16" s="43">
        <v>3728.3510000000001</v>
      </c>
      <c r="E16" s="43">
        <v>3570.3059999999996</v>
      </c>
      <c r="F16" s="43">
        <v>3728.3510000000001</v>
      </c>
      <c r="G16" s="43">
        <v>3570.3059999999996</v>
      </c>
      <c r="H16" s="43">
        <v>3728.3510000000001</v>
      </c>
      <c r="I16" s="43">
        <v>3570.3059999999996</v>
      </c>
      <c r="J16" s="43">
        <v>3728.3510000000001</v>
      </c>
      <c r="K16" s="43">
        <v>3570.3059999999996</v>
      </c>
      <c r="L16" s="43">
        <v>3778.2710000000002</v>
      </c>
      <c r="M16" s="43">
        <v>3720.7259999999997</v>
      </c>
      <c r="N16" s="43">
        <v>3778.2710000000002</v>
      </c>
      <c r="O16" s="43">
        <v>3720.7259999999997</v>
      </c>
      <c r="P16" s="43">
        <v>3778.2710000000002</v>
      </c>
      <c r="Q16" s="43">
        <v>3720.7259999999997</v>
      </c>
      <c r="R16" s="43">
        <v>3778.2710000000002</v>
      </c>
      <c r="S16" s="43">
        <v>3720.7259999999997</v>
      </c>
      <c r="T16" s="43">
        <v>3778.2710000000002</v>
      </c>
      <c r="U16" s="43">
        <v>3720.7259999999997</v>
      </c>
      <c r="V16" s="43">
        <v>3778.2710000000002</v>
      </c>
      <c r="W16" s="43">
        <v>3720.7259999999997</v>
      </c>
    </row>
    <row r="17" spans="1:23">
      <c r="A17" s="188">
        <v>0.5</v>
      </c>
      <c r="B17" s="43">
        <v>3972.8809999999999</v>
      </c>
      <c r="C17" s="43">
        <v>3843.4859999999999</v>
      </c>
      <c r="D17" s="43">
        <v>3972.8809999999999</v>
      </c>
      <c r="E17" s="43">
        <v>3843.4859999999999</v>
      </c>
      <c r="F17" s="43">
        <v>3972.8809999999999</v>
      </c>
      <c r="G17" s="43">
        <v>3843.4859999999999</v>
      </c>
      <c r="H17" s="43">
        <v>3972.8809999999999</v>
      </c>
      <c r="I17" s="43">
        <v>3843.4859999999999</v>
      </c>
      <c r="J17" s="43">
        <v>3972.8809999999999</v>
      </c>
      <c r="K17" s="43">
        <v>3843.4859999999999</v>
      </c>
      <c r="L17" s="43">
        <v>4000.4009999999998</v>
      </c>
      <c r="M17" s="43">
        <v>3986.5059999999999</v>
      </c>
      <c r="N17" s="43">
        <v>4000.4009999999998</v>
      </c>
      <c r="O17" s="43">
        <v>3986.5059999999999</v>
      </c>
      <c r="P17" s="43">
        <v>4000.4009999999998</v>
      </c>
      <c r="Q17" s="43">
        <v>3986.5059999999999</v>
      </c>
      <c r="R17" s="43">
        <v>4000.4009999999998</v>
      </c>
      <c r="S17" s="43">
        <v>3986.5059999999999</v>
      </c>
      <c r="T17" s="43">
        <v>4000.4009999999998</v>
      </c>
      <c r="U17" s="43">
        <v>3986.5059999999999</v>
      </c>
      <c r="V17" s="43">
        <v>4000.4009999999998</v>
      </c>
      <c r="W17" s="43">
        <v>3986.5059999999999</v>
      </c>
    </row>
    <row r="18" spans="1:23">
      <c r="A18" s="188">
        <v>0.6</v>
      </c>
      <c r="B18" s="43">
        <v>4217.4110000000001</v>
      </c>
      <c r="C18" s="43">
        <v>4116.6660000000002</v>
      </c>
      <c r="D18" s="43">
        <v>4217.4110000000001</v>
      </c>
      <c r="E18" s="43">
        <v>4116.6660000000002</v>
      </c>
      <c r="F18" s="43">
        <v>4217.4110000000001</v>
      </c>
      <c r="G18" s="43">
        <v>4116.6660000000002</v>
      </c>
      <c r="H18" s="43">
        <v>4217.4110000000001</v>
      </c>
      <c r="I18" s="43">
        <v>4116.6660000000002</v>
      </c>
      <c r="J18" s="43">
        <v>4217.4110000000001</v>
      </c>
      <c r="K18" s="43">
        <v>4116.6660000000002</v>
      </c>
      <c r="L18" s="43">
        <v>4222.5309999999999</v>
      </c>
      <c r="M18" s="43">
        <v>4252.2860000000001</v>
      </c>
      <c r="N18" s="43">
        <v>4222.5309999999999</v>
      </c>
      <c r="O18" s="43">
        <v>4252.2860000000001</v>
      </c>
      <c r="P18" s="43">
        <v>4222.5309999999999</v>
      </c>
      <c r="Q18" s="43">
        <v>4252.2860000000001</v>
      </c>
      <c r="R18" s="43">
        <v>4222.5309999999999</v>
      </c>
      <c r="S18" s="43">
        <v>4252.2860000000001</v>
      </c>
      <c r="T18" s="43">
        <v>4222.5309999999999</v>
      </c>
      <c r="U18" s="43">
        <v>4252.2860000000001</v>
      </c>
      <c r="V18" s="43">
        <v>4222.5309999999999</v>
      </c>
      <c r="W18" s="43">
        <v>4252.2860000000001</v>
      </c>
    </row>
    <row r="19" spans="1:23">
      <c r="A19" s="188">
        <v>0.7</v>
      </c>
      <c r="B19" s="43">
        <v>4461.9409999999998</v>
      </c>
      <c r="C19" s="43">
        <v>4389.8459999999995</v>
      </c>
      <c r="D19" s="43">
        <v>4461.9409999999998</v>
      </c>
      <c r="E19" s="43">
        <v>4389.8459999999995</v>
      </c>
      <c r="F19" s="43">
        <v>4461.9409999999998</v>
      </c>
      <c r="G19" s="43">
        <v>4389.8459999999995</v>
      </c>
      <c r="H19" s="43">
        <v>4461.9409999999998</v>
      </c>
      <c r="I19" s="43">
        <v>4389.8459999999995</v>
      </c>
      <c r="J19" s="43">
        <v>4461.9409999999998</v>
      </c>
      <c r="K19" s="43">
        <v>4389.8459999999995</v>
      </c>
      <c r="L19" s="43">
        <v>4444.6610000000001</v>
      </c>
      <c r="M19" s="43">
        <v>4518.0659999999998</v>
      </c>
      <c r="N19" s="43">
        <v>4444.6610000000001</v>
      </c>
      <c r="O19" s="43">
        <v>4518.0659999999998</v>
      </c>
      <c r="P19" s="43">
        <v>4444.6610000000001</v>
      </c>
      <c r="Q19" s="43">
        <v>4518.0659999999998</v>
      </c>
      <c r="R19" s="43">
        <v>4444.6610000000001</v>
      </c>
      <c r="S19" s="43">
        <v>4518.0659999999998</v>
      </c>
      <c r="T19" s="43">
        <v>4444.6610000000001</v>
      </c>
      <c r="U19" s="43">
        <v>4518.0659999999998</v>
      </c>
      <c r="V19" s="43">
        <v>4461.9409999999998</v>
      </c>
      <c r="W19" s="43">
        <v>4518.0659999999998</v>
      </c>
    </row>
    <row r="20" spans="1:23">
      <c r="A20" s="188">
        <v>0.8</v>
      </c>
      <c r="B20" s="43">
        <v>4535.3</v>
      </c>
      <c r="C20" s="43">
        <v>4471.7999999999993</v>
      </c>
      <c r="D20" s="43">
        <v>4535.3</v>
      </c>
      <c r="E20" s="43">
        <v>4471.7999999999993</v>
      </c>
      <c r="F20" s="43">
        <v>4535.3</v>
      </c>
      <c r="G20" s="43">
        <v>4471.7999999999993</v>
      </c>
      <c r="H20" s="43">
        <v>4535.3</v>
      </c>
      <c r="I20" s="43">
        <v>4471.7999999999993</v>
      </c>
      <c r="J20" s="43">
        <v>4535.3</v>
      </c>
      <c r="K20" s="43">
        <v>4471.7999999999993</v>
      </c>
      <c r="L20" s="43">
        <v>4511.3</v>
      </c>
      <c r="M20" s="43">
        <v>4597.8</v>
      </c>
      <c r="N20" s="43">
        <v>4511.3</v>
      </c>
      <c r="O20" s="43">
        <v>4597.8</v>
      </c>
      <c r="P20" s="43">
        <v>4511.3</v>
      </c>
      <c r="Q20" s="43">
        <v>4597.8</v>
      </c>
      <c r="R20" s="43">
        <v>4511.3</v>
      </c>
      <c r="S20" s="43">
        <v>4597.8</v>
      </c>
      <c r="T20" s="43">
        <v>4511.3</v>
      </c>
      <c r="U20" s="43">
        <v>4597.8</v>
      </c>
      <c r="V20" s="43">
        <v>4535.3</v>
      </c>
      <c r="W20" s="43">
        <v>4597.8</v>
      </c>
    </row>
    <row r="21" spans="1:23">
      <c r="A21" s="188">
        <v>0.9</v>
      </c>
      <c r="B21" s="43">
        <v>4535.3</v>
      </c>
      <c r="C21" s="43">
        <v>4471.7999999999993</v>
      </c>
      <c r="D21" s="43">
        <v>4535.3</v>
      </c>
      <c r="E21" s="43">
        <v>4471.7999999999993</v>
      </c>
      <c r="F21" s="43">
        <v>4535.3</v>
      </c>
      <c r="G21" s="43">
        <v>4471.7999999999993</v>
      </c>
      <c r="H21" s="43">
        <v>4535.3</v>
      </c>
      <c r="I21" s="43">
        <v>4471.7999999999993</v>
      </c>
      <c r="J21" s="43">
        <v>4535.3</v>
      </c>
      <c r="K21" s="43">
        <v>4471.7999999999993</v>
      </c>
      <c r="L21" s="43">
        <v>4511.3</v>
      </c>
      <c r="M21" s="43">
        <v>4597.8</v>
      </c>
      <c r="N21" s="43">
        <v>4511.3</v>
      </c>
      <c r="O21" s="43">
        <v>4597.8</v>
      </c>
      <c r="P21" s="43">
        <v>4511.3</v>
      </c>
      <c r="Q21" s="43">
        <v>4597.8</v>
      </c>
      <c r="R21" s="43">
        <v>4511.3</v>
      </c>
      <c r="S21" s="43">
        <v>4597.8</v>
      </c>
      <c r="T21" s="43">
        <v>4511.3</v>
      </c>
      <c r="U21" s="43">
        <v>4597.8</v>
      </c>
      <c r="V21" s="43">
        <v>4535.3</v>
      </c>
      <c r="W21" s="43">
        <v>4597.8</v>
      </c>
    </row>
    <row r="22" spans="1:23">
      <c r="A22" s="188">
        <v>1</v>
      </c>
      <c r="B22" s="43">
        <v>4535.3</v>
      </c>
      <c r="C22" s="43">
        <v>4471.7999999999993</v>
      </c>
      <c r="D22" s="43">
        <v>4535.3</v>
      </c>
      <c r="E22" s="43">
        <v>4471.7999999999993</v>
      </c>
      <c r="F22" s="43">
        <v>4535.3</v>
      </c>
      <c r="G22" s="43">
        <v>4471.7999999999993</v>
      </c>
      <c r="H22" s="43">
        <v>4535.3</v>
      </c>
      <c r="I22" s="43">
        <v>4471.7999999999993</v>
      </c>
      <c r="J22" s="43">
        <v>4535.3</v>
      </c>
      <c r="K22" s="43">
        <v>4471.7999999999993</v>
      </c>
      <c r="L22" s="43">
        <v>4511.3</v>
      </c>
      <c r="M22" s="43">
        <v>4597.8</v>
      </c>
      <c r="N22" s="43">
        <v>4511.3</v>
      </c>
      <c r="O22" s="43">
        <v>4597.8</v>
      </c>
      <c r="P22" s="43">
        <v>4511.3</v>
      </c>
      <c r="Q22" s="43">
        <v>4597.8</v>
      </c>
      <c r="R22" s="43">
        <v>4511.3</v>
      </c>
      <c r="S22" s="43">
        <v>4597.8</v>
      </c>
      <c r="T22" s="43">
        <v>4511.3</v>
      </c>
      <c r="U22" s="43">
        <v>4597.8</v>
      </c>
      <c r="V22" s="43">
        <v>4535.3</v>
      </c>
      <c r="W22" s="43">
        <v>4597.8</v>
      </c>
    </row>
    <row r="23" spans="1:23">
      <c r="A23" s="188" t="s">
        <v>66</v>
      </c>
      <c r="B23" s="43">
        <v>4535.3</v>
      </c>
      <c r="C23" s="43">
        <v>4471.7999999999993</v>
      </c>
      <c r="D23" s="43">
        <v>4535.3</v>
      </c>
      <c r="E23" s="43">
        <v>4471.7999999999993</v>
      </c>
      <c r="F23" s="43">
        <v>4535.3</v>
      </c>
      <c r="G23" s="43">
        <v>4471.7999999999993</v>
      </c>
      <c r="H23" s="43">
        <v>4535.3</v>
      </c>
      <c r="I23" s="43">
        <v>4471.7999999999993</v>
      </c>
      <c r="J23" s="43">
        <v>4535.3</v>
      </c>
      <c r="K23" s="43">
        <v>4471.7999999999993</v>
      </c>
      <c r="L23" s="43">
        <v>4511.3</v>
      </c>
      <c r="M23" s="43">
        <v>4597.8</v>
      </c>
      <c r="N23" s="43">
        <v>4511.3</v>
      </c>
      <c r="O23" s="43">
        <v>4597.8</v>
      </c>
      <c r="P23" s="43">
        <v>4511.3</v>
      </c>
      <c r="Q23" s="43">
        <v>4597.8</v>
      </c>
      <c r="R23" s="43">
        <v>4511.3</v>
      </c>
      <c r="S23" s="43">
        <v>4597.8</v>
      </c>
      <c r="T23" s="43">
        <v>4511.3</v>
      </c>
      <c r="U23" s="43">
        <v>4597.8</v>
      </c>
      <c r="V23" s="43">
        <v>4535.3</v>
      </c>
      <c r="W23" s="43">
        <v>4597.8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1190"/>
  <sheetViews>
    <sheetView topLeftCell="A25" zoomScale="85" zoomScaleNormal="85" workbookViewId="0">
      <selection activeCell="H54" sqref="H54"/>
    </sheetView>
  </sheetViews>
  <sheetFormatPr defaultRowHeight="14.25"/>
  <cols>
    <col min="1" max="1" width="12.375" customWidth="1"/>
    <col min="2" max="2" width="7.25" customWidth="1"/>
    <col min="3" max="3" width="5.625" customWidth="1"/>
    <col min="4" max="4" width="5.5" customWidth="1"/>
    <col min="5" max="5" width="5.625" customWidth="1"/>
    <col min="6" max="6" width="6.5" customWidth="1"/>
    <col min="7" max="7" width="7.375" customWidth="1"/>
    <col min="8" max="8" width="6.875" customWidth="1"/>
    <col min="9" max="9" width="7.5" customWidth="1"/>
    <col min="10" max="10" width="12.875" customWidth="1"/>
    <col min="11" max="11" width="9.75" customWidth="1"/>
    <col min="12" max="12" width="11.625" customWidth="1"/>
    <col min="13" max="13" width="11.125" customWidth="1"/>
    <col min="14" max="15" width="8.125" bestFit="1" customWidth="1"/>
    <col min="16" max="16" width="9.125" bestFit="1" customWidth="1"/>
    <col min="17" max="17" width="8.75" customWidth="1"/>
    <col min="18" max="18" width="9.5" customWidth="1"/>
    <col min="19" max="19" width="9.75" customWidth="1"/>
    <col min="20" max="20" width="14.875" customWidth="1"/>
    <col min="21" max="21" width="17.75" customWidth="1"/>
    <col min="22" max="22" width="9.25" bestFit="1" customWidth="1"/>
    <col min="23" max="23" width="9.25" customWidth="1"/>
    <col min="24" max="24" width="10.875" customWidth="1"/>
    <col min="25" max="25" width="9.25" customWidth="1"/>
    <col min="26" max="26" width="10" customWidth="1"/>
    <col min="27" max="27" width="10.625" bestFit="1" customWidth="1"/>
    <col min="28" max="28" width="9.25" customWidth="1"/>
    <col min="30" max="30" width="11" customWidth="1"/>
    <col min="32" max="32" width="11" customWidth="1"/>
    <col min="33" max="33" width="9.75" bestFit="1" customWidth="1"/>
    <col min="34" max="35" width="9.75" customWidth="1"/>
    <col min="36" max="36" width="11.375" customWidth="1"/>
    <col min="37" max="37" width="13" customWidth="1"/>
    <col min="38" max="39" width="12.5" customWidth="1"/>
    <col min="40" max="40" width="9.75" customWidth="1"/>
    <col min="41" max="42" width="11.875" customWidth="1"/>
    <col min="43" max="43" width="13.375" customWidth="1"/>
    <col min="44" max="44" width="13.625" customWidth="1"/>
    <col min="45" max="45" width="10" customWidth="1"/>
    <col min="46" max="46" width="19.75" bestFit="1" customWidth="1"/>
    <col min="47" max="47" width="20.875" bestFit="1" customWidth="1"/>
  </cols>
  <sheetData>
    <row r="1" spans="1:47" ht="43.5" thickBot="1">
      <c r="A1" s="133" t="s">
        <v>112</v>
      </c>
      <c r="B1" s="134" t="s">
        <v>111</v>
      </c>
      <c r="C1" s="135" t="s">
        <v>300</v>
      </c>
      <c r="D1" s="135" t="s">
        <v>301</v>
      </c>
      <c r="E1" s="135" t="s">
        <v>302</v>
      </c>
      <c r="F1" s="134" t="s">
        <v>110</v>
      </c>
      <c r="G1" s="134" t="s">
        <v>109</v>
      </c>
      <c r="H1" s="134" t="s">
        <v>108</v>
      </c>
      <c r="I1" s="134" t="s">
        <v>107</v>
      </c>
      <c r="J1" s="134" t="s">
        <v>106</v>
      </c>
      <c r="K1" s="134" t="s">
        <v>105</v>
      </c>
      <c r="L1" s="134" t="s">
        <v>104</v>
      </c>
      <c r="M1" s="136" t="s">
        <v>103</v>
      </c>
      <c r="N1" s="134" t="s">
        <v>102</v>
      </c>
      <c r="O1" s="134" t="s">
        <v>101</v>
      </c>
      <c r="P1" s="134" t="s">
        <v>100</v>
      </c>
      <c r="Q1" s="134" t="s">
        <v>99</v>
      </c>
      <c r="R1" s="135" t="s">
        <v>303</v>
      </c>
      <c r="S1" s="134" t="s">
        <v>98</v>
      </c>
      <c r="T1" s="137" t="s">
        <v>97</v>
      </c>
      <c r="U1" s="136" t="s">
        <v>96</v>
      </c>
      <c r="V1" s="35"/>
      <c r="W1" s="35"/>
      <c r="X1" s="130" t="s">
        <v>297</v>
      </c>
      <c r="Y1" s="130" t="s">
        <v>294</v>
      </c>
      <c r="Z1" s="130" t="s">
        <v>295</v>
      </c>
      <c r="AA1" s="130" t="s">
        <v>296</v>
      </c>
      <c r="AB1" s="140" t="s">
        <v>342</v>
      </c>
      <c r="AC1" s="35"/>
      <c r="AD1" s="35"/>
      <c r="AE1" s="35"/>
      <c r="AP1" s="130"/>
      <c r="AQ1" s="130"/>
    </row>
    <row r="2" spans="1:47" ht="15" thickBot="1">
      <c r="A2" s="131" t="s">
        <v>95</v>
      </c>
      <c r="B2" s="21"/>
      <c r="C2" s="21"/>
      <c r="D2" s="21"/>
      <c r="E2" s="21"/>
      <c r="F2" s="20">
        <v>1</v>
      </c>
      <c r="G2" s="20">
        <v>1.5</v>
      </c>
      <c r="H2" s="20">
        <v>0</v>
      </c>
      <c r="I2" s="20">
        <v>0</v>
      </c>
      <c r="J2" s="20">
        <v>0</v>
      </c>
      <c r="K2" s="22"/>
      <c r="L2" s="22"/>
      <c r="M2" s="22"/>
      <c r="N2" s="37">
        <v>736</v>
      </c>
      <c r="O2" s="37">
        <v>2100</v>
      </c>
      <c r="P2" s="37">
        <f t="shared" ref="P2:P17" si="0">O2*G2</f>
        <v>3150</v>
      </c>
      <c r="Q2" s="20">
        <v>0.15</v>
      </c>
      <c r="R2" s="20">
        <f>MINA(Q2+M2*$AA$3+0.12*E2+J2, 1)</f>
        <v>0.15</v>
      </c>
      <c r="S2" s="37">
        <f t="shared" ref="S2:S8" si="1">R2*P2+(1-R2)*O2</f>
        <v>2257.5</v>
      </c>
      <c r="T2" s="138">
        <v>2257.5</v>
      </c>
      <c r="U2" s="139">
        <f>S2/T2-1</f>
        <v>0</v>
      </c>
      <c r="V2" s="18"/>
      <c r="W2" s="18"/>
      <c r="X2" s="18" t="s">
        <v>86</v>
      </c>
      <c r="Y2" s="18">
        <v>0.37</v>
      </c>
      <c r="Z2" s="18"/>
      <c r="AA2" s="18"/>
      <c r="AB2" s="18"/>
      <c r="AC2" s="18"/>
      <c r="AD2" s="18"/>
      <c r="AF2" s="15"/>
      <c r="AG2" s="15" t="s">
        <v>804</v>
      </c>
      <c r="AH2" s="15" t="s">
        <v>806</v>
      </c>
      <c r="AI2" t="s">
        <v>805</v>
      </c>
      <c r="AJ2" s="15" t="s">
        <v>801</v>
      </c>
      <c r="AK2" s="15" t="s">
        <v>802</v>
      </c>
      <c r="AL2" s="15" t="s">
        <v>803</v>
      </c>
      <c r="AM2" s="15" t="s">
        <v>33</v>
      </c>
      <c r="AN2" s="15" t="s">
        <v>795</v>
      </c>
      <c r="AO2" t="s">
        <v>796</v>
      </c>
      <c r="AP2" t="s">
        <v>797</v>
      </c>
      <c r="AQ2" s="15" t="s">
        <v>798</v>
      </c>
      <c r="AR2" s="15" t="s">
        <v>799</v>
      </c>
      <c r="AS2" s="15" t="s">
        <v>800</v>
      </c>
      <c r="AT2" s="15" t="s">
        <v>819</v>
      </c>
      <c r="AU2" s="15" t="s">
        <v>820</v>
      </c>
    </row>
    <row r="3" spans="1:47" ht="15" thickBot="1">
      <c r="A3" s="131" t="s">
        <v>94</v>
      </c>
      <c r="B3" s="21"/>
      <c r="C3" s="21"/>
      <c r="D3" s="21"/>
      <c r="E3" s="21"/>
      <c r="F3" s="20">
        <f>$F$2+H3+K3*$Y$2+C3*0.35</f>
        <v>1.74</v>
      </c>
      <c r="G3" s="20">
        <f>$G$2+I3+L3*$Z$4+D3*0.4</f>
        <v>1.5</v>
      </c>
      <c r="H3" s="20">
        <v>0</v>
      </c>
      <c r="I3" s="20">
        <v>0</v>
      </c>
      <c r="J3" s="20">
        <v>0.2</v>
      </c>
      <c r="K3" s="22">
        <v>2</v>
      </c>
      <c r="L3" s="22"/>
      <c r="M3" s="22"/>
      <c r="N3" s="37">
        <f>N$2*$F3</f>
        <v>1280.6400000000001</v>
      </c>
      <c r="O3" s="37">
        <f t="shared" ref="O3:O28" si="2">O$2*$F3</f>
        <v>3654</v>
      </c>
      <c r="P3" s="37">
        <f t="shared" ref="P3" si="3">O3*G3</f>
        <v>5481</v>
      </c>
      <c r="Q3" s="20">
        <v>0.15</v>
      </c>
      <c r="R3" s="20">
        <f>MINA(Q3+M3*$AA$3+0.12*E3+J3, 1)</f>
        <v>0.35</v>
      </c>
      <c r="S3" s="37">
        <f t="shared" ref="S3" si="4">R3*P3+(1-R3)*O3</f>
        <v>4293.45</v>
      </c>
      <c r="T3" s="138">
        <v>5172.027000000001</v>
      </c>
      <c r="U3" s="139">
        <f t="shared" ref="U3" si="5">S3/T3-1</f>
        <v>-0.16987092294761819</v>
      </c>
      <c r="V3" s="18"/>
      <c r="W3" s="18"/>
      <c r="X3" s="18" t="s">
        <v>84</v>
      </c>
      <c r="Y3" s="18"/>
      <c r="Z3" s="18"/>
      <c r="AA3" s="18">
        <v>0.35</v>
      </c>
      <c r="AB3" s="18"/>
      <c r="AC3" s="18"/>
      <c r="AD3" s="18"/>
      <c r="AF3" s="15"/>
      <c r="AG3" s="50">
        <f>1000</f>
        <v>1000</v>
      </c>
      <c r="AH3" s="15">
        <v>0.5</v>
      </c>
      <c r="AI3" s="15">
        <v>0.15</v>
      </c>
      <c r="AJ3" s="50">
        <v>2</v>
      </c>
      <c r="AK3" s="50">
        <v>1</v>
      </c>
      <c r="AL3" s="50">
        <v>0</v>
      </c>
      <c r="AM3" s="15">
        <f>Tabela21[[#This Row],[Att subs]]+Tabela21[[#This Row],[Crit D subs]]</f>
        <v>0</v>
      </c>
      <c r="AN3" s="15">
        <v>0</v>
      </c>
      <c r="AO3" s="15">
        <v>0</v>
      </c>
      <c r="AP3" s="15">
        <v>0</v>
      </c>
      <c r="AQ3" s="189">
        <f>$AG$3*(1+$AJ3*$Y$2+$AN3+0.35)*(MAXA(1-$AI$3-$AL3*$AA$3-$AP3-0.12,0)+MINA($AI$3+$AL3*$AA$3+$AP3+0.12,1)*(1+$AH$3+$AO3+$AK3*$Z$4))</f>
        <v>2637.3710000000001</v>
      </c>
      <c r="AR3" s="189">
        <f>$AG$3*(1+$AJ3*$Y$2+$AN3)*(MAXA(1-$AI$3-$AL3*$AA$3-$AP3-0.12,0)+MINA($AI$3+$AL3*$AA$3+$AP3+0.12,1)*(1+$AH$3+$AO3+$AK3*$Z$4+0.4))</f>
        <v>2383.6259999999997</v>
      </c>
      <c r="AS3" s="189">
        <f t="shared" ref="AS3:AS66" si="6">$AG$3*(1+$AJ3*$Y$2+$AN3)*(MAXA(1-$AI$3-$AL3*$AA$3-$AP3-0.36,0)+MINA($AI$3+$AL3*$AA$3+$AP3+0.36,1)*(1+$AH$3+$AO3+$AK3*$Z$4))</f>
        <v>2600.7779999999998</v>
      </c>
      <c r="AT3" s="189">
        <v>2889.7510000000002</v>
      </c>
      <c r="AU3" s="50">
        <f t="shared" ref="AU3:AU66" si="7">$AG$3*(1+$AJ3*$Y$2+$AN3)*(MAXA(1-$AI$3-$AL3*$AA$3-$AP3-0.12,0)+2*MINA($AI$3+$AL3*$AA$3+$AP3+0.12,1)*(1+$AH$3+$AO3+$AK3*$Z$4+0.4))</f>
        <v>3497.0520000000006</v>
      </c>
    </row>
    <row r="4" spans="1:47" ht="15" thickBot="1">
      <c r="A4" s="131" t="s">
        <v>94</v>
      </c>
      <c r="B4" s="21"/>
      <c r="C4" s="21"/>
      <c r="D4" s="21"/>
      <c r="E4" s="21"/>
      <c r="F4" s="20">
        <f t="shared" ref="F4:F28" si="8">$F$2+H4+K4*$Y$2+C4*0.35</f>
        <v>2.11</v>
      </c>
      <c r="G4" s="20">
        <f t="shared" ref="G4:G28" si="9">$G$2+I4+L4*$Z$4+D4*0.4</f>
        <v>1.5</v>
      </c>
      <c r="H4" s="20">
        <f>H3</f>
        <v>0</v>
      </c>
      <c r="I4" s="20">
        <f>I3</f>
        <v>0</v>
      </c>
      <c r="J4" s="20">
        <f>J3</f>
        <v>0.2</v>
      </c>
      <c r="K4" s="22">
        <v>3</v>
      </c>
      <c r="L4" s="22"/>
      <c r="M4" s="22"/>
      <c r="N4" s="37">
        <f>N$2*$F4</f>
        <v>1552.9599999999998</v>
      </c>
      <c r="O4" s="37">
        <f t="shared" si="2"/>
        <v>4431</v>
      </c>
      <c r="P4" s="37">
        <f t="shared" si="0"/>
        <v>6646.5</v>
      </c>
      <c r="Q4" s="20">
        <v>0.15</v>
      </c>
      <c r="R4" s="20">
        <f t="shared" ref="R4:R28" si="10">MINA(Q4+M4*$AA$3+0.12*E4+J4, 1)</f>
        <v>0.35</v>
      </c>
      <c r="S4" s="37">
        <f t="shared" si="1"/>
        <v>5206.4249999999993</v>
      </c>
      <c r="T4" s="138">
        <v>5979.3678</v>
      </c>
      <c r="U4" s="139">
        <f t="shared" ref="U4:U17" si="11">S4/T4-1</f>
        <v>-0.12926831495463464</v>
      </c>
      <c r="V4" s="18"/>
      <c r="W4" s="18"/>
      <c r="X4" s="18" t="s">
        <v>85</v>
      </c>
      <c r="Y4" s="18"/>
      <c r="Z4" s="18">
        <v>0.47</v>
      </c>
      <c r="AA4" s="18"/>
      <c r="AB4" s="18"/>
      <c r="AC4" s="18"/>
      <c r="AD4" s="18"/>
      <c r="AF4" s="1"/>
      <c r="AG4" s="1"/>
      <c r="AH4" s="1"/>
      <c r="AI4" s="1"/>
      <c r="AJ4" s="50">
        <v>2</v>
      </c>
      <c r="AK4" s="50">
        <v>1</v>
      </c>
      <c r="AL4" s="50">
        <v>0</v>
      </c>
      <c r="AM4" s="15">
        <f>Tabela21[[#This Row],[Att subs]]+Tabela21[[#This Row],[Crit D subs]]</f>
        <v>0</v>
      </c>
      <c r="AN4" s="15">
        <v>0</v>
      </c>
      <c r="AO4" s="15">
        <f>AO3</f>
        <v>0</v>
      </c>
      <c r="AP4" s="15">
        <v>0.1</v>
      </c>
      <c r="AQ4" s="189">
        <f t="shared" ref="AQ4:AQ67" si="12">$AG$3*(1+$AJ4*$Y$2+$AN4+0.35)*(MAXA(1-$AI$3-$AL4*$AA$3-$AP4-0.12,0)+MINA($AI$3+$AL4*$AA$3+$AP4+0.12,1)*(1+$AH$3+$AO4+$AK4*$Z$4))</f>
        <v>2840.1010000000001</v>
      </c>
      <c r="AR4" s="189">
        <f t="shared" ref="AR4:AR67" si="13">$AG$3*(1+$AJ4*$Y$2+$AN4)*(MAXA(1-$AI$3-$AL4*$AA$3-$AP4-0.12,0)+MINA($AI$3+$AL4*$AA$3+$AP4+0.12,1)*(1+$AH$3+$AO4+$AK4*$Z$4+0.4))</f>
        <v>2622.0059999999999</v>
      </c>
      <c r="AS4" s="189">
        <f t="shared" si="6"/>
        <v>2769.558</v>
      </c>
      <c r="AT4" s="189">
        <f t="shared" ref="AT4:AT35" si="14">$AG$3*(1+$AJ4*$Y$2+$AN4)*(MAXA(1-$AI$3-$AL4*$AA$3-$AP4-0.36,0)+2*MINA($AI$3+$AL4*$AA$3+$AP4+0.36,1)*(1+$AH$3+$AO4+$AK4*$Z$4))</f>
        <v>4860.5160000000005</v>
      </c>
      <c r="AU4" s="50">
        <f t="shared" si="7"/>
        <v>4147.8119999999999</v>
      </c>
    </row>
    <row r="5" spans="1:47" ht="15" thickBot="1">
      <c r="A5" s="131" t="s">
        <v>94</v>
      </c>
      <c r="B5" s="21"/>
      <c r="C5" s="21"/>
      <c r="D5" s="21"/>
      <c r="E5" s="21"/>
      <c r="F5" s="20">
        <f t="shared" si="8"/>
        <v>1.74</v>
      </c>
      <c r="G5" s="20">
        <f t="shared" si="9"/>
        <v>1.97</v>
      </c>
      <c r="H5" s="20">
        <f>H4</f>
        <v>0</v>
      </c>
      <c r="I5" s="20">
        <f t="shared" ref="I5:J6" si="15">I4</f>
        <v>0</v>
      </c>
      <c r="J5" s="20">
        <f>J4</f>
        <v>0.2</v>
      </c>
      <c r="K5" s="22">
        <v>2</v>
      </c>
      <c r="L5" s="22">
        <v>1</v>
      </c>
      <c r="M5" s="22"/>
      <c r="N5" s="37">
        <f t="shared" ref="N5:N28" si="16">N$2*$F5</f>
        <v>1280.6400000000001</v>
      </c>
      <c r="O5" s="37">
        <f t="shared" si="2"/>
        <v>3654</v>
      </c>
      <c r="P5" s="37">
        <f t="shared" si="0"/>
        <v>7198.38</v>
      </c>
      <c r="Q5" s="20">
        <f>Q4</f>
        <v>0.15</v>
      </c>
      <c r="R5" s="20">
        <f t="shared" si="10"/>
        <v>0.35</v>
      </c>
      <c r="S5" s="37">
        <f t="shared" si="1"/>
        <v>4894.5329999999994</v>
      </c>
      <c r="T5" s="138">
        <v>5859.1050000000014</v>
      </c>
      <c r="U5" s="139">
        <f t="shared" si="11"/>
        <v>-0.16462787405243662</v>
      </c>
      <c r="V5" s="18"/>
      <c r="W5" s="18"/>
      <c r="X5" s="132" t="s">
        <v>342</v>
      </c>
      <c r="Y5" s="132"/>
      <c r="Z5" s="132"/>
      <c r="AA5" s="132"/>
      <c r="AB5" s="50">
        <v>29</v>
      </c>
      <c r="AC5" s="18"/>
      <c r="AD5" s="18"/>
      <c r="AF5" s="1"/>
      <c r="AG5" s="1"/>
      <c r="AH5" s="1"/>
      <c r="AI5" s="1"/>
      <c r="AJ5" s="50">
        <v>2</v>
      </c>
      <c r="AK5" s="50">
        <v>1</v>
      </c>
      <c r="AL5" s="50">
        <v>0</v>
      </c>
      <c r="AM5" s="15">
        <f>Tabela21[[#This Row],[Att subs]]+Tabela21[[#This Row],[Crit D subs]]</f>
        <v>0</v>
      </c>
      <c r="AN5" s="15">
        <v>0</v>
      </c>
      <c r="AO5" s="15">
        <f t="shared" ref="AO5:AO35" si="17">AO4</f>
        <v>0</v>
      </c>
      <c r="AP5" s="15">
        <v>0.2</v>
      </c>
      <c r="AQ5" s="189">
        <f t="shared" si="12"/>
        <v>3042.8309999999997</v>
      </c>
      <c r="AR5" s="189">
        <f t="shared" si="13"/>
        <v>2860.386</v>
      </c>
      <c r="AS5" s="189">
        <f t="shared" si="6"/>
        <v>2938.3379999999997</v>
      </c>
      <c r="AT5" s="189">
        <f t="shared" si="14"/>
        <v>5372.0759999999991</v>
      </c>
      <c r="AU5" s="50">
        <f t="shared" si="7"/>
        <v>4798.5719999999992</v>
      </c>
    </row>
    <row r="6" spans="1:47" ht="15" thickBot="1">
      <c r="A6" s="131" t="s">
        <v>94</v>
      </c>
      <c r="B6" s="21"/>
      <c r="C6" s="21"/>
      <c r="D6" s="21"/>
      <c r="E6" s="21"/>
      <c r="F6" s="20">
        <f t="shared" si="8"/>
        <v>1.74</v>
      </c>
      <c r="G6" s="20">
        <f t="shared" si="9"/>
        <v>1.5</v>
      </c>
      <c r="H6" s="20">
        <f>H5</f>
        <v>0</v>
      </c>
      <c r="I6" s="20">
        <f t="shared" si="15"/>
        <v>0</v>
      </c>
      <c r="J6" s="20">
        <f t="shared" si="15"/>
        <v>0.2</v>
      </c>
      <c r="K6" s="22">
        <v>2</v>
      </c>
      <c r="L6" s="22"/>
      <c r="M6" s="22">
        <v>1</v>
      </c>
      <c r="N6" s="37">
        <f t="shared" si="16"/>
        <v>1280.6400000000001</v>
      </c>
      <c r="O6" s="37">
        <f t="shared" si="2"/>
        <v>3654</v>
      </c>
      <c r="P6" s="37">
        <f t="shared" si="0"/>
        <v>5481</v>
      </c>
      <c r="Q6" s="20">
        <f>Q5</f>
        <v>0.15</v>
      </c>
      <c r="R6" s="20">
        <f t="shared" si="10"/>
        <v>0.7</v>
      </c>
      <c r="S6" s="37">
        <f t="shared" si="1"/>
        <v>4932.8999999999996</v>
      </c>
      <c r="T6" s="138">
        <v>5879.3385000000007</v>
      </c>
      <c r="U6" s="139">
        <f t="shared" si="11"/>
        <v>-0.16097703848825862</v>
      </c>
      <c r="V6" s="18"/>
      <c r="W6" s="18"/>
      <c r="X6" s="18"/>
      <c r="Y6" s="18"/>
      <c r="Z6" s="18"/>
      <c r="AA6" s="18"/>
      <c r="AB6" s="18"/>
      <c r="AC6" s="18"/>
      <c r="AJ6" s="50">
        <v>2</v>
      </c>
      <c r="AK6" s="50">
        <v>1</v>
      </c>
      <c r="AL6" s="50">
        <v>0</v>
      </c>
      <c r="AM6" s="15">
        <f>Tabela21[[#This Row],[Att subs]]+Tabela21[[#This Row],[Crit D subs]]</f>
        <v>0</v>
      </c>
      <c r="AN6" s="15">
        <v>0</v>
      </c>
      <c r="AO6" s="15">
        <f t="shared" si="17"/>
        <v>0</v>
      </c>
      <c r="AP6" s="15">
        <v>0.3</v>
      </c>
      <c r="AQ6" s="189">
        <f t="shared" si="12"/>
        <v>3245.5609999999992</v>
      </c>
      <c r="AR6" s="189">
        <f t="shared" si="13"/>
        <v>3098.7660000000001</v>
      </c>
      <c r="AS6" s="189">
        <f t="shared" si="6"/>
        <v>3107.1179999999999</v>
      </c>
      <c r="AT6" s="189">
        <f t="shared" si="14"/>
        <v>5883.6359999999995</v>
      </c>
      <c r="AU6" s="50">
        <f t="shared" si="7"/>
        <v>5449.3320000000003</v>
      </c>
    </row>
    <row r="7" spans="1:47" ht="15" thickBot="1">
      <c r="A7" s="131" t="s">
        <v>86</v>
      </c>
      <c r="B7" s="21"/>
      <c r="C7" s="21">
        <v>1</v>
      </c>
      <c r="D7" s="21"/>
      <c r="E7" s="21"/>
      <c r="F7" s="20">
        <f t="shared" si="8"/>
        <v>2.46</v>
      </c>
      <c r="G7" s="20">
        <f t="shared" si="9"/>
        <v>1.5</v>
      </c>
      <c r="H7" s="20">
        <f t="shared" ref="H7:J8" si="18">H6</f>
        <v>0</v>
      </c>
      <c r="I7" s="20">
        <f t="shared" si="18"/>
        <v>0</v>
      </c>
      <c r="J7" s="20">
        <f t="shared" si="18"/>
        <v>0.2</v>
      </c>
      <c r="K7" s="22">
        <v>3</v>
      </c>
      <c r="L7" s="22"/>
      <c r="M7" s="22"/>
      <c r="N7" s="37">
        <f t="shared" si="16"/>
        <v>1810.56</v>
      </c>
      <c r="O7" s="37">
        <f t="shared" si="2"/>
        <v>5166</v>
      </c>
      <c r="P7" s="37">
        <f t="shared" si="0"/>
        <v>7749</v>
      </c>
      <c r="Q7" s="20">
        <f>Q5</f>
        <v>0.15</v>
      </c>
      <c r="R7" s="20">
        <f t="shared" si="10"/>
        <v>0.35</v>
      </c>
      <c r="S7" s="37">
        <f t="shared" si="1"/>
        <v>6070.0499999999993</v>
      </c>
      <c r="T7" s="138">
        <v>6862.3968000000004</v>
      </c>
      <c r="U7" s="139">
        <f t="shared" si="11"/>
        <v>-0.11546210793290201</v>
      </c>
      <c r="V7" s="18"/>
      <c r="W7" s="18"/>
      <c r="X7" s="18"/>
      <c r="Y7" s="18"/>
      <c r="Z7" s="18"/>
      <c r="AA7" s="18"/>
      <c r="AB7" s="18"/>
      <c r="AF7" s="1"/>
      <c r="AG7" s="1"/>
      <c r="AH7" s="1"/>
      <c r="AI7" s="1"/>
      <c r="AJ7" s="50">
        <v>2</v>
      </c>
      <c r="AK7" s="50">
        <v>1</v>
      </c>
      <c r="AL7" s="50">
        <v>0</v>
      </c>
      <c r="AM7" s="15">
        <f>Tabela21[[#This Row],[Att subs]]+Tabela21[[#This Row],[Crit D subs]]</f>
        <v>0</v>
      </c>
      <c r="AN7" s="15">
        <v>0</v>
      </c>
      <c r="AO7" s="15">
        <f t="shared" si="17"/>
        <v>0</v>
      </c>
      <c r="AP7" s="15">
        <v>0.4</v>
      </c>
      <c r="AQ7" s="189">
        <f t="shared" si="12"/>
        <v>3448.2910000000002</v>
      </c>
      <c r="AR7" s="189">
        <f t="shared" si="13"/>
        <v>3337.1459999999997</v>
      </c>
      <c r="AS7" s="189">
        <f t="shared" si="6"/>
        <v>3275.8979999999997</v>
      </c>
      <c r="AT7" s="189">
        <f t="shared" si="14"/>
        <v>6395.1959999999999</v>
      </c>
      <c r="AU7" s="50">
        <f t="shared" si="7"/>
        <v>6100.0920000000006</v>
      </c>
    </row>
    <row r="8" spans="1:47" ht="15" thickBot="1">
      <c r="A8" s="131" t="s">
        <v>85</v>
      </c>
      <c r="B8" s="21"/>
      <c r="C8" s="21"/>
      <c r="D8" s="21">
        <v>1</v>
      </c>
      <c r="E8" s="21"/>
      <c r="F8" s="20">
        <f t="shared" si="8"/>
        <v>2.11</v>
      </c>
      <c r="G8" s="20">
        <f t="shared" si="9"/>
        <v>1.9</v>
      </c>
      <c r="H8" s="20">
        <f t="shared" si="18"/>
        <v>0</v>
      </c>
      <c r="I8" s="20">
        <f t="shared" si="18"/>
        <v>0</v>
      </c>
      <c r="J8" s="20">
        <f t="shared" si="18"/>
        <v>0.2</v>
      </c>
      <c r="K8" s="22">
        <v>3</v>
      </c>
      <c r="L8" s="22"/>
      <c r="M8" s="22"/>
      <c r="N8" s="37">
        <f t="shared" si="16"/>
        <v>1552.9599999999998</v>
      </c>
      <c r="O8" s="37">
        <f t="shared" si="2"/>
        <v>4431</v>
      </c>
      <c r="P8" s="37">
        <f t="shared" si="0"/>
        <v>8418.9</v>
      </c>
      <c r="Q8" s="20">
        <f t="shared" ref="Q8:Q28" si="19">Q7</f>
        <v>0.15</v>
      </c>
      <c r="R8" s="20">
        <f t="shared" si="10"/>
        <v>0.35</v>
      </c>
      <c r="S8" s="37">
        <f t="shared" si="1"/>
        <v>5826.7649999999994</v>
      </c>
      <c r="T8" s="138">
        <v>6735.8717999999999</v>
      </c>
      <c r="U8" s="139">
        <f t="shared" si="11"/>
        <v>-0.13496497958883369</v>
      </c>
      <c r="V8" s="18"/>
      <c r="W8" s="18"/>
      <c r="X8" s="18"/>
      <c r="Y8" s="18"/>
      <c r="Z8" t="s">
        <v>93</v>
      </c>
      <c r="AF8" s="1"/>
      <c r="AG8" s="1"/>
      <c r="AH8" s="1"/>
      <c r="AI8" s="1"/>
      <c r="AJ8" s="50">
        <v>2</v>
      </c>
      <c r="AK8" s="50">
        <v>1</v>
      </c>
      <c r="AL8" s="50">
        <v>0</v>
      </c>
      <c r="AM8" s="15">
        <f>Tabela21[[#This Row],[Att subs]]+Tabela21[[#This Row],[Crit D subs]]</f>
        <v>0</v>
      </c>
      <c r="AN8" s="15">
        <v>0</v>
      </c>
      <c r="AO8" s="15">
        <f t="shared" si="17"/>
        <v>0</v>
      </c>
      <c r="AP8" s="15">
        <v>0.5</v>
      </c>
      <c r="AQ8" s="189">
        <f t="shared" si="12"/>
        <v>3651.0209999999997</v>
      </c>
      <c r="AR8" s="189">
        <f t="shared" si="13"/>
        <v>3575.5259999999998</v>
      </c>
      <c r="AS8" s="189">
        <f t="shared" si="6"/>
        <v>3427.7999999999997</v>
      </c>
      <c r="AT8" s="189">
        <f t="shared" si="14"/>
        <v>6855.5999999999995</v>
      </c>
      <c r="AU8" s="50">
        <f t="shared" si="7"/>
        <v>6750.8520000000008</v>
      </c>
    </row>
    <row r="9" spans="1:47" ht="15.75" thickBot="1">
      <c r="A9" s="131" t="s">
        <v>88</v>
      </c>
      <c r="B9" s="21"/>
      <c r="C9" s="21"/>
      <c r="D9" s="21"/>
      <c r="E9" s="21">
        <v>3</v>
      </c>
      <c r="F9" s="20">
        <f t="shared" si="8"/>
        <v>2.11</v>
      </c>
      <c r="G9" s="20">
        <f t="shared" si="9"/>
        <v>1.5</v>
      </c>
      <c r="H9" s="20">
        <f t="shared" ref="H9:H28" si="20">H8</f>
        <v>0</v>
      </c>
      <c r="I9" s="20">
        <f t="shared" ref="I9:I18" si="21">I8</f>
        <v>0</v>
      </c>
      <c r="J9" s="20">
        <f t="shared" ref="J9:J18" si="22">J8</f>
        <v>0.2</v>
      </c>
      <c r="K9" s="22">
        <v>3</v>
      </c>
      <c r="L9" s="22"/>
      <c r="M9" s="22"/>
      <c r="N9" s="37">
        <f t="shared" si="16"/>
        <v>1552.9599999999998</v>
      </c>
      <c r="O9" s="37">
        <f t="shared" si="2"/>
        <v>4431</v>
      </c>
      <c r="P9" s="37">
        <f t="shared" si="0"/>
        <v>6646.5</v>
      </c>
      <c r="Q9" s="20">
        <f t="shared" si="19"/>
        <v>0.15</v>
      </c>
      <c r="R9" s="20">
        <f t="shared" si="10"/>
        <v>0.71</v>
      </c>
      <c r="S9" s="37">
        <f t="shared" ref="S9:S17" si="23">R9*P9+(1-R9)*O9</f>
        <v>6004.0049999999992</v>
      </c>
      <c r="T9" s="138">
        <v>6928.9794000000002</v>
      </c>
      <c r="U9" s="139">
        <f t="shared" si="11"/>
        <v>-0.13349359936039074</v>
      </c>
      <c r="V9" s="18"/>
      <c r="W9" s="18"/>
      <c r="X9" s="18" t="s">
        <v>114</v>
      </c>
      <c r="Y9" s="34" t="s">
        <v>92</v>
      </c>
      <c r="Z9" s="33" t="s">
        <v>91</v>
      </c>
      <c r="AA9" s="32" t="s">
        <v>90</v>
      </c>
      <c r="AB9" s="31" t="s">
        <v>89</v>
      </c>
      <c r="AJ9" s="50">
        <v>2</v>
      </c>
      <c r="AK9" s="50">
        <v>1</v>
      </c>
      <c r="AL9" s="50">
        <v>0</v>
      </c>
      <c r="AM9" s="15">
        <f>Tabela21[[#This Row],[Att subs]]+Tabela21[[#This Row],[Crit D subs]]</f>
        <v>0</v>
      </c>
      <c r="AN9" s="15">
        <v>0</v>
      </c>
      <c r="AO9" s="15">
        <f t="shared" si="17"/>
        <v>0</v>
      </c>
      <c r="AP9" s="15">
        <v>0.6</v>
      </c>
      <c r="AQ9" s="189">
        <f t="shared" si="12"/>
        <v>3853.7510000000002</v>
      </c>
      <c r="AR9" s="189">
        <f t="shared" si="13"/>
        <v>3813.9059999999999</v>
      </c>
      <c r="AS9" s="189">
        <f t="shared" si="6"/>
        <v>3427.7999999999997</v>
      </c>
      <c r="AT9" s="189">
        <f t="shared" si="14"/>
        <v>6855.5999999999995</v>
      </c>
      <c r="AU9" s="50">
        <f t="shared" si="7"/>
        <v>7401.6120000000001</v>
      </c>
    </row>
    <row r="10" spans="1:47" ht="15" thickBot="1">
      <c r="A10" s="131" t="s">
        <v>87</v>
      </c>
      <c r="B10" s="21"/>
      <c r="C10" s="21">
        <v>1</v>
      </c>
      <c r="D10" s="21"/>
      <c r="E10" s="21">
        <v>1</v>
      </c>
      <c r="F10" s="20">
        <f t="shared" si="8"/>
        <v>2.46</v>
      </c>
      <c r="G10" s="20">
        <f t="shared" si="9"/>
        <v>1.5</v>
      </c>
      <c r="H10" s="20">
        <f t="shared" si="20"/>
        <v>0</v>
      </c>
      <c r="I10" s="20">
        <f t="shared" si="21"/>
        <v>0</v>
      </c>
      <c r="J10" s="20">
        <f t="shared" si="22"/>
        <v>0.2</v>
      </c>
      <c r="K10" s="22">
        <v>3</v>
      </c>
      <c r="L10" s="22"/>
      <c r="M10" s="22"/>
      <c r="N10" s="37">
        <f t="shared" si="16"/>
        <v>1810.56</v>
      </c>
      <c r="O10" s="37">
        <f t="shared" si="2"/>
        <v>5166</v>
      </c>
      <c r="P10" s="37">
        <f t="shared" si="0"/>
        <v>7749</v>
      </c>
      <c r="Q10" s="20">
        <f t="shared" si="19"/>
        <v>0.15</v>
      </c>
      <c r="R10" s="20">
        <f t="shared" si="10"/>
        <v>0.47000000000000003</v>
      </c>
      <c r="S10" s="37">
        <f t="shared" si="23"/>
        <v>6380.01</v>
      </c>
      <c r="T10" s="138">
        <v>7225.68</v>
      </c>
      <c r="U10" s="139">
        <f t="shared" si="11"/>
        <v>-0.11703673564287376</v>
      </c>
      <c r="V10" s="18"/>
      <c r="W10" s="18"/>
      <c r="X10" s="18" t="s">
        <v>115</v>
      </c>
      <c r="Y10" s="30">
        <v>0.15</v>
      </c>
      <c r="Z10" s="29">
        <v>0.1</v>
      </c>
      <c r="AA10" s="28">
        <v>0.12</v>
      </c>
      <c r="AB10" s="27">
        <v>0.2</v>
      </c>
      <c r="AJ10" s="50">
        <v>2</v>
      </c>
      <c r="AK10" s="50">
        <v>1</v>
      </c>
      <c r="AL10" s="50">
        <v>0</v>
      </c>
      <c r="AM10" s="15">
        <f>Tabela21[[#This Row],[Att subs]]+Tabela21[[#This Row],[Crit D subs]]</f>
        <v>0</v>
      </c>
      <c r="AN10" s="15">
        <v>0</v>
      </c>
      <c r="AO10" s="15">
        <f t="shared" si="17"/>
        <v>0</v>
      </c>
      <c r="AP10" s="15">
        <v>0.7</v>
      </c>
      <c r="AQ10" s="189">
        <f t="shared" si="12"/>
        <v>4056.4809999999998</v>
      </c>
      <c r="AR10" s="189">
        <f t="shared" si="13"/>
        <v>4052.2860000000001</v>
      </c>
      <c r="AS10" s="189">
        <f t="shared" si="6"/>
        <v>3427.7999999999997</v>
      </c>
      <c r="AT10" s="189">
        <f t="shared" si="14"/>
        <v>6855.5999999999995</v>
      </c>
      <c r="AU10" s="50">
        <f t="shared" si="7"/>
        <v>8052.3720000000012</v>
      </c>
    </row>
    <row r="11" spans="1:47" ht="15" thickBot="1">
      <c r="A11" s="131" t="s">
        <v>113</v>
      </c>
      <c r="B11" s="21"/>
      <c r="C11" s="21"/>
      <c r="D11" s="21">
        <v>1</v>
      </c>
      <c r="E11" s="21">
        <v>1</v>
      </c>
      <c r="F11" s="20">
        <f t="shared" si="8"/>
        <v>2.11</v>
      </c>
      <c r="G11" s="20">
        <f t="shared" si="9"/>
        <v>1.9</v>
      </c>
      <c r="H11" s="20">
        <f t="shared" si="20"/>
        <v>0</v>
      </c>
      <c r="I11" s="20">
        <f t="shared" si="21"/>
        <v>0</v>
      </c>
      <c r="J11" s="20">
        <f t="shared" si="22"/>
        <v>0.2</v>
      </c>
      <c r="K11" s="22">
        <v>3</v>
      </c>
      <c r="L11" s="22"/>
      <c r="M11" s="22"/>
      <c r="N11" s="37">
        <f t="shared" si="16"/>
        <v>1552.9599999999998</v>
      </c>
      <c r="O11" s="37">
        <f t="shared" si="2"/>
        <v>4431</v>
      </c>
      <c r="P11" s="37">
        <f t="shared" si="0"/>
        <v>8418.9</v>
      </c>
      <c r="Q11" s="20">
        <f t="shared" si="19"/>
        <v>0.15</v>
      </c>
      <c r="R11" s="20">
        <f t="shared" si="10"/>
        <v>0.47000000000000003</v>
      </c>
      <c r="S11" s="37">
        <f t="shared" si="23"/>
        <v>6305.3130000000001</v>
      </c>
      <c r="T11" s="138">
        <v>7291.3050000000003</v>
      </c>
      <c r="U11" s="139">
        <f t="shared" si="11"/>
        <v>-0.13522846733197968</v>
      </c>
      <c r="V11" s="18"/>
      <c r="W11" s="18"/>
      <c r="X11" s="18" t="s">
        <v>115</v>
      </c>
      <c r="Y11" s="30">
        <v>0.3</v>
      </c>
      <c r="Z11" s="29">
        <v>0.1</v>
      </c>
      <c r="AA11" s="28">
        <v>0.12</v>
      </c>
      <c r="AB11" s="27">
        <v>0.15</v>
      </c>
      <c r="AJ11" s="50">
        <v>2</v>
      </c>
      <c r="AK11" s="50">
        <v>1</v>
      </c>
      <c r="AL11" s="50">
        <v>0</v>
      </c>
      <c r="AM11" s="15">
        <f>Tabela21[[#This Row],[Att subs]]+Tabela21[[#This Row],[Crit D subs]]</f>
        <v>0</v>
      </c>
      <c r="AN11" s="15">
        <v>0</v>
      </c>
      <c r="AO11" s="15">
        <f t="shared" si="17"/>
        <v>0</v>
      </c>
      <c r="AP11" s="15">
        <v>0.8</v>
      </c>
      <c r="AQ11" s="189">
        <f t="shared" si="12"/>
        <v>4117.3</v>
      </c>
      <c r="AR11" s="189">
        <f t="shared" si="13"/>
        <v>4123.8</v>
      </c>
      <c r="AS11" s="189">
        <f t="shared" si="6"/>
        <v>3427.7999999999997</v>
      </c>
      <c r="AT11" s="189">
        <f t="shared" si="14"/>
        <v>6855.5999999999995</v>
      </c>
      <c r="AU11" s="50">
        <f t="shared" si="7"/>
        <v>8247.6</v>
      </c>
    </row>
    <row r="12" spans="1:47" ht="15" thickBot="1">
      <c r="A12" s="131" t="s">
        <v>88</v>
      </c>
      <c r="B12" s="21"/>
      <c r="C12" s="21"/>
      <c r="D12" s="21"/>
      <c r="E12" s="21">
        <v>3</v>
      </c>
      <c r="F12" s="20">
        <f t="shared" si="8"/>
        <v>1.74</v>
      </c>
      <c r="G12" s="20">
        <f t="shared" si="9"/>
        <v>1.97</v>
      </c>
      <c r="H12" s="20">
        <f t="shared" si="20"/>
        <v>0</v>
      </c>
      <c r="I12" s="20">
        <f t="shared" si="21"/>
        <v>0</v>
      </c>
      <c r="J12" s="20">
        <f t="shared" si="22"/>
        <v>0.2</v>
      </c>
      <c r="K12" s="22">
        <v>2</v>
      </c>
      <c r="L12" s="22">
        <v>1</v>
      </c>
      <c r="M12" s="22"/>
      <c r="N12" s="37">
        <f t="shared" si="16"/>
        <v>1280.6400000000001</v>
      </c>
      <c r="O12" s="37">
        <f t="shared" si="2"/>
        <v>3654</v>
      </c>
      <c r="P12" s="37">
        <f t="shared" si="0"/>
        <v>7198.38</v>
      </c>
      <c r="Q12" s="20">
        <f t="shared" si="19"/>
        <v>0.15</v>
      </c>
      <c r="R12" s="20">
        <f t="shared" si="10"/>
        <v>0.71</v>
      </c>
      <c r="S12" s="37">
        <f t="shared" si="23"/>
        <v>6170.5097999999998</v>
      </c>
      <c r="T12" s="138">
        <v>7331.4150000000018</v>
      </c>
      <c r="U12" s="139">
        <f t="shared" si="11"/>
        <v>-0.15834667659653723</v>
      </c>
      <c r="V12" s="18"/>
      <c r="W12" s="18"/>
      <c r="X12" s="18" t="s">
        <v>115</v>
      </c>
      <c r="Y12" s="30">
        <v>0.5</v>
      </c>
      <c r="Z12" s="29">
        <v>0.1</v>
      </c>
      <c r="AA12" s="28">
        <v>0.12</v>
      </c>
      <c r="AB12" s="27">
        <v>0.11</v>
      </c>
      <c r="AJ12" s="50">
        <v>2</v>
      </c>
      <c r="AK12" s="50">
        <v>1</v>
      </c>
      <c r="AL12" s="50">
        <v>0</v>
      </c>
      <c r="AM12" s="15">
        <f>Tabela21[[#This Row],[Att subs]]+Tabela21[[#This Row],[Crit D subs]]</f>
        <v>0</v>
      </c>
      <c r="AN12" s="15">
        <v>0</v>
      </c>
      <c r="AO12" s="15">
        <f t="shared" si="17"/>
        <v>0</v>
      </c>
      <c r="AP12" s="15">
        <v>0.9</v>
      </c>
      <c r="AQ12" s="189">
        <f t="shared" si="12"/>
        <v>4117.3</v>
      </c>
      <c r="AR12" s="189">
        <f t="shared" si="13"/>
        <v>4123.8</v>
      </c>
      <c r="AS12" s="189">
        <f t="shared" si="6"/>
        <v>3427.7999999999997</v>
      </c>
      <c r="AT12" s="189">
        <f t="shared" si="14"/>
        <v>6855.5999999999995</v>
      </c>
      <c r="AU12" s="50">
        <f t="shared" si="7"/>
        <v>8247.6</v>
      </c>
    </row>
    <row r="13" spans="1:47" ht="15" thickBot="1">
      <c r="A13" s="131" t="s">
        <v>87</v>
      </c>
      <c r="B13" s="21"/>
      <c r="C13" s="21">
        <v>1</v>
      </c>
      <c r="D13" s="21"/>
      <c r="E13" s="21">
        <v>1</v>
      </c>
      <c r="F13" s="20">
        <f t="shared" si="8"/>
        <v>2.09</v>
      </c>
      <c r="G13" s="20">
        <f t="shared" si="9"/>
        <v>1.97</v>
      </c>
      <c r="H13" s="20">
        <f t="shared" si="20"/>
        <v>0</v>
      </c>
      <c r="I13" s="20">
        <f t="shared" si="21"/>
        <v>0</v>
      </c>
      <c r="J13" s="20">
        <f t="shared" si="22"/>
        <v>0.2</v>
      </c>
      <c r="K13" s="22">
        <v>2</v>
      </c>
      <c r="L13" s="22">
        <v>1</v>
      </c>
      <c r="M13" s="22"/>
      <c r="N13" s="37">
        <f t="shared" si="16"/>
        <v>1538.2399999999998</v>
      </c>
      <c r="O13" s="37">
        <f t="shared" si="2"/>
        <v>4389</v>
      </c>
      <c r="P13" s="37">
        <f t="shared" si="0"/>
        <v>8646.33</v>
      </c>
      <c r="Q13" s="20">
        <f t="shared" si="19"/>
        <v>0.15</v>
      </c>
      <c r="R13" s="20">
        <f t="shared" si="10"/>
        <v>0.47000000000000003</v>
      </c>
      <c r="S13" s="37">
        <f t="shared" si="23"/>
        <v>6389.9451000000008</v>
      </c>
      <c r="T13" s="138">
        <v>7434.0000000000018</v>
      </c>
      <c r="U13" s="139">
        <f t="shared" si="11"/>
        <v>-0.14044322033898315</v>
      </c>
      <c r="V13" s="18"/>
      <c r="W13" s="18"/>
      <c r="X13" s="18"/>
      <c r="Y13" s="30"/>
      <c r="Z13" s="29"/>
      <c r="AA13" s="28"/>
      <c r="AB13" s="27"/>
      <c r="AJ13" s="50">
        <v>2</v>
      </c>
      <c r="AK13" s="50">
        <v>1</v>
      </c>
      <c r="AL13" s="50">
        <v>0</v>
      </c>
      <c r="AM13" s="15">
        <f>Tabela21[[#This Row],[Att subs]]+Tabela21[[#This Row],[Crit D subs]]</f>
        <v>0</v>
      </c>
      <c r="AN13" s="15">
        <v>0</v>
      </c>
      <c r="AO13" s="15">
        <f t="shared" si="17"/>
        <v>0</v>
      </c>
      <c r="AP13" s="15">
        <v>1</v>
      </c>
      <c r="AQ13" s="189">
        <f t="shared" si="12"/>
        <v>4117.3</v>
      </c>
      <c r="AR13" s="189">
        <f t="shared" si="13"/>
        <v>4123.8</v>
      </c>
      <c r="AS13" s="189">
        <f t="shared" si="6"/>
        <v>3427.7999999999997</v>
      </c>
      <c r="AT13" s="189">
        <f t="shared" si="14"/>
        <v>6855.5999999999995</v>
      </c>
      <c r="AU13" s="50">
        <f t="shared" si="7"/>
        <v>8247.6</v>
      </c>
    </row>
    <row r="14" spans="1:47" ht="15" thickBot="1">
      <c r="A14" s="131" t="s">
        <v>113</v>
      </c>
      <c r="B14" s="21"/>
      <c r="C14" s="21"/>
      <c r="D14" s="21">
        <v>1</v>
      </c>
      <c r="E14" s="21">
        <v>1</v>
      </c>
      <c r="F14" s="20">
        <f t="shared" si="8"/>
        <v>1.74</v>
      </c>
      <c r="G14" s="20">
        <f t="shared" si="9"/>
        <v>2.37</v>
      </c>
      <c r="H14" s="20">
        <f t="shared" si="20"/>
        <v>0</v>
      </c>
      <c r="I14" s="20">
        <f t="shared" si="21"/>
        <v>0</v>
      </c>
      <c r="J14" s="20">
        <f t="shared" si="22"/>
        <v>0.2</v>
      </c>
      <c r="K14" s="22">
        <v>2</v>
      </c>
      <c r="L14" s="22">
        <v>1</v>
      </c>
      <c r="M14" s="22"/>
      <c r="N14" s="37">
        <f t="shared" si="16"/>
        <v>1280.6400000000001</v>
      </c>
      <c r="O14" s="37">
        <f t="shared" si="2"/>
        <v>3654</v>
      </c>
      <c r="P14" s="37">
        <f t="shared" si="0"/>
        <v>8659.98</v>
      </c>
      <c r="Q14" s="20">
        <f t="shared" si="19"/>
        <v>0.15</v>
      </c>
      <c r="R14" s="20">
        <f t="shared" si="10"/>
        <v>0.47000000000000003</v>
      </c>
      <c r="S14" s="37">
        <f t="shared" si="23"/>
        <v>6006.8105999999998</v>
      </c>
      <c r="T14" s="138">
        <v>7210.8750000000018</v>
      </c>
      <c r="U14" s="139">
        <f t="shared" si="11"/>
        <v>-0.16697895886421577</v>
      </c>
      <c r="V14" s="18"/>
      <c r="W14" s="18"/>
      <c r="X14" s="18"/>
      <c r="Y14" s="30"/>
      <c r="Z14" s="29"/>
      <c r="AA14" s="28"/>
      <c r="AB14" s="27"/>
      <c r="AJ14" s="50">
        <v>2</v>
      </c>
      <c r="AK14" s="50">
        <v>0</v>
      </c>
      <c r="AL14" s="50">
        <v>1</v>
      </c>
      <c r="AM14" s="15">
        <f>Tabela21[[#This Row],[Att subs]]+Tabela21[[#This Row],[Crit D subs]]</f>
        <v>0</v>
      </c>
      <c r="AN14" s="15">
        <v>0</v>
      </c>
      <c r="AO14" s="15">
        <f t="shared" si="17"/>
        <v>0</v>
      </c>
      <c r="AP14" s="15">
        <v>0</v>
      </c>
      <c r="AQ14" s="189">
        <f t="shared" si="12"/>
        <v>2737.9</v>
      </c>
      <c r="AR14" s="189">
        <f t="shared" si="13"/>
        <v>2710.9199999999996</v>
      </c>
      <c r="AS14" s="189">
        <f t="shared" si="6"/>
        <v>2488.2000000000003</v>
      </c>
      <c r="AT14" s="189">
        <f t="shared" si="14"/>
        <v>4732.8</v>
      </c>
      <c r="AU14" s="50">
        <f t="shared" si="7"/>
        <v>4760.6399999999994</v>
      </c>
    </row>
    <row r="15" spans="1:47" ht="15" thickBot="1">
      <c r="A15" s="131" t="s">
        <v>88</v>
      </c>
      <c r="B15" s="21"/>
      <c r="C15" s="21"/>
      <c r="D15" s="21"/>
      <c r="E15" s="21">
        <v>3</v>
      </c>
      <c r="F15" s="20">
        <f t="shared" si="8"/>
        <v>1.74</v>
      </c>
      <c r="G15" s="20">
        <f t="shared" si="9"/>
        <v>1.5</v>
      </c>
      <c r="H15" s="20">
        <f t="shared" si="20"/>
        <v>0</v>
      </c>
      <c r="I15" s="20">
        <f t="shared" si="21"/>
        <v>0</v>
      </c>
      <c r="J15" s="20">
        <f t="shared" si="22"/>
        <v>0.2</v>
      </c>
      <c r="K15" s="22">
        <v>2</v>
      </c>
      <c r="L15" s="22"/>
      <c r="M15" s="22">
        <v>1</v>
      </c>
      <c r="N15" s="37">
        <f t="shared" si="16"/>
        <v>1280.6400000000001</v>
      </c>
      <c r="O15" s="37">
        <f t="shared" si="2"/>
        <v>3654</v>
      </c>
      <c r="P15" s="37">
        <f t="shared" si="0"/>
        <v>5481</v>
      </c>
      <c r="Q15" s="20">
        <f t="shared" si="19"/>
        <v>0.15</v>
      </c>
      <c r="R15" s="20">
        <f t="shared" si="10"/>
        <v>1</v>
      </c>
      <c r="S15" s="37">
        <f t="shared" si="23"/>
        <v>5481</v>
      </c>
      <c r="T15" s="138">
        <v>6586.6500000000015</v>
      </c>
      <c r="U15" s="139">
        <f t="shared" si="11"/>
        <v>-0.16786226685796291</v>
      </c>
      <c r="V15" s="18"/>
      <c r="W15" s="18"/>
      <c r="X15" s="18"/>
      <c r="Y15" s="30"/>
      <c r="Z15" s="29"/>
      <c r="AA15" s="28"/>
      <c r="AB15" s="27"/>
      <c r="AJ15" s="50">
        <v>2</v>
      </c>
      <c r="AK15" s="50">
        <v>0</v>
      </c>
      <c r="AL15" s="50">
        <v>1</v>
      </c>
      <c r="AM15" s="15">
        <f>Tabela21[[#This Row],[Att subs]]+Tabela21[[#This Row],[Crit D subs]]</f>
        <v>0</v>
      </c>
      <c r="AN15" s="15">
        <v>0</v>
      </c>
      <c r="AO15" s="15">
        <f t="shared" si="17"/>
        <v>0</v>
      </c>
      <c r="AP15" s="15">
        <v>0.1</v>
      </c>
      <c r="AQ15" s="189">
        <f t="shared" si="12"/>
        <v>2842.4</v>
      </c>
      <c r="AR15" s="189">
        <f t="shared" si="13"/>
        <v>2867.52</v>
      </c>
      <c r="AS15" s="189">
        <f t="shared" si="6"/>
        <v>2575.1999999999998</v>
      </c>
      <c r="AT15" s="189">
        <f t="shared" si="14"/>
        <v>5080.8</v>
      </c>
      <c r="AU15" s="50">
        <f t="shared" si="7"/>
        <v>5247.84</v>
      </c>
    </row>
    <row r="16" spans="1:47" ht="15" thickBot="1">
      <c r="A16" s="131" t="s">
        <v>87</v>
      </c>
      <c r="B16" s="21"/>
      <c r="C16" s="21">
        <v>1</v>
      </c>
      <c r="D16" s="21"/>
      <c r="E16" s="21">
        <v>1</v>
      </c>
      <c r="F16" s="20">
        <f t="shared" si="8"/>
        <v>2.09</v>
      </c>
      <c r="G16" s="20">
        <f t="shared" si="9"/>
        <v>1.5</v>
      </c>
      <c r="H16" s="20">
        <f t="shared" si="20"/>
        <v>0</v>
      </c>
      <c r="I16" s="20">
        <f t="shared" si="21"/>
        <v>0</v>
      </c>
      <c r="J16" s="20">
        <f t="shared" si="22"/>
        <v>0.2</v>
      </c>
      <c r="K16" s="22">
        <v>2</v>
      </c>
      <c r="L16" s="22"/>
      <c r="M16" s="22">
        <v>1</v>
      </c>
      <c r="N16" s="37">
        <f t="shared" si="16"/>
        <v>1538.2399999999998</v>
      </c>
      <c r="O16" s="37">
        <f t="shared" si="2"/>
        <v>4389</v>
      </c>
      <c r="P16" s="37">
        <f t="shared" si="0"/>
        <v>6583.5</v>
      </c>
      <c r="Q16" s="20">
        <f t="shared" si="19"/>
        <v>0.15</v>
      </c>
      <c r="R16" s="20">
        <f t="shared" si="10"/>
        <v>0.82000000000000006</v>
      </c>
      <c r="S16" s="37">
        <f t="shared" si="23"/>
        <v>6188.49</v>
      </c>
      <c r="T16" s="138">
        <v>7203.6720000000014</v>
      </c>
      <c r="U16" s="139">
        <f t="shared" si="11"/>
        <v>-0.14092562792975605</v>
      </c>
      <c r="V16" s="18"/>
      <c r="W16" s="18"/>
      <c r="X16" s="18"/>
      <c r="Y16" s="30"/>
      <c r="Z16" s="29"/>
      <c r="AA16" s="28"/>
      <c r="AB16" s="27"/>
      <c r="AJ16" s="50">
        <v>2</v>
      </c>
      <c r="AK16" s="50">
        <v>0</v>
      </c>
      <c r="AL16" s="50">
        <v>1</v>
      </c>
      <c r="AM16" s="15">
        <f>Tabela21[[#This Row],[Att subs]]+Tabela21[[#This Row],[Crit D subs]]</f>
        <v>0</v>
      </c>
      <c r="AN16" s="15">
        <v>0</v>
      </c>
      <c r="AO16" s="15">
        <f t="shared" si="17"/>
        <v>0</v>
      </c>
      <c r="AP16" s="15">
        <v>0.2</v>
      </c>
      <c r="AQ16" s="189">
        <f t="shared" si="12"/>
        <v>2946.8999999999996</v>
      </c>
      <c r="AR16" s="189">
        <f t="shared" si="13"/>
        <v>3024.1199999999994</v>
      </c>
      <c r="AS16" s="189">
        <f t="shared" si="6"/>
        <v>2610</v>
      </c>
      <c r="AT16" s="189">
        <f t="shared" si="14"/>
        <v>5220</v>
      </c>
      <c r="AU16" s="50">
        <f t="shared" si="7"/>
        <v>5735.04</v>
      </c>
    </row>
    <row r="17" spans="1:47" ht="15" thickBot="1">
      <c r="A17" s="131" t="s">
        <v>113</v>
      </c>
      <c r="B17" s="21"/>
      <c r="C17" s="21"/>
      <c r="D17" s="21">
        <v>1</v>
      </c>
      <c r="E17" s="21">
        <v>1</v>
      </c>
      <c r="F17" s="20">
        <f t="shared" si="8"/>
        <v>1.74</v>
      </c>
      <c r="G17" s="20">
        <f t="shared" si="9"/>
        <v>1.9</v>
      </c>
      <c r="H17" s="20">
        <f t="shared" si="20"/>
        <v>0</v>
      </c>
      <c r="I17" s="20">
        <f t="shared" si="21"/>
        <v>0</v>
      </c>
      <c r="J17" s="20">
        <f t="shared" si="22"/>
        <v>0.2</v>
      </c>
      <c r="K17" s="22">
        <v>2</v>
      </c>
      <c r="L17" s="22"/>
      <c r="M17" s="22">
        <v>1</v>
      </c>
      <c r="N17" s="37">
        <f t="shared" si="16"/>
        <v>1280.6400000000001</v>
      </c>
      <c r="O17" s="37">
        <f t="shared" si="2"/>
        <v>3654</v>
      </c>
      <c r="P17" s="37">
        <f t="shared" si="0"/>
        <v>6942.5999999999995</v>
      </c>
      <c r="Q17" s="20">
        <f t="shared" si="19"/>
        <v>0.15</v>
      </c>
      <c r="R17" s="20">
        <f t="shared" si="10"/>
        <v>0.82000000000000006</v>
      </c>
      <c r="S17" s="37">
        <f t="shared" si="23"/>
        <v>6350.652</v>
      </c>
      <c r="T17" s="138">
        <v>7547.956500000003</v>
      </c>
      <c r="U17" s="139">
        <f t="shared" si="11"/>
        <v>-0.1586263116381238</v>
      </c>
      <c r="V17" s="18"/>
      <c r="W17" s="18"/>
      <c r="X17" s="18"/>
      <c r="Y17" s="26"/>
      <c r="Z17" s="25"/>
      <c r="AA17" s="24"/>
      <c r="AB17" s="23"/>
      <c r="AC17" s="18"/>
      <c r="AJ17" s="50">
        <v>2</v>
      </c>
      <c r="AK17" s="50">
        <v>0</v>
      </c>
      <c r="AL17" s="50">
        <v>1</v>
      </c>
      <c r="AM17" s="15">
        <f>Tabela21[[#This Row],[Att subs]]+Tabela21[[#This Row],[Crit D subs]]</f>
        <v>0</v>
      </c>
      <c r="AN17" s="15">
        <v>0</v>
      </c>
      <c r="AO17" s="15">
        <f t="shared" si="17"/>
        <v>0</v>
      </c>
      <c r="AP17" s="15">
        <v>0.3</v>
      </c>
      <c r="AQ17" s="189">
        <f t="shared" si="12"/>
        <v>3051.4000000000005</v>
      </c>
      <c r="AR17" s="189">
        <f t="shared" si="13"/>
        <v>3180.7200000000003</v>
      </c>
      <c r="AS17" s="189">
        <f t="shared" si="6"/>
        <v>2610</v>
      </c>
      <c r="AT17" s="189">
        <f t="shared" si="14"/>
        <v>5220</v>
      </c>
      <c r="AU17" s="50">
        <f t="shared" si="7"/>
        <v>6222.24</v>
      </c>
    </row>
    <row r="18" spans="1:47" ht="15" thickBot="1">
      <c r="A18" s="131" t="s">
        <v>113</v>
      </c>
      <c r="B18" s="21"/>
      <c r="C18" s="21"/>
      <c r="D18" s="21">
        <v>1</v>
      </c>
      <c r="E18" s="21"/>
      <c r="F18" s="20">
        <f t="shared" si="8"/>
        <v>1.37</v>
      </c>
      <c r="G18" s="20">
        <f t="shared" si="9"/>
        <v>1.9</v>
      </c>
      <c r="H18" s="20">
        <f t="shared" si="20"/>
        <v>0</v>
      </c>
      <c r="I18" s="20">
        <f t="shared" si="21"/>
        <v>0</v>
      </c>
      <c r="J18" s="20">
        <f t="shared" si="22"/>
        <v>0.2</v>
      </c>
      <c r="K18" s="22">
        <v>1</v>
      </c>
      <c r="L18" s="22"/>
      <c r="M18" s="22">
        <v>1</v>
      </c>
      <c r="N18" s="37">
        <f t="shared" si="16"/>
        <v>1008.32</v>
      </c>
      <c r="O18" s="37">
        <f t="shared" si="2"/>
        <v>2877</v>
      </c>
      <c r="P18" s="37">
        <f t="shared" ref="P18" si="24">O18*G18</f>
        <v>5466.3</v>
      </c>
      <c r="Q18" s="20">
        <f t="shared" si="19"/>
        <v>0.15</v>
      </c>
      <c r="R18" s="20">
        <f t="shared" si="10"/>
        <v>0.7</v>
      </c>
      <c r="S18" s="37">
        <f t="shared" ref="S18" si="25">R18*P18+(1-R18)*O18</f>
        <v>4689.51</v>
      </c>
      <c r="T18" s="138">
        <v>7547.956500000003</v>
      </c>
      <c r="U18" s="139">
        <f t="shared" ref="U18" si="26">S18/T18-1</f>
        <v>-0.37870468649362266</v>
      </c>
      <c r="V18" s="18"/>
      <c r="W18" s="18"/>
      <c r="X18" s="18"/>
      <c r="Y18" s="18"/>
      <c r="Z18" s="18"/>
      <c r="AA18" s="18"/>
      <c r="AB18" s="18"/>
      <c r="AC18" s="18"/>
      <c r="AJ18" s="50">
        <v>2</v>
      </c>
      <c r="AK18" s="50">
        <v>0</v>
      </c>
      <c r="AL18" s="50">
        <v>1</v>
      </c>
      <c r="AM18" s="15">
        <f>Tabela21[[#This Row],[Att subs]]+Tabela21[[#This Row],[Crit D subs]]</f>
        <v>0</v>
      </c>
      <c r="AN18" s="15">
        <v>0</v>
      </c>
      <c r="AO18" s="15">
        <f t="shared" si="17"/>
        <v>0</v>
      </c>
      <c r="AP18" s="15">
        <v>0.4</v>
      </c>
      <c r="AQ18" s="189">
        <f t="shared" si="12"/>
        <v>3135</v>
      </c>
      <c r="AR18" s="189">
        <f t="shared" si="13"/>
        <v>3306</v>
      </c>
      <c r="AS18" s="189">
        <f t="shared" si="6"/>
        <v>2610</v>
      </c>
      <c r="AT18" s="189">
        <f t="shared" si="14"/>
        <v>5220</v>
      </c>
      <c r="AU18" s="50">
        <f t="shared" si="7"/>
        <v>6612</v>
      </c>
    </row>
    <row r="19" spans="1:47" ht="15" thickBot="1">
      <c r="A19" s="131" t="s">
        <v>87</v>
      </c>
      <c r="B19" s="21"/>
      <c r="C19" s="21">
        <v>1</v>
      </c>
      <c r="D19" s="21"/>
      <c r="E19" s="21">
        <v>1</v>
      </c>
      <c r="F19" s="20">
        <f t="shared" si="8"/>
        <v>2.46</v>
      </c>
      <c r="G19" s="20">
        <f t="shared" si="9"/>
        <v>1.5</v>
      </c>
      <c r="H19" s="20">
        <f t="shared" si="20"/>
        <v>0</v>
      </c>
      <c r="I19" s="20">
        <f>I18</f>
        <v>0</v>
      </c>
      <c r="J19" s="20">
        <f>J18</f>
        <v>0.2</v>
      </c>
      <c r="K19" s="22">
        <v>3</v>
      </c>
      <c r="L19" s="22"/>
      <c r="M19" s="22"/>
      <c r="N19" s="37">
        <f t="shared" si="16"/>
        <v>1810.56</v>
      </c>
      <c r="O19" s="37">
        <f t="shared" si="2"/>
        <v>5166</v>
      </c>
      <c r="P19" s="37">
        <f t="shared" ref="P19" si="27">O19*G19</f>
        <v>7749</v>
      </c>
      <c r="Q19" s="20">
        <f t="shared" si="19"/>
        <v>0.15</v>
      </c>
      <c r="R19" s="20">
        <f t="shared" si="10"/>
        <v>0.47000000000000003</v>
      </c>
      <c r="S19" s="37">
        <f t="shared" ref="S19" si="28">R19*P19+(1-R19)*O19</f>
        <v>6380.01</v>
      </c>
      <c r="T19" s="138">
        <v>7547.956500000003</v>
      </c>
      <c r="U19" s="139">
        <f t="shared" ref="U19" si="29">S19/T19-1</f>
        <v>-0.15473678206810049</v>
      </c>
      <c r="V19" s="18"/>
      <c r="W19" s="218" t="s">
        <v>315</v>
      </c>
      <c r="X19" s="218"/>
      <c r="Y19" s="218"/>
      <c r="Z19" s="218"/>
      <c r="AA19" s="218"/>
      <c r="AB19" s="218"/>
      <c r="AC19" s="218"/>
      <c r="AD19" s="218"/>
      <c r="AE19" s="218"/>
      <c r="AF19" s="218"/>
      <c r="AJ19" s="50">
        <v>2</v>
      </c>
      <c r="AK19" s="50">
        <v>0</v>
      </c>
      <c r="AL19" s="50">
        <v>1</v>
      </c>
      <c r="AM19" s="15">
        <f>Tabela21[[#This Row],[Att subs]]+Tabela21[[#This Row],[Crit D subs]]</f>
        <v>0</v>
      </c>
      <c r="AN19" s="15">
        <v>0</v>
      </c>
      <c r="AO19" s="15">
        <f t="shared" si="17"/>
        <v>0</v>
      </c>
      <c r="AP19" s="15">
        <v>0.5</v>
      </c>
      <c r="AQ19" s="189">
        <f t="shared" si="12"/>
        <v>3135</v>
      </c>
      <c r="AR19" s="189">
        <f t="shared" si="13"/>
        <v>3306</v>
      </c>
      <c r="AS19" s="189">
        <f t="shared" si="6"/>
        <v>2610</v>
      </c>
      <c r="AT19" s="189">
        <f t="shared" si="14"/>
        <v>5220</v>
      </c>
      <c r="AU19" s="50">
        <f t="shared" si="7"/>
        <v>6612</v>
      </c>
    </row>
    <row r="20" spans="1:47" ht="15" thickBot="1">
      <c r="A20" s="131" t="s">
        <v>87</v>
      </c>
      <c r="B20" s="21"/>
      <c r="C20" s="21">
        <v>1</v>
      </c>
      <c r="D20" s="21"/>
      <c r="E20" s="21">
        <v>1</v>
      </c>
      <c r="F20" s="20">
        <f t="shared" si="8"/>
        <v>2.46</v>
      </c>
      <c r="G20" s="20">
        <f t="shared" si="9"/>
        <v>1.5</v>
      </c>
      <c r="H20" s="20">
        <f t="shared" si="20"/>
        <v>0</v>
      </c>
      <c r="I20" s="20">
        <f t="shared" ref="I20:I28" si="30">I19</f>
        <v>0</v>
      </c>
      <c r="J20" s="20">
        <f t="shared" ref="J20:J28" si="31">J19</f>
        <v>0.2</v>
      </c>
      <c r="K20" s="22">
        <v>3</v>
      </c>
      <c r="L20" s="22"/>
      <c r="M20" s="22"/>
      <c r="N20" s="37">
        <f t="shared" si="16"/>
        <v>1810.56</v>
      </c>
      <c r="O20" s="37">
        <f t="shared" si="2"/>
        <v>5166</v>
      </c>
      <c r="P20" s="37">
        <f t="shared" ref="P20" si="32">O20*G20</f>
        <v>7749</v>
      </c>
      <c r="Q20" s="20">
        <f t="shared" si="19"/>
        <v>0.15</v>
      </c>
      <c r="R20" s="20">
        <f t="shared" si="10"/>
        <v>0.47000000000000003</v>
      </c>
      <c r="S20" s="37">
        <f t="shared" ref="S20" si="33">R20*P20+(1-R20)*O20</f>
        <v>6380.01</v>
      </c>
      <c r="T20" s="138">
        <v>7547.956500000003</v>
      </c>
      <c r="U20" s="139">
        <f t="shared" ref="U20" si="34">S20/T20-1</f>
        <v>-0.15473678206810049</v>
      </c>
      <c r="V20" s="18"/>
      <c r="W20" s="18" t="s">
        <v>83</v>
      </c>
      <c r="X20" s="18" t="s">
        <v>82</v>
      </c>
      <c r="Y20" s="18" t="s">
        <v>81</v>
      </c>
      <c r="Z20" s="18" t="s">
        <v>308</v>
      </c>
      <c r="AA20" s="18" t="s">
        <v>309</v>
      </c>
      <c r="AB20" s="18" t="s">
        <v>310</v>
      </c>
      <c r="AC20" s="18" t="s">
        <v>311</v>
      </c>
      <c r="AD20" s="18" t="s">
        <v>312</v>
      </c>
      <c r="AE20" s="18" t="s">
        <v>313</v>
      </c>
      <c r="AF20" t="s">
        <v>314</v>
      </c>
      <c r="AJ20" s="50">
        <v>2</v>
      </c>
      <c r="AK20" s="50">
        <v>0</v>
      </c>
      <c r="AL20" s="50">
        <v>1</v>
      </c>
      <c r="AM20" s="15">
        <f>Tabela21[[#This Row],[Att subs]]+Tabela21[[#This Row],[Crit D subs]]</f>
        <v>0</v>
      </c>
      <c r="AN20" s="15">
        <v>0</v>
      </c>
      <c r="AO20" s="15">
        <f t="shared" si="17"/>
        <v>0</v>
      </c>
      <c r="AP20" s="15">
        <v>0.6</v>
      </c>
      <c r="AQ20" s="189">
        <f t="shared" si="12"/>
        <v>3135</v>
      </c>
      <c r="AR20" s="189">
        <f t="shared" si="13"/>
        <v>3306</v>
      </c>
      <c r="AS20" s="189">
        <f t="shared" si="6"/>
        <v>2610</v>
      </c>
      <c r="AT20" s="189">
        <f t="shared" si="14"/>
        <v>5220</v>
      </c>
      <c r="AU20" s="50">
        <f t="shared" si="7"/>
        <v>6612</v>
      </c>
    </row>
    <row r="21" spans="1:47" ht="15" thickBot="1">
      <c r="A21" s="131" t="s">
        <v>87</v>
      </c>
      <c r="B21" s="21"/>
      <c r="C21" s="21">
        <v>1</v>
      </c>
      <c r="D21" s="21"/>
      <c r="E21" s="21">
        <v>1</v>
      </c>
      <c r="F21" s="20">
        <f t="shared" si="8"/>
        <v>2.09</v>
      </c>
      <c r="G21" s="20">
        <f t="shared" si="9"/>
        <v>1.97</v>
      </c>
      <c r="H21" s="20">
        <f t="shared" si="20"/>
        <v>0</v>
      </c>
      <c r="I21" s="20">
        <f t="shared" si="30"/>
        <v>0</v>
      </c>
      <c r="J21" s="20">
        <f t="shared" si="31"/>
        <v>0.2</v>
      </c>
      <c r="K21" s="22">
        <v>2</v>
      </c>
      <c r="L21" s="22">
        <v>1</v>
      </c>
      <c r="M21" s="22"/>
      <c r="N21" s="37">
        <f t="shared" si="16"/>
        <v>1538.2399999999998</v>
      </c>
      <c r="O21" s="37">
        <f t="shared" si="2"/>
        <v>4389</v>
      </c>
      <c r="P21" s="37">
        <f t="shared" ref="P21:P22" si="35">O21*G21</f>
        <v>8646.33</v>
      </c>
      <c r="Q21" s="20">
        <f t="shared" si="19"/>
        <v>0.15</v>
      </c>
      <c r="R21" s="20">
        <f t="shared" si="10"/>
        <v>0.47000000000000003</v>
      </c>
      <c r="S21" s="37">
        <f t="shared" ref="S21:S22" si="36">R21*P21+(1-R21)*O21</f>
        <v>6389.9451000000008</v>
      </c>
      <c r="T21" s="138">
        <v>7547.956500000003</v>
      </c>
      <c r="U21" s="139">
        <f t="shared" ref="U21:U22" si="37">S21/T21-1</f>
        <v>-0.15342051852047656</v>
      </c>
      <c r="V21" s="18"/>
      <c r="W21" s="18" t="s">
        <v>305</v>
      </c>
      <c r="X21" s="18">
        <v>0</v>
      </c>
      <c r="Y21" s="18">
        <v>0</v>
      </c>
      <c r="Z21" s="18" t="s">
        <v>86</v>
      </c>
      <c r="AA21" s="18" t="s">
        <v>84</v>
      </c>
      <c r="AB21" s="18" t="s">
        <v>304</v>
      </c>
      <c r="AC21">
        <v>2</v>
      </c>
      <c r="AD21" s="18" t="s">
        <v>82</v>
      </c>
      <c r="AE21">
        <v>1</v>
      </c>
      <c r="AF21">
        <v>1</v>
      </c>
      <c r="AJ21" s="50">
        <v>2</v>
      </c>
      <c r="AK21" s="50">
        <v>0</v>
      </c>
      <c r="AL21" s="50">
        <v>1</v>
      </c>
      <c r="AM21" s="15">
        <f>Tabela21[[#This Row],[Att subs]]+Tabela21[[#This Row],[Crit D subs]]</f>
        <v>0</v>
      </c>
      <c r="AN21" s="15">
        <v>0</v>
      </c>
      <c r="AO21" s="15">
        <f t="shared" si="17"/>
        <v>0</v>
      </c>
      <c r="AP21" s="15">
        <v>0.7</v>
      </c>
      <c r="AQ21" s="189">
        <f t="shared" si="12"/>
        <v>3135</v>
      </c>
      <c r="AR21" s="189">
        <f t="shared" si="13"/>
        <v>3306</v>
      </c>
      <c r="AS21" s="189">
        <f t="shared" si="6"/>
        <v>2610</v>
      </c>
      <c r="AT21" s="189">
        <f t="shared" si="14"/>
        <v>5220</v>
      </c>
      <c r="AU21" s="50">
        <f t="shared" si="7"/>
        <v>6612</v>
      </c>
    </row>
    <row r="22" spans="1:47" ht="15" thickBot="1">
      <c r="A22" s="131" t="s">
        <v>87</v>
      </c>
      <c r="B22" s="21"/>
      <c r="C22" s="21">
        <v>1</v>
      </c>
      <c r="D22" s="21"/>
      <c r="E22" s="21">
        <v>1</v>
      </c>
      <c r="F22" s="20">
        <f t="shared" si="8"/>
        <v>2.09</v>
      </c>
      <c r="G22" s="20">
        <f t="shared" si="9"/>
        <v>1.5</v>
      </c>
      <c r="H22" s="20">
        <f t="shared" si="20"/>
        <v>0</v>
      </c>
      <c r="I22" s="20">
        <f t="shared" si="30"/>
        <v>0</v>
      </c>
      <c r="J22" s="20">
        <f t="shared" si="31"/>
        <v>0.2</v>
      </c>
      <c r="K22" s="22">
        <v>2</v>
      </c>
      <c r="L22" s="22"/>
      <c r="M22" s="22">
        <v>1</v>
      </c>
      <c r="N22" s="37">
        <f t="shared" si="16"/>
        <v>1538.2399999999998</v>
      </c>
      <c r="O22" s="37">
        <f t="shared" si="2"/>
        <v>4389</v>
      </c>
      <c r="P22" s="37">
        <f t="shared" si="35"/>
        <v>6583.5</v>
      </c>
      <c r="Q22" s="20">
        <f t="shared" si="19"/>
        <v>0.15</v>
      </c>
      <c r="R22" s="20">
        <f t="shared" si="10"/>
        <v>0.82000000000000006</v>
      </c>
      <c r="S22" s="37">
        <f t="shared" si="36"/>
        <v>6188.49</v>
      </c>
      <c r="T22" s="138">
        <v>7547.956500000003</v>
      </c>
      <c r="U22" s="139">
        <f t="shared" si="37"/>
        <v>-0.18011053720301684</v>
      </c>
      <c r="V22" s="18"/>
      <c r="W22" s="18" t="s">
        <v>305</v>
      </c>
      <c r="X22" s="18">
        <v>0</v>
      </c>
      <c r="Y22" s="18">
        <v>0</v>
      </c>
      <c r="Z22" s="18" t="s">
        <v>85</v>
      </c>
      <c r="AA22" s="18" t="s">
        <v>84</v>
      </c>
      <c r="AB22" s="18" t="s">
        <v>304</v>
      </c>
      <c r="AC22">
        <v>2</v>
      </c>
      <c r="AD22" s="18" t="s">
        <v>82</v>
      </c>
      <c r="AE22">
        <v>1</v>
      </c>
      <c r="AF22">
        <v>2</v>
      </c>
      <c r="AJ22" s="50">
        <v>2</v>
      </c>
      <c r="AK22" s="50">
        <v>0</v>
      </c>
      <c r="AL22" s="50">
        <v>1</v>
      </c>
      <c r="AM22" s="15">
        <f>Tabela21[[#This Row],[Att subs]]+Tabela21[[#This Row],[Crit D subs]]</f>
        <v>0</v>
      </c>
      <c r="AN22" s="15">
        <v>0</v>
      </c>
      <c r="AO22" s="15">
        <f t="shared" si="17"/>
        <v>0</v>
      </c>
      <c r="AP22" s="15">
        <v>0.8</v>
      </c>
      <c r="AQ22" s="189">
        <f t="shared" si="12"/>
        <v>3135</v>
      </c>
      <c r="AR22" s="189">
        <f t="shared" si="13"/>
        <v>3306</v>
      </c>
      <c r="AS22" s="189">
        <f t="shared" si="6"/>
        <v>2610</v>
      </c>
      <c r="AT22" s="189">
        <f t="shared" si="14"/>
        <v>5220</v>
      </c>
      <c r="AU22" s="50">
        <f t="shared" si="7"/>
        <v>6612</v>
      </c>
    </row>
    <row r="23" spans="1:47" ht="15" thickBot="1">
      <c r="A23" s="131" t="s">
        <v>113</v>
      </c>
      <c r="B23" s="21"/>
      <c r="C23" s="21"/>
      <c r="D23" s="21">
        <v>1</v>
      </c>
      <c r="E23" s="21">
        <v>1</v>
      </c>
      <c r="F23" s="20">
        <f t="shared" si="8"/>
        <v>2.11</v>
      </c>
      <c r="G23" s="20">
        <f t="shared" si="9"/>
        <v>1.9</v>
      </c>
      <c r="H23" s="20">
        <f t="shared" si="20"/>
        <v>0</v>
      </c>
      <c r="I23" s="20">
        <f t="shared" si="30"/>
        <v>0</v>
      </c>
      <c r="J23" s="20">
        <f t="shared" si="31"/>
        <v>0.2</v>
      </c>
      <c r="K23" s="22">
        <v>3</v>
      </c>
      <c r="L23" s="22"/>
      <c r="M23" s="22"/>
      <c r="N23" s="37">
        <f t="shared" si="16"/>
        <v>1552.9599999999998</v>
      </c>
      <c r="O23" s="37">
        <f t="shared" si="2"/>
        <v>4431</v>
      </c>
      <c r="P23" s="37">
        <f t="shared" ref="P23" si="38">O23*G23</f>
        <v>8418.9</v>
      </c>
      <c r="Q23" s="20">
        <f t="shared" si="19"/>
        <v>0.15</v>
      </c>
      <c r="R23" s="20">
        <f t="shared" si="10"/>
        <v>0.47000000000000003</v>
      </c>
      <c r="S23" s="37">
        <f t="shared" ref="S23" si="39">R23*P23+(1-R23)*O23</f>
        <v>6305.3130000000001</v>
      </c>
      <c r="T23" s="138">
        <v>7547.956500000003</v>
      </c>
      <c r="U23" s="139">
        <f t="shared" ref="U23" si="40">S23/T23-1</f>
        <v>-0.16463310301271639</v>
      </c>
      <c r="V23" s="18"/>
      <c r="W23" s="18" t="s">
        <v>306</v>
      </c>
      <c r="X23" s="18">
        <v>0</v>
      </c>
      <c r="Y23" s="18">
        <v>0</v>
      </c>
      <c r="Z23" s="18" t="s">
        <v>86</v>
      </c>
      <c r="AA23" s="18" t="s">
        <v>84</v>
      </c>
      <c r="AB23" s="18" t="s">
        <v>304</v>
      </c>
      <c r="AC23">
        <v>2</v>
      </c>
      <c r="AD23" s="18" t="s">
        <v>82</v>
      </c>
      <c r="AE23">
        <v>1</v>
      </c>
      <c r="AF23">
        <v>1</v>
      </c>
      <c r="AJ23" s="50">
        <v>2</v>
      </c>
      <c r="AK23" s="50">
        <v>0</v>
      </c>
      <c r="AL23" s="50">
        <v>1</v>
      </c>
      <c r="AM23" s="15">
        <f>Tabela21[[#This Row],[Att subs]]+Tabela21[[#This Row],[Crit D subs]]</f>
        <v>0</v>
      </c>
      <c r="AN23" s="15">
        <v>0</v>
      </c>
      <c r="AO23" s="15">
        <f t="shared" si="17"/>
        <v>0</v>
      </c>
      <c r="AP23" s="15">
        <v>0.9</v>
      </c>
      <c r="AQ23" s="189">
        <f t="shared" si="12"/>
        <v>3135</v>
      </c>
      <c r="AR23" s="189">
        <f t="shared" si="13"/>
        <v>3306</v>
      </c>
      <c r="AS23" s="189">
        <f t="shared" si="6"/>
        <v>2610</v>
      </c>
      <c r="AT23" s="189">
        <f t="shared" si="14"/>
        <v>5220</v>
      </c>
      <c r="AU23" s="50">
        <f t="shared" si="7"/>
        <v>6612</v>
      </c>
    </row>
    <row r="24" spans="1:47" ht="15" thickBot="1">
      <c r="A24" s="131" t="s">
        <v>113</v>
      </c>
      <c r="B24" s="21"/>
      <c r="C24" s="21"/>
      <c r="D24" s="21">
        <v>1</v>
      </c>
      <c r="E24" s="21">
        <v>1</v>
      </c>
      <c r="F24" s="20">
        <f t="shared" si="8"/>
        <v>1.74</v>
      </c>
      <c r="G24" s="20">
        <f t="shared" si="9"/>
        <v>2.37</v>
      </c>
      <c r="H24" s="20">
        <f t="shared" si="20"/>
        <v>0</v>
      </c>
      <c r="I24" s="20">
        <f t="shared" si="30"/>
        <v>0</v>
      </c>
      <c r="J24" s="20">
        <f t="shared" si="31"/>
        <v>0.2</v>
      </c>
      <c r="K24" s="22">
        <v>2</v>
      </c>
      <c r="L24" s="22">
        <v>1</v>
      </c>
      <c r="M24" s="22"/>
      <c r="N24" s="37">
        <f t="shared" si="16"/>
        <v>1280.6400000000001</v>
      </c>
      <c r="O24" s="37">
        <f t="shared" si="2"/>
        <v>3654</v>
      </c>
      <c r="P24" s="37">
        <f t="shared" ref="P24:P26" si="41">O24*G24</f>
        <v>8659.98</v>
      </c>
      <c r="Q24" s="20">
        <f t="shared" si="19"/>
        <v>0.15</v>
      </c>
      <c r="R24" s="20">
        <f t="shared" si="10"/>
        <v>0.47000000000000003</v>
      </c>
      <c r="S24" s="37">
        <f t="shared" ref="S24:S26" si="42">R24*P24+(1-R24)*O24</f>
        <v>6006.8105999999998</v>
      </c>
      <c r="T24" s="138">
        <v>7547.956500000003</v>
      </c>
      <c r="U24" s="139">
        <f t="shared" ref="U24:U26" si="43">S24/T24-1</f>
        <v>-0.20418054873527725</v>
      </c>
      <c r="V24" s="18"/>
      <c r="W24" s="18" t="s">
        <v>307</v>
      </c>
      <c r="X24" s="18">
        <v>0</v>
      </c>
      <c r="Y24" s="18">
        <v>0</v>
      </c>
      <c r="Z24" s="18" t="s">
        <v>86</v>
      </c>
      <c r="AA24" s="18" t="s">
        <v>84</v>
      </c>
      <c r="AB24" s="18" t="s">
        <v>304</v>
      </c>
      <c r="AC24">
        <v>3</v>
      </c>
      <c r="AD24" s="18"/>
      <c r="AF24">
        <v>3</v>
      </c>
      <c r="AJ24" s="50">
        <v>2</v>
      </c>
      <c r="AK24" s="50">
        <v>0</v>
      </c>
      <c r="AL24" s="50">
        <v>1</v>
      </c>
      <c r="AM24" s="15">
        <f>Tabela21[[#This Row],[Att subs]]+Tabela21[[#This Row],[Crit D subs]]</f>
        <v>0</v>
      </c>
      <c r="AN24" s="15">
        <v>0</v>
      </c>
      <c r="AO24" s="15">
        <f t="shared" si="17"/>
        <v>0</v>
      </c>
      <c r="AP24" s="15">
        <v>1</v>
      </c>
      <c r="AQ24" s="189">
        <f t="shared" si="12"/>
        <v>3135</v>
      </c>
      <c r="AR24" s="189">
        <f t="shared" si="13"/>
        <v>3306</v>
      </c>
      <c r="AS24" s="189">
        <f t="shared" si="6"/>
        <v>2610</v>
      </c>
      <c r="AT24" s="189">
        <f t="shared" si="14"/>
        <v>5220</v>
      </c>
      <c r="AU24" s="50">
        <f t="shared" si="7"/>
        <v>6612</v>
      </c>
    </row>
    <row r="25" spans="1:47" ht="15" thickBot="1">
      <c r="A25" s="131" t="s">
        <v>113</v>
      </c>
      <c r="B25" s="21"/>
      <c r="C25" s="21"/>
      <c r="D25" s="21">
        <v>1</v>
      </c>
      <c r="E25" s="21">
        <v>1</v>
      </c>
      <c r="F25" s="20">
        <f t="shared" si="8"/>
        <v>1.74</v>
      </c>
      <c r="G25" s="20">
        <f t="shared" si="9"/>
        <v>1.9</v>
      </c>
      <c r="H25" s="20">
        <f t="shared" si="20"/>
        <v>0</v>
      </c>
      <c r="I25" s="20">
        <f t="shared" si="30"/>
        <v>0</v>
      </c>
      <c r="J25" s="20">
        <f t="shared" si="31"/>
        <v>0.2</v>
      </c>
      <c r="K25" s="22">
        <v>2</v>
      </c>
      <c r="L25" s="22"/>
      <c r="M25" s="22">
        <v>1</v>
      </c>
      <c r="N25" s="37">
        <f t="shared" si="16"/>
        <v>1280.6400000000001</v>
      </c>
      <c r="O25" s="37">
        <f t="shared" si="2"/>
        <v>3654</v>
      </c>
      <c r="P25" s="37">
        <f t="shared" si="41"/>
        <v>6942.5999999999995</v>
      </c>
      <c r="Q25" s="20">
        <f t="shared" si="19"/>
        <v>0.15</v>
      </c>
      <c r="R25" s="20">
        <f t="shared" si="10"/>
        <v>0.82000000000000006</v>
      </c>
      <c r="S25" s="37">
        <f t="shared" si="42"/>
        <v>6350.652</v>
      </c>
      <c r="T25" s="138">
        <v>7547.956500000003</v>
      </c>
      <c r="U25" s="139">
        <f t="shared" si="43"/>
        <v>-0.1586263116381238</v>
      </c>
      <c r="V25" s="18"/>
      <c r="W25" s="18" t="s">
        <v>307</v>
      </c>
      <c r="X25" s="18">
        <v>0</v>
      </c>
      <c r="Y25" s="18">
        <v>0</v>
      </c>
      <c r="Z25" s="18" t="s">
        <v>85</v>
      </c>
      <c r="AA25" s="18" t="s">
        <v>84</v>
      </c>
      <c r="AB25" s="18" t="s">
        <v>304</v>
      </c>
      <c r="AC25">
        <v>3</v>
      </c>
      <c r="AD25" s="18"/>
      <c r="AF25">
        <v>2</v>
      </c>
      <c r="AJ25" s="50">
        <v>3</v>
      </c>
      <c r="AK25" s="50">
        <v>0</v>
      </c>
      <c r="AL25" s="50">
        <v>0</v>
      </c>
      <c r="AM25" s="15">
        <f>Tabela21[[#This Row],[Att subs]]+Tabela21[[#This Row],[Crit D subs]]</f>
        <v>0</v>
      </c>
      <c r="AN25" s="15">
        <v>0</v>
      </c>
      <c r="AO25" s="15">
        <f t="shared" si="17"/>
        <v>0</v>
      </c>
      <c r="AP25" s="15">
        <v>0</v>
      </c>
      <c r="AQ25" s="189">
        <f t="shared" si="12"/>
        <v>2792.1</v>
      </c>
      <c r="AR25" s="189">
        <f t="shared" si="13"/>
        <v>2622.7299999999996</v>
      </c>
      <c r="AS25" s="189">
        <f t="shared" si="6"/>
        <v>2648.0499999999997</v>
      </c>
      <c r="AT25" s="189">
        <f t="shared" si="14"/>
        <v>4262.2</v>
      </c>
      <c r="AU25" s="50">
        <f t="shared" si="7"/>
        <v>3705.16</v>
      </c>
    </row>
    <row r="26" spans="1:47" ht="15" thickBot="1">
      <c r="A26" s="131" t="s">
        <v>88</v>
      </c>
      <c r="B26" s="21"/>
      <c r="C26" s="21"/>
      <c r="D26" s="21"/>
      <c r="E26" s="21">
        <v>3</v>
      </c>
      <c r="F26" s="20">
        <f t="shared" si="8"/>
        <v>2.11</v>
      </c>
      <c r="G26" s="20">
        <f t="shared" si="9"/>
        <v>1.5</v>
      </c>
      <c r="H26" s="20">
        <f t="shared" si="20"/>
        <v>0</v>
      </c>
      <c r="I26" s="20">
        <f t="shared" si="30"/>
        <v>0</v>
      </c>
      <c r="J26" s="20">
        <f t="shared" si="31"/>
        <v>0.2</v>
      </c>
      <c r="K26" s="22">
        <v>3</v>
      </c>
      <c r="L26" s="22"/>
      <c r="M26" s="22"/>
      <c r="N26" s="37">
        <f t="shared" si="16"/>
        <v>1552.9599999999998</v>
      </c>
      <c r="O26" s="37">
        <f t="shared" si="2"/>
        <v>4431</v>
      </c>
      <c r="P26" s="37">
        <f t="shared" si="41"/>
        <v>6646.5</v>
      </c>
      <c r="Q26" s="20">
        <f t="shared" si="19"/>
        <v>0.15</v>
      </c>
      <c r="R26" s="20">
        <f t="shared" si="10"/>
        <v>0.71</v>
      </c>
      <c r="S26" s="37">
        <f t="shared" si="42"/>
        <v>6004.0049999999992</v>
      </c>
      <c r="T26" s="138">
        <v>7547.956500000003</v>
      </c>
      <c r="U26" s="139">
        <f t="shared" si="43"/>
        <v>-0.2045522519903239</v>
      </c>
      <c r="V26" s="18"/>
      <c r="W26" s="18" t="s">
        <v>307</v>
      </c>
      <c r="X26" s="18">
        <v>0</v>
      </c>
      <c r="Y26" s="18">
        <v>0</v>
      </c>
      <c r="Z26" s="18" t="s">
        <v>86</v>
      </c>
      <c r="AA26" s="18" t="s">
        <v>84</v>
      </c>
      <c r="AB26" s="18" t="s">
        <v>304</v>
      </c>
      <c r="AC26">
        <v>2</v>
      </c>
      <c r="AD26" s="18" t="s">
        <v>82</v>
      </c>
      <c r="AE26">
        <v>1</v>
      </c>
      <c r="AF26">
        <v>1</v>
      </c>
      <c r="AJ26" s="50">
        <v>3</v>
      </c>
      <c r="AK26" s="50">
        <v>0</v>
      </c>
      <c r="AL26" s="50">
        <v>0</v>
      </c>
      <c r="AM26" s="15">
        <f>Tabela21[[#This Row],[Att subs]]+Tabela21[[#This Row],[Crit D subs]]</f>
        <v>0</v>
      </c>
      <c r="AN26" s="15">
        <v>0</v>
      </c>
      <c r="AO26" s="15">
        <f t="shared" si="17"/>
        <v>0</v>
      </c>
      <c r="AP26" s="15">
        <v>0.1</v>
      </c>
      <c r="AQ26" s="189">
        <f t="shared" si="12"/>
        <v>2915.1</v>
      </c>
      <c r="AR26" s="189">
        <f t="shared" si="13"/>
        <v>2812.63</v>
      </c>
      <c r="AS26" s="189">
        <f t="shared" si="6"/>
        <v>2753.55</v>
      </c>
      <c r="AT26" s="189">
        <f t="shared" si="14"/>
        <v>4684.2000000000007</v>
      </c>
      <c r="AU26" s="50">
        <f t="shared" si="7"/>
        <v>4295.96</v>
      </c>
    </row>
    <row r="27" spans="1:47" ht="15" thickBot="1">
      <c r="A27" s="131" t="s">
        <v>88</v>
      </c>
      <c r="B27" s="21"/>
      <c r="C27" s="21"/>
      <c r="D27" s="21"/>
      <c r="E27" s="21">
        <v>3</v>
      </c>
      <c r="F27" s="20">
        <f t="shared" si="8"/>
        <v>1.74</v>
      </c>
      <c r="G27" s="20">
        <f t="shared" si="9"/>
        <v>1.97</v>
      </c>
      <c r="H27" s="20">
        <f t="shared" si="20"/>
        <v>0</v>
      </c>
      <c r="I27" s="20">
        <f t="shared" si="30"/>
        <v>0</v>
      </c>
      <c r="J27" s="20">
        <f t="shared" si="31"/>
        <v>0.2</v>
      </c>
      <c r="K27" s="22">
        <v>2</v>
      </c>
      <c r="L27" s="22">
        <v>1</v>
      </c>
      <c r="M27" s="22"/>
      <c r="N27" s="37">
        <f t="shared" si="16"/>
        <v>1280.6400000000001</v>
      </c>
      <c r="O27" s="37">
        <f t="shared" si="2"/>
        <v>3654</v>
      </c>
      <c r="P27" s="37">
        <f t="shared" ref="P27:P28" si="44">O27*G27</f>
        <v>7198.38</v>
      </c>
      <c r="Q27" s="20">
        <f t="shared" si="19"/>
        <v>0.15</v>
      </c>
      <c r="R27" s="20">
        <f t="shared" si="10"/>
        <v>0.71</v>
      </c>
      <c r="S27" s="37">
        <f t="shared" ref="S27:S28" si="45">R27*P27+(1-R27)*O27</f>
        <v>6170.5097999999998</v>
      </c>
      <c r="T27" s="138">
        <v>7547.956500000003</v>
      </c>
      <c r="U27" s="139">
        <f t="shared" ref="U27:U28" si="46">S27/T27-1</f>
        <v>-0.18249266539890663</v>
      </c>
      <c r="V27" s="18"/>
      <c r="W27" s="18" t="s">
        <v>305</v>
      </c>
      <c r="X27" s="18">
        <v>0.2</v>
      </c>
      <c r="Y27" s="18">
        <v>0</v>
      </c>
      <c r="Z27" s="18" t="s">
        <v>86</v>
      </c>
      <c r="AA27" s="18" t="s">
        <v>84</v>
      </c>
      <c r="AB27" s="18" t="s">
        <v>304</v>
      </c>
      <c r="AC27">
        <v>2</v>
      </c>
      <c r="AD27" s="18" t="s">
        <v>83</v>
      </c>
      <c r="AE27">
        <v>1</v>
      </c>
      <c r="AF27">
        <v>1</v>
      </c>
      <c r="AJ27" s="50">
        <v>3</v>
      </c>
      <c r="AK27" s="50">
        <v>0</v>
      </c>
      <c r="AL27" s="50">
        <v>0</v>
      </c>
      <c r="AM27" s="15">
        <f>Tabela21[[#This Row],[Att subs]]+Tabela21[[#This Row],[Crit D subs]]</f>
        <v>0</v>
      </c>
      <c r="AN27" s="15">
        <v>0</v>
      </c>
      <c r="AO27" s="15">
        <f t="shared" si="17"/>
        <v>0</v>
      </c>
      <c r="AP27" s="15">
        <v>0.2</v>
      </c>
      <c r="AQ27" s="189">
        <f t="shared" si="12"/>
        <v>3038.1</v>
      </c>
      <c r="AR27" s="189">
        <f t="shared" si="13"/>
        <v>3002.5299999999997</v>
      </c>
      <c r="AS27" s="189">
        <f t="shared" si="6"/>
        <v>2859.05</v>
      </c>
      <c r="AT27" s="189">
        <f t="shared" si="14"/>
        <v>5106.2</v>
      </c>
      <c r="AU27" s="50">
        <f t="shared" si="7"/>
        <v>4886.7599999999993</v>
      </c>
    </row>
    <row r="28" spans="1:47" ht="15" thickBot="1">
      <c r="A28" s="131" t="s">
        <v>88</v>
      </c>
      <c r="B28" s="21"/>
      <c r="C28" s="21"/>
      <c r="D28" s="21"/>
      <c r="E28" s="21">
        <v>3</v>
      </c>
      <c r="F28" s="20">
        <f t="shared" si="8"/>
        <v>1.74</v>
      </c>
      <c r="G28" s="20">
        <f t="shared" si="9"/>
        <v>1.5</v>
      </c>
      <c r="H28" s="20">
        <f t="shared" si="20"/>
        <v>0</v>
      </c>
      <c r="I28" s="20">
        <f t="shared" si="30"/>
        <v>0</v>
      </c>
      <c r="J28" s="20">
        <f t="shared" si="31"/>
        <v>0.2</v>
      </c>
      <c r="K28" s="22">
        <v>2</v>
      </c>
      <c r="L28" s="22"/>
      <c r="M28" s="22">
        <v>1</v>
      </c>
      <c r="N28" s="37">
        <f t="shared" si="16"/>
        <v>1280.6400000000001</v>
      </c>
      <c r="O28" s="37">
        <f t="shared" si="2"/>
        <v>3654</v>
      </c>
      <c r="P28" s="37">
        <f t="shared" si="44"/>
        <v>5481</v>
      </c>
      <c r="Q28" s="20">
        <f t="shared" si="19"/>
        <v>0.15</v>
      </c>
      <c r="R28" s="20">
        <f t="shared" si="10"/>
        <v>1</v>
      </c>
      <c r="S28" s="37">
        <f t="shared" si="45"/>
        <v>5481</v>
      </c>
      <c r="T28" s="138">
        <v>7547.956500000003</v>
      </c>
      <c r="U28" s="139">
        <f t="shared" si="46"/>
        <v>-0.27384319186259254</v>
      </c>
      <c r="V28" s="18"/>
      <c r="W28" s="18" t="s">
        <v>306</v>
      </c>
      <c r="X28" s="18">
        <v>0.2</v>
      </c>
      <c r="Y28" s="18">
        <v>0</v>
      </c>
      <c r="Z28" s="18" t="s">
        <v>86</v>
      </c>
      <c r="AA28" s="18" t="s">
        <v>84</v>
      </c>
      <c r="AB28" s="18" t="s">
        <v>304</v>
      </c>
      <c r="AC28">
        <v>3</v>
      </c>
      <c r="AD28" s="18"/>
      <c r="AF28">
        <v>1</v>
      </c>
      <c r="AG28" s="15"/>
      <c r="AH28" s="15"/>
      <c r="AI28" s="15"/>
      <c r="AJ28" s="50">
        <v>3</v>
      </c>
      <c r="AK28" s="50">
        <v>0</v>
      </c>
      <c r="AL28" s="50">
        <v>0</v>
      </c>
      <c r="AM28" s="15">
        <f>Tabela21[[#This Row],[Att subs]]+Tabela21[[#This Row],[Crit D subs]]</f>
        <v>0</v>
      </c>
      <c r="AN28" s="15">
        <v>0</v>
      </c>
      <c r="AO28" s="15">
        <f t="shared" si="17"/>
        <v>0</v>
      </c>
      <c r="AP28" s="15">
        <v>0.3</v>
      </c>
      <c r="AQ28" s="189">
        <f t="shared" si="12"/>
        <v>3161.1000000000004</v>
      </c>
      <c r="AR28" s="189">
        <f t="shared" si="13"/>
        <v>3192.43</v>
      </c>
      <c r="AS28" s="189">
        <f t="shared" si="6"/>
        <v>2964.5499999999997</v>
      </c>
      <c r="AT28" s="189">
        <f t="shared" si="14"/>
        <v>5528.1999999999989</v>
      </c>
      <c r="AU28" s="50">
        <f t="shared" si="7"/>
        <v>5477.56</v>
      </c>
    </row>
    <row r="29" spans="1:47" ht="15" thickBot="1">
      <c r="A29" s="131"/>
      <c r="B29" s="21"/>
      <c r="C29" s="21"/>
      <c r="D29" s="21"/>
      <c r="E29" s="21"/>
      <c r="F29" s="20"/>
      <c r="G29" s="20"/>
      <c r="H29" s="20"/>
      <c r="I29" s="20"/>
      <c r="J29" s="20"/>
      <c r="K29" s="22"/>
      <c r="L29" s="22"/>
      <c r="M29" s="10"/>
      <c r="N29" s="21"/>
      <c r="O29" s="21"/>
      <c r="P29" s="21"/>
      <c r="Q29" s="20"/>
      <c r="R29" s="20"/>
      <c r="S29" s="37"/>
      <c r="T29" s="138"/>
      <c r="U29" s="139"/>
      <c r="V29" s="18"/>
      <c r="W29" s="18" t="s">
        <v>306</v>
      </c>
      <c r="X29" s="18">
        <v>0.2</v>
      </c>
      <c r="Y29" s="18">
        <v>0</v>
      </c>
      <c r="Z29" s="18" t="s">
        <v>86</v>
      </c>
      <c r="AA29" s="18" t="s">
        <v>84</v>
      </c>
      <c r="AB29" s="18" t="s">
        <v>304</v>
      </c>
      <c r="AC29">
        <v>2</v>
      </c>
      <c r="AD29" s="18" t="s">
        <v>83</v>
      </c>
      <c r="AE29">
        <v>1</v>
      </c>
      <c r="AF29">
        <v>1</v>
      </c>
      <c r="AG29" s="15"/>
      <c r="AH29" s="15"/>
      <c r="AI29" s="15"/>
      <c r="AJ29" s="50">
        <v>3</v>
      </c>
      <c r="AK29" s="50">
        <v>0</v>
      </c>
      <c r="AL29" s="50">
        <v>0</v>
      </c>
      <c r="AM29" s="15">
        <f>Tabela21[[#This Row],[Att subs]]+Tabela21[[#This Row],[Crit D subs]]</f>
        <v>0</v>
      </c>
      <c r="AN29" s="15">
        <v>0</v>
      </c>
      <c r="AO29" s="15">
        <f t="shared" si="17"/>
        <v>0</v>
      </c>
      <c r="AP29" s="15">
        <v>0.4</v>
      </c>
      <c r="AQ29" s="189">
        <f t="shared" si="12"/>
        <v>3284.1</v>
      </c>
      <c r="AR29" s="189">
        <f t="shared" si="13"/>
        <v>3382.3299999999995</v>
      </c>
      <c r="AS29" s="189">
        <f t="shared" si="6"/>
        <v>3070.05</v>
      </c>
      <c r="AT29" s="189">
        <f t="shared" si="14"/>
        <v>5950.2</v>
      </c>
      <c r="AU29" s="50">
        <f t="shared" si="7"/>
        <v>6068.36</v>
      </c>
    </row>
    <row r="30" spans="1:47" ht="15" thickBot="1">
      <c r="A30" s="131"/>
      <c r="B30" s="21"/>
      <c r="C30" s="21"/>
      <c r="D30" s="21"/>
      <c r="E30" s="21"/>
      <c r="F30" s="20"/>
      <c r="G30" s="20"/>
      <c r="H30" s="20"/>
      <c r="I30" s="20"/>
      <c r="J30" s="20"/>
      <c r="K30" s="22"/>
      <c r="L30" s="22"/>
      <c r="M30" s="10"/>
      <c r="N30" s="21"/>
      <c r="O30" s="21"/>
      <c r="P30" s="21"/>
      <c r="Q30" s="20"/>
      <c r="R30" s="20"/>
      <c r="S30" s="37"/>
      <c r="T30" s="138"/>
      <c r="U30" s="139"/>
      <c r="V30" s="18"/>
      <c r="W30" s="18" t="s">
        <v>306</v>
      </c>
      <c r="X30" s="18">
        <v>0.2</v>
      </c>
      <c r="Y30" s="18">
        <v>0</v>
      </c>
      <c r="Z30" s="18" t="s">
        <v>85</v>
      </c>
      <c r="AA30" s="18" t="s">
        <v>84</v>
      </c>
      <c r="AB30" s="18" t="s">
        <v>304</v>
      </c>
      <c r="AC30">
        <v>2</v>
      </c>
      <c r="AD30" s="18" t="s">
        <v>83</v>
      </c>
      <c r="AE30">
        <v>1</v>
      </c>
      <c r="AF30">
        <v>1</v>
      </c>
      <c r="AJ30" s="50">
        <v>3</v>
      </c>
      <c r="AK30" s="50">
        <v>0</v>
      </c>
      <c r="AL30" s="50">
        <v>0</v>
      </c>
      <c r="AM30" s="15">
        <f>Tabela21[[#This Row],[Att subs]]+Tabela21[[#This Row],[Crit D subs]]</f>
        <v>0</v>
      </c>
      <c r="AN30" s="15">
        <v>0</v>
      </c>
      <c r="AO30" s="15">
        <f t="shared" si="17"/>
        <v>0</v>
      </c>
      <c r="AP30" s="15">
        <v>0.5</v>
      </c>
      <c r="AQ30" s="189">
        <f t="shared" si="12"/>
        <v>3407.1</v>
      </c>
      <c r="AR30" s="189">
        <f t="shared" si="13"/>
        <v>3572.2299999999996</v>
      </c>
      <c r="AS30" s="189">
        <f t="shared" si="6"/>
        <v>3165</v>
      </c>
      <c r="AT30" s="189">
        <f t="shared" si="14"/>
        <v>6330</v>
      </c>
      <c r="AU30" s="50">
        <f t="shared" si="7"/>
        <v>6659.1599999999989</v>
      </c>
    </row>
    <row r="31" spans="1:47" ht="15" thickBot="1">
      <c r="A31" s="131"/>
      <c r="B31" s="21"/>
      <c r="C31" s="21"/>
      <c r="D31" s="21"/>
      <c r="E31" s="21"/>
      <c r="F31" s="20"/>
      <c r="G31" s="20"/>
      <c r="H31" s="20"/>
      <c r="I31" s="20"/>
      <c r="J31" s="20"/>
      <c r="K31" s="22"/>
      <c r="L31" s="22"/>
      <c r="M31" s="10"/>
      <c r="N31" s="21"/>
      <c r="O31" s="21"/>
      <c r="P31" s="21"/>
      <c r="Q31" s="20"/>
      <c r="R31" s="20"/>
      <c r="S31" s="37"/>
      <c r="T31" s="138"/>
      <c r="U31" s="139"/>
      <c r="V31" s="18"/>
      <c r="W31" s="18" t="s">
        <v>307</v>
      </c>
      <c r="X31" s="18">
        <v>0.2</v>
      </c>
      <c r="Y31" s="18">
        <v>0</v>
      </c>
      <c r="Z31" s="18" t="s">
        <v>86</v>
      </c>
      <c r="AA31" s="18" t="s">
        <v>84</v>
      </c>
      <c r="AB31" s="18" t="s">
        <v>304</v>
      </c>
      <c r="AC31">
        <v>2</v>
      </c>
      <c r="AD31" s="18" t="s">
        <v>82</v>
      </c>
      <c r="AE31">
        <v>1</v>
      </c>
      <c r="AF31">
        <v>1</v>
      </c>
      <c r="AJ31" s="50">
        <v>3</v>
      </c>
      <c r="AK31" s="50">
        <v>0</v>
      </c>
      <c r="AL31" s="50">
        <v>0</v>
      </c>
      <c r="AM31" s="15">
        <f>Tabela21[[#This Row],[Att subs]]+Tabela21[[#This Row],[Crit D subs]]</f>
        <v>0</v>
      </c>
      <c r="AN31" s="15">
        <v>0</v>
      </c>
      <c r="AO31" s="15">
        <f t="shared" si="17"/>
        <v>0</v>
      </c>
      <c r="AP31" s="15">
        <v>0.6</v>
      </c>
      <c r="AQ31" s="189">
        <f t="shared" si="12"/>
        <v>3530.1</v>
      </c>
      <c r="AR31" s="189">
        <f t="shared" si="13"/>
        <v>3762.1299999999997</v>
      </c>
      <c r="AS31" s="189">
        <f t="shared" si="6"/>
        <v>3165</v>
      </c>
      <c r="AT31" s="189">
        <f t="shared" si="14"/>
        <v>6330</v>
      </c>
      <c r="AU31" s="50">
        <f t="shared" si="7"/>
        <v>7249.96</v>
      </c>
    </row>
    <row r="32" spans="1:47" ht="15" thickBot="1">
      <c r="A32" s="131"/>
      <c r="B32" s="21"/>
      <c r="C32" s="21"/>
      <c r="D32" s="21"/>
      <c r="E32" s="21"/>
      <c r="F32" s="20"/>
      <c r="G32" s="20"/>
      <c r="H32" s="20"/>
      <c r="I32" s="20"/>
      <c r="J32" s="20"/>
      <c r="K32" s="22"/>
      <c r="L32" s="22"/>
      <c r="M32" s="10"/>
      <c r="N32" s="21"/>
      <c r="O32" s="21"/>
      <c r="P32" s="21"/>
      <c r="Q32" s="20"/>
      <c r="R32" s="20"/>
      <c r="S32" s="37"/>
      <c r="T32" s="138"/>
      <c r="U32" s="139"/>
      <c r="V32" s="18"/>
      <c r="W32" s="132" t="s">
        <v>305</v>
      </c>
      <c r="X32" s="132">
        <v>0.2</v>
      </c>
      <c r="Y32" s="132">
        <v>0.2</v>
      </c>
      <c r="Z32" s="18" t="s">
        <v>86</v>
      </c>
      <c r="AA32" s="18" t="s">
        <v>84</v>
      </c>
      <c r="AB32" s="18" t="s">
        <v>304</v>
      </c>
      <c r="AC32">
        <v>2</v>
      </c>
      <c r="AD32" s="18" t="s">
        <v>83</v>
      </c>
      <c r="AE32">
        <v>1</v>
      </c>
      <c r="AF32">
        <v>1</v>
      </c>
      <c r="AJ32" s="50">
        <v>3</v>
      </c>
      <c r="AK32" s="50">
        <v>0</v>
      </c>
      <c r="AL32" s="50">
        <v>0</v>
      </c>
      <c r="AM32" s="15">
        <f>Tabela21[[#This Row],[Att subs]]+Tabela21[[#This Row],[Crit D subs]]</f>
        <v>0</v>
      </c>
      <c r="AN32" s="15">
        <v>0</v>
      </c>
      <c r="AO32" s="15">
        <f t="shared" si="17"/>
        <v>0</v>
      </c>
      <c r="AP32" s="15">
        <v>0.7</v>
      </c>
      <c r="AQ32" s="189">
        <f t="shared" si="12"/>
        <v>3653.1000000000004</v>
      </c>
      <c r="AR32" s="189">
        <f t="shared" si="13"/>
        <v>3952.03</v>
      </c>
      <c r="AS32" s="189">
        <f t="shared" si="6"/>
        <v>3165</v>
      </c>
      <c r="AT32" s="189">
        <f t="shared" si="14"/>
        <v>6330</v>
      </c>
      <c r="AU32" s="50">
        <f t="shared" si="7"/>
        <v>7840.76</v>
      </c>
    </row>
    <row r="33" spans="1:47" ht="15" thickBot="1">
      <c r="A33" s="131"/>
      <c r="B33" s="21"/>
      <c r="C33" s="21"/>
      <c r="D33" s="21"/>
      <c r="E33" s="21"/>
      <c r="F33" s="20"/>
      <c r="G33" s="20"/>
      <c r="H33" s="20"/>
      <c r="I33" s="20"/>
      <c r="J33" s="20"/>
      <c r="K33" s="22"/>
      <c r="L33" s="22"/>
      <c r="M33" s="10"/>
      <c r="N33" s="21"/>
      <c r="O33" s="21"/>
      <c r="P33" s="21"/>
      <c r="Q33" s="20"/>
      <c r="R33" s="20"/>
      <c r="S33" s="37"/>
      <c r="T33" s="138"/>
      <c r="U33" s="139"/>
      <c r="V33" s="18"/>
      <c r="W33" s="132" t="s">
        <v>305</v>
      </c>
      <c r="X33" s="132">
        <v>0.2</v>
      </c>
      <c r="Y33" s="132">
        <v>0.2</v>
      </c>
      <c r="Z33" s="18" t="s">
        <v>85</v>
      </c>
      <c r="AA33" s="18" t="s">
        <v>84</v>
      </c>
      <c r="AB33" s="18" t="s">
        <v>304</v>
      </c>
      <c r="AC33">
        <v>3</v>
      </c>
      <c r="AD33" s="18" t="s">
        <v>83</v>
      </c>
      <c r="AE33">
        <v>1</v>
      </c>
      <c r="AF33">
        <v>2</v>
      </c>
      <c r="AJ33" s="50">
        <v>3</v>
      </c>
      <c r="AK33" s="50">
        <v>0</v>
      </c>
      <c r="AL33" s="50">
        <v>0</v>
      </c>
      <c r="AM33" s="15">
        <f>Tabela21[[#This Row],[Att subs]]+Tabela21[[#This Row],[Crit D subs]]</f>
        <v>0</v>
      </c>
      <c r="AN33" s="15">
        <v>0</v>
      </c>
      <c r="AO33" s="15">
        <f t="shared" si="17"/>
        <v>0</v>
      </c>
      <c r="AP33" s="15">
        <v>0.8</v>
      </c>
      <c r="AQ33" s="189">
        <f t="shared" si="12"/>
        <v>3690</v>
      </c>
      <c r="AR33" s="189">
        <f t="shared" si="13"/>
        <v>4009</v>
      </c>
      <c r="AS33" s="189">
        <f t="shared" si="6"/>
        <v>3165</v>
      </c>
      <c r="AT33" s="189">
        <f t="shared" si="14"/>
        <v>6330</v>
      </c>
      <c r="AU33" s="50">
        <f t="shared" si="7"/>
        <v>8018</v>
      </c>
    </row>
    <row r="34" spans="1:47" ht="15" thickBot="1">
      <c r="A34" s="131"/>
      <c r="B34" s="21"/>
      <c r="C34" s="21"/>
      <c r="D34" s="21"/>
      <c r="E34" s="21"/>
      <c r="F34" s="20"/>
      <c r="G34" s="20"/>
      <c r="H34" s="20"/>
      <c r="I34" s="20"/>
      <c r="J34" s="20"/>
      <c r="K34" s="22"/>
      <c r="L34" s="22"/>
      <c r="M34" s="10"/>
      <c r="N34" s="21"/>
      <c r="O34" s="21"/>
      <c r="P34" s="21"/>
      <c r="Q34" s="20"/>
      <c r="R34" s="20"/>
      <c r="S34" s="37"/>
      <c r="T34" s="138"/>
      <c r="U34" s="139"/>
      <c r="V34" s="18"/>
      <c r="W34" s="18" t="s">
        <v>316</v>
      </c>
      <c r="X34" s="132">
        <v>0.2</v>
      </c>
      <c r="Y34" s="132">
        <v>0.2</v>
      </c>
      <c r="Z34" s="18" t="s">
        <v>85</v>
      </c>
      <c r="AA34" s="18" t="s">
        <v>84</v>
      </c>
      <c r="AB34" s="18" t="s">
        <v>304</v>
      </c>
      <c r="AC34">
        <v>3</v>
      </c>
      <c r="AD34" s="18" t="s">
        <v>83</v>
      </c>
      <c r="AE34">
        <v>1</v>
      </c>
      <c r="AF34">
        <v>1</v>
      </c>
      <c r="AJ34" s="50">
        <v>3</v>
      </c>
      <c r="AK34" s="50">
        <v>0</v>
      </c>
      <c r="AL34" s="50">
        <v>0</v>
      </c>
      <c r="AM34" s="15">
        <f>Tabela21[[#This Row],[Att subs]]+Tabela21[[#This Row],[Crit D subs]]</f>
        <v>0</v>
      </c>
      <c r="AN34" s="15">
        <v>0</v>
      </c>
      <c r="AO34" s="15">
        <f t="shared" si="17"/>
        <v>0</v>
      </c>
      <c r="AP34" s="15">
        <v>0.9</v>
      </c>
      <c r="AQ34" s="189">
        <f t="shared" si="12"/>
        <v>3690</v>
      </c>
      <c r="AR34" s="189">
        <f t="shared" si="13"/>
        <v>4009</v>
      </c>
      <c r="AS34" s="189">
        <f t="shared" si="6"/>
        <v>3165</v>
      </c>
      <c r="AT34" s="189">
        <f t="shared" si="14"/>
        <v>6330</v>
      </c>
      <c r="AU34" s="50">
        <f t="shared" si="7"/>
        <v>8018</v>
      </c>
    </row>
    <row r="35" spans="1:47" ht="15" thickBot="1">
      <c r="A35" s="131"/>
      <c r="B35" s="21"/>
      <c r="C35" s="21"/>
      <c r="D35" s="21"/>
      <c r="E35" s="21"/>
      <c r="F35" s="20"/>
      <c r="G35" s="20"/>
      <c r="H35" s="20"/>
      <c r="I35" s="20"/>
      <c r="J35" s="20"/>
      <c r="K35" s="22"/>
      <c r="L35" s="22"/>
      <c r="M35" s="10"/>
      <c r="N35" s="21"/>
      <c r="O35" s="21"/>
      <c r="P35" s="21"/>
      <c r="Q35" s="20"/>
      <c r="R35" s="20"/>
      <c r="S35" s="37"/>
      <c r="T35" s="138"/>
      <c r="U35" s="139"/>
      <c r="V35" s="18"/>
      <c r="W35" s="18" t="s">
        <v>316</v>
      </c>
      <c r="X35" s="132">
        <v>0.2</v>
      </c>
      <c r="Y35" s="132">
        <v>0.2</v>
      </c>
      <c r="Z35" s="18" t="s">
        <v>86</v>
      </c>
      <c r="AA35" s="18" t="s">
        <v>84</v>
      </c>
      <c r="AB35" s="18" t="s">
        <v>304</v>
      </c>
      <c r="AC35">
        <v>2</v>
      </c>
      <c r="AD35" s="18" t="s">
        <v>82</v>
      </c>
      <c r="AE35">
        <v>1</v>
      </c>
      <c r="AF35">
        <v>2</v>
      </c>
      <c r="AJ35" s="50">
        <v>3</v>
      </c>
      <c r="AK35" s="50">
        <v>0</v>
      </c>
      <c r="AL35" s="50">
        <v>0</v>
      </c>
      <c r="AM35" s="15">
        <f>Tabela21[[#This Row],[Att subs]]+Tabela21[[#This Row],[Crit D subs]]</f>
        <v>0</v>
      </c>
      <c r="AN35" s="15">
        <v>0</v>
      </c>
      <c r="AO35" s="15">
        <f t="shared" si="17"/>
        <v>0</v>
      </c>
      <c r="AP35" s="15">
        <v>1</v>
      </c>
      <c r="AQ35" s="189">
        <f t="shared" si="12"/>
        <v>3690</v>
      </c>
      <c r="AR35" s="189">
        <f t="shared" si="13"/>
        <v>4009</v>
      </c>
      <c r="AS35" s="189">
        <f t="shared" si="6"/>
        <v>3165</v>
      </c>
      <c r="AT35" s="189">
        <f t="shared" si="14"/>
        <v>6330</v>
      </c>
      <c r="AU35" s="50">
        <f t="shared" si="7"/>
        <v>8018</v>
      </c>
    </row>
    <row r="36" spans="1:47" ht="15" thickBot="1">
      <c r="A36" s="131"/>
      <c r="B36" s="21"/>
      <c r="C36" s="21"/>
      <c r="D36" s="21"/>
      <c r="E36" s="21"/>
      <c r="F36" s="20"/>
      <c r="G36" s="20"/>
      <c r="H36" s="20"/>
      <c r="I36" s="20"/>
      <c r="J36" s="20"/>
      <c r="K36" s="22"/>
      <c r="L36" s="22"/>
      <c r="M36" s="10"/>
      <c r="N36" s="21"/>
      <c r="O36" s="21"/>
      <c r="P36" s="21"/>
      <c r="Q36" s="20"/>
      <c r="R36" s="20"/>
      <c r="S36" s="37"/>
      <c r="T36" s="138"/>
      <c r="U36" s="139"/>
      <c r="V36" s="18"/>
      <c r="W36" s="18" t="s">
        <v>317</v>
      </c>
      <c r="X36" s="132">
        <v>0.2</v>
      </c>
      <c r="Y36" s="132">
        <v>0.2</v>
      </c>
      <c r="Z36" s="18" t="s">
        <v>86</v>
      </c>
      <c r="AA36" s="18" t="s">
        <v>84</v>
      </c>
      <c r="AB36" s="18" t="s">
        <v>304</v>
      </c>
      <c r="AC36">
        <v>2</v>
      </c>
      <c r="AD36" s="18" t="s">
        <v>82</v>
      </c>
      <c r="AE36">
        <v>1</v>
      </c>
      <c r="AF36">
        <v>1</v>
      </c>
      <c r="AJ36" s="50">
        <v>2</v>
      </c>
      <c r="AK36" s="50">
        <v>1</v>
      </c>
      <c r="AL36" s="50">
        <v>0</v>
      </c>
      <c r="AM36" s="15">
        <f>Tabela21[[#This Row],[Att subs]]+Tabela21[[#This Row],[Crit D subs]]</f>
        <v>0.2</v>
      </c>
      <c r="AN36" s="15">
        <v>0.2</v>
      </c>
      <c r="AO36" s="15">
        <v>0</v>
      </c>
      <c r="AP36" s="15">
        <v>0</v>
      </c>
      <c r="AQ36" s="189">
        <f t="shared" si="12"/>
        <v>2889.7510000000002</v>
      </c>
      <c r="AR36" s="189">
        <f t="shared" si="13"/>
        <v>2657.6059999999998</v>
      </c>
      <c r="AS36" s="189">
        <f t="shared" si="6"/>
        <v>2899.7179999999998</v>
      </c>
      <c r="AT36" s="189">
        <f>$AG$3*(1+$AJ36*$Y$2+$AN36+0.35)*(MAXA(1-$AI$3-$AL36*$AA$3-$AP36-0.12,0)+2*MINA($AI$3+$AL36*$AA$3+$AP36+0.12,1)*(1+$AH$3+$AO36+$AK36*$Z$4))</f>
        <v>4107.8020000000006</v>
      </c>
      <c r="AU36" s="189">
        <f t="shared" si="7"/>
        <v>3899.0120000000006</v>
      </c>
    </row>
    <row r="37" spans="1:47" ht="15" thickBot="1">
      <c r="A37" s="131"/>
      <c r="B37" s="21"/>
      <c r="C37" s="21"/>
      <c r="D37" s="21"/>
      <c r="E37" s="21"/>
      <c r="F37" s="20"/>
      <c r="G37" s="20"/>
      <c r="H37" s="20"/>
      <c r="I37" s="20"/>
      <c r="J37" s="20"/>
      <c r="K37" s="22"/>
      <c r="L37" s="22"/>
      <c r="M37" s="10"/>
      <c r="N37" s="37"/>
      <c r="O37" s="37"/>
      <c r="P37" s="37"/>
      <c r="Q37" s="20"/>
      <c r="R37" s="20"/>
      <c r="S37" s="37"/>
      <c r="T37" s="138"/>
      <c r="U37" s="139"/>
      <c r="V37" s="18"/>
      <c r="W37" s="18"/>
      <c r="X37" s="18"/>
      <c r="Y37" s="18"/>
      <c r="Z37" s="18"/>
      <c r="AA37" s="18"/>
      <c r="AB37" s="18"/>
      <c r="AC37" s="18"/>
      <c r="AD37" s="18"/>
      <c r="AJ37" s="50">
        <v>2</v>
      </c>
      <c r="AK37" s="50">
        <v>1</v>
      </c>
      <c r="AL37" s="50">
        <v>0</v>
      </c>
      <c r="AM37" s="15">
        <f>Tabela21[[#This Row],[Att subs]]+Tabela21[[#This Row],[Crit D subs]]</f>
        <v>0.2</v>
      </c>
      <c r="AN37" s="15">
        <v>0.2</v>
      </c>
      <c r="AO37" s="15">
        <f>AO36</f>
        <v>0</v>
      </c>
      <c r="AP37" s="15">
        <v>0.1</v>
      </c>
      <c r="AQ37" s="189">
        <f t="shared" si="12"/>
        <v>3111.8809999999999</v>
      </c>
      <c r="AR37" s="189">
        <f t="shared" si="13"/>
        <v>2923.386</v>
      </c>
      <c r="AS37" s="189">
        <f t="shared" si="6"/>
        <v>3087.8979999999997</v>
      </c>
      <c r="AT37" s="189">
        <f t="shared" ref="AT37:AT68" si="47">$AG$3*(1+$AJ37*$Y$2+$AN37+0.35)*(MAXA(1-$AI$3-$AL37*$AA$3-$AP37-0.12,0)+2*MINA($AI$3+$AL37*$AA$3+$AP37+0.12,1)*(1+$AH$3+$AO37+$AK37*$Z$4))</f>
        <v>4781.0619999999999</v>
      </c>
      <c r="AU37" s="189">
        <f t="shared" si="7"/>
        <v>4624.5720000000001</v>
      </c>
    </row>
    <row r="38" spans="1:47" ht="15" thickBot="1">
      <c r="A38" s="131"/>
      <c r="B38" s="21"/>
      <c r="C38" s="21"/>
      <c r="D38" s="21"/>
      <c r="E38" s="21"/>
      <c r="F38" s="20"/>
      <c r="G38" s="20"/>
      <c r="H38" s="20"/>
      <c r="I38" s="20"/>
      <c r="J38" s="20"/>
      <c r="K38" s="22"/>
      <c r="L38" s="22"/>
      <c r="M38" s="10"/>
      <c r="N38" s="21"/>
      <c r="O38" s="21"/>
      <c r="P38" s="21"/>
      <c r="Q38" s="20"/>
      <c r="R38" s="20"/>
      <c r="S38" s="37"/>
      <c r="T38" s="138"/>
      <c r="U38" s="139"/>
      <c r="V38" s="18"/>
      <c r="W38" s="18"/>
      <c r="X38" s="18"/>
      <c r="Y38" s="18"/>
      <c r="Z38" s="18"/>
      <c r="AA38" s="18"/>
      <c r="AB38" s="18"/>
      <c r="AC38" s="18"/>
      <c r="AD38" s="18"/>
      <c r="AJ38" s="50">
        <v>2</v>
      </c>
      <c r="AK38" s="50">
        <v>1</v>
      </c>
      <c r="AL38" s="50">
        <v>0</v>
      </c>
      <c r="AM38" s="15">
        <f>Tabela21[[#This Row],[Att subs]]+Tabela21[[#This Row],[Crit D subs]]</f>
        <v>0.2</v>
      </c>
      <c r="AN38" s="15">
        <v>0.2</v>
      </c>
      <c r="AO38" s="15">
        <f t="shared" ref="AO38:AO68" si="48">AO37</f>
        <v>0</v>
      </c>
      <c r="AP38" s="15">
        <v>0.2</v>
      </c>
      <c r="AQ38" s="189">
        <f t="shared" si="12"/>
        <v>3334.0109999999995</v>
      </c>
      <c r="AR38" s="189">
        <f t="shared" si="13"/>
        <v>3189.1659999999997</v>
      </c>
      <c r="AS38" s="189">
        <f t="shared" si="6"/>
        <v>3276.0779999999995</v>
      </c>
      <c r="AT38" s="189">
        <f t="shared" si="47"/>
        <v>5454.3219999999992</v>
      </c>
      <c r="AU38" s="189">
        <f t="shared" si="7"/>
        <v>5350.1319999999996</v>
      </c>
    </row>
    <row r="39" spans="1:47" ht="15" thickBot="1">
      <c r="A39" s="131"/>
      <c r="B39" s="21" t="s">
        <v>366</v>
      </c>
      <c r="C39" s="21" t="s">
        <v>374</v>
      </c>
      <c r="D39" s="21"/>
      <c r="E39" s="21"/>
      <c r="F39" s="20"/>
      <c r="G39" s="159"/>
      <c r="H39" s="20">
        <v>0.1</v>
      </c>
      <c r="I39" s="20">
        <v>0.06</v>
      </c>
      <c r="J39" s="20"/>
      <c r="K39" s="22"/>
      <c r="L39" s="22"/>
      <c r="M39" s="10"/>
      <c r="N39" s="21"/>
      <c r="O39" s="21"/>
      <c r="P39" s="21"/>
      <c r="Q39" s="20"/>
      <c r="R39" s="20"/>
      <c r="S39" s="37"/>
      <c r="T39" s="138"/>
      <c r="U39" s="139"/>
      <c r="V39" s="18"/>
      <c r="W39" s="132"/>
      <c r="X39" s="132"/>
      <c r="Y39" s="132"/>
      <c r="Z39" s="132"/>
      <c r="AA39" s="132"/>
      <c r="AB39" s="132"/>
      <c r="AC39" s="132"/>
      <c r="AD39" s="132"/>
      <c r="AE39" s="6"/>
      <c r="AF39" s="6"/>
      <c r="AJ39" s="50">
        <v>2</v>
      </c>
      <c r="AK39" s="50">
        <v>1</v>
      </c>
      <c r="AL39" s="50">
        <v>0</v>
      </c>
      <c r="AM39" s="15">
        <f>Tabela21[[#This Row],[Att subs]]+Tabela21[[#This Row],[Crit D subs]]</f>
        <v>0.2</v>
      </c>
      <c r="AN39" s="15">
        <v>0.2</v>
      </c>
      <c r="AO39" s="15">
        <f t="shared" si="48"/>
        <v>0</v>
      </c>
      <c r="AP39" s="15">
        <v>0.3</v>
      </c>
      <c r="AQ39" s="189">
        <f t="shared" si="12"/>
        <v>3556.1409999999992</v>
      </c>
      <c r="AR39" s="189">
        <f t="shared" si="13"/>
        <v>3454.9459999999999</v>
      </c>
      <c r="AS39" s="189">
        <f t="shared" si="6"/>
        <v>3464.2579999999998</v>
      </c>
      <c r="AT39" s="189">
        <f t="shared" si="47"/>
        <v>6127.5819999999994</v>
      </c>
      <c r="AU39" s="189">
        <f t="shared" si="7"/>
        <v>6075.692</v>
      </c>
    </row>
    <row r="40" spans="1:47" ht="15" thickBot="1">
      <c r="A40" s="157"/>
      <c r="B40" s="21" t="s">
        <v>368</v>
      </c>
      <c r="C40" s="21" t="s">
        <v>373</v>
      </c>
      <c r="D40" s="21"/>
      <c r="E40" s="21"/>
      <c r="F40" s="20"/>
      <c r="G40" s="159"/>
      <c r="H40" s="20">
        <v>0.37</v>
      </c>
      <c r="I40" s="20">
        <v>7.0000000000000007E-2</v>
      </c>
      <c r="J40" s="20"/>
      <c r="K40" s="22"/>
      <c r="L40" s="22"/>
      <c r="M40" s="10"/>
      <c r="N40" s="21"/>
      <c r="O40" s="21"/>
      <c r="P40" s="21"/>
      <c r="Q40" s="20"/>
      <c r="R40" s="20"/>
      <c r="S40" s="37"/>
      <c r="T40" s="138"/>
      <c r="U40" s="139"/>
      <c r="V40" s="18"/>
      <c r="W40" s="18"/>
      <c r="X40" s="18"/>
      <c r="Y40" s="18"/>
      <c r="Z40" s="18"/>
      <c r="AA40" s="18"/>
      <c r="AB40" s="18"/>
      <c r="AC40" s="18"/>
      <c r="AD40" s="18"/>
      <c r="AJ40" s="50">
        <v>2</v>
      </c>
      <c r="AK40" s="50">
        <v>1</v>
      </c>
      <c r="AL40" s="50">
        <v>0</v>
      </c>
      <c r="AM40" s="15">
        <f>Tabela21[[#This Row],[Att subs]]+Tabela21[[#This Row],[Crit D subs]]</f>
        <v>0.2</v>
      </c>
      <c r="AN40" s="15">
        <v>0.2</v>
      </c>
      <c r="AO40" s="15">
        <f t="shared" si="48"/>
        <v>0</v>
      </c>
      <c r="AP40" s="15">
        <v>0.4</v>
      </c>
      <c r="AQ40" s="189">
        <f t="shared" si="12"/>
        <v>3778.2710000000002</v>
      </c>
      <c r="AR40" s="189">
        <f t="shared" si="13"/>
        <v>3720.7259999999997</v>
      </c>
      <c r="AS40" s="189">
        <f t="shared" si="6"/>
        <v>3652.4379999999996</v>
      </c>
      <c r="AT40" s="189">
        <f t="shared" si="47"/>
        <v>6800.8420000000006</v>
      </c>
      <c r="AU40" s="189">
        <f t="shared" si="7"/>
        <v>6801.2520000000004</v>
      </c>
    </row>
    <row r="41" spans="1:47" ht="15" thickBot="1">
      <c r="A41" s="157"/>
      <c r="B41" s="21" t="s">
        <v>369</v>
      </c>
      <c r="C41" s="21" t="s">
        <v>374</v>
      </c>
      <c r="D41" s="21"/>
      <c r="E41" s="21"/>
      <c r="F41" s="20"/>
      <c r="G41" s="159"/>
      <c r="H41" s="20"/>
      <c r="I41" s="20"/>
      <c r="J41" s="20">
        <v>0.15</v>
      </c>
      <c r="K41" s="22"/>
      <c r="L41" s="22"/>
      <c r="M41" s="10"/>
      <c r="N41" s="21"/>
      <c r="O41" s="21"/>
      <c r="P41" s="21"/>
      <c r="Q41" s="20"/>
      <c r="R41" s="20"/>
      <c r="S41" s="37"/>
      <c r="T41" s="138"/>
      <c r="U41" s="139"/>
      <c r="V41" s="18"/>
      <c r="W41" s="18"/>
      <c r="X41" s="18"/>
      <c r="Y41" s="18"/>
      <c r="Z41" s="18"/>
      <c r="AA41" s="18"/>
      <c r="AB41" s="18"/>
      <c r="AC41" s="18"/>
      <c r="AD41" s="18"/>
      <c r="AJ41" s="50">
        <v>2</v>
      </c>
      <c r="AK41" s="50">
        <v>1</v>
      </c>
      <c r="AL41" s="50">
        <v>0</v>
      </c>
      <c r="AM41" s="15">
        <f>Tabela21[[#This Row],[Att subs]]+Tabela21[[#This Row],[Crit D subs]]</f>
        <v>0.2</v>
      </c>
      <c r="AN41" s="15">
        <v>0.2</v>
      </c>
      <c r="AO41" s="15">
        <f t="shared" si="48"/>
        <v>0</v>
      </c>
      <c r="AP41" s="15">
        <v>0.5</v>
      </c>
      <c r="AQ41" s="189">
        <f t="shared" si="12"/>
        <v>4000.4009999999998</v>
      </c>
      <c r="AR41" s="189">
        <f t="shared" si="13"/>
        <v>3986.5059999999999</v>
      </c>
      <c r="AS41" s="189">
        <f t="shared" si="6"/>
        <v>3821.7999999999997</v>
      </c>
      <c r="AT41" s="189">
        <f t="shared" si="47"/>
        <v>7474.1019999999999</v>
      </c>
      <c r="AU41" s="189">
        <f t="shared" si="7"/>
        <v>7526.8120000000008</v>
      </c>
    </row>
    <row r="42" spans="1:47" ht="15" thickBot="1">
      <c r="A42" s="157"/>
      <c r="B42" s="21" t="s">
        <v>370</v>
      </c>
      <c r="C42" s="21" t="s">
        <v>373</v>
      </c>
      <c r="D42" s="21"/>
      <c r="E42" s="21"/>
      <c r="F42" s="20"/>
      <c r="G42" s="159"/>
      <c r="H42" s="20">
        <v>0.37</v>
      </c>
      <c r="I42" s="20">
        <v>0.03</v>
      </c>
      <c r="J42" s="20"/>
      <c r="K42" s="22"/>
      <c r="L42" s="22"/>
      <c r="M42" s="10"/>
      <c r="N42" s="21"/>
      <c r="O42" s="21"/>
      <c r="P42" s="21"/>
      <c r="Q42" s="20"/>
      <c r="R42" s="20"/>
      <c r="S42" s="37"/>
      <c r="T42" s="138"/>
      <c r="U42" s="139"/>
      <c r="V42" s="18"/>
      <c r="W42" s="18"/>
      <c r="X42" s="18"/>
      <c r="Y42" s="18"/>
      <c r="Z42" s="18"/>
      <c r="AA42" s="18"/>
      <c r="AB42" s="18"/>
      <c r="AC42" s="18"/>
      <c r="AD42" s="18"/>
      <c r="AJ42" s="50">
        <v>2</v>
      </c>
      <c r="AK42" s="50">
        <v>1</v>
      </c>
      <c r="AL42" s="50">
        <v>0</v>
      </c>
      <c r="AM42" s="15">
        <f>Tabela21[[#This Row],[Att subs]]+Tabela21[[#This Row],[Crit D subs]]</f>
        <v>0.2</v>
      </c>
      <c r="AN42" s="15">
        <v>0.2</v>
      </c>
      <c r="AO42" s="15">
        <f t="shared" si="48"/>
        <v>0</v>
      </c>
      <c r="AP42" s="15">
        <v>0.6</v>
      </c>
      <c r="AQ42" s="189">
        <f t="shared" si="12"/>
        <v>4222.5309999999999</v>
      </c>
      <c r="AR42" s="189">
        <f t="shared" si="13"/>
        <v>4252.2860000000001</v>
      </c>
      <c r="AS42" s="189">
        <f t="shared" si="6"/>
        <v>3821.7999999999997</v>
      </c>
      <c r="AT42" s="189">
        <f t="shared" si="47"/>
        <v>8147.3620000000001</v>
      </c>
      <c r="AU42" s="189">
        <f t="shared" si="7"/>
        <v>8252.3719999999994</v>
      </c>
    </row>
    <row r="43" spans="1:47" ht="15" thickBot="1">
      <c r="A43" s="157"/>
      <c r="B43" s="21" t="s">
        <v>371</v>
      </c>
      <c r="C43" s="21" t="s">
        <v>373</v>
      </c>
      <c r="D43" s="21"/>
      <c r="E43" s="21"/>
      <c r="F43" s="20"/>
      <c r="G43" s="159"/>
      <c r="H43" s="20">
        <v>0.09</v>
      </c>
      <c r="I43" s="20"/>
      <c r="J43" s="20">
        <v>0.04</v>
      </c>
      <c r="K43" s="22"/>
      <c r="L43" s="22"/>
      <c r="M43" s="10"/>
      <c r="N43" s="21"/>
      <c r="O43" s="21"/>
      <c r="P43" s="21"/>
      <c r="Q43" s="20"/>
      <c r="R43" s="20"/>
      <c r="S43" s="37"/>
      <c r="T43" s="138"/>
      <c r="U43" s="139"/>
      <c r="V43" s="18"/>
      <c r="W43" s="132"/>
      <c r="X43" s="132"/>
      <c r="Y43" s="132"/>
      <c r="Z43" s="132"/>
      <c r="AA43" s="132"/>
      <c r="AB43" s="132"/>
      <c r="AC43" s="132"/>
      <c r="AD43" s="132"/>
      <c r="AE43" s="6"/>
      <c r="AF43" s="6"/>
      <c r="AJ43" s="50">
        <v>2</v>
      </c>
      <c r="AK43" s="50">
        <v>1</v>
      </c>
      <c r="AL43" s="50">
        <v>0</v>
      </c>
      <c r="AM43" s="15">
        <f>Tabela21[[#This Row],[Att subs]]+Tabela21[[#This Row],[Crit D subs]]</f>
        <v>0.2</v>
      </c>
      <c r="AN43" s="15">
        <v>0.2</v>
      </c>
      <c r="AO43" s="15">
        <f t="shared" si="48"/>
        <v>0</v>
      </c>
      <c r="AP43" s="15">
        <v>0.7</v>
      </c>
      <c r="AQ43" s="189">
        <f t="shared" si="12"/>
        <v>4444.6610000000001</v>
      </c>
      <c r="AR43" s="189">
        <f t="shared" si="13"/>
        <v>4518.0659999999998</v>
      </c>
      <c r="AS43" s="189">
        <f t="shared" si="6"/>
        <v>3821.7999999999997</v>
      </c>
      <c r="AT43" s="189">
        <f t="shared" si="47"/>
        <v>8820.6219999999994</v>
      </c>
      <c r="AU43" s="189">
        <f t="shared" si="7"/>
        <v>8977.9320000000007</v>
      </c>
    </row>
    <row r="44" spans="1:47" ht="15" thickBot="1">
      <c r="A44" s="157"/>
      <c r="B44" s="21" t="s">
        <v>372</v>
      </c>
      <c r="C44" s="21" t="s">
        <v>373</v>
      </c>
      <c r="D44" s="21"/>
      <c r="E44" s="21"/>
      <c r="F44" s="20"/>
      <c r="G44" s="159"/>
      <c r="H44" s="20">
        <v>0.37</v>
      </c>
      <c r="I44" s="20">
        <v>0.09</v>
      </c>
      <c r="J44" s="159">
        <v>0.04</v>
      </c>
      <c r="K44" s="22"/>
      <c r="L44" s="22"/>
      <c r="M44" s="10"/>
      <c r="N44" s="21"/>
      <c r="O44" s="21"/>
      <c r="P44" s="21"/>
      <c r="Q44" s="20"/>
      <c r="R44" s="20"/>
      <c r="S44" s="37"/>
      <c r="T44" s="138"/>
      <c r="U44" s="139"/>
      <c r="V44" s="18"/>
      <c r="W44" s="18"/>
      <c r="X44" s="18"/>
      <c r="Y44" s="18"/>
      <c r="Z44" s="18"/>
      <c r="AA44" s="18"/>
      <c r="AB44" s="18"/>
      <c r="AC44" s="18"/>
      <c r="AD44" s="18"/>
      <c r="AJ44" s="50">
        <v>2</v>
      </c>
      <c r="AK44" s="50">
        <v>1</v>
      </c>
      <c r="AL44" s="50">
        <v>0</v>
      </c>
      <c r="AM44" s="15">
        <f>Tabela21[[#This Row],[Att subs]]+Tabela21[[#This Row],[Crit D subs]]</f>
        <v>0.2</v>
      </c>
      <c r="AN44" s="15">
        <v>0.2</v>
      </c>
      <c r="AO44" s="15">
        <f t="shared" si="48"/>
        <v>0</v>
      </c>
      <c r="AP44" s="15">
        <v>0.8</v>
      </c>
      <c r="AQ44" s="189">
        <f t="shared" si="12"/>
        <v>4511.3</v>
      </c>
      <c r="AR44" s="189">
        <f t="shared" si="13"/>
        <v>4597.8</v>
      </c>
      <c r="AS44" s="189">
        <f t="shared" si="6"/>
        <v>3821.7999999999997</v>
      </c>
      <c r="AT44" s="189">
        <f t="shared" si="47"/>
        <v>9022.6</v>
      </c>
      <c r="AU44" s="189">
        <f t="shared" si="7"/>
        <v>9195.6</v>
      </c>
    </row>
    <row r="45" spans="1:47" ht="15" thickBot="1">
      <c r="A45" s="157"/>
      <c r="B45" s="21" t="s">
        <v>367</v>
      </c>
      <c r="C45" s="21"/>
      <c r="D45" s="21"/>
      <c r="E45" s="21"/>
      <c r="F45" s="20"/>
      <c r="G45" s="20"/>
      <c r="H45" s="20">
        <v>0.25</v>
      </c>
      <c r="I45" s="20"/>
      <c r="J45" s="20">
        <v>0.27</v>
      </c>
      <c r="K45" s="22"/>
      <c r="L45" s="22"/>
      <c r="M45" s="10"/>
      <c r="N45" s="21"/>
      <c r="O45" s="21"/>
      <c r="P45" s="21"/>
      <c r="Q45" s="20"/>
      <c r="R45" s="20"/>
      <c r="S45" s="37"/>
      <c r="T45" s="138"/>
      <c r="U45" s="139"/>
      <c r="V45" s="18"/>
      <c r="W45" s="18"/>
      <c r="X45" s="18"/>
      <c r="Y45" s="18"/>
      <c r="Z45" s="18"/>
      <c r="AA45" s="18"/>
      <c r="AB45" s="18"/>
      <c r="AC45" s="18"/>
      <c r="AD45" s="18"/>
      <c r="AJ45" s="50">
        <v>2</v>
      </c>
      <c r="AK45" s="50">
        <v>1</v>
      </c>
      <c r="AL45" s="50">
        <v>0</v>
      </c>
      <c r="AM45" s="15">
        <f>Tabela21[[#This Row],[Att subs]]+Tabela21[[#This Row],[Crit D subs]]</f>
        <v>0.2</v>
      </c>
      <c r="AN45" s="15">
        <v>0.2</v>
      </c>
      <c r="AO45" s="15">
        <f t="shared" si="48"/>
        <v>0</v>
      </c>
      <c r="AP45" s="15">
        <v>0.9</v>
      </c>
      <c r="AQ45" s="189">
        <f t="shared" si="12"/>
        <v>4511.3</v>
      </c>
      <c r="AR45" s="189">
        <f t="shared" si="13"/>
        <v>4597.8</v>
      </c>
      <c r="AS45" s="189">
        <f t="shared" si="6"/>
        <v>3821.7999999999997</v>
      </c>
      <c r="AT45" s="189">
        <f t="shared" si="47"/>
        <v>9022.6</v>
      </c>
      <c r="AU45" s="189">
        <f t="shared" si="7"/>
        <v>9195.6</v>
      </c>
    </row>
    <row r="46" spans="1:47" ht="15" thickBot="1">
      <c r="A46" s="157"/>
      <c r="B46" s="21"/>
      <c r="C46" s="21"/>
      <c r="D46" s="21"/>
      <c r="E46" s="21"/>
      <c r="F46" s="20">
        <f t="shared" ref="F46" si="49">$F$2+H46+K46*$AF$2+IF(OR(A46 = "Fatal", A46 = "Fatal+Blade"), 0.35,0)</f>
        <v>2.5499999999999998</v>
      </c>
      <c r="G46" s="20">
        <f>$G$2+I46+L46*$Z$4+D46*0.4</f>
        <v>1.75</v>
      </c>
      <c r="H46" s="20">
        <f>SUM(H39:H45)</f>
        <v>1.5499999999999998</v>
      </c>
      <c r="I46" s="20">
        <f>SUM(I39:I45)</f>
        <v>0.25</v>
      </c>
      <c r="J46" s="20">
        <f>SUM(J39:J45)+0.15</f>
        <v>0.65</v>
      </c>
      <c r="K46" s="22"/>
      <c r="L46" s="22"/>
      <c r="M46" s="10"/>
      <c r="N46" s="37">
        <f t="shared" ref="N46:O46" si="50">N$2*$F46</f>
        <v>1876.8</v>
      </c>
      <c r="O46" s="37">
        <f t="shared" si="50"/>
        <v>5355</v>
      </c>
      <c r="P46" s="37">
        <f t="shared" ref="P46" si="51">O46*G46</f>
        <v>9371.25</v>
      </c>
      <c r="Q46" s="20">
        <v>0.15</v>
      </c>
      <c r="R46" s="20">
        <f t="shared" ref="R46" si="52">MINA(Q46+M46*$AA$3+0.12*E46+J46, 1)</f>
        <v>0.8</v>
      </c>
      <c r="S46" s="37">
        <f t="shared" ref="S46" si="53">R46*P46+(1-R46)*O46</f>
        <v>8568</v>
      </c>
      <c r="T46" s="138">
        <v>7547.956500000003</v>
      </c>
      <c r="U46" s="139">
        <f t="shared" ref="U46" si="54">S46/T46-1</f>
        <v>0.13514167708836111</v>
      </c>
      <c r="W46" s="18"/>
      <c r="X46" s="18"/>
      <c r="Y46" s="18"/>
      <c r="Z46" s="18"/>
      <c r="AA46" s="18"/>
      <c r="AB46" s="18"/>
      <c r="AC46" s="18"/>
      <c r="AD46" s="18"/>
      <c r="AJ46" s="50">
        <v>2</v>
      </c>
      <c r="AK46" s="50">
        <v>1</v>
      </c>
      <c r="AL46" s="50">
        <v>0</v>
      </c>
      <c r="AM46" s="15">
        <f>Tabela21[[#This Row],[Att subs]]+Tabela21[[#This Row],[Crit D subs]]</f>
        <v>0.2</v>
      </c>
      <c r="AN46" s="15">
        <v>0.2</v>
      </c>
      <c r="AO46" s="15">
        <f t="shared" si="48"/>
        <v>0</v>
      </c>
      <c r="AP46" s="15">
        <v>1</v>
      </c>
      <c r="AQ46" s="189">
        <f t="shared" si="12"/>
        <v>4511.3</v>
      </c>
      <c r="AR46" s="189">
        <f t="shared" si="13"/>
        <v>4597.8</v>
      </c>
      <c r="AS46" s="189">
        <f t="shared" si="6"/>
        <v>3821.7999999999997</v>
      </c>
      <c r="AT46" s="189">
        <f t="shared" si="47"/>
        <v>9022.6</v>
      </c>
      <c r="AU46" s="189">
        <f t="shared" si="7"/>
        <v>9195.6</v>
      </c>
    </row>
    <row r="47" spans="1:47" ht="15" thickBot="1">
      <c r="A47" s="157"/>
      <c r="B47" s="158"/>
      <c r="C47" s="158"/>
      <c r="D47" s="158"/>
      <c r="E47" s="158"/>
      <c r="F47" s="159"/>
      <c r="G47" s="159"/>
      <c r="H47" s="159"/>
      <c r="I47" s="159"/>
      <c r="J47" s="159"/>
      <c r="K47" s="160"/>
      <c r="L47" s="160"/>
      <c r="M47" s="54"/>
      <c r="N47" s="158"/>
      <c r="O47" s="158"/>
      <c r="P47" s="158"/>
      <c r="Q47" s="159"/>
      <c r="R47" s="159"/>
      <c r="S47" s="161"/>
      <c r="T47" s="167"/>
      <c r="U47" s="168"/>
      <c r="AJ47" s="50">
        <v>2</v>
      </c>
      <c r="AK47" s="50">
        <v>0</v>
      </c>
      <c r="AL47" s="50">
        <v>1</v>
      </c>
      <c r="AM47" s="15">
        <f>Tabela21[[#This Row],[Att subs]]+Tabela21[[#This Row],[Crit D subs]]</f>
        <v>0.2</v>
      </c>
      <c r="AN47" s="15">
        <v>0.2</v>
      </c>
      <c r="AO47" s="15">
        <f t="shared" si="48"/>
        <v>0</v>
      </c>
      <c r="AP47" s="15">
        <v>0</v>
      </c>
      <c r="AQ47" s="189">
        <f t="shared" si="12"/>
        <v>2999.9</v>
      </c>
      <c r="AR47" s="189">
        <f t="shared" si="13"/>
        <v>3022.5199999999995</v>
      </c>
      <c r="AS47" s="189">
        <f t="shared" si="6"/>
        <v>2774.2000000000003</v>
      </c>
      <c r="AT47" s="189">
        <f t="shared" si="47"/>
        <v>5129.5999999999995</v>
      </c>
      <c r="AU47" s="189">
        <f t="shared" si="7"/>
        <v>5307.8399999999992</v>
      </c>
    </row>
    <row r="48" spans="1:47" ht="15" thickBot="1">
      <c r="A48" s="157"/>
      <c r="B48" s="21" t="s">
        <v>366</v>
      </c>
      <c r="C48" s="21"/>
      <c r="D48" s="21"/>
      <c r="E48" s="21"/>
      <c r="F48" s="20"/>
      <c r="G48" s="159"/>
      <c r="H48" s="20">
        <v>0.1</v>
      </c>
      <c r="I48" s="20">
        <v>0.06</v>
      </c>
      <c r="J48" s="20"/>
      <c r="K48" s="22"/>
      <c r="L48" s="22"/>
      <c r="M48" s="10"/>
      <c r="N48" s="21"/>
      <c r="O48" s="21"/>
      <c r="P48" s="21"/>
      <c r="Q48" s="20"/>
      <c r="R48" s="20"/>
      <c r="S48" s="37"/>
      <c r="T48" s="138"/>
      <c r="U48" s="139"/>
      <c r="AJ48" s="50">
        <v>2</v>
      </c>
      <c r="AK48" s="50">
        <v>0</v>
      </c>
      <c r="AL48" s="50">
        <v>1</v>
      </c>
      <c r="AM48" s="15">
        <f>Tabela21[[#This Row],[Att subs]]+Tabela21[[#This Row],[Crit D subs]]</f>
        <v>0.2</v>
      </c>
      <c r="AN48" s="15">
        <v>0.2</v>
      </c>
      <c r="AO48" s="15">
        <f t="shared" si="48"/>
        <v>0</v>
      </c>
      <c r="AP48" s="15">
        <v>0.1</v>
      </c>
      <c r="AQ48" s="189">
        <f t="shared" si="12"/>
        <v>3114.4</v>
      </c>
      <c r="AR48" s="189">
        <f t="shared" si="13"/>
        <v>3197.12</v>
      </c>
      <c r="AS48" s="189">
        <f t="shared" si="6"/>
        <v>2871.2</v>
      </c>
      <c r="AT48" s="189">
        <f t="shared" si="47"/>
        <v>5587.6000000000013</v>
      </c>
      <c r="AU48" s="189">
        <f t="shared" si="7"/>
        <v>5851.04</v>
      </c>
    </row>
    <row r="49" spans="1:47" ht="15" thickBot="1">
      <c r="A49" s="157"/>
      <c r="B49" s="21" t="s">
        <v>368</v>
      </c>
      <c r="C49" s="21" t="s">
        <v>373</v>
      </c>
      <c r="D49" s="21"/>
      <c r="E49" s="21"/>
      <c r="F49" s="20"/>
      <c r="G49" s="159"/>
      <c r="H49" s="20">
        <v>0.37</v>
      </c>
      <c r="I49" s="20">
        <v>7.0000000000000007E-2</v>
      </c>
      <c r="J49" s="20"/>
      <c r="K49" s="22"/>
      <c r="L49" s="22"/>
      <c r="M49" s="10"/>
      <c r="N49" s="21"/>
      <c r="O49" s="21"/>
      <c r="P49" s="21"/>
      <c r="Q49" s="20"/>
      <c r="R49" s="20"/>
      <c r="S49" s="37"/>
      <c r="T49" s="138"/>
      <c r="U49" s="139"/>
      <c r="AJ49" s="50">
        <v>2</v>
      </c>
      <c r="AK49" s="50">
        <v>0</v>
      </c>
      <c r="AL49" s="50">
        <v>1</v>
      </c>
      <c r="AM49" s="15">
        <f>Tabela21[[#This Row],[Att subs]]+Tabela21[[#This Row],[Crit D subs]]</f>
        <v>0.2</v>
      </c>
      <c r="AN49" s="15">
        <v>0.2</v>
      </c>
      <c r="AO49" s="15">
        <f t="shared" si="48"/>
        <v>0</v>
      </c>
      <c r="AP49" s="15">
        <v>0.2</v>
      </c>
      <c r="AQ49" s="189">
        <f t="shared" si="12"/>
        <v>3228.8999999999996</v>
      </c>
      <c r="AR49" s="189">
        <f t="shared" si="13"/>
        <v>3371.7199999999993</v>
      </c>
      <c r="AS49" s="189">
        <f t="shared" si="6"/>
        <v>2910</v>
      </c>
      <c r="AT49" s="189">
        <f t="shared" si="47"/>
        <v>6045.6</v>
      </c>
      <c r="AU49" s="189">
        <f t="shared" si="7"/>
        <v>6394.24</v>
      </c>
    </row>
    <row r="50" spans="1:47" ht="15" thickBot="1">
      <c r="A50" s="157"/>
      <c r="B50" s="21" t="s">
        <v>369</v>
      </c>
      <c r="C50" s="21"/>
      <c r="D50" s="21"/>
      <c r="E50" s="21"/>
      <c r="F50" s="20"/>
      <c r="G50" s="159"/>
      <c r="H50" s="20"/>
      <c r="I50" s="20"/>
      <c r="J50" s="20">
        <v>0.15</v>
      </c>
      <c r="K50" s="22"/>
      <c r="L50" s="22"/>
      <c r="M50" s="10"/>
      <c r="N50" s="21"/>
      <c r="O50" s="21"/>
      <c r="P50" s="21"/>
      <c r="Q50" s="20"/>
      <c r="R50" s="20"/>
      <c r="S50" s="37"/>
      <c r="T50" s="138"/>
      <c r="U50" s="139"/>
      <c r="AJ50" s="50">
        <v>2</v>
      </c>
      <c r="AK50" s="50">
        <v>0</v>
      </c>
      <c r="AL50" s="50">
        <v>1</v>
      </c>
      <c r="AM50" s="15">
        <f>Tabela21[[#This Row],[Att subs]]+Tabela21[[#This Row],[Crit D subs]]</f>
        <v>0.2</v>
      </c>
      <c r="AN50" s="15">
        <v>0.2</v>
      </c>
      <c r="AO50" s="15">
        <f t="shared" si="48"/>
        <v>0</v>
      </c>
      <c r="AP50" s="15">
        <v>0.3</v>
      </c>
      <c r="AQ50" s="189">
        <f t="shared" si="12"/>
        <v>3343.4000000000005</v>
      </c>
      <c r="AR50" s="189">
        <f t="shared" si="13"/>
        <v>3546.32</v>
      </c>
      <c r="AS50" s="189">
        <f t="shared" si="6"/>
        <v>2910</v>
      </c>
      <c r="AT50" s="189">
        <f t="shared" si="47"/>
        <v>6503.6</v>
      </c>
      <c r="AU50" s="189">
        <f t="shared" si="7"/>
        <v>6937.4400000000005</v>
      </c>
    </row>
    <row r="51" spans="1:47" ht="15" thickBot="1">
      <c r="A51" s="157"/>
      <c r="B51" s="21" t="s">
        <v>370</v>
      </c>
      <c r="C51" s="21"/>
      <c r="D51" s="21"/>
      <c r="E51" s="21"/>
      <c r="F51" s="20"/>
      <c r="G51" s="159"/>
      <c r="H51" s="20">
        <v>0.37</v>
      </c>
      <c r="I51" s="20">
        <v>0.03</v>
      </c>
      <c r="J51" s="20"/>
      <c r="K51" s="22"/>
      <c r="L51" s="22"/>
      <c r="M51" s="10"/>
      <c r="N51" s="21"/>
      <c r="O51" s="21"/>
      <c r="P51" s="21"/>
      <c r="Q51" s="20"/>
      <c r="R51" s="20"/>
      <c r="S51" s="37"/>
      <c r="T51" s="138"/>
      <c r="U51" s="139"/>
      <c r="AJ51" s="50">
        <v>2</v>
      </c>
      <c r="AK51" s="50">
        <v>0</v>
      </c>
      <c r="AL51" s="50">
        <v>1</v>
      </c>
      <c r="AM51" s="15">
        <f>Tabela21[[#This Row],[Att subs]]+Tabela21[[#This Row],[Crit D subs]]</f>
        <v>0.2</v>
      </c>
      <c r="AN51" s="15">
        <v>0.2</v>
      </c>
      <c r="AO51" s="15">
        <f t="shared" si="48"/>
        <v>0</v>
      </c>
      <c r="AP51" s="15">
        <v>0.4</v>
      </c>
      <c r="AQ51" s="189">
        <f t="shared" si="12"/>
        <v>3435</v>
      </c>
      <c r="AR51" s="189">
        <f t="shared" si="13"/>
        <v>3686</v>
      </c>
      <c r="AS51" s="189">
        <f t="shared" si="6"/>
        <v>2910</v>
      </c>
      <c r="AT51" s="189">
        <f t="shared" si="47"/>
        <v>6870</v>
      </c>
      <c r="AU51" s="189">
        <f t="shared" si="7"/>
        <v>7372</v>
      </c>
    </row>
    <row r="52" spans="1:47" ht="15" thickBot="1">
      <c r="A52" s="157"/>
      <c r="B52" s="21" t="s">
        <v>371</v>
      </c>
      <c r="C52" s="21"/>
      <c r="D52" s="21"/>
      <c r="E52" s="21"/>
      <c r="F52" s="20"/>
      <c r="G52" s="159"/>
      <c r="H52" s="20">
        <v>0.16</v>
      </c>
      <c r="I52" s="20"/>
      <c r="J52" s="20"/>
      <c r="K52" s="22"/>
      <c r="L52" s="22"/>
      <c r="M52" s="10"/>
      <c r="N52" s="21"/>
      <c r="O52" s="21"/>
      <c r="P52" s="21"/>
      <c r="Q52" s="20"/>
      <c r="R52" s="20"/>
      <c r="S52" s="37"/>
      <c r="T52" s="138"/>
      <c r="U52" s="139"/>
      <c r="AJ52" s="50">
        <v>2</v>
      </c>
      <c r="AK52" s="50">
        <v>0</v>
      </c>
      <c r="AL52" s="50">
        <v>1</v>
      </c>
      <c r="AM52" s="15">
        <f>Tabela21[[#This Row],[Att subs]]+Tabela21[[#This Row],[Crit D subs]]</f>
        <v>0.2</v>
      </c>
      <c r="AN52" s="15">
        <v>0.2</v>
      </c>
      <c r="AO52" s="15">
        <f t="shared" si="48"/>
        <v>0</v>
      </c>
      <c r="AP52" s="15">
        <v>0.5</v>
      </c>
      <c r="AQ52" s="189">
        <f t="shared" si="12"/>
        <v>3435</v>
      </c>
      <c r="AR52" s="189">
        <f t="shared" si="13"/>
        <v>3686</v>
      </c>
      <c r="AS52" s="189">
        <f t="shared" si="6"/>
        <v>2910</v>
      </c>
      <c r="AT52" s="189">
        <f t="shared" si="47"/>
        <v>6870</v>
      </c>
      <c r="AU52" s="189">
        <f t="shared" si="7"/>
        <v>7372</v>
      </c>
    </row>
    <row r="53" spans="1:47" ht="15" thickBot="1">
      <c r="A53" s="157"/>
      <c r="B53" s="21" t="s">
        <v>372</v>
      </c>
      <c r="C53" s="21" t="s">
        <v>373</v>
      </c>
      <c r="D53" s="21"/>
      <c r="E53" s="21"/>
      <c r="F53" s="20"/>
      <c r="G53" s="159"/>
      <c r="H53" s="20">
        <v>0.37</v>
      </c>
      <c r="I53" s="20">
        <v>0.09</v>
      </c>
      <c r="J53" s="159">
        <v>0.04</v>
      </c>
      <c r="K53" s="22"/>
      <c r="L53" s="22"/>
      <c r="M53" s="10"/>
      <c r="N53" s="21"/>
      <c r="O53" s="21"/>
      <c r="P53" s="21"/>
      <c r="Q53" s="20"/>
      <c r="R53" s="20"/>
      <c r="S53" s="37"/>
      <c r="T53" s="138"/>
      <c r="U53" s="139"/>
      <c r="AJ53" s="50">
        <v>2</v>
      </c>
      <c r="AK53" s="50">
        <v>0</v>
      </c>
      <c r="AL53" s="50">
        <v>1</v>
      </c>
      <c r="AM53" s="15">
        <f>Tabela21[[#This Row],[Att subs]]+Tabela21[[#This Row],[Crit D subs]]</f>
        <v>0.2</v>
      </c>
      <c r="AN53" s="15">
        <v>0.2</v>
      </c>
      <c r="AO53" s="15">
        <f t="shared" si="48"/>
        <v>0</v>
      </c>
      <c r="AP53" s="15">
        <v>0.6</v>
      </c>
      <c r="AQ53" s="189">
        <f t="shared" si="12"/>
        <v>3435</v>
      </c>
      <c r="AR53" s="189">
        <f t="shared" si="13"/>
        <v>3686</v>
      </c>
      <c r="AS53" s="189">
        <f t="shared" si="6"/>
        <v>2910</v>
      </c>
      <c r="AT53" s="189">
        <f t="shared" si="47"/>
        <v>6870</v>
      </c>
      <c r="AU53" s="189">
        <f t="shared" si="7"/>
        <v>7372</v>
      </c>
    </row>
    <row r="54" spans="1:47" ht="15" thickBot="1">
      <c r="A54" s="157"/>
      <c r="B54" s="21" t="s">
        <v>367</v>
      </c>
      <c r="C54" s="21"/>
      <c r="D54" s="21"/>
      <c r="E54" s="21"/>
      <c r="F54" s="20"/>
      <c r="G54" s="20"/>
      <c r="H54" s="20">
        <v>0.25</v>
      </c>
      <c r="I54" s="20"/>
      <c r="J54" s="20">
        <v>0.27</v>
      </c>
      <c r="K54" s="22"/>
      <c r="L54" s="22"/>
      <c r="M54" s="10"/>
      <c r="N54" s="21"/>
      <c r="O54" s="21"/>
      <c r="P54" s="21"/>
      <c r="Q54" s="20"/>
      <c r="R54" s="20"/>
      <c r="S54" s="37"/>
      <c r="T54" s="138"/>
      <c r="U54" s="139"/>
      <c r="AJ54" s="50">
        <v>2</v>
      </c>
      <c r="AK54" s="50">
        <v>0</v>
      </c>
      <c r="AL54" s="50">
        <v>1</v>
      </c>
      <c r="AM54" s="15">
        <f>Tabela21[[#This Row],[Att subs]]+Tabela21[[#This Row],[Crit D subs]]</f>
        <v>0.2</v>
      </c>
      <c r="AN54" s="15">
        <v>0.2</v>
      </c>
      <c r="AO54" s="15">
        <f t="shared" si="48"/>
        <v>0</v>
      </c>
      <c r="AP54" s="15">
        <v>0.7</v>
      </c>
      <c r="AQ54" s="189">
        <f t="shared" si="12"/>
        <v>3435</v>
      </c>
      <c r="AR54" s="189">
        <f t="shared" si="13"/>
        <v>3686</v>
      </c>
      <c r="AS54" s="189">
        <f t="shared" si="6"/>
        <v>2910</v>
      </c>
      <c r="AT54" s="189">
        <f t="shared" si="47"/>
        <v>6870</v>
      </c>
      <c r="AU54" s="189">
        <f t="shared" si="7"/>
        <v>7372</v>
      </c>
    </row>
    <row r="55" spans="1:47" ht="15" thickBot="1">
      <c r="A55" s="157"/>
      <c r="B55" s="21"/>
      <c r="C55" s="21"/>
      <c r="D55" s="21"/>
      <c r="E55" s="21"/>
      <c r="F55" s="20">
        <f t="shared" ref="F55" si="55">$F$2+H55+K55*$AF$2+IF(OR(A55 = "Fatal", A55 = "Fatal+Blade"), 0.35,0)</f>
        <v>2.62</v>
      </c>
      <c r="G55" s="20">
        <f t="shared" ref="G55" si="56">$G$2+I55+L55*$Z$4+D55*0.4</f>
        <v>1.75</v>
      </c>
      <c r="H55" s="20">
        <f>SUM(H48:H54)</f>
        <v>1.62</v>
      </c>
      <c r="I55" s="20">
        <f>SUM(I48:I54)</f>
        <v>0.25</v>
      </c>
      <c r="J55" s="20">
        <f>SUM(J48:J54)+0.15</f>
        <v>0.61</v>
      </c>
      <c r="K55" s="22"/>
      <c r="L55" s="22"/>
      <c r="M55" s="10"/>
      <c r="N55" s="37">
        <f t="shared" ref="N55:O55" si="57">N$2*$F55</f>
        <v>1928.3200000000002</v>
      </c>
      <c r="O55" s="37">
        <f t="shared" si="57"/>
        <v>5502</v>
      </c>
      <c r="P55" s="37">
        <f t="shared" ref="P55" si="58">O55*G55</f>
        <v>9628.5</v>
      </c>
      <c r="Q55" s="20">
        <v>0.15</v>
      </c>
      <c r="R55" s="20">
        <f t="shared" ref="R55" si="59">MINA(Q55+M55*$AA$3+0.12*E55+J55, 1)</f>
        <v>0.76</v>
      </c>
      <c r="S55" s="37">
        <f t="shared" ref="S55" si="60">R55*P55+(1-R55)*O55</f>
        <v>8638.14</v>
      </c>
      <c r="T55" s="138">
        <v>7547.956500000003</v>
      </c>
      <c r="U55" s="139">
        <f t="shared" ref="U55" si="61">S55/T55-1</f>
        <v>0.14443425846452551</v>
      </c>
      <c r="AJ55" s="50">
        <v>2</v>
      </c>
      <c r="AK55" s="50">
        <v>0</v>
      </c>
      <c r="AL55" s="50">
        <v>1</v>
      </c>
      <c r="AM55" s="15">
        <f>Tabela21[[#This Row],[Att subs]]+Tabela21[[#This Row],[Crit D subs]]</f>
        <v>0.2</v>
      </c>
      <c r="AN55" s="15">
        <v>0.2</v>
      </c>
      <c r="AO55" s="15">
        <f t="shared" si="48"/>
        <v>0</v>
      </c>
      <c r="AP55" s="15">
        <v>0.8</v>
      </c>
      <c r="AQ55" s="189">
        <f t="shared" si="12"/>
        <v>3435</v>
      </c>
      <c r="AR55" s="189">
        <f t="shared" si="13"/>
        <v>3686</v>
      </c>
      <c r="AS55" s="189">
        <f t="shared" si="6"/>
        <v>2910</v>
      </c>
      <c r="AT55" s="189">
        <f t="shared" si="47"/>
        <v>6870</v>
      </c>
      <c r="AU55" s="189">
        <f t="shared" si="7"/>
        <v>7372</v>
      </c>
    </row>
    <row r="56" spans="1:47" ht="15" thickBot="1">
      <c r="A56" s="157"/>
      <c r="B56" s="158"/>
      <c r="C56" s="158"/>
      <c r="D56" s="158"/>
      <c r="E56" s="158"/>
      <c r="F56" s="159"/>
      <c r="G56" s="159"/>
      <c r="H56" s="159"/>
      <c r="I56" s="159"/>
      <c r="J56" s="159"/>
      <c r="K56" s="160"/>
      <c r="L56" s="160"/>
      <c r="M56" s="54"/>
      <c r="N56" s="158"/>
      <c r="O56" s="158"/>
      <c r="P56" s="158"/>
      <c r="Q56" s="159"/>
      <c r="R56" s="159"/>
      <c r="S56" s="161"/>
      <c r="T56" s="167"/>
      <c r="U56" s="168"/>
      <c r="AJ56" s="50">
        <v>2</v>
      </c>
      <c r="AK56" s="50">
        <v>0</v>
      </c>
      <c r="AL56" s="50">
        <v>1</v>
      </c>
      <c r="AM56" s="15">
        <f>Tabela21[[#This Row],[Att subs]]+Tabela21[[#This Row],[Crit D subs]]</f>
        <v>0.2</v>
      </c>
      <c r="AN56" s="15">
        <v>0.2</v>
      </c>
      <c r="AO56" s="15">
        <f t="shared" si="48"/>
        <v>0</v>
      </c>
      <c r="AP56" s="15">
        <v>0.9</v>
      </c>
      <c r="AQ56" s="189">
        <f t="shared" si="12"/>
        <v>3435</v>
      </c>
      <c r="AR56" s="189">
        <f t="shared" si="13"/>
        <v>3686</v>
      </c>
      <c r="AS56" s="189">
        <f t="shared" si="6"/>
        <v>2910</v>
      </c>
      <c r="AT56" s="189">
        <f t="shared" si="47"/>
        <v>6870</v>
      </c>
      <c r="AU56" s="189">
        <f t="shared" si="7"/>
        <v>7372</v>
      </c>
    </row>
    <row r="57" spans="1:47" ht="15" thickBot="1">
      <c r="A57" s="157"/>
      <c r="B57" s="158"/>
      <c r="C57" s="158"/>
      <c r="D57" s="158"/>
      <c r="E57" s="158"/>
      <c r="F57" s="159"/>
      <c r="G57" s="159"/>
      <c r="H57" s="159"/>
      <c r="I57" s="159"/>
      <c r="J57" s="159"/>
      <c r="K57" s="160"/>
      <c r="L57" s="160"/>
      <c r="M57" s="54"/>
      <c r="N57" s="158"/>
      <c r="O57" s="158"/>
      <c r="P57" s="158"/>
      <c r="Q57" s="159"/>
      <c r="R57" s="159"/>
      <c r="S57" s="161"/>
      <c r="T57" s="167"/>
      <c r="U57" s="168"/>
      <c r="AJ57" s="50">
        <v>2</v>
      </c>
      <c r="AK57" s="50">
        <v>0</v>
      </c>
      <c r="AL57" s="50">
        <v>1</v>
      </c>
      <c r="AM57" s="15">
        <f>Tabela21[[#This Row],[Att subs]]+Tabela21[[#This Row],[Crit D subs]]</f>
        <v>0.2</v>
      </c>
      <c r="AN57" s="15">
        <v>0.2</v>
      </c>
      <c r="AO57" s="15">
        <f t="shared" si="48"/>
        <v>0</v>
      </c>
      <c r="AP57" s="15">
        <v>1</v>
      </c>
      <c r="AQ57" s="189">
        <f t="shared" si="12"/>
        <v>3435</v>
      </c>
      <c r="AR57" s="189">
        <f t="shared" si="13"/>
        <v>3686</v>
      </c>
      <c r="AS57" s="189">
        <f t="shared" si="6"/>
        <v>2910</v>
      </c>
      <c r="AT57" s="189">
        <f t="shared" si="47"/>
        <v>6870</v>
      </c>
      <c r="AU57" s="189">
        <f t="shared" si="7"/>
        <v>7372</v>
      </c>
    </row>
    <row r="58" spans="1:47" ht="15" thickBot="1">
      <c r="A58" s="157"/>
      <c r="B58" s="158"/>
      <c r="C58" s="158"/>
      <c r="D58" s="158"/>
      <c r="E58" s="158"/>
      <c r="F58" s="159"/>
      <c r="G58" s="159"/>
      <c r="H58" s="159"/>
      <c r="I58" s="159"/>
      <c r="J58" s="159"/>
      <c r="K58" s="160"/>
      <c r="L58" s="160"/>
      <c r="M58" s="54"/>
      <c r="N58" s="158"/>
      <c r="O58" s="158"/>
      <c r="P58" s="158"/>
      <c r="Q58" s="159"/>
      <c r="R58" s="159"/>
      <c r="S58" s="161"/>
      <c r="T58" s="167"/>
      <c r="U58" s="168"/>
      <c r="AJ58" s="50">
        <v>3</v>
      </c>
      <c r="AK58" s="50">
        <v>0</v>
      </c>
      <c r="AL58" s="50">
        <v>0</v>
      </c>
      <c r="AM58" s="15">
        <f>Tabela21[[#This Row],[Att subs]]+Tabela21[[#This Row],[Crit D subs]]</f>
        <v>0.2</v>
      </c>
      <c r="AN58" s="15">
        <v>0.2</v>
      </c>
      <c r="AO58" s="15">
        <f t="shared" si="48"/>
        <v>0</v>
      </c>
      <c r="AP58" s="15">
        <v>0</v>
      </c>
      <c r="AQ58" s="189">
        <f t="shared" si="12"/>
        <v>3019.1</v>
      </c>
      <c r="AR58" s="189">
        <f t="shared" si="13"/>
        <v>2871.33</v>
      </c>
      <c r="AS58" s="189">
        <f t="shared" si="6"/>
        <v>2899.0499999999997</v>
      </c>
      <c r="AT58" s="189">
        <f t="shared" si="47"/>
        <v>4096.4000000000005</v>
      </c>
      <c r="AU58" s="189">
        <f t="shared" si="7"/>
        <v>4056.36</v>
      </c>
    </row>
    <row r="59" spans="1:47" ht="15" thickBot="1">
      <c r="A59" s="157"/>
      <c r="B59" s="158"/>
      <c r="C59" s="158"/>
      <c r="D59" s="158"/>
      <c r="E59" s="158"/>
      <c r="F59" s="159"/>
      <c r="G59" s="159"/>
      <c r="H59" s="159"/>
      <c r="I59" s="159"/>
      <c r="J59" s="159"/>
      <c r="K59" s="160"/>
      <c r="L59" s="160"/>
      <c r="M59" s="54"/>
      <c r="N59" s="158"/>
      <c r="O59" s="158"/>
      <c r="P59" s="158"/>
      <c r="Q59" s="159"/>
      <c r="R59" s="159"/>
      <c r="S59" s="161"/>
      <c r="T59" s="167"/>
      <c r="U59" s="168"/>
      <c r="AJ59" s="50">
        <v>3</v>
      </c>
      <c r="AK59" s="50">
        <v>0</v>
      </c>
      <c r="AL59" s="50">
        <v>0</v>
      </c>
      <c r="AM59" s="15">
        <f>Tabela21[[#This Row],[Att subs]]+Tabela21[[#This Row],[Crit D subs]]</f>
        <v>0.2</v>
      </c>
      <c r="AN59" s="15">
        <v>0.2</v>
      </c>
      <c r="AO59" s="15">
        <f t="shared" si="48"/>
        <v>0</v>
      </c>
      <c r="AP59" s="15">
        <v>0.1</v>
      </c>
      <c r="AQ59" s="189">
        <f t="shared" si="12"/>
        <v>3152.1000000000004</v>
      </c>
      <c r="AR59" s="189">
        <f t="shared" si="13"/>
        <v>3079.23</v>
      </c>
      <c r="AS59" s="189">
        <f t="shared" si="6"/>
        <v>3014.55</v>
      </c>
      <c r="AT59" s="189">
        <f t="shared" si="47"/>
        <v>4628.3999999999996</v>
      </c>
      <c r="AU59" s="189">
        <f t="shared" si="7"/>
        <v>4703.16</v>
      </c>
    </row>
    <row r="60" spans="1:47" ht="15" thickBot="1">
      <c r="A60" s="157"/>
      <c r="B60" s="158"/>
      <c r="C60" s="158"/>
      <c r="D60" s="158"/>
      <c r="E60" s="158"/>
      <c r="F60" s="159"/>
      <c r="G60" s="159"/>
      <c r="H60" s="159"/>
      <c r="I60" s="159"/>
      <c r="J60" s="159"/>
      <c r="K60" s="160"/>
      <c r="L60" s="160"/>
      <c r="M60" s="54"/>
      <c r="N60" s="158"/>
      <c r="O60" s="158"/>
      <c r="P60" s="158"/>
      <c r="Q60" s="159"/>
      <c r="R60" s="159"/>
      <c r="S60" s="161"/>
      <c r="T60" s="167"/>
      <c r="U60" s="168"/>
      <c r="AJ60" s="50">
        <v>3</v>
      </c>
      <c r="AK60" s="50">
        <v>0</v>
      </c>
      <c r="AL60" s="50">
        <v>0</v>
      </c>
      <c r="AM60" s="15">
        <f>Tabela21[[#This Row],[Att subs]]+Tabela21[[#This Row],[Crit D subs]]</f>
        <v>0.2</v>
      </c>
      <c r="AN60" s="15">
        <v>0.2</v>
      </c>
      <c r="AO60" s="15">
        <f t="shared" si="48"/>
        <v>0</v>
      </c>
      <c r="AP60" s="15">
        <v>0.2</v>
      </c>
      <c r="AQ60" s="189">
        <f t="shared" si="12"/>
        <v>3285.0999999999995</v>
      </c>
      <c r="AR60" s="189">
        <f t="shared" si="13"/>
        <v>3287.1299999999997</v>
      </c>
      <c r="AS60" s="189">
        <f t="shared" si="6"/>
        <v>3130.05</v>
      </c>
      <c r="AT60" s="189">
        <f t="shared" si="47"/>
        <v>5160.3999999999996</v>
      </c>
      <c r="AU60" s="189">
        <f t="shared" si="7"/>
        <v>5349.96</v>
      </c>
    </row>
    <row r="61" spans="1:47" ht="15" thickBot="1">
      <c r="A61" s="157"/>
      <c r="B61" s="158"/>
      <c r="C61" s="158"/>
      <c r="D61" s="158"/>
      <c r="E61" s="158"/>
      <c r="F61" s="159"/>
      <c r="G61" s="159"/>
      <c r="H61" s="159"/>
      <c r="I61" s="159"/>
      <c r="J61" s="159"/>
      <c r="K61" s="160"/>
      <c r="L61" s="160"/>
      <c r="M61" s="54"/>
      <c r="N61" s="158"/>
      <c r="O61" s="158"/>
      <c r="P61" s="158"/>
      <c r="Q61" s="159"/>
      <c r="R61" s="159"/>
      <c r="S61" s="161"/>
      <c r="T61" s="167"/>
      <c r="U61" s="168"/>
      <c r="AJ61" s="50">
        <v>3</v>
      </c>
      <c r="AK61" s="50">
        <v>0</v>
      </c>
      <c r="AL61" s="50">
        <v>0</v>
      </c>
      <c r="AM61" s="15">
        <f>Tabela21[[#This Row],[Att subs]]+Tabela21[[#This Row],[Crit D subs]]</f>
        <v>0.2</v>
      </c>
      <c r="AN61" s="15">
        <v>0.2</v>
      </c>
      <c r="AO61" s="15">
        <f t="shared" si="48"/>
        <v>0</v>
      </c>
      <c r="AP61" s="15">
        <v>0.3</v>
      </c>
      <c r="AQ61" s="189">
        <f t="shared" si="12"/>
        <v>3418.1000000000004</v>
      </c>
      <c r="AR61" s="189">
        <f t="shared" si="13"/>
        <v>3495.0299999999997</v>
      </c>
      <c r="AS61" s="189">
        <f t="shared" si="6"/>
        <v>3245.5499999999997</v>
      </c>
      <c r="AT61" s="189">
        <f t="shared" si="47"/>
        <v>5692.4000000000005</v>
      </c>
      <c r="AU61" s="189">
        <f t="shared" si="7"/>
        <v>5996.76</v>
      </c>
    </row>
    <row r="62" spans="1:47" ht="15" thickBot="1">
      <c r="A62" s="157"/>
      <c r="B62" s="158"/>
      <c r="C62" s="158"/>
      <c r="D62" s="158"/>
      <c r="E62" s="158"/>
      <c r="F62" s="159"/>
      <c r="G62" s="159"/>
      <c r="H62" s="159"/>
      <c r="I62" s="159"/>
      <c r="J62" s="159"/>
      <c r="K62" s="160"/>
      <c r="L62" s="160"/>
      <c r="M62" s="54"/>
      <c r="N62" s="158"/>
      <c r="O62" s="158"/>
      <c r="P62" s="158"/>
      <c r="Q62" s="159"/>
      <c r="R62" s="159"/>
      <c r="S62" s="161"/>
      <c r="T62" s="167"/>
      <c r="U62" s="168"/>
      <c r="AJ62" s="50">
        <v>3</v>
      </c>
      <c r="AK62" s="50">
        <v>0</v>
      </c>
      <c r="AL62" s="50">
        <v>0</v>
      </c>
      <c r="AM62" s="15">
        <f>Tabela21[[#This Row],[Att subs]]+Tabela21[[#This Row],[Crit D subs]]</f>
        <v>0.2</v>
      </c>
      <c r="AN62" s="15">
        <v>0.2</v>
      </c>
      <c r="AO62" s="15">
        <f t="shared" si="48"/>
        <v>0</v>
      </c>
      <c r="AP62" s="15">
        <v>0.4</v>
      </c>
      <c r="AQ62" s="189">
        <f t="shared" si="12"/>
        <v>3551.1</v>
      </c>
      <c r="AR62" s="189">
        <f t="shared" si="13"/>
        <v>3702.9299999999994</v>
      </c>
      <c r="AS62" s="189">
        <f t="shared" si="6"/>
        <v>3361.05</v>
      </c>
      <c r="AT62" s="189">
        <f t="shared" si="47"/>
        <v>6224.4000000000005</v>
      </c>
      <c r="AU62" s="189">
        <f t="shared" si="7"/>
        <v>6643.5599999999995</v>
      </c>
    </row>
    <row r="63" spans="1:47" ht="15" thickBot="1">
      <c r="A63" s="157"/>
      <c r="B63" s="158"/>
      <c r="C63" s="158"/>
      <c r="D63" s="158"/>
      <c r="E63" s="158"/>
      <c r="F63" s="159"/>
      <c r="G63" s="159"/>
      <c r="H63" s="159"/>
      <c r="I63" s="159"/>
      <c r="J63" s="159"/>
      <c r="K63" s="160"/>
      <c r="L63" s="160"/>
      <c r="M63" s="54"/>
      <c r="N63" s="158"/>
      <c r="O63" s="158"/>
      <c r="P63" s="158"/>
      <c r="Q63" s="159"/>
      <c r="R63" s="159"/>
      <c r="S63" s="161"/>
      <c r="T63" s="167"/>
      <c r="U63" s="168"/>
      <c r="AJ63" s="50">
        <v>3</v>
      </c>
      <c r="AK63" s="50">
        <v>0</v>
      </c>
      <c r="AL63" s="50">
        <v>0</v>
      </c>
      <c r="AM63" s="15">
        <f>Tabela21[[#This Row],[Att subs]]+Tabela21[[#This Row],[Crit D subs]]</f>
        <v>0.2</v>
      </c>
      <c r="AN63" s="15">
        <v>0.2</v>
      </c>
      <c r="AO63" s="15">
        <f t="shared" si="48"/>
        <v>0</v>
      </c>
      <c r="AP63" s="15">
        <v>0.5</v>
      </c>
      <c r="AQ63" s="189">
        <f t="shared" si="12"/>
        <v>3684.1</v>
      </c>
      <c r="AR63" s="189">
        <f t="shared" si="13"/>
        <v>3910.8299999999995</v>
      </c>
      <c r="AS63" s="189">
        <f t="shared" si="6"/>
        <v>3465</v>
      </c>
      <c r="AT63" s="189">
        <f t="shared" si="47"/>
        <v>6756.4000000000005</v>
      </c>
      <c r="AU63" s="189">
        <f t="shared" si="7"/>
        <v>7290.36</v>
      </c>
    </row>
    <row r="64" spans="1:47" ht="15" thickBot="1">
      <c r="A64" s="157"/>
      <c r="B64" s="158"/>
      <c r="C64" s="158"/>
      <c r="D64" s="158"/>
      <c r="E64" s="158"/>
      <c r="F64" s="159"/>
      <c r="G64" s="159"/>
      <c r="H64" s="159"/>
      <c r="I64" s="159"/>
      <c r="J64" s="159"/>
      <c r="K64" s="160"/>
      <c r="L64" s="160"/>
      <c r="M64" s="54"/>
      <c r="N64" s="158"/>
      <c r="O64" s="158"/>
      <c r="P64" s="158"/>
      <c r="Q64" s="159"/>
      <c r="R64" s="159"/>
      <c r="S64" s="161"/>
      <c r="T64" s="167"/>
      <c r="U64" s="168"/>
      <c r="AJ64" s="50">
        <v>3</v>
      </c>
      <c r="AK64" s="50">
        <v>0</v>
      </c>
      <c r="AL64" s="50">
        <v>0</v>
      </c>
      <c r="AM64" s="15">
        <f>Tabela21[[#This Row],[Att subs]]+Tabela21[[#This Row],[Crit D subs]]</f>
        <v>0.2</v>
      </c>
      <c r="AN64" s="15">
        <v>0.2</v>
      </c>
      <c r="AO64" s="15">
        <f t="shared" si="48"/>
        <v>0</v>
      </c>
      <c r="AP64" s="15">
        <v>0.6</v>
      </c>
      <c r="AQ64" s="189">
        <f t="shared" si="12"/>
        <v>3817.1000000000004</v>
      </c>
      <c r="AR64" s="189">
        <f t="shared" si="13"/>
        <v>4118.7299999999996</v>
      </c>
      <c r="AS64" s="189">
        <f t="shared" si="6"/>
        <v>3465</v>
      </c>
      <c r="AT64" s="189">
        <f t="shared" si="47"/>
        <v>7288.4</v>
      </c>
      <c r="AU64" s="189">
        <f t="shared" si="7"/>
        <v>7937.16</v>
      </c>
    </row>
    <row r="65" spans="1:47" ht="15" thickBot="1">
      <c r="A65" s="157"/>
      <c r="B65" s="158"/>
      <c r="C65" s="158"/>
      <c r="D65" s="158"/>
      <c r="E65" s="158"/>
      <c r="F65" s="159"/>
      <c r="G65" s="159"/>
      <c r="H65" s="159"/>
      <c r="I65" s="159"/>
      <c r="J65" s="159"/>
      <c r="K65" s="160"/>
      <c r="L65" s="160"/>
      <c r="M65" s="54"/>
      <c r="N65" s="158"/>
      <c r="O65" s="158"/>
      <c r="P65" s="158"/>
      <c r="Q65" s="159"/>
      <c r="R65" s="159"/>
      <c r="S65" s="161"/>
      <c r="T65" s="167"/>
      <c r="U65" s="168"/>
      <c r="AJ65" s="50">
        <v>3</v>
      </c>
      <c r="AK65" s="50">
        <v>0</v>
      </c>
      <c r="AL65" s="50">
        <v>0</v>
      </c>
      <c r="AM65" s="15">
        <f>Tabela21[[#This Row],[Att subs]]+Tabela21[[#This Row],[Crit D subs]]</f>
        <v>0.2</v>
      </c>
      <c r="AN65" s="15">
        <v>0.2</v>
      </c>
      <c r="AO65" s="15">
        <f t="shared" si="48"/>
        <v>0</v>
      </c>
      <c r="AP65" s="15">
        <v>0.7</v>
      </c>
      <c r="AQ65" s="189">
        <f t="shared" si="12"/>
        <v>3950.1000000000004</v>
      </c>
      <c r="AR65" s="189">
        <f t="shared" si="13"/>
        <v>4326.63</v>
      </c>
      <c r="AS65" s="189">
        <f t="shared" si="6"/>
        <v>3465</v>
      </c>
      <c r="AT65" s="189">
        <f t="shared" si="47"/>
        <v>7820.4000000000015</v>
      </c>
      <c r="AU65" s="189">
        <f t="shared" si="7"/>
        <v>8583.9600000000009</v>
      </c>
    </row>
    <row r="66" spans="1:47" ht="15" thickBot="1">
      <c r="A66" s="157"/>
      <c r="B66" s="158"/>
      <c r="C66" s="158"/>
      <c r="D66" s="158"/>
      <c r="E66" s="158"/>
      <c r="F66" s="159"/>
      <c r="G66" s="159"/>
      <c r="H66" s="159"/>
      <c r="I66" s="159"/>
      <c r="J66" s="159"/>
      <c r="K66" s="160"/>
      <c r="L66" s="160"/>
      <c r="M66" s="54"/>
      <c r="N66" s="158"/>
      <c r="O66" s="158"/>
      <c r="P66" s="158"/>
      <c r="Q66" s="159"/>
      <c r="R66" s="159"/>
      <c r="S66" s="161"/>
      <c r="T66" s="167"/>
      <c r="U66" s="168"/>
      <c r="AJ66" s="50">
        <v>3</v>
      </c>
      <c r="AK66" s="50">
        <v>0</v>
      </c>
      <c r="AL66" s="50">
        <v>0</v>
      </c>
      <c r="AM66" s="15">
        <f>Tabela21[[#This Row],[Att subs]]+Tabela21[[#This Row],[Crit D subs]]</f>
        <v>0.2</v>
      </c>
      <c r="AN66" s="15">
        <v>0.2</v>
      </c>
      <c r="AO66" s="15">
        <f t="shared" si="48"/>
        <v>0</v>
      </c>
      <c r="AP66" s="15">
        <v>0.8</v>
      </c>
      <c r="AQ66" s="189">
        <f t="shared" si="12"/>
        <v>3990</v>
      </c>
      <c r="AR66" s="189">
        <f t="shared" si="13"/>
        <v>4389</v>
      </c>
      <c r="AS66" s="189">
        <f t="shared" si="6"/>
        <v>3465</v>
      </c>
      <c r="AT66" s="189">
        <f t="shared" si="47"/>
        <v>7980</v>
      </c>
      <c r="AU66" s="189">
        <f t="shared" si="7"/>
        <v>8778</v>
      </c>
    </row>
    <row r="67" spans="1:47" ht="15" thickBot="1">
      <c r="A67" s="157"/>
      <c r="B67" s="158"/>
      <c r="C67" s="158"/>
      <c r="D67" s="158"/>
      <c r="E67" s="158"/>
      <c r="F67" s="159"/>
      <c r="G67" s="159"/>
      <c r="H67" s="159"/>
      <c r="I67" s="159"/>
      <c r="J67" s="159"/>
      <c r="K67" s="160"/>
      <c r="L67" s="160"/>
      <c r="M67" s="54"/>
      <c r="N67" s="158"/>
      <c r="O67" s="158"/>
      <c r="P67" s="158"/>
      <c r="Q67" s="159"/>
      <c r="R67" s="159"/>
      <c r="S67" s="161"/>
      <c r="T67" s="167"/>
      <c r="U67" s="168"/>
      <c r="AJ67" s="50">
        <v>3</v>
      </c>
      <c r="AK67" s="50">
        <v>0</v>
      </c>
      <c r="AL67" s="50">
        <v>0</v>
      </c>
      <c r="AM67" s="15">
        <f>Tabela21[[#This Row],[Att subs]]+Tabela21[[#This Row],[Crit D subs]]</f>
        <v>0.2</v>
      </c>
      <c r="AN67" s="15">
        <v>0.2</v>
      </c>
      <c r="AO67" s="15">
        <f t="shared" si="48"/>
        <v>0</v>
      </c>
      <c r="AP67" s="15">
        <v>0.9</v>
      </c>
      <c r="AQ67" s="189">
        <f t="shared" si="12"/>
        <v>3990</v>
      </c>
      <c r="AR67" s="189">
        <f t="shared" si="13"/>
        <v>4389</v>
      </c>
      <c r="AS67" s="189">
        <f t="shared" ref="AS67:AS130" si="62">$AG$3*(1+$AJ67*$Y$2+$AN67)*(MAXA(1-$AI$3-$AL67*$AA$3-$AP67-0.36,0)+MINA($AI$3+$AL67*$AA$3+$AP67+0.36,1)*(1+$AH$3+$AO67+$AK67*$Z$4))</f>
        <v>3465</v>
      </c>
      <c r="AT67" s="189">
        <f t="shared" si="47"/>
        <v>7980</v>
      </c>
      <c r="AU67" s="189">
        <f t="shared" ref="AU67:AU68" si="63">$AG$3*(1+$AJ67*$Y$2+$AN67)*(MAXA(1-$AI$3-$AL67*$AA$3-$AP67-0.12,0)+2*MINA($AI$3+$AL67*$AA$3+$AP67+0.12,1)*(1+$AH$3+$AO67+$AK67*$Z$4+0.4))</f>
        <v>8778</v>
      </c>
    </row>
    <row r="68" spans="1:47" ht="15" thickBot="1">
      <c r="A68" s="157"/>
      <c r="B68" s="158"/>
      <c r="C68" s="158"/>
      <c r="D68" s="158"/>
      <c r="E68" s="158"/>
      <c r="F68" s="159"/>
      <c r="G68" s="159"/>
      <c r="H68" s="159"/>
      <c r="I68" s="159"/>
      <c r="J68" s="159"/>
      <c r="K68" s="160"/>
      <c r="L68" s="160"/>
      <c r="M68" s="54"/>
      <c r="N68" s="158"/>
      <c r="O68" s="158"/>
      <c r="P68" s="158"/>
      <c r="Q68" s="159"/>
      <c r="R68" s="159"/>
      <c r="S68" s="161"/>
      <c r="T68" s="167"/>
      <c r="U68" s="168"/>
      <c r="AJ68" s="50">
        <v>3</v>
      </c>
      <c r="AK68" s="50">
        <v>0</v>
      </c>
      <c r="AL68" s="50">
        <v>0</v>
      </c>
      <c r="AM68" s="15">
        <f>Tabela21[[#This Row],[Att subs]]+Tabela21[[#This Row],[Crit D subs]]</f>
        <v>0.2</v>
      </c>
      <c r="AN68" s="15">
        <v>0.2</v>
      </c>
      <c r="AO68" s="15">
        <f t="shared" si="48"/>
        <v>0</v>
      </c>
      <c r="AP68" s="15">
        <v>1</v>
      </c>
      <c r="AQ68" s="189">
        <f t="shared" ref="AQ68:AQ131" si="64">$AG$3*(1+$AJ68*$Y$2+$AN68+0.35)*(MAXA(1-$AI$3-$AL68*$AA$3-$AP68-0.12,0)+MINA($AI$3+$AL68*$AA$3+$AP68+0.12,1)*(1+$AH$3+$AO68+$AK68*$Z$4))</f>
        <v>3990</v>
      </c>
      <c r="AR68" s="189">
        <f t="shared" ref="AR68:AR131" si="65">$AG$3*(1+$AJ68*$Y$2+$AN68)*(MAXA(1-$AI$3-$AL68*$AA$3-$AP68-0.12,0)+MINA($AI$3+$AL68*$AA$3+$AP68+0.12,1)*(1+$AH$3+$AO68+$AK68*$Z$4+0.4))</f>
        <v>4389</v>
      </c>
      <c r="AS68" s="189">
        <f t="shared" si="62"/>
        <v>3465</v>
      </c>
      <c r="AT68" s="189">
        <f t="shared" si="47"/>
        <v>7980</v>
      </c>
      <c r="AU68" s="189">
        <f t="shared" si="63"/>
        <v>8778</v>
      </c>
    </row>
    <row r="69" spans="1:47" ht="15" thickBot="1">
      <c r="A69" s="157"/>
      <c r="B69" s="158"/>
      <c r="C69" s="158"/>
      <c r="D69" s="158"/>
      <c r="E69" s="158"/>
      <c r="F69" s="159"/>
      <c r="G69" s="159"/>
      <c r="H69" s="159"/>
      <c r="I69" s="159"/>
      <c r="J69" s="159"/>
      <c r="K69" s="160"/>
      <c r="L69" s="160"/>
      <c r="M69" s="54"/>
      <c r="N69" s="158"/>
      <c r="O69" s="158"/>
      <c r="P69" s="158"/>
      <c r="Q69" s="159"/>
      <c r="R69" s="159"/>
      <c r="S69" s="161"/>
      <c r="T69" s="167"/>
      <c r="U69" s="168"/>
      <c r="AJ69" s="50">
        <v>2</v>
      </c>
      <c r="AK69" s="50">
        <v>1</v>
      </c>
      <c r="AL69" s="50">
        <v>0</v>
      </c>
      <c r="AM69" s="15">
        <f>Tabela21[[#This Row],[Att subs]]+Tabela21[[#This Row],[Crit D subs]]</f>
        <v>0.4</v>
      </c>
      <c r="AN69" s="15">
        <v>0.4</v>
      </c>
      <c r="AO69" s="15">
        <v>0</v>
      </c>
      <c r="AP69" s="15">
        <v>0</v>
      </c>
      <c r="AQ69" s="189">
        <f t="shared" si="64"/>
        <v>3142.1309999999999</v>
      </c>
      <c r="AR69" s="189">
        <f t="shared" si="65"/>
        <v>2931.5859999999998</v>
      </c>
      <c r="AS69" s="189">
        <f t="shared" si="62"/>
        <v>3198.6579999999999</v>
      </c>
      <c r="AT69" s="189">
        <f t="shared" ref="AT69:AT130" si="66">$AG$3*(1+$AJ69*$Y$2+$AN69)*(MAXA(1-$AI$3-$AL69*$AA$3-$AP69-0.36,0)+2*MINA($AI$3+$AL69*$AA$3+$AP69+0.36,1)*(1+$AH$3+$AO69+$AK69*$Z$4))</f>
        <v>5348.7159999999994</v>
      </c>
      <c r="AU69" s="50">
        <f t="shared" ref="AU69:AU130" si="67">$AG$3*(1+$AJ69*$Y$2+$AN69)*(MAXA(1-$AI$3-$AL69*$AA$3-$AP69-0.12,0)+2*MINA($AI$3+$AL69*$AA$3+$AP69+0.12,1)*(1+$AH$3+$AO69+$AK69*$Z$4+0.4))</f>
        <v>4300.9720000000007</v>
      </c>
    </row>
    <row r="70" spans="1:47" ht="15" thickBot="1">
      <c r="A70" s="157"/>
      <c r="B70" s="158"/>
      <c r="C70" s="158"/>
      <c r="D70" s="158"/>
      <c r="E70" s="158"/>
      <c r="F70" s="159"/>
      <c r="G70" s="159"/>
      <c r="H70" s="159"/>
      <c r="I70" s="159"/>
      <c r="J70" s="159"/>
      <c r="K70" s="160"/>
      <c r="L70" s="160"/>
      <c r="M70" s="54"/>
      <c r="N70" s="158"/>
      <c r="O70" s="158"/>
      <c r="P70" s="158"/>
      <c r="Q70" s="159"/>
      <c r="R70" s="159"/>
      <c r="S70" s="161"/>
      <c r="T70" s="167"/>
      <c r="U70" s="168"/>
      <c r="AJ70" s="50">
        <v>2</v>
      </c>
      <c r="AK70" s="50">
        <v>1</v>
      </c>
      <c r="AL70" s="50">
        <v>0</v>
      </c>
      <c r="AM70" s="15">
        <f>Tabela21[[#This Row],[Att subs]]+Tabela21[[#This Row],[Crit D subs]]</f>
        <v>0.4</v>
      </c>
      <c r="AN70" s="15">
        <v>0.4</v>
      </c>
      <c r="AO70" s="15">
        <f>AO69</f>
        <v>0</v>
      </c>
      <c r="AP70" s="15">
        <v>0.1</v>
      </c>
      <c r="AQ70" s="189">
        <f t="shared" si="64"/>
        <v>3383.6610000000001</v>
      </c>
      <c r="AR70" s="189">
        <f t="shared" si="65"/>
        <v>3224.7659999999996</v>
      </c>
      <c r="AS70" s="189">
        <f t="shared" si="62"/>
        <v>3406.2379999999998</v>
      </c>
      <c r="AT70" s="189">
        <f t="shared" si="66"/>
        <v>5977.8760000000002</v>
      </c>
      <c r="AU70" s="50">
        <f t="shared" si="67"/>
        <v>5101.3319999999994</v>
      </c>
    </row>
    <row r="71" spans="1:47" ht="15" thickBot="1">
      <c r="A71" s="157"/>
      <c r="B71" s="158"/>
      <c r="C71" s="158"/>
      <c r="D71" s="158"/>
      <c r="E71" s="158"/>
      <c r="F71" s="159"/>
      <c r="G71" s="159"/>
      <c r="H71" s="159"/>
      <c r="I71" s="159"/>
      <c r="J71" s="159"/>
      <c r="K71" s="160"/>
      <c r="L71" s="160"/>
      <c r="M71" s="54"/>
      <c r="N71" s="158"/>
      <c r="O71" s="158"/>
      <c r="P71" s="158"/>
      <c r="Q71" s="159"/>
      <c r="R71" s="159"/>
      <c r="S71" s="161"/>
      <c r="T71" s="167"/>
      <c r="U71" s="168"/>
      <c r="AJ71" s="50">
        <v>2</v>
      </c>
      <c r="AK71" s="50">
        <v>1</v>
      </c>
      <c r="AL71" s="50">
        <v>0</v>
      </c>
      <c r="AM71" s="15">
        <f>Tabela21[[#This Row],[Att subs]]+Tabela21[[#This Row],[Crit D subs]]</f>
        <v>0.4</v>
      </c>
      <c r="AN71" s="15">
        <v>0.4</v>
      </c>
      <c r="AO71" s="15">
        <f t="shared" ref="AO71:AO101" si="68">AO70</f>
        <v>0</v>
      </c>
      <c r="AP71" s="15">
        <v>0.2</v>
      </c>
      <c r="AQ71" s="189">
        <f t="shared" si="64"/>
        <v>3625.1909999999993</v>
      </c>
      <c r="AR71" s="189">
        <f t="shared" si="65"/>
        <v>3517.9459999999999</v>
      </c>
      <c r="AS71" s="189">
        <f t="shared" si="62"/>
        <v>3613.8179999999998</v>
      </c>
      <c r="AT71" s="189">
        <f t="shared" si="66"/>
        <v>6607.0359999999991</v>
      </c>
      <c r="AU71" s="50">
        <f t="shared" si="67"/>
        <v>5901.6919999999991</v>
      </c>
    </row>
    <row r="72" spans="1:47" ht="15" thickBot="1">
      <c r="A72" s="157"/>
      <c r="B72" s="158"/>
      <c r="C72" s="158"/>
      <c r="D72" s="158"/>
      <c r="E72" s="158"/>
      <c r="F72" s="159"/>
      <c r="G72" s="159"/>
      <c r="H72" s="159"/>
      <c r="I72" s="159"/>
      <c r="J72" s="159"/>
      <c r="K72" s="160"/>
      <c r="L72" s="160"/>
      <c r="M72" s="54"/>
      <c r="N72" s="158"/>
      <c r="O72" s="158"/>
      <c r="P72" s="158"/>
      <c r="Q72" s="159"/>
      <c r="R72" s="159"/>
      <c r="S72" s="161"/>
      <c r="T72" s="167"/>
      <c r="U72" s="168"/>
      <c r="AJ72" s="50">
        <v>2</v>
      </c>
      <c r="AK72" s="50">
        <v>1</v>
      </c>
      <c r="AL72" s="50">
        <v>0</v>
      </c>
      <c r="AM72" s="15">
        <f>Tabela21[[#This Row],[Att subs]]+Tabela21[[#This Row],[Crit D subs]]</f>
        <v>0.4</v>
      </c>
      <c r="AN72" s="15">
        <v>0.4</v>
      </c>
      <c r="AO72" s="15">
        <f t="shared" si="68"/>
        <v>0</v>
      </c>
      <c r="AP72" s="15">
        <v>0.3</v>
      </c>
      <c r="AQ72" s="189">
        <f t="shared" si="64"/>
        <v>3866.7209999999991</v>
      </c>
      <c r="AR72" s="189">
        <f t="shared" si="65"/>
        <v>3811.1259999999997</v>
      </c>
      <c r="AS72" s="189">
        <f t="shared" si="62"/>
        <v>3821.3979999999997</v>
      </c>
      <c r="AT72" s="189">
        <f t="shared" si="66"/>
        <v>7236.195999999999</v>
      </c>
      <c r="AU72" s="50">
        <f t="shared" si="67"/>
        <v>6702.0520000000006</v>
      </c>
    </row>
    <row r="73" spans="1:47" ht="15" thickBot="1">
      <c r="A73" s="157"/>
      <c r="B73" s="158"/>
      <c r="C73" s="158"/>
      <c r="D73" s="158"/>
      <c r="E73" s="158"/>
      <c r="F73" s="159"/>
      <c r="G73" s="159"/>
      <c r="H73" s="159"/>
      <c r="I73" s="159"/>
      <c r="J73" s="159"/>
      <c r="K73" s="160"/>
      <c r="L73" s="160"/>
      <c r="M73" s="54"/>
      <c r="N73" s="158"/>
      <c r="O73" s="158"/>
      <c r="P73" s="158"/>
      <c r="Q73" s="159"/>
      <c r="R73" s="159"/>
      <c r="S73" s="161"/>
      <c r="T73" s="167"/>
      <c r="U73" s="168"/>
      <c r="AJ73" s="50">
        <v>2</v>
      </c>
      <c r="AK73" s="50">
        <v>1</v>
      </c>
      <c r="AL73" s="50">
        <v>0</v>
      </c>
      <c r="AM73" s="15">
        <f>Tabela21[[#This Row],[Att subs]]+Tabela21[[#This Row],[Crit D subs]]</f>
        <v>0.4</v>
      </c>
      <c r="AN73" s="15">
        <v>0.4</v>
      </c>
      <c r="AO73" s="15">
        <f t="shared" si="68"/>
        <v>0</v>
      </c>
      <c r="AP73" s="15">
        <v>0.4</v>
      </c>
      <c r="AQ73" s="189">
        <f t="shared" si="64"/>
        <v>4108.2510000000002</v>
      </c>
      <c r="AR73" s="189">
        <f t="shared" si="65"/>
        <v>4104.3059999999996</v>
      </c>
      <c r="AS73" s="189">
        <f t="shared" si="62"/>
        <v>4028.9779999999996</v>
      </c>
      <c r="AT73" s="189">
        <f t="shared" si="66"/>
        <v>7865.3559999999998</v>
      </c>
      <c r="AU73" s="50">
        <f t="shared" si="67"/>
        <v>7502.4120000000003</v>
      </c>
    </row>
    <row r="74" spans="1:47">
      <c r="A74" s="162"/>
      <c r="B74" s="163"/>
      <c r="C74" s="163"/>
      <c r="D74" s="163"/>
      <c r="E74" s="163"/>
      <c r="F74" s="164"/>
      <c r="G74" s="164"/>
      <c r="H74" s="164"/>
      <c r="I74" s="164"/>
      <c r="J74" s="164"/>
      <c r="K74" s="165"/>
      <c r="L74" s="165"/>
      <c r="M74" s="54"/>
      <c r="N74" s="163"/>
      <c r="O74" s="163"/>
      <c r="P74" s="163"/>
      <c r="Q74" s="164"/>
      <c r="R74" s="164"/>
      <c r="S74" s="166"/>
      <c r="T74" s="167"/>
      <c r="U74" s="168"/>
      <c r="AJ74" s="50">
        <v>2</v>
      </c>
      <c r="AK74" s="50">
        <v>1</v>
      </c>
      <c r="AL74" s="50">
        <v>0</v>
      </c>
      <c r="AM74" s="15">
        <f>Tabela21[[#This Row],[Att subs]]+Tabela21[[#This Row],[Crit D subs]]</f>
        <v>0.4</v>
      </c>
      <c r="AN74" s="15">
        <v>0.4</v>
      </c>
      <c r="AO74" s="15">
        <f t="shared" si="68"/>
        <v>0</v>
      </c>
      <c r="AP74" s="15">
        <v>0.5</v>
      </c>
      <c r="AQ74" s="189">
        <f t="shared" si="64"/>
        <v>4349.7809999999999</v>
      </c>
      <c r="AR74" s="189">
        <f t="shared" si="65"/>
        <v>4397.4859999999999</v>
      </c>
      <c r="AS74" s="189">
        <f t="shared" si="62"/>
        <v>4215.8</v>
      </c>
      <c r="AT74" s="189">
        <f t="shared" si="66"/>
        <v>8431.6</v>
      </c>
      <c r="AU74" s="50">
        <f t="shared" si="67"/>
        <v>8302.7720000000008</v>
      </c>
    </row>
    <row r="75" spans="1:47">
      <c r="AJ75" s="50">
        <v>2</v>
      </c>
      <c r="AK75" s="50">
        <v>1</v>
      </c>
      <c r="AL75" s="50">
        <v>0</v>
      </c>
      <c r="AM75" s="15">
        <f>Tabela21[[#This Row],[Att subs]]+Tabela21[[#This Row],[Crit D subs]]</f>
        <v>0.4</v>
      </c>
      <c r="AN75" s="15">
        <v>0.4</v>
      </c>
      <c r="AO75" s="15">
        <f t="shared" si="68"/>
        <v>0</v>
      </c>
      <c r="AP75" s="15">
        <v>0.6</v>
      </c>
      <c r="AQ75" s="189">
        <f t="shared" si="64"/>
        <v>4591.3110000000006</v>
      </c>
      <c r="AR75" s="189">
        <f t="shared" si="65"/>
        <v>4690.6660000000002</v>
      </c>
      <c r="AS75" s="189">
        <f t="shared" si="62"/>
        <v>4215.8</v>
      </c>
      <c r="AT75" s="189">
        <f t="shared" si="66"/>
        <v>8431.6</v>
      </c>
      <c r="AU75" s="50">
        <f t="shared" si="67"/>
        <v>9103.1319999999996</v>
      </c>
    </row>
    <row r="76" spans="1:47">
      <c r="AJ76" s="50">
        <v>2</v>
      </c>
      <c r="AK76" s="50">
        <v>1</v>
      </c>
      <c r="AL76" s="50">
        <v>0</v>
      </c>
      <c r="AM76" s="15">
        <f>Tabela21[[#This Row],[Att subs]]+Tabela21[[#This Row],[Crit D subs]]</f>
        <v>0.4</v>
      </c>
      <c r="AN76" s="15">
        <v>0.4</v>
      </c>
      <c r="AO76" s="15">
        <f t="shared" si="68"/>
        <v>0</v>
      </c>
      <c r="AP76" s="15">
        <v>0.7</v>
      </c>
      <c r="AQ76" s="189">
        <f t="shared" si="64"/>
        <v>4832.8409999999994</v>
      </c>
      <c r="AR76" s="189">
        <f t="shared" si="65"/>
        <v>4983.8459999999995</v>
      </c>
      <c r="AS76" s="189">
        <f t="shared" si="62"/>
        <v>4215.8</v>
      </c>
      <c r="AT76" s="189">
        <f t="shared" si="66"/>
        <v>8431.6</v>
      </c>
      <c r="AU76" s="50">
        <f t="shared" si="67"/>
        <v>9903.492000000002</v>
      </c>
    </row>
    <row r="77" spans="1:47">
      <c r="AJ77" s="50">
        <v>2</v>
      </c>
      <c r="AK77" s="50">
        <v>1</v>
      </c>
      <c r="AL77" s="50">
        <v>0</v>
      </c>
      <c r="AM77" s="15">
        <f>Tabela21[[#This Row],[Att subs]]+Tabela21[[#This Row],[Crit D subs]]</f>
        <v>0.4</v>
      </c>
      <c r="AN77" s="15">
        <v>0.4</v>
      </c>
      <c r="AO77" s="15">
        <f t="shared" si="68"/>
        <v>0</v>
      </c>
      <c r="AP77" s="15">
        <v>0.8</v>
      </c>
      <c r="AQ77" s="189">
        <f t="shared" si="64"/>
        <v>4905.3</v>
      </c>
      <c r="AR77" s="189">
        <f t="shared" si="65"/>
        <v>5071.8</v>
      </c>
      <c r="AS77" s="189">
        <f t="shared" si="62"/>
        <v>4215.8</v>
      </c>
      <c r="AT77" s="189">
        <f t="shared" si="66"/>
        <v>8431.6</v>
      </c>
      <c r="AU77" s="50">
        <f t="shared" si="67"/>
        <v>10143.6</v>
      </c>
    </row>
    <row r="78" spans="1:47">
      <c r="AJ78" s="50">
        <v>2</v>
      </c>
      <c r="AK78" s="50">
        <v>1</v>
      </c>
      <c r="AL78" s="50">
        <v>0</v>
      </c>
      <c r="AM78" s="15">
        <f>Tabela21[[#This Row],[Att subs]]+Tabela21[[#This Row],[Crit D subs]]</f>
        <v>0.4</v>
      </c>
      <c r="AN78" s="15">
        <v>0.4</v>
      </c>
      <c r="AO78" s="15">
        <f t="shared" si="68"/>
        <v>0</v>
      </c>
      <c r="AP78" s="15">
        <v>0.9</v>
      </c>
      <c r="AQ78" s="189">
        <f t="shared" si="64"/>
        <v>4905.3</v>
      </c>
      <c r="AR78" s="189">
        <f t="shared" si="65"/>
        <v>5071.8</v>
      </c>
      <c r="AS78" s="189">
        <f t="shared" si="62"/>
        <v>4215.8</v>
      </c>
      <c r="AT78" s="189">
        <f t="shared" si="66"/>
        <v>8431.6</v>
      </c>
      <c r="AU78" s="50">
        <f t="shared" si="67"/>
        <v>10143.6</v>
      </c>
    </row>
    <row r="79" spans="1:47">
      <c r="AJ79" s="50">
        <v>2</v>
      </c>
      <c r="AK79" s="50">
        <v>1</v>
      </c>
      <c r="AL79" s="50">
        <v>0</v>
      </c>
      <c r="AM79" s="15">
        <f>Tabela21[[#This Row],[Att subs]]+Tabela21[[#This Row],[Crit D subs]]</f>
        <v>0.4</v>
      </c>
      <c r="AN79" s="15">
        <v>0.4</v>
      </c>
      <c r="AO79" s="15">
        <f t="shared" si="68"/>
        <v>0</v>
      </c>
      <c r="AP79" s="15">
        <v>1</v>
      </c>
      <c r="AQ79" s="189">
        <f t="shared" si="64"/>
        <v>4905.3</v>
      </c>
      <c r="AR79" s="189">
        <f t="shared" si="65"/>
        <v>5071.8</v>
      </c>
      <c r="AS79" s="189">
        <f t="shared" si="62"/>
        <v>4215.8</v>
      </c>
      <c r="AT79" s="189">
        <f t="shared" si="66"/>
        <v>8431.6</v>
      </c>
      <c r="AU79" s="50">
        <f t="shared" si="67"/>
        <v>10143.6</v>
      </c>
    </row>
    <row r="80" spans="1:47">
      <c r="AJ80" s="50">
        <v>2</v>
      </c>
      <c r="AK80" s="50">
        <v>0</v>
      </c>
      <c r="AL80" s="50">
        <v>1</v>
      </c>
      <c r="AM80" s="15">
        <f>Tabela21[[#This Row],[Att subs]]+Tabela21[[#This Row],[Crit D subs]]</f>
        <v>0.4</v>
      </c>
      <c r="AN80" s="15">
        <v>0.4</v>
      </c>
      <c r="AO80" s="15">
        <f t="shared" si="68"/>
        <v>0</v>
      </c>
      <c r="AP80" s="15">
        <v>0</v>
      </c>
      <c r="AQ80" s="189">
        <f t="shared" si="64"/>
        <v>3261.9</v>
      </c>
      <c r="AR80" s="189">
        <f t="shared" si="65"/>
        <v>3334.1199999999994</v>
      </c>
      <c r="AS80" s="189">
        <f t="shared" si="62"/>
        <v>3060.2000000000003</v>
      </c>
      <c r="AT80" s="189">
        <f t="shared" si="66"/>
        <v>5820.8</v>
      </c>
      <c r="AU80" s="50">
        <f t="shared" si="67"/>
        <v>5855.0399999999991</v>
      </c>
    </row>
    <row r="81" spans="36:47">
      <c r="AJ81" s="50">
        <v>2</v>
      </c>
      <c r="AK81" s="50">
        <v>0</v>
      </c>
      <c r="AL81" s="50">
        <v>1</v>
      </c>
      <c r="AM81" s="15">
        <f>Tabela21[[#This Row],[Att subs]]+Tabela21[[#This Row],[Crit D subs]]</f>
        <v>0.4</v>
      </c>
      <c r="AN81" s="15">
        <v>0.4</v>
      </c>
      <c r="AO81" s="15">
        <f t="shared" si="68"/>
        <v>0</v>
      </c>
      <c r="AP81" s="15">
        <v>0.1</v>
      </c>
      <c r="AQ81" s="189">
        <f t="shared" si="64"/>
        <v>3386.4</v>
      </c>
      <c r="AR81" s="189">
        <f t="shared" si="65"/>
        <v>3526.72</v>
      </c>
      <c r="AS81" s="189">
        <f t="shared" si="62"/>
        <v>3167.2</v>
      </c>
      <c r="AT81" s="189">
        <f t="shared" si="66"/>
        <v>6248.8</v>
      </c>
      <c r="AU81" s="50">
        <f t="shared" si="67"/>
        <v>6454.24</v>
      </c>
    </row>
    <row r="82" spans="36:47">
      <c r="AJ82" s="50">
        <v>2</v>
      </c>
      <c r="AK82" s="50">
        <v>0</v>
      </c>
      <c r="AL82" s="50">
        <v>1</v>
      </c>
      <c r="AM82" s="15">
        <f>Tabela21[[#This Row],[Att subs]]+Tabela21[[#This Row],[Crit D subs]]</f>
        <v>0.4</v>
      </c>
      <c r="AN82" s="15">
        <v>0.4</v>
      </c>
      <c r="AO82" s="15">
        <f t="shared" si="68"/>
        <v>0</v>
      </c>
      <c r="AP82" s="15">
        <v>0.2</v>
      </c>
      <c r="AQ82" s="189">
        <f t="shared" si="64"/>
        <v>3510.8999999999996</v>
      </c>
      <c r="AR82" s="189">
        <f t="shared" si="65"/>
        <v>3719.3199999999997</v>
      </c>
      <c r="AS82" s="189">
        <f t="shared" si="62"/>
        <v>3210</v>
      </c>
      <c r="AT82" s="189">
        <f t="shared" si="66"/>
        <v>6420</v>
      </c>
      <c r="AU82" s="50">
        <f t="shared" si="67"/>
        <v>7053.44</v>
      </c>
    </row>
    <row r="83" spans="36:47">
      <c r="AJ83" s="50">
        <v>2</v>
      </c>
      <c r="AK83" s="50">
        <v>0</v>
      </c>
      <c r="AL83" s="50">
        <v>1</v>
      </c>
      <c r="AM83" s="15">
        <f>Tabela21[[#This Row],[Att subs]]+Tabela21[[#This Row],[Crit D subs]]</f>
        <v>0.4</v>
      </c>
      <c r="AN83" s="15">
        <v>0.4</v>
      </c>
      <c r="AO83" s="15">
        <f t="shared" si="68"/>
        <v>0</v>
      </c>
      <c r="AP83" s="15">
        <v>0.3</v>
      </c>
      <c r="AQ83" s="189">
        <f t="shared" si="64"/>
        <v>3635.4000000000005</v>
      </c>
      <c r="AR83" s="189">
        <f t="shared" si="65"/>
        <v>3911.92</v>
      </c>
      <c r="AS83" s="189">
        <f t="shared" si="62"/>
        <v>3210</v>
      </c>
      <c r="AT83" s="189">
        <f t="shared" si="66"/>
        <v>6420</v>
      </c>
      <c r="AU83" s="50">
        <f t="shared" si="67"/>
        <v>7652.64</v>
      </c>
    </row>
    <row r="84" spans="36:47">
      <c r="AJ84" s="50">
        <v>2</v>
      </c>
      <c r="AK84" s="50">
        <v>0</v>
      </c>
      <c r="AL84" s="50">
        <v>1</v>
      </c>
      <c r="AM84" s="15">
        <f>Tabela21[[#This Row],[Att subs]]+Tabela21[[#This Row],[Crit D subs]]</f>
        <v>0.4</v>
      </c>
      <c r="AN84" s="15">
        <v>0.4</v>
      </c>
      <c r="AO84" s="15">
        <f t="shared" si="68"/>
        <v>0</v>
      </c>
      <c r="AP84" s="15">
        <v>0.4</v>
      </c>
      <c r="AQ84" s="189">
        <f t="shared" si="64"/>
        <v>3735</v>
      </c>
      <c r="AR84" s="189">
        <f t="shared" si="65"/>
        <v>4066</v>
      </c>
      <c r="AS84" s="189">
        <f t="shared" si="62"/>
        <v>3210</v>
      </c>
      <c r="AT84" s="189">
        <f t="shared" si="66"/>
        <v>6420</v>
      </c>
      <c r="AU84" s="50">
        <f t="shared" si="67"/>
        <v>8132</v>
      </c>
    </row>
    <row r="85" spans="36:47">
      <c r="AJ85" s="50">
        <v>2</v>
      </c>
      <c r="AK85" s="50">
        <v>0</v>
      </c>
      <c r="AL85" s="50">
        <v>1</v>
      </c>
      <c r="AM85" s="15">
        <f>Tabela21[[#This Row],[Att subs]]+Tabela21[[#This Row],[Crit D subs]]</f>
        <v>0.4</v>
      </c>
      <c r="AN85" s="15">
        <v>0.4</v>
      </c>
      <c r="AO85" s="15">
        <f t="shared" si="68"/>
        <v>0</v>
      </c>
      <c r="AP85" s="15">
        <v>0.5</v>
      </c>
      <c r="AQ85" s="189">
        <f t="shared" si="64"/>
        <v>3735</v>
      </c>
      <c r="AR85" s="189">
        <f t="shared" si="65"/>
        <v>4066</v>
      </c>
      <c r="AS85" s="189">
        <f t="shared" si="62"/>
        <v>3210</v>
      </c>
      <c r="AT85" s="189">
        <f t="shared" si="66"/>
        <v>6420</v>
      </c>
      <c r="AU85" s="50">
        <f t="shared" si="67"/>
        <v>8132</v>
      </c>
    </row>
    <row r="86" spans="36:47">
      <c r="AJ86" s="50">
        <v>2</v>
      </c>
      <c r="AK86" s="50">
        <v>0</v>
      </c>
      <c r="AL86" s="50">
        <v>1</v>
      </c>
      <c r="AM86" s="15">
        <f>Tabela21[[#This Row],[Att subs]]+Tabela21[[#This Row],[Crit D subs]]</f>
        <v>0.4</v>
      </c>
      <c r="AN86" s="15">
        <v>0.4</v>
      </c>
      <c r="AO86" s="15">
        <f t="shared" si="68"/>
        <v>0</v>
      </c>
      <c r="AP86" s="15">
        <v>0.6</v>
      </c>
      <c r="AQ86" s="189">
        <f t="shared" si="64"/>
        <v>3735</v>
      </c>
      <c r="AR86" s="189">
        <f t="shared" si="65"/>
        <v>4066</v>
      </c>
      <c r="AS86" s="189">
        <f t="shared" si="62"/>
        <v>3210</v>
      </c>
      <c r="AT86" s="189">
        <f t="shared" si="66"/>
        <v>6420</v>
      </c>
      <c r="AU86" s="50">
        <f t="shared" si="67"/>
        <v>8132</v>
      </c>
    </row>
    <row r="87" spans="36:47">
      <c r="AJ87" s="50">
        <v>2</v>
      </c>
      <c r="AK87" s="50">
        <v>0</v>
      </c>
      <c r="AL87" s="50">
        <v>1</v>
      </c>
      <c r="AM87" s="15">
        <f>Tabela21[[#This Row],[Att subs]]+Tabela21[[#This Row],[Crit D subs]]</f>
        <v>0.4</v>
      </c>
      <c r="AN87" s="15">
        <v>0.4</v>
      </c>
      <c r="AO87" s="15">
        <f t="shared" si="68"/>
        <v>0</v>
      </c>
      <c r="AP87" s="15">
        <v>0.7</v>
      </c>
      <c r="AQ87" s="189">
        <f t="shared" si="64"/>
        <v>3735</v>
      </c>
      <c r="AR87" s="189">
        <f t="shared" si="65"/>
        <v>4066</v>
      </c>
      <c r="AS87" s="189">
        <f t="shared" si="62"/>
        <v>3210</v>
      </c>
      <c r="AT87" s="189">
        <f t="shared" si="66"/>
        <v>6420</v>
      </c>
      <c r="AU87" s="50">
        <f t="shared" si="67"/>
        <v>8132</v>
      </c>
    </row>
    <row r="88" spans="36:47">
      <c r="AJ88" s="50">
        <v>2</v>
      </c>
      <c r="AK88" s="50">
        <v>0</v>
      </c>
      <c r="AL88" s="50">
        <v>1</v>
      </c>
      <c r="AM88" s="15">
        <f>Tabela21[[#This Row],[Att subs]]+Tabela21[[#This Row],[Crit D subs]]</f>
        <v>0.4</v>
      </c>
      <c r="AN88" s="15">
        <v>0.4</v>
      </c>
      <c r="AO88" s="15">
        <f t="shared" si="68"/>
        <v>0</v>
      </c>
      <c r="AP88" s="15">
        <v>0.8</v>
      </c>
      <c r="AQ88" s="189">
        <f t="shared" si="64"/>
        <v>3735</v>
      </c>
      <c r="AR88" s="189">
        <f t="shared" si="65"/>
        <v>4066</v>
      </c>
      <c r="AS88" s="189">
        <f t="shared" si="62"/>
        <v>3210</v>
      </c>
      <c r="AT88" s="189">
        <f t="shared" si="66"/>
        <v>6420</v>
      </c>
      <c r="AU88" s="50">
        <f t="shared" si="67"/>
        <v>8132</v>
      </c>
    </row>
    <row r="89" spans="36:47">
      <c r="AJ89" s="50">
        <v>2</v>
      </c>
      <c r="AK89" s="50">
        <v>0</v>
      </c>
      <c r="AL89" s="50">
        <v>1</v>
      </c>
      <c r="AM89" s="15">
        <f>Tabela21[[#This Row],[Att subs]]+Tabela21[[#This Row],[Crit D subs]]</f>
        <v>0.4</v>
      </c>
      <c r="AN89" s="15">
        <v>0.4</v>
      </c>
      <c r="AO89" s="15">
        <f t="shared" si="68"/>
        <v>0</v>
      </c>
      <c r="AP89" s="15">
        <v>0.9</v>
      </c>
      <c r="AQ89" s="189">
        <f t="shared" si="64"/>
        <v>3735</v>
      </c>
      <c r="AR89" s="189">
        <f t="shared" si="65"/>
        <v>4066</v>
      </c>
      <c r="AS89" s="189">
        <f t="shared" si="62"/>
        <v>3210</v>
      </c>
      <c r="AT89" s="189">
        <f t="shared" si="66"/>
        <v>6420</v>
      </c>
      <c r="AU89" s="50">
        <f t="shared" si="67"/>
        <v>8132</v>
      </c>
    </row>
    <row r="90" spans="36:47">
      <c r="AJ90" s="50">
        <v>2</v>
      </c>
      <c r="AK90" s="50">
        <v>0</v>
      </c>
      <c r="AL90" s="50">
        <v>1</v>
      </c>
      <c r="AM90" s="15">
        <f>Tabela21[[#This Row],[Att subs]]+Tabela21[[#This Row],[Crit D subs]]</f>
        <v>0.4</v>
      </c>
      <c r="AN90" s="15">
        <v>0.4</v>
      </c>
      <c r="AO90" s="15">
        <f t="shared" si="68"/>
        <v>0</v>
      </c>
      <c r="AP90" s="15">
        <v>1</v>
      </c>
      <c r="AQ90" s="189">
        <f t="shared" si="64"/>
        <v>3735</v>
      </c>
      <c r="AR90" s="189">
        <f t="shared" si="65"/>
        <v>4066</v>
      </c>
      <c r="AS90" s="189">
        <f t="shared" si="62"/>
        <v>3210</v>
      </c>
      <c r="AT90" s="189">
        <f t="shared" si="66"/>
        <v>6420</v>
      </c>
      <c r="AU90" s="50">
        <f t="shared" si="67"/>
        <v>8132</v>
      </c>
    </row>
    <row r="91" spans="36:47">
      <c r="AJ91" s="50">
        <v>3</v>
      </c>
      <c r="AK91" s="50">
        <v>0</v>
      </c>
      <c r="AL91" s="50">
        <v>0</v>
      </c>
      <c r="AM91" s="15">
        <f>Tabela21[[#This Row],[Att subs]]+Tabela21[[#This Row],[Crit D subs]]</f>
        <v>0.4</v>
      </c>
      <c r="AN91" s="15">
        <v>0.4</v>
      </c>
      <c r="AO91" s="15">
        <f t="shared" si="68"/>
        <v>0</v>
      </c>
      <c r="AP91" s="15">
        <v>0</v>
      </c>
      <c r="AQ91" s="189">
        <f t="shared" si="64"/>
        <v>3246.1</v>
      </c>
      <c r="AR91" s="189">
        <f t="shared" si="65"/>
        <v>3119.93</v>
      </c>
      <c r="AS91" s="189">
        <f t="shared" si="62"/>
        <v>3150.0499999999997</v>
      </c>
      <c r="AT91" s="189">
        <f t="shared" si="66"/>
        <v>5070.2</v>
      </c>
      <c r="AU91" s="50">
        <f t="shared" si="67"/>
        <v>4407.5600000000004</v>
      </c>
    </row>
    <row r="92" spans="36:47">
      <c r="AJ92" s="50">
        <v>3</v>
      </c>
      <c r="AK92" s="50">
        <v>0</v>
      </c>
      <c r="AL92" s="50">
        <v>0</v>
      </c>
      <c r="AM92" s="15">
        <f>Tabela21[[#This Row],[Att subs]]+Tabela21[[#This Row],[Crit D subs]]</f>
        <v>0.4</v>
      </c>
      <c r="AN92" s="15">
        <v>0.4</v>
      </c>
      <c r="AO92" s="15">
        <f t="shared" si="68"/>
        <v>0</v>
      </c>
      <c r="AP92" s="15">
        <v>0.1</v>
      </c>
      <c r="AQ92" s="189">
        <f t="shared" si="64"/>
        <v>3389.1000000000004</v>
      </c>
      <c r="AR92" s="189">
        <f t="shared" si="65"/>
        <v>3345.83</v>
      </c>
      <c r="AS92" s="189">
        <f t="shared" si="62"/>
        <v>3275.55</v>
      </c>
      <c r="AT92" s="189">
        <f t="shared" si="66"/>
        <v>5572.2000000000007</v>
      </c>
      <c r="AU92" s="50">
        <f t="shared" si="67"/>
        <v>5110.3599999999997</v>
      </c>
    </row>
    <row r="93" spans="36:47">
      <c r="AJ93" s="50">
        <v>3</v>
      </c>
      <c r="AK93" s="50">
        <v>0</v>
      </c>
      <c r="AL93" s="50">
        <v>0</v>
      </c>
      <c r="AM93" s="15">
        <f>Tabela21[[#This Row],[Att subs]]+Tabela21[[#This Row],[Crit D subs]]</f>
        <v>0.4</v>
      </c>
      <c r="AN93" s="15">
        <v>0.4</v>
      </c>
      <c r="AO93" s="15">
        <f t="shared" si="68"/>
        <v>0</v>
      </c>
      <c r="AP93" s="15">
        <v>0.2</v>
      </c>
      <c r="AQ93" s="189">
        <f t="shared" si="64"/>
        <v>3532.0999999999995</v>
      </c>
      <c r="AR93" s="189">
        <f t="shared" si="65"/>
        <v>3571.7299999999996</v>
      </c>
      <c r="AS93" s="189">
        <f t="shared" si="62"/>
        <v>3401.05</v>
      </c>
      <c r="AT93" s="189">
        <f t="shared" si="66"/>
        <v>6074.2</v>
      </c>
      <c r="AU93" s="50">
        <f t="shared" si="67"/>
        <v>5813.16</v>
      </c>
    </row>
    <row r="94" spans="36:47">
      <c r="AJ94" s="50">
        <v>3</v>
      </c>
      <c r="AK94" s="50">
        <v>0</v>
      </c>
      <c r="AL94" s="50">
        <v>0</v>
      </c>
      <c r="AM94" s="15">
        <f>Tabela21[[#This Row],[Att subs]]+Tabela21[[#This Row],[Crit D subs]]</f>
        <v>0.4</v>
      </c>
      <c r="AN94" s="15">
        <v>0.4</v>
      </c>
      <c r="AO94" s="15">
        <f t="shared" si="68"/>
        <v>0</v>
      </c>
      <c r="AP94" s="15">
        <v>0.3</v>
      </c>
      <c r="AQ94" s="189">
        <f t="shared" si="64"/>
        <v>3675.1000000000004</v>
      </c>
      <c r="AR94" s="189">
        <f t="shared" si="65"/>
        <v>3797.6299999999997</v>
      </c>
      <c r="AS94" s="189">
        <f t="shared" si="62"/>
        <v>3526.5499999999997</v>
      </c>
      <c r="AT94" s="189">
        <f t="shared" si="66"/>
        <v>6576.1999999999989</v>
      </c>
      <c r="AU94" s="50">
        <f t="shared" si="67"/>
        <v>6515.96</v>
      </c>
    </row>
    <row r="95" spans="36:47">
      <c r="AJ95" s="50">
        <v>3</v>
      </c>
      <c r="AK95" s="50">
        <v>0</v>
      </c>
      <c r="AL95" s="50">
        <v>0</v>
      </c>
      <c r="AM95" s="15">
        <f>Tabela21[[#This Row],[Att subs]]+Tabela21[[#This Row],[Crit D subs]]</f>
        <v>0.4</v>
      </c>
      <c r="AN95" s="15">
        <v>0.4</v>
      </c>
      <c r="AO95" s="15">
        <f t="shared" si="68"/>
        <v>0</v>
      </c>
      <c r="AP95" s="15">
        <v>0.4</v>
      </c>
      <c r="AQ95" s="189">
        <f t="shared" si="64"/>
        <v>3818.1</v>
      </c>
      <c r="AR95" s="189">
        <f t="shared" si="65"/>
        <v>4023.5299999999993</v>
      </c>
      <c r="AS95" s="189">
        <f t="shared" si="62"/>
        <v>3652.05</v>
      </c>
      <c r="AT95" s="189">
        <f t="shared" si="66"/>
        <v>7078.2</v>
      </c>
      <c r="AU95" s="50">
        <f t="shared" si="67"/>
        <v>7218.7599999999993</v>
      </c>
    </row>
    <row r="96" spans="36:47">
      <c r="AJ96" s="50">
        <v>3</v>
      </c>
      <c r="AK96" s="50">
        <v>0</v>
      </c>
      <c r="AL96" s="50">
        <v>0</v>
      </c>
      <c r="AM96" s="15">
        <f>Tabela21[[#This Row],[Att subs]]+Tabela21[[#This Row],[Crit D subs]]</f>
        <v>0.4</v>
      </c>
      <c r="AN96" s="15">
        <v>0.4</v>
      </c>
      <c r="AO96" s="15">
        <f t="shared" si="68"/>
        <v>0</v>
      </c>
      <c r="AP96" s="15">
        <v>0.5</v>
      </c>
      <c r="AQ96" s="189">
        <f t="shared" si="64"/>
        <v>3961.1</v>
      </c>
      <c r="AR96" s="189">
        <f t="shared" si="65"/>
        <v>4249.4299999999994</v>
      </c>
      <c r="AS96" s="189">
        <f t="shared" si="62"/>
        <v>3765</v>
      </c>
      <c r="AT96" s="189">
        <f t="shared" si="66"/>
        <v>7530</v>
      </c>
      <c r="AU96" s="50">
        <f t="shared" si="67"/>
        <v>7921.5599999999995</v>
      </c>
    </row>
    <row r="97" spans="36:47">
      <c r="AJ97" s="50">
        <v>3</v>
      </c>
      <c r="AK97" s="50">
        <v>0</v>
      </c>
      <c r="AL97" s="50">
        <v>0</v>
      </c>
      <c r="AM97" s="15">
        <f>Tabela21[[#This Row],[Att subs]]+Tabela21[[#This Row],[Crit D subs]]</f>
        <v>0.4</v>
      </c>
      <c r="AN97" s="15">
        <v>0.4</v>
      </c>
      <c r="AO97" s="15">
        <f t="shared" si="68"/>
        <v>0</v>
      </c>
      <c r="AP97" s="15">
        <v>0.6</v>
      </c>
      <c r="AQ97" s="189">
        <f t="shared" si="64"/>
        <v>4104.1000000000004</v>
      </c>
      <c r="AR97" s="189">
        <f t="shared" si="65"/>
        <v>4475.33</v>
      </c>
      <c r="AS97" s="189">
        <f t="shared" si="62"/>
        <v>3765</v>
      </c>
      <c r="AT97" s="189">
        <f t="shared" si="66"/>
        <v>7530</v>
      </c>
      <c r="AU97" s="50">
        <f t="shared" si="67"/>
        <v>8624.36</v>
      </c>
    </row>
    <row r="98" spans="36:47">
      <c r="AJ98" s="50">
        <v>3</v>
      </c>
      <c r="AK98" s="50">
        <v>0</v>
      </c>
      <c r="AL98" s="50">
        <v>0</v>
      </c>
      <c r="AM98" s="15">
        <f>Tabela21[[#This Row],[Att subs]]+Tabela21[[#This Row],[Crit D subs]]</f>
        <v>0.4</v>
      </c>
      <c r="AN98" s="15">
        <v>0.4</v>
      </c>
      <c r="AO98" s="15">
        <f t="shared" si="68"/>
        <v>0</v>
      </c>
      <c r="AP98" s="15">
        <v>0.7</v>
      </c>
      <c r="AQ98" s="189">
        <f t="shared" si="64"/>
        <v>4247.1000000000004</v>
      </c>
      <c r="AR98" s="189">
        <f t="shared" si="65"/>
        <v>4701.2299999999996</v>
      </c>
      <c r="AS98" s="189">
        <f t="shared" si="62"/>
        <v>3765</v>
      </c>
      <c r="AT98" s="189">
        <f t="shared" si="66"/>
        <v>7530</v>
      </c>
      <c r="AU98" s="50">
        <f t="shared" si="67"/>
        <v>9327.16</v>
      </c>
    </row>
    <row r="99" spans="36:47">
      <c r="AJ99" s="50">
        <v>3</v>
      </c>
      <c r="AK99" s="50">
        <v>0</v>
      </c>
      <c r="AL99" s="50">
        <v>0</v>
      </c>
      <c r="AM99" s="15">
        <f>Tabela21[[#This Row],[Att subs]]+Tabela21[[#This Row],[Crit D subs]]</f>
        <v>0.4</v>
      </c>
      <c r="AN99" s="15">
        <v>0.4</v>
      </c>
      <c r="AO99" s="15">
        <f t="shared" si="68"/>
        <v>0</v>
      </c>
      <c r="AP99" s="15">
        <v>0.8</v>
      </c>
      <c r="AQ99" s="189">
        <f t="shared" si="64"/>
        <v>4290</v>
      </c>
      <c r="AR99" s="189">
        <f t="shared" si="65"/>
        <v>4769</v>
      </c>
      <c r="AS99" s="189">
        <f t="shared" si="62"/>
        <v>3765</v>
      </c>
      <c r="AT99" s="189">
        <f t="shared" si="66"/>
        <v>7530</v>
      </c>
      <c r="AU99" s="50">
        <f t="shared" si="67"/>
        <v>9538</v>
      </c>
    </row>
    <row r="100" spans="36:47">
      <c r="AJ100" s="50">
        <v>3</v>
      </c>
      <c r="AK100" s="50">
        <v>0</v>
      </c>
      <c r="AL100" s="50">
        <v>0</v>
      </c>
      <c r="AM100" s="15">
        <f>Tabela21[[#This Row],[Att subs]]+Tabela21[[#This Row],[Crit D subs]]</f>
        <v>0.4</v>
      </c>
      <c r="AN100" s="15">
        <v>0.4</v>
      </c>
      <c r="AO100" s="15">
        <f t="shared" si="68"/>
        <v>0</v>
      </c>
      <c r="AP100" s="15">
        <v>0.9</v>
      </c>
      <c r="AQ100" s="189">
        <f t="shared" si="64"/>
        <v>4290</v>
      </c>
      <c r="AR100" s="189">
        <f t="shared" si="65"/>
        <v>4769</v>
      </c>
      <c r="AS100" s="189">
        <f t="shared" si="62"/>
        <v>3765</v>
      </c>
      <c r="AT100" s="189">
        <f t="shared" si="66"/>
        <v>7530</v>
      </c>
      <c r="AU100" s="50">
        <f t="shared" si="67"/>
        <v>9538</v>
      </c>
    </row>
    <row r="101" spans="36:47">
      <c r="AJ101" s="50">
        <v>3</v>
      </c>
      <c r="AK101" s="50">
        <v>0</v>
      </c>
      <c r="AL101" s="50">
        <v>0</v>
      </c>
      <c r="AM101" s="15">
        <f>Tabela21[[#This Row],[Att subs]]+Tabela21[[#This Row],[Crit D subs]]</f>
        <v>0.4</v>
      </c>
      <c r="AN101" s="15">
        <v>0.4</v>
      </c>
      <c r="AO101" s="15">
        <f t="shared" si="68"/>
        <v>0</v>
      </c>
      <c r="AP101" s="15">
        <v>1</v>
      </c>
      <c r="AQ101" s="189">
        <f t="shared" si="64"/>
        <v>4290</v>
      </c>
      <c r="AR101" s="189">
        <f t="shared" si="65"/>
        <v>4769</v>
      </c>
      <c r="AS101" s="189">
        <f t="shared" si="62"/>
        <v>3765</v>
      </c>
      <c r="AT101" s="189">
        <f t="shared" si="66"/>
        <v>7530</v>
      </c>
      <c r="AU101" s="50">
        <f t="shared" si="67"/>
        <v>9538</v>
      </c>
    </row>
    <row r="102" spans="36:47">
      <c r="AJ102" s="50">
        <v>2</v>
      </c>
      <c r="AK102" s="50">
        <v>1</v>
      </c>
      <c r="AL102" s="50">
        <v>0</v>
      </c>
      <c r="AM102" s="15">
        <f>Tabela21[[#This Row],[Att subs]]+Tabela21[[#This Row],[Crit D subs]]</f>
        <v>0.6</v>
      </c>
      <c r="AN102" s="15">
        <v>0.6</v>
      </c>
      <c r="AO102" s="15">
        <v>0</v>
      </c>
      <c r="AP102" s="15">
        <v>0</v>
      </c>
      <c r="AQ102" s="189">
        <f t="shared" si="64"/>
        <v>3394.511</v>
      </c>
      <c r="AR102" s="189">
        <f t="shared" si="65"/>
        <v>3205.5659999999998</v>
      </c>
      <c r="AS102" s="189">
        <f t="shared" si="62"/>
        <v>3497.598</v>
      </c>
      <c r="AT102" s="189">
        <f t="shared" si="66"/>
        <v>5848.5959999999995</v>
      </c>
      <c r="AU102" s="50">
        <f t="shared" si="67"/>
        <v>4702.9320000000007</v>
      </c>
    </row>
    <row r="103" spans="36:47">
      <c r="AJ103" s="50">
        <v>2</v>
      </c>
      <c r="AK103" s="50">
        <v>1</v>
      </c>
      <c r="AL103" s="50">
        <v>0</v>
      </c>
      <c r="AM103" s="15">
        <f>Tabela21[[#This Row],[Att subs]]+Tabela21[[#This Row],[Crit D subs]]</f>
        <v>0.6</v>
      </c>
      <c r="AN103" s="15">
        <v>0.6</v>
      </c>
      <c r="AO103" s="15">
        <f>AO102</f>
        <v>0</v>
      </c>
      <c r="AP103" s="15">
        <v>0.1</v>
      </c>
      <c r="AQ103" s="189">
        <f t="shared" si="64"/>
        <v>3655.4409999999998</v>
      </c>
      <c r="AR103" s="189">
        <f t="shared" si="65"/>
        <v>3526.1459999999997</v>
      </c>
      <c r="AS103" s="189">
        <f t="shared" si="62"/>
        <v>3724.578</v>
      </c>
      <c r="AT103" s="189">
        <f t="shared" si="66"/>
        <v>6536.5560000000005</v>
      </c>
      <c r="AU103" s="50">
        <f t="shared" si="67"/>
        <v>5578.0919999999996</v>
      </c>
    </row>
    <row r="104" spans="36:47">
      <c r="AJ104" s="50">
        <v>2</v>
      </c>
      <c r="AK104" s="50">
        <v>1</v>
      </c>
      <c r="AL104" s="50">
        <v>0</v>
      </c>
      <c r="AM104" s="15">
        <f>Tabela21[[#This Row],[Att subs]]+Tabela21[[#This Row],[Crit D subs]]</f>
        <v>0.6</v>
      </c>
      <c r="AN104" s="15">
        <v>0.6</v>
      </c>
      <c r="AO104" s="15">
        <f t="shared" ref="AO104:AO134" si="69">AO103</f>
        <v>0</v>
      </c>
      <c r="AP104" s="15">
        <v>0.2</v>
      </c>
      <c r="AQ104" s="189">
        <f t="shared" si="64"/>
        <v>3916.3709999999992</v>
      </c>
      <c r="AR104" s="189">
        <f t="shared" si="65"/>
        <v>3846.7259999999997</v>
      </c>
      <c r="AS104" s="189">
        <f t="shared" si="62"/>
        <v>3951.5579999999995</v>
      </c>
      <c r="AT104" s="189">
        <f t="shared" si="66"/>
        <v>7224.5159999999996</v>
      </c>
      <c r="AU104" s="50">
        <f t="shared" si="67"/>
        <v>6453.2519999999986</v>
      </c>
    </row>
    <row r="105" spans="36:47">
      <c r="AJ105" s="50">
        <v>2</v>
      </c>
      <c r="AK105" s="50">
        <v>1</v>
      </c>
      <c r="AL105" s="50">
        <v>0</v>
      </c>
      <c r="AM105" s="15">
        <f>Tabela21[[#This Row],[Att subs]]+Tabela21[[#This Row],[Crit D subs]]</f>
        <v>0.6</v>
      </c>
      <c r="AN105" s="15">
        <v>0.6</v>
      </c>
      <c r="AO105" s="15">
        <f t="shared" si="69"/>
        <v>0</v>
      </c>
      <c r="AP105" s="15">
        <v>0.3</v>
      </c>
      <c r="AQ105" s="189">
        <f t="shared" si="64"/>
        <v>4177.3009999999995</v>
      </c>
      <c r="AR105" s="189">
        <f t="shared" si="65"/>
        <v>4167.3059999999996</v>
      </c>
      <c r="AS105" s="189">
        <f t="shared" si="62"/>
        <v>4178.5379999999996</v>
      </c>
      <c r="AT105" s="189">
        <f t="shared" si="66"/>
        <v>7912.4759999999997</v>
      </c>
      <c r="AU105" s="50">
        <f t="shared" si="67"/>
        <v>7328.4120000000003</v>
      </c>
    </row>
    <row r="106" spans="36:47">
      <c r="AJ106" s="50">
        <v>2</v>
      </c>
      <c r="AK106" s="50">
        <v>1</v>
      </c>
      <c r="AL106" s="50">
        <v>0</v>
      </c>
      <c r="AM106" s="15">
        <f>Tabela21[[#This Row],[Att subs]]+Tabela21[[#This Row],[Crit D subs]]</f>
        <v>0.6</v>
      </c>
      <c r="AN106" s="15">
        <v>0.6</v>
      </c>
      <c r="AO106" s="15">
        <f t="shared" si="69"/>
        <v>0</v>
      </c>
      <c r="AP106" s="15">
        <v>0.4</v>
      </c>
      <c r="AQ106" s="189">
        <f t="shared" si="64"/>
        <v>4438.2310000000007</v>
      </c>
      <c r="AR106" s="189">
        <f t="shared" si="65"/>
        <v>4487.8859999999995</v>
      </c>
      <c r="AS106" s="189">
        <f t="shared" si="62"/>
        <v>4405.518</v>
      </c>
      <c r="AT106" s="189">
        <f t="shared" si="66"/>
        <v>8600.4359999999997</v>
      </c>
      <c r="AU106" s="50">
        <f t="shared" si="67"/>
        <v>8203.5720000000001</v>
      </c>
    </row>
    <row r="107" spans="36:47">
      <c r="AJ107" s="50">
        <v>2</v>
      </c>
      <c r="AK107" s="50">
        <v>1</v>
      </c>
      <c r="AL107" s="50">
        <v>0</v>
      </c>
      <c r="AM107" s="15">
        <f>Tabela21[[#This Row],[Att subs]]+Tabela21[[#This Row],[Crit D subs]]</f>
        <v>0.6</v>
      </c>
      <c r="AN107" s="15">
        <v>0.6</v>
      </c>
      <c r="AO107" s="15">
        <f t="shared" si="69"/>
        <v>0</v>
      </c>
      <c r="AP107" s="15">
        <v>0.5</v>
      </c>
      <c r="AQ107" s="189">
        <f t="shared" si="64"/>
        <v>4699.1610000000001</v>
      </c>
      <c r="AR107" s="189">
        <f t="shared" si="65"/>
        <v>4808.4659999999994</v>
      </c>
      <c r="AS107" s="189">
        <f t="shared" si="62"/>
        <v>4609.8</v>
      </c>
      <c r="AT107" s="189">
        <f t="shared" si="66"/>
        <v>9219.6</v>
      </c>
      <c r="AU107" s="50">
        <f t="shared" si="67"/>
        <v>9078.732</v>
      </c>
    </row>
    <row r="108" spans="36:47">
      <c r="AJ108" s="50">
        <v>2</v>
      </c>
      <c r="AK108" s="50">
        <v>1</v>
      </c>
      <c r="AL108" s="50">
        <v>0</v>
      </c>
      <c r="AM108" s="15">
        <f>Tabela21[[#This Row],[Att subs]]+Tabela21[[#This Row],[Crit D subs]]</f>
        <v>0.6</v>
      </c>
      <c r="AN108" s="15">
        <v>0.6</v>
      </c>
      <c r="AO108" s="15">
        <f t="shared" si="69"/>
        <v>0</v>
      </c>
      <c r="AP108" s="15">
        <v>0.6</v>
      </c>
      <c r="AQ108" s="189">
        <f t="shared" si="64"/>
        <v>4960.0910000000003</v>
      </c>
      <c r="AR108" s="189">
        <f t="shared" si="65"/>
        <v>5129.0460000000003</v>
      </c>
      <c r="AS108" s="189">
        <f t="shared" si="62"/>
        <v>4609.8</v>
      </c>
      <c r="AT108" s="189">
        <f t="shared" si="66"/>
        <v>9219.6</v>
      </c>
      <c r="AU108" s="50">
        <f t="shared" si="67"/>
        <v>9953.8919999999998</v>
      </c>
    </row>
    <row r="109" spans="36:47">
      <c r="AJ109" s="50">
        <v>2</v>
      </c>
      <c r="AK109" s="50">
        <v>1</v>
      </c>
      <c r="AL109" s="50">
        <v>0</v>
      </c>
      <c r="AM109" s="15">
        <f>Tabela21[[#This Row],[Att subs]]+Tabela21[[#This Row],[Crit D subs]]</f>
        <v>0.6</v>
      </c>
      <c r="AN109" s="15">
        <v>0.6</v>
      </c>
      <c r="AO109" s="15">
        <f t="shared" si="69"/>
        <v>0</v>
      </c>
      <c r="AP109" s="15">
        <v>0.7</v>
      </c>
      <c r="AQ109" s="189">
        <f t="shared" si="64"/>
        <v>5221.0209999999997</v>
      </c>
      <c r="AR109" s="189">
        <f t="shared" si="65"/>
        <v>5449.6260000000002</v>
      </c>
      <c r="AS109" s="189">
        <f t="shared" si="62"/>
        <v>4609.8</v>
      </c>
      <c r="AT109" s="189">
        <f t="shared" si="66"/>
        <v>9219.6</v>
      </c>
      <c r="AU109" s="50">
        <f t="shared" si="67"/>
        <v>10829.052000000001</v>
      </c>
    </row>
    <row r="110" spans="36:47">
      <c r="AJ110" s="50">
        <v>2</v>
      </c>
      <c r="AK110" s="50">
        <v>1</v>
      </c>
      <c r="AL110" s="50">
        <v>0</v>
      </c>
      <c r="AM110" s="15">
        <f>Tabela21[[#This Row],[Att subs]]+Tabela21[[#This Row],[Crit D subs]]</f>
        <v>0.6</v>
      </c>
      <c r="AN110" s="15">
        <v>0.6</v>
      </c>
      <c r="AO110" s="15">
        <f t="shared" si="69"/>
        <v>0</v>
      </c>
      <c r="AP110" s="15">
        <v>0.8</v>
      </c>
      <c r="AQ110" s="189">
        <f t="shared" si="64"/>
        <v>5299.3</v>
      </c>
      <c r="AR110" s="189">
        <f t="shared" si="65"/>
        <v>5545.8</v>
      </c>
      <c r="AS110" s="189">
        <f t="shared" si="62"/>
        <v>4609.8</v>
      </c>
      <c r="AT110" s="189">
        <f t="shared" si="66"/>
        <v>9219.6</v>
      </c>
      <c r="AU110" s="50">
        <f t="shared" si="67"/>
        <v>11091.6</v>
      </c>
    </row>
    <row r="111" spans="36:47">
      <c r="AJ111" s="50">
        <v>2</v>
      </c>
      <c r="AK111" s="50">
        <v>1</v>
      </c>
      <c r="AL111" s="50">
        <v>0</v>
      </c>
      <c r="AM111" s="15">
        <f>Tabela21[[#This Row],[Att subs]]+Tabela21[[#This Row],[Crit D subs]]</f>
        <v>0.6</v>
      </c>
      <c r="AN111" s="15">
        <v>0.6</v>
      </c>
      <c r="AO111" s="15">
        <f t="shared" si="69"/>
        <v>0</v>
      </c>
      <c r="AP111" s="15">
        <v>0.9</v>
      </c>
      <c r="AQ111" s="189">
        <f t="shared" si="64"/>
        <v>5299.3</v>
      </c>
      <c r="AR111" s="189">
        <f t="shared" si="65"/>
        <v>5545.8</v>
      </c>
      <c r="AS111" s="189">
        <f t="shared" si="62"/>
        <v>4609.8</v>
      </c>
      <c r="AT111" s="189">
        <f t="shared" si="66"/>
        <v>9219.6</v>
      </c>
      <c r="AU111" s="50">
        <f t="shared" si="67"/>
        <v>11091.6</v>
      </c>
    </row>
    <row r="112" spans="36:47">
      <c r="AJ112" s="50">
        <v>2</v>
      </c>
      <c r="AK112" s="50">
        <v>1</v>
      </c>
      <c r="AL112" s="50">
        <v>0</v>
      </c>
      <c r="AM112" s="15">
        <f>Tabela21[[#This Row],[Att subs]]+Tabela21[[#This Row],[Crit D subs]]</f>
        <v>0.6</v>
      </c>
      <c r="AN112" s="15">
        <v>0.6</v>
      </c>
      <c r="AO112" s="15">
        <f t="shared" si="69"/>
        <v>0</v>
      </c>
      <c r="AP112" s="15">
        <v>1</v>
      </c>
      <c r="AQ112" s="189">
        <f t="shared" si="64"/>
        <v>5299.3</v>
      </c>
      <c r="AR112" s="189">
        <f t="shared" si="65"/>
        <v>5545.8</v>
      </c>
      <c r="AS112" s="189">
        <f t="shared" si="62"/>
        <v>4609.8</v>
      </c>
      <c r="AT112" s="189">
        <f t="shared" si="66"/>
        <v>9219.6</v>
      </c>
      <c r="AU112" s="50">
        <f t="shared" si="67"/>
        <v>11091.6</v>
      </c>
    </row>
    <row r="113" spans="36:47">
      <c r="AJ113" s="50">
        <v>2</v>
      </c>
      <c r="AK113" s="50">
        <v>0</v>
      </c>
      <c r="AL113" s="50">
        <v>1</v>
      </c>
      <c r="AM113" s="15">
        <f>Tabela21[[#This Row],[Att subs]]+Tabela21[[#This Row],[Crit D subs]]</f>
        <v>0.6</v>
      </c>
      <c r="AN113" s="15">
        <v>0.6</v>
      </c>
      <c r="AO113" s="15">
        <f t="shared" si="69"/>
        <v>0</v>
      </c>
      <c r="AP113" s="15">
        <v>0</v>
      </c>
      <c r="AQ113" s="189">
        <f t="shared" si="64"/>
        <v>3523.9</v>
      </c>
      <c r="AR113" s="189">
        <f t="shared" si="65"/>
        <v>3645.72</v>
      </c>
      <c r="AS113" s="189">
        <f t="shared" si="62"/>
        <v>3346.2000000000003</v>
      </c>
      <c r="AT113" s="189">
        <f t="shared" si="66"/>
        <v>6364.8</v>
      </c>
      <c r="AU113" s="50">
        <f t="shared" si="67"/>
        <v>6402.24</v>
      </c>
    </row>
    <row r="114" spans="36:47">
      <c r="AJ114" s="50">
        <v>2</v>
      </c>
      <c r="AK114" s="50">
        <v>0</v>
      </c>
      <c r="AL114" s="50">
        <v>1</v>
      </c>
      <c r="AM114" s="15">
        <f>Tabela21[[#This Row],[Att subs]]+Tabela21[[#This Row],[Crit D subs]]</f>
        <v>0.6</v>
      </c>
      <c r="AN114" s="15">
        <v>0.6</v>
      </c>
      <c r="AO114" s="15">
        <f t="shared" si="69"/>
        <v>0</v>
      </c>
      <c r="AP114" s="15">
        <v>0.1</v>
      </c>
      <c r="AQ114" s="189">
        <f t="shared" si="64"/>
        <v>3658.4</v>
      </c>
      <c r="AR114" s="189">
        <f t="shared" si="65"/>
        <v>3856.3199999999997</v>
      </c>
      <c r="AS114" s="189">
        <f t="shared" si="62"/>
        <v>3463.2</v>
      </c>
      <c r="AT114" s="189">
        <f t="shared" si="66"/>
        <v>6832.8</v>
      </c>
      <c r="AU114" s="50">
        <f t="shared" si="67"/>
        <v>7057.44</v>
      </c>
    </row>
    <row r="115" spans="36:47">
      <c r="AJ115" s="50">
        <v>2</v>
      </c>
      <c r="AK115" s="50">
        <v>0</v>
      </c>
      <c r="AL115" s="50">
        <v>1</v>
      </c>
      <c r="AM115" s="15">
        <f>Tabela21[[#This Row],[Att subs]]+Tabela21[[#This Row],[Crit D subs]]</f>
        <v>0.6</v>
      </c>
      <c r="AN115" s="15">
        <v>0.6</v>
      </c>
      <c r="AO115" s="15">
        <f t="shared" si="69"/>
        <v>0</v>
      </c>
      <c r="AP115" s="15">
        <v>0.2</v>
      </c>
      <c r="AQ115" s="189">
        <f t="shared" si="64"/>
        <v>3792.8999999999996</v>
      </c>
      <c r="AR115" s="189">
        <f t="shared" si="65"/>
        <v>4066.9199999999996</v>
      </c>
      <c r="AS115" s="189">
        <f t="shared" si="62"/>
        <v>3510</v>
      </c>
      <c r="AT115" s="189">
        <f t="shared" si="66"/>
        <v>7020</v>
      </c>
      <c r="AU115" s="50">
        <f t="shared" si="67"/>
        <v>7712.6399999999994</v>
      </c>
    </row>
    <row r="116" spans="36:47">
      <c r="AJ116" s="50">
        <v>2</v>
      </c>
      <c r="AK116" s="50">
        <v>0</v>
      </c>
      <c r="AL116" s="50">
        <v>1</v>
      </c>
      <c r="AM116" s="15">
        <f>Tabela21[[#This Row],[Att subs]]+Tabela21[[#This Row],[Crit D subs]]</f>
        <v>0.6</v>
      </c>
      <c r="AN116" s="15">
        <v>0.6</v>
      </c>
      <c r="AO116" s="15">
        <f t="shared" si="69"/>
        <v>0</v>
      </c>
      <c r="AP116" s="15">
        <v>0.3</v>
      </c>
      <c r="AQ116" s="189">
        <f t="shared" si="64"/>
        <v>3927.4000000000005</v>
      </c>
      <c r="AR116" s="189">
        <f t="shared" si="65"/>
        <v>4277.5200000000004</v>
      </c>
      <c r="AS116" s="189">
        <f t="shared" si="62"/>
        <v>3510</v>
      </c>
      <c r="AT116" s="189">
        <f t="shared" si="66"/>
        <v>7020</v>
      </c>
      <c r="AU116" s="50">
        <f t="shared" si="67"/>
        <v>8367.84</v>
      </c>
    </row>
    <row r="117" spans="36:47">
      <c r="AJ117" s="50">
        <v>2</v>
      </c>
      <c r="AK117" s="50">
        <v>0</v>
      </c>
      <c r="AL117" s="50">
        <v>1</v>
      </c>
      <c r="AM117" s="15">
        <f>Tabela21[[#This Row],[Att subs]]+Tabela21[[#This Row],[Crit D subs]]</f>
        <v>0.6</v>
      </c>
      <c r="AN117" s="15">
        <v>0.6</v>
      </c>
      <c r="AO117" s="15">
        <f t="shared" si="69"/>
        <v>0</v>
      </c>
      <c r="AP117" s="15">
        <v>0.4</v>
      </c>
      <c r="AQ117" s="189">
        <f t="shared" si="64"/>
        <v>4035</v>
      </c>
      <c r="AR117" s="189">
        <f t="shared" si="65"/>
        <v>4446</v>
      </c>
      <c r="AS117" s="189">
        <f t="shared" si="62"/>
        <v>3510</v>
      </c>
      <c r="AT117" s="189">
        <f t="shared" si="66"/>
        <v>7020</v>
      </c>
      <c r="AU117" s="50">
        <f t="shared" si="67"/>
        <v>8892</v>
      </c>
    </row>
    <row r="118" spans="36:47">
      <c r="AJ118" s="50">
        <v>2</v>
      </c>
      <c r="AK118" s="50">
        <v>0</v>
      </c>
      <c r="AL118" s="50">
        <v>1</v>
      </c>
      <c r="AM118" s="15">
        <f>Tabela21[[#This Row],[Att subs]]+Tabela21[[#This Row],[Crit D subs]]</f>
        <v>0.6</v>
      </c>
      <c r="AN118" s="15">
        <v>0.6</v>
      </c>
      <c r="AO118" s="15">
        <f t="shared" si="69"/>
        <v>0</v>
      </c>
      <c r="AP118" s="15">
        <v>0.5</v>
      </c>
      <c r="AQ118" s="189">
        <f t="shared" si="64"/>
        <v>4035</v>
      </c>
      <c r="AR118" s="189">
        <f t="shared" si="65"/>
        <v>4446</v>
      </c>
      <c r="AS118" s="189">
        <f t="shared" si="62"/>
        <v>3510</v>
      </c>
      <c r="AT118" s="189">
        <f t="shared" si="66"/>
        <v>7020</v>
      </c>
      <c r="AU118" s="50">
        <f t="shared" si="67"/>
        <v>8892</v>
      </c>
    </row>
    <row r="119" spans="36:47">
      <c r="AJ119" s="50">
        <v>2</v>
      </c>
      <c r="AK119" s="50">
        <v>0</v>
      </c>
      <c r="AL119" s="50">
        <v>1</v>
      </c>
      <c r="AM119" s="15">
        <f>Tabela21[[#This Row],[Att subs]]+Tabela21[[#This Row],[Crit D subs]]</f>
        <v>0.6</v>
      </c>
      <c r="AN119" s="15">
        <v>0.6</v>
      </c>
      <c r="AO119" s="15">
        <f t="shared" si="69"/>
        <v>0</v>
      </c>
      <c r="AP119" s="15">
        <v>0.6</v>
      </c>
      <c r="AQ119" s="189">
        <f t="shared" si="64"/>
        <v>4035</v>
      </c>
      <c r="AR119" s="189">
        <f t="shared" si="65"/>
        <v>4446</v>
      </c>
      <c r="AS119" s="189">
        <f t="shared" si="62"/>
        <v>3510</v>
      </c>
      <c r="AT119" s="189">
        <f t="shared" si="66"/>
        <v>7020</v>
      </c>
      <c r="AU119" s="50">
        <f t="shared" si="67"/>
        <v>8892</v>
      </c>
    </row>
    <row r="120" spans="36:47">
      <c r="AJ120" s="50">
        <v>2</v>
      </c>
      <c r="AK120" s="50">
        <v>0</v>
      </c>
      <c r="AL120" s="50">
        <v>1</v>
      </c>
      <c r="AM120" s="15">
        <f>Tabela21[[#This Row],[Att subs]]+Tabela21[[#This Row],[Crit D subs]]</f>
        <v>0.6</v>
      </c>
      <c r="AN120" s="15">
        <v>0.6</v>
      </c>
      <c r="AO120" s="15">
        <f t="shared" si="69"/>
        <v>0</v>
      </c>
      <c r="AP120" s="15">
        <v>0.7</v>
      </c>
      <c r="AQ120" s="189">
        <f t="shared" si="64"/>
        <v>4035</v>
      </c>
      <c r="AR120" s="189">
        <f t="shared" si="65"/>
        <v>4446</v>
      </c>
      <c r="AS120" s="189">
        <f t="shared" si="62"/>
        <v>3510</v>
      </c>
      <c r="AT120" s="189">
        <f t="shared" si="66"/>
        <v>7020</v>
      </c>
      <c r="AU120" s="50">
        <f t="shared" si="67"/>
        <v>8892</v>
      </c>
    </row>
    <row r="121" spans="36:47">
      <c r="AJ121" s="50">
        <v>2</v>
      </c>
      <c r="AK121" s="50">
        <v>0</v>
      </c>
      <c r="AL121" s="50">
        <v>1</v>
      </c>
      <c r="AM121" s="15">
        <f>Tabela21[[#This Row],[Att subs]]+Tabela21[[#This Row],[Crit D subs]]</f>
        <v>0.6</v>
      </c>
      <c r="AN121" s="15">
        <v>0.6</v>
      </c>
      <c r="AO121" s="15">
        <f t="shared" si="69"/>
        <v>0</v>
      </c>
      <c r="AP121" s="15">
        <v>0.8</v>
      </c>
      <c r="AQ121" s="189">
        <f t="shared" si="64"/>
        <v>4035</v>
      </c>
      <c r="AR121" s="189">
        <f t="shared" si="65"/>
        <v>4446</v>
      </c>
      <c r="AS121" s="189">
        <f t="shared" si="62"/>
        <v>3510</v>
      </c>
      <c r="AT121" s="189">
        <f t="shared" si="66"/>
        <v>7020</v>
      </c>
      <c r="AU121" s="50">
        <f t="shared" si="67"/>
        <v>8892</v>
      </c>
    </row>
    <row r="122" spans="36:47">
      <c r="AJ122" s="50">
        <v>2</v>
      </c>
      <c r="AK122" s="50">
        <v>0</v>
      </c>
      <c r="AL122" s="50">
        <v>1</v>
      </c>
      <c r="AM122" s="15">
        <f>Tabela21[[#This Row],[Att subs]]+Tabela21[[#This Row],[Crit D subs]]</f>
        <v>0.6</v>
      </c>
      <c r="AN122" s="15">
        <v>0.6</v>
      </c>
      <c r="AO122" s="15">
        <f t="shared" si="69"/>
        <v>0</v>
      </c>
      <c r="AP122" s="15">
        <v>0.9</v>
      </c>
      <c r="AQ122" s="189">
        <f t="shared" si="64"/>
        <v>4035</v>
      </c>
      <c r="AR122" s="189">
        <f t="shared" si="65"/>
        <v>4446</v>
      </c>
      <c r="AS122" s="189">
        <f t="shared" si="62"/>
        <v>3510</v>
      </c>
      <c r="AT122" s="189">
        <f t="shared" si="66"/>
        <v>7020</v>
      </c>
      <c r="AU122" s="50">
        <f t="shared" si="67"/>
        <v>8892</v>
      </c>
    </row>
    <row r="123" spans="36:47">
      <c r="AJ123" s="50">
        <v>2</v>
      </c>
      <c r="AK123" s="50">
        <v>0</v>
      </c>
      <c r="AL123" s="50">
        <v>1</v>
      </c>
      <c r="AM123" s="15">
        <f>Tabela21[[#This Row],[Att subs]]+Tabela21[[#This Row],[Crit D subs]]</f>
        <v>0.6</v>
      </c>
      <c r="AN123" s="15">
        <v>0.6</v>
      </c>
      <c r="AO123" s="15">
        <f t="shared" si="69"/>
        <v>0</v>
      </c>
      <c r="AP123" s="15">
        <v>1</v>
      </c>
      <c r="AQ123" s="189">
        <f t="shared" si="64"/>
        <v>4035</v>
      </c>
      <c r="AR123" s="189">
        <f t="shared" si="65"/>
        <v>4446</v>
      </c>
      <c r="AS123" s="189">
        <f t="shared" si="62"/>
        <v>3510</v>
      </c>
      <c r="AT123" s="189">
        <f t="shared" si="66"/>
        <v>7020</v>
      </c>
      <c r="AU123" s="50">
        <f t="shared" si="67"/>
        <v>8892</v>
      </c>
    </row>
    <row r="124" spans="36:47">
      <c r="AJ124" s="50">
        <v>3</v>
      </c>
      <c r="AK124" s="50">
        <v>0</v>
      </c>
      <c r="AL124" s="50">
        <v>0</v>
      </c>
      <c r="AM124" s="15">
        <f>Tabela21[[#This Row],[Att subs]]+Tabela21[[#This Row],[Crit D subs]]</f>
        <v>0.6</v>
      </c>
      <c r="AN124" s="15">
        <v>0.6</v>
      </c>
      <c r="AO124" s="15">
        <f t="shared" si="69"/>
        <v>0</v>
      </c>
      <c r="AP124" s="15">
        <v>0</v>
      </c>
      <c r="AQ124" s="189">
        <f t="shared" si="64"/>
        <v>3473.1</v>
      </c>
      <c r="AR124" s="189">
        <f t="shared" si="65"/>
        <v>3368.5299999999997</v>
      </c>
      <c r="AS124" s="189">
        <f t="shared" si="62"/>
        <v>3401.0499999999997</v>
      </c>
      <c r="AT124" s="189">
        <f t="shared" si="66"/>
        <v>5474.2</v>
      </c>
      <c r="AU124" s="50">
        <f t="shared" si="67"/>
        <v>4758.76</v>
      </c>
    </row>
    <row r="125" spans="36:47">
      <c r="AJ125" s="50">
        <v>3</v>
      </c>
      <c r="AK125" s="50">
        <v>0</v>
      </c>
      <c r="AL125" s="50">
        <v>0</v>
      </c>
      <c r="AM125" s="15">
        <f>Tabela21[[#This Row],[Att subs]]+Tabela21[[#This Row],[Crit D subs]]</f>
        <v>0.6</v>
      </c>
      <c r="AN125" s="15">
        <v>0.6</v>
      </c>
      <c r="AO125" s="15">
        <f t="shared" si="69"/>
        <v>0</v>
      </c>
      <c r="AP125" s="15">
        <v>0.1</v>
      </c>
      <c r="AQ125" s="189">
        <f t="shared" si="64"/>
        <v>3626.1000000000004</v>
      </c>
      <c r="AR125" s="189">
        <f t="shared" si="65"/>
        <v>3612.43</v>
      </c>
      <c r="AS125" s="189">
        <f t="shared" si="62"/>
        <v>3536.5500000000006</v>
      </c>
      <c r="AT125" s="189">
        <f t="shared" si="66"/>
        <v>6016.2000000000007</v>
      </c>
      <c r="AU125" s="50">
        <f t="shared" si="67"/>
        <v>5517.56</v>
      </c>
    </row>
    <row r="126" spans="36:47">
      <c r="AJ126" s="50">
        <v>3</v>
      </c>
      <c r="AK126" s="50">
        <v>0</v>
      </c>
      <c r="AL126" s="50">
        <v>0</v>
      </c>
      <c r="AM126" s="15">
        <f>Tabela21[[#This Row],[Att subs]]+Tabela21[[#This Row],[Crit D subs]]</f>
        <v>0.6</v>
      </c>
      <c r="AN126" s="15">
        <v>0.6</v>
      </c>
      <c r="AO126" s="15">
        <f t="shared" si="69"/>
        <v>0</v>
      </c>
      <c r="AP126" s="15">
        <v>0.2</v>
      </c>
      <c r="AQ126" s="189">
        <f t="shared" si="64"/>
        <v>3779.0999999999995</v>
      </c>
      <c r="AR126" s="189">
        <f t="shared" si="65"/>
        <v>3856.3299999999995</v>
      </c>
      <c r="AS126" s="189">
        <f t="shared" si="62"/>
        <v>3672.0499999999997</v>
      </c>
      <c r="AT126" s="189">
        <f t="shared" si="66"/>
        <v>6558.2</v>
      </c>
      <c r="AU126" s="50">
        <f t="shared" si="67"/>
        <v>6276.36</v>
      </c>
    </row>
    <row r="127" spans="36:47">
      <c r="AJ127" s="50">
        <v>3</v>
      </c>
      <c r="AK127" s="50">
        <v>0</v>
      </c>
      <c r="AL127" s="50">
        <v>0</v>
      </c>
      <c r="AM127" s="15">
        <f>Tabela21[[#This Row],[Att subs]]+Tabela21[[#This Row],[Crit D subs]]</f>
        <v>0.6</v>
      </c>
      <c r="AN127" s="15">
        <v>0.6</v>
      </c>
      <c r="AO127" s="15">
        <f t="shared" si="69"/>
        <v>0</v>
      </c>
      <c r="AP127" s="15">
        <v>0.3</v>
      </c>
      <c r="AQ127" s="189">
        <f t="shared" si="64"/>
        <v>3932.1000000000004</v>
      </c>
      <c r="AR127" s="189">
        <f t="shared" si="65"/>
        <v>4100.2299999999996</v>
      </c>
      <c r="AS127" s="189">
        <f t="shared" si="62"/>
        <v>3807.5499999999993</v>
      </c>
      <c r="AT127" s="189">
        <f t="shared" si="66"/>
        <v>7100.1999999999989</v>
      </c>
      <c r="AU127" s="50">
        <f t="shared" si="67"/>
        <v>7035.16</v>
      </c>
    </row>
    <row r="128" spans="36:47">
      <c r="AJ128" s="50">
        <v>3</v>
      </c>
      <c r="AK128" s="50">
        <v>0</v>
      </c>
      <c r="AL128" s="50">
        <v>0</v>
      </c>
      <c r="AM128" s="15">
        <f>Tabela21[[#This Row],[Att subs]]+Tabela21[[#This Row],[Crit D subs]]</f>
        <v>0.6</v>
      </c>
      <c r="AN128" s="15">
        <v>0.6</v>
      </c>
      <c r="AO128" s="15">
        <f t="shared" si="69"/>
        <v>0</v>
      </c>
      <c r="AP128" s="15">
        <v>0.4</v>
      </c>
      <c r="AQ128" s="189">
        <f t="shared" si="64"/>
        <v>4085.1</v>
      </c>
      <c r="AR128" s="189">
        <f t="shared" si="65"/>
        <v>4344.1299999999992</v>
      </c>
      <c r="AS128" s="189">
        <f t="shared" si="62"/>
        <v>3943.05</v>
      </c>
      <c r="AT128" s="189">
        <f t="shared" si="66"/>
        <v>7642.2</v>
      </c>
      <c r="AU128" s="50">
        <f t="shared" si="67"/>
        <v>7793.96</v>
      </c>
    </row>
    <row r="129" spans="36:47">
      <c r="AJ129" s="50">
        <v>3</v>
      </c>
      <c r="AK129" s="50">
        <v>0</v>
      </c>
      <c r="AL129" s="50">
        <v>0</v>
      </c>
      <c r="AM129" s="15">
        <f>Tabela21[[#This Row],[Att subs]]+Tabela21[[#This Row],[Crit D subs]]</f>
        <v>0.6</v>
      </c>
      <c r="AN129" s="15">
        <v>0.6</v>
      </c>
      <c r="AO129" s="15">
        <f t="shared" si="69"/>
        <v>0</v>
      </c>
      <c r="AP129" s="15">
        <v>0.5</v>
      </c>
      <c r="AQ129" s="189">
        <f t="shared" si="64"/>
        <v>4238.1000000000004</v>
      </c>
      <c r="AR129" s="189">
        <f t="shared" si="65"/>
        <v>4588.03</v>
      </c>
      <c r="AS129" s="189">
        <f t="shared" si="62"/>
        <v>4065</v>
      </c>
      <c r="AT129" s="189">
        <f t="shared" si="66"/>
        <v>8130</v>
      </c>
      <c r="AU129" s="50">
        <f t="shared" si="67"/>
        <v>8552.7599999999984</v>
      </c>
    </row>
    <row r="130" spans="36:47">
      <c r="AJ130" s="50">
        <v>3</v>
      </c>
      <c r="AK130" s="50">
        <v>0</v>
      </c>
      <c r="AL130" s="50">
        <v>0</v>
      </c>
      <c r="AM130" s="15">
        <f>Tabela21[[#This Row],[Att subs]]+Tabela21[[#This Row],[Crit D subs]]</f>
        <v>0.6</v>
      </c>
      <c r="AN130" s="15">
        <v>0.6</v>
      </c>
      <c r="AO130" s="15">
        <f t="shared" si="69"/>
        <v>0</v>
      </c>
      <c r="AP130" s="15">
        <v>0.6</v>
      </c>
      <c r="AQ130" s="189">
        <f t="shared" si="64"/>
        <v>4391.1000000000004</v>
      </c>
      <c r="AR130" s="189">
        <f t="shared" si="65"/>
        <v>4831.9299999999994</v>
      </c>
      <c r="AS130" s="189">
        <f t="shared" si="62"/>
        <v>4065</v>
      </c>
      <c r="AT130" s="189">
        <f t="shared" si="66"/>
        <v>8130</v>
      </c>
      <c r="AU130" s="50">
        <f t="shared" si="67"/>
        <v>9311.56</v>
      </c>
    </row>
    <row r="131" spans="36:47">
      <c r="AJ131" s="50">
        <v>3</v>
      </c>
      <c r="AK131" s="50">
        <v>0</v>
      </c>
      <c r="AL131" s="50">
        <v>0</v>
      </c>
      <c r="AM131" s="15">
        <f>Tabela21[[#This Row],[Att subs]]+Tabela21[[#This Row],[Crit D subs]]</f>
        <v>0.6</v>
      </c>
      <c r="AN131" s="15">
        <v>0.6</v>
      </c>
      <c r="AO131" s="15">
        <f t="shared" si="69"/>
        <v>0</v>
      </c>
      <c r="AP131" s="15">
        <v>0.7</v>
      </c>
      <c r="AQ131" s="189">
        <f t="shared" si="64"/>
        <v>4544.1000000000004</v>
      </c>
      <c r="AR131" s="189">
        <f t="shared" si="65"/>
        <v>5075.83</v>
      </c>
      <c r="AS131" s="189">
        <f t="shared" ref="AS131:AS194" si="70">$AG$3*(1+$AJ131*$Y$2+$AN131)*(MAXA(1-$AI$3-$AL131*$AA$3-$AP131-0.36,0)+MINA($AI$3+$AL131*$AA$3+$AP131+0.36,1)*(1+$AH$3+$AO131+$AK131*$Z$4))</f>
        <v>4065</v>
      </c>
      <c r="AT131" s="189">
        <f t="shared" ref="AT131:AT194" si="71">$AG$3*(1+$AJ131*$Y$2+$AN131)*(MAXA(1-$AI$3-$AL131*$AA$3-$AP131-0.36,0)+2*MINA($AI$3+$AL131*$AA$3+$AP131+0.36,1)*(1+$AH$3+$AO131+$AK131*$Z$4))</f>
        <v>8130</v>
      </c>
      <c r="AU131" s="50">
        <f t="shared" ref="AU131:AU194" si="72">$AG$3*(1+$AJ131*$Y$2+$AN131)*(MAXA(1-$AI$3-$AL131*$AA$3-$AP131-0.12,0)+2*MINA($AI$3+$AL131*$AA$3+$AP131+0.12,1)*(1+$AH$3+$AO131+$AK131*$Z$4+0.4))</f>
        <v>10070.36</v>
      </c>
    </row>
    <row r="132" spans="36:47">
      <c r="AJ132" s="50">
        <v>3</v>
      </c>
      <c r="AK132" s="50">
        <v>0</v>
      </c>
      <c r="AL132" s="50">
        <v>0</v>
      </c>
      <c r="AM132" s="15">
        <f>Tabela21[[#This Row],[Att subs]]+Tabela21[[#This Row],[Crit D subs]]</f>
        <v>0.6</v>
      </c>
      <c r="AN132" s="15">
        <v>0.6</v>
      </c>
      <c r="AO132" s="15">
        <f t="shared" si="69"/>
        <v>0</v>
      </c>
      <c r="AP132" s="15">
        <v>0.8</v>
      </c>
      <c r="AQ132" s="189">
        <f t="shared" ref="AQ132:AQ195" si="73">$AG$3*(1+$AJ132*$Y$2+$AN132+0.35)*(MAXA(1-$AI$3-$AL132*$AA$3-$AP132-0.12,0)+MINA($AI$3+$AL132*$AA$3+$AP132+0.12,1)*(1+$AH$3+$AO132+$AK132*$Z$4))</f>
        <v>4590</v>
      </c>
      <c r="AR132" s="189">
        <f t="shared" ref="AR132:AR195" si="74">$AG$3*(1+$AJ132*$Y$2+$AN132)*(MAXA(1-$AI$3-$AL132*$AA$3-$AP132-0.12,0)+MINA($AI$3+$AL132*$AA$3+$AP132+0.12,1)*(1+$AH$3+$AO132+$AK132*$Z$4+0.4))</f>
        <v>5149</v>
      </c>
      <c r="AS132" s="189">
        <f t="shared" si="70"/>
        <v>4065</v>
      </c>
      <c r="AT132" s="189">
        <f t="shared" si="71"/>
        <v>8130</v>
      </c>
      <c r="AU132" s="50">
        <f t="shared" si="72"/>
        <v>10298</v>
      </c>
    </row>
    <row r="133" spans="36:47">
      <c r="AJ133" s="50">
        <v>3</v>
      </c>
      <c r="AK133" s="50">
        <v>0</v>
      </c>
      <c r="AL133" s="50">
        <v>0</v>
      </c>
      <c r="AM133" s="15">
        <f>Tabela21[[#This Row],[Att subs]]+Tabela21[[#This Row],[Crit D subs]]</f>
        <v>0.6</v>
      </c>
      <c r="AN133" s="15">
        <v>0.6</v>
      </c>
      <c r="AO133" s="15">
        <f t="shared" si="69"/>
        <v>0</v>
      </c>
      <c r="AP133" s="15">
        <v>0.9</v>
      </c>
      <c r="AQ133" s="189">
        <f t="shared" si="73"/>
        <v>4590</v>
      </c>
      <c r="AR133" s="189">
        <f t="shared" si="74"/>
        <v>5149</v>
      </c>
      <c r="AS133" s="189">
        <f t="shared" si="70"/>
        <v>4065</v>
      </c>
      <c r="AT133" s="189">
        <f t="shared" si="71"/>
        <v>8130</v>
      </c>
      <c r="AU133" s="50">
        <f t="shared" si="72"/>
        <v>10298</v>
      </c>
    </row>
    <row r="134" spans="36:47">
      <c r="AJ134" s="50">
        <v>3</v>
      </c>
      <c r="AK134" s="50">
        <v>0</v>
      </c>
      <c r="AL134" s="50">
        <v>0</v>
      </c>
      <c r="AM134" s="15">
        <f>Tabela21[[#This Row],[Att subs]]+Tabela21[[#This Row],[Crit D subs]]</f>
        <v>0.6</v>
      </c>
      <c r="AN134" s="15">
        <v>0.6</v>
      </c>
      <c r="AO134" s="15">
        <f t="shared" si="69"/>
        <v>0</v>
      </c>
      <c r="AP134" s="15">
        <v>1</v>
      </c>
      <c r="AQ134" s="189">
        <f t="shared" si="73"/>
        <v>4590</v>
      </c>
      <c r="AR134" s="189">
        <f t="shared" si="74"/>
        <v>5149</v>
      </c>
      <c r="AS134" s="189">
        <f t="shared" si="70"/>
        <v>4065</v>
      </c>
      <c r="AT134" s="189">
        <f t="shared" si="71"/>
        <v>8130</v>
      </c>
      <c r="AU134" s="50">
        <f t="shared" si="72"/>
        <v>10298</v>
      </c>
    </row>
    <row r="135" spans="36:47">
      <c r="AJ135" s="50">
        <v>2</v>
      </c>
      <c r="AK135" s="50">
        <v>1</v>
      </c>
      <c r="AL135" s="50">
        <v>0</v>
      </c>
      <c r="AM135" s="15">
        <f>Tabela21[[#This Row],[Att subs]]+Tabela21[[#This Row],[Crit D subs]]</f>
        <v>0.8</v>
      </c>
      <c r="AN135" s="15">
        <v>0.8</v>
      </c>
      <c r="AO135" s="15">
        <v>0</v>
      </c>
      <c r="AP135" s="15">
        <v>0</v>
      </c>
      <c r="AQ135" s="189">
        <f>$AG$3*(1+$AJ135*$Y$2+$AN135+0.35)*(MAXA(1-$AI$3-$AL135*$AA$3-$AP135-0.12,0)+MINA($AI$3+$AL135*$AA$3+$AP135+0.12,1)*(1+$AH$3+$AO135+$AK135*$Z$4))</f>
        <v>3646.8910000000001</v>
      </c>
      <c r="AR135" s="189">
        <f t="shared" si="74"/>
        <v>3479.5459999999998</v>
      </c>
      <c r="AS135" s="189">
        <f t="shared" si="70"/>
        <v>3796.538</v>
      </c>
      <c r="AT135" s="189">
        <f t="shared" si="71"/>
        <v>6348.4759999999987</v>
      </c>
      <c r="AU135" s="50">
        <f t="shared" si="72"/>
        <v>5104.8920000000007</v>
      </c>
    </row>
    <row r="136" spans="36:47">
      <c r="AJ136" s="50">
        <v>2</v>
      </c>
      <c r="AK136" s="50">
        <v>1</v>
      </c>
      <c r="AL136" s="50">
        <v>0</v>
      </c>
      <c r="AM136" s="15">
        <f>Tabela21[[#This Row],[Att subs]]+Tabela21[[#This Row],[Crit D subs]]</f>
        <v>0.8</v>
      </c>
      <c r="AN136" s="15">
        <v>0.8</v>
      </c>
      <c r="AO136" s="15">
        <f>AO135</f>
        <v>0</v>
      </c>
      <c r="AP136" s="15">
        <v>0.1</v>
      </c>
      <c r="AQ136" s="189">
        <f t="shared" si="73"/>
        <v>3927.221</v>
      </c>
      <c r="AR136" s="189">
        <f t="shared" si="74"/>
        <v>3827.5259999999998</v>
      </c>
      <c r="AS136" s="189">
        <f t="shared" si="70"/>
        <v>4042.9179999999997</v>
      </c>
      <c r="AT136" s="189">
        <f t="shared" si="71"/>
        <v>7095.2359999999999</v>
      </c>
      <c r="AU136" s="50">
        <f t="shared" si="72"/>
        <v>6054.8519999999999</v>
      </c>
    </row>
    <row r="137" spans="36:47">
      <c r="AJ137" s="50">
        <v>2</v>
      </c>
      <c r="AK137" s="50">
        <v>1</v>
      </c>
      <c r="AL137" s="50">
        <v>0</v>
      </c>
      <c r="AM137" s="15">
        <f>Tabela21[[#This Row],[Att subs]]+Tabela21[[#This Row],[Crit D subs]]</f>
        <v>0.8</v>
      </c>
      <c r="AN137" s="15">
        <v>0.8</v>
      </c>
      <c r="AO137" s="15">
        <f t="shared" ref="AO137:AO167" si="75">AO136</f>
        <v>0</v>
      </c>
      <c r="AP137" s="15">
        <v>0.2</v>
      </c>
      <c r="AQ137" s="189">
        <f t="shared" si="73"/>
        <v>4207.5509999999995</v>
      </c>
      <c r="AR137" s="189">
        <f t="shared" si="74"/>
        <v>4175.5059999999994</v>
      </c>
      <c r="AS137" s="189">
        <f t="shared" si="70"/>
        <v>4289.2979999999998</v>
      </c>
      <c r="AT137" s="189">
        <f t="shared" si="71"/>
        <v>7841.9959999999992</v>
      </c>
      <c r="AU137" s="50">
        <f t="shared" si="72"/>
        <v>7004.811999999999</v>
      </c>
    </row>
    <row r="138" spans="36:47">
      <c r="AJ138" s="50">
        <v>2</v>
      </c>
      <c r="AK138" s="50">
        <v>1</v>
      </c>
      <c r="AL138" s="50">
        <v>0</v>
      </c>
      <c r="AM138" s="15">
        <f>Tabela21[[#This Row],[Att subs]]+Tabela21[[#This Row],[Crit D subs]]</f>
        <v>0.8</v>
      </c>
      <c r="AN138" s="15">
        <v>0.8</v>
      </c>
      <c r="AO138" s="15">
        <f t="shared" si="75"/>
        <v>0</v>
      </c>
      <c r="AP138" s="15">
        <v>0.3</v>
      </c>
      <c r="AQ138" s="189">
        <f t="shared" si="73"/>
        <v>4487.8809999999994</v>
      </c>
      <c r="AR138" s="189">
        <f t="shared" si="74"/>
        <v>4523.4859999999999</v>
      </c>
      <c r="AS138" s="189">
        <f t="shared" si="70"/>
        <v>4535.6779999999999</v>
      </c>
      <c r="AT138" s="189">
        <f t="shared" si="71"/>
        <v>8588.7559999999994</v>
      </c>
      <c r="AU138" s="50">
        <f t="shared" si="72"/>
        <v>7954.7719999999999</v>
      </c>
    </row>
    <row r="139" spans="36:47">
      <c r="AJ139" s="50">
        <v>2</v>
      </c>
      <c r="AK139" s="50">
        <v>1</v>
      </c>
      <c r="AL139" s="50">
        <v>0</v>
      </c>
      <c r="AM139" s="15">
        <f>Tabela21[[#This Row],[Att subs]]+Tabela21[[#This Row],[Crit D subs]]</f>
        <v>0.8</v>
      </c>
      <c r="AN139" s="15">
        <v>0.8</v>
      </c>
      <c r="AO139" s="15">
        <f t="shared" si="75"/>
        <v>0</v>
      </c>
      <c r="AP139" s="15">
        <v>0.4</v>
      </c>
      <c r="AQ139" s="189">
        <f t="shared" si="73"/>
        <v>4768.2110000000002</v>
      </c>
      <c r="AR139" s="189">
        <f t="shared" si="74"/>
        <v>4871.4659999999994</v>
      </c>
      <c r="AS139" s="189">
        <f t="shared" si="70"/>
        <v>4782.0579999999991</v>
      </c>
      <c r="AT139" s="189">
        <f t="shared" si="71"/>
        <v>9335.5159999999996</v>
      </c>
      <c r="AU139" s="50">
        <f t="shared" si="72"/>
        <v>8904.732</v>
      </c>
    </row>
    <row r="140" spans="36:47">
      <c r="AJ140" s="50">
        <v>2</v>
      </c>
      <c r="AK140" s="50">
        <v>1</v>
      </c>
      <c r="AL140" s="50">
        <v>0</v>
      </c>
      <c r="AM140" s="15">
        <f>Tabela21[[#This Row],[Att subs]]+Tabela21[[#This Row],[Crit D subs]]</f>
        <v>0.8</v>
      </c>
      <c r="AN140" s="15">
        <v>0.8</v>
      </c>
      <c r="AO140" s="15">
        <f t="shared" si="75"/>
        <v>0</v>
      </c>
      <c r="AP140" s="15">
        <v>0.5</v>
      </c>
      <c r="AQ140" s="189">
        <f t="shared" si="73"/>
        <v>5048.5409999999993</v>
      </c>
      <c r="AR140" s="189">
        <f t="shared" si="74"/>
        <v>5219.4459999999999</v>
      </c>
      <c r="AS140" s="189">
        <f t="shared" si="70"/>
        <v>5003.8</v>
      </c>
      <c r="AT140" s="189">
        <f t="shared" si="71"/>
        <v>10007.6</v>
      </c>
      <c r="AU140" s="50">
        <f t="shared" si="72"/>
        <v>9854.6920000000009</v>
      </c>
    </row>
    <row r="141" spans="36:47">
      <c r="AJ141" s="50">
        <v>2</v>
      </c>
      <c r="AK141" s="50">
        <v>1</v>
      </c>
      <c r="AL141" s="50">
        <v>0</v>
      </c>
      <c r="AM141" s="15">
        <f>Tabela21[[#This Row],[Att subs]]+Tabela21[[#This Row],[Crit D subs]]</f>
        <v>0.8</v>
      </c>
      <c r="AN141" s="15">
        <v>0.8</v>
      </c>
      <c r="AO141" s="15">
        <f t="shared" si="75"/>
        <v>0</v>
      </c>
      <c r="AP141" s="15">
        <v>0.6</v>
      </c>
      <c r="AQ141" s="189">
        <f t="shared" si="73"/>
        <v>5328.8710000000001</v>
      </c>
      <c r="AR141" s="189">
        <f t="shared" si="74"/>
        <v>5567.4259999999995</v>
      </c>
      <c r="AS141" s="189">
        <f t="shared" si="70"/>
        <v>5003.8</v>
      </c>
      <c r="AT141" s="189">
        <f t="shared" si="71"/>
        <v>10007.6</v>
      </c>
      <c r="AU141" s="50">
        <f t="shared" si="72"/>
        <v>10804.652</v>
      </c>
    </row>
    <row r="142" spans="36:47">
      <c r="AJ142" s="50">
        <v>2</v>
      </c>
      <c r="AK142" s="50">
        <v>1</v>
      </c>
      <c r="AL142" s="50">
        <v>0</v>
      </c>
      <c r="AM142" s="15">
        <f>Tabela21[[#This Row],[Att subs]]+Tabela21[[#This Row],[Crit D subs]]</f>
        <v>0.8</v>
      </c>
      <c r="AN142" s="15">
        <v>0.8</v>
      </c>
      <c r="AO142" s="15">
        <f t="shared" si="75"/>
        <v>0</v>
      </c>
      <c r="AP142" s="15">
        <v>0.7</v>
      </c>
      <c r="AQ142" s="189">
        <f t="shared" si="73"/>
        <v>5609.2009999999991</v>
      </c>
      <c r="AR142" s="189">
        <f t="shared" si="74"/>
        <v>5915.4059999999999</v>
      </c>
      <c r="AS142" s="189">
        <f t="shared" si="70"/>
        <v>5003.8</v>
      </c>
      <c r="AT142" s="189">
        <f t="shared" si="71"/>
        <v>10007.6</v>
      </c>
      <c r="AU142" s="50">
        <f t="shared" si="72"/>
        <v>11754.612000000001</v>
      </c>
    </row>
    <row r="143" spans="36:47">
      <c r="AJ143" s="50">
        <v>2</v>
      </c>
      <c r="AK143" s="50">
        <v>1</v>
      </c>
      <c r="AL143" s="50">
        <v>0</v>
      </c>
      <c r="AM143" s="15">
        <f>Tabela21[[#This Row],[Att subs]]+Tabela21[[#This Row],[Crit D subs]]</f>
        <v>0.8</v>
      </c>
      <c r="AN143" s="15">
        <v>0.8</v>
      </c>
      <c r="AO143" s="15">
        <f t="shared" si="75"/>
        <v>0</v>
      </c>
      <c r="AP143" s="15">
        <v>0.8</v>
      </c>
      <c r="AQ143" s="189">
        <f t="shared" si="73"/>
        <v>5693.3</v>
      </c>
      <c r="AR143" s="189">
        <f t="shared" si="74"/>
        <v>6019.8</v>
      </c>
      <c r="AS143" s="189">
        <f t="shared" si="70"/>
        <v>5003.8</v>
      </c>
      <c r="AT143" s="189">
        <f t="shared" si="71"/>
        <v>10007.6</v>
      </c>
      <c r="AU143" s="50">
        <f t="shared" si="72"/>
        <v>12039.6</v>
      </c>
    </row>
    <row r="144" spans="36:47">
      <c r="AJ144" s="50">
        <v>2</v>
      </c>
      <c r="AK144" s="50">
        <v>1</v>
      </c>
      <c r="AL144" s="50">
        <v>0</v>
      </c>
      <c r="AM144" s="15">
        <f>Tabela21[[#This Row],[Att subs]]+Tabela21[[#This Row],[Crit D subs]]</f>
        <v>0.8</v>
      </c>
      <c r="AN144" s="15">
        <v>0.8</v>
      </c>
      <c r="AO144" s="15">
        <f t="shared" si="75"/>
        <v>0</v>
      </c>
      <c r="AP144" s="15">
        <v>0.9</v>
      </c>
      <c r="AQ144" s="189">
        <f t="shared" si="73"/>
        <v>5693.3</v>
      </c>
      <c r="AR144" s="189">
        <f t="shared" si="74"/>
        <v>6019.8</v>
      </c>
      <c r="AS144" s="189">
        <f t="shared" si="70"/>
        <v>5003.8</v>
      </c>
      <c r="AT144" s="189">
        <f t="shared" si="71"/>
        <v>10007.6</v>
      </c>
      <c r="AU144" s="50">
        <f t="shared" si="72"/>
        <v>12039.6</v>
      </c>
    </row>
    <row r="145" spans="36:47">
      <c r="AJ145" s="50">
        <v>2</v>
      </c>
      <c r="AK145" s="50">
        <v>1</v>
      </c>
      <c r="AL145" s="50">
        <v>0</v>
      </c>
      <c r="AM145" s="15">
        <f>Tabela21[[#This Row],[Att subs]]+Tabela21[[#This Row],[Crit D subs]]</f>
        <v>0.8</v>
      </c>
      <c r="AN145" s="15">
        <v>0.8</v>
      </c>
      <c r="AO145" s="15">
        <f t="shared" si="75"/>
        <v>0</v>
      </c>
      <c r="AP145" s="15">
        <v>1</v>
      </c>
      <c r="AQ145" s="189">
        <f t="shared" si="73"/>
        <v>5693.3</v>
      </c>
      <c r="AR145" s="189">
        <f t="shared" si="74"/>
        <v>6019.8</v>
      </c>
      <c r="AS145" s="189">
        <f t="shared" si="70"/>
        <v>5003.8</v>
      </c>
      <c r="AT145" s="189">
        <f t="shared" si="71"/>
        <v>10007.6</v>
      </c>
      <c r="AU145" s="50">
        <f t="shared" si="72"/>
        <v>12039.6</v>
      </c>
    </row>
    <row r="146" spans="36:47">
      <c r="AJ146" s="50">
        <v>2</v>
      </c>
      <c r="AK146" s="50">
        <v>0</v>
      </c>
      <c r="AL146" s="50">
        <v>1</v>
      </c>
      <c r="AM146" s="15">
        <f>Tabela21[[#This Row],[Att subs]]+Tabela21[[#This Row],[Crit D subs]]</f>
        <v>0.8</v>
      </c>
      <c r="AN146" s="15">
        <v>0.8</v>
      </c>
      <c r="AO146" s="15">
        <f t="shared" si="75"/>
        <v>0</v>
      </c>
      <c r="AP146" s="15">
        <v>0</v>
      </c>
      <c r="AQ146" s="189">
        <f t="shared" si="73"/>
        <v>3785.9</v>
      </c>
      <c r="AR146" s="189">
        <f t="shared" si="74"/>
        <v>3957.3199999999997</v>
      </c>
      <c r="AS146" s="189">
        <f t="shared" si="70"/>
        <v>3632.2000000000003</v>
      </c>
      <c r="AT146" s="189">
        <f t="shared" si="71"/>
        <v>6908.8</v>
      </c>
      <c r="AU146" s="50">
        <f t="shared" si="72"/>
        <v>6949.44</v>
      </c>
    </row>
    <row r="147" spans="36:47">
      <c r="AJ147" s="50">
        <v>2</v>
      </c>
      <c r="AK147" s="50">
        <v>0</v>
      </c>
      <c r="AL147" s="50">
        <v>1</v>
      </c>
      <c r="AM147" s="15">
        <f>Tabela21[[#This Row],[Att subs]]+Tabela21[[#This Row],[Crit D subs]]</f>
        <v>0.8</v>
      </c>
      <c r="AN147" s="15">
        <v>0.8</v>
      </c>
      <c r="AO147" s="15">
        <f t="shared" si="75"/>
        <v>0</v>
      </c>
      <c r="AP147" s="15">
        <v>0.1</v>
      </c>
      <c r="AQ147" s="189">
        <f t="shared" si="73"/>
        <v>3930.4</v>
      </c>
      <c r="AR147" s="189">
        <f t="shared" si="74"/>
        <v>4185.92</v>
      </c>
      <c r="AS147" s="189">
        <f t="shared" si="70"/>
        <v>3759.2</v>
      </c>
      <c r="AT147" s="189">
        <f t="shared" si="71"/>
        <v>7416.8</v>
      </c>
      <c r="AU147" s="50">
        <f t="shared" si="72"/>
        <v>7660.64</v>
      </c>
    </row>
    <row r="148" spans="36:47">
      <c r="AJ148" s="50">
        <v>2</v>
      </c>
      <c r="AK148" s="50">
        <v>0</v>
      </c>
      <c r="AL148" s="50">
        <v>1</v>
      </c>
      <c r="AM148" s="15">
        <f>Tabela21[[#This Row],[Att subs]]+Tabela21[[#This Row],[Crit D subs]]</f>
        <v>0.8</v>
      </c>
      <c r="AN148" s="15">
        <v>0.8</v>
      </c>
      <c r="AO148" s="15">
        <f t="shared" si="75"/>
        <v>0</v>
      </c>
      <c r="AP148" s="15">
        <v>0.2</v>
      </c>
      <c r="AQ148" s="189">
        <f t="shared" si="73"/>
        <v>4074.8999999999996</v>
      </c>
      <c r="AR148" s="189">
        <f t="shared" si="74"/>
        <v>4414.5199999999995</v>
      </c>
      <c r="AS148" s="189">
        <f t="shared" si="70"/>
        <v>3810</v>
      </c>
      <c r="AT148" s="189">
        <f t="shared" si="71"/>
        <v>7620</v>
      </c>
      <c r="AU148" s="50">
        <f t="shared" si="72"/>
        <v>8371.84</v>
      </c>
    </row>
    <row r="149" spans="36:47">
      <c r="AJ149" s="50">
        <v>2</v>
      </c>
      <c r="AK149" s="50">
        <v>0</v>
      </c>
      <c r="AL149" s="50">
        <v>1</v>
      </c>
      <c r="AM149" s="15">
        <f>Tabela21[[#This Row],[Att subs]]+Tabela21[[#This Row],[Crit D subs]]</f>
        <v>0.8</v>
      </c>
      <c r="AN149" s="15">
        <v>0.8</v>
      </c>
      <c r="AO149" s="15">
        <f t="shared" si="75"/>
        <v>0</v>
      </c>
      <c r="AP149" s="15">
        <v>0.3</v>
      </c>
      <c r="AQ149" s="189">
        <f t="shared" si="73"/>
        <v>4219.4000000000005</v>
      </c>
      <c r="AR149" s="189">
        <f t="shared" si="74"/>
        <v>4643.12</v>
      </c>
      <c r="AS149" s="189">
        <f t="shared" si="70"/>
        <v>3810</v>
      </c>
      <c r="AT149" s="189">
        <f t="shared" si="71"/>
        <v>7620</v>
      </c>
      <c r="AU149" s="50">
        <f t="shared" si="72"/>
        <v>9083.0400000000009</v>
      </c>
    </row>
    <row r="150" spans="36:47">
      <c r="AJ150" s="50">
        <v>2</v>
      </c>
      <c r="AK150" s="50">
        <v>0</v>
      </c>
      <c r="AL150" s="50">
        <v>1</v>
      </c>
      <c r="AM150" s="15">
        <f>Tabela21[[#This Row],[Att subs]]+Tabela21[[#This Row],[Crit D subs]]</f>
        <v>0.8</v>
      </c>
      <c r="AN150" s="15">
        <v>0.8</v>
      </c>
      <c r="AO150" s="15">
        <f t="shared" si="75"/>
        <v>0</v>
      </c>
      <c r="AP150" s="15">
        <v>0.4</v>
      </c>
      <c r="AQ150" s="189">
        <f t="shared" si="73"/>
        <v>4335</v>
      </c>
      <c r="AR150" s="189">
        <f t="shared" si="74"/>
        <v>4826</v>
      </c>
      <c r="AS150" s="189">
        <f t="shared" si="70"/>
        <v>3810</v>
      </c>
      <c r="AT150" s="189">
        <f t="shared" si="71"/>
        <v>7620</v>
      </c>
      <c r="AU150" s="50">
        <f t="shared" si="72"/>
        <v>9652</v>
      </c>
    </row>
    <row r="151" spans="36:47">
      <c r="AJ151" s="50">
        <v>2</v>
      </c>
      <c r="AK151" s="50">
        <v>0</v>
      </c>
      <c r="AL151" s="50">
        <v>1</v>
      </c>
      <c r="AM151" s="15">
        <f>Tabela21[[#This Row],[Att subs]]+Tabela21[[#This Row],[Crit D subs]]</f>
        <v>0.8</v>
      </c>
      <c r="AN151" s="15">
        <v>0.8</v>
      </c>
      <c r="AO151" s="15">
        <f t="shared" si="75"/>
        <v>0</v>
      </c>
      <c r="AP151" s="15">
        <v>0.5</v>
      </c>
      <c r="AQ151" s="189">
        <f t="shared" si="73"/>
        <v>4335</v>
      </c>
      <c r="AR151" s="189">
        <f t="shared" si="74"/>
        <v>4826</v>
      </c>
      <c r="AS151" s="189">
        <f t="shared" si="70"/>
        <v>3810</v>
      </c>
      <c r="AT151" s="189">
        <f t="shared" si="71"/>
        <v>7620</v>
      </c>
      <c r="AU151" s="50">
        <f t="shared" si="72"/>
        <v>9652</v>
      </c>
    </row>
    <row r="152" spans="36:47">
      <c r="AJ152" s="50">
        <v>2</v>
      </c>
      <c r="AK152" s="50">
        <v>0</v>
      </c>
      <c r="AL152" s="50">
        <v>1</v>
      </c>
      <c r="AM152" s="15">
        <f>Tabela21[[#This Row],[Att subs]]+Tabela21[[#This Row],[Crit D subs]]</f>
        <v>0.8</v>
      </c>
      <c r="AN152" s="15">
        <v>0.8</v>
      </c>
      <c r="AO152" s="15">
        <f t="shared" si="75"/>
        <v>0</v>
      </c>
      <c r="AP152" s="15">
        <v>0.6</v>
      </c>
      <c r="AQ152" s="189">
        <f t="shared" si="73"/>
        <v>4335</v>
      </c>
      <c r="AR152" s="189">
        <f t="shared" si="74"/>
        <v>4826</v>
      </c>
      <c r="AS152" s="189">
        <f t="shared" si="70"/>
        <v>3810</v>
      </c>
      <c r="AT152" s="189">
        <f t="shared" si="71"/>
        <v>7620</v>
      </c>
      <c r="AU152" s="50">
        <f t="shared" si="72"/>
        <v>9652</v>
      </c>
    </row>
    <row r="153" spans="36:47">
      <c r="AJ153" s="50">
        <v>2</v>
      </c>
      <c r="AK153" s="50">
        <v>0</v>
      </c>
      <c r="AL153" s="50">
        <v>1</v>
      </c>
      <c r="AM153" s="15">
        <f>Tabela21[[#This Row],[Att subs]]+Tabela21[[#This Row],[Crit D subs]]</f>
        <v>0.8</v>
      </c>
      <c r="AN153" s="15">
        <v>0.8</v>
      </c>
      <c r="AO153" s="15">
        <f t="shared" si="75"/>
        <v>0</v>
      </c>
      <c r="AP153" s="15">
        <v>0.7</v>
      </c>
      <c r="AQ153" s="189">
        <f t="shared" si="73"/>
        <v>4335</v>
      </c>
      <c r="AR153" s="189">
        <f t="shared" si="74"/>
        <v>4826</v>
      </c>
      <c r="AS153" s="189">
        <f t="shared" si="70"/>
        <v>3810</v>
      </c>
      <c r="AT153" s="189">
        <f t="shared" si="71"/>
        <v>7620</v>
      </c>
      <c r="AU153" s="50">
        <f t="shared" si="72"/>
        <v>9652</v>
      </c>
    </row>
    <row r="154" spans="36:47">
      <c r="AJ154" s="50">
        <v>2</v>
      </c>
      <c r="AK154" s="50">
        <v>0</v>
      </c>
      <c r="AL154" s="50">
        <v>1</v>
      </c>
      <c r="AM154" s="15">
        <f>Tabela21[[#This Row],[Att subs]]+Tabela21[[#This Row],[Crit D subs]]</f>
        <v>0.8</v>
      </c>
      <c r="AN154" s="15">
        <v>0.8</v>
      </c>
      <c r="AO154" s="15">
        <f t="shared" si="75"/>
        <v>0</v>
      </c>
      <c r="AP154" s="15">
        <v>0.8</v>
      </c>
      <c r="AQ154" s="189">
        <f t="shared" si="73"/>
        <v>4335</v>
      </c>
      <c r="AR154" s="189">
        <f t="shared" si="74"/>
        <v>4826</v>
      </c>
      <c r="AS154" s="189">
        <f t="shared" si="70"/>
        <v>3810</v>
      </c>
      <c r="AT154" s="189">
        <f t="shared" si="71"/>
        <v>7620</v>
      </c>
      <c r="AU154" s="50">
        <f t="shared" si="72"/>
        <v>9652</v>
      </c>
    </row>
    <row r="155" spans="36:47">
      <c r="AJ155" s="50">
        <v>2</v>
      </c>
      <c r="AK155" s="50">
        <v>0</v>
      </c>
      <c r="AL155" s="50">
        <v>1</v>
      </c>
      <c r="AM155" s="15">
        <f>Tabela21[[#This Row],[Att subs]]+Tabela21[[#This Row],[Crit D subs]]</f>
        <v>0.8</v>
      </c>
      <c r="AN155" s="15">
        <v>0.8</v>
      </c>
      <c r="AO155" s="15">
        <f t="shared" si="75"/>
        <v>0</v>
      </c>
      <c r="AP155" s="15">
        <v>0.9</v>
      </c>
      <c r="AQ155" s="189">
        <f t="shared" si="73"/>
        <v>4335</v>
      </c>
      <c r="AR155" s="189">
        <f t="shared" si="74"/>
        <v>4826</v>
      </c>
      <c r="AS155" s="189">
        <f t="shared" si="70"/>
        <v>3810</v>
      </c>
      <c r="AT155" s="189">
        <f t="shared" si="71"/>
        <v>7620</v>
      </c>
      <c r="AU155" s="50">
        <f t="shared" si="72"/>
        <v>9652</v>
      </c>
    </row>
    <row r="156" spans="36:47">
      <c r="AJ156" s="50">
        <v>2</v>
      </c>
      <c r="AK156" s="50">
        <v>0</v>
      </c>
      <c r="AL156" s="50">
        <v>1</v>
      </c>
      <c r="AM156" s="15">
        <f>Tabela21[[#This Row],[Att subs]]+Tabela21[[#This Row],[Crit D subs]]</f>
        <v>0.8</v>
      </c>
      <c r="AN156" s="15">
        <v>0.8</v>
      </c>
      <c r="AO156" s="15">
        <f t="shared" si="75"/>
        <v>0</v>
      </c>
      <c r="AP156" s="15">
        <v>1</v>
      </c>
      <c r="AQ156" s="189">
        <f t="shared" si="73"/>
        <v>4335</v>
      </c>
      <c r="AR156" s="189">
        <f t="shared" si="74"/>
        <v>4826</v>
      </c>
      <c r="AS156" s="189">
        <f t="shared" si="70"/>
        <v>3810</v>
      </c>
      <c r="AT156" s="189">
        <f t="shared" si="71"/>
        <v>7620</v>
      </c>
      <c r="AU156" s="50">
        <f t="shared" si="72"/>
        <v>9652</v>
      </c>
    </row>
    <row r="157" spans="36:47">
      <c r="AJ157" s="50">
        <v>3</v>
      </c>
      <c r="AK157" s="50">
        <v>0</v>
      </c>
      <c r="AL157" s="50">
        <v>0</v>
      </c>
      <c r="AM157" s="15">
        <f>Tabela21[[#This Row],[Att subs]]+Tabela21[[#This Row],[Crit D subs]]</f>
        <v>0.8</v>
      </c>
      <c r="AN157" s="15">
        <v>0.8</v>
      </c>
      <c r="AO157" s="15">
        <f t="shared" si="75"/>
        <v>0</v>
      </c>
      <c r="AP157" s="15">
        <v>0</v>
      </c>
      <c r="AQ157" s="189">
        <f t="shared" si="73"/>
        <v>3700.1000000000004</v>
      </c>
      <c r="AR157" s="189">
        <f t="shared" si="74"/>
        <v>3617.1299999999997</v>
      </c>
      <c r="AS157" s="189">
        <f t="shared" si="70"/>
        <v>3652.0499999999997</v>
      </c>
      <c r="AT157" s="189">
        <f t="shared" si="71"/>
        <v>5878.2</v>
      </c>
      <c r="AU157" s="50">
        <f t="shared" si="72"/>
        <v>5109.96</v>
      </c>
    </row>
    <row r="158" spans="36:47">
      <c r="AJ158" s="50">
        <v>3</v>
      </c>
      <c r="AK158" s="50">
        <v>0</v>
      </c>
      <c r="AL158" s="50">
        <v>0</v>
      </c>
      <c r="AM158" s="15">
        <f>Tabela21[[#This Row],[Att subs]]+Tabela21[[#This Row],[Crit D subs]]</f>
        <v>0.8</v>
      </c>
      <c r="AN158" s="15">
        <v>0.8</v>
      </c>
      <c r="AO158" s="15">
        <f t="shared" si="75"/>
        <v>0</v>
      </c>
      <c r="AP158" s="15">
        <v>0.1</v>
      </c>
      <c r="AQ158" s="189">
        <f t="shared" si="73"/>
        <v>3863.1000000000008</v>
      </c>
      <c r="AR158" s="189">
        <f t="shared" si="74"/>
        <v>3879.0299999999997</v>
      </c>
      <c r="AS158" s="189">
        <f t="shared" si="70"/>
        <v>3797.5500000000006</v>
      </c>
      <c r="AT158" s="189">
        <f t="shared" si="71"/>
        <v>6460.2000000000007</v>
      </c>
      <c r="AU158" s="50">
        <f t="shared" si="72"/>
        <v>5924.76</v>
      </c>
    </row>
    <row r="159" spans="36:47">
      <c r="AJ159" s="50">
        <v>3</v>
      </c>
      <c r="AK159" s="50">
        <v>0</v>
      </c>
      <c r="AL159" s="50">
        <v>0</v>
      </c>
      <c r="AM159" s="15">
        <f>Tabela21[[#This Row],[Att subs]]+Tabela21[[#This Row],[Crit D subs]]</f>
        <v>0.8</v>
      </c>
      <c r="AN159" s="15">
        <v>0.8</v>
      </c>
      <c r="AO159" s="15">
        <f t="shared" si="75"/>
        <v>0</v>
      </c>
      <c r="AP159" s="15">
        <v>0.2</v>
      </c>
      <c r="AQ159" s="189">
        <f t="shared" si="73"/>
        <v>4026.1000000000004</v>
      </c>
      <c r="AR159" s="189">
        <f t="shared" si="74"/>
        <v>4140.9299999999994</v>
      </c>
      <c r="AS159" s="189">
        <f t="shared" si="70"/>
        <v>3943.0499999999997</v>
      </c>
      <c r="AT159" s="189">
        <f t="shared" si="71"/>
        <v>7042.2</v>
      </c>
      <c r="AU159" s="50">
        <f t="shared" si="72"/>
        <v>6739.5599999999995</v>
      </c>
    </row>
    <row r="160" spans="36:47">
      <c r="AJ160" s="50">
        <v>3</v>
      </c>
      <c r="AK160" s="50">
        <v>0</v>
      </c>
      <c r="AL160" s="50">
        <v>0</v>
      </c>
      <c r="AM160" s="15">
        <f>Tabela21[[#This Row],[Att subs]]+Tabela21[[#This Row],[Crit D subs]]</f>
        <v>0.8</v>
      </c>
      <c r="AN160" s="15">
        <v>0.8</v>
      </c>
      <c r="AO160" s="15">
        <f t="shared" si="75"/>
        <v>0</v>
      </c>
      <c r="AP160" s="15">
        <v>0.3</v>
      </c>
      <c r="AQ160" s="189">
        <f t="shared" si="73"/>
        <v>4189.1000000000013</v>
      </c>
      <c r="AR160" s="189">
        <f t="shared" si="74"/>
        <v>4402.83</v>
      </c>
      <c r="AS160" s="189">
        <f t="shared" si="70"/>
        <v>4088.5499999999993</v>
      </c>
      <c r="AT160" s="189">
        <f t="shared" si="71"/>
        <v>7624.1999999999989</v>
      </c>
      <c r="AU160" s="50">
        <f t="shared" si="72"/>
        <v>7554.3600000000006</v>
      </c>
    </row>
    <row r="161" spans="36:47">
      <c r="AJ161" s="50">
        <v>3</v>
      </c>
      <c r="AK161" s="50">
        <v>0</v>
      </c>
      <c r="AL161" s="50">
        <v>0</v>
      </c>
      <c r="AM161" s="15">
        <f>Tabela21[[#This Row],[Att subs]]+Tabela21[[#This Row],[Crit D subs]]</f>
        <v>0.8</v>
      </c>
      <c r="AN161" s="15">
        <v>0.8</v>
      </c>
      <c r="AO161" s="15">
        <f t="shared" si="75"/>
        <v>0</v>
      </c>
      <c r="AP161" s="15">
        <v>0.4</v>
      </c>
      <c r="AQ161" s="189">
        <f t="shared" si="73"/>
        <v>4352.1000000000004</v>
      </c>
      <c r="AR161" s="189">
        <f t="shared" si="74"/>
        <v>4664.7299999999996</v>
      </c>
      <c r="AS161" s="189">
        <f t="shared" si="70"/>
        <v>4234.05</v>
      </c>
      <c r="AT161" s="189">
        <f t="shared" si="71"/>
        <v>8206.1999999999989</v>
      </c>
      <c r="AU161" s="50">
        <f t="shared" si="72"/>
        <v>8369.16</v>
      </c>
    </row>
    <row r="162" spans="36:47">
      <c r="AJ162" s="50">
        <v>3</v>
      </c>
      <c r="AK162" s="50">
        <v>0</v>
      </c>
      <c r="AL162" s="50">
        <v>0</v>
      </c>
      <c r="AM162" s="15">
        <f>Tabela21[[#This Row],[Att subs]]+Tabela21[[#This Row],[Crit D subs]]</f>
        <v>0.8</v>
      </c>
      <c r="AN162" s="15">
        <v>0.8</v>
      </c>
      <c r="AO162" s="15">
        <f t="shared" si="75"/>
        <v>0</v>
      </c>
      <c r="AP162" s="15">
        <v>0.5</v>
      </c>
      <c r="AQ162" s="189">
        <f t="shared" si="73"/>
        <v>4515.1000000000004</v>
      </c>
      <c r="AR162" s="189">
        <f t="shared" si="74"/>
        <v>4926.6299999999992</v>
      </c>
      <c r="AS162" s="189">
        <f t="shared" si="70"/>
        <v>4365</v>
      </c>
      <c r="AT162" s="189">
        <f t="shared" si="71"/>
        <v>8730</v>
      </c>
      <c r="AU162" s="50">
        <f t="shared" si="72"/>
        <v>9183.9599999999991</v>
      </c>
    </row>
    <row r="163" spans="36:47">
      <c r="AJ163" s="50">
        <v>3</v>
      </c>
      <c r="AK163" s="50">
        <v>0</v>
      </c>
      <c r="AL163" s="50">
        <v>0</v>
      </c>
      <c r="AM163" s="15">
        <f>Tabela21[[#This Row],[Att subs]]+Tabela21[[#This Row],[Crit D subs]]</f>
        <v>0.8</v>
      </c>
      <c r="AN163" s="15">
        <v>0.8</v>
      </c>
      <c r="AO163" s="15">
        <f t="shared" si="75"/>
        <v>0</v>
      </c>
      <c r="AP163" s="15">
        <v>0.6</v>
      </c>
      <c r="AQ163" s="189">
        <f t="shared" si="73"/>
        <v>4678.1000000000013</v>
      </c>
      <c r="AR163" s="189">
        <f t="shared" si="74"/>
        <v>5188.53</v>
      </c>
      <c r="AS163" s="189">
        <f t="shared" si="70"/>
        <v>4365</v>
      </c>
      <c r="AT163" s="189">
        <f t="shared" si="71"/>
        <v>8730</v>
      </c>
      <c r="AU163" s="50">
        <f t="shared" si="72"/>
        <v>9998.76</v>
      </c>
    </row>
    <row r="164" spans="36:47">
      <c r="AJ164" s="50">
        <v>3</v>
      </c>
      <c r="AK164" s="50">
        <v>0</v>
      </c>
      <c r="AL164" s="50">
        <v>0</v>
      </c>
      <c r="AM164" s="15">
        <f>Tabela21[[#This Row],[Att subs]]+Tabela21[[#This Row],[Crit D subs]]</f>
        <v>0.8</v>
      </c>
      <c r="AN164" s="15">
        <v>0.8</v>
      </c>
      <c r="AO164" s="15">
        <f t="shared" si="75"/>
        <v>0</v>
      </c>
      <c r="AP164" s="15">
        <v>0.7</v>
      </c>
      <c r="AQ164" s="189">
        <f t="shared" si="73"/>
        <v>4841.1000000000013</v>
      </c>
      <c r="AR164" s="189">
        <f t="shared" si="74"/>
        <v>5450.43</v>
      </c>
      <c r="AS164" s="189">
        <f t="shared" si="70"/>
        <v>4365</v>
      </c>
      <c r="AT164" s="189">
        <f t="shared" si="71"/>
        <v>8730</v>
      </c>
      <c r="AU164" s="50">
        <f t="shared" si="72"/>
        <v>10813.560000000001</v>
      </c>
    </row>
    <row r="165" spans="36:47">
      <c r="AJ165" s="50">
        <v>3</v>
      </c>
      <c r="AK165" s="50">
        <v>0</v>
      </c>
      <c r="AL165" s="50">
        <v>0</v>
      </c>
      <c r="AM165" s="15">
        <f>Tabela21[[#This Row],[Att subs]]+Tabela21[[#This Row],[Crit D subs]]</f>
        <v>0.8</v>
      </c>
      <c r="AN165" s="15">
        <v>0.8</v>
      </c>
      <c r="AO165" s="15">
        <f t="shared" si="75"/>
        <v>0</v>
      </c>
      <c r="AP165" s="15">
        <v>0.8</v>
      </c>
      <c r="AQ165" s="189">
        <f t="shared" si="73"/>
        <v>4890.0000000000009</v>
      </c>
      <c r="AR165" s="189">
        <f t="shared" si="74"/>
        <v>5529</v>
      </c>
      <c r="AS165" s="189">
        <f t="shared" si="70"/>
        <v>4365</v>
      </c>
      <c r="AT165" s="189">
        <f t="shared" si="71"/>
        <v>8730</v>
      </c>
      <c r="AU165" s="50">
        <f t="shared" si="72"/>
        <v>11058</v>
      </c>
    </row>
    <row r="166" spans="36:47">
      <c r="AJ166" s="50">
        <v>3</v>
      </c>
      <c r="AK166" s="50">
        <v>0</v>
      </c>
      <c r="AL166" s="50">
        <v>0</v>
      </c>
      <c r="AM166" s="15">
        <f>Tabela21[[#This Row],[Att subs]]+Tabela21[[#This Row],[Crit D subs]]</f>
        <v>0.8</v>
      </c>
      <c r="AN166" s="15">
        <v>0.8</v>
      </c>
      <c r="AO166" s="15">
        <f t="shared" si="75"/>
        <v>0</v>
      </c>
      <c r="AP166" s="15">
        <v>0.9</v>
      </c>
      <c r="AQ166" s="189">
        <f t="shared" si="73"/>
        <v>4890.0000000000009</v>
      </c>
      <c r="AR166" s="189">
        <f t="shared" si="74"/>
        <v>5529</v>
      </c>
      <c r="AS166" s="189">
        <f t="shared" si="70"/>
        <v>4365</v>
      </c>
      <c r="AT166" s="189">
        <f t="shared" si="71"/>
        <v>8730</v>
      </c>
      <c r="AU166" s="50">
        <f t="shared" si="72"/>
        <v>11058</v>
      </c>
    </row>
    <row r="167" spans="36:47">
      <c r="AJ167" s="50">
        <v>3</v>
      </c>
      <c r="AK167" s="50">
        <v>0</v>
      </c>
      <c r="AL167" s="50">
        <v>0</v>
      </c>
      <c r="AM167" s="15">
        <f>Tabela21[[#This Row],[Att subs]]+Tabela21[[#This Row],[Crit D subs]]</f>
        <v>0.8</v>
      </c>
      <c r="AN167" s="15">
        <v>0.8</v>
      </c>
      <c r="AO167" s="15">
        <f t="shared" si="75"/>
        <v>0</v>
      </c>
      <c r="AP167" s="15">
        <v>1</v>
      </c>
      <c r="AQ167" s="189">
        <f t="shared" si="73"/>
        <v>4890.0000000000009</v>
      </c>
      <c r="AR167" s="189">
        <f t="shared" si="74"/>
        <v>5529</v>
      </c>
      <c r="AS167" s="189">
        <f t="shared" si="70"/>
        <v>4365</v>
      </c>
      <c r="AT167" s="189">
        <f t="shared" si="71"/>
        <v>8730</v>
      </c>
      <c r="AU167" s="50">
        <f t="shared" si="72"/>
        <v>11058</v>
      </c>
    </row>
    <row r="168" spans="36:47">
      <c r="AJ168" s="50">
        <v>2</v>
      </c>
      <c r="AK168" s="50">
        <v>1</v>
      </c>
      <c r="AL168" s="50">
        <v>0</v>
      </c>
      <c r="AM168" s="15">
        <f>Tabela21[[#This Row],[Att subs]]+Tabela21[[#This Row],[Crit D subs]]</f>
        <v>1</v>
      </c>
      <c r="AN168" s="15">
        <v>1</v>
      </c>
      <c r="AO168" s="15">
        <v>0</v>
      </c>
      <c r="AP168" s="15">
        <v>0</v>
      </c>
      <c r="AQ168" s="189">
        <f t="shared" si="73"/>
        <v>3899.2710000000006</v>
      </c>
      <c r="AR168" s="189">
        <f t="shared" si="74"/>
        <v>3753.5259999999998</v>
      </c>
      <c r="AS168" s="189">
        <f t="shared" si="70"/>
        <v>4095.4779999999996</v>
      </c>
      <c r="AT168" s="189">
        <f t="shared" si="71"/>
        <v>6848.3559999999989</v>
      </c>
      <c r="AU168" s="50">
        <f t="shared" si="72"/>
        <v>5506.8520000000008</v>
      </c>
    </row>
    <row r="169" spans="36:47">
      <c r="AJ169" s="50">
        <v>2</v>
      </c>
      <c r="AK169" s="50">
        <v>1</v>
      </c>
      <c r="AL169" s="50">
        <v>0</v>
      </c>
      <c r="AM169" s="15">
        <f>Tabela21[[#This Row],[Att subs]]+Tabela21[[#This Row],[Crit D subs]]</f>
        <v>1</v>
      </c>
      <c r="AN169" s="15">
        <v>1</v>
      </c>
      <c r="AO169" s="15">
        <f>AO168</f>
        <v>0</v>
      </c>
      <c r="AP169" s="15">
        <v>0.1</v>
      </c>
      <c r="AQ169" s="189">
        <f t="shared" si="73"/>
        <v>4199.0010000000002</v>
      </c>
      <c r="AR169" s="189">
        <f t="shared" si="74"/>
        <v>4128.9059999999999</v>
      </c>
      <c r="AS169" s="189">
        <f t="shared" si="70"/>
        <v>4361.2579999999998</v>
      </c>
      <c r="AT169" s="189">
        <f t="shared" si="71"/>
        <v>7653.9160000000002</v>
      </c>
      <c r="AU169" s="50">
        <f t="shared" si="72"/>
        <v>6531.6120000000001</v>
      </c>
    </row>
    <row r="170" spans="36:47">
      <c r="AJ170" s="50">
        <v>2</v>
      </c>
      <c r="AK170" s="50">
        <v>1</v>
      </c>
      <c r="AL170" s="50">
        <v>0</v>
      </c>
      <c r="AM170" s="15">
        <f>Tabela21[[#This Row],[Att subs]]+Tabela21[[#This Row],[Crit D subs]]</f>
        <v>1</v>
      </c>
      <c r="AN170" s="15">
        <v>1</v>
      </c>
      <c r="AO170" s="15">
        <f t="shared" ref="AO170:AO200" si="76">AO169</f>
        <v>0</v>
      </c>
      <c r="AP170" s="15">
        <v>0.2</v>
      </c>
      <c r="AQ170" s="189">
        <f t="shared" si="73"/>
        <v>4498.7309999999998</v>
      </c>
      <c r="AR170" s="189">
        <f t="shared" si="74"/>
        <v>4504.2860000000001</v>
      </c>
      <c r="AS170" s="189">
        <f t="shared" si="70"/>
        <v>4627.0379999999996</v>
      </c>
      <c r="AT170" s="189">
        <f t="shared" si="71"/>
        <v>8459.4759999999987</v>
      </c>
      <c r="AU170" s="50">
        <f t="shared" si="72"/>
        <v>7556.3719999999985</v>
      </c>
    </row>
    <row r="171" spans="36:47">
      <c r="AJ171" s="50">
        <v>2</v>
      </c>
      <c r="AK171" s="50">
        <v>1</v>
      </c>
      <c r="AL171" s="50">
        <v>0</v>
      </c>
      <c r="AM171" s="15">
        <f>Tabela21[[#This Row],[Att subs]]+Tabela21[[#This Row],[Crit D subs]]</f>
        <v>1</v>
      </c>
      <c r="AN171" s="15">
        <v>1</v>
      </c>
      <c r="AO171" s="15">
        <f t="shared" si="76"/>
        <v>0</v>
      </c>
      <c r="AP171" s="15">
        <v>0.3</v>
      </c>
      <c r="AQ171" s="189">
        <f t="shared" si="73"/>
        <v>4798.4610000000002</v>
      </c>
      <c r="AR171" s="189">
        <f t="shared" si="74"/>
        <v>4879.6660000000002</v>
      </c>
      <c r="AS171" s="189">
        <f t="shared" si="70"/>
        <v>4892.8179999999993</v>
      </c>
      <c r="AT171" s="189">
        <f t="shared" si="71"/>
        <v>9265.0360000000001</v>
      </c>
      <c r="AU171" s="50">
        <f t="shared" si="72"/>
        <v>8581.1319999999996</v>
      </c>
    </row>
    <row r="172" spans="36:47">
      <c r="AJ172" s="50">
        <v>2</v>
      </c>
      <c r="AK172" s="50">
        <v>1</v>
      </c>
      <c r="AL172" s="50">
        <v>0</v>
      </c>
      <c r="AM172" s="15">
        <f>Tabela21[[#This Row],[Att subs]]+Tabela21[[#This Row],[Crit D subs]]</f>
        <v>1</v>
      </c>
      <c r="AN172" s="15">
        <v>1</v>
      </c>
      <c r="AO172" s="15">
        <f t="shared" si="76"/>
        <v>0</v>
      </c>
      <c r="AP172" s="15">
        <v>0.4</v>
      </c>
      <c r="AQ172" s="189">
        <f t="shared" si="73"/>
        <v>5098.1910000000016</v>
      </c>
      <c r="AR172" s="189">
        <f t="shared" si="74"/>
        <v>5255.0460000000003</v>
      </c>
      <c r="AS172" s="189">
        <f t="shared" si="70"/>
        <v>5158.598</v>
      </c>
      <c r="AT172" s="189">
        <f t="shared" si="71"/>
        <v>10070.596</v>
      </c>
      <c r="AU172" s="50">
        <f t="shared" si="72"/>
        <v>9605.8919999999998</v>
      </c>
    </row>
    <row r="173" spans="36:47">
      <c r="AJ173" s="50">
        <v>2</v>
      </c>
      <c r="AK173" s="50">
        <v>1</v>
      </c>
      <c r="AL173" s="50">
        <v>0</v>
      </c>
      <c r="AM173" s="15">
        <f>Tabela21[[#This Row],[Att subs]]+Tabela21[[#This Row],[Crit D subs]]</f>
        <v>1</v>
      </c>
      <c r="AN173" s="15">
        <v>1</v>
      </c>
      <c r="AO173" s="15">
        <f t="shared" si="76"/>
        <v>0</v>
      </c>
      <c r="AP173" s="15">
        <v>0.5</v>
      </c>
      <c r="AQ173" s="189">
        <f t="shared" si="73"/>
        <v>5397.9210000000003</v>
      </c>
      <c r="AR173" s="189">
        <f t="shared" si="74"/>
        <v>5630.4259999999995</v>
      </c>
      <c r="AS173" s="189">
        <f t="shared" si="70"/>
        <v>5397.8</v>
      </c>
      <c r="AT173" s="189">
        <f t="shared" si="71"/>
        <v>10795.6</v>
      </c>
      <c r="AU173" s="50">
        <f t="shared" si="72"/>
        <v>10630.652000000002</v>
      </c>
    </row>
    <row r="174" spans="36:47">
      <c r="AJ174" s="50">
        <v>2</v>
      </c>
      <c r="AK174" s="50">
        <v>1</v>
      </c>
      <c r="AL174" s="50">
        <v>0</v>
      </c>
      <c r="AM174" s="15">
        <f>Tabela21[[#This Row],[Att subs]]+Tabela21[[#This Row],[Crit D subs]]</f>
        <v>1</v>
      </c>
      <c r="AN174" s="15">
        <v>1</v>
      </c>
      <c r="AO174" s="15">
        <f t="shared" si="76"/>
        <v>0</v>
      </c>
      <c r="AP174" s="15">
        <v>0.6</v>
      </c>
      <c r="AQ174" s="189">
        <f t="shared" si="73"/>
        <v>5697.6510000000007</v>
      </c>
      <c r="AR174" s="189">
        <f t="shared" si="74"/>
        <v>6005.8059999999996</v>
      </c>
      <c r="AS174" s="189">
        <f t="shared" si="70"/>
        <v>5397.8</v>
      </c>
      <c r="AT174" s="189">
        <f t="shared" si="71"/>
        <v>10795.6</v>
      </c>
      <c r="AU174" s="50">
        <f t="shared" si="72"/>
        <v>11655.412</v>
      </c>
    </row>
    <row r="175" spans="36:47">
      <c r="AJ175" s="50">
        <v>2</v>
      </c>
      <c r="AK175" s="50">
        <v>1</v>
      </c>
      <c r="AL175" s="50">
        <v>0</v>
      </c>
      <c r="AM175" s="15">
        <f>Tabela21[[#This Row],[Att subs]]+Tabela21[[#This Row],[Crit D subs]]</f>
        <v>1</v>
      </c>
      <c r="AN175" s="15">
        <v>1</v>
      </c>
      <c r="AO175" s="15">
        <f t="shared" si="76"/>
        <v>0</v>
      </c>
      <c r="AP175" s="15">
        <v>0.7</v>
      </c>
      <c r="AQ175" s="189">
        <f t="shared" si="73"/>
        <v>5997.3810000000003</v>
      </c>
      <c r="AR175" s="189">
        <f t="shared" si="74"/>
        <v>6381.1859999999997</v>
      </c>
      <c r="AS175" s="189">
        <f t="shared" si="70"/>
        <v>5397.8</v>
      </c>
      <c r="AT175" s="189">
        <f t="shared" si="71"/>
        <v>10795.6</v>
      </c>
      <c r="AU175" s="50">
        <f t="shared" si="72"/>
        <v>12680.172000000002</v>
      </c>
    </row>
    <row r="176" spans="36:47">
      <c r="AJ176" s="50">
        <v>2</v>
      </c>
      <c r="AK176" s="50">
        <v>1</v>
      </c>
      <c r="AL176" s="50">
        <v>0</v>
      </c>
      <c r="AM176" s="15">
        <f>Tabela21[[#This Row],[Att subs]]+Tabela21[[#This Row],[Crit D subs]]</f>
        <v>1</v>
      </c>
      <c r="AN176" s="15">
        <v>1</v>
      </c>
      <c r="AO176" s="15">
        <f t="shared" si="76"/>
        <v>0</v>
      </c>
      <c r="AP176" s="15">
        <v>0.8</v>
      </c>
      <c r="AQ176" s="189">
        <f t="shared" si="73"/>
        <v>6087.3000000000011</v>
      </c>
      <c r="AR176" s="189">
        <f t="shared" si="74"/>
        <v>6493.8</v>
      </c>
      <c r="AS176" s="189">
        <f t="shared" si="70"/>
        <v>5397.8</v>
      </c>
      <c r="AT176" s="189">
        <f t="shared" si="71"/>
        <v>10795.6</v>
      </c>
      <c r="AU176" s="50">
        <f t="shared" si="72"/>
        <v>12987.6</v>
      </c>
    </row>
    <row r="177" spans="36:47">
      <c r="AJ177" s="50">
        <v>2</v>
      </c>
      <c r="AK177" s="50">
        <v>1</v>
      </c>
      <c r="AL177" s="50">
        <v>0</v>
      </c>
      <c r="AM177" s="15">
        <f>Tabela21[[#This Row],[Att subs]]+Tabela21[[#This Row],[Crit D subs]]</f>
        <v>1</v>
      </c>
      <c r="AN177" s="15">
        <v>1</v>
      </c>
      <c r="AO177" s="15">
        <f t="shared" si="76"/>
        <v>0</v>
      </c>
      <c r="AP177" s="15">
        <v>0.9</v>
      </c>
      <c r="AQ177" s="189">
        <f t="shared" si="73"/>
        <v>6087.3000000000011</v>
      </c>
      <c r="AR177" s="189">
        <f t="shared" si="74"/>
        <v>6493.8</v>
      </c>
      <c r="AS177" s="189">
        <f t="shared" si="70"/>
        <v>5397.8</v>
      </c>
      <c r="AT177" s="189">
        <f t="shared" si="71"/>
        <v>10795.6</v>
      </c>
      <c r="AU177" s="50">
        <f t="shared" si="72"/>
        <v>12987.6</v>
      </c>
    </row>
    <row r="178" spans="36:47">
      <c r="AJ178" s="50">
        <v>2</v>
      </c>
      <c r="AK178" s="50">
        <v>1</v>
      </c>
      <c r="AL178" s="50">
        <v>0</v>
      </c>
      <c r="AM178" s="15">
        <f>Tabela21[[#This Row],[Att subs]]+Tabela21[[#This Row],[Crit D subs]]</f>
        <v>1</v>
      </c>
      <c r="AN178" s="15">
        <v>1</v>
      </c>
      <c r="AO178" s="15">
        <f t="shared" si="76"/>
        <v>0</v>
      </c>
      <c r="AP178" s="15">
        <v>1</v>
      </c>
      <c r="AQ178" s="189">
        <f t="shared" si="73"/>
        <v>6087.3000000000011</v>
      </c>
      <c r="AR178" s="189">
        <f t="shared" si="74"/>
        <v>6493.8</v>
      </c>
      <c r="AS178" s="189">
        <f t="shared" si="70"/>
        <v>5397.8</v>
      </c>
      <c r="AT178" s="189">
        <f t="shared" si="71"/>
        <v>10795.6</v>
      </c>
      <c r="AU178" s="50">
        <f t="shared" si="72"/>
        <v>12987.6</v>
      </c>
    </row>
    <row r="179" spans="36:47">
      <c r="AJ179" s="50">
        <v>2</v>
      </c>
      <c r="AK179" s="50">
        <v>0</v>
      </c>
      <c r="AL179" s="50">
        <v>1</v>
      </c>
      <c r="AM179" s="15">
        <f>Tabela21[[#This Row],[Att subs]]+Tabela21[[#This Row],[Crit D subs]]</f>
        <v>1</v>
      </c>
      <c r="AN179" s="15">
        <v>1</v>
      </c>
      <c r="AO179" s="15">
        <f t="shared" si="76"/>
        <v>0</v>
      </c>
      <c r="AP179" s="15">
        <v>0</v>
      </c>
      <c r="AQ179" s="189">
        <f t="shared" si="73"/>
        <v>4047.9000000000005</v>
      </c>
      <c r="AR179" s="189">
        <f t="shared" si="74"/>
        <v>4268.9199999999992</v>
      </c>
      <c r="AS179" s="189">
        <f t="shared" si="70"/>
        <v>3918.2000000000003</v>
      </c>
      <c r="AT179" s="189">
        <f t="shared" si="71"/>
        <v>7452.8</v>
      </c>
      <c r="AU179" s="50">
        <f t="shared" si="72"/>
        <v>7496.6399999999994</v>
      </c>
    </row>
    <row r="180" spans="36:47">
      <c r="AJ180" s="50">
        <v>2</v>
      </c>
      <c r="AK180" s="50">
        <v>0</v>
      </c>
      <c r="AL180" s="50">
        <v>1</v>
      </c>
      <c r="AM180" s="15">
        <f>Tabela21[[#This Row],[Att subs]]+Tabela21[[#This Row],[Crit D subs]]</f>
        <v>1</v>
      </c>
      <c r="AN180" s="15">
        <v>1</v>
      </c>
      <c r="AO180" s="15">
        <f t="shared" si="76"/>
        <v>0</v>
      </c>
      <c r="AP180" s="15">
        <v>0.1</v>
      </c>
      <c r="AQ180" s="189">
        <f t="shared" si="73"/>
        <v>4202.4000000000005</v>
      </c>
      <c r="AR180" s="189">
        <f t="shared" si="74"/>
        <v>4515.5199999999995</v>
      </c>
      <c r="AS180" s="189">
        <f t="shared" si="70"/>
        <v>4055.2</v>
      </c>
      <c r="AT180" s="189">
        <f t="shared" si="71"/>
        <v>8000.8</v>
      </c>
      <c r="AU180" s="50">
        <f t="shared" si="72"/>
        <v>8263.84</v>
      </c>
    </row>
    <row r="181" spans="36:47">
      <c r="AJ181" s="50">
        <v>2</v>
      </c>
      <c r="AK181" s="50">
        <v>0</v>
      </c>
      <c r="AL181" s="50">
        <v>1</v>
      </c>
      <c r="AM181" s="15">
        <f>Tabela21[[#This Row],[Att subs]]+Tabela21[[#This Row],[Crit D subs]]</f>
        <v>1</v>
      </c>
      <c r="AN181" s="15">
        <v>1</v>
      </c>
      <c r="AO181" s="15">
        <f t="shared" si="76"/>
        <v>0</v>
      </c>
      <c r="AP181" s="15">
        <v>0.2</v>
      </c>
      <c r="AQ181" s="189">
        <f t="shared" si="73"/>
        <v>4356.9000000000005</v>
      </c>
      <c r="AR181" s="189">
        <f t="shared" si="74"/>
        <v>4762.119999999999</v>
      </c>
      <c r="AS181" s="189">
        <f t="shared" si="70"/>
        <v>4110</v>
      </c>
      <c r="AT181" s="189">
        <f t="shared" si="71"/>
        <v>8220</v>
      </c>
      <c r="AU181" s="50">
        <f t="shared" si="72"/>
        <v>9031.0399999999991</v>
      </c>
    </row>
    <row r="182" spans="36:47">
      <c r="AJ182" s="50">
        <v>2</v>
      </c>
      <c r="AK182" s="50">
        <v>0</v>
      </c>
      <c r="AL182" s="50">
        <v>1</v>
      </c>
      <c r="AM182" s="15">
        <f>Tabela21[[#This Row],[Att subs]]+Tabela21[[#This Row],[Crit D subs]]</f>
        <v>1</v>
      </c>
      <c r="AN182" s="15">
        <v>1</v>
      </c>
      <c r="AO182" s="15">
        <f t="shared" si="76"/>
        <v>0</v>
      </c>
      <c r="AP182" s="15">
        <v>0.3</v>
      </c>
      <c r="AQ182" s="189">
        <f t="shared" si="73"/>
        <v>4511.4000000000015</v>
      </c>
      <c r="AR182" s="189">
        <f t="shared" si="74"/>
        <v>5008.72</v>
      </c>
      <c r="AS182" s="189">
        <f t="shared" si="70"/>
        <v>4110</v>
      </c>
      <c r="AT182" s="189">
        <f t="shared" si="71"/>
        <v>8220</v>
      </c>
      <c r="AU182" s="50">
        <f t="shared" si="72"/>
        <v>9798.24</v>
      </c>
    </row>
    <row r="183" spans="36:47">
      <c r="AJ183" s="50">
        <v>2</v>
      </c>
      <c r="AK183" s="50">
        <v>0</v>
      </c>
      <c r="AL183" s="50">
        <v>1</v>
      </c>
      <c r="AM183" s="15">
        <f>Tabela21[[#This Row],[Att subs]]+Tabela21[[#This Row],[Crit D subs]]</f>
        <v>1</v>
      </c>
      <c r="AN183" s="15">
        <v>1</v>
      </c>
      <c r="AO183" s="15">
        <f t="shared" si="76"/>
        <v>0</v>
      </c>
      <c r="AP183" s="15">
        <v>0.4</v>
      </c>
      <c r="AQ183" s="189">
        <f t="shared" si="73"/>
        <v>4635.0000000000009</v>
      </c>
      <c r="AR183" s="189">
        <f t="shared" si="74"/>
        <v>5206</v>
      </c>
      <c r="AS183" s="189">
        <f t="shared" si="70"/>
        <v>4110</v>
      </c>
      <c r="AT183" s="189">
        <f t="shared" si="71"/>
        <v>8220</v>
      </c>
      <c r="AU183" s="50">
        <f t="shared" si="72"/>
        <v>10412</v>
      </c>
    </row>
    <row r="184" spans="36:47">
      <c r="AJ184" s="50">
        <v>2</v>
      </c>
      <c r="AK184" s="50">
        <v>0</v>
      </c>
      <c r="AL184" s="50">
        <v>1</v>
      </c>
      <c r="AM184" s="15">
        <f>Tabela21[[#This Row],[Att subs]]+Tabela21[[#This Row],[Crit D subs]]</f>
        <v>1</v>
      </c>
      <c r="AN184" s="15">
        <v>1</v>
      </c>
      <c r="AO184" s="15">
        <f t="shared" si="76"/>
        <v>0</v>
      </c>
      <c r="AP184" s="15">
        <v>0.5</v>
      </c>
      <c r="AQ184" s="189">
        <f t="shared" si="73"/>
        <v>4635.0000000000009</v>
      </c>
      <c r="AR184" s="189">
        <f t="shared" si="74"/>
        <v>5206</v>
      </c>
      <c r="AS184" s="189">
        <f t="shared" si="70"/>
        <v>4110</v>
      </c>
      <c r="AT184" s="189">
        <f t="shared" si="71"/>
        <v>8220</v>
      </c>
      <c r="AU184" s="50">
        <f t="shared" si="72"/>
        <v>10412</v>
      </c>
    </row>
    <row r="185" spans="36:47">
      <c r="AJ185" s="50">
        <v>2</v>
      </c>
      <c r="AK185" s="50">
        <v>0</v>
      </c>
      <c r="AL185" s="50">
        <v>1</v>
      </c>
      <c r="AM185" s="15">
        <f>Tabela21[[#This Row],[Att subs]]+Tabela21[[#This Row],[Crit D subs]]</f>
        <v>1</v>
      </c>
      <c r="AN185" s="15">
        <v>1</v>
      </c>
      <c r="AO185" s="15">
        <f t="shared" si="76"/>
        <v>0</v>
      </c>
      <c r="AP185" s="15">
        <v>0.6</v>
      </c>
      <c r="AQ185" s="189">
        <f t="shared" si="73"/>
        <v>4635.0000000000009</v>
      </c>
      <c r="AR185" s="189">
        <f t="shared" si="74"/>
        <v>5206</v>
      </c>
      <c r="AS185" s="189">
        <f t="shared" si="70"/>
        <v>4110</v>
      </c>
      <c r="AT185" s="189">
        <f t="shared" si="71"/>
        <v>8220</v>
      </c>
      <c r="AU185" s="50">
        <f t="shared" si="72"/>
        <v>10412</v>
      </c>
    </row>
    <row r="186" spans="36:47">
      <c r="AJ186" s="50">
        <v>2</v>
      </c>
      <c r="AK186" s="50">
        <v>0</v>
      </c>
      <c r="AL186" s="50">
        <v>1</v>
      </c>
      <c r="AM186" s="15">
        <f>Tabela21[[#This Row],[Att subs]]+Tabela21[[#This Row],[Crit D subs]]</f>
        <v>1</v>
      </c>
      <c r="AN186" s="15">
        <v>1</v>
      </c>
      <c r="AO186" s="15">
        <f t="shared" si="76"/>
        <v>0</v>
      </c>
      <c r="AP186" s="15">
        <v>0.7</v>
      </c>
      <c r="AQ186" s="189">
        <f t="shared" si="73"/>
        <v>4635.0000000000009</v>
      </c>
      <c r="AR186" s="189">
        <f t="shared" si="74"/>
        <v>5206</v>
      </c>
      <c r="AS186" s="189">
        <f t="shared" si="70"/>
        <v>4110</v>
      </c>
      <c r="AT186" s="189">
        <f t="shared" si="71"/>
        <v>8220</v>
      </c>
      <c r="AU186" s="50">
        <f t="shared" si="72"/>
        <v>10412</v>
      </c>
    </row>
    <row r="187" spans="36:47">
      <c r="AJ187" s="50">
        <v>2</v>
      </c>
      <c r="AK187" s="50">
        <v>0</v>
      </c>
      <c r="AL187" s="50">
        <v>1</v>
      </c>
      <c r="AM187" s="15">
        <f>Tabela21[[#This Row],[Att subs]]+Tabela21[[#This Row],[Crit D subs]]</f>
        <v>1</v>
      </c>
      <c r="AN187" s="15">
        <v>1</v>
      </c>
      <c r="AO187" s="15">
        <f t="shared" si="76"/>
        <v>0</v>
      </c>
      <c r="AP187" s="15">
        <v>0.8</v>
      </c>
      <c r="AQ187" s="189">
        <f t="shared" si="73"/>
        <v>4635.0000000000009</v>
      </c>
      <c r="AR187" s="189">
        <f t="shared" si="74"/>
        <v>5206</v>
      </c>
      <c r="AS187" s="189">
        <f t="shared" si="70"/>
        <v>4110</v>
      </c>
      <c r="AT187" s="189">
        <f t="shared" si="71"/>
        <v>8220</v>
      </c>
      <c r="AU187" s="50">
        <f t="shared" si="72"/>
        <v>10412</v>
      </c>
    </row>
    <row r="188" spans="36:47">
      <c r="AJ188" s="50">
        <v>2</v>
      </c>
      <c r="AK188" s="50">
        <v>0</v>
      </c>
      <c r="AL188" s="50">
        <v>1</v>
      </c>
      <c r="AM188" s="15">
        <f>Tabela21[[#This Row],[Att subs]]+Tabela21[[#This Row],[Crit D subs]]</f>
        <v>1</v>
      </c>
      <c r="AN188" s="15">
        <v>1</v>
      </c>
      <c r="AO188" s="15">
        <f t="shared" si="76"/>
        <v>0</v>
      </c>
      <c r="AP188" s="15">
        <v>0.9</v>
      </c>
      <c r="AQ188" s="189">
        <f t="shared" si="73"/>
        <v>4635.0000000000009</v>
      </c>
      <c r="AR188" s="189">
        <f t="shared" si="74"/>
        <v>5206</v>
      </c>
      <c r="AS188" s="189">
        <f t="shared" si="70"/>
        <v>4110</v>
      </c>
      <c r="AT188" s="189">
        <f t="shared" si="71"/>
        <v>8220</v>
      </c>
      <c r="AU188" s="50">
        <f t="shared" si="72"/>
        <v>10412</v>
      </c>
    </row>
    <row r="189" spans="36:47">
      <c r="AJ189" s="50">
        <v>2</v>
      </c>
      <c r="AK189" s="50">
        <v>0</v>
      </c>
      <c r="AL189" s="50">
        <v>1</v>
      </c>
      <c r="AM189" s="15">
        <f>Tabela21[[#This Row],[Att subs]]+Tabela21[[#This Row],[Crit D subs]]</f>
        <v>1</v>
      </c>
      <c r="AN189" s="15">
        <v>1</v>
      </c>
      <c r="AO189" s="15">
        <f t="shared" si="76"/>
        <v>0</v>
      </c>
      <c r="AP189" s="15">
        <v>1</v>
      </c>
      <c r="AQ189" s="189">
        <f t="shared" si="73"/>
        <v>4635.0000000000009</v>
      </c>
      <c r="AR189" s="189">
        <f t="shared" si="74"/>
        <v>5206</v>
      </c>
      <c r="AS189" s="189">
        <f t="shared" si="70"/>
        <v>4110</v>
      </c>
      <c r="AT189" s="189">
        <f t="shared" si="71"/>
        <v>8220</v>
      </c>
      <c r="AU189" s="50">
        <f t="shared" si="72"/>
        <v>10412</v>
      </c>
    </row>
    <row r="190" spans="36:47">
      <c r="AJ190" s="50">
        <v>3</v>
      </c>
      <c r="AK190" s="50">
        <v>0</v>
      </c>
      <c r="AL190" s="50">
        <v>0</v>
      </c>
      <c r="AM190" s="15">
        <f>Tabela21[[#This Row],[Att subs]]+Tabela21[[#This Row],[Crit D subs]]</f>
        <v>1</v>
      </c>
      <c r="AN190" s="15">
        <v>1</v>
      </c>
      <c r="AO190" s="15">
        <f t="shared" si="76"/>
        <v>0</v>
      </c>
      <c r="AP190" s="15">
        <v>0</v>
      </c>
      <c r="AQ190" s="189">
        <f t="shared" si="73"/>
        <v>3927.1</v>
      </c>
      <c r="AR190" s="189">
        <f t="shared" si="74"/>
        <v>3865.7299999999996</v>
      </c>
      <c r="AS190" s="189">
        <f t="shared" si="70"/>
        <v>3903.0499999999997</v>
      </c>
      <c r="AT190" s="189">
        <f t="shared" si="71"/>
        <v>6282.2</v>
      </c>
      <c r="AU190" s="50">
        <f t="shared" si="72"/>
        <v>5461.16</v>
      </c>
    </row>
    <row r="191" spans="36:47">
      <c r="AJ191" s="50">
        <v>3</v>
      </c>
      <c r="AK191" s="50">
        <v>0</v>
      </c>
      <c r="AL191" s="50">
        <v>0</v>
      </c>
      <c r="AM191" s="15">
        <f>Tabela21[[#This Row],[Att subs]]+Tabela21[[#This Row],[Crit D subs]]</f>
        <v>1</v>
      </c>
      <c r="AN191" s="15">
        <v>1</v>
      </c>
      <c r="AO191" s="15">
        <f t="shared" si="76"/>
        <v>0</v>
      </c>
      <c r="AP191" s="15">
        <v>0.1</v>
      </c>
      <c r="AQ191" s="189">
        <f t="shared" si="73"/>
        <v>4100.1000000000004</v>
      </c>
      <c r="AR191" s="189">
        <f t="shared" si="74"/>
        <v>4145.63</v>
      </c>
      <c r="AS191" s="189">
        <f t="shared" si="70"/>
        <v>4058.5500000000006</v>
      </c>
      <c r="AT191" s="189">
        <f t="shared" si="71"/>
        <v>6904.2000000000007</v>
      </c>
      <c r="AU191" s="50">
        <f t="shared" si="72"/>
        <v>6331.96</v>
      </c>
    </row>
    <row r="192" spans="36:47">
      <c r="AJ192" s="50">
        <v>3</v>
      </c>
      <c r="AK192" s="50">
        <v>0</v>
      </c>
      <c r="AL192" s="50">
        <v>0</v>
      </c>
      <c r="AM192" s="15">
        <f>Tabela21[[#This Row],[Att subs]]+Tabela21[[#This Row],[Crit D subs]]</f>
        <v>1</v>
      </c>
      <c r="AN192" s="15">
        <v>1</v>
      </c>
      <c r="AO192" s="15">
        <f t="shared" si="76"/>
        <v>0</v>
      </c>
      <c r="AP192" s="15">
        <v>0.2</v>
      </c>
      <c r="AQ192" s="189">
        <f t="shared" si="73"/>
        <v>4273.0999999999995</v>
      </c>
      <c r="AR192" s="189">
        <f t="shared" si="74"/>
        <v>4425.53</v>
      </c>
      <c r="AS192" s="189">
        <f t="shared" si="70"/>
        <v>4214.05</v>
      </c>
      <c r="AT192" s="189">
        <f t="shared" si="71"/>
        <v>7526.2</v>
      </c>
      <c r="AU192" s="50">
        <f t="shared" si="72"/>
        <v>7202.7599999999993</v>
      </c>
    </row>
    <row r="193" spans="36:47">
      <c r="AJ193" s="50">
        <v>3</v>
      </c>
      <c r="AK193" s="50">
        <v>0</v>
      </c>
      <c r="AL193" s="50">
        <v>0</v>
      </c>
      <c r="AM193" s="15">
        <f>Tabela21[[#This Row],[Att subs]]+Tabela21[[#This Row],[Crit D subs]]</f>
        <v>1</v>
      </c>
      <c r="AN193" s="15">
        <v>1</v>
      </c>
      <c r="AO193" s="15">
        <f t="shared" si="76"/>
        <v>0</v>
      </c>
      <c r="AP193" s="15">
        <v>0.3</v>
      </c>
      <c r="AQ193" s="189">
        <f t="shared" si="73"/>
        <v>4446.1000000000004</v>
      </c>
      <c r="AR193" s="189">
        <f t="shared" si="74"/>
        <v>4705.4299999999994</v>
      </c>
      <c r="AS193" s="189">
        <f t="shared" si="70"/>
        <v>4369.5499999999993</v>
      </c>
      <c r="AT193" s="189">
        <f t="shared" si="71"/>
        <v>8148.1999999999989</v>
      </c>
      <c r="AU193" s="50">
        <f t="shared" si="72"/>
        <v>8073.56</v>
      </c>
    </row>
    <row r="194" spans="36:47">
      <c r="AJ194" s="50">
        <v>3</v>
      </c>
      <c r="AK194" s="50">
        <v>0</v>
      </c>
      <c r="AL194" s="50">
        <v>0</v>
      </c>
      <c r="AM194" s="15">
        <f>Tabela21[[#This Row],[Att subs]]+Tabela21[[#This Row],[Crit D subs]]</f>
        <v>1</v>
      </c>
      <c r="AN194" s="15">
        <v>1</v>
      </c>
      <c r="AO194" s="15">
        <f t="shared" si="76"/>
        <v>0</v>
      </c>
      <c r="AP194" s="15">
        <v>0.4</v>
      </c>
      <c r="AQ194" s="189">
        <f t="shared" si="73"/>
        <v>4619.0999999999995</v>
      </c>
      <c r="AR194" s="189">
        <f t="shared" si="74"/>
        <v>4985.329999999999</v>
      </c>
      <c r="AS194" s="189">
        <f t="shared" si="70"/>
        <v>4525.05</v>
      </c>
      <c r="AT194" s="189">
        <f t="shared" si="71"/>
        <v>8770.1999999999989</v>
      </c>
      <c r="AU194" s="50">
        <f t="shared" si="72"/>
        <v>8944.3599999999988</v>
      </c>
    </row>
    <row r="195" spans="36:47">
      <c r="AJ195" s="50">
        <v>3</v>
      </c>
      <c r="AK195" s="50">
        <v>0</v>
      </c>
      <c r="AL195" s="50">
        <v>0</v>
      </c>
      <c r="AM195" s="15">
        <f>Tabela21[[#This Row],[Att subs]]+Tabela21[[#This Row],[Crit D subs]]</f>
        <v>1</v>
      </c>
      <c r="AN195" s="15">
        <v>1</v>
      </c>
      <c r="AO195" s="15">
        <f t="shared" si="76"/>
        <v>0</v>
      </c>
      <c r="AP195" s="15">
        <v>0.5</v>
      </c>
      <c r="AQ195" s="189">
        <f t="shared" si="73"/>
        <v>4792.1000000000004</v>
      </c>
      <c r="AR195" s="189">
        <f t="shared" si="74"/>
        <v>5265.23</v>
      </c>
      <c r="AS195" s="189">
        <f t="shared" ref="AS195:AS258" si="77">$AG$3*(1+$AJ195*$Y$2+$AN195)*(MAXA(1-$AI$3-$AL195*$AA$3-$AP195-0.36,0)+MINA($AI$3+$AL195*$AA$3+$AP195+0.36,1)*(1+$AH$3+$AO195+$AK195*$Z$4))</f>
        <v>4665</v>
      </c>
      <c r="AT195" s="189">
        <f t="shared" ref="AT195:AT258" si="78">$AG$3*(1+$AJ195*$Y$2+$AN195)*(MAXA(1-$AI$3-$AL195*$AA$3-$AP195-0.36,0)+2*MINA($AI$3+$AL195*$AA$3+$AP195+0.36,1)*(1+$AH$3+$AO195+$AK195*$Z$4))</f>
        <v>9330</v>
      </c>
      <c r="AU195" s="50">
        <f t="shared" ref="AU195:AU258" si="79">$AG$3*(1+$AJ195*$Y$2+$AN195)*(MAXA(1-$AI$3-$AL195*$AA$3-$AP195-0.12,0)+2*MINA($AI$3+$AL195*$AA$3+$AP195+0.12,1)*(1+$AH$3+$AO195+$AK195*$Z$4+0.4))</f>
        <v>9815.16</v>
      </c>
    </row>
    <row r="196" spans="36:47">
      <c r="AJ196" s="50">
        <v>3</v>
      </c>
      <c r="AK196" s="50">
        <v>0</v>
      </c>
      <c r="AL196" s="50">
        <v>0</v>
      </c>
      <c r="AM196" s="15">
        <f>Tabela21[[#This Row],[Att subs]]+Tabela21[[#This Row],[Crit D subs]]</f>
        <v>1</v>
      </c>
      <c r="AN196" s="15">
        <v>1</v>
      </c>
      <c r="AO196" s="15">
        <f t="shared" si="76"/>
        <v>0</v>
      </c>
      <c r="AP196" s="15">
        <v>0.6</v>
      </c>
      <c r="AQ196" s="189">
        <f t="shared" ref="AQ196:AQ259" si="80">$AG$3*(1+$AJ196*$Y$2+$AN196+0.35)*(MAXA(1-$AI$3-$AL196*$AA$3-$AP196-0.12,0)+MINA($AI$3+$AL196*$AA$3+$AP196+0.12,1)*(1+$AH$3+$AO196+$AK196*$Z$4))</f>
        <v>4965.1000000000004</v>
      </c>
      <c r="AR196" s="189">
        <f t="shared" ref="AR196:AR259" si="81">$AG$3*(1+$AJ196*$Y$2+$AN196)*(MAXA(1-$AI$3-$AL196*$AA$3-$AP196-0.12,0)+MINA($AI$3+$AL196*$AA$3+$AP196+0.12,1)*(1+$AH$3+$AO196+$AK196*$Z$4+0.4))</f>
        <v>5545.13</v>
      </c>
      <c r="AS196" s="189">
        <f t="shared" si="77"/>
        <v>4665</v>
      </c>
      <c r="AT196" s="189">
        <f t="shared" si="78"/>
        <v>9330</v>
      </c>
      <c r="AU196" s="50">
        <f t="shared" si="79"/>
        <v>10685.96</v>
      </c>
    </row>
    <row r="197" spans="36:47">
      <c r="AJ197" s="50">
        <v>3</v>
      </c>
      <c r="AK197" s="50">
        <v>0</v>
      </c>
      <c r="AL197" s="50">
        <v>0</v>
      </c>
      <c r="AM197" s="15">
        <f>Tabela21[[#This Row],[Att subs]]+Tabela21[[#This Row],[Crit D subs]]</f>
        <v>1</v>
      </c>
      <c r="AN197" s="15">
        <v>1</v>
      </c>
      <c r="AO197" s="15">
        <f t="shared" si="76"/>
        <v>0</v>
      </c>
      <c r="AP197" s="15">
        <v>0.7</v>
      </c>
      <c r="AQ197" s="189">
        <f t="shared" si="80"/>
        <v>5138.1000000000004</v>
      </c>
      <c r="AR197" s="189">
        <f t="shared" si="81"/>
        <v>5825.03</v>
      </c>
      <c r="AS197" s="189">
        <f t="shared" si="77"/>
        <v>4665</v>
      </c>
      <c r="AT197" s="189">
        <f t="shared" si="78"/>
        <v>9330</v>
      </c>
      <c r="AU197" s="50">
        <f t="shared" si="79"/>
        <v>11556.76</v>
      </c>
    </row>
    <row r="198" spans="36:47">
      <c r="AJ198" s="50">
        <v>3</v>
      </c>
      <c r="AK198" s="50">
        <v>0</v>
      </c>
      <c r="AL198" s="50">
        <v>0</v>
      </c>
      <c r="AM198" s="15">
        <f>Tabela21[[#This Row],[Att subs]]+Tabela21[[#This Row],[Crit D subs]]</f>
        <v>1</v>
      </c>
      <c r="AN198" s="15">
        <v>1</v>
      </c>
      <c r="AO198" s="15">
        <f t="shared" si="76"/>
        <v>0</v>
      </c>
      <c r="AP198" s="15">
        <v>0.8</v>
      </c>
      <c r="AQ198" s="189">
        <f t="shared" si="80"/>
        <v>5190</v>
      </c>
      <c r="AR198" s="189">
        <f t="shared" si="81"/>
        <v>5909</v>
      </c>
      <c r="AS198" s="189">
        <f t="shared" si="77"/>
        <v>4665</v>
      </c>
      <c r="AT198" s="189">
        <f t="shared" si="78"/>
        <v>9330</v>
      </c>
      <c r="AU198" s="50">
        <f t="shared" si="79"/>
        <v>11818</v>
      </c>
    </row>
    <row r="199" spans="36:47">
      <c r="AJ199" s="50">
        <v>3</v>
      </c>
      <c r="AK199" s="50">
        <v>0</v>
      </c>
      <c r="AL199" s="50">
        <v>0</v>
      </c>
      <c r="AM199" s="15">
        <f>Tabela21[[#This Row],[Att subs]]+Tabela21[[#This Row],[Crit D subs]]</f>
        <v>1</v>
      </c>
      <c r="AN199" s="15">
        <v>1</v>
      </c>
      <c r="AO199" s="15">
        <f t="shared" si="76"/>
        <v>0</v>
      </c>
      <c r="AP199" s="15">
        <v>0.9</v>
      </c>
      <c r="AQ199" s="189">
        <f t="shared" si="80"/>
        <v>5190</v>
      </c>
      <c r="AR199" s="189">
        <f t="shared" si="81"/>
        <v>5909</v>
      </c>
      <c r="AS199" s="189">
        <f t="shared" si="77"/>
        <v>4665</v>
      </c>
      <c r="AT199" s="189">
        <f t="shared" si="78"/>
        <v>9330</v>
      </c>
      <c r="AU199" s="50">
        <f t="shared" si="79"/>
        <v>11818</v>
      </c>
    </row>
    <row r="200" spans="36:47">
      <c r="AJ200" s="50">
        <v>3</v>
      </c>
      <c r="AK200" s="50">
        <v>0</v>
      </c>
      <c r="AL200" s="50">
        <v>0</v>
      </c>
      <c r="AM200" s="15">
        <f>Tabela21[[#This Row],[Att subs]]+Tabela21[[#This Row],[Crit D subs]]</f>
        <v>1</v>
      </c>
      <c r="AN200" s="15">
        <v>1</v>
      </c>
      <c r="AO200" s="15">
        <f t="shared" si="76"/>
        <v>0</v>
      </c>
      <c r="AP200" s="15">
        <v>1</v>
      </c>
      <c r="AQ200" s="189">
        <f t="shared" si="80"/>
        <v>5190</v>
      </c>
      <c r="AR200" s="189">
        <f t="shared" si="81"/>
        <v>5909</v>
      </c>
      <c r="AS200" s="189">
        <f t="shared" si="77"/>
        <v>4665</v>
      </c>
      <c r="AT200" s="189">
        <f t="shared" si="78"/>
        <v>9330</v>
      </c>
      <c r="AU200" s="50">
        <f t="shared" si="79"/>
        <v>11818</v>
      </c>
    </row>
    <row r="201" spans="36:47">
      <c r="AJ201" s="50">
        <v>2</v>
      </c>
      <c r="AK201" s="50">
        <v>1</v>
      </c>
      <c r="AL201" s="50">
        <v>0</v>
      </c>
      <c r="AM201" s="15">
        <f>Tabela21[[#This Row],[Att subs]]+Tabela21[[#This Row],[Crit D subs]]</f>
        <v>0.2</v>
      </c>
      <c r="AN201" s="15">
        <v>0</v>
      </c>
      <c r="AO201" s="15">
        <v>0.2</v>
      </c>
      <c r="AP201" s="15">
        <v>0</v>
      </c>
      <c r="AQ201" s="189">
        <f t="shared" si="80"/>
        <v>2750.2310000000002</v>
      </c>
      <c r="AR201" s="189">
        <f t="shared" si="81"/>
        <v>2477.5859999999998</v>
      </c>
      <c r="AS201" s="189">
        <f t="shared" si="77"/>
        <v>2778.2579999999998</v>
      </c>
      <c r="AT201" s="189">
        <f t="shared" ref="AT201:AT233" si="82">$AG$3*(1+$AJ201*$Y$2+$AN201+0.35)*(MAXA(1-$AI$3-$AL201*$AA$3-$AP201-0.12,0)+2*MINA($AI$3+$AL201*$AA$3+$AP201+0.12,1)*(1+$AH$3+$AO201+$AK201*$Z$4))</f>
        <v>3974.7619999999997</v>
      </c>
      <c r="AU201" s="189">
        <f t="shared" si="79"/>
        <v>3684.9719999999998</v>
      </c>
    </row>
    <row r="202" spans="36:47">
      <c r="AJ202" s="50">
        <v>2</v>
      </c>
      <c r="AK202" s="50">
        <v>1</v>
      </c>
      <c r="AL202" s="50">
        <v>0</v>
      </c>
      <c r="AM202" s="15">
        <f>Tabela21[[#This Row],[Att subs]]+Tabela21[[#This Row],[Crit D subs]]</f>
        <v>0.2</v>
      </c>
      <c r="AN202" s="15">
        <v>0</v>
      </c>
      <c r="AO202" s="15">
        <v>0.2</v>
      </c>
      <c r="AP202" s="15">
        <v>0.1</v>
      </c>
      <c r="AQ202" s="189">
        <f t="shared" si="80"/>
        <v>2994.761</v>
      </c>
      <c r="AR202" s="189">
        <f t="shared" si="81"/>
        <v>2750.7660000000001</v>
      </c>
      <c r="AS202" s="189">
        <f t="shared" si="77"/>
        <v>2981.8379999999997</v>
      </c>
      <c r="AT202" s="189">
        <f t="shared" si="82"/>
        <v>4672.8219999999992</v>
      </c>
      <c r="AU202" s="189">
        <f t="shared" si="79"/>
        <v>4405.3320000000003</v>
      </c>
    </row>
    <row r="203" spans="36:47">
      <c r="AJ203" s="50">
        <v>2</v>
      </c>
      <c r="AK203" s="50">
        <v>1</v>
      </c>
      <c r="AL203" s="50">
        <v>0</v>
      </c>
      <c r="AM203" s="15">
        <f>Tabela21[[#This Row],[Att subs]]+Tabela21[[#This Row],[Crit D subs]]</f>
        <v>0.2</v>
      </c>
      <c r="AN203" s="15">
        <v>0</v>
      </c>
      <c r="AO203" s="15">
        <v>0.2</v>
      </c>
      <c r="AP203" s="15">
        <v>0.2</v>
      </c>
      <c r="AQ203" s="189">
        <f t="shared" si="80"/>
        <v>3239.2909999999993</v>
      </c>
      <c r="AR203" s="189">
        <f t="shared" si="81"/>
        <v>3023.9459999999995</v>
      </c>
      <c r="AS203" s="189">
        <f t="shared" si="77"/>
        <v>3185.4179999999997</v>
      </c>
      <c r="AT203" s="189">
        <f t="shared" si="82"/>
        <v>5370.8819999999987</v>
      </c>
      <c r="AU203" s="189">
        <f t="shared" si="79"/>
        <v>5125.6919999999991</v>
      </c>
    </row>
    <row r="204" spans="36:47">
      <c r="AJ204" s="50">
        <v>2</v>
      </c>
      <c r="AK204" s="50">
        <v>1</v>
      </c>
      <c r="AL204" s="50">
        <v>0</v>
      </c>
      <c r="AM204" s="15">
        <f>Tabela21[[#This Row],[Att subs]]+Tabela21[[#This Row],[Crit D subs]]</f>
        <v>0.2</v>
      </c>
      <c r="AN204" s="15">
        <v>0</v>
      </c>
      <c r="AO204" s="15">
        <v>0.2</v>
      </c>
      <c r="AP204" s="15">
        <v>0.3</v>
      </c>
      <c r="AQ204" s="189">
        <f t="shared" si="80"/>
        <v>3483.8209999999999</v>
      </c>
      <c r="AR204" s="189">
        <f t="shared" si="81"/>
        <v>3297.1259999999997</v>
      </c>
      <c r="AS204" s="189">
        <f t="shared" si="77"/>
        <v>3388.9979999999996</v>
      </c>
      <c r="AT204" s="189">
        <f t="shared" si="82"/>
        <v>6068.942</v>
      </c>
      <c r="AU204" s="189">
        <f t="shared" si="79"/>
        <v>5846.0519999999997</v>
      </c>
    </row>
    <row r="205" spans="36:47">
      <c r="AJ205" s="50">
        <v>2</v>
      </c>
      <c r="AK205" s="50">
        <v>1</v>
      </c>
      <c r="AL205" s="50">
        <v>0</v>
      </c>
      <c r="AM205" s="15">
        <f>Tabela21[[#This Row],[Att subs]]+Tabela21[[#This Row],[Crit D subs]]</f>
        <v>0.2</v>
      </c>
      <c r="AN205" s="15">
        <v>0</v>
      </c>
      <c r="AO205" s="15">
        <v>0.2</v>
      </c>
      <c r="AP205" s="15">
        <v>0.4</v>
      </c>
      <c r="AQ205" s="189">
        <f t="shared" si="80"/>
        <v>3728.3510000000001</v>
      </c>
      <c r="AR205" s="189">
        <f t="shared" si="81"/>
        <v>3570.3059999999996</v>
      </c>
      <c r="AS205" s="189">
        <f t="shared" si="77"/>
        <v>3592.5779999999995</v>
      </c>
      <c r="AT205" s="189">
        <f t="shared" si="82"/>
        <v>6767.0020000000004</v>
      </c>
      <c r="AU205" s="189">
        <f t="shared" si="79"/>
        <v>6566.4120000000003</v>
      </c>
    </row>
    <row r="206" spans="36:47">
      <c r="AJ206" s="50">
        <v>2</v>
      </c>
      <c r="AK206" s="50">
        <v>1</v>
      </c>
      <c r="AL206" s="50">
        <v>0</v>
      </c>
      <c r="AM206" s="15">
        <f>Tabela21[[#This Row],[Att subs]]+Tabela21[[#This Row],[Crit D subs]]</f>
        <v>0.2</v>
      </c>
      <c r="AN206" s="15">
        <v>0</v>
      </c>
      <c r="AO206" s="15">
        <v>0.2</v>
      </c>
      <c r="AP206" s="15">
        <v>0.5</v>
      </c>
      <c r="AQ206" s="189">
        <f t="shared" si="80"/>
        <v>3972.8809999999999</v>
      </c>
      <c r="AR206" s="189">
        <f t="shared" si="81"/>
        <v>3843.4859999999999</v>
      </c>
      <c r="AS206" s="189">
        <f t="shared" si="77"/>
        <v>3775.7999999999997</v>
      </c>
      <c r="AT206" s="189">
        <f t="shared" si="82"/>
        <v>7465.0619999999999</v>
      </c>
      <c r="AU206" s="189">
        <f t="shared" si="79"/>
        <v>7286.771999999999</v>
      </c>
    </row>
    <row r="207" spans="36:47">
      <c r="AJ207" s="50">
        <v>2</v>
      </c>
      <c r="AK207" s="50">
        <v>1</v>
      </c>
      <c r="AL207" s="50">
        <v>0</v>
      </c>
      <c r="AM207" s="15">
        <f>Tabela21[[#This Row],[Att subs]]+Tabela21[[#This Row],[Crit D subs]]</f>
        <v>0.2</v>
      </c>
      <c r="AN207" s="15">
        <v>0</v>
      </c>
      <c r="AO207" s="15">
        <v>0.2</v>
      </c>
      <c r="AP207" s="15">
        <v>0.6</v>
      </c>
      <c r="AQ207" s="189">
        <f t="shared" si="80"/>
        <v>4217.4110000000001</v>
      </c>
      <c r="AR207" s="189">
        <f t="shared" si="81"/>
        <v>4116.6660000000002</v>
      </c>
      <c r="AS207" s="189">
        <f t="shared" si="77"/>
        <v>3775.7999999999997</v>
      </c>
      <c r="AT207" s="189">
        <f t="shared" si="82"/>
        <v>8163.1219999999994</v>
      </c>
      <c r="AU207" s="189">
        <f t="shared" si="79"/>
        <v>8007.1319999999996</v>
      </c>
    </row>
    <row r="208" spans="36:47">
      <c r="AJ208" s="50">
        <v>2</v>
      </c>
      <c r="AK208" s="50">
        <v>1</v>
      </c>
      <c r="AL208" s="50">
        <v>0</v>
      </c>
      <c r="AM208" s="15">
        <f>Tabela21[[#This Row],[Att subs]]+Tabela21[[#This Row],[Crit D subs]]</f>
        <v>0.2</v>
      </c>
      <c r="AN208" s="15">
        <v>0</v>
      </c>
      <c r="AO208" s="15">
        <v>0.2</v>
      </c>
      <c r="AP208" s="15">
        <v>0.7</v>
      </c>
      <c r="AQ208" s="189">
        <f t="shared" si="80"/>
        <v>4461.9409999999998</v>
      </c>
      <c r="AR208" s="189">
        <f t="shared" si="81"/>
        <v>4389.8459999999995</v>
      </c>
      <c r="AS208" s="189">
        <f t="shared" si="77"/>
        <v>3775.7999999999997</v>
      </c>
      <c r="AT208" s="189">
        <f t="shared" si="82"/>
        <v>8861.1819999999989</v>
      </c>
      <c r="AU208" s="189">
        <f t="shared" si="79"/>
        <v>8727.4920000000002</v>
      </c>
    </row>
    <row r="209" spans="36:47">
      <c r="AJ209" s="50">
        <v>2</v>
      </c>
      <c r="AK209" s="50">
        <v>1</v>
      </c>
      <c r="AL209" s="50">
        <v>0</v>
      </c>
      <c r="AM209" s="15">
        <f>Tabela21[[#This Row],[Att subs]]+Tabela21[[#This Row],[Crit D subs]]</f>
        <v>0.2</v>
      </c>
      <c r="AN209" s="15">
        <v>0</v>
      </c>
      <c r="AO209" s="15">
        <v>0.2</v>
      </c>
      <c r="AP209" s="15">
        <v>0.8</v>
      </c>
      <c r="AQ209" s="189">
        <f t="shared" si="80"/>
        <v>4535.3</v>
      </c>
      <c r="AR209" s="189">
        <f t="shared" si="81"/>
        <v>4471.7999999999993</v>
      </c>
      <c r="AS209" s="189">
        <f t="shared" si="77"/>
        <v>3775.7999999999997</v>
      </c>
      <c r="AT209" s="189">
        <f t="shared" si="82"/>
        <v>9070.6</v>
      </c>
      <c r="AU209" s="189">
        <f t="shared" si="79"/>
        <v>8943.5999999999985</v>
      </c>
    </row>
    <row r="210" spans="36:47">
      <c r="AJ210" s="50">
        <v>2</v>
      </c>
      <c r="AK210" s="50">
        <v>1</v>
      </c>
      <c r="AL210" s="50">
        <v>0</v>
      </c>
      <c r="AM210" s="15">
        <f>Tabela21[[#This Row],[Att subs]]+Tabela21[[#This Row],[Crit D subs]]</f>
        <v>0.2</v>
      </c>
      <c r="AN210" s="15">
        <v>0</v>
      </c>
      <c r="AO210" s="15">
        <v>0.2</v>
      </c>
      <c r="AP210" s="15">
        <v>0.9</v>
      </c>
      <c r="AQ210" s="189">
        <f t="shared" si="80"/>
        <v>4535.3</v>
      </c>
      <c r="AR210" s="189">
        <f t="shared" si="81"/>
        <v>4471.7999999999993</v>
      </c>
      <c r="AS210" s="189">
        <f t="shared" si="77"/>
        <v>3775.7999999999997</v>
      </c>
      <c r="AT210" s="189">
        <f t="shared" si="82"/>
        <v>9070.6</v>
      </c>
      <c r="AU210" s="189">
        <f t="shared" si="79"/>
        <v>8943.5999999999985</v>
      </c>
    </row>
    <row r="211" spans="36:47">
      <c r="AJ211" s="50">
        <v>2</v>
      </c>
      <c r="AK211" s="50">
        <v>1</v>
      </c>
      <c r="AL211" s="50">
        <v>0</v>
      </c>
      <c r="AM211" s="15">
        <f>Tabela21[[#This Row],[Att subs]]+Tabela21[[#This Row],[Crit D subs]]</f>
        <v>0.2</v>
      </c>
      <c r="AN211" s="15">
        <v>0</v>
      </c>
      <c r="AO211" s="15">
        <v>0.2</v>
      </c>
      <c r="AP211" s="15">
        <v>1</v>
      </c>
      <c r="AQ211" s="189">
        <f t="shared" si="80"/>
        <v>4535.3</v>
      </c>
      <c r="AR211" s="189">
        <f t="shared" si="81"/>
        <v>4471.7999999999993</v>
      </c>
      <c r="AS211" s="189">
        <f t="shared" si="77"/>
        <v>3775.7999999999997</v>
      </c>
      <c r="AT211" s="189">
        <f t="shared" si="82"/>
        <v>9070.6</v>
      </c>
      <c r="AU211" s="189">
        <f t="shared" si="79"/>
        <v>8943.5999999999985</v>
      </c>
    </row>
    <row r="212" spans="36:47">
      <c r="AJ212" s="50">
        <v>2</v>
      </c>
      <c r="AK212" s="50">
        <v>0</v>
      </c>
      <c r="AL212" s="50">
        <v>1</v>
      </c>
      <c r="AM212" s="15">
        <f>Tabela21[[#This Row],[Att subs]]+Tabela21[[#This Row],[Crit D subs]]</f>
        <v>0.2</v>
      </c>
      <c r="AN212" s="15">
        <v>0</v>
      </c>
      <c r="AO212" s="15">
        <v>0.2</v>
      </c>
      <c r="AP212" s="15">
        <v>0</v>
      </c>
      <c r="AQ212" s="189">
        <f t="shared" si="80"/>
        <v>2997.0600000000004</v>
      </c>
      <c r="AR212" s="189">
        <f t="shared" si="81"/>
        <v>2926.68</v>
      </c>
      <c r="AS212" s="189">
        <f t="shared" si="77"/>
        <v>2787.4799999999996</v>
      </c>
      <c r="AT212" s="189">
        <f t="shared" si="82"/>
        <v>5199.92</v>
      </c>
      <c r="AU212" s="189">
        <f t="shared" si="79"/>
        <v>5192.16</v>
      </c>
    </row>
    <row r="213" spans="36:47">
      <c r="AJ213" s="50">
        <v>2</v>
      </c>
      <c r="AK213" s="50">
        <v>0</v>
      </c>
      <c r="AL213" s="50">
        <v>1</v>
      </c>
      <c r="AM213" s="15">
        <f>Tabela21[[#This Row],[Att subs]]+Tabela21[[#This Row],[Crit D subs]]</f>
        <v>0.2</v>
      </c>
      <c r="AN213" s="15">
        <v>0</v>
      </c>
      <c r="AO213" s="15">
        <v>0.2</v>
      </c>
      <c r="AP213" s="15">
        <v>0.1</v>
      </c>
      <c r="AQ213" s="189">
        <f t="shared" si="80"/>
        <v>3143.36</v>
      </c>
      <c r="AR213" s="189">
        <f t="shared" si="81"/>
        <v>3118.08</v>
      </c>
      <c r="AS213" s="189">
        <f t="shared" si="77"/>
        <v>2909.2799999999997</v>
      </c>
      <c r="AT213" s="189">
        <f t="shared" si="82"/>
        <v>5701.5199999999995</v>
      </c>
      <c r="AU213" s="189">
        <f t="shared" si="79"/>
        <v>5748.96</v>
      </c>
    </row>
    <row r="214" spans="36:47">
      <c r="AJ214" s="50">
        <v>2</v>
      </c>
      <c r="AK214" s="50">
        <v>0</v>
      </c>
      <c r="AL214" s="50">
        <v>1</v>
      </c>
      <c r="AM214" s="15">
        <f>Tabela21[[#This Row],[Att subs]]+Tabela21[[#This Row],[Crit D subs]]</f>
        <v>0.2</v>
      </c>
      <c r="AN214" s="15">
        <v>0</v>
      </c>
      <c r="AO214" s="15">
        <v>0.2</v>
      </c>
      <c r="AP214" s="15">
        <v>0.2</v>
      </c>
      <c r="AQ214" s="189">
        <f t="shared" si="80"/>
        <v>3289.66</v>
      </c>
      <c r="AR214" s="189">
        <f t="shared" si="81"/>
        <v>3309.48</v>
      </c>
      <c r="AS214" s="189">
        <f t="shared" si="77"/>
        <v>2958</v>
      </c>
      <c r="AT214" s="189">
        <f t="shared" si="82"/>
        <v>6203.12</v>
      </c>
      <c r="AU214" s="189">
        <f t="shared" si="79"/>
        <v>6305.76</v>
      </c>
    </row>
    <row r="215" spans="36:47">
      <c r="AJ215" s="50">
        <v>2</v>
      </c>
      <c r="AK215" s="50">
        <v>0</v>
      </c>
      <c r="AL215" s="50">
        <v>1</v>
      </c>
      <c r="AM215" s="15">
        <f>Tabela21[[#This Row],[Att subs]]+Tabela21[[#This Row],[Crit D subs]]</f>
        <v>0.2</v>
      </c>
      <c r="AN215" s="15">
        <v>0</v>
      </c>
      <c r="AO215" s="15">
        <v>0.2</v>
      </c>
      <c r="AP215" s="15">
        <v>0.3</v>
      </c>
      <c r="AQ215" s="189">
        <f t="shared" si="80"/>
        <v>3435.9600000000005</v>
      </c>
      <c r="AR215" s="189">
        <f t="shared" si="81"/>
        <v>3500.88</v>
      </c>
      <c r="AS215" s="189">
        <f t="shared" si="77"/>
        <v>2958</v>
      </c>
      <c r="AT215" s="189">
        <f t="shared" si="82"/>
        <v>6704.72</v>
      </c>
      <c r="AU215" s="189">
        <f t="shared" si="79"/>
        <v>6862.56</v>
      </c>
    </row>
    <row r="216" spans="36:47">
      <c r="AJ216" s="50">
        <v>2</v>
      </c>
      <c r="AK216" s="50">
        <v>0</v>
      </c>
      <c r="AL216" s="50">
        <v>1</v>
      </c>
      <c r="AM216" s="15">
        <f>Tabela21[[#This Row],[Att subs]]+Tabela21[[#This Row],[Crit D subs]]</f>
        <v>0.2</v>
      </c>
      <c r="AN216" s="15">
        <v>0</v>
      </c>
      <c r="AO216" s="15">
        <v>0.2</v>
      </c>
      <c r="AP216" s="15">
        <v>0.4</v>
      </c>
      <c r="AQ216" s="189">
        <f t="shared" si="80"/>
        <v>3553</v>
      </c>
      <c r="AR216" s="189">
        <f t="shared" si="81"/>
        <v>3654</v>
      </c>
      <c r="AS216" s="189">
        <f t="shared" si="77"/>
        <v>2958</v>
      </c>
      <c r="AT216" s="189">
        <f t="shared" si="82"/>
        <v>7106</v>
      </c>
      <c r="AU216" s="189">
        <f t="shared" si="79"/>
        <v>7308</v>
      </c>
    </row>
    <row r="217" spans="36:47">
      <c r="AJ217" s="50">
        <v>2</v>
      </c>
      <c r="AK217" s="50">
        <v>0</v>
      </c>
      <c r="AL217" s="50">
        <v>1</v>
      </c>
      <c r="AM217" s="15">
        <f>Tabela21[[#This Row],[Att subs]]+Tabela21[[#This Row],[Crit D subs]]</f>
        <v>0.2</v>
      </c>
      <c r="AN217" s="15">
        <v>0</v>
      </c>
      <c r="AO217" s="15">
        <v>0.2</v>
      </c>
      <c r="AP217" s="15">
        <v>0.5</v>
      </c>
      <c r="AQ217" s="189">
        <f t="shared" si="80"/>
        <v>3553</v>
      </c>
      <c r="AR217" s="189">
        <f t="shared" si="81"/>
        <v>3654</v>
      </c>
      <c r="AS217" s="189">
        <f t="shared" si="77"/>
        <v>2958</v>
      </c>
      <c r="AT217" s="189">
        <f t="shared" si="82"/>
        <v>7106</v>
      </c>
      <c r="AU217" s="189">
        <f t="shared" si="79"/>
        <v>7308</v>
      </c>
    </row>
    <row r="218" spans="36:47">
      <c r="AJ218" s="50">
        <v>2</v>
      </c>
      <c r="AK218" s="50">
        <v>0</v>
      </c>
      <c r="AL218" s="50">
        <v>1</v>
      </c>
      <c r="AM218" s="15">
        <f>Tabela21[[#This Row],[Att subs]]+Tabela21[[#This Row],[Crit D subs]]</f>
        <v>0.2</v>
      </c>
      <c r="AN218" s="15">
        <v>0</v>
      </c>
      <c r="AO218" s="15">
        <v>0.2</v>
      </c>
      <c r="AP218" s="15">
        <v>0.6</v>
      </c>
      <c r="AQ218" s="189">
        <f t="shared" si="80"/>
        <v>3553</v>
      </c>
      <c r="AR218" s="189">
        <f t="shared" si="81"/>
        <v>3654</v>
      </c>
      <c r="AS218" s="189">
        <f t="shared" si="77"/>
        <v>2958</v>
      </c>
      <c r="AT218" s="189">
        <f t="shared" si="82"/>
        <v>7106</v>
      </c>
      <c r="AU218" s="189">
        <f t="shared" si="79"/>
        <v>7308</v>
      </c>
    </row>
    <row r="219" spans="36:47">
      <c r="AJ219" s="50">
        <v>2</v>
      </c>
      <c r="AK219" s="50">
        <v>0</v>
      </c>
      <c r="AL219" s="50">
        <v>1</v>
      </c>
      <c r="AM219" s="15">
        <f>Tabela21[[#This Row],[Att subs]]+Tabela21[[#This Row],[Crit D subs]]</f>
        <v>0.2</v>
      </c>
      <c r="AN219" s="15">
        <v>0</v>
      </c>
      <c r="AO219" s="15">
        <v>0.2</v>
      </c>
      <c r="AP219" s="15">
        <v>0.7</v>
      </c>
      <c r="AQ219" s="189">
        <f t="shared" si="80"/>
        <v>3553</v>
      </c>
      <c r="AR219" s="189">
        <f t="shared" si="81"/>
        <v>3654</v>
      </c>
      <c r="AS219" s="189">
        <f t="shared" si="77"/>
        <v>2958</v>
      </c>
      <c r="AT219" s="189">
        <f t="shared" si="82"/>
        <v>7106</v>
      </c>
      <c r="AU219" s="189">
        <f t="shared" si="79"/>
        <v>7308</v>
      </c>
    </row>
    <row r="220" spans="36:47">
      <c r="AJ220" s="50">
        <v>2</v>
      </c>
      <c r="AK220" s="50">
        <v>0</v>
      </c>
      <c r="AL220" s="50">
        <v>1</v>
      </c>
      <c r="AM220" s="15">
        <f>Tabela21[[#This Row],[Att subs]]+Tabela21[[#This Row],[Crit D subs]]</f>
        <v>0.2</v>
      </c>
      <c r="AN220" s="15">
        <v>0</v>
      </c>
      <c r="AO220" s="15">
        <v>0.2</v>
      </c>
      <c r="AP220" s="15">
        <v>0.8</v>
      </c>
      <c r="AQ220" s="189">
        <f t="shared" si="80"/>
        <v>3553</v>
      </c>
      <c r="AR220" s="189">
        <f t="shared" si="81"/>
        <v>3654</v>
      </c>
      <c r="AS220" s="189">
        <f t="shared" si="77"/>
        <v>2958</v>
      </c>
      <c r="AT220" s="189">
        <f t="shared" si="82"/>
        <v>7106</v>
      </c>
      <c r="AU220" s="189">
        <f t="shared" si="79"/>
        <v>7308</v>
      </c>
    </row>
    <row r="221" spans="36:47">
      <c r="AJ221" s="50">
        <v>2</v>
      </c>
      <c r="AK221" s="50">
        <v>0</v>
      </c>
      <c r="AL221" s="50">
        <v>1</v>
      </c>
      <c r="AM221" s="15">
        <f>Tabela21[[#This Row],[Att subs]]+Tabela21[[#This Row],[Crit D subs]]</f>
        <v>0.2</v>
      </c>
      <c r="AN221" s="15">
        <v>0</v>
      </c>
      <c r="AO221" s="15">
        <v>0.2</v>
      </c>
      <c r="AP221" s="15">
        <v>0.9</v>
      </c>
      <c r="AQ221" s="189">
        <f t="shared" si="80"/>
        <v>3553</v>
      </c>
      <c r="AR221" s="189">
        <f t="shared" si="81"/>
        <v>3654</v>
      </c>
      <c r="AS221" s="189">
        <f t="shared" si="77"/>
        <v>2958</v>
      </c>
      <c r="AT221" s="189">
        <f t="shared" si="82"/>
        <v>7106</v>
      </c>
      <c r="AU221" s="189">
        <f t="shared" si="79"/>
        <v>7308</v>
      </c>
    </row>
    <row r="222" spans="36:47">
      <c r="AJ222" s="50">
        <v>2</v>
      </c>
      <c r="AK222" s="50">
        <v>0</v>
      </c>
      <c r="AL222" s="50">
        <v>1</v>
      </c>
      <c r="AM222" s="15">
        <f>Tabela21[[#This Row],[Att subs]]+Tabela21[[#This Row],[Crit D subs]]</f>
        <v>0.2</v>
      </c>
      <c r="AN222" s="15">
        <v>0</v>
      </c>
      <c r="AO222" s="15">
        <v>0.2</v>
      </c>
      <c r="AP222" s="15">
        <v>1</v>
      </c>
      <c r="AQ222" s="189">
        <f t="shared" si="80"/>
        <v>3553</v>
      </c>
      <c r="AR222" s="189">
        <f t="shared" si="81"/>
        <v>3654</v>
      </c>
      <c r="AS222" s="189">
        <f t="shared" si="77"/>
        <v>2958</v>
      </c>
      <c r="AT222" s="189">
        <f t="shared" si="82"/>
        <v>7106</v>
      </c>
      <c r="AU222" s="189">
        <f t="shared" si="79"/>
        <v>7308</v>
      </c>
    </row>
    <row r="223" spans="36:47">
      <c r="AJ223" s="50">
        <v>3</v>
      </c>
      <c r="AK223" s="50">
        <v>0</v>
      </c>
      <c r="AL223" s="50">
        <v>0</v>
      </c>
      <c r="AM223" s="15">
        <f>Tabela21[[#This Row],[Att subs]]+Tabela21[[#This Row],[Crit D subs]]</f>
        <v>0.2</v>
      </c>
      <c r="AN223" s="15">
        <v>0</v>
      </c>
      <c r="AO223" s="15">
        <v>0.2</v>
      </c>
      <c r="AP223" s="15">
        <v>0</v>
      </c>
      <c r="AQ223" s="189">
        <f t="shared" si="80"/>
        <v>2924.94</v>
      </c>
      <c r="AR223" s="189">
        <f t="shared" si="81"/>
        <v>2736.6700000000005</v>
      </c>
      <c r="AS223" s="189">
        <f t="shared" si="77"/>
        <v>2863.27</v>
      </c>
      <c r="AT223" s="189">
        <f t="shared" si="82"/>
        <v>4054.0800000000004</v>
      </c>
      <c r="AU223" s="189">
        <f t="shared" si="79"/>
        <v>3933.0400000000004</v>
      </c>
    </row>
    <row r="224" spans="36:47">
      <c r="AJ224" s="50">
        <v>3</v>
      </c>
      <c r="AK224" s="50">
        <v>0</v>
      </c>
      <c r="AL224" s="50">
        <v>0</v>
      </c>
      <c r="AM224" s="15">
        <f>Tabela21[[#This Row],[Att subs]]+Tabela21[[#This Row],[Crit D subs]]</f>
        <v>0.2</v>
      </c>
      <c r="AN224" s="15">
        <v>0</v>
      </c>
      <c r="AO224" s="15">
        <v>0.2</v>
      </c>
      <c r="AP224" s="15">
        <v>0.1</v>
      </c>
      <c r="AQ224" s="189">
        <f t="shared" si="80"/>
        <v>3097.14</v>
      </c>
      <c r="AR224" s="189">
        <f t="shared" si="81"/>
        <v>2968.77</v>
      </c>
      <c r="AS224" s="189">
        <f t="shared" si="77"/>
        <v>3010.9700000000003</v>
      </c>
      <c r="AT224" s="189">
        <f t="shared" si="82"/>
        <v>4644.4799999999996</v>
      </c>
      <c r="AU224" s="189">
        <f t="shared" si="79"/>
        <v>4608.2400000000007</v>
      </c>
    </row>
    <row r="225" spans="36:47">
      <c r="AJ225" s="50">
        <v>3</v>
      </c>
      <c r="AK225" s="50">
        <v>0</v>
      </c>
      <c r="AL225" s="50">
        <v>0</v>
      </c>
      <c r="AM225" s="15">
        <f>Tabela21[[#This Row],[Att subs]]+Tabela21[[#This Row],[Crit D subs]]</f>
        <v>0.2</v>
      </c>
      <c r="AN225" s="15">
        <v>0</v>
      </c>
      <c r="AO225" s="15">
        <v>0.2</v>
      </c>
      <c r="AP225" s="15">
        <v>0.2</v>
      </c>
      <c r="AQ225" s="189">
        <f t="shared" si="80"/>
        <v>3269.3399999999992</v>
      </c>
      <c r="AR225" s="189">
        <f t="shared" si="81"/>
        <v>3200.87</v>
      </c>
      <c r="AS225" s="189">
        <f t="shared" si="77"/>
        <v>3158.6699999999996</v>
      </c>
      <c r="AT225" s="189">
        <f t="shared" si="82"/>
        <v>5234.8799999999992</v>
      </c>
      <c r="AU225" s="189">
        <f t="shared" si="79"/>
        <v>5283.44</v>
      </c>
    </row>
    <row r="226" spans="36:47">
      <c r="AJ226" s="50">
        <v>3</v>
      </c>
      <c r="AK226" s="50">
        <v>0</v>
      </c>
      <c r="AL226" s="50">
        <v>0</v>
      </c>
      <c r="AM226" s="15">
        <f>Tabela21[[#This Row],[Att subs]]+Tabela21[[#This Row],[Crit D subs]]</f>
        <v>0.2</v>
      </c>
      <c r="AN226" s="15">
        <v>0</v>
      </c>
      <c r="AO226" s="15">
        <v>0.2</v>
      </c>
      <c r="AP226" s="15">
        <v>0.3</v>
      </c>
      <c r="AQ226" s="189">
        <f t="shared" si="80"/>
        <v>3441.54</v>
      </c>
      <c r="AR226" s="189">
        <f t="shared" si="81"/>
        <v>3432.9699999999993</v>
      </c>
      <c r="AS226" s="189">
        <f t="shared" si="77"/>
        <v>3306.3699999999994</v>
      </c>
      <c r="AT226" s="189">
        <f t="shared" si="82"/>
        <v>5825.28</v>
      </c>
      <c r="AU226" s="189">
        <f t="shared" si="79"/>
        <v>5958.6399999999994</v>
      </c>
    </row>
    <row r="227" spans="36:47">
      <c r="AJ227" s="50">
        <v>3</v>
      </c>
      <c r="AK227" s="50">
        <v>0</v>
      </c>
      <c r="AL227" s="50">
        <v>0</v>
      </c>
      <c r="AM227" s="15">
        <f>Tabela21[[#This Row],[Att subs]]+Tabela21[[#This Row],[Crit D subs]]</f>
        <v>0.2</v>
      </c>
      <c r="AN227" s="15">
        <v>0</v>
      </c>
      <c r="AO227" s="15">
        <v>0.2</v>
      </c>
      <c r="AP227" s="15">
        <v>0.4</v>
      </c>
      <c r="AQ227" s="189">
        <f t="shared" si="80"/>
        <v>3613.74</v>
      </c>
      <c r="AR227" s="189">
        <f t="shared" si="81"/>
        <v>3665.07</v>
      </c>
      <c r="AS227" s="189">
        <f t="shared" si="77"/>
        <v>3454.07</v>
      </c>
      <c r="AT227" s="189">
        <f t="shared" si="82"/>
        <v>6415.68</v>
      </c>
      <c r="AU227" s="189">
        <f t="shared" si="79"/>
        <v>6633.8400000000011</v>
      </c>
    </row>
    <row r="228" spans="36:47">
      <c r="AJ228" s="50">
        <v>3</v>
      </c>
      <c r="AK228" s="50">
        <v>0</v>
      </c>
      <c r="AL228" s="50">
        <v>0</v>
      </c>
      <c r="AM228" s="15">
        <f>Tabela21[[#This Row],[Att subs]]+Tabela21[[#This Row],[Crit D subs]]</f>
        <v>0.2</v>
      </c>
      <c r="AN228" s="15">
        <v>0</v>
      </c>
      <c r="AO228" s="15">
        <v>0.2</v>
      </c>
      <c r="AP228" s="15">
        <v>0.5</v>
      </c>
      <c r="AQ228" s="189">
        <f t="shared" si="80"/>
        <v>3785.9399999999996</v>
      </c>
      <c r="AR228" s="189">
        <f t="shared" si="81"/>
        <v>3897.1700000000005</v>
      </c>
      <c r="AS228" s="189">
        <f t="shared" si="77"/>
        <v>3587</v>
      </c>
      <c r="AT228" s="189">
        <f t="shared" si="82"/>
        <v>7006.08</v>
      </c>
      <c r="AU228" s="189">
        <f t="shared" si="79"/>
        <v>7309.0400000000009</v>
      </c>
    </row>
    <row r="229" spans="36:47">
      <c r="AJ229" s="50">
        <v>3</v>
      </c>
      <c r="AK229" s="50">
        <v>0</v>
      </c>
      <c r="AL229" s="50">
        <v>0</v>
      </c>
      <c r="AM229" s="15">
        <f>Tabela21[[#This Row],[Att subs]]+Tabela21[[#This Row],[Crit D subs]]</f>
        <v>0.2</v>
      </c>
      <c r="AN229" s="15">
        <v>0</v>
      </c>
      <c r="AO229" s="15">
        <v>0.2</v>
      </c>
      <c r="AP229" s="15">
        <v>0.6</v>
      </c>
      <c r="AQ229" s="189">
        <f t="shared" si="80"/>
        <v>3958.14</v>
      </c>
      <c r="AR229" s="189">
        <f t="shared" si="81"/>
        <v>4129.2699999999995</v>
      </c>
      <c r="AS229" s="189">
        <f t="shared" si="77"/>
        <v>3587</v>
      </c>
      <c r="AT229" s="189">
        <f t="shared" si="82"/>
        <v>7596.4799999999987</v>
      </c>
      <c r="AU229" s="189">
        <f t="shared" si="79"/>
        <v>7984.24</v>
      </c>
    </row>
    <row r="230" spans="36:47">
      <c r="AJ230" s="50">
        <v>3</v>
      </c>
      <c r="AK230" s="50">
        <v>0</v>
      </c>
      <c r="AL230" s="50">
        <v>0</v>
      </c>
      <c r="AM230" s="15">
        <f>Tabela21[[#This Row],[Att subs]]+Tabela21[[#This Row],[Crit D subs]]</f>
        <v>0.2</v>
      </c>
      <c r="AN230" s="15">
        <v>0</v>
      </c>
      <c r="AO230" s="15">
        <v>0.2</v>
      </c>
      <c r="AP230" s="15">
        <v>0.7</v>
      </c>
      <c r="AQ230" s="189">
        <f t="shared" si="80"/>
        <v>4130.34</v>
      </c>
      <c r="AR230" s="189">
        <f t="shared" si="81"/>
        <v>4361.3700000000008</v>
      </c>
      <c r="AS230" s="189">
        <f t="shared" si="77"/>
        <v>3587</v>
      </c>
      <c r="AT230" s="189">
        <f t="shared" si="82"/>
        <v>8186.880000000001</v>
      </c>
      <c r="AU230" s="189">
        <f t="shared" si="79"/>
        <v>8659.44</v>
      </c>
    </row>
    <row r="231" spans="36:47">
      <c r="AJ231" s="50">
        <v>3</v>
      </c>
      <c r="AK231" s="50">
        <v>0</v>
      </c>
      <c r="AL231" s="50">
        <v>0</v>
      </c>
      <c r="AM231" s="15">
        <f>Tabela21[[#This Row],[Att subs]]+Tabela21[[#This Row],[Crit D subs]]</f>
        <v>0.2</v>
      </c>
      <c r="AN231" s="15">
        <v>0</v>
      </c>
      <c r="AO231" s="15">
        <v>0.2</v>
      </c>
      <c r="AP231" s="15">
        <v>0.8</v>
      </c>
      <c r="AQ231" s="189">
        <f t="shared" si="80"/>
        <v>4182</v>
      </c>
      <c r="AR231" s="189">
        <f t="shared" si="81"/>
        <v>4431</v>
      </c>
      <c r="AS231" s="189">
        <f t="shared" si="77"/>
        <v>3587</v>
      </c>
      <c r="AT231" s="189">
        <f t="shared" si="82"/>
        <v>8364</v>
      </c>
      <c r="AU231" s="189">
        <f t="shared" si="79"/>
        <v>8862</v>
      </c>
    </row>
    <row r="232" spans="36:47">
      <c r="AJ232" s="50">
        <v>3</v>
      </c>
      <c r="AK232" s="50">
        <v>0</v>
      </c>
      <c r="AL232" s="50">
        <v>0</v>
      </c>
      <c r="AM232" s="15">
        <f>Tabela21[[#This Row],[Att subs]]+Tabela21[[#This Row],[Crit D subs]]</f>
        <v>0.2</v>
      </c>
      <c r="AN232" s="15">
        <v>0</v>
      </c>
      <c r="AO232" s="15">
        <v>0.2</v>
      </c>
      <c r="AP232" s="15">
        <v>0.9</v>
      </c>
      <c r="AQ232" s="189">
        <f t="shared" si="80"/>
        <v>4182</v>
      </c>
      <c r="AR232" s="189">
        <f t="shared" si="81"/>
        <v>4431</v>
      </c>
      <c r="AS232" s="189">
        <f t="shared" si="77"/>
        <v>3587</v>
      </c>
      <c r="AT232" s="189">
        <f t="shared" si="82"/>
        <v>8364</v>
      </c>
      <c r="AU232" s="189">
        <f t="shared" si="79"/>
        <v>8862</v>
      </c>
    </row>
    <row r="233" spans="36:47">
      <c r="AJ233" s="50">
        <v>3</v>
      </c>
      <c r="AK233" s="50">
        <v>0</v>
      </c>
      <c r="AL233" s="50">
        <v>0</v>
      </c>
      <c r="AM233" s="15">
        <f>Tabela21[[#This Row],[Att subs]]+Tabela21[[#This Row],[Crit D subs]]</f>
        <v>0.2</v>
      </c>
      <c r="AN233" s="15">
        <v>0</v>
      </c>
      <c r="AO233" s="15">
        <v>0.2</v>
      </c>
      <c r="AP233" s="15">
        <v>1</v>
      </c>
      <c r="AQ233" s="189">
        <f t="shared" si="80"/>
        <v>4182</v>
      </c>
      <c r="AR233" s="189">
        <f t="shared" si="81"/>
        <v>4431</v>
      </c>
      <c r="AS233" s="189">
        <f t="shared" si="77"/>
        <v>3587</v>
      </c>
      <c r="AT233" s="189">
        <f t="shared" si="82"/>
        <v>8364</v>
      </c>
      <c r="AU233" s="189">
        <f t="shared" si="79"/>
        <v>8862</v>
      </c>
    </row>
    <row r="234" spans="36:47">
      <c r="AJ234" s="50">
        <v>2</v>
      </c>
      <c r="AK234" s="50">
        <v>1</v>
      </c>
      <c r="AL234" s="50">
        <v>0</v>
      </c>
      <c r="AM234" s="15">
        <f>Tabela21[[#This Row],[Att subs]]+Tabela21[[#This Row],[Crit D subs]]</f>
        <v>0.4</v>
      </c>
      <c r="AN234" s="15">
        <v>0.2</v>
      </c>
      <c r="AO234" s="15">
        <v>0.2</v>
      </c>
      <c r="AP234" s="15">
        <v>0</v>
      </c>
      <c r="AQ234" s="189">
        <f t="shared" si="80"/>
        <v>3013.4110000000001</v>
      </c>
      <c r="AR234" s="189">
        <f t="shared" si="81"/>
        <v>2762.366</v>
      </c>
      <c r="AS234" s="189">
        <f t="shared" si="77"/>
        <v>3097.598</v>
      </c>
      <c r="AT234" s="189">
        <f t="shared" si="78"/>
        <v>5244.5960000000005</v>
      </c>
      <c r="AU234" s="50">
        <f t="shared" si="79"/>
        <v>4108.5320000000002</v>
      </c>
    </row>
    <row r="235" spans="36:47">
      <c r="AJ235" s="50">
        <v>2</v>
      </c>
      <c r="AK235" s="50">
        <v>1</v>
      </c>
      <c r="AL235" s="50">
        <v>0</v>
      </c>
      <c r="AM235" s="15">
        <f>Tabela21[[#This Row],[Att subs]]+Tabela21[[#This Row],[Crit D subs]]</f>
        <v>0.4</v>
      </c>
      <c r="AN235" s="15">
        <v>0.2</v>
      </c>
      <c r="AO235" s="15">
        <v>0.2</v>
      </c>
      <c r="AP235" s="15">
        <v>0.1</v>
      </c>
      <c r="AQ235" s="189">
        <f t="shared" si="80"/>
        <v>3281.3410000000003</v>
      </c>
      <c r="AR235" s="189">
        <f t="shared" si="81"/>
        <v>3066.9459999999999</v>
      </c>
      <c r="AS235" s="189">
        <f t="shared" si="77"/>
        <v>3324.5779999999995</v>
      </c>
      <c r="AT235" s="189">
        <f t="shared" si="78"/>
        <v>5892.5559999999996</v>
      </c>
      <c r="AU235" s="50">
        <f t="shared" si="79"/>
        <v>4911.692</v>
      </c>
    </row>
    <row r="236" spans="36:47">
      <c r="AJ236" s="50">
        <v>2</v>
      </c>
      <c r="AK236" s="50">
        <v>1</v>
      </c>
      <c r="AL236" s="50">
        <v>0</v>
      </c>
      <c r="AM236" s="15">
        <f>Tabela21[[#This Row],[Att subs]]+Tabela21[[#This Row],[Crit D subs]]</f>
        <v>0.4</v>
      </c>
      <c r="AN236" s="15">
        <v>0.2</v>
      </c>
      <c r="AO236" s="15">
        <v>0.2</v>
      </c>
      <c r="AP236" s="15">
        <v>0.2</v>
      </c>
      <c r="AQ236" s="189">
        <f t="shared" si="80"/>
        <v>3549.2709999999993</v>
      </c>
      <c r="AR236" s="189">
        <f t="shared" si="81"/>
        <v>3371.5259999999994</v>
      </c>
      <c r="AS236" s="189">
        <f t="shared" si="77"/>
        <v>3551.5579999999995</v>
      </c>
      <c r="AT236" s="189">
        <f t="shared" si="78"/>
        <v>6540.5159999999996</v>
      </c>
      <c r="AU236" s="50">
        <f t="shared" si="79"/>
        <v>5714.851999999999</v>
      </c>
    </row>
    <row r="237" spans="36:47">
      <c r="AJ237" s="50">
        <v>2</v>
      </c>
      <c r="AK237" s="50">
        <v>1</v>
      </c>
      <c r="AL237" s="50">
        <v>0</v>
      </c>
      <c r="AM237" s="15">
        <f>Tabela21[[#This Row],[Att subs]]+Tabela21[[#This Row],[Crit D subs]]</f>
        <v>0.4</v>
      </c>
      <c r="AN237" s="15">
        <v>0.2</v>
      </c>
      <c r="AO237" s="15">
        <v>0.2</v>
      </c>
      <c r="AP237" s="15">
        <v>0.3</v>
      </c>
      <c r="AQ237" s="189">
        <f t="shared" si="80"/>
        <v>3817.201</v>
      </c>
      <c r="AR237" s="189">
        <f t="shared" si="81"/>
        <v>3676.1059999999998</v>
      </c>
      <c r="AS237" s="189">
        <f t="shared" si="77"/>
        <v>3778.5379999999996</v>
      </c>
      <c r="AT237" s="189">
        <f t="shared" si="78"/>
        <v>7188.4759999999987</v>
      </c>
      <c r="AU237" s="50">
        <f t="shared" si="79"/>
        <v>6518.0119999999997</v>
      </c>
    </row>
    <row r="238" spans="36:47">
      <c r="AJ238" s="50">
        <v>2</v>
      </c>
      <c r="AK238" s="50">
        <v>1</v>
      </c>
      <c r="AL238" s="50">
        <v>0</v>
      </c>
      <c r="AM238" s="15">
        <f>Tabela21[[#This Row],[Att subs]]+Tabela21[[#This Row],[Crit D subs]]</f>
        <v>0.4</v>
      </c>
      <c r="AN238" s="15">
        <v>0.2</v>
      </c>
      <c r="AO238" s="15">
        <v>0.2</v>
      </c>
      <c r="AP238" s="15">
        <v>0.4</v>
      </c>
      <c r="AQ238" s="189">
        <f t="shared" si="80"/>
        <v>4085.1310000000003</v>
      </c>
      <c r="AR238" s="189">
        <f t="shared" si="81"/>
        <v>3980.6859999999997</v>
      </c>
      <c r="AS238" s="189">
        <f t="shared" si="77"/>
        <v>4005.5179999999996</v>
      </c>
      <c r="AT238" s="189">
        <f t="shared" si="78"/>
        <v>7836.4359999999997</v>
      </c>
      <c r="AU238" s="50">
        <f t="shared" si="79"/>
        <v>7321.1720000000005</v>
      </c>
    </row>
    <row r="239" spans="36:47">
      <c r="AJ239" s="50">
        <v>2</v>
      </c>
      <c r="AK239" s="50">
        <v>1</v>
      </c>
      <c r="AL239" s="50">
        <v>0</v>
      </c>
      <c r="AM239" s="15">
        <f>Tabela21[[#This Row],[Att subs]]+Tabela21[[#This Row],[Crit D subs]]</f>
        <v>0.4</v>
      </c>
      <c r="AN239" s="15">
        <v>0.2</v>
      </c>
      <c r="AO239" s="15">
        <v>0.2</v>
      </c>
      <c r="AP239" s="15">
        <v>0.5</v>
      </c>
      <c r="AQ239" s="189">
        <f t="shared" si="80"/>
        <v>4353.0609999999997</v>
      </c>
      <c r="AR239" s="189">
        <f t="shared" si="81"/>
        <v>4285.2659999999996</v>
      </c>
      <c r="AS239" s="189">
        <f t="shared" si="77"/>
        <v>4209.8</v>
      </c>
      <c r="AT239" s="189">
        <f t="shared" si="78"/>
        <v>8419.6</v>
      </c>
      <c r="AU239" s="50">
        <f t="shared" si="79"/>
        <v>8124.3319999999985</v>
      </c>
    </row>
    <row r="240" spans="36:47">
      <c r="AJ240" s="50">
        <v>2</v>
      </c>
      <c r="AK240" s="50">
        <v>1</v>
      </c>
      <c r="AL240" s="50">
        <v>0</v>
      </c>
      <c r="AM240" s="15">
        <f>Tabela21[[#This Row],[Att subs]]+Tabela21[[#This Row],[Crit D subs]]</f>
        <v>0.4</v>
      </c>
      <c r="AN240" s="15">
        <v>0.2</v>
      </c>
      <c r="AO240" s="15">
        <v>0.2</v>
      </c>
      <c r="AP240" s="15">
        <v>0.6</v>
      </c>
      <c r="AQ240" s="189">
        <f t="shared" si="80"/>
        <v>4620.991</v>
      </c>
      <c r="AR240" s="189">
        <f t="shared" si="81"/>
        <v>4589.8459999999995</v>
      </c>
      <c r="AS240" s="189">
        <f t="shared" si="77"/>
        <v>4209.8</v>
      </c>
      <c r="AT240" s="189">
        <f t="shared" si="78"/>
        <v>8419.6</v>
      </c>
      <c r="AU240" s="50">
        <f t="shared" si="79"/>
        <v>8927.4920000000002</v>
      </c>
    </row>
    <row r="241" spans="36:47">
      <c r="AJ241" s="50">
        <v>2</v>
      </c>
      <c r="AK241" s="50">
        <v>1</v>
      </c>
      <c r="AL241" s="50">
        <v>0</v>
      </c>
      <c r="AM241" s="15">
        <f>Tabela21[[#This Row],[Att subs]]+Tabela21[[#This Row],[Crit D subs]]</f>
        <v>0.4</v>
      </c>
      <c r="AN241" s="15">
        <v>0.2</v>
      </c>
      <c r="AO241" s="15">
        <v>0.2</v>
      </c>
      <c r="AP241" s="15">
        <v>0.7</v>
      </c>
      <c r="AQ241" s="189">
        <f t="shared" si="80"/>
        <v>4888.9210000000003</v>
      </c>
      <c r="AR241" s="189">
        <f t="shared" si="81"/>
        <v>4894.4259999999995</v>
      </c>
      <c r="AS241" s="189">
        <f t="shared" si="77"/>
        <v>4209.8</v>
      </c>
      <c r="AT241" s="189">
        <f t="shared" si="78"/>
        <v>8419.6</v>
      </c>
      <c r="AU241" s="50">
        <f t="shared" si="79"/>
        <v>9730.652</v>
      </c>
    </row>
    <row r="242" spans="36:47">
      <c r="AJ242" s="50">
        <v>2</v>
      </c>
      <c r="AK242" s="50">
        <v>1</v>
      </c>
      <c r="AL242" s="50">
        <v>0</v>
      </c>
      <c r="AM242" s="15">
        <f>Tabela21[[#This Row],[Att subs]]+Tabela21[[#This Row],[Crit D subs]]</f>
        <v>0.4</v>
      </c>
      <c r="AN242" s="15">
        <v>0.2</v>
      </c>
      <c r="AO242" s="15">
        <v>0.2</v>
      </c>
      <c r="AP242" s="15">
        <v>0.8</v>
      </c>
      <c r="AQ242" s="189">
        <f t="shared" si="80"/>
        <v>4969.3</v>
      </c>
      <c r="AR242" s="189">
        <f t="shared" si="81"/>
        <v>4985.7999999999993</v>
      </c>
      <c r="AS242" s="189">
        <f t="shared" si="77"/>
        <v>4209.8</v>
      </c>
      <c r="AT242" s="189">
        <f t="shared" si="78"/>
        <v>8419.6</v>
      </c>
      <c r="AU242" s="50">
        <f t="shared" si="79"/>
        <v>9971.5999999999985</v>
      </c>
    </row>
    <row r="243" spans="36:47">
      <c r="AJ243" s="50">
        <v>2</v>
      </c>
      <c r="AK243" s="50">
        <v>1</v>
      </c>
      <c r="AL243" s="50">
        <v>0</v>
      </c>
      <c r="AM243" s="15">
        <f>Tabela21[[#This Row],[Att subs]]+Tabela21[[#This Row],[Crit D subs]]</f>
        <v>0.4</v>
      </c>
      <c r="AN243" s="15">
        <v>0.2</v>
      </c>
      <c r="AO243" s="15">
        <v>0.2</v>
      </c>
      <c r="AP243" s="15">
        <v>0.9</v>
      </c>
      <c r="AQ243" s="189">
        <f t="shared" si="80"/>
        <v>4969.3</v>
      </c>
      <c r="AR243" s="189">
        <f t="shared" si="81"/>
        <v>4985.7999999999993</v>
      </c>
      <c r="AS243" s="189">
        <f t="shared" si="77"/>
        <v>4209.8</v>
      </c>
      <c r="AT243" s="189">
        <f t="shared" si="78"/>
        <v>8419.6</v>
      </c>
      <c r="AU243" s="50">
        <f t="shared" si="79"/>
        <v>9971.5999999999985</v>
      </c>
    </row>
    <row r="244" spans="36:47">
      <c r="AJ244" s="50">
        <v>2</v>
      </c>
      <c r="AK244" s="50">
        <v>1</v>
      </c>
      <c r="AL244" s="50">
        <v>0</v>
      </c>
      <c r="AM244" s="15">
        <f>Tabela21[[#This Row],[Att subs]]+Tabela21[[#This Row],[Crit D subs]]</f>
        <v>0.4</v>
      </c>
      <c r="AN244" s="15">
        <v>0.2</v>
      </c>
      <c r="AO244" s="15">
        <v>0.2</v>
      </c>
      <c r="AP244" s="15">
        <v>1</v>
      </c>
      <c r="AQ244" s="189">
        <f t="shared" si="80"/>
        <v>4969.3</v>
      </c>
      <c r="AR244" s="189">
        <f t="shared" si="81"/>
        <v>4985.7999999999993</v>
      </c>
      <c r="AS244" s="189">
        <f t="shared" si="77"/>
        <v>4209.8</v>
      </c>
      <c r="AT244" s="189">
        <f t="shared" si="78"/>
        <v>8419.6</v>
      </c>
      <c r="AU244" s="50">
        <f t="shared" si="79"/>
        <v>9971.5999999999985</v>
      </c>
    </row>
    <row r="245" spans="36:47">
      <c r="AJ245" s="50">
        <v>2</v>
      </c>
      <c r="AK245" s="50">
        <v>0</v>
      </c>
      <c r="AL245" s="50">
        <v>1</v>
      </c>
      <c r="AM245" s="15">
        <f>Tabela21[[#This Row],[Att subs]]+Tabela21[[#This Row],[Crit D subs]]</f>
        <v>0.4</v>
      </c>
      <c r="AN245" s="15">
        <v>0.2</v>
      </c>
      <c r="AO245" s="15">
        <v>0.2</v>
      </c>
      <c r="AP245" s="15">
        <v>0</v>
      </c>
      <c r="AQ245" s="189">
        <f t="shared" si="80"/>
        <v>3283.8600000000006</v>
      </c>
      <c r="AR245" s="189">
        <f t="shared" si="81"/>
        <v>3263.08</v>
      </c>
      <c r="AS245" s="189">
        <f t="shared" si="77"/>
        <v>3107.8799999999997</v>
      </c>
      <c r="AT245" s="189">
        <f t="shared" si="78"/>
        <v>5944.16</v>
      </c>
      <c r="AU245" s="50">
        <f t="shared" si="79"/>
        <v>5788.96</v>
      </c>
    </row>
    <row r="246" spans="36:47">
      <c r="AJ246" s="50">
        <v>2</v>
      </c>
      <c r="AK246" s="50">
        <v>0</v>
      </c>
      <c r="AL246" s="50">
        <v>1</v>
      </c>
      <c r="AM246" s="15">
        <f>Tabela21[[#This Row],[Att subs]]+Tabela21[[#This Row],[Crit D subs]]</f>
        <v>0.4</v>
      </c>
      <c r="AN246" s="15">
        <v>0.2</v>
      </c>
      <c r="AO246" s="15">
        <v>0.2</v>
      </c>
      <c r="AP246" s="15">
        <v>0.1</v>
      </c>
      <c r="AQ246" s="189">
        <f t="shared" si="80"/>
        <v>3444.16</v>
      </c>
      <c r="AR246" s="189">
        <f t="shared" si="81"/>
        <v>3476.48</v>
      </c>
      <c r="AS246" s="189">
        <f t="shared" si="77"/>
        <v>3243.68</v>
      </c>
      <c r="AT246" s="189">
        <f t="shared" si="78"/>
        <v>6409.7599999999993</v>
      </c>
      <c r="AU246" s="50">
        <f t="shared" si="79"/>
        <v>6409.76</v>
      </c>
    </row>
    <row r="247" spans="36:47">
      <c r="AJ247" s="50">
        <v>2</v>
      </c>
      <c r="AK247" s="50">
        <v>0</v>
      </c>
      <c r="AL247" s="50">
        <v>1</v>
      </c>
      <c r="AM247" s="15">
        <f>Tabela21[[#This Row],[Att subs]]+Tabela21[[#This Row],[Crit D subs]]</f>
        <v>0.4</v>
      </c>
      <c r="AN247" s="15">
        <v>0.2</v>
      </c>
      <c r="AO247" s="15">
        <v>0.2</v>
      </c>
      <c r="AP247" s="15">
        <v>0.2</v>
      </c>
      <c r="AQ247" s="189">
        <f t="shared" si="80"/>
        <v>3604.4599999999996</v>
      </c>
      <c r="AR247" s="189">
        <f t="shared" si="81"/>
        <v>3689.8799999999997</v>
      </c>
      <c r="AS247" s="189">
        <f t="shared" si="77"/>
        <v>3298</v>
      </c>
      <c r="AT247" s="189">
        <f t="shared" si="78"/>
        <v>6596</v>
      </c>
      <c r="AU247" s="50">
        <f t="shared" si="79"/>
        <v>7030.56</v>
      </c>
    </row>
    <row r="248" spans="36:47">
      <c r="AJ248" s="50">
        <v>2</v>
      </c>
      <c r="AK248" s="50">
        <v>0</v>
      </c>
      <c r="AL248" s="50">
        <v>1</v>
      </c>
      <c r="AM248" s="15">
        <f>Tabela21[[#This Row],[Att subs]]+Tabela21[[#This Row],[Crit D subs]]</f>
        <v>0.4</v>
      </c>
      <c r="AN248" s="15">
        <v>0.2</v>
      </c>
      <c r="AO248" s="15">
        <v>0.2</v>
      </c>
      <c r="AP248" s="15">
        <v>0.3</v>
      </c>
      <c r="AQ248" s="189">
        <f t="shared" si="80"/>
        <v>3764.76</v>
      </c>
      <c r="AR248" s="189">
        <f t="shared" si="81"/>
        <v>3903.28</v>
      </c>
      <c r="AS248" s="189">
        <f t="shared" si="77"/>
        <v>3298</v>
      </c>
      <c r="AT248" s="189">
        <f t="shared" si="78"/>
        <v>6596</v>
      </c>
      <c r="AU248" s="50">
        <f t="shared" si="79"/>
        <v>7651.3600000000006</v>
      </c>
    </row>
    <row r="249" spans="36:47">
      <c r="AJ249" s="50">
        <v>2</v>
      </c>
      <c r="AK249" s="50">
        <v>0</v>
      </c>
      <c r="AL249" s="50">
        <v>1</v>
      </c>
      <c r="AM249" s="15">
        <f>Tabela21[[#This Row],[Att subs]]+Tabela21[[#This Row],[Crit D subs]]</f>
        <v>0.4</v>
      </c>
      <c r="AN249" s="15">
        <v>0.2</v>
      </c>
      <c r="AO249" s="15">
        <v>0.2</v>
      </c>
      <c r="AP249" s="15">
        <v>0.4</v>
      </c>
      <c r="AQ249" s="189">
        <f t="shared" si="80"/>
        <v>3893</v>
      </c>
      <c r="AR249" s="189">
        <f t="shared" si="81"/>
        <v>4074</v>
      </c>
      <c r="AS249" s="189">
        <f t="shared" si="77"/>
        <v>3298</v>
      </c>
      <c r="AT249" s="189">
        <f t="shared" si="78"/>
        <v>6596</v>
      </c>
      <c r="AU249" s="50">
        <f t="shared" si="79"/>
        <v>8148</v>
      </c>
    </row>
    <row r="250" spans="36:47">
      <c r="AJ250" s="50">
        <v>2</v>
      </c>
      <c r="AK250" s="50">
        <v>0</v>
      </c>
      <c r="AL250" s="50">
        <v>1</v>
      </c>
      <c r="AM250" s="15">
        <f>Tabela21[[#This Row],[Att subs]]+Tabela21[[#This Row],[Crit D subs]]</f>
        <v>0.4</v>
      </c>
      <c r="AN250" s="15">
        <v>0.2</v>
      </c>
      <c r="AO250" s="15">
        <v>0.2</v>
      </c>
      <c r="AP250" s="15">
        <v>0.5</v>
      </c>
      <c r="AQ250" s="189">
        <f t="shared" si="80"/>
        <v>3893</v>
      </c>
      <c r="AR250" s="189">
        <f t="shared" si="81"/>
        <v>4074</v>
      </c>
      <c r="AS250" s="189">
        <f t="shared" si="77"/>
        <v>3298</v>
      </c>
      <c r="AT250" s="189">
        <f t="shared" si="78"/>
        <v>6596</v>
      </c>
      <c r="AU250" s="50">
        <f t="shared" si="79"/>
        <v>8148</v>
      </c>
    </row>
    <row r="251" spans="36:47">
      <c r="AJ251" s="50">
        <v>2</v>
      </c>
      <c r="AK251" s="50">
        <v>0</v>
      </c>
      <c r="AL251" s="50">
        <v>1</v>
      </c>
      <c r="AM251" s="15">
        <f>Tabela21[[#This Row],[Att subs]]+Tabela21[[#This Row],[Crit D subs]]</f>
        <v>0.4</v>
      </c>
      <c r="AN251" s="15">
        <v>0.2</v>
      </c>
      <c r="AO251" s="15">
        <v>0.2</v>
      </c>
      <c r="AP251" s="15">
        <v>0.6</v>
      </c>
      <c r="AQ251" s="189">
        <f t="shared" si="80"/>
        <v>3893</v>
      </c>
      <c r="AR251" s="189">
        <f t="shared" si="81"/>
        <v>4074</v>
      </c>
      <c r="AS251" s="189">
        <f t="shared" si="77"/>
        <v>3298</v>
      </c>
      <c r="AT251" s="189">
        <f t="shared" si="78"/>
        <v>6596</v>
      </c>
      <c r="AU251" s="50">
        <f t="shared" si="79"/>
        <v>8148</v>
      </c>
    </row>
    <row r="252" spans="36:47">
      <c r="AJ252" s="50">
        <v>2</v>
      </c>
      <c r="AK252" s="50">
        <v>0</v>
      </c>
      <c r="AL252" s="50">
        <v>1</v>
      </c>
      <c r="AM252" s="15">
        <f>Tabela21[[#This Row],[Att subs]]+Tabela21[[#This Row],[Crit D subs]]</f>
        <v>0.4</v>
      </c>
      <c r="AN252" s="15">
        <v>0.2</v>
      </c>
      <c r="AO252" s="15">
        <v>0.2</v>
      </c>
      <c r="AP252" s="15">
        <v>0.7</v>
      </c>
      <c r="AQ252" s="189">
        <f t="shared" si="80"/>
        <v>3893</v>
      </c>
      <c r="AR252" s="189">
        <f t="shared" si="81"/>
        <v>4074</v>
      </c>
      <c r="AS252" s="189">
        <f t="shared" si="77"/>
        <v>3298</v>
      </c>
      <c r="AT252" s="189">
        <f t="shared" si="78"/>
        <v>6596</v>
      </c>
      <c r="AU252" s="50">
        <f t="shared" si="79"/>
        <v>8148</v>
      </c>
    </row>
    <row r="253" spans="36:47">
      <c r="AJ253" s="50">
        <v>2</v>
      </c>
      <c r="AK253" s="50">
        <v>0</v>
      </c>
      <c r="AL253" s="50">
        <v>1</v>
      </c>
      <c r="AM253" s="15">
        <f>Tabela21[[#This Row],[Att subs]]+Tabela21[[#This Row],[Crit D subs]]</f>
        <v>0.4</v>
      </c>
      <c r="AN253" s="15">
        <v>0.2</v>
      </c>
      <c r="AO253" s="15">
        <v>0.2</v>
      </c>
      <c r="AP253" s="15">
        <v>0.8</v>
      </c>
      <c r="AQ253" s="189">
        <f t="shared" si="80"/>
        <v>3893</v>
      </c>
      <c r="AR253" s="189">
        <f t="shared" si="81"/>
        <v>4074</v>
      </c>
      <c r="AS253" s="189">
        <f t="shared" si="77"/>
        <v>3298</v>
      </c>
      <c r="AT253" s="189">
        <f t="shared" si="78"/>
        <v>6596</v>
      </c>
      <c r="AU253" s="50">
        <f t="shared" si="79"/>
        <v>8148</v>
      </c>
    </row>
    <row r="254" spans="36:47">
      <c r="AJ254" s="50">
        <v>2</v>
      </c>
      <c r="AK254" s="50">
        <v>0</v>
      </c>
      <c r="AL254" s="50">
        <v>1</v>
      </c>
      <c r="AM254" s="15">
        <f>Tabela21[[#This Row],[Att subs]]+Tabela21[[#This Row],[Crit D subs]]</f>
        <v>0.4</v>
      </c>
      <c r="AN254" s="15">
        <v>0.2</v>
      </c>
      <c r="AO254" s="15">
        <v>0.2</v>
      </c>
      <c r="AP254" s="15">
        <v>0.9</v>
      </c>
      <c r="AQ254" s="189">
        <f t="shared" si="80"/>
        <v>3893</v>
      </c>
      <c r="AR254" s="189">
        <f t="shared" si="81"/>
        <v>4074</v>
      </c>
      <c r="AS254" s="189">
        <f t="shared" si="77"/>
        <v>3298</v>
      </c>
      <c r="AT254" s="189">
        <f t="shared" si="78"/>
        <v>6596</v>
      </c>
      <c r="AU254" s="50">
        <f t="shared" si="79"/>
        <v>8148</v>
      </c>
    </row>
    <row r="255" spans="36:47">
      <c r="AJ255" s="50">
        <v>2</v>
      </c>
      <c r="AK255" s="50">
        <v>0</v>
      </c>
      <c r="AL255" s="50">
        <v>1</v>
      </c>
      <c r="AM255" s="15">
        <f>Tabela21[[#This Row],[Att subs]]+Tabela21[[#This Row],[Crit D subs]]</f>
        <v>0.4</v>
      </c>
      <c r="AN255" s="15">
        <v>0.2</v>
      </c>
      <c r="AO255" s="15">
        <v>0.2</v>
      </c>
      <c r="AP255" s="15">
        <v>1</v>
      </c>
      <c r="AQ255" s="189">
        <f t="shared" si="80"/>
        <v>3893</v>
      </c>
      <c r="AR255" s="189">
        <f t="shared" si="81"/>
        <v>4074</v>
      </c>
      <c r="AS255" s="189">
        <f t="shared" si="77"/>
        <v>3298</v>
      </c>
      <c r="AT255" s="189">
        <f t="shared" si="78"/>
        <v>6596</v>
      </c>
      <c r="AU255" s="50">
        <f t="shared" si="79"/>
        <v>8148</v>
      </c>
    </row>
    <row r="256" spans="36:47">
      <c r="AJ256" s="50">
        <v>3</v>
      </c>
      <c r="AK256" s="50">
        <v>0</v>
      </c>
      <c r="AL256" s="50">
        <v>0</v>
      </c>
      <c r="AM256" s="15">
        <f>Tabela21[[#This Row],[Att subs]]+Tabela21[[#This Row],[Crit D subs]]</f>
        <v>0.4</v>
      </c>
      <c r="AN256" s="15">
        <v>0.2</v>
      </c>
      <c r="AO256" s="15">
        <v>0.2</v>
      </c>
      <c r="AP256" s="15">
        <v>0</v>
      </c>
      <c r="AQ256" s="189">
        <f t="shared" si="80"/>
        <v>3162.7400000000002</v>
      </c>
      <c r="AR256" s="189">
        <f t="shared" si="81"/>
        <v>2996.07</v>
      </c>
      <c r="AS256" s="189">
        <f t="shared" si="77"/>
        <v>3134.67</v>
      </c>
      <c r="AT256" s="189">
        <f t="shared" si="78"/>
        <v>5137.4400000000005</v>
      </c>
      <c r="AU256" s="50">
        <f t="shared" si="79"/>
        <v>4305.84</v>
      </c>
    </row>
    <row r="257" spans="36:47">
      <c r="AJ257" s="50">
        <v>3</v>
      </c>
      <c r="AK257" s="50">
        <v>0</v>
      </c>
      <c r="AL257" s="50">
        <v>0</v>
      </c>
      <c r="AM257" s="15">
        <f>Tabela21[[#This Row],[Att subs]]+Tabela21[[#This Row],[Crit D subs]]</f>
        <v>0.4</v>
      </c>
      <c r="AN257" s="15">
        <v>0.2</v>
      </c>
      <c r="AO257" s="15">
        <v>0.2</v>
      </c>
      <c r="AP257" s="15">
        <v>0.1</v>
      </c>
      <c r="AQ257" s="189">
        <f t="shared" si="80"/>
        <v>3348.9399999999996</v>
      </c>
      <c r="AR257" s="189">
        <f t="shared" si="81"/>
        <v>3250.17</v>
      </c>
      <c r="AS257" s="189">
        <f t="shared" si="77"/>
        <v>3296.37</v>
      </c>
      <c r="AT257" s="189">
        <f t="shared" si="78"/>
        <v>5691.84</v>
      </c>
      <c r="AU257" s="50">
        <f t="shared" si="79"/>
        <v>5045.04</v>
      </c>
    </row>
    <row r="258" spans="36:47">
      <c r="AJ258" s="50">
        <v>3</v>
      </c>
      <c r="AK258" s="50">
        <v>0</v>
      </c>
      <c r="AL258" s="50">
        <v>0</v>
      </c>
      <c r="AM258" s="15">
        <f>Tabela21[[#This Row],[Att subs]]+Tabela21[[#This Row],[Crit D subs]]</f>
        <v>0.4</v>
      </c>
      <c r="AN258" s="15">
        <v>0.2</v>
      </c>
      <c r="AO258" s="15">
        <v>0.2</v>
      </c>
      <c r="AP258" s="15">
        <v>0.2</v>
      </c>
      <c r="AQ258" s="189">
        <f t="shared" si="80"/>
        <v>3535.1399999999994</v>
      </c>
      <c r="AR258" s="189">
        <f t="shared" si="81"/>
        <v>3504.27</v>
      </c>
      <c r="AS258" s="189">
        <f t="shared" si="77"/>
        <v>3458.0699999999997</v>
      </c>
      <c r="AT258" s="189">
        <f t="shared" si="78"/>
        <v>6246.24</v>
      </c>
      <c r="AU258" s="50">
        <f t="shared" si="79"/>
        <v>5784.24</v>
      </c>
    </row>
    <row r="259" spans="36:47">
      <c r="AJ259" s="50">
        <v>3</v>
      </c>
      <c r="AK259" s="50">
        <v>0</v>
      </c>
      <c r="AL259" s="50">
        <v>0</v>
      </c>
      <c r="AM259" s="15">
        <f>Tabela21[[#This Row],[Att subs]]+Tabela21[[#This Row],[Crit D subs]]</f>
        <v>0.4</v>
      </c>
      <c r="AN259" s="15">
        <v>0.2</v>
      </c>
      <c r="AO259" s="15">
        <v>0.2</v>
      </c>
      <c r="AP259" s="15">
        <v>0.3</v>
      </c>
      <c r="AQ259" s="189">
        <f t="shared" si="80"/>
        <v>3721.34</v>
      </c>
      <c r="AR259" s="189">
        <f t="shared" si="81"/>
        <v>3758.3699999999994</v>
      </c>
      <c r="AS259" s="189">
        <f t="shared" ref="AS259:AS322" si="83">$AG$3*(1+$AJ259*$Y$2+$AN259)*(MAXA(1-$AI$3-$AL259*$AA$3-$AP259-0.36,0)+MINA($AI$3+$AL259*$AA$3+$AP259+0.36,1)*(1+$AH$3+$AO259+$AK259*$Z$4))</f>
        <v>3619.7699999999995</v>
      </c>
      <c r="AT259" s="189">
        <f t="shared" ref="AT259:AT322" si="84">$AG$3*(1+$AJ259*$Y$2+$AN259)*(MAXA(1-$AI$3-$AL259*$AA$3-$AP259-0.36,0)+2*MINA($AI$3+$AL259*$AA$3+$AP259+0.36,1)*(1+$AH$3+$AO259+$AK259*$Z$4))</f>
        <v>6800.6399999999985</v>
      </c>
      <c r="AU259" s="50">
        <f t="shared" ref="AU259:AU322" si="85">$AG$3*(1+$AJ259*$Y$2+$AN259)*(MAXA(1-$AI$3-$AL259*$AA$3-$AP259-0.12,0)+2*MINA($AI$3+$AL259*$AA$3+$AP259+0.12,1)*(1+$AH$3+$AO259+$AK259*$Z$4+0.4))</f>
        <v>6523.44</v>
      </c>
    </row>
    <row r="260" spans="36:47">
      <c r="AJ260" s="50">
        <v>3</v>
      </c>
      <c r="AK260" s="50">
        <v>0</v>
      </c>
      <c r="AL260" s="50">
        <v>0</v>
      </c>
      <c r="AM260" s="15">
        <f>Tabela21[[#This Row],[Att subs]]+Tabela21[[#This Row],[Crit D subs]]</f>
        <v>0.4</v>
      </c>
      <c r="AN260" s="15">
        <v>0.2</v>
      </c>
      <c r="AO260" s="15">
        <v>0.2</v>
      </c>
      <c r="AP260" s="15">
        <v>0.4</v>
      </c>
      <c r="AQ260" s="189">
        <f t="shared" ref="AQ260:AQ323" si="86">$AG$3*(1+$AJ260*$Y$2+$AN260+0.35)*(MAXA(1-$AI$3-$AL260*$AA$3-$AP260-0.12,0)+MINA($AI$3+$AL260*$AA$3+$AP260+0.12,1)*(1+$AH$3+$AO260+$AK260*$Z$4))</f>
        <v>3907.5399999999995</v>
      </c>
      <c r="AR260" s="189">
        <f t="shared" ref="AR260:AR323" si="87">$AG$3*(1+$AJ260*$Y$2+$AN260)*(MAXA(1-$AI$3-$AL260*$AA$3-$AP260-0.12,0)+MINA($AI$3+$AL260*$AA$3+$AP260+0.12,1)*(1+$AH$3+$AO260+$AK260*$Z$4+0.4))</f>
        <v>4012.4700000000003</v>
      </c>
      <c r="AS260" s="189">
        <f t="shared" si="83"/>
        <v>3781.47</v>
      </c>
      <c r="AT260" s="189">
        <f t="shared" si="84"/>
        <v>7355.0399999999991</v>
      </c>
      <c r="AU260" s="50">
        <f t="shared" si="85"/>
        <v>7262.6400000000012</v>
      </c>
    </row>
    <row r="261" spans="36:47">
      <c r="AJ261" s="50">
        <v>3</v>
      </c>
      <c r="AK261" s="50">
        <v>0</v>
      </c>
      <c r="AL261" s="50">
        <v>0</v>
      </c>
      <c r="AM261" s="15">
        <f>Tabela21[[#This Row],[Att subs]]+Tabela21[[#This Row],[Crit D subs]]</f>
        <v>0.4</v>
      </c>
      <c r="AN261" s="15">
        <v>0.2</v>
      </c>
      <c r="AO261" s="15">
        <v>0.2</v>
      </c>
      <c r="AP261" s="15">
        <v>0.5</v>
      </c>
      <c r="AQ261" s="189">
        <f t="shared" si="86"/>
        <v>4093.74</v>
      </c>
      <c r="AR261" s="189">
        <f t="shared" si="87"/>
        <v>4266.5700000000006</v>
      </c>
      <c r="AS261" s="189">
        <f t="shared" si="83"/>
        <v>3927</v>
      </c>
      <c r="AT261" s="189">
        <f t="shared" si="84"/>
        <v>7854</v>
      </c>
      <c r="AU261" s="50">
        <f t="shared" si="85"/>
        <v>8001.8400000000011</v>
      </c>
    </row>
    <row r="262" spans="36:47">
      <c r="AJ262" s="50">
        <v>3</v>
      </c>
      <c r="AK262" s="50">
        <v>0</v>
      </c>
      <c r="AL262" s="50">
        <v>0</v>
      </c>
      <c r="AM262" s="15">
        <f>Tabela21[[#This Row],[Att subs]]+Tabela21[[#This Row],[Crit D subs]]</f>
        <v>0.4</v>
      </c>
      <c r="AN262" s="15">
        <v>0.2</v>
      </c>
      <c r="AO262" s="15">
        <v>0.2</v>
      </c>
      <c r="AP262" s="15">
        <v>0.6</v>
      </c>
      <c r="AQ262" s="189">
        <f t="shared" si="86"/>
        <v>4279.9399999999996</v>
      </c>
      <c r="AR262" s="189">
        <f t="shared" si="87"/>
        <v>4520.67</v>
      </c>
      <c r="AS262" s="189">
        <f t="shared" si="83"/>
        <v>3927</v>
      </c>
      <c r="AT262" s="189">
        <f t="shared" si="84"/>
        <v>7854</v>
      </c>
      <c r="AU262" s="50">
        <f t="shared" si="85"/>
        <v>8741.0399999999991</v>
      </c>
    </row>
    <row r="263" spans="36:47">
      <c r="AJ263" s="50">
        <v>3</v>
      </c>
      <c r="AK263" s="50">
        <v>0</v>
      </c>
      <c r="AL263" s="50">
        <v>0</v>
      </c>
      <c r="AM263" s="15">
        <f>Tabela21[[#This Row],[Att subs]]+Tabela21[[#This Row],[Crit D subs]]</f>
        <v>0.4</v>
      </c>
      <c r="AN263" s="15">
        <v>0.2</v>
      </c>
      <c r="AO263" s="15">
        <v>0.2</v>
      </c>
      <c r="AP263" s="15">
        <v>0.7</v>
      </c>
      <c r="AQ263" s="189">
        <f t="shared" si="86"/>
        <v>4466.1400000000003</v>
      </c>
      <c r="AR263" s="189">
        <f t="shared" si="87"/>
        <v>4774.7700000000004</v>
      </c>
      <c r="AS263" s="189">
        <f t="shared" si="83"/>
        <v>3927</v>
      </c>
      <c r="AT263" s="189">
        <f t="shared" si="84"/>
        <v>7854</v>
      </c>
      <c r="AU263" s="50">
        <f t="shared" si="85"/>
        <v>9480.24</v>
      </c>
    </row>
    <row r="264" spans="36:47">
      <c r="AJ264" s="50">
        <v>3</v>
      </c>
      <c r="AK264" s="50">
        <v>0</v>
      </c>
      <c r="AL264" s="50">
        <v>0</v>
      </c>
      <c r="AM264" s="15">
        <f>Tabela21[[#This Row],[Att subs]]+Tabela21[[#This Row],[Crit D subs]]</f>
        <v>0.4</v>
      </c>
      <c r="AN264" s="15">
        <v>0.2</v>
      </c>
      <c r="AO264" s="15">
        <v>0.2</v>
      </c>
      <c r="AP264" s="15">
        <v>0.8</v>
      </c>
      <c r="AQ264" s="189">
        <f t="shared" si="86"/>
        <v>4522</v>
      </c>
      <c r="AR264" s="189">
        <f t="shared" si="87"/>
        <v>4851</v>
      </c>
      <c r="AS264" s="189">
        <f t="shared" si="83"/>
        <v>3927</v>
      </c>
      <c r="AT264" s="189">
        <f t="shared" si="84"/>
        <v>7854</v>
      </c>
      <c r="AU264" s="50">
        <f t="shared" si="85"/>
        <v>9702</v>
      </c>
    </row>
    <row r="265" spans="36:47">
      <c r="AJ265" s="50">
        <v>3</v>
      </c>
      <c r="AK265" s="50">
        <v>0</v>
      </c>
      <c r="AL265" s="50">
        <v>0</v>
      </c>
      <c r="AM265" s="15">
        <f>Tabela21[[#This Row],[Att subs]]+Tabela21[[#This Row],[Crit D subs]]</f>
        <v>0.4</v>
      </c>
      <c r="AN265" s="15">
        <v>0.2</v>
      </c>
      <c r="AO265" s="15">
        <v>0.2</v>
      </c>
      <c r="AP265" s="15">
        <v>0.9</v>
      </c>
      <c r="AQ265" s="189">
        <f t="shared" si="86"/>
        <v>4522</v>
      </c>
      <c r="AR265" s="189">
        <f t="shared" si="87"/>
        <v>4851</v>
      </c>
      <c r="AS265" s="189">
        <f t="shared" si="83"/>
        <v>3927</v>
      </c>
      <c r="AT265" s="189">
        <f t="shared" si="84"/>
        <v>7854</v>
      </c>
      <c r="AU265" s="50">
        <f t="shared" si="85"/>
        <v>9702</v>
      </c>
    </row>
    <row r="266" spans="36:47">
      <c r="AJ266" s="50">
        <v>3</v>
      </c>
      <c r="AK266" s="50">
        <v>0</v>
      </c>
      <c r="AL266" s="50">
        <v>0</v>
      </c>
      <c r="AM266" s="15">
        <f>Tabela21[[#This Row],[Att subs]]+Tabela21[[#This Row],[Crit D subs]]</f>
        <v>0.4</v>
      </c>
      <c r="AN266" s="15">
        <v>0.2</v>
      </c>
      <c r="AO266" s="15">
        <v>0.2</v>
      </c>
      <c r="AP266" s="15">
        <v>1</v>
      </c>
      <c r="AQ266" s="189">
        <f t="shared" si="86"/>
        <v>4522</v>
      </c>
      <c r="AR266" s="189">
        <f t="shared" si="87"/>
        <v>4851</v>
      </c>
      <c r="AS266" s="189">
        <f t="shared" si="83"/>
        <v>3927</v>
      </c>
      <c r="AT266" s="189">
        <f t="shared" si="84"/>
        <v>7854</v>
      </c>
      <c r="AU266" s="50">
        <f t="shared" si="85"/>
        <v>9702</v>
      </c>
    </row>
    <row r="267" spans="36:47">
      <c r="AJ267" s="50">
        <v>2</v>
      </c>
      <c r="AK267" s="50">
        <v>1</v>
      </c>
      <c r="AL267" s="50">
        <v>0</v>
      </c>
      <c r="AM267" s="15">
        <f>Tabela21[[#This Row],[Att subs]]+Tabela21[[#This Row],[Crit D subs]]</f>
        <v>0.60000000000000009</v>
      </c>
      <c r="AN267" s="15">
        <v>0.4</v>
      </c>
      <c r="AO267" s="15">
        <v>0.2</v>
      </c>
      <c r="AP267" s="15">
        <v>0</v>
      </c>
      <c r="AQ267" s="189">
        <f t="shared" si="86"/>
        <v>3276.5910000000003</v>
      </c>
      <c r="AR267" s="189">
        <f t="shared" si="87"/>
        <v>3047.1459999999997</v>
      </c>
      <c r="AS267" s="189">
        <f t="shared" si="83"/>
        <v>3416.9380000000001</v>
      </c>
      <c r="AT267" s="189">
        <f t="shared" si="84"/>
        <v>5785.2760000000007</v>
      </c>
      <c r="AU267" s="50">
        <f t="shared" si="85"/>
        <v>4532.0919999999996</v>
      </c>
    </row>
    <row r="268" spans="36:47">
      <c r="AJ268" s="50">
        <v>2</v>
      </c>
      <c r="AK268" s="50">
        <v>1</v>
      </c>
      <c r="AL268" s="50">
        <v>0</v>
      </c>
      <c r="AM268" s="15">
        <f>Tabela21[[#This Row],[Att subs]]+Tabela21[[#This Row],[Crit D subs]]</f>
        <v>0.60000000000000009</v>
      </c>
      <c r="AN268" s="15">
        <v>0.4</v>
      </c>
      <c r="AO268" s="15">
        <v>0.2</v>
      </c>
      <c r="AP268" s="15">
        <v>0.1</v>
      </c>
      <c r="AQ268" s="189">
        <f t="shared" si="86"/>
        <v>3567.9210000000003</v>
      </c>
      <c r="AR268" s="189">
        <f t="shared" si="87"/>
        <v>3383.1259999999997</v>
      </c>
      <c r="AS268" s="189">
        <f t="shared" si="83"/>
        <v>3667.3179999999993</v>
      </c>
      <c r="AT268" s="189">
        <f t="shared" si="84"/>
        <v>6500.0360000000001</v>
      </c>
      <c r="AU268" s="50">
        <f t="shared" si="85"/>
        <v>5418.0519999999997</v>
      </c>
    </row>
    <row r="269" spans="36:47">
      <c r="AJ269" s="50">
        <v>2</v>
      </c>
      <c r="AK269" s="50">
        <v>1</v>
      </c>
      <c r="AL269" s="50">
        <v>0</v>
      </c>
      <c r="AM269" s="15">
        <f>Tabela21[[#This Row],[Att subs]]+Tabela21[[#This Row],[Crit D subs]]</f>
        <v>0.60000000000000009</v>
      </c>
      <c r="AN269" s="15">
        <v>0.4</v>
      </c>
      <c r="AO269" s="15">
        <v>0.2</v>
      </c>
      <c r="AP269" s="15">
        <v>0.2</v>
      </c>
      <c r="AQ269" s="189">
        <f t="shared" si="86"/>
        <v>3859.2509999999988</v>
      </c>
      <c r="AR269" s="189">
        <f t="shared" si="87"/>
        <v>3719.1059999999993</v>
      </c>
      <c r="AS269" s="189">
        <f t="shared" si="83"/>
        <v>3917.6979999999994</v>
      </c>
      <c r="AT269" s="189">
        <f t="shared" si="84"/>
        <v>7214.7960000000003</v>
      </c>
      <c r="AU269" s="50">
        <f t="shared" si="85"/>
        <v>6304.0119999999988</v>
      </c>
    </row>
    <row r="270" spans="36:47">
      <c r="AJ270" s="50">
        <v>2</v>
      </c>
      <c r="AK270" s="50">
        <v>1</v>
      </c>
      <c r="AL270" s="50">
        <v>0</v>
      </c>
      <c r="AM270" s="15">
        <f>Tabela21[[#This Row],[Att subs]]+Tabela21[[#This Row],[Crit D subs]]</f>
        <v>0.60000000000000009</v>
      </c>
      <c r="AN270" s="15">
        <v>0.4</v>
      </c>
      <c r="AO270" s="15">
        <v>0.2</v>
      </c>
      <c r="AP270" s="15">
        <v>0.3</v>
      </c>
      <c r="AQ270" s="189">
        <f t="shared" si="86"/>
        <v>4150.5810000000001</v>
      </c>
      <c r="AR270" s="189">
        <f t="shared" si="87"/>
        <v>4055.0859999999998</v>
      </c>
      <c r="AS270" s="189">
        <f t="shared" si="83"/>
        <v>4168.0779999999995</v>
      </c>
      <c r="AT270" s="189">
        <f t="shared" si="84"/>
        <v>7929.5559999999987</v>
      </c>
      <c r="AU270" s="50">
        <f t="shared" si="85"/>
        <v>7189.9719999999998</v>
      </c>
    </row>
    <row r="271" spans="36:47">
      <c r="AJ271" s="50">
        <v>2</v>
      </c>
      <c r="AK271" s="50">
        <v>1</v>
      </c>
      <c r="AL271" s="50">
        <v>0</v>
      </c>
      <c r="AM271" s="15">
        <f>Tabela21[[#This Row],[Att subs]]+Tabela21[[#This Row],[Crit D subs]]</f>
        <v>0.60000000000000009</v>
      </c>
      <c r="AN271" s="15">
        <v>0.4</v>
      </c>
      <c r="AO271" s="15">
        <v>0.2</v>
      </c>
      <c r="AP271" s="15">
        <v>0.4</v>
      </c>
      <c r="AQ271" s="189">
        <f t="shared" si="86"/>
        <v>4441.9110000000001</v>
      </c>
      <c r="AR271" s="189">
        <f t="shared" si="87"/>
        <v>4391.0659999999998</v>
      </c>
      <c r="AS271" s="189">
        <f t="shared" si="83"/>
        <v>4418.4579999999996</v>
      </c>
      <c r="AT271" s="189">
        <f t="shared" si="84"/>
        <v>8644.3159999999989</v>
      </c>
      <c r="AU271" s="50">
        <f t="shared" si="85"/>
        <v>8075.9319999999998</v>
      </c>
    </row>
    <row r="272" spans="36:47">
      <c r="AJ272" s="50">
        <v>2</v>
      </c>
      <c r="AK272" s="50">
        <v>1</v>
      </c>
      <c r="AL272" s="50">
        <v>0</v>
      </c>
      <c r="AM272" s="15">
        <f>Tabela21[[#This Row],[Att subs]]+Tabela21[[#This Row],[Crit D subs]]</f>
        <v>0.60000000000000009</v>
      </c>
      <c r="AN272" s="15">
        <v>0.4</v>
      </c>
      <c r="AO272" s="15">
        <v>0.2</v>
      </c>
      <c r="AP272" s="15">
        <v>0.5</v>
      </c>
      <c r="AQ272" s="189">
        <f t="shared" si="86"/>
        <v>4733.241</v>
      </c>
      <c r="AR272" s="189">
        <f t="shared" si="87"/>
        <v>4727.0459999999994</v>
      </c>
      <c r="AS272" s="189">
        <f t="shared" si="83"/>
        <v>4643.8</v>
      </c>
      <c r="AT272" s="189">
        <f t="shared" si="84"/>
        <v>9287.6</v>
      </c>
      <c r="AU272" s="50">
        <f t="shared" si="85"/>
        <v>8961.891999999998</v>
      </c>
    </row>
    <row r="273" spans="36:47">
      <c r="AJ273" s="50">
        <v>2</v>
      </c>
      <c r="AK273" s="50">
        <v>1</v>
      </c>
      <c r="AL273" s="50">
        <v>0</v>
      </c>
      <c r="AM273" s="15">
        <f>Tabela21[[#This Row],[Att subs]]+Tabela21[[#This Row],[Crit D subs]]</f>
        <v>0.60000000000000009</v>
      </c>
      <c r="AN273" s="15">
        <v>0.4</v>
      </c>
      <c r="AO273" s="15">
        <v>0.2</v>
      </c>
      <c r="AP273" s="15">
        <v>0.6</v>
      </c>
      <c r="AQ273" s="189">
        <f t="shared" si="86"/>
        <v>5024.5709999999999</v>
      </c>
      <c r="AR273" s="189">
        <f t="shared" si="87"/>
        <v>5063.0259999999998</v>
      </c>
      <c r="AS273" s="189">
        <f t="shared" si="83"/>
        <v>4643.8</v>
      </c>
      <c r="AT273" s="189">
        <f t="shared" si="84"/>
        <v>9287.6</v>
      </c>
      <c r="AU273" s="50">
        <f t="shared" si="85"/>
        <v>9847.851999999999</v>
      </c>
    </row>
    <row r="274" spans="36:47">
      <c r="AJ274" s="50">
        <v>2</v>
      </c>
      <c r="AK274" s="50">
        <v>1</v>
      </c>
      <c r="AL274" s="50">
        <v>0</v>
      </c>
      <c r="AM274" s="15">
        <f>Tabela21[[#This Row],[Att subs]]+Tabela21[[#This Row],[Crit D subs]]</f>
        <v>0.60000000000000009</v>
      </c>
      <c r="AN274" s="15">
        <v>0.4</v>
      </c>
      <c r="AO274" s="15">
        <v>0.2</v>
      </c>
      <c r="AP274" s="15">
        <v>0.7</v>
      </c>
      <c r="AQ274" s="189">
        <f t="shared" si="86"/>
        <v>5315.9009999999998</v>
      </c>
      <c r="AR274" s="189">
        <f t="shared" si="87"/>
        <v>5399.0059999999994</v>
      </c>
      <c r="AS274" s="189">
        <f t="shared" si="83"/>
        <v>4643.8</v>
      </c>
      <c r="AT274" s="189">
        <f t="shared" si="84"/>
        <v>9287.6</v>
      </c>
      <c r="AU274" s="50">
        <f t="shared" si="85"/>
        <v>10733.812</v>
      </c>
    </row>
    <row r="275" spans="36:47">
      <c r="AJ275" s="50">
        <v>2</v>
      </c>
      <c r="AK275" s="50">
        <v>1</v>
      </c>
      <c r="AL275" s="50">
        <v>0</v>
      </c>
      <c r="AM275" s="15">
        <f>Tabela21[[#This Row],[Att subs]]+Tabela21[[#This Row],[Crit D subs]]</f>
        <v>0.60000000000000009</v>
      </c>
      <c r="AN275" s="15">
        <v>0.4</v>
      </c>
      <c r="AO275" s="15">
        <v>0.2</v>
      </c>
      <c r="AP275" s="15">
        <v>0.8</v>
      </c>
      <c r="AQ275" s="189">
        <f t="shared" si="86"/>
        <v>5403.3</v>
      </c>
      <c r="AR275" s="189">
        <f t="shared" si="87"/>
        <v>5499.7999999999993</v>
      </c>
      <c r="AS275" s="189">
        <f t="shared" si="83"/>
        <v>4643.8</v>
      </c>
      <c r="AT275" s="189">
        <f t="shared" si="84"/>
        <v>9287.6</v>
      </c>
      <c r="AU275" s="50">
        <f t="shared" si="85"/>
        <v>10999.599999999999</v>
      </c>
    </row>
    <row r="276" spans="36:47">
      <c r="AJ276" s="50">
        <v>2</v>
      </c>
      <c r="AK276" s="50">
        <v>1</v>
      </c>
      <c r="AL276" s="50">
        <v>0</v>
      </c>
      <c r="AM276" s="15">
        <f>Tabela21[[#This Row],[Att subs]]+Tabela21[[#This Row],[Crit D subs]]</f>
        <v>0.60000000000000009</v>
      </c>
      <c r="AN276" s="15">
        <v>0.4</v>
      </c>
      <c r="AO276" s="15">
        <v>0.2</v>
      </c>
      <c r="AP276" s="15">
        <v>0.9</v>
      </c>
      <c r="AQ276" s="189">
        <f t="shared" si="86"/>
        <v>5403.3</v>
      </c>
      <c r="AR276" s="189">
        <f t="shared" si="87"/>
        <v>5499.7999999999993</v>
      </c>
      <c r="AS276" s="189">
        <f t="shared" si="83"/>
        <v>4643.8</v>
      </c>
      <c r="AT276" s="189">
        <f t="shared" si="84"/>
        <v>9287.6</v>
      </c>
      <c r="AU276" s="50">
        <f t="shared" si="85"/>
        <v>10999.599999999999</v>
      </c>
    </row>
    <row r="277" spans="36:47">
      <c r="AJ277" s="50">
        <v>2</v>
      </c>
      <c r="AK277" s="50">
        <v>1</v>
      </c>
      <c r="AL277" s="50">
        <v>0</v>
      </c>
      <c r="AM277" s="15">
        <f>Tabela21[[#This Row],[Att subs]]+Tabela21[[#This Row],[Crit D subs]]</f>
        <v>0.60000000000000009</v>
      </c>
      <c r="AN277" s="15">
        <v>0.4</v>
      </c>
      <c r="AO277" s="15">
        <v>0.2</v>
      </c>
      <c r="AP277" s="15">
        <v>1</v>
      </c>
      <c r="AQ277" s="189">
        <f t="shared" si="86"/>
        <v>5403.3</v>
      </c>
      <c r="AR277" s="189">
        <f t="shared" si="87"/>
        <v>5499.7999999999993</v>
      </c>
      <c r="AS277" s="189">
        <f t="shared" si="83"/>
        <v>4643.8</v>
      </c>
      <c r="AT277" s="189">
        <f t="shared" si="84"/>
        <v>9287.6</v>
      </c>
      <c r="AU277" s="50">
        <f t="shared" si="85"/>
        <v>10999.599999999999</v>
      </c>
    </row>
    <row r="278" spans="36:47">
      <c r="AJ278" s="50">
        <v>2</v>
      </c>
      <c r="AK278" s="50">
        <v>0</v>
      </c>
      <c r="AL278" s="50">
        <v>1</v>
      </c>
      <c r="AM278" s="15">
        <f>Tabela21[[#This Row],[Att subs]]+Tabela21[[#This Row],[Crit D subs]]</f>
        <v>0.60000000000000009</v>
      </c>
      <c r="AN278" s="15">
        <v>0.4</v>
      </c>
      <c r="AO278" s="15">
        <v>0.2</v>
      </c>
      <c r="AP278" s="15">
        <v>0</v>
      </c>
      <c r="AQ278" s="189">
        <f t="shared" si="86"/>
        <v>3570.6600000000003</v>
      </c>
      <c r="AR278" s="189">
        <f t="shared" si="87"/>
        <v>3599.48</v>
      </c>
      <c r="AS278" s="189">
        <f t="shared" si="83"/>
        <v>3428.2799999999997</v>
      </c>
      <c r="AT278" s="189">
        <f t="shared" si="84"/>
        <v>6556.96</v>
      </c>
      <c r="AU278" s="50">
        <f t="shared" si="85"/>
        <v>6385.76</v>
      </c>
    </row>
    <row r="279" spans="36:47">
      <c r="AJ279" s="50">
        <v>2</v>
      </c>
      <c r="AK279" s="50">
        <v>0</v>
      </c>
      <c r="AL279" s="50">
        <v>1</v>
      </c>
      <c r="AM279" s="15">
        <f>Tabela21[[#This Row],[Att subs]]+Tabela21[[#This Row],[Crit D subs]]</f>
        <v>0.60000000000000009</v>
      </c>
      <c r="AN279" s="15">
        <v>0.4</v>
      </c>
      <c r="AO279" s="15">
        <v>0.2</v>
      </c>
      <c r="AP279" s="15">
        <v>0.1</v>
      </c>
      <c r="AQ279" s="189">
        <f t="shared" si="86"/>
        <v>3744.96</v>
      </c>
      <c r="AR279" s="189">
        <f t="shared" si="87"/>
        <v>3834.88</v>
      </c>
      <c r="AS279" s="189">
        <f t="shared" si="83"/>
        <v>3578.08</v>
      </c>
      <c r="AT279" s="189">
        <f t="shared" si="84"/>
        <v>7070.5599999999995</v>
      </c>
      <c r="AU279" s="50">
        <f t="shared" si="85"/>
        <v>7070.56</v>
      </c>
    </row>
    <row r="280" spans="36:47">
      <c r="AJ280" s="50">
        <v>2</v>
      </c>
      <c r="AK280" s="50">
        <v>0</v>
      </c>
      <c r="AL280" s="50">
        <v>1</v>
      </c>
      <c r="AM280" s="15">
        <f>Tabela21[[#This Row],[Att subs]]+Tabela21[[#This Row],[Crit D subs]]</f>
        <v>0.60000000000000009</v>
      </c>
      <c r="AN280" s="15">
        <v>0.4</v>
      </c>
      <c r="AO280" s="15">
        <v>0.2</v>
      </c>
      <c r="AP280" s="15">
        <v>0.2</v>
      </c>
      <c r="AQ280" s="189">
        <f t="shared" si="86"/>
        <v>3919.2599999999998</v>
      </c>
      <c r="AR280" s="189">
        <f t="shared" si="87"/>
        <v>4070.2799999999997</v>
      </c>
      <c r="AS280" s="189">
        <f t="shared" si="83"/>
        <v>3638</v>
      </c>
      <c r="AT280" s="189">
        <f t="shared" si="84"/>
        <v>7276</v>
      </c>
      <c r="AU280" s="50">
        <f t="shared" si="85"/>
        <v>7755.3600000000006</v>
      </c>
    </row>
    <row r="281" spans="36:47">
      <c r="AJ281" s="50">
        <v>2</v>
      </c>
      <c r="AK281" s="50">
        <v>0</v>
      </c>
      <c r="AL281" s="50">
        <v>1</v>
      </c>
      <c r="AM281" s="15">
        <f>Tabela21[[#This Row],[Att subs]]+Tabela21[[#This Row],[Crit D subs]]</f>
        <v>0.60000000000000009</v>
      </c>
      <c r="AN281" s="15">
        <v>0.4</v>
      </c>
      <c r="AO281" s="15">
        <v>0.2</v>
      </c>
      <c r="AP281" s="15">
        <v>0.3</v>
      </c>
      <c r="AQ281" s="189">
        <f t="shared" si="86"/>
        <v>4093.5600000000004</v>
      </c>
      <c r="AR281" s="189">
        <f t="shared" si="87"/>
        <v>4305.68</v>
      </c>
      <c r="AS281" s="189">
        <f t="shared" si="83"/>
        <v>3638</v>
      </c>
      <c r="AT281" s="189">
        <f t="shared" si="84"/>
        <v>7276</v>
      </c>
      <c r="AU281" s="50">
        <f t="shared" si="85"/>
        <v>8440.1600000000017</v>
      </c>
    </row>
    <row r="282" spans="36:47">
      <c r="AJ282" s="50">
        <v>2</v>
      </c>
      <c r="AK282" s="50">
        <v>0</v>
      </c>
      <c r="AL282" s="50">
        <v>1</v>
      </c>
      <c r="AM282" s="15">
        <f>Tabela21[[#This Row],[Att subs]]+Tabela21[[#This Row],[Crit D subs]]</f>
        <v>0.60000000000000009</v>
      </c>
      <c r="AN282" s="15">
        <v>0.4</v>
      </c>
      <c r="AO282" s="15">
        <v>0.2</v>
      </c>
      <c r="AP282" s="15">
        <v>0.4</v>
      </c>
      <c r="AQ282" s="189">
        <f t="shared" si="86"/>
        <v>4233</v>
      </c>
      <c r="AR282" s="189">
        <f t="shared" si="87"/>
        <v>4494</v>
      </c>
      <c r="AS282" s="189">
        <f t="shared" si="83"/>
        <v>3638</v>
      </c>
      <c r="AT282" s="189">
        <f t="shared" si="84"/>
        <v>7276</v>
      </c>
      <c r="AU282" s="50">
        <f t="shared" si="85"/>
        <v>8988</v>
      </c>
    </row>
    <row r="283" spans="36:47">
      <c r="AJ283" s="50">
        <v>2</v>
      </c>
      <c r="AK283" s="50">
        <v>0</v>
      </c>
      <c r="AL283" s="50">
        <v>1</v>
      </c>
      <c r="AM283" s="15">
        <f>Tabela21[[#This Row],[Att subs]]+Tabela21[[#This Row],[Crit D subs]]</f>
        <v>0.60000000000000009</v>
      </c>
      <c r="AN283" s="15">
        <v>0.4</v>
      </c>
      <c r="AO283" s="15">
        <v>0.2</v>
      </c>
      <c r="AP283" s="15">
        <v>0.5</v>
      </c>
      <c r="AQ283" s="189">
        <f t="shared" si="86"/>
        <v>4233</v>
      </c>
      <c r="AR283" s="189">
        <f t="shared" si="87"/>
        <v>4494</v>
      </c>
      <c r="AS283" s="189">
        <f t="shared" si="83"/>
        <v>3638</v>
      </c>
      <c r="AT283" s="189">
        <f t="shared" si="84"/>
        <v>7276</v>
      </c>
      <c r="AU283" s="50">
        <f t="shared" si="85"/>
        <v>8988</v>
      </c>
    </row>
    <row r="284" spans="36:47">
      <c r="AJ284" s="50">
        <v>2</v>
      </c>
      <c r="AK284" s="50">
        <v>0</v>
      </c>
      <c r="AL284" s="50">
        <v>1</v>
      </c>
      <c r="AM284" s="15">
        <f>Tabela21[[#This Row],[Att subs]]+Tabela21[[#This Row],[Crit D subs]]</f>
        <v>0.60000000000000009</v>
      </c>
      <c r="AN284" s="15">
        <v>0.4</v>
      </c>
      <c r="AO284" s="15">
        <v>0.2</v>
      </c>
      <c r="AP284" s="15">
        <v>0.6</v>
      </c>
      <c r="AQ284" s="189">
        <f t="shared" si="86"/>
        <v>4233</v>
      </c>
      <c r="AR284" s="189">
        <f t="shared" si="87"/>
        <v>4494</v>
      </c>
      <c r="AS284" s="189">
        <f t="shared" si="83"/>
        <v>3638</v>
      </c>
      <c r="AT284" s="189">
        <f t="shared" si="84"/>
        <v>7276</v>
      </c>
      <c r="AU284" s="50">
        <f t="shared" si="85"/>
        <v>8988</v>
      </c>
    </row>
    <row r="285" spans="36:47">
      <c r="AJ285" s="50">
        <v>2</v>
      </c>
      <c r="AK285" s="50">
        <v>0</v>
      </c>
      <c r="AL285" s="50">
        <v>1</v>
      </c>
      <c r="AM285" s="15">
        <f>Tabela21[[#This Row],[Att subs]]+Tabela21[[#This Row],[Crit D subs]]</f>
        <v>0.60000000000000009</v>
      </c>
      <c r="AN285" s="15">
        <v>0.4</v>
      </c>
      <c r="AO285" s="15">
        <v>0.2</v>
      </c>
      <c r="AP285" s="15">
        <v>0.7</v>
      </c>
      <c r="AQ285" s="189">
        <f t="shared" si="86"/>
        <v>4233</v>
      </c>
      <c r="AR285" s="189">
        <f t="shared" si="87"/>
        <v>4494</v>
      </c>
      <c r="AS285" s="189">
        <f t="shared" si="83"/>
        <v>3638</v>
      </c>
      <c r="AT285" s="189">
        <f t="shared" si="84"/>
        <v>7276</v>
      </c>
      <c r="AU285" s="50">
        <f t="shared" si="85"/>
        <v>8988</v>
      </c>
    </row>
    <row r="286" spans="36:47">
      <c r="AJ286" s="50">
        <v>2</v>
      </c>
      <c r="AK286" s="50">
        <v>0</v>
      </c>
      <c r="AL286" s="50">
        <v>1</v>
      </c>
      <c r="AM286" s="15">
        <f>Tabela21[[#This Row],[Att subs]]+Tabela21[[#This Row],[Crit D subs]]</f>
        <v>0.60000000000000009</v>
      </c>
      <c r="AN286" s="15">
        <v>0.4</v>
      </c>
      <c r="AO286" s="15">
        <v>0.2</v>
      </c>
      <c r="AP286" s="15">
        <v>0.8</v>
      </c>
      <c r="AQ286" s="189">
        <f t="shared" si="86"/>
        <v>4233</v>
      </c>
      <c r="AR286" s="189">
        <f t="shared" si="87"/>
        <v>4494</v>
      </c>
      <c r="AS286" s="189">
        <f t="shared" si="83"/>
        <v>3638</v>
      </c>
      <c r="AT286" s="189">
        <f t="shared" si="84"/>
        <v>7276</v>
      </c>
      <c r="AU286" s="50">
        <f t="shared" si="85"/>
        <v>8988</v>
      </c>
    </row>
    <row r="287" spans="36:47">
      <c r="AJ287" s="50">
        <v>2</v>
      </c>
      <c r="AK287" s="50">
        <v>0</v>
      </c>
      <c r="AL287" s="50">
        <v>1</v>
      </c>
      <c r="AM287" s="15">
        <f>Tabela21[[#This Row],[Att subs]]+Tabela21[[#This Row],[Crit D subs]]</f>
        <v>0.60000000000000009</v>
      </c>
      <c r="AN287" s="15">
        <v>0.4</v>
      </c>
      <c r="AO287" s="15">
        <v>0.2</v>
      </c>
      <c r="AP287" s="15">
        <v>0.9</v>
      </c>
      <c r="AQ287" s="189">
        <f t="shared" si="86"/>
        <v>4233</v>
      </c>
      <c r="AR287" s="189">
        <f t="shared" si="87"/>
        <v>4494</v>
      </c>
      <c r="AS287" s="189">
        <f t="shared" si="83"/>
        <v>3638</v>
      </c>
      <c r="AT287" s="189">
        <f t="shared" si="84"/>
        <v>7276</v>
      </c>
      <c r="AU287" s="50">
        <f t="shared" si="85"/>
        <v>8988</v>
      </c>
    </row>
    <row r="288" spans="36:47">
      <c r="AJ288" s="50">
        <v>2</v>
      </c>
      <c r="AK288" s="50">
        <v>0</v>
      </c>
      <c r="AL288" s="50">
        <v>1</v>
      </c>
      <c r="AM288" s="15">
        <f>Tabela21[[#This Row],[Att subs]]+Tabela21[[#This Row],[Crit D subs]]</f>
        <v>0.60000000000000009</v>
      </c>
      <c r="AN288" s="15">
        <v>0.4</v>
      </c>
      <c r="AO288" s="15">
        <v>0.2</v>
      </c>
      <c r="AP288" s="15">
        <v>1</v>
      </c>
      <c r="AQ288" s="189">
        <f t="shared" si="86"/>
        <v>4233</v>
      </c>
      <c r="AR288" s="189">
        <f t="shared" si="87"/>
        <v>4494</v>
      </c>
      <c r="AS288" s="189">
        <f t="shared" si="83"/>
        <v>3638</v>
      </c>
      <c r="AT288" s="189">
        <f t="shared" si="84"/>
        <v>7276</v>
      </c>
      <c r="AU288" s="50">
        <f t="shared" si="85"/>
        <v>8988</v>
      </c>
    </row>
    <row r="289" spans="36:47">
      <c r="AJ289" s="50">
        <v>3</v>
      </c>
      <c r="AK289" s="50">
        <v>0</v>
      </c>
      <c r="AL289" s="50">
        <v>0</v>
      </c>
      <c r="AM289" s="15">
        <f>Tabela21[[#This Row],[Att subs]]+Tabela21[[#This Row],[Crit D subs]]</f>
        <v>0.60000000000000009</v>
      </c>
      <c r="AN289" s="15">
        <v>0.4</v>
      </c>
      <c r="AO289" s="15">
        <v>0.2</v>
      </c>
      <c r="AP289" s="15">
        <v>0</v>
      </c>
      <c r="AQ289" s="189">
        <f t="shared" si="86"/>
        <v>3400.54</v>
      </c>
      <c r="AR289" s="189">
        <f t="shared" si="87"/>
        <v>3255.4700000000003</v>
      </c>
      <c r="AS289" s="189">
        <f t="shared" si="83"/>
        <v>3406.07</v>
      </c>
      <c r="AT289" s="189">
        <f t="shared" si="84"/>
        <v>5582.2400000000007</v>
      </c>
      <c r="AU289" s="50">
        <f t="shared" si="85"/>
        <v>4678.6400000000003</v>
      </c>
    </row>
    <row r="290" spans="36:47">
      <c r="AJ290" s="50">
        <v>3</v>
      </c>
      <c r="AK290" s="50">
        <v>0</v>
      </c>
      <c r="AL290" s="50">
        <v>0</v>
      </c>
      <c r="AM290" s="15">
        <f>Tabela21[[#This Row],[Att subs]]+Tabela21[[#This Row],[Crit D subs]]</f>
        <v>0.60000000000000009</v>
      </c>
      <c r="AN290" s="15">
        <v>0.4</v>
      </c>
      <c r="AO290" s="15">
        <v>0.2</v>
      </c>
      <c r="AP290" s="15">
        <v>0.1</v>
      </c>
      <c r="AQ290" s="189">
        <f t="shared" si="86"/>
        <v>3600.74</v>
      </c>
      <c r="AR290" s="189">
        <f t="shared" si="87"/>
        <v>3531.57</v>
      </c>
      <c r="AS290" s="189">
        <f t="shared" si="83"/>
        <v>3581.77</v>
      </c>
      <c r="AT290" s="189">
        <f t="shared" si="84"/>
        <v>6184.64</v>
      </c>
      <c r="AU290" s="50">
        <f t="shared" si="85"/>
        <v>5481.84</v>
      </c>
    </row>
    <row r="291" spans="36:47">
      <c r="AJ291" s="50">
        <v>3</v>
      </c>
      <c r="AK291" s="50">
        <v>0</v>
      </c>
      <c r="AL291" s="50">
        <v>0</v>
      </c>
      <c r="AM291" s="15">
        <f>Tabela21[[#This Row],[Att subs]]+Tabela21[[#This Row],[Crit D subs]]</f>
        <v>0.60000000000000009</v>
      </c>
      <c r="AN291" s="15">
        <v>0.4</v>
      </c>
      <c r="AO291" s="15">
        <v>0.2</v>
      </c>
      <c r="AP291" s="15">
        <v>0.2</v>
      </c>
      <c r="AQ291" s="189">
        <f t="shared" si="86"/>
        <v>3800.9399999999991</v>
      </c>
      <c r="AR291" s="189">
        <f t="shared" si="87"/>
        <v>3807.6699999999996</v>
      </c>
      <c r="AS291" s="189">
        <f t="shared" si="83"/>
        <v>3757.47</v>
      </c>
      <c r="AT291" s="189">
        <f t="shared" si="84"/>
        <v>6787.0399999999991</v>
      </c>
      <c r="AU291" s="50">
        <f t="shared" si="85"/>
        <v>6285.04</v>
      </c>
    </row>
    <row r="292" spans="36:47">
      <c r="AJ292" s="50">
        <v>3</v>
      </c>
      <c r="AK292" s="50">
        <v>0</v>
      </c>
      <c r="AL292" s="50">
        <v>0</v>
      </c>
      <c r="AM292" s="15">
        <f>Tabela21[[#This Row],[Att subs]]+Tabela21[[#This Row],[Crit D subs]]</f>
        <v>0.60000000000000009</v>
      </c>
      <c r="AN292" s="15">
        <v>0.4</v>
      </c>
      <c r="AO292" s="15">
        <v>0.2</v>
      </c>
      <c r="AP292" s="15">
        <v>0.3</v>
      </c>
      <c r="AQ292" s="189">
        <f t="shared" si="86"/>
        <v>4001.14</v>
      </c>
      <c r="AR292" s="189">
        <f t="shared" si="87"/>
        <v>4083.7699999999995</v>
      </c>
      <c r="AS292" s="189">
        <f t="shared" si="83"/>
        <v>3933.1699999999992</v>
      </c>
      <c r="AT292" s="189">
        <f t="shared" si="84"/>
        <v>7389.4399999999987</v>
      </c>
      <c r="AU292" s="50">
        <f t="shared" si="85"/>
        <v>7088.24</v>
      </c>
    </row>
    <row r="293" spans="36:47">
      <c r="AJ293" s="50">
        <v>3</v>
      </c>
      <c r="AK293" s="50">
        <v>0</v>
      </c>
      <c r="AL293" s="50">
        <v>0</v>
      </c>
      <c r="AM293" s="15">
        <f>Tabela21[[#This Row],[Att subs]]+Tabela21[[#This Row],[Crit D subs]]</f>
        <v>0.60000000000000009</v>
      </c>
      <c r="AN293" s="15">
        <v>0.4</v>
      </c>
      <c r="AO293" s="15">
        <v>0.2</v>
      </c>
      <c r="AP293" s="15">
        <v>0.4</v>
      </c>
      <c r="AQ293" s="189">
        <f t="shared" si="86"/>
        <v>4201.3399999999992</v>
      </c>
      <c r="AR293" s="189">
        <f t="shared" si="87"/>
        <v>4359.87</v>
      </c>
      <c r="AS293" s="189">
        <f t="shared" si="83"/>
        <v>4108.87</v>
      </c>
      <c r="AT293" s="189">
        <f t="shared" si="84"/>
        <v>7991.8399999999992</v>
      </c>
      <c r="AU293" s="50">
        <f t="shared" si="85"/>
        <v>7891.4400000000014</v>
      </c>
    </row>
    <row r="294" spans="36:47">
      <c r="AJ294" s="50">
        <v>3</v>
      </c>
      <c r="AK294" s="50">
        <v>0</v>
      </c>
      <c r="AL294" s="50">
        <v>0</v>
      </c>
      <c r="AM294" s="15">
        <f>Tabela21[[#This Row],[Att subs]]+Tabela21[[#This Row],[Crit D subs]]</f>
        <v>0.60000000000000009</v>
      </c>
      <c r="AN294" s="15">
        <v>0.4</v>
      </c>
      <c r="AO294" s="15">
        <v>0.2</v>
      </c>
      <c r="AP294" s="15">
        <v>0.5</v>
      </c>
      <c r="AQ294" s="189">
        <f t="shared" si="86"/>
        <v>4401.54</v>
      </c>
      <c r="AR294" s="189">
        <f t="shared" si="87"/>
        <v>4635.97</v>
      </c>
      <c r="AS294" s="189">
        <f t="shared" si="83"/>
        <v>4267</v>
      </c>
      <c r="AT294" s="189">
        <f t="shared" si="84"/>
        <v>8534</v>
      </c>
      <c r="AU294" s="50">
        <f t="shared" si="85"/>
        <v>8694.6400000000012</v>
      </c>
    </row>
    <row r="295" spans="36:47">
      <c r="AJ295" s="50">
        <v>3</v>
      </c>
      <c r="AK295" s="50">
        <v>0</v>
      </c>
      <c r="AL295" s="50">
        <v>0</v>
      </c>
      <c r="AM295" s="15">
        <f>Tabela21[[#This Row],[Att subs]]+Tabela21[[#This Row],[Crit D subs]]</f>
        <v>0.60000000000000009</v>
      </c>
      <c r="AN295" s="15">
        <v>0.4</v>
      </c>
      <c r="AO295" s="15">
        <v>0.2</v>
      </c>
      <c r="AP295" s="15">
        <v>0.6</v>
      </c>
      <c r="AQ295" s="189">
        <f t="shared" si="86"/>
        <v>4601.74</v>
      </c>
      <c r="AR295" s="189">
        <f t="shared" si="87"/>
        <v>4912.07</v>
      </c>
      <c r="AS295" s="189">
        <f t="shared" si="83"/>
        <v>4267</v>
      </c>
      <c r="AT295" s="189">
        <f t="shared" si="84"/>
        <v>8534</v>
      </c>
      <c r="AU295" s="50">
        <f t="shared" si="85"/>
        <v>9497.84</v>
      </c>
    </row>
    <row r="296" spans="36:47">
      <c r="AJ296" s="50">
        <v>3</v>
      </c>
      <c r="AK296" s="50">
        <v>0</v>
      </c>
      <c r="AL296" s="50">
        <v>0</v>
      </c>
      <c r="AM296" s="15">
        <f>Tabela21[[#This Row],[Att subs]]+Tabela21[[#This Row],[Crit D subs]]</f>
        <v>0.60000000000000009</v>
      </c>
      <c r="AN296" s="15">
        <v>0.4</v>
      </c>
      <c r="AO296" s="15">
        <v>0.2</v>
      </c>
      <c r="AP296" s="15">
        <v>0.7</v>
      </c>
      <c r="AQ296" s="189">
        <f t="shared" si="86"/>
        <v>4801.9400000000005</v>
      </c>
      <c r="AR296" s="189">
        <f t="shared" si="87"/>
        <v>5188.17</v>
      </c>
      <c r="AS296" s="189">
        <f t="shared" si="83"/>
        <v>4267</v>
      </c>
      <c r="AT296" s="189">
        <f t="shared" si="84"/>
        <v>8534</v>
      </c>
      <c r="AU296" s="50">
        <f t="shared" si="85"/>
        <v>10301.040000000001</v>
      </c>
    </row>
    <row r="297" spans="36:47">
      <c r="AJ297" s="50">
        <v>3</v>
      </c>
      <c r="AK297" s="50">
        <v>0</v>
      </c>
      <c r="AL297" s="50">
        <v>0</v>
      </c>
      <c r="AM297" s="15">
        <f>Tabela21[[#This Row],[Att subs]]+Tabela21[[#This Row],[Crit D subs]]</f>
        <v>0.60000000000000009</v>
      </c>
      <c r="AN297" s="15">
        <v>0.4</v>
      </c>
      <c r="AO297" s="15">
        <v>0.2</v>
      </c>
      <c r="AP297" s="15">
        <v>0.8</v>
      </c>
      <c r="AQ297" s="189">
        <f t="shared" si="86"/>
        <v>4862</v>
      </c>
      <c r="AR297" s="189">
        <f t="shared" si="87"/>
        <v>5271</v>
      </c>
      <c r="AS297" s="189">
        <f t="shared" si="83"/>
        <v>4267</v>
      </c>
      <c r="AT297" s="189">
        <f t="shared" si="84"/>
        <v>8534</v>
      </c>
      <c r="AU297" s="50">
        <f t="shared" si="85"/>
        <v>10542</v>
      </c>
    </row>
    <row r="298" spans="36:47">
      <c r="AJ298" s="50">
        <v>3</v>
      </c>
      <c r="AK298" s="50">
        <v>0</v>
      </c>
      <c r="AL298" s="50">
        <v>0</v>
      </c>
      <c r="AM298" s="15">
        <f>Tabela21[[#This Row],[Att subs]]+Tabela21[[#This Row],[Crit D subs]]</f>
        <v>0.60000000000000009</v>
      </c>
      <c r="AN298" s="15">
        <v>0.4</v>
      </c>
      <c r="AO298" s="15">
        <v>0.2</v>
      </c>
      <c r="AP298" s="15">
        <v>0.9</v>
      </c>
      <c r="AQ298" s="189">
        <f t="shared" si="86"/>
        <v>4862</v>
      </c>
      <c r="AR298" s="189">
        <f t="shared" si="87"/>
        <v>5271</v>
      </c>
      <c r="AS298" s="189">
        <f t="shared" si="83"/>
        <v>4267</v>
      </c>
      <c r="AT298" s="189">
        <f t="shared" si="84"/>
        <v>8534</v>
      </c>
      <c r="AU298" s="50">
        <f t="shared" si="85"/>
        <v>10542</v>
      </c>
    </row>
    <row r="299" spans="36:47">
      <c r="AJ299" s="50">
        <v>3</v>
      </c>
      <c r="AK299" s="50">
        <v>0</v>
      </c>
      <c r="AL299" s="50">
        <v>0</v>
      </c>
      <c r="AM299" s="15">
        <f>Tabela21[[#This Row],[Att subs]]+Tabela21[[#This Row],[Crit D subs]]</f>
        <v>0.60000000000000009</v>
      </c>
      <c r="AN299" s="15">
        <v>0.4</v>
      </c>
      <c r="AO299" s="15">
        <v>0.2</v>
      </c>
      <c r="AP299" s="15">
        <v>1</v>
      </c>
      <c r="AQ299" s="189">
        <f t="shared" si="86"/>
        <v>4862</v>
      </c>
      <c r="AR299" s="189">
        <f t="shared" si="87"/>
        <v>5271</v>
      </c>
      <c r="AS299" s="189">
        <f t="shared" si="83"/>
        <v>4267</v>
      </c>
      <c r="AT299" s="189">
        <f t="shared" si="84"/>
        <v>8534</v>
      </c>
      <c r="AU299" s="50">
        <f t="shared" si="85"/>
        <v>10542</v>
      </c>
    </row>
    <row r="300" spans="36:47">
      <c r="AJ300" s="50">
        <v>2</v>
      </c>
      <c r="AK300" s="50">
        <v>1</v>
      </c>
      <c r="AL300" s="50">
        <v>0</v>
      </c>
      <c r="AM300" s="15">
        <f>Tabela21[[#This Row],[Att subs]]+Tabela21[[#This Row],[Crit D subs]]</f>
        <v>0.8</v>
      </c>
      <c r="AN300" s="15">
        <v>0.6</v>
      </c>
      <c r="AO300" s="15">
        <v>0.2</v>
      </c>
      <c r="AP300" s="15">
        <v>0</v>
      </c>
      <c r="AQ300" s="189">
        <f t="shared" si="86"/>
        <v>3539.7710000000002</v>
      </c>
      <c r="AR300" s="189">
        <f t="shared" si="87"/>
        <v>3331.9259999999999</v>
      </c>
      <c r="AS300" s="189">
        <f t="shared" si="83"/>
        <v>3736.2779999999998</v>
      </c>
      <c r="AT300" s="189">
        <f t="shared" si="84"/>
        <v>6325.9560000000001</v>
      </c>
      <c r="AU300" s="50">
        <f t="shared" si="85"/>
        <v>4955.652</v>
      </c>
    </row>
    <row r="301" spans="36:47">
      <c r="AJ301" s="50">
        <v>2</v>
      </c>
      <c r="AK301" s="50">
        <v>1</v>
      </c>
      <c r="AL301" s="50">
        <v>0</v>
      </c>
      <c r="AM301" s="15">
        <f>Tabela21[[#This Row],[Att subs]]+Tabela21[[#This Row],[Crit D subs]]</f>
        <v>0.8</v>
      </c>
      <c r="AN301" s="15">
        <v>0.6</v>
      </c>
      <c r="AO301" s="15">
        <v>0.2</v>
      </c>
      <c r="AP301" s="15">
        <v>0.1</v>
      </c>
      <c r="AQ301" s="189">
        <f t="shared" si="86"/>
        <v>3854.5010000000002</v>
      </c>
      <c r="AR301" s="189">
        <f t="shared" si="87"/>
        <v>3699.306</v>
      </c>
      <c r="AS301" s="189">
        <f t="shared" si="83"/>
        <v>4010.0579999999995</v>
      </c>
      <c r="AT301" s="189">
        <f t="shared" si="84"/>
        <v>7107.5159999999996</v>
      </c>
      <c r="AU301" s="50">
        <f t="shared" si="85"/>
        <v>5924.4120000000003</v>
      </c>
    </row>
    <row r="302" spans="36:47">
      <c r="AJ302" s="50">
        <v>2</v>
      </c>
      <c r="AK302" s="50">
        <v>1</v>
      </c>
      <c r="AL302" s="50">
        <v>0</v>
      </c>
      <c r="AM302" s="15">
        <f>Tabela21[[#This Row],[Att subs]]+Tabela21[[#This Row],[Crit D subs]]</f>
        <v>0.8</v>
      </c>
      <c r="AN302" s="15">
        <v>0.6</v>
      </c>
      <c r="AO302" s="15">
        <v>0.2</v>
      </c>
      <c r="AP302" s="15">
        <v>0.2</v>
      </c>
      <c r="AQ302" s="189">
        <f t="shared" si="86"/>
        <v>4169.2309999999989</v>
      </c>
      <c r="AR302" s="189">
        <f t="shared" si="87"/>
        <v>4066.6859999999997</v>
      </c>
      <c r="AS302" s="189">
        <f t="shared" si="83"/>
        <v>4283.8379999999997</v>
      </c>
      <c r="AT302" s="189">
        <f t="shared" si="84"/>
        <v>7889.076</v>
      </c>
      <c r="AU302" s="50">
        <f t="shared" si="85"/>
        <v>6893.1719999999987</v>
      </c>
    </row>
    <row r="303" spans="36:47">
      <c r="AJ303" s="50">
        <v>2</v>
      </c>
      <c r="AK303" s="50">
        <v>1</v>
      </c>
      <c r="AL303" s="50">
        <v>0</v>
      </c>
      <c r="AM303" s="15">
        <f>Tabela21[[#This Row],[Att subs]]+Tabela21[[#This Row],[Crit D subs]]</f>
        <v>0.8</v>
      </c>
      <c r="AN303" s="15">
        <v>0.6</v>
      </c>
      <c r="AO303" s="15">
        <v>0.2</v>
      </c>
      <c r="AP303" s="15">
        <v>0.3</v>
      </c>
      <c r="AQ303" s="189">
        <f t="shared" si="86"/>
        <v>4483.9610000000002</v>
      </c>
      <c r="AR303" s="189">
        <f t="shared" si="87"/>
        <v>4434.0659999999998</v>
      </c>
      <c r="AS303" s="189">
        <f t="shared" si="83"/>
        <v>4557.6179999999995</v>
      </c>
      <c r="AT303" s="189">
        <f t="shared" si="84"/>
        <v>8670.6359999999986</v>
      </c>
      <c r="AU303" s="50">
        <f t="shared" si="85"/>
        <v>7861.9319999999998</v>
      </c>
    </row>
    <row r="304" spans="36:47">
      <c r="AJ304" s="50">
        <v>2</v>
      </c>
      <c r="AK304" s="50">
        <v>1</v>
      </c>
      <c r="AL304" s="50">
        <v>0</v>
      </c>
      <c r="AM304" s="15">
        <f>Tabela21[[#This Row],[Att subs]]+Tabela21[[#This Row],[Crit D subs]]</f>
        <v>0.8</v>
      </c>
      <c r="AN304" s="15">
        <v>0.6</v>
      </c>
      <c r="AO304" s="15">
        <v>0.2</v>
      </c>
      <c r="AP304" s="15">
        <v>0.4</v>
      </c>
      <c r="AQ304" s="189">
        <f t="shared" si="86"/>
        <v>4798.6909999999998</v>
      </c>
      <c r="AR304" s="189">
        <f t="shared" si="87"/>
        <v>4801.4459999999999</v>
      </c>
      <c r="AS304" s="189">
        <f t="shared" si="83"/>
        <v>4831.3979999999992</v>
      </c>
      <c r="AT304" s="189">
        <f t="shared" si="84"/>
        <v>9452.1959999999999</v>
      </c>
      <c r="AU304" s="50">
        <f t="shared" si="85"/>
        <v>8830.6920000000009</v>
      </c>
    </row>
    <row r="305" spans="36:47">
      <c r="AJ305" s="50">
        <v>2</v>
      </c>
      <c r="AK305" s="50">
        <v>1</v>
      </c>
      <c r="AL305" s="50">
        <v>0</v>
      </c>
      <c r="AM305" s="15">
        <f>Tabela21[[#This Row],[Att subs]]+Tabela21[[#This Row],[Crit D subs]]</f>
        <v>0.8</v>
      </c>
      <c r="AN305" s="15">
        <v>0.6</v>
      </c>
      <c r="AO305" s="15">
        <v>0.2</v>
      </c>
      <c r="AP305" s="15">
        <v>0.5</v>
      </c>
      <c r="AQ305" s="189">
        <f t="shared" si="86"/>
        <v>5113.4210000000003</v>
      </c>
      <c r="AR305" s="189">
        <f t="shared" si="87"/>
        <v>5168.826</v>
      </c>
      <c r="AS305" s="189">
        <f t="shared" si="83"/>
        <v>5077.8</v>
      </c>
      <c r="AT305" s="189">
        <f t="shared" si="84"/>
        <v>10155.6</v>
      </c>
      <c r="AU305" s="50">
        <f t="shared" si="85"/>
        <v>9799.4519999999975</v>
      </c>
    </row>
    <row r="306" spans="36:47">
      <c r="AJ306" s="50">
        <v>2</v>
      </c>
      <c r="AK306" s="50">
        <v>1</v>
      </c>
      <c r="AL306" s="50">
        <v>0</v>
      </c>
      <c r="AM306" s="15">
        <f>Tabela21[[#This Row],[Att subs]]+Tabela21[[#This Row],[Crit D subs]]</f>
        <v>0.8</v>
      </c>
      <c r="AN306" s="15">
        <v>0.6</v>
      </c>
      <c r="AO306" s="15">
        <v>0.2</v>
      </c>
      <c r="AP306" s="15">
        <v>0.6</v>
      </c>
      <c r="AQ306" s="189">
        <f t="shared" si="86"/>
        <v>5428.1509999999998</v>
      </c>
      <c r="AR306" s="189">
        <f t="shared" si="87"/>
        <v>5536.2060000000001</v>
      </c>
      <c r="AS306" s="189">
        <f t="shared" si="83"/>
        <v>5077.8</v>
      </c>
      <c r="AT306" s="189">
        <f t="shared" si="84"/>
        <v>10155.6</v>
      </c>
      <c r="AU306" s="50">
        <f t="shared" si="85"/>
        <v>10768.212</v>
      </c>
    </row>
    <row r="307" spans="36:47">
      <c r="AJ307" s="50">
        <v>2</v>
      </c>
      <c r="AK307" s="50">
        <v>1</v>
      </c>
      <c r="AL307" s="50">
        <v>0</v>
      </c>
      <c r="AM307" s="15">
        <f>Tabela21[[#This Row],[Att subs]]+Tabela21[[#This Row],[Crit D subs]]</f>
        <v>0.8</v>
      </c>
      <c r="AN307" s="15">
        <v>0.6</v>
      </c>
      <c r="AO307" s="15">
        <v>0.2</v>
      </c>
      <c r="AP307" s="15">
        <v>0.7</v>
      </c>
      <c r="AQ307" s="189">
        <f t="shared" si="86"/>
        <v>5742.8810000000003</v>
      </c>
      <c r="AR307" s="189">
        <f t="shared" si="87"/>
        <v>5903.5860000000002</v>
      </c>
      <c r="AS307" s="189">
        <f t="shared" si="83"/>
        <v>5077.8</v>
      </c>
      <c r="AT307" s="189">
        <f t="shared" si="84"/>
        <v>10155.6</v>
      </c>
      <c r="AU307" s="50">
        <f t="shared" si="85"/>
        <v>11736.972</v>
      </c>
    </row>
    <row r="308" spans="36:47">
      <c r="AJ308" s="50">
        <v>2</v>
      </c>
      <c r="AK308" s="50">
        <v>1</v>
      </c>
      <c r="AL308" s="50">
        <v>0</v>
      </c>
      <c r="AM308" s="15">
        <f>Tabela21[[#This Row],[Att subs]]+Tabela21[[#This Row],[Crit D subs]]</f>
        <v>0.8</v>
      </c>
      <c r="AN308" s="15">
        <v>0.6</v>
      </c>
      <c r="AO308" s="15">
        <v>0.2</v>
      </c>
      <c r="AP308" s="15">
        <v>0.8</v>
      </c>
      <c r="AQ308" s="189">
        <f t="shared" si="86"/>
        <v>5837.3</v>
      </c>
      <c r="AR308" s="189">
        <f t="shared" si="87"/>
        <v>6013.7999999999993</v>
      </c>
      <c r="AS308" s="189">
        <f t="shared" si="83"/>
        <v>5077.8</v>
      </c>
      <c r="AT308" s="189">
        <f t="shared" si="84"/>
        <v>10155.6</v>
      </c>
      <c r="AU308" s="50">
        <f t="shared" si="85"/>
        <v>12027.599999999999</v>
      </c>
    </row>
    <row r="309" spans="36:47">
      <c r="AJ309" s="50">
        <v>2</v>
      </c>
      <c r="AK309" s="50">
        <v>1</v>
      </c>
      <c r="AL309" s="50">
        <v>0</v>
      </c>
      <c r="AM309" s="15">
        <f>Tabela21[[#This Row],[Att subs]]+Tabela21[[#This Row],[Crit D subs]]</f>
        <v>0.8</v>
      </c>
      <c r="AN309" s="15">
        <v>0.6</v>
      </c>
      <c r="AO309" s="15">
        <v>0.2</v>
      </c>
      <c r="AP309" s="15">
        <v>0.9</v>
      </c>
      <c r="AQ309" s="189">
        <f t="shared" si="86"/>
        <v>5837.3</v>
      </c>
      <c r="AR309" s="189">
        <f t="shared" si="87"/>
        <v>6013.7999999999993</v>
      </c>
      <c r="AS309" s="189">
        <f t="shared" si="83"/>
        <v>5077.8</v>
      </c>
      <c r="AT309" s="189">
        <f t="shared" si="84"/>
        <v>10155.6</v>
      </c>
      <c r="AU309" s="50">
        <f t="shared" si="85"/>
        <v>12027.599999999999</v>
      </c>
    </row>
    <row r="310" spans="36:47">
      <c r="AJ310" s="50">
        <v>2</v>
      </c>
      <c r="AK310" s="50">
        <v>1</v>
      </c>
      <c r="AL310" s="50">
        <v>0</v>
      </c>
      <c r="AM310" s="15">
        <f>Tabela21[[#This Row],[Att subs]]+Tabela21[[#This Row],[Crit D subs]]</f>
        <v>0.8</v>
      </c>
      <c r="AN310" s="15">
        <v>0.6</v>
      </c>
      <c r="AO310" s="15">
        <v>0.2</v>
      </c>
      <c r="AP310" s="15">
        <v>1</v>
      </c>
      <c r="AQ310" s="189">
        <f t="shared" si="86"/>
        <v>5837.3</v>
      </c>
      <c r="AR310" s="189">
        <f t="shared" si="87"/>
        <v>6013.7999999999993</v>
      </c>
      <c r="AS310" s="189">
        <f t="shared" si="83"/>
        <v>5077.8</v>
      </c>
      <c r="AT310" s="189">
        <f t="shared" si="84"/>
        <v>10155.6</v>
      </c>
      <c r="AU310" s="50">
        <f t="shared" si="85"/>
        <v>12027.599999999999</v>
      </c>
    </row>
    <row r="311" spans="36:47">
      <c r="AJ311" s="50">
        <v>2</v>
      </c>
      <c r="AK311" s="50">
        <v>0</v>
      </c>
      <c r="AL311" s="50">
        <v>1</v>
      </c>
      <c r="AM311" s="15">
        <f>Tabela21[[#This Row],[Att subs]]+Tabela21[[#This Row],[Crit D subs]]</f>
        <v>0.8</v>
      </c>
      <c r="AN311" s="15">
        <v>0.6</v>
      </c>
      <c r="AO311" s="15">
        <v>0.2</v>
      </c>
      <c r="AP311" s="15">
        <v>0</v>
      </c>
      <c r="AQ311" s="189">
        <f t="shared" si="86"/>
        <v>3857.4600000000005</v>
      </c>
      <c r="AR311" s="189">
        <f t="shared" si="87"/>
        <v>3935.8799999999997</v>
      </c>
      <c r="AS311" s="189">
        <f t="shared" si="83"/>
        <v>3748.68</v>
      </c>
      <c r="AT311" s="189">
        <f t="shared" si="84"/>
        <v>7169.76</v>
      </c>
      <c r="AU311" s="50">
        <f t="shared" si="85"/>
        <v>6982.56</v>
      </c>
    </row>
    <row r="312" spans="36:47">
      <c r="AJ312" s="50">
        <v>2</v>
      </c>
      <c r="AK312" s="50">
        <v>0</v>
      </c>
      <c r="AL312" s="50">
        <v>1</v>
      </c>
      <c r="AM312" s="15">
        <f>Tabela21[[#This Row],[Att subs]]+Tabela21[[#This Row],[Crit D subs]]</f>
        <v>0.8</v>
      </c>
      <c r="AN312" s="15">
        <v>0.6</v>
      </c>
      <c r="AO312" s="15">
        <v>0.2</v>
      </c>
      <c r="AP312" s="15">
        <v>0.1</v>
      </c>
      <c r="AQ312" s="189">
        <f t="shared" si="86"/>
        <v>4045.76</v>
      </c>
      <c r="AR312" s="189">
        <f t="shared" si="87"/>
        <v>4193.28</v>
      </c>
      <c r="AS312" s="189">
        <f t="shared" si="83"/>
        <v>3912.48</v>
      </c>
      <c r="AT312" s="189">
        <f t="shared" si="84"/>
        <v>7731.36</v>
      </c>
      <c r="AU312" s="50">
        <f t="shared" si="85"/>
        <v>7731.3600000000006</v>
      </c>
    </row>
    <row r="313" spans="36:47">
      <c r="AJ313" s="50">
        <v>2</v>
      </c>
      <c r="AK313" s="50">
        <v>0</v>
      </c>
      <c r="AL313" s="50">
        <v>1</v>
      </c>
      <c r="AM313" s="15">
        <f>Tabela21[[#This Row],[Att subs]]+Tabela21[[#This Row],[Crit D subs]]</f>
        <v>0.8</v>
      </c>
      <c r="AN313" s="15">
        <v>0.6</v>
      </c>
      <c r="AO313" s="15">
        <v>0.2</v>
      </c>
      <c r="AP313" s="15">
        <v>0.2</v>
      </c>
      <c r="AQ313" s="189">
        <f t="shared" si="86"/>
        <v>4234.0599999999995</v>
      </c>
      <c r="AR313" s="189">
        <f t="shared" si="87"/>
        <v>4450.6799999999994</v>
      </c>
      <c r="AS313" s="189">
        <f t="shared" si="83"/>
        <v>3978</v>
      </c>
      <c r="AT313" s="189">
        <f t="shared" si="84"/>
        <v>7956</v>
      </c>
      <c r="AU313" s="50">
        <f t="shared" si="85"/>
        <v>8480.16</v>
      </c>
    </row>
    <row r="314" spans="36:47">
      <c r="AJ314" s="50">
        <v>2</v>
      </c>
      <c r="AK314" s="50">
        <v>0</v>
      </c>
      <c r="AL314" s="50">
        <v>1</v>
      </c>
      <c r="AM314" s="15">
        <f>Tabela21[[#This Row],[Att subs]]+Tabela21[[#This Row],[Crit D subs]]</f>
        <v>0.8</v>
      </c>
      <c r="AN314" s="15">
        <v>0.6</v>
      </c>
      <c r="AO314" s="15">
        <v>0.2</v>
      </c>
      <c r="AP314" s="15">
        <v>0.3</v>
      </c>
      <c r="AQ314" s="189">
        <f t="shared" si="86"/>
        <v>4422.3600000000006</v>
      </c>
      <c r="AR314" s="189">
        <f t="shared" si="87"/>
        <v>4708.08</v>
      </c>
      <c r="AS314" s="189">
        <f t="shared" si="83"/>
        <v>3978</v>
      </c>
      <c r="AT314" s="189">
        <f t="shared" si="84"/>
        <v>7956</v>
      </c>
      <c r="AU314" s="50">
        <f t="shared" si="85"/>
        <v>9228.9600000000009</v>
      </c>
    </row>
    <row r="315" spans="36:47">
      <c r="AJ315" s="50">
        <v>2</v>
      </c>
      <c r="AK315" s="50">
        <v>0</v>
      </c>
      <c r="AL315" s="50">
        <v>1</v>
      </c>
      <c r="AM315" s="15">
        <f>Tabela21[[#This Row],[Att subs]]+Tabela21[[#This Row],[Crit D subs]]</f>
        <v>0.8</v>
      </c>
      <c r="AN315" s="15">
        <v>0.6</v>
      </c>
      <c r="AO315" s="15">
        <v>0.2</v>
      </c>
      <c r="AP315" s="15">
        <v>0.4</v>
      </c>
      <c r="AQ315" s="189">
        <f t="shared" si="86"/>
        <v>4573</v>
      </c>
      <c r="AR315" s="189">
        <f t="shared" si="87"/>
        <v>4914</v>
      </c>
      <c r="AS315" s="189">
        <f t="shared" si="83"/>
        <v>3978</v>
      </c>
      <c r="AT315" s="189">
        <f t="shared" si="84"/>
        <v>7956</v>
      </c>
      <c r="AU315" s="50">
        <f t="shared" si="85"/>
        <v>9828</v>
      </c>
    </row>
    <row r="316" spans="36:47">
      <c r="AJ316" s="50">
        <v>2</v>
      </c>
      <c r="AK316" s="50">
        <v>0</v>
      </c>
      <c r="AL316" s="50">
        <v>1</v>
      </c>
      <c r="AM316" s="15">
        <f>Tabela21[[#This Row],[Att subs]]+Tabela21[[#This Row],[Crit D subs]]</f>
        <v>0.8</v>
      </c>
      <c r="AN316" s="15">
        <v>0.6</v>
      </c>
      <c r="AO316" s="15">
        <v>0.2</v>
      </c>
      <c r="AP316" s="15">
        <v>0.5</v>
      </c>
      <c r="AQ316" s="189">
        <f t="shared" si="86"/>
        <v>4573</v>
      </c>
      <c r="AR316" s="189">
        <f t="shared" si="87"/>
        <v>4914</v>
      </c>
      <c r="AS316" s="189">
        <f t="shared" si="83"/>
        <v>3978</v>
      </c>
      <c r="AT316" s="189">
        <f t="shared" si="84"/>
        <v>7956</v>
      </c>
      <c r="AU316" s="50">
        <f t="shared" si="85"/>
        <v>9828</v>
      </c>
    </row>
    <row r="317" spans="36:47">
      <c r="AJ317" s="50">
        <v>2</v>
      </c>
      <c r="AK317" s="50">
        <v>0</v>
      </c>
      <c r="AL317" s="50">
        <v>1</v>
      </c>
      <c r="AM317" s="15">
        <f>Tabela21[[#This Row],[Att subs]]+Tabela21[[#This Row],[Crit D subs]]</f>
        <v>0.8</v>
      </c>
      <c r="AN317" s="15">
        <v>0.6</v>
      </c>
      <c r="AO317" s="15">
        <v>0.2</v>
      </c>
      <c r="AP317" s="15">
        <v>0.6</v>
      </c>
      <c r="AQ317" s="189">
        <f t="shared" si="86"/>
        <v>4573</v>
      </c>
      <c r="AR317" s="189">
        <f t="shared" si="87"/>
        <v>4914</v>
      </c>
      <c r="AS317" s="189">
        <f t="shared" si="83"/>
        <v>3978</v>
      </c>
      <c r="AT317" s="189">
        <f t="shared" si="84"/>
        <v>7956</v>
      </c>
      <c r="AU317" s="50">
        <f t="shared" si="85"/>
        <v>9828</v>
      </c>
    </row>
    <row r="318" spans="36:47">
      <c r="AJ318" s="50">
        <v>2</v>
      </c>
      <c r="AK318" s="50">
        <v>0</v>
      </c>
      <c r="AL318" s="50">
        <v>1</v>
      </c>
      <c r="AM318" s="15">
        <f>Tabela21[[#This Row],[Att subs]]+Tabela21[[#This Row],[Crit D subs]]</f>
        <v>0.8</v>
      </c>
      <c r="AN318" s="15">
        <v>0.6</v>
      </c>
      <c r="AO318" s="15">
        <v>0.2</v>
      </c>
      <c r="AP318" s="15">
        <v>0.7</v>
      </c>
      <c r="AQ318" s="189">
        <f t="shared" si="86"/>
        <v>4573</v>
      </c>
      <c r="AR318" s="189">
        <f t="shared" si="87"/>
        <v>4914</v>
      </c>
      <c r="AS318" s="189">
        <f t="shared" si="83"/>
        <v>3978</v>
      </c>
      <c r="AT318" s="189">
        <f t="shared" si="84"/>
        <v>7956</v>
      </c>
      <c r="AU318" s="50">
        <f t="shared" si="85"/>
        <v>9828</v>
      </c>
    </row>
    <row r="319" spans="36:47">
      <c r="AJ319" s="50">
        <v>2</v>
      </c>
      <c r="AK319" s="50">
        <v>0</v>
      </c>
      <c r="AL319" s="50">
        <v>1</v>
      </c>
      <c r="AM319" s="15">
        <f>Tabela21[[#This Row],[Att subs]]+Tabela21[[#This Row],[Crit D subs]]</f>
        <v>0.8</v>
      </c>
      <c r="AN319" s="15">
        <v>0.6</v>
      </c>
      <c r="AO319" s="15">
        <v>0.2</v>
      </c>
      <c r="AP319" s="15">
        <v>0.8</v>
      </c>
      <c r="AQ319" s="189">
        <f t="shared" si="86"/>
        <v>4573</v>
      </c>
      <c r="AR319" s="189">
        <f t="shared" si="87"/>
        <v>4914</v>
      </c>
      <c r="AS319" s="189">
        <f t="shared" si="83"/>
        <v>3978</v>
      </c>
      <c r="AT319" s="189">
        <f t="shared" si="84"/>
        <v>7956</v>
      </c>
      <c r="AU319" s="50">
        <f t="shared" si="85"/>
        <v>9828</v>
      </c>
    </row>
    <row r="320" spans="36:47">
      <c r="AJ320" s="50">
        <v>2</v>
      </c>
      <c r="AK320" s="50">
        <v>0</v>
      </c>
      <c r="AL320" s="50">
        <v>1</v>
      </c>
      <c r="AM320" s="15">
        <f>Tabela21[[#This Row],[Att subs]]+Tabela21[[#This Row],[Crit D subs]]</f>
        <v>0.8</v>
      </c>
      <c r="AN320" s="15">
        <v>0.6</v>
      </c>
      <c r="AO320" s="15">
        <v>0.2</v>
      </c>
      <c r="AP320" s="15">
        <v>0.9</v>
      </c>
      <c r="AQ320" s="189">
        <f t="shared" si="86"/>
        <v>4573</v>
      </c>
      <c r="AR320" s="189">
        <f t="shared" si="87"/>
        <v>4914</v>
      </c>
      <c r="AS320" s="189">
        <f t="shared" si="83"/>
        <v>3978</v>
      </c>
      <c r="AT320" s="189">
        <f t="shared" si="84"/>
        <v>7956</v>
      </c>
      <c r="AU320" s="50">
        <f t="shared" si="85"/>
        <v>9828</v>
      </c>
    </row>
    <row r="321" spans="36:47">
      <c r="AJ321" s="50">
        <v>2</v>
      </c>
      <c r="AK321" s="50">
        <v>0</v>
      </c>
      <c r="AL321" s="50">
        <v>1</v>
      </c>
      <c r="AM321" s="15">
        <f>Tabela21[[#This Row],[Att subs]]+Tabela21[[#This Row],[Crit D subs]]</f>
        <v>0.8</v>
      </c>
      <c r="AN321" s="15">
        <v>0.6</v>
      </c>
      <c r="AO321" s="15">
        <v>0.2</v>
      </c>
      <c r="AP321" s="15">
        <v>1</v>
      </c>
      <c r="AQ321" s="189">
        <f t="shared" si="86"/>
        <v>4573</v>
      </c>
      <c r="AR321" s="189">
        <f t="shared" si="87"/>
        <v>4914</v>
      </c>
      <c r="AS321" s="189">
        <f t="shared" si="83"/>
        <v>3978</v>
      </c>
      <c r="AT321" s="189">
        <f t="shared" si="84"/>
        <v>7956</v>
      </c>
      <c r="AU321" s="50">
        <f t="shared" si="85"/>
        <v>9828</v>
      </c>
    </row>
    <row r="322" spans="36:47">
      <c r="AJ322" s="50">
        <v>3</v>
      </c>
      <c r="AK322" s="50">
        <v>0</v>
      </c>
      <c r="AL322" s="50">
        <v>0</v>
      </c>
      <c r="AM322" s="15">
        <f>Tabela21[[#This Row],[Att subs]]+Tabela21[[#This Row],[Crit D subs]]</f>
        <v>0.8</v>
      </c>
      <c r="AN322" s="15">
        <v>0.6</v>
      </c>
      <c r="AO322" s="15">
        <v>0.2</v>
      </c>
      <c r="AP322" s="15">
        <v>0</v>
      </c>
      <c r="AQ322" s="189">
        <f t="shared" si="86"/>
        <v>3638.34</v>
      </c>
      <c r="AR322" s="189">
        <f t="shared" si="87"/>
        <v>3514.8700000000003</v>
      </c>
      <c r="AS322" s="189">
        <f t="shared" si="83"/>
        <v>3677.47</v>
      </c>
      <c r="AT322" s="189">
        <f t="shared" si="84"/>
        <v>6027.0400000000009</v>
      </c>
      <c r="AU322" s="50">
        <f t="shared" si="85"/>
        <v>5051.4400000000005</v>
      </c>
    </row>
    <row r="323" spans="36:47">
      <c r="AJ323" s="50">
        <v>3</v>
      </c>
      <c r="AK323" s="50">
        <v>0</v>
      </c>
      <c r="AL323" s="50">
        <v>0</v>
      </c>
      <c r="AM323" s="15">
        <f>Tabela21[[#This Row],[Att subs]]+Tabela21[[#This Row],[Crit D subs]]</f>
        <v>0.8</v>
      </c>
      <c r="AN323" s="15">
        <v>0.6</v>
      </c>
      <c r="AO323" s="15">
        <v>0.2</v>
      </c>
      <c r="AP323" s="15">
        <v>0.1</v>
      </c>
      <c r="AQ323" s="189">
        <f t="shared" si="86"/>
        <v>3852.5399999999995</v>
      </c>
      <c r="AR323" s="189">
        <f t="shared" si="87"/>
        <v>3812.9700000000003</v>
      </c>
      <c r="AS323" s="189">
        <f t="shared" ref="AS323:AS386" si="88">$AG$3*(1+$AJ323*$Y$2+$AN323)*(MAXA(1-$AI$3-$AL323*$AA$3-$AP323-0.36,0)+MINA($AI$3+$AL323*$AA$3+$AP323+0.36,1)*(1+$AH$3+$AO323+$AK323*$Z$4))</f>
        <v>3867.17</v>
      </c>
      <c r="AT323" s="189">
        <f t="shared" ref="AT323:AT386" si="89">$AG$3*(1+$AJ323*$Y$2+$AN323)*(MAXA(1-$AI$3-$AL323*$AA$3-$AP323-0.36,0)+2*MINA($AI$3+$AL323*$AA$3+$AP323+0.36,1)*(1+$AH$3+$AO323+$AK323*$Z$4))</f>
        <v>6677.44</v>
      </c>
      <c r="AU323" s="50">
        <f t="shared" ref="AU323:AU386" si="90">$AG$3*(1+$AJ323*$Y$2+$AN323)*(MAXA(1-$AI$3-$AL323*$AA$3-$AP323-0.12,0)+2*MINA($AI$3+$AL323*$AA$3+$AP323+0.12,1)*(1+$AH$3+$AO323+$AK323*$Z$4+0.4))</f>
        <v>5918.64</v>
      </c>
    </row>
    <row r="324" spans="36:47">
      <c r="AJ324" s="50">
        <v>3</v>
      </c>
      <c r="AK324" s="50">
        <v>0</v>
      </c>
      <c r="AL324" s="50">
        <v>0</v>
      </c>
      <c r="AM324" s="15">
        <f>Tabela21[[#This Row],[Att subs]]+Tabela21[[#This Row],[Crit D subs]]</f>
        <v>0.8</v>
      </c>
      <c r="AN324" s="15">
        <v>0.6</v>
      </c>
      <c r="AO324" s="15">
        <v>0.2</v>
      </c>
      <c r="AP324" s="15">
        <v>0.2</v>
      </c>
      <c r="AQ324" s="189">
        <f t="shared" ref="AQ324:AQ387" si="91">$AG$3*(1+$AJ324*$Y$2+$AN324+0.35)*(MAXA(1-$AI$3-$AL324*$AA$3-$AP324-0.12,0)+MINA($AI$3+$AL324*$AA$3+$AP324+0.12,1)*(1+$AH$3+$AO324+$AK324*$Z$4))</f>
        <v>4066.7399999999993</v>
      </c>
      <c r="AR324" s="189">
        <f t="shared" ref="AR324:AR387" si="92">$AG$3*(1+$AJ324*$Y$2+$AN324)*(MAXA(1-$AI$3-$AL324*$AA$3-$AP324-0.12,0)+MINA($AI$3+$AL324*$AA$3+$AP324+0.12,1)*(1+$AH$3+$AO324+$AK324*$Z$4+0.4))</f>
        <v>4111.07</v>
      </c>
      <c r="AS324" s="189">
        <f t="shared" si="88"/>
        <v>4056.87</v>
      </c>
      <c r="AT324" s="189">
        <f t="shared" si="89"/>
        <v>7327.8399999999992</v>
      </c>
      <c r="AU324" s="50">
        <f t="shared" si="90"/>
        <v>6785.84</v>
      </c>
    </row>
    <row r="325" spans="36:47">
      <c r="AJ325" s="50">
        <v>3</v>
      </c>
      <c r="AK325" s="50">
        <v>0</v>
      </c>
      <c r="AL325" s="50">
        <v>0</v>
      </c>
      <c r="AM325" s="15">
        <f>Tabela21[[#This Row],[Att subs]]+Tabela21[[#This Row],[Crit D subs]]</f>
        <v>0.8</v>
      </c>
      <c r="AN325" s="15">
        <v>0.6</v>
      </c>
      <c r="AO325" s="15">
        <v>0.2</v>
      </c>
      <c r="AP325" s="15">
        <v>0.3</v>
      </c>
      <c r="AQ325" s="189">
        <f t="shared" si="91"/>
        <v>4280.9400000000005</v>
      </c>
      <c r="AR325" s="189">
        <f t="shared" si="92"/>
        <v>4409.1699999999992</v>
      </c>
      <c r="AS325" s="189">
        <f t="shared" si="88"/>
        <v>4246.57</v>
      </c>
      <c r="AT325" s="189">
        <f t="shared" si="89"/>
        <v>7978.2399999999989</v>
      </c>
      <c r="AU325" s="50">
        <f t="shared" si="90"/>
        <v>7653.04</v>
      </c>
    </row>
    <row r="326" spans="36:47">
      <c r="AJ326" s="50">
        <v>3</v>
      </c>
      <c r="AK326" s="50">
        <v>0</v>
      </c>
      <c r="AL326" s="50">
        <v>0</v>
      </c>
      <c r="AM326" s="15">
        <f>Tabela21[[#This Row],[Att subs]]+Tabela21[[#This Row],[Crit D subs]]</f>
        <v>0.8</v>
      </c>
      <c r="AN326" s="15">
        <v>0.6</v>
      </c>
      <c r="AO326" s="15">
        <v>0.2</v>
      </c>
      <c r="AP326" s="15">
        <v>0.4</v>
      </c>
      <c r="AQ326" s="189">
        <f t="shared" si="91"/>
        <v>4495.1399999999994</v>
      </c>
      <c r="AR326" s="189">
        <f t="shared" si="92"/>
        <v>4707.2700000000004</v>
      </c>
      <c r="AS326" s="189">
        <f t="shared" si="88"/>
        <v>4436.2700000000004</v>
      </c>
      <c r="AT326" s="189">
        <f t="shared" si="89"/>
        <v>8628.64</v>
      </c>
      <c r="AU326" s="50">
        <f t="shared" si="90"/>
        <v>8520.2400000000016</v>
      </c>
    </row>
    <row r="327" spans="36:47">
      <c r="AJ327" s="50">
        <v>3</v>
      </c>
      <c r="AK327" s="50">
        <v>0</v>
      </c>
      <c r="AL327" s="50">
        <v>0</v>
      </c>
      <c r="AM327" s="15">
        <f>Tabela21[[#This Row],[Att subs]]+Tabela21[[#This Row],[Crit D subs]]</f>
        <v>0.8</v>
      </c>
      <c r="AN327" s="15">
        <v>0.6</v>
      </c>
      <c r="AO327" s="15">
        <v>0.2</v>
      </c>
      <c r="AP327" s="15">
        <v>0.5</v>
      </c>
      <c r="AQ327" s="189">
        <f t="shared" si="91"/>
        <v>4709.34</v>
      </c>
      <c r="AR327" s="189">
        <f t="shared" si="92"/>
        <v>5005.3700000000008</v>
      </c>
      <c r="AS327" s="189">
        <f t="shared" si="88"/>
        <v>4607</v>
      </c>
      <c r="AT327" s="189">
        <f t="shared" si="89"/>
        <v>9214</v>
      </c>
      <c r="AU327" s="50">
        <f t="shared" si="90"/>
        <v>9387.44</v>
      </c>
    </row>
    <row r="328" spans="36:47">
      <c r="AJ328" s="50">
        <v>3</v>
      </c>
      <c r="AK328" s="50">
        <v>0</v>
      </c>
      <c r="AL328" s="50">
        <v>0</v>
      </c>
      <c r="AM328" s="15">
        <f>Tabela21[[#This Row],[Att subs]]+Tabela21[[#This Row],[Crit D subs]]</f>
        <v>0.8</v>
      </c>
      <c r="AN328" s="15">
        <v>0.6</v>
      </c>
      <c r="AO328" s="15">
        <v>0.2</v>
      </c>
      <c r="AP328" s="15">
        <v>0.6</v>
      </c>
      <c r="AQ328" s="189">
        <f t="shared" si="91"/>
        <v>4923.54</v>
      </c>
      <c r="AR328" s="189">
        <f t="shared" si="92"/>
        <v>5303.4699999999993</v>
      </c>
      <c r="AS328" s="189">
        <f t="shared" si="88"/>
        <v>4607</v>
      </c>
      <c r="AT328" s="189">
        <f t="shared" si="89"/>
        <v>9214</v>
      </c>
      <c r="AU328" s="50">
        <f t="shared" si="90"/>
        <v>10254.64</v>
      </c>
    </row>
    <row r="329" spans="36:47">
      <c r="AJ329" s="50">
        <v>3</v>
      </c>
      <c r="AK329" s="50">
        <v>0</v>
      </c>
      <c r="AL329" s="50">
        <v>0</v>
      </c>
      <c r="AM329" s="15">
        <f>Tabela21[[#This Row],[Att subs]]+Tabela21[[#This Row],[Crit D subs]]</f>
        <v>0.8</v>
      </c>
      <c r="AN329" s="15">
        <v>0.6</v>
      </c>
      <c r="AO329" s="15">
        <v>0.2</v>
      </c>
      <c r="AP329" s="15">
        <v>0.7</v>
      </c>
      <c r="AQ329" s="189">
        <f t="shared" si="91"/>
        <v>5137.74</v>
      </c>
      <c r="AR329" s="189">
        <f t="shared" si="92"/>
        <v>5601.5700000000006</v>
      </c>
      <c r="AS329" s="189">
        <f t="shared" si="88"/>
        <v>4607</v>
      </c>
      <c r="AT329" s="189">
        <f t="shared" si="89"/>
        <v>9214</v>
      </c>
      <c r="AU329" s="50">
        <f t="shared" si="90"/>
        <v>11121.84</v>
      </c>
    </row>
    <row r="330" spans="36:47">
      <c r="AJ330" s="50">
        <v>3</v>
      </c>
      <c r="AK330" s="50">
        <v>0</v>
      </c>
      <c r="AL330" s="50">
        <v>0</v>
      </c>
      <c r="AM330" s="15">
        <f>Tabela21[[#This Row],[Att subs]]+Tabela21[[#This Row],[Crit D subs]]</f>
        <v>0.8</v>
      </c>
      <c r="AN330" s="15">
        <v>0.6</v>
      </c>
      <c r="AO330" s="15">
        <v>0.2</v>
      </c>
      <c r="AP330" s="15">
        <v>0.8</v>
      </c>
      <c r="AQ330" s="189">
        <f t="shared" si="91"/>
        <v>5202</v>
      </c>
      <c r="AR330" s="189">
        <f t="shared" si="92"/>
        <v>5691</v>
      </c>
      <c r="AS330" s="189">
        <f t="shared" si="88"/>
        <v>4607</v>
      </c>
      <c r="AT330" s="189">
        <f t="shared" si="89"/>
        <v>9214</v>
      </c>
      <c r="AU330" s="50">
        <f t="shared" si="90"/>
        <v>11382</v>
      </c>
    </row>
    <row r="331" spans="36:47">
      <c r="AJ331" s="50">
        <v>3</v>
      </c>
      <c r="AK331" s="50">
        <v>0</v>
      </c>
      <c r="AL331" s="50">
        <v>0</v>
      </c>
      <c r="AM331" s="15">
        <f>Tabela21[[#This Row],[Att subs]]+Tabela21[[#This Row],[Crit D subs]]</f>
        <v>0.8</v>
      </c>
      <c r="AN331" s="15">
        <v>0.6</v>
      </c>
      <c r="AO331" s="15">
        <v>0.2</v>
      </c>
      <c r="AP331" s="15">
        <v>0.9</v>
      </c>
      <c r="AQ331" s="189">
        <f t="shared" si="91"/>
        <v>5202</v>
      </c>
      <c r="AR331" s="189">
        <f t="shared" si="92"/>
        <v>5691</v>
      </c>
      <c r="AS331" s="189">
        <f t="shared" si="88"/>
        <v>4607</v>
      </c>
      <c r="AT331" s="189">
        <f t="shared" si="89"/>
        <v>9214</v>
      </c>
      <c r="AU331" s="50">
        <f t="shared" si="90"/>
        <v>11382</v>
      </c>
    </row>
    <row r="332" spans="36:47">
      <c r="AJ332" s="50">
        <v>3</v>
      </c>
      <c r="AK332" s="50">
        <v>0</v>
      </c>
      <c r="AL332" s="50">
        <v>0</v>
      </c>
      <c r="AM332" s="15">
        <f>Tabela21[[#This Row],[Att subs]]+Tabela21[[#This Row],[Crit D subs]]</f>
        <v>0.8</v>
      </c>
      <c r="AN332" s="15">
        <v>0.6</v>
      </c>
      <c r="AO332" s="15">
        <v>0.2</v>
      </c>
      <c r="AP332" s="15">
        <v>1</v>
      </c>
      <c r="AQ332" s="189">
        <f t="shared" si="91"/>
        <v>5202</v>
      </c>
      <c r="AR332" s="189">
        <f t="shared" si="92"/>
        <v>5691</v>
      </c>
      <c r="AS332" s="189">
        <f t="shared" si="88"/>
        <v>4607</v>
      </c>
      <c r="AT332" s="189">
        <f t="shared" si="89"/>
        <v>9214</v>
      </c>
      <c r="AU332" s="50">
        <f t="shared" si="90"/>
        <v>11382</v>
      </c>
    </row>
    <row r="333" spans="36:47">
      <c r="AJ333" s="50">
        <v>2</v>
      </c>
      <c r="AK333" s="50">
        <v>1</v>
      </c>
      <c r="AL333" s="50">
        <v>0</v>
      </c>
      <c r="AM333" s="15">
        <f>Tabela21[[#This Row],[Att subs]]+Tabela21[[#This Row],[Crit D subs]]</f>
        <v>1</v>
      </c>
      <c r="AN333" s="15">
        <v>0.8</v>
      </c>
      <c r="AO333" s="15">
        <v>0.2</v>
      </c>
      <c r="AP333" s="15">
        <v>0</v>
      </c>
      <c r="AQ333" s="189">
        <f t="shared" si="91"/>
        <v>3802.951</v>
      </c>
      <c r="AR333" s="189">
        <f t="shared" si="92"/>
        <v>3616.7059999999997</v>
      </c>
      <c r="AS333" s="189">
        <f t="shared" si="88"/>
        <v>4055.6179999999999</v>
      </c>
      <c r="AT333" s="189">
        <f t="shared" si="89"/>
        <v>6866.6360000000004</v>
      </c>
      <c r="AU333" s="50">
        <f t="shared" si="90"/>
        <v>5379.2119999999995</v>
      </c>
    </row>
    <row r="334" spans="36:47">
      <c r="AJ334" s="50">
        <v>2</v>
      </c>
      <c r="AK334" s="50">
        <v>1</v>
      </c>
      <c r="AL334" s="50">
        <v>0</v>
      </c>
      <c r="AM334" s="15">
        <f>Tabela21[[#This Row],[Att subs]]+Tabela21[[#This Row],[Crit D subs]]</f>
        <v>1</v>
      </c>
      <c r="AN334" s="15">
        <v>0.8</v>
      </c>
      <c r="AO334" s="15">
        <v>0.2</v>
      </c>
      <c r="AP334" s="15">
        <v>0.1</v>
      </c>
      <c r="AQ334" s="189">
        <f t="shared" si="91"/>
        <v>4141.0810000000001</v>
      </c>
      <c r="AR334" s="189">
        <f t="shared" si="92"/>
        <v>4015.4859999999999</v>
      </c>
      <c r="AS334" s="189">
        <f t="shared" si="88"/>
        <v>4352.7979999999998</v>
      </c>
      <c r="AT334" s="189">
        <f t="shared" si="89"/>
        <v>7714.9960000000001</v>
      </c>
      <c r="AU334" s="50">
        <f t="shared" si="90"/>
        <v>6430.7719999999999</v>
      </c>
    </row>
    <row r="335" spans="36:47">
      <c r="AJ335" s="50">
        <v>2</v>
      </c>
      <c r="AK335" s="50">
        <v>1</v>
      </c>
      <c r="AL335" s="50">
        <v>0</v>
      </c>
      <c r="AM335" s="15">
        <f>Tabela21[[#This Row],[Att subs]]+Tabela21[[#This Row],[Crit D subs]]</f>
        <v>1</v>
      </c>
      <c r="AN335" s="15">
        <v>0.8</v>
      </c>
      <c r="AO335" s="15">
        <v>0.2</v>
      </c>
      <c r="AP335" s="15">
        <v>0.2</v>
      </c>
      <c r="AQ335" s="189">
        <f t="shared" si="91"/>
        <v>4479.2109999999993</v>
      </c>
      <c r="AR335" s="189">
        <f t="shared" si="92"/>
        <v>4414.2659999999996</v>
      </c>
      <c r="AS335" s="189">
        <f t="shared" si="88"/>
        <v>4649.9779999999992</v>
      </c>
      <c r="AT335" s="189">
        <f t="shared" si="89"/>
        <v>8563.3559999999998</v>
      </c>
      <c r="AU335" s="50">
        <f t="shared" si="90"/>
        <v>7482.3319999999985</v>
      </c>
    </row>
    <row r="336" spans="36:47">
      <c r="AJ336" s="50">
        <v>2</v>
      </c>
      <c r="AK336" s="50">
        <v>1</v>
      </c>
      <c r="AL336" s="50">
        <v>0</v>
      </c>
      <c r="AM336" s="15">
        <f>Tabela21[[#This Row],[Att subs]]+Tabela21[[#This Row],[Crit D subs]]</f>
        <v>1</v>
      </c>
      <c r="AN336" s="15">
        <v>0.8</v>
      </c>
      <c r="AO336" s="15">
        <v>0.2</v>
      </c>
      <c r="AP336" s="15">
        <v>0.3</v>
      </c>
      <c r="AQ336" s="189">
        <f t="shared" si="91"/>
        <v>4817.3410000000003</v>
      </c>
      <c r="AR336" s="189">
        <f t="shared" si="92"/>
        <v>4813.0459999999994</v>
      </c>
      <c r="AS336" s="189">
        <f t="shared" si="88"/>
        <v>4947.1579999999994</v>
      </c>
      <c r="AT336" s="189">
        <f t="shared" si="89"/>
        <v>9411.7159999999985</v>
      </c>
      <c r="AU336" s="50">
        <f t="shared" si="90"/>
        <v>8533.8919999999998</v>
      </c>
    </row>
    <row r="337" spans="36:47">
      <c r="AJ337" s="50">
        <v>2</v>
      </c>
      <c r="AK337" s="50">
        <v>1</v>
      </c>
      <c r="AL337" s="50">
        <v>0</v>
      </c>
      <c r="AM337" s="15">
        <f>Tabela21[[#This Row],[Att subs]]+Tabela21[[#This Row],[Crit D subs]]</f>
        <v>1</v>
      </c>
      <c r="AN337" s="15">
        <v>0.8</v>
      </c>
      <c r="AO337" s="15">
        <v>0.2</v>
      </c>
      <c r="AP337" s="15">
        <v>0.4</v>
      </c>
      <c r="AQ337" s="189">
        <f t="shared" si="91"/>
        <v>5155.4710000000005</v>
      </c>
      <c r="AR337" s="189">
        <f t="shared" si="92"/>
        <v>5211.826</v>
      </c>
      <c r="AS337" s="189">
        <f t="shared" si="88"/>
        <v>5244.3379999999997</v>
      </c>
      <c r="AT337" s="189">
        <f t="shared" si="89"/>
        <v>10260.075999999999</v>
      </c>
      <c r="AU337" s="50">
        <f t="shared" si="90"/>
        <v>9585.4519999999993</v>
      </c>
    </row>
    <row r="338" spans="36:47">
      <c r="AJ338" s="50">
        <v>2</v>
      </c>
      <c r="AK338" s="50">
        <v>1</v>
      </c>
      <c r="AL338" s="50">
        <v>0</v>
      </c>
      <c r="AM338" s="15">
        <f>Tabela21[[#This Row],[Att subs]]+Tabela21[[#This Row],[Crit D subs]]</f>
        <v>1</v>
      </c>
      <c r="AN338" s="15">
        <v>0.8</v>
      </c>
      <c r="AO338" s="15">
        <v>0.2</v>
      </c>
      <c r="AP338" s="15">
        <v>0.5</v>
      </c>
      <c r="AQ338" s="189">
        <f t="shared" si="91"/>
        <v>5493.6009999999997</v>
      </c>
      <c r="AR338" s="189">
        <f t="shared" si="92"/>
        <v>5610.6059999999998</v>
      </c>
      <c r="AS338" s="189">
        <f t="shared" si="88"/>
        <v>5511.8</v>
      </c>
      <c r="AT338" s="189">
        <f t="shared" si="89"/>
        <v>11023.6</v>
      </c>
      <c r="AU338" s="50">
        <f t="shared" si="90"/>
        <v>10637.011999999999</v>
      </c>
    </row>
    <row r="339" spans="36:47">
      <c r="AJ339" s="50">
        <v>2</v>
      </c>
      <c r="AK339" s="50">
        <v>1</v>
      </c>
      <c r="AL339" s="50">
        <v>0</v>
      </c>
      <c r="AM339" s="15">
        <f>Tabela21[[#This Row],[Att subs]]+Tabela21[[#This Row],[Crit D subs]]</f>
        <v>1</v>
      </c>
      <c r="AN339" s="15">
        <v>0.8</v>
      </c>
      <c r="AO339" s="15">
        <v>0.2</v>
      </c>
      <c r="AP339" s="15">
        <v>0.6</v>
      </c>
      <c r="AQ339" s="189">
        <f t="shared" si="91"/>
        <v>5831.7309999999998</v>
      </c>
      <c r="AR339" s="189">
        <f t="shared" si="92"/>
        <v>6009.3859999999995</v>
      </c>
      <c r="AS339" s="189">
        <f t="shared" si="88"/>
        <v>5511.8</v>
      </c>
      <c r="AT339" s="189">
        <f t="shared" si="89"/>
        <v>11023.6</v>
      </c>
      <c r="AU339" s="50">
        <f t="shared" si="90"/>
        <v>11688.572</v>
      </c>
    </row>
    <row r="340" spans="36:47">
      <c r="AJ340" s="50">
        <v>2</v>
      </c>
      <c r="AK340" s="50">
        <v>1</v>
      </c>
      <c r="AL340" s="50">
        <v>0</v>
      </c>
      <c r="AM340" s="15">
        <f>Tabela21[[#This Row],[Att subs]]+Tabela21[[#This Row],[Crit D subs]]</f>
        <v>1</v>
      </c>
      <c r="AN340" s="15">
        <v>0.8</v>
      </c>
      <c r="AO340" s="15">
        <v>0.2</v>
      </c>
      <c r="AP340" s="15">
        <v>0.7</v>
      </c>
      <c r="AQ340" s="189">
        <f t="shared" si="91"/>
        <v>6169.8609999999999</v>
      </c>
      <c r="AR340" s="189">
        <f t="shared" si="92"/>
        <v>6408.1660000000002</v>
      </c>
      <c r="AS340" s="189">
        <f t="shared" si="88"/>
        <v>5511.8</v>
      </c>
      <c r="AT340" s="189">
        <f t="shared" si="89"/>
        <v>11023.6</v>
      </c>
      <c r="AU340" s="50">
        <f t="shared" si="90"/>
        <v>12740.132</v>
      </c>
    </row>
    <row r="341" spans="36:47">
      <c r="AJ341" s="50">
        <v>2</v>
      </c>
      <c r="AK341" s="50">
        <v>1</v>
      </c>
      <c r="AL341" s="50">
        <v>0</v>
      </c>
      <c r="AM341" s="15">
        <f>Tabela21[[#This Row],[Att subs]]+Tabela21[[#This Row],[Crit D subs]]</f>
        <v>1</v>
      </c>
      <c r="AN341" s="15">
        <v>0.8</v>
      </c>
      <c r="AO341" s="15">
        <v>0.2</v>
      </c>
      <c r="AP341" s="15">
        <v>0.8</v>
      </c>
      <c r="AQ341" s="189">
        <f t="shared" si="91"/>
        <v>6271.3</v>
      </c>
      <c r="AR341" s="189">
        <f t="shared" si="92"/>
        <v>6527.7999999999993</v>
      </c>
      <c r="AS341" s="189">
        <f t="shared" si="88"/>
        <v>5511.8</v>
      </c>
      <c r="AT341" s="189">
        <f t="shared" si="89"/>
        <v>11023.6</v>
      </c>
      <c r="AU341" s="50">
        <f t="shared" si="90"/>
        <v>13055.599999999999</v>
      </c>
    </row>
    <row r="342" spans="36:47">
      <c r="AJ342" s="50">
        <v>2</v>
      </c>
      <c r="AK342" s="50">
        <v>1</v>
      </c>
      <c r="AL342" s="50">
        <v>0</v>
      </c>
      <c r="AM342" s="15">
        <f>Tabela21[[#This Row],[Att subs]]+Tabela21[[#This Row],[Crit D subs]]</f>
        <v>1</v>
      </c>
      <c r="AN342" s="15">
        <v>0.8</v>
      </c>
      <c r="AO342" s="15">
        <v>0.2</v>
      </c>
      <c r="AP342" s="15">
        <v>0.9</v>
      </c>
      <c r="AQ342" s="189">
        <f t="shared" si="91"/>
        <v>6271.3</v>
      </c>
      <c r="AR342" s="189">
        <f t="shared" si="92"/>
        <v>6527.7999999999993</v>
      </c>
      <c r="AS342" s="189">
        <f t="shared" si="88"/>
        <v>5511.8</v>
      </c>
      <c r="AT342" s="189">
        <f t="shared" si="89"/>
        <v>11023.6</v>
      </c>
      <c r="AU342" s="50">
        <f t="shared" si="90"/>
        <v>13055.599999999999</v>
      </c>
    </row>
    <row r="343" spans="36:47">
      <c r="AJ343" s="50">
        <v>2</v>
      </c>
      <c r="AK343" s="50">
        <v>1</v>
      </c>
      <c r="AL343" s="50">
        <v>0</v>
      </c>
      <c r="AM343" s="15">
        <f>Tabela21[[#This Row],[Att subs]]+Tabela21[[#This Row],[Crit D subs]]</f>
        <v>1</v>
      </c>
      <c r="AN343" s="15">
        <v>0.8</v>
      </c>
      <c r="AO343" s="15">
        <v>0.2</v>
      </c>
      <c r="AP343" s="15">
        <v>1</v>
      </c>
      <c r="AQ343" s="189">
        <f t="shared" si="91"/>
        <v>6271.3</v>
      </c>
      <c r="AR343" s="189">
        <f t="shared" si="92"/>
        <v>6527.7999999999993</v>
      </c>
      <c r="AS343" s="189">
        <f t="shared" si="88"/>
        <v>5511.8</v>
      </c>
      <c r="AT343" s="189">
        <f t="shared" si="89"/>
        <v>11023.6</v>
      </c>
      <c r="AU343" s="50">
        <f t="shared" si="90"/>
        <v>13055.599999999999</v>
      </c>
    </row>
    <row r="344" spans="36:47">
      <c r="AJ344" s="50">
        <v>2</v>
      </c>
      <c r="AK344" s="50">
        <v>0</v>
      </c>
      <c r="AL344" s="50">
        <v>1</v>
      </c>
      <c r="AM344" s="15">
        <f>Tabela21[[#This Row],[Att subs]]+Tabela21[[#This Row],[Crit D subs]]</f>
        <v>1</v>
      </c>
      <c r="AN344" s="15">
        <v>0.8</v>
      </c>
      <c r="AO344" s="15">
        <v>0.2</v>
      </c>
      <c r="AP344" s="15">
        <v>0</v>
      </c>
      <c r="AQ344" s="189">
        <f t="shared" si="91"/>
        <v>4144.26</v>
      </c>
      <c r="AR344" s="189">
        <f t="shared" si="92"/>
        <v>4272.28</v>
      </c>
      <c r="AS344" s="189">
        <f t="shared" si="88"/>
        <v>4069.0799999999995</v>
      </c>
      <c r="AT344" s="189">
        <f t="shared" si="89"/>
        <v>7782.56</v>
      </c>
      <c r="AU344" s="50">
        <f t="shared" si="90"/>
        <v>7579.36</v>
      </c>
    </row>
    <row r="345" spans="36:47">
      <c r="AJ345" s="50">
        <v>2</v>
      </c>
      <c r="AK345" s="50">
        <v>0</v>
      </c>
      <c r="AL345" s="50">
        <v>1</v>
      </c>
      <c r="AM345" s="15">
        <f>Tabela21[[#This Row],[Att subs]]+Tabela21[[#This Row],[Crit D subs]]</f>
        <v>1</v>
      </c>
      <c r="AN345" s="15">
        <v>0.8</v>
      </c>
      <c r="AO345" s="15">
        <v>0.2</v>
      </c>
      <c r="AP345" s="15">
        <v>0.1</v>
      </c>
      <c r="AQ345" s="189">
        <f t="shared" si="91"/>
        <v>4346.5600000000004</v>
      </c>
      <c r="AR345" s="189">
        <f t="shared" si="92"/>
        <v>4551.68</v>
      </c>
      <c r="AS345" s="189">
        <f t="shared" si="88"/>
        <v>4246.88</v>
      </c>
      <c r="AT345" s="189">
        <f t="shared" si="89"/>
        <v>8392.16</v>
      </c>
      <c r="AU345" s="50">
        <f t="shared" si="90"/>
        <v>8392.16</v>
      </c>
    </row>
    <row r="346" spans="36:47">
      <c r="AJ346" s="50">
        <v>2</v>
      </c>
      <c r="AK346" s="50">
        <v>0</v>
      </c>
      <c r="AL346" s="50">
        <v>1</v>
      </c>
      <c r="AM346" s="15">
        <f>Tabela21[[#This Row],[Att subs]]+Tabela21[[#This Row],[Crit D subs]]</f>
        <v>1</v>
      </c>
      <c r="AN346" s="15">
        <v>0.8</v>
      </c>
      <c r="AO346" s="15">
        <v>0.2</v>
      </c>
      <c r="AP346" s="15">
        <v>0.2</v>
      </c>
      <c r="AQ346" s="189">
        <f t="shared" si="91"/>
        <v>4548.8599999999997</v>
      </c>
      <c r="AR346" s="189">
        <f t="shared" si="92"/>
        <v>4831.08</v>
      </c>
      <c r="AS346" s="189">
        <f t="shared" si="88"/>
        <v>4318</v>
      </c>
      <c r="AT346" s="189">
        <f t="shared" si="89"/>
        <v>8636</v>
      </c>
      <c r="AU346" s="50">
        <f t="shared" si="90"/>
        <v>9204.9600000000009</v>
      </c>
    </row>
    <row r="347" spans="36:47">
      <c r="AJ347" s="50">
        <v>2</v>
      </c>
      <c r="AK347" s="50">
        <v>0</v>
      </c>
      <c r="AL347" s="50">
        <v>1</v>
      </c>
      <c r="AM347" s="15">
        <f>Tabela21[[#This Row],[Att subs]]+Tabela21[[#This Row],[Crit D subs]]</f>
        <v>1</v>
      </c>
      <c r="AN347" s="15">
        <v>0.8</v>
      </c>
      <c r="AO347" s="15">
        <v>0.2</v>
      </c>
      <c r="AP347" s="15">
        <v>0.3</v>
      </c>
      <c r="AQ347" s="189">
        <f t="shared" si="91"/>
        <v>4751.1600000000008</v>
      </c>
      <c r="AR347" s="189">
        <f t="shared" si="92"/>
        <v>5110.4800000000005</v>
      </c>
      <c r="AS347" s="189">
        <f t="shared" si="88"/>
        <v>4318</v>
      </c>
      <c r="AT347" s="189">
        <f t="shared" si="89"/>
        <v>8636</v>
      </c>
      <c r="AU347" s="50">
        <f t="shared" si="90"/>
        <v>10017.76</v>
      </c>
    </row>
    <row r="348" spans="36:47">
      <c r="AJ348" s="50">
        <v>2</v>
      </c>
      <c r="AK348" s="50">
        <v>0</v>
      </c>
      <c r="AL348" s="50">
        <v>1</v>
      </c>
      <c r="AM348" s="15">
        <f>Tabela21[[#This Row],[Att subs]]+Tabela21[[#This Row],[Crit D subs]]</f>
        <v>1</v>
      </c>
      <c r="AN348" s="15">
        <v>0.8</v>
      </c>
      <c r="AO348" s="15">
        <v>0.2</v>
      </c>
      <c r="AP348" s="15">
        <v>0.4</v>
      </c>
      <c r="AQ348" s="189">
        <f t="shared" si="91"/>
        <v>4913</v>
      </c>
      <c r="AR348" s="189">
        <f t="shared" si="92"/>
        <v>5334</v>
      </c>
      <c r="AS348" s="189">
        <f t="shared" si="88"/>
        <v>4318</v>
      </c>
      <c r="AT348" s="189">
        <f t="shared" si="89"/>
        <v>8636</v>
      </c>
      <c r="AU348" s="50">
        <f t="shared" si="90"/>
        <v>10668</v>
      </c>
    </row>
    <row r="349" spans="36:47">
      <c r="AJ349" s="50">
        <v>2</v>
      </c>
      <c r="AK349" s="50">
        <v>0</v>
      </c>
      <c r="AL349" s="50">
        <v>1</v>
      </c>
      <c r="AM349" s="15">
        <f>Tabela21[[#This Row],[Att subs]]+Tabela21[[#This Row],[Crit D subs]]</f>
        <v>1</v>
      </c>
      <c r="AN349" s="15">
        <v>0.8</v>
      </c>
      <c r="AO349" s="15">
        <v>0.2</v>
      </c>
      <c r="AP349" s="15">
        <v>0.5</v>
      </c>
      <c r="AQ349" s="189">
        <f t="shared" si="91"/>
        <v>4913</v>
      </c>
      <c r="AR349" s="189">
        <f t="shared" si="92"/>
        <v>5334</v>
      </c>
      <c r="AS349" s="189">
        <f t="shared" si="88"/>
        <v>4318</v>
      </c>
      <c r="AT349" s="189">
        <f t="shared" si="89"/>
        <v>8636</v>
      </c>
      <c r="AU349" s="50">
        <f t="shared" si="90"/>
        <v>10668</v>
      </c>
    </row>
    <row r="350" spans="36:47">
      <c r="AJ350" s="50">
        <v>2</v>
      </c>
      <c r="AK350" s="50">
        <v>0</v>
      </c>
      <c r="AL350" s="50">
        <v>1</v>
      </c>
      <c r="AM350" s="15">
        <f>Tabela21[[#This Row],[Att subs]]+Tabela21[[#This Row],[Crit D subs]]</f>
        <v>1</v>
      </c>
      <c r="AN350" s="15">
        <v>0.8</v>
      </c>
      <c r="AO350" s="15">
        <v>0.2</v>
      </c>
      <c r="AP350" s="15">
        <v>0.6</v>
      </c>
      <c r="AQ350" s="189">
        <f t="shared" si="91"/>
        <v>4913</v>
      </c>
      <c r="AR350" s="189">
        <f t="shared" si="92"/>
        <v>5334</v>
      </c>
      <c r="AS350" s="189">
        <f t="shared" si="88"/>
        <v>4318</v>
      </c>
      <c r="AT350" s="189">
        <f t="shared" si="89"/>
        <v>8636</v>
      </c>
      <c r="AU350" s="50">
        <f t="shared" si="90"/>
        <v>10668</v>
      </c>
    </row>
    <row r="351" spans="36:47">
      <c r="AJ351" s="50">
        <v>2</v>
      </c>
      <c r="AK351" s="50">
        <v>0</v>
      </c>
      <c r="AL351" s="50">
        <v>1</v>
      </c>
      <c r="AM351" s="15">
        <f>Tabela21[[#This Row],[Att subs]]+Tabela21[[#This Row],[Crit D subs]]</f>
        <v>1</v>
      </c>
      <c r="AN351" s="15">
        <v>0.8</v>
      </c>
      <c r="AO351" s="15">
        <v>0.2</v>
      </c>
      <c r="AP351" s="15">
        <v>0.7</v>
      </c>
      <c r="AQ351" s="189">
        <f t="shared" si="91"/>
        <v>4913</v>
      </c>
      <c r="AR351" s="189">
        <f t="shared" si="92"/>
        <v>5334</v>
      </c>
      <c r="AS351" s="189">
        <f t="shared" si="88"/>
        <v>4318</v>
      </c>
      <c r="AT351" s="189">
        <f t="shared" si="89"/>
        <v>8636</v>
      </c>
      <c r="AU351" s="50">
        <f t="shared" si="90"/>
        <v>10668</v>
      </c>
    </row>
    <row r="352" spans="36:47">
      <c r="AJ352" s="50">
        <v>2</v>
      </c>
      <c r="AK352" s="50">
        <v>0</v>
      </c>
      <c r="AL352" s="50">
        <v>1</v>
      </c>
      <c r="AM352" s="15">
        <f>Tabela21[[#This Row],[Att subs]]+Tabela21[[#This Row],[Crit D subs]]</f>
        <v>1</v>
      </c>
      <c r="AN352" s="15">
        <v>0.8</v>
      </c>
      <c r="AO352" s="15">
        <v>0.2</v>
      </c>
      <c r="AP352" s="15">
        <v>0.8</v>
      </c>
      <c r="AQ352" s="189">
        <f t="shared" si="91"/>
        <v>4913</v>
      </c>
      <c r="AR352" s="189">
        <f t="shared" si="92"/>
        <v>5334</v>
      </c>
      <c r="AS352" s="189">
        <f t="shared" si="88"/>
        <v>4318</v>
      </c>
      <c r="AT352" s="189">
        <f t="shared" si="89"/>
        <v>8636</v>
      </c>
      <c r="AU352" s="50">
        <f t="shared" si="90"/>
        <v>10668</v>
      </c>
    </row>
    <row r="353" spans="36:47">
      <c r="AJ353" s="50">
        <v>2</v>
      </c>
      <c r="AK353" s="50">
        <v>0</v>
      </c>
      <c r="AL353" s="50">
        <v>1</v>
      </c>
      <c r="AM353" s="15">
        <f>Tabela21[[#This Row],[Att subs]]+Tabela21[[#This Row],[Crit D subs]]</f>
        <v>1</v>
      </c>
      <c r="AN353" s="15">
        <v>0.8</v>
      </c>
      <c r="AO353" s="15">
        <v>0.2</v>
      </c>
      <c r="AP353" s="15">
        <v>0.9</v>
      </c>
      <c r="AQ353" s="189">
        <f t="shared" si="91"/>
        <v>4913</v>
      </c>
      <c r="AR353" s="189">
        <f t="shared" si="92"/>
        <v>5334</v>
      </c>
      <c r="AS353" s="189">
        <f t="shared" si="88"/>
        <v>4318</v>
      </c>
      <c r="AT353" s="189">
        <f t="shared" si="89"/>
        <v>8636</v>
      </c>
      <c r="AU353" s="50">
        <f t="shared" si="90"/>
        <v>10668</v>
      </c>
    </row>
    <row r="354" spans="36:47">
      <c r="AJ354" s="50">
        <v>2</v>
      </c>
      <c r="AK354" s="50">
        <v>0</v>
      </c>
      <c r="AL354" s="50">
        <v>1</v>
      </c>
      <c r="AM354" s="15">
        <f>Tabela21[[#This Row],[Att subs]]+Tabela21[[#This Row],[Crit D subs]]</f>
        <v>1</v>
      </c>
      <c r="AN354" s="15">
        <v>0.8</v>
      </c>
      <c r="AO354" s="15">
        <v>0.2</v>
      </c>
      <c r="AP354" s="15">
        <v>1</v>
      </c>
      <c r="AQ354" s="189">
        <f t="shared" si="91"/>
        <v>4913</v>
      </c>
      <c r="AR354" s="189">
        <f t="shared" si="92"/>
        <v>5334</v>
      </c>
      <c r="AS354" s="189">
        <f t="shared" si="88"/>
        <v>4318</v>
      </c>
      <c r="AT354" s="189">
        <f t="shared" si="89"/>
        <v>8636</v>
      </c>
      <c r="AU354" s="50">
        <f t="shared" si="90"/>
        <v>10668</v>
      </c>
    </row>
    <row r="355" spans="36:47">
      <c r="AJ355" s="50">
        <v>3</v>
      </c>
      <c r="AK355" s="50">
        <v>0</v>
      </c>
      <c r="AL355" s="50">
        <v>0</v>
      </c>
      <c r="AM355" s="15">
        <f>Tabela21[[#This Row],[Att subs]]+Tabela21[[#This Row],[Crit D subs]]</f>
        <v>1</v>
      </c>
      <c r="AN355" s="15">
        <v>0.8</v>
      </c>
      <c r="AO355" s="15">
        <v>0.2</v>
      </c>
      <c r="AP355" s="15">
        <v>0</v>
      </c>
      <c r="AQ355" s="189">
        <f t="shared" si="91"/>
        <v>3876.1400000000008</v>
      </c>
      <c r="AR355" s="189">
        <f t="shared" si="92"/>
        <v>3774.2700000000004</v>
      </c>
      <c r="AS355" s="189">
        <f t="shared" si="88"/>
        <v>3948.87</v>
      </c>
      <c r="AT355" s="189">
        <f t="shared" si="89"/>
        <v>6471.84</v>
      </c>
      <c r="AU355" s="50">
        <f t="shared" si="90"/>
        <v>5424.2400000000007</v>
      </c>
    </row>
    <row r="356" spans="36:47">
      <c r="AJ356" s="50">
        <v>3</v>
      </c>
      <c r="AK356" s="50">
        <v>0</v>
      </c>
      <c r="AL356" s="50">
        <v>0</v>
      </c>
      <c r="AM356" s="15">
        <f>Tabela21[[#This Row],[Att subs]]+Tabela21[[#This Row],[Crit D subs]]</f>
        <v>1</v>
      </c>
      <c r="AN356" s="15">
        <v>0.8</v>
      </c>
      <c r="AO356" s="15">
        <v>0.2</v>
      </c>
      <c r="AP356" s="15">
        <v>0.1</v>
      </c>
      <c r="AQ356" s="189">
        <f t="shared" si="91"/>
        <v>4104.34</v>
      </c>
      <c r="AR356" s="189">
        <f t="shared" si="92"/>
        <v>4094.37</v>
      </c>
      <c r="AS356" s="189">
        <f t="shared" si="88"/>
        <v>4152.57</v>
      </c>
      <c r="AT356" s="189">
        <f t="shared" si="89"/>
        <v>7170.24</v>
      </c>
      <c r="AU356" s="50">
        <f t="shared" si="90"/>
        <v>6355.4400000000005</v>
      </c>
    </row>
    <row r="357" spans="36:47">
      <c r="AJ357" s="50">
        <v>3</v>
      </c>
      <c r="AK357" s="50">
        <v>0</v>
      </c>
      <c r="AL357" s="50">
        <v>0</v>
      </c>
      <c r="AM357" s="15">
        <f>Tabela21[[#This Row],[Att subs]]+Tabela21[[#This Row],[Crit D subs]]</f>
        <v>1</v>
      </c>
      <c r="AN357" s="15">
        <v>0.8</v>
      </c>
      <c r="AO357" s="15">
        <v>0.2</v>
      </c>
      <c r="AP357" s="15">
        <v>0.2</v>
      </c>
      <c r="AQ357" s="189">
        <f t="shared" si="91"/>
        <v>4332.54</v>
      </c>
      <c r="AR357" s="189">
        <f t="shared" si="92"/>
        <v>4414.4699999999993</v>
      </c>
      <c r="AS357" s="189">
        <f t="shared" si="88"/>
        <v>4356.2699999999995</v>
      </c>
      <c r="AT357" s="189">
        <f t="shared" si="89"/>
        <v>7868.6399999999994</v>
      </c>
      <c r="AU357" s="50">
        <f t="shared" si="90"/>
        <v>7286.64</v>
      </c>
    </row>
    <row r="358" spans="36:47">
      <c r="AJ358" s="50">
        <v>3</v>
      </c>
      <c r="AK358" s="50">
        <v>0</v>
      </c>
      <c r="AL358" s="50">
        <v>0</v>
      </c>
      <c r="AM358" s="15">
        <f>Tabela21[[#This Row],[Att subs]]+Tabela21[[#This Row],[Crit D subs]]</f>
        <v>1</v>
      </c>
      <c r="AN358" s="15">
        <v>0.8</v>
      </c>
      <c r="AO358" s="15">
        <v>0.2</v>
      </c>
      <c r="AP358" s="15">
        <v>0.3</v>
      </c>
      <c r="AQ358" s="189">
        <f t="shared" si="91"/>
        <v>4560.7400000000007</v>
      </c>
      <c r="AR358" s="189">
        <f t="shared" si="92"/>
        <v>4734.57</v>
      </c>
      <c r="AS358" s="189">
        <f t="shared" si="88"/>
        <v>4559.9699999999993</v>
      </c>
      <c r="AT358" s="189">
        <f t="shared" si="89"/>
        <v>8567.0399999999991</v>
      </c>
      <c r="AU358" s="50">
        <f t="shared" si="90"/>
        <v>8217.84</v>
      </c>
    </row>
    <row r="359" spans="36:47">
      <c r="AJ359" s="50">
        <v>3</v>
      </c>
      <c r="AK359" s="50">
        <v>0</v>
      </c>
      <c r="AL359" s="50">
        <v>0</v>
      </c>
      <c r="AM359" s="15">
        <f>Tabela21[[#This Row],[Att subs]]+Tabela21[[#This Row],[Crit D subs]]</f>
        <v>1</v>
      </c>
      <c r="AN359" s="15">
        <v>0.8</v>
      </c>
      <c r="AO359" s="15">
        <v>0.2</v>
      </c>
      <c r="AP359" s="15">
        <v>0.4</v>
      </c>
      <c r="AQ359" s="189">
        <f t="shared" si="91"/>
        <v>4788.9400000000005</v>
      </c>
      <c r="AR359" s="189">
        <f t="shared" si="92"/>
        <v>5054.67</v>
      </c>
      <c r="AS359" s="189">
        <f t="shared" si="88"/>
        <v>4763.67</v>
      </c>
      <c r="AT359" s="189">
        <f t="shared" si="89"/>
        <v>9265.4399999999987</v>
      </c>
      <c r="AU359" s="50">
        <f t="shared" si="90"/>
        <v>9149.0400000000009</v>
      </c>
    </row>
    <row r="360" spans="36:47">
      <c r="AJ360" s="50">
        <v>3</v>
      </c>
      <c r="AK360" s="50">
        <v>0</v>
      </c>
      <c r="AL360" s="50">
        <v>0</v>
      </c>
      <c r="AM360" s="15">
        <f>Tabela21[[#This Row],[Att subs]]+Tabela21[[#This Row],[Crit D subs]]</f>
        <v>1</v>
      </c>
      <c r="AN360" s="15">
        <v>0.8</v>
      </c>
      <c r="AO360" s="15">
        <v>0.2</v>
      </c>
      <c r="AP360" s="15">
        <v>0.5</v>
      </c>
      <c r="AQ360" s="189">
        <f t="shared" si="91"/>
        <v>5017.1400000000003</v>
      </c>
      <c r="AR360" s="189">
        <f t="shared" si="92"/>
        <v>5374.77</v>
      </c>
      <c r="AS360" s="189">
        <f t="shared" si="88"/>
        <v>4947</v>
      </c>
      <c r="AT360" s="189">
        <f t="shared" si="89"/>
        <v>9894</v>
      </c>
      <c r="AU360" s="50">
        <f t="shared" si="90"/>
        <v>10080.240000000002</v>
      </c>
    </row>
    <row r="361" spans="36:47">
      <c r="AJ361" s="50">
        <v>3</v>
      </c>
      <c r="AK361" s="50">
        <v>0</v>
      </c>
      <c r="AL361" s="50">
        <v>0</v>
      </c>
      <c r="AM361" s="15">
        <f>Tabela21[[#This Row],[Att subs]]+Tabela21[[#This Row],[Crit D subs]]</f>
        <v>1</v>
      </c>
      <c r="AN361" s="15">
        <v>0.8</v>
      </c>
      <c r="AO361" s="15">
        <v>0.2</v>
      </c>
      <c r="AP361" s="15">
        <v>0.6</v>
      </c>
      <c r="AQ361" s="189">
        <f t="shared" si="91"/>
        <v>5245.3400000000011</v>
      </c>
      <c r="AR361" s="189">
        <f t="shared" si="92"/>
        <v>5694.87</v>
      </c>
      <c r="AS361" s="189">
        <f t="shared" si="88"/>
        <v>4947</v>
      </c>
      <c r="AT361" s="189">
        <f t="shared" si="89"/>
        <v>9894</v>
      </c>
      <c r="AU361" s="50">
        <f t="shared" si="90"/>
        <v>11011.439999999999</v>
      </c>
    </row>
    <row r="362" spans="36:47">
      <c r="AJ362" s="50">
        <v>3</v>
      </c>
      <c r="AK362" s="50">
        <v>0</v>
      </c>
      <c r="AL362" s="50">
        <v>0</v>
      </c>
      <c r="AM362" s="15">
        <f>Tabela21[[#This Row],[Att subs]]+Tabela21[[#This Row],[Crit D subs]]</f>
        <v>1</v>
      </c>
      <c r="AN362" s="15">
        <v>0.8</v>
      </c>
      <c r="AO362" s="15">
        <v>0.2</v>
      </c>
      <c r="AP362" s="15">
        <v>0.7</v>
      </c>
      <c r="AQ362" s="189">
        <f t="shared" si="91"/>
        <v>5473.5400000000009</v>
      </c>
      <c r="AR362" s="189">
        <f t="shared" si="92"/>
        <v>6014.97</v>
      </c>
      <c r="AS362" s="189">
        <f t="shared" si="88"/>
        <v>4947</v>
      </c>
      <c r="AT362" s="189">
        <f t="shared" si="89"/>
        <v>9894</v>
      </c>
      <c r="AU362" s="50">
        <f t="shared" si="90"/>
        <v>11942.64</v>
      </c>
    </row>
    <row r="363" spans="36:47">
      <c r="AJ363" s="50">
        <v>3</v>
      </c>
      <c r="AK363" s="50">
        <v>0</v>
      </c>
      <c r="AL363" s="50">
        <v>0</v>
      </c>
      <c r="AM363" s="15">
        <f>Tabela21[[#This Row],[Att subs]]+Tabela21[[#This Row],[Crit D subs]]</f>
        <v>1</v>
      </c>
      <c r="AN363" s="15">
        <v>0.8</v>
      </c>
      <c r="AO363" s="15">
        <v>0.2</v>
      </c>
      <c r="AP363" s="15">
        <v>0.8</v>
      </c>
      <c r="AQ363" s="189">
        <f t="shared" si="91"/>
        <v>5542.0000000000009</v>
      </c>
      <c r="AR363" s="189">
        <f t="shared" si="92"/>
        <v>6111</v>
      </c>
      <c r="AS363" s="189">
        <f t="shared" si="88"/>
        <v>4947</v>
      </c>
      <c r="AT363" s="189">
        <f t="shared" si="89"/>
        <v>9894</v>
      </c>
      <c r="AU363" s="50">
        <f t="shared" si="90"/>
        <v>12222</v>
      </c>
    </row>
    <row r="364" spans="36:47">
      <c r="AJ364" s="50">
        <v>3</v>
      </c>
      <c r="AK364" s="50">
        <v>0</v>
      </c>
      <c r="AL364" s="50">
        <v>0</v>
      </c>
      <c r="AM364" s="15">
        <f>Tabela21[[#This Row],[Att subs]]+Tabela21[[#This Row],[Crit D subs]]</f>
        <v>1</v>
      </c>
      <c r="AN364" s="15">
        <v>0.8</v>
      </c>
      <c r="AO364" s="15">
        <v>0.2</v>
      </c>
      <c r="AP364" s="15">
        <v>0.9</v>
      </c>
      <c r="AQ364" s="189">
        <f t="shared" si="91"/>
        <v>5542.0000000000009</v>
      </c>
      <c r="AR364" s="189">
        <f t="shared" si="92"/>
        <v>6111</v>
      </c>
      <c r="AS364" s="189">
        <f t="shared" si="88"/>
        <v>4947</v>
      </c>
      <c r="AT364" s="189">
        <f t="shared" si="89"/>
        <v>9894</v>
      </c>
      <c r="AU364" s="50">
        <f t="shared" si="90"/>
        <v>12222</v>
      </c>
    </row>
    <row r="365" spans="36:47">
      <c r="AJ365" s="50">
        <v>3</v>
      </c>
      <c r="AK365" s="50">
        <v>0</v>
      </c>
      <c r="AL365" s="50">
        <v>0</v>
      </c>
      <c r="AM365" s="15">
        <f>Tabela21[[#This Row],[Att subs]]+Tabela21[[#This Row],[Crit D subs]]</f>
        <v>1</v>
      </c>
      <c r="AN365" s="15">
        <v>0.8</v>
      </c>
      <c r="AO365" s="15">
        <v>0.2</v>
      </c>
      <c r="AP365" s="15">
        <v>1</v>
      </c>
      <c r="AQ365" s="189">
        <f t="shared" si="91"/>
        <v>5542.0000000000009</v>
      </c>
      <c r="AR365" s="189">
        <f t="shared" si="92"/>
        <v>6111</v>
      </c>
      <c r="AS365" s="189">
        <f t="shared" si="88"/>
        <v>4947</v>
      </c>
      <c r="AT365" s="189">
        <f t="shared" si="89"/>
        <v>9894</v>
      </c>
      <c r="AU365" s="50">
        <f t="shared" si="90"/>
        <v>12222</v>
      </c>
    </row>
    <row r="366" spans="36:47">
      <c r="AJ366" s="50">
        <v>2</v>
      </c>
      <c r="AK366" s="50">
        <v>1</v>
      </c>
      <c r="AL366" s="50">
        <v>0</v>
      </c>
      <c r="AM366" s="15">
        <f>Tabela21[[#This Row],[Att subs]]+Tabela21[[#This Row],[Crit D subs]]</f>
        <v>1.2</v>
      </c>
      <c r="AN366" s="15">
        <v>1</v>
      </c>
      <c r="AO366" s="15">
        <v>0.2</v>
      </c>
      <c r="AP366" s="15">
        <v>0</v>
      </c>
      <c r="AQ366" s="189">
        <f t="shared" si="91"/>
        <v>4066.1310000000008</v>
      </c>
      <c r="AR366" s="189">
        <f t="shared" si="92"/>
        <v>3901.4859999999999</v>
      </c>
      <c r="AS366" s="189">
        <f t="shared" si="88"/>
        <v>4374.9579999999996</v>
      </c>
      <c r="AT366" s="189">
        <f t="shared" si="89"/>
        <v>7407.3160000000007</v>
      </c>
      <c r="AU366" s="50">
        <f t="shared" si="90"/>
        <v>5802.7719999999999</v>
      </c>
    </row>
    <row r="367" spans="36:47">
      <c r="AJ367" s="50">
        <v>2</v>
      </c>
      <c r="AK367" s="50">
        <v>1</v>
      </c>
      <c r="AL367" s="50">
        <v>0</v>
      </c>
      <c r="AM367" s="15">
        <f>Tabela21[[#This Row],[Att subs]]+Tabela21[[#This Row],[Crit D subs]]</f>
        <v>1.2</v>
      </c>
      <c r="AN367" s="15">
        <v>1</v>
      </c>
      <c r="AO367" s="15">
        <v>0.2</v>
      </c>
      <c r="AP367" s="15">
        <v>0.1</v>
      </c>
      <c r="AQ367" s="189">
        <f t="shared" si="91"/>
        <v>4427.661000000001</v>
      </c>
      <c r="AR367" s="189">
        <f t="shared" si="92"/>
        <v>4331.6660000000002</v>
      </c>
      <c r="AS367" s="189">
        <f t="shared" si="88"/>
        <v>4695.5379999999996</v>
      </c>
      <c r="AT367" s="189">
        <f t="shared" si="89"/>
        <v>8322.4760000000006</v>
      </c>
      <c r="AU367" s="50">
        <f t="shared" si="90"/>
        <v>6937.1320000000005</v>
      </c>
    </row>
    <row r="368" spans="36:47">
      <c r="AJ368" s="50">
        <v>2</v>
      </c>
      <c r="AK368" s="50">
        <v>1</v>
      </c>
      <c r="AL368" s="50">
        <v>0</v>
      </c>
      <c r="AM368" s="15">
        <f>Tabela21[[#This Row],[Att subs]]+Tabela21[[#This Row],[Crit D subs]]</f>
        <v>1.2</v>
      </c>
      <c r="AN368" s="15">
        <v>1</v>
      </c>
      <c r="AO368" s="15">
        <v>0.2</v>
      </c>
      <c r="AP368" s="15">
        <v>0.2</v>
      </c>
      <c r="AQ368" s="189">
        <f t="shared" si="91"/>
        <v>4789.1909999999998</v>
      </c>
      <c r="AR368" s="189">
        <f t="shared" si="92"/>
        <v>4761.8459999999995</v>
      </c>
      <c r="AS368" s="189">
        <f t="shared" si="88"/>
        <v>5016.1179999999995</v>
      </c>
      <c r="AT368" s="189">
        <f t="shared" si="89"/>
        <v>9237.6360000000004</v>
      </c>
      <c r="AU368" s="50">
        <f t="shared" si="90"/>
        <v>8071.4919999999984</v>
      </c>
    </row>
    <row r="369" spans="36:47">
      <c r="AJ369" s="50">
        <v>2</v>
      </c>
      <c r="AK369" s="50">
        <v>1</v>
      </c>
      <c r="AL369" s="50">
        <v>0</v>
      </c>
      <c r="AM369" s="15">
        <f>Tabela21[[#This Row],[Att subs]]+Tabela21[[#This Row],[Crit D subs]]</f>
        <v>1.2</v>
      </c>
      <c r="AN369" s="15">
        <v>1</v>
      </c>
      <c r="AO369" s="15">
        <v>0.2</v>
      </c>
      <c r="AP369" s="15">
        <v>0.3</v>
      </c>
      <c r="AQ369" s="189">
        <f t="shared" si="91"/>
        <v>5150.7210000000005</v>
      </c>
      <c r="AR369" s="189">
        <f t="shared" si="92"/>
        <v>5192.0259999999998</v>
      </c>
      <c r="AS369" s="189">
        <f t="shared" si="88"/>
        <v>5336.6979999999994</v>
      </c>
      <c r="AT369" s="189">
        <f t="shared" si="89"/>
        <v>10152.795999999998</v>
      </c>
      <c r="AU369" s="50">
        <f t="shared" si="90"/>
        <v>9205.851999999999</v>
      </c>
    </row>
    <row r="370" spans="36:47">
      <c r="AJ370" s="50">
        <v>2</v>
      </c>
      <c r="AK370" s="50">
        <v>1</v>
      </c>
      <c r="AL370" s="50">
        <v>0</v>
      </c>
      <c r="AM370" s="15">
        <f>Tabela21[[#This Row],[Att subs]]+Tabela21[[#This Row],[Crit D subs]]</f>
        <v>1.2</v>
      </c>
      <c r="AN370" s="15">
        <v>1</v>
      </c>
      <c r="AO370" s="15">
        <v>0.2</v>
      </c>
      <c r="AP370" s="15">
        <v>0.4</v>
      </c>
      <c r="AQ370" s="189">
        <f t="shared" si="91"/>
        <v>5512.2510000000011</v>
      </c>
      <c r="AR370" s="189">
        <f t="shared" si="92"/>
        <v>5622.2059999999992</v>
      </c>
      <c r="AS370" s="189">
        <f t="shared" si="88"/>
        <v>5657.2779999999993</v>
      </c>
      <c r="AT370" s="189">
        <f t="shared" si="89"/>
        <v>11067.955999999998</v>
      </c>
      <c r="AU370" s="50">
        <f t="shared" si="90"/>
        <v>10340.212</v>
      </c>
    </row>
    <row r="371" spans="36:47">
      <c r="AJ371" s="50">
        <v>2</v>
      </c>
      <c r="AK371" s="50">
        <v>1</v>
      </c>
      <c r="AL371" s="50">
        <v>0</v>
      </c>
      <c r="AM371" s="15">
        <f>Tabela21[[#This Row],[Att subs]]+Tabela21[[#This Row],[Crit D subs]]</f>
        <v>1.2</v>
      </c>
      <c r="AN371" s="15">
        <v>1</v>
      </c>
      <c r="AO371" s="15">
        <v>0.2</v>
      </c>
      <c r="AP371" s="15">
        <v>0.5</v>
      </c>
      <c r="AQ371" s="189">
        <f t="shared" si="91"/>
        <v>5873.7810000000009</v>
      </c>
      <c r="AR371" s="189">
        <f t="shared" si="92"/>
        <v>6052.3859999999995</v>
      </c>
      <c r="AS371" s="189">
        <f t="shared" si="88"/>
        <v>5945.8</v>
      </c>
      <c r="AT371" s="189">
        <f t="shared" si="89"/>
        <v>11891.6</v>
      </c>
      <c r="AU371" s="50">
        <f t="shared" si="90"/>
        <v>11474.571999999998</v>
      </c>
    </row>
    <row r="372" spans="36:47">
      <c r="AJ372" s="50">
        <v>2</v>
      </c>
      <c r="AK372" s="50">
        <v>1</v>
      </c>
      <c r="AL372" s="50">
        <v>0</v>
      </c>
      <c r="AM372" s="15">
        <f>Tabela21[[#This Row],[Att subs]]+Tabela21[[#This Row],[Crit D subs]]</f>
        <v>1.2</v>
      </c>
      <c r="AN372" s="15">
        <v>1</v>
      </c>
      <c r="AO372" s="15">
        <v>0.2</v>
      </c>
      <c r="AP372" s="15">
        <v>0.6</v>
      </c>
      <c r="AQ372" s="189">
        <f t="shared" si="91"/>
        <v>6235.3110000000006</v>
      </c>
      <c r="AR372" s="189">
        <f t="shared" si="92"/>
        <v>6482.5659999999998</v>
      </c>
      <c r="AS372" s="189">
        <f t="shared" si="88"/>
        <v>5945.8</v>
      </c>
      <c r="AT372" s="189">
        <f t="shared" si="89"/>
        <v>11891.6</v>
      </c>
      <c r="AU372" s="50">
        <f t="shared" si="90"/>
        <v>12608.931999999999</v>
      </c>
    </row>
    <row r="373" spans="36:47">
      <c r="AJ373" s="50">
        <v>2</v>
      </c>
      <c r="AK373" s="50">
        <v>1</v>
      </c>
      <c r="AL373" s="50">
        <v>0</v>
      </c>
      <c r="AM373" s="15">
        <f>Tabela21[[#This Row],[Att subs]]+Tabela21[[#This Row],[Crit D subs]]</f>
        <v>1.2</v>
      </c>
      <c r="AN373" s="15">
        <v>1</v>
      </c>
      <c r="AO373" s="15">
        <v>0.2</v>
      </c>
      <c r="AP373" s="15">
        <v>0.7</v>
      </c>
      <c r="AQ373" s="189">
        <f t="shared" si="91"/>
        <v>6596.8410000000013</v>
      </c>
      <c r="AR373" s="189">
        <f t="shared" si="92"/>
        <v>6912.7460000000001</v>
      </c>
      <c r="AS373" s="189">
        <f t="shared" si="88"/>
        <v>5945.8</v>
      </c>
      <c r="AT373" s="189">
        <f t="shared" si="89"/>
        <v>11891.6</v>
      </c>
      <c r="AU373" s="50">
        <f t="shared" si="90"/>
        <v>13743.291999999999</v>
      </c>
    </row>
    <row r="374" spans="36:47">
      <c r="AJ374" s="50">
        <v>2</v>
      </c>
      <c r="AK374" s="50">
        <v>1</v>
      </c>
      <c r="AL374" s="50">
        <v>0</v>
      </c>
      <c r="AM374" s="15">
        <f>Tabela21[[#This Row],[Att subs]]+Tabela21[[#This Row],[Crit D subs]]</f>
        <v>1.2</v>
      </c>
      <c r="AN374" s="15">
        <v>1</v>
      </c>
      <c r="AO374" s="15">
        <v>0.2</v>
      </c>
      <c r="AP374" s="15">
        <v>0.8</v>
      </c>
      <c r="AQ374" s="189">
        <f t="shared" si="91"/>
        <v>6705.3000000000011</v>
      </c>
      <c r="AR374" s="189">
        <f t="shared" si="92"/>
        <v>7041.7999999999993</v>
      </c>
      <c r="AS374" s="189">
        <f t="shared" si="88"/>
        <v>5945.8</v>
      </c>
      <c r="AT374" s="189">
        <f t="shared" si="89"/>
        <v>11891.6</v>
      </c>
      <c r="AU374" s="50">
        <f t="shared" si="90"/>
        <v>14083.599999999999</v>
      </c>
    </row>
    <row r="375" spans="36:47">
      <c r="AJ375" s="50">
        <v>2</v>
      </c>
      <c r="AK375" s="50">
        <v>1</v>
      </c>
      <c r="AL375" s="50">
        <v>0</v>
      </c>
      <c r="AM375" s="15">
        <f>Tabela21[[#This Row],[Att subs]]+Tabela21[[#This Row],[Crit D subs]]</f>
        <v>1.2</v>
      </c>
      <c r="AN375" s="15">
        <v>1</v>
      </c>
      <c r="AO375" s="15">
        <v>0.2</v>
      </c>
      <c r="AP375" s="15">
        <v>0.9</v>
      </c>
      <c r="AQ375" s="189">
        <f t="shared" si="91"/>
        <v>6705.3000000000011</v>
      </c>
      <c r="AR375" s="189">
        <f t="shared" si="92"/>
        <v>7041.7999999999993</v>
      </c>
      <c r="AS375" s="189">
        <f t="shared" si="88"/>
        <v>5945.8</v>
      </c>
      <c r="AT375" s="189">
        <f t="shared" si="89"/>
        <v>11891.6</v>
      </c>
      <c r="AU375" s="50">
        <f t="shared" si="90"/>
        <v>14083.599999999999</v>
      </c>
    </row>
    <row r="376" spans="36:47">
      <c r="AJ376" s="50">
        <v>2</v>
      </c>
      <c r="AK376" s="50">
        <v>1</v>
      </c>
      <c r="AL376" s="50">
        <v>0</v>
      </c>
      <c r="AM376" s="15">
        <f>Tabela21[[#This Row],[Att subs]]+Tabela21[[#This Row],[Crit D subs]]</f>
        <v>1.2</v>
      </c>
      <c r="AN376" s="15">
        <v>1</v>
      </c>
      <c r="AO376" s="15">
        <v>0.2</v>
      </c>
      <c r="AP376" s="15">
        <v>1</v>
      </c>
      <c r="AQ376" s="189">
        <f t="shared" si="91"/>
        <v>6705.3000000000011</v>
      </c>
      <c r="AR376" s="189">
        <f t="shared" si="92"/>
        <v>7041.7999999999993</v>
      </c>
      <c r="AS376" s="189">
        <f t="shared" si="88"/>
        <v>5945.8</v>
      </c>
      <c r="AT376" s="189">
        <f t="shared" si="89"/>
        <v>11891.6</v>
      </c>
      <c r="AU376" s="50">
        <f t="shared" si="90"/>
        <v>14083.599999999999</v>
      </c>
    </row>
    <row r="377" spans="36:47">
      <c r="AJ377" s="50">
        <v>2</v>
      </c>
      <c r="AK377" s="50">
        <v>0</v>
      </c>
      <c r="AL377" s="50">
        <v>1</v>
      </c>
      <c r="AM377" s="15">
        <f>Tabela21[[#This Row],[Att subs]]+Tabela21[[#This Row],[Crit D subs]]</f>
        <v>1.2</v>
      </c>
      <c r="AN377" s="15">
        <v>1</v>
      </c>
      <c r="AO377" s="15">
        <v>0.2</v>
      </c>
      <c r="AP377" s="15">
        <v>0</v>
      </c>
      <c r="AQ377" s="189">
        <f t="shared" si="91"/>
        <v>4431.0600000000013</v>
      </c>
      <c r="AR377" s="189">
        <f t="shared" si="92"/>
        <v>4608.6799999999994</v>
      </c>
      <c r="AS377" s="189">
        <f t="shared" si="88"/>
        <v>4389.4799999999996</v>
      </c>
      <c r="AT377" s="189">
        <f t="shared" si="89"/>
        <v>8395.36</v>
      </c>
      <c r="AU377" s="50">
        <f t="shared" si="90"/>
        <v>8176.16</v>
      </c>
    </row>
    <row r="378" spans="36:47">
      <c r="AJ378" s="50">
        <v>2</v>
      </c>
      <c r="AK378" s="50">
        <v>0</v>
      </c>
      <c r="AL378" s="50">
        <v>1</v>
      </c>
      <c r="AM378" s="15">
        <f>Tabela21[[#This Row],[Att subs]]+Tabela21[[#This Row],[Crit D subs]]</f>
        <v>1.2</v>
      </c>
      <c r="AN378" s="15">
        <v>1</v>
      </c>
      <c r="AO378" s="15">
        <v>0.2</v>
      </c>
      <c r="AP378" s="15">
        <v>0.1</v>
      </c>
      <c r="AQ378" s="189">
        <f t="shared" si="91"/>
        <v>4647.3600000000006</v>
      </c>
      <c r="AR378" s="189">
        <f t="shared" si="92"/>
        <v>4910.08</v>
      </c>
      <c r="AS378" s="189">
        <f t="shared" si="88"/>
        <v>4581.28</v>
      </c>
      <c r="AT378" s="189">
        <f t="shared" si="89"/>
        <v>9052.9599999999991</v>
      </c>
      <c r="AU378" s="50">
        <f t="shared" si="90"/>
        <v>9052.9600000000009</v>
      </c>
    </row>
    <row r="379" spans="36:47">
      <c r="AJ379" s="50">
        <v>2</v>
      </c>
      <c r="AK379" s="50">
        <v>0</v>
      </c>
      <c r="AL379" s="50">
        <v>1</v>
      </c>
      <c r="AM379" s="15">
        <f>Tabela21[[#This Row],[Att subs]]+Tabela21[[#This Row],[Crit D subs]]</f>
        <v>1.2</v>
      </c>
      <c r="AN379" s="15">
        <v>1</v>
      </c>
      <c r="AO379" s="15">
        <v>0.2</v>
      </c>
      <c r="AP379" s="15">
        <v>0.2</v>
      </c>
      <c r="AQ379" s="189">
        <f t="shared" si="91"/>
        <v>4863.66</v>
      </c>
      <c r="AR379" s="189">
        <f t="shared" si="92"/>
        <v>5211.4799999999996</v>
      </c>
      <c r="AS379" s="189">
        <f t="shared" si="88"/>
        <v>4658</v>
      </c>
      <c r="AT379" s="189">
        <f t="shared" si="89"/>
        <v>9316</v>
      </c>
      <c r="AU379" s="50">
        <f t="shared" si="90"/>
        <v>9929.76</v>
      </c>
    </row>
    <row r="380" spans="36:47">
      <c r="AJ380" s="50">
        <v>2</v>
      </c>
      <c r="AK380" s="50">
        <v>0</v>
      </c>
      <c r="AL380" s="50">
        <v>1</v>
      </c>
      <c r="AM380" s="15">
        <f>Tabela21[[#This Row],[Att subs]]+Tabela21[[#This Row],[Crit D subs]]</f>
        <v>1.2</v>
      </c>
      <c r="AN380" s="15">
        <v>1</v>
      </c>
      <c r="AO380" s="15">
        <v>0.2</v>
      </c>
      <c r="AP380" s="15">
        <v>0.3</v>
      </c>
      <c r="AQ380" s="189">
        <f t="shared" si="91"/>
        <v>5079.9600000000009</v>
      </c>
      <c r="AR380" s="189">
        <f t="shared" si="92"/>
        <v>5512.88</v>
      </c>
      <c r="AS380" s="189">
        <f t="shared" si="88"/>
        <v>4658</v>
      </c>
      <c r="AT380" s="189">
        <f t="shared" si="89"/>
        <v>9316</v>
      </c>
      <c r="AU380" s="50">
        <f t="shared" si="90"/>
        <v>10806.560000000001</v>
      </c>
    </row>
    <row r="381" spans="36:47">
      <c r="AJ381" s="50">
        <v>2</v>
      </c>
      <c r="AK381" s="50">
        <v>0</v>
      </c>
      <c r="AL381" s="50">
        <v>1</v>
      </c>
      <c r="AM381" s="15">
        <f>Tabela21[[#This Row],[Att subs]]+Tabela21[[#This Row],[Crit D subs]]</f>
        <v>1.2</v>
      </c>
      <c r="AN381" s="15">
        <v>1</v>
      </c>
      <c r="AO381" s="15">
        <v>0.2</v>
      </c>
      <c r="AP381" s="15">
        <v>0.4</v>
      </c>
      <c r="AQ381" s="189">
        <f t="shared" si="91"/>
        <v>5253.0000000000009</v>
      </c>
      <c r="AR381" s="189">
        <f t="shared" si="92"/>
        <v>5754</v>
      </c>
      <c r="AS381" s="189">
        <f t="shared" si="88"/>
        <v>4658</v>
      </c>
      <c r="AT381" s="189">
        <f t="shared" si="89"/>
        <v>9316</v>
      </c>
      <c r="AU381" s="50">
        <f t="shared" si="90"/>
        <v>11508</v>
      </c>
    </row>
    <row r="382" spans="36:47">
      <c r="AJ382" s="50">
        <v>2</v>
      </c>
      <c r="AK382" s="50">
        <v>0</v>
      </c>
      <c r="AL382" s="50">
        <v>1</v>
      </c>
      <c r="AM382" s="15">
        <f>Tabela21[[#This Row],[Att subs]]+Tabela21[[#This Row],[Crit D subs]]</f>
        <v>1.2</v>
      </c>
      <c r="AN382" s="15">
        <v>1</v>
      </c>
      <c r="AO382" s="15">
        <v>0.2</v>
      </c>
      <c r="AP382" s="15">
        <v>0.5</v>
      </c>
      <c r="AQ382" s="189">
        <f t="shared" si="91"/>
        <v>5253.0000000000009</v>
      </c>
      <c r="AR382" s="189">
        <f t="shared" si="92"/>
        <v>5754</v>
      </c>
      <c r="AS382" s="189">
        <f t="shared" si="88"/>
        <v>4658</v>
      </c>
      <c r="AT382" s="189">
        <f t="shared" si="89"/>
        <v>9316</v>
      </c>
      <c r="AU382" s="50">
        <f t="shared" si="90"/>
        <v>11508</v>
      </c>
    </row>
    <row r="383" spans="36:47">
      <c r="AJ383" s="50">
        <v>2</v>
      </c>
      <c r="AK383" s="50">
        <v>0</v>
      </c>
      <c r="AL383" s="50">
        <v>1</v>
      </c>
      <c r="AM383" s="15">
        <f>Tabela21[[#This Row],[Att subs]]+Tabela21[[#This Row],[Crit D subs]]</f>
        <v>1.2</v>
      </c>
      <c r="AN383" s="15">
        <v>1</v>
      </c>
      <c r="AO383" s="15">
        <v>0.2</v>
      </c>
      <c r="AP383" s="15">
        <v>0.6</v>
      </c>
      <c r="AQ383" s="189">
        <f t="shared" si="91"/>
        <v>5253.0000000000009</v>
      </c>
      <c r="AR383" s="189">
        <f t="shared" si="92"/>
        <v>5754</v>
      </c>
      <c r="AS383" s="189">
        <f t="shared" si="88"/>
        <v>4658</v>
      </c>
      <c r="AT383" s="189">
        <f t="shared" si="89"/>
        <v>9316</v>
      </c>
      <c r="AU383" s="50">
        <f t="shared" si="90"/>
        <v>11508</v>
      </c>
    </row>
    <row r="384" spans="36:47">
      <c r="AJ384" s="50">
        <v>2</v>
      </c>
      <c r="AK384" s="50">
        <v>0</v>
      </c>
      <c r="AL384" s="50">
        <v>1</v>
      </c>
      <c r="AM384" s="15">
        <f>Tabela21[[#This Row],[Att subs]]+Tabela21[[#This Row],[Crit D subs]]</f>
        <v>1.2</v>
      </c>
      <c r="AN384" s="15">
        <v>1</v>
      </c>
      <c r="AO384" s="15">
        <v>0.2</v>
      </c>
      <c r="AP384" s="15">
        <v>0.7</v>
      </c>
      <c r="AQ384" s="189">
        <f t="shared" si="91"/>
        <v>5253.0000000000009</v>
      </c>
      <c r="AR384" s="189">
        <f t="shared" si="92"/>
        <v>5754</v>
      </c>
      <c r="AS384" s="189">
        <f t="shared" si="88"/>
        <v>4658</v>
      </c>
      <c r="AT384" s="189">
        <f t="shared" si="89"/>
        <v>9316</v>
      </c>
      <c r="AU384" s="50">
        <f t="shared" si="90"/>
        <v>11508</v>
      </c>
    </row>
    <row r="385" spans="36:47">
      <c r="AJ385" s="50">
        <v>2</v>
      </c>
      <c r="AK385" s="50">
        <v>0</v>
      </c>
      <c r="AL385" s="50">
        <v>1</v>
      </c>
      <c r="AM385" s="15">
        <f>Tabela21[[#This Row],[Att subs]]+Tabela21[[#This Row],[Crit D subs]]</f>
        <v>1.2</v>
      </c>
      <c r="AN385" s="15">
        <v>1</v>
      </c>
      <c r="AO385" s="15">
        <v>0.2</v>
      </c>
      <c r="AP385" s="15">
        <v>0.8</v>
      </c>
      <c r="AQ385" s="189">
        <f t="shared" si="91"/>
        <v>5253.0000000000009</v>
      </c>
      <c r="AR385" s="189">
        <f t="shared" si="92"/>
        <v>5754</v>
      </c>
      <c r="AS385" s="189">
        <f t="shared" si="88"/>
        <v>4658</v>
      </c>
      <c r="AT385" s="189">
        <f t="shared" si="89"/>
        <v>9316</v>
      </c>
      <c r="AU385" s="50">
        <f t="shared" si="90"/>
        <v>11508</v>
      </c>
    </row>
    <row r="386" spans="36:47">
      <c r="AJ386" s="50">
        <v>2</v>
      </c>
      <c r="AK386" s="50">
        <v>0</v>
      </c>
      <c r="AL386" s="50">
        <v>1</v>
      </c>
      <c r="AM386" s="15">
        <f>Tabela21[[#This Row],[Att subs]]+Tabela21[[#This Row],[Crit D subs]]</f>
        <v>1.2</v>
      </c>
      <c r="AN386" s="15">
        <v>1</v>
      </c>
      <c r="AO386" s="15">
        <v>0.2</v>
      </c>
      <c r="AP386" s="15">
        <v>0.9</v>
      </c>
      <c r="AQ386" s="189">
        <f t="shared" si="91"/>
        <v>5253.0000000000009</v>
      </c>
      <c r="AR386" s="189">
        <f t="shared" si="92"/>
        <v>5754</v>
      </c>
      <c r="AS386" s="189">
        <f t="shared" si="88"/>
        <v>4658</v>
      </c>
      <c r="AT386" s="189">
        <f t="shared" si="89"/>
        <v>9316</v>
      </c>
      <c r="AU386" s="50">
        <f t="shared" si="90"/>
        <v>11508</v>
      </c>
    </row>
    <row r="387" spans="36:47">
      <c r="AJ387" s="50">
        <v>2</v>
      </c>
      <c r="AK387" s="50">
        <v>0</v>
      </c>
      <c r="AL387" s="50">
        <v>1</v>
      </c>
      <c r="AM387" s="15">
        <f>Tabela21[[#This Row],[Att subs]]+Tabela21[[#This Row],[Crit D subs]]</f>
        <v>1.2</v>
      </c>
      <c r="AN387" s="15">
        <v>1</v>
      </c>
      <c r="AO387" s="15">
        <v>0.2</v>
      </c>
      <c r="AP387" s="15">
        <v>1</v>
      </c>
      <c r="AQ387" s="189">
        <f t="shared" si="91"/>
        <v>5253.0000000000009</v>
      </c>
      <c r="AR387" s="189">
        <f t="shared" si="92"/>
        <v>5754</v>
      </c>
      <c r="AS387" s="189">
        <f t="shared" ref="AS387:AS450" si="93">$AG$3*(1+$AJ387*$Y$2+$AN387)*(MAXA(1-$AI$3-$AL387*$AA$3-$AP387-0.36,0)+MINA($AI$3+$AL387*$AA$3+$AP387+0.36,1)*(1+$AH$3+$AO387+$AK387*$Z$4))</f>
        <v>4658</v>
      </c>
      <c r="AT387" s="189">
        <f t="shared" ref="AT387:AT450" si="94">$AG$3*(1+$AJ387*$Y$2+$AN387)*(MAXA(1-$AI$3-$AL387*$AA$3-$AP387-0.36,0)+2*MINA($AI$3+$AL387*$AA$3+$AP387+0.36,1)*(1+$AH$3+$AO387+$AK387*$Z$4))</f>
        <v>9316</v>
      </c>
      <c r="AU387" s="50">
        <f t="shared" ref="AU387:AU450" si="95">$AG$3*(1+$AJ387*$Y$2+$AN387)*(MAXA(1-$AI$3-$AL387*$AA$3-$AP387-0.12,0)+2*MINA($AI$3+$AL387*$AA$3+$AP387+0.12,1)*(1+$AH$3+$AO387+$AK387*$Z$4+0.4))</f>
        <v>11508</v>
      </c>
    </row>
    <row r="388" spans="36:47">
      <c r="AJ388" s="50">
        <v>3</v>
      </c>
      <c r="AK388" s="50">
        <v>0</v>
      </c>
      <c r="AL388" s="50">
        <v>0</v>
      </c>
      <c r="AM388" s="15">
        <f>Tabela21[[#This Row],[Att subs]]+Tabela21[[#This Row],[Crit D subs]]</f>
        <v>1.2</v>
      </c>
      <c r="AN388" s="15">
        <v>1</v>
      </c>
      <c r="AO388" s="15">
        <v>0.2</v>
      </c>
      <c r="AP388" s="15">
        <v>0</v>
      </c>
      <c r="AQ388" s="189">
        <f t="shared" ref="AQ388:AQ451" si="96">$AG$3*(1+$AJ388*$Y$2+$AN388+0.35)*(MAXA(1-$AI$3-$AL388*$AA$3-$AP388-0.12,0)+MINA($AI$3+$AL388*$AA$3+$AP388+0.12,1)*(1+$AH$3+$AO388+$AK388*$Z$4))</f>
        <v>4113.9400000000005</v>
      </c>
      <c r="AR388" s="189">
        <f t="shared" ref="AR388:AR451" si="97">$AG$3*(1+$AJ388*$Y$2+$AN388)*(MAXA(1-$AI$3-$AL388*$AA$3-$AP388-0.12,0)+MINA($AI$3+$AL388*$AA$3+$AP388+0.12,1)*(1+$AH$3+$AO388+$AK388*$Z$4+0.4))</f>
        <v>4033.6700000000005</v>
      </c>
      <c r="AS388" s="189">
        <f t="shared" si="93"/>
        <v>4220.2699999999995</v>
      </c>
      <c r="AT388" s="189">
        <f t="shared" si="94"/>
        <v>6916.64</v>
      </c>
      <c r="AU388" s="50">
        <f t="shared" si="95"/>
        <v>5797.04</v>
      </c>
    </row>
    <row r="389" spans="36:47">
      <c r="AJ389" s="50">
        <v>3</v>
      </c>
      <c r="AK389" s="50">
        <v>0</v>
      </c>
      <c r="AL389" s="50">
        <v>0</v>
      </c>
      <c r="AM389" s="15">
        <f>Tabela21[[#This Row],[Att subs]]+Tabela21[[#This Row],[Crit D subs]]</f>
        <v>1.2</v>
      </c>
      <c r="AN389" s="15">
        <v>1</v>
      </c>
      <c r="AO389" s="15">
        <v>0.2</v>
      </c>
      <c r="AP389" s="15">
        <v>0.1</v>
      </c>
      <c r="AQ389" s="189">
        <f t="shared" si="96"/>
        <v>4356.1399999999994</v>
      </c>
      <c r="AR389" s="189">
        <f t="shared" si="97"/>
        <v>4375.7700000000004</v>
      </c>
      <c r="AS389" s="189">
        <f t="shared" si="93"/>
        <v>4437.97</v>
      </c>
      <c r="AT389" s="189">
        <f t="shared" si="94"/>
        <v>7663.04</v>
      </c>
      <c r="AU389" s="50">
        <f t="shared" si="95"/>
        <v>6792.2400000000007</v>
      </c>
    </row>
    <row r="390" spans="36:47">
      <c r="AJ390" s="50">
        <v>3</v>
      </c>
      <c r="AK390" s="50">
        <v>0</v>
      </c>
      <c r="AL390" s="50">
        <v>0</v>
      </c>
      <c r="AM390" s="15">
        <f>Tabela21[[#This Row],[Att subs]]+Tabela21[[#This Row],[Crit D subs]]</f>
        <v>1.2</v>
      </c>
      <c r="AN390" s="15">
        <v>1</v>
      </c>
      <c r="AO390" s="15">
        <v>0.2</v>
      </c>
      <c r="AP390" s="15">
        <v>0.2</v>
      </c>
      <c r="AQ390" s="189">
        <f t="shared" si="96"/>
        <v>4598.3399999999992</v>
      </c>
      <c r="AR390" s="189">
        <f t="shared" si="97"/>
        <v>4717.87</v>
      </c>
      <c r="AS390" s="189">
        <f t="shared" si="93"/>
        <v>4655.67</v>
      </c>
      <c r="AT390" s="189">
        <f t="shared" si="94"/>
        <v>8409.4399999999987</v>
      </c>
      <c r="AU390" s="50">
        <f t="shared" si="95"/>
        <v>7787.44</v>
      </c>
    </row>
    <row r="391" spans="36:47">
      <c r="AJ391" s="50">
        <v>3</v>
      </c>
      <c r="AK391" s="50">
        <v>0</v>
      </c>
      <c r="AL391" s="50">
        <v>0</v>
      </c>
      <c r="AM391" s="15">
        <f>Tabela21[[#This Row],[Att subs]]+Tabela21[[#This Row],[Crit D subs]]</f>
        <v>1.2</v>
      </c>
      <c r="AN391" s="15">
        <v>1</v>
      </c>
      <c r="AO391" s="15">
        <v>0.2</v>
      </c>
      <c r="AP391" s="15">
        <v>0.3</v>
      </c>
      <c r="AQ391" s="189">
        <f t="shared" si="96"/>
        <v>4840.54</v>
      </c>
      <c r="AR391" s="189">
        <f t="shared" si="97"/>
        <v>5059.9699999999993</v>
      </c>
      <c r="AS391" s="189">
        <f t="shared" si="93"/>
        <v>4873.369999999999</v>
      </c>
      <c r="AT391" s="189">
        <f t="shared" si="94"/>
        <v>9155.8399999999983</v>
      </c>
      <c r="AU391" s="50">
        <f t="shared" si="95"/>
        <v>8782.64</v>
      </c>
    </row>
    <row r="392" spans="36:47">
      <c r="AJ392" s="50">
        <v>3</v>
      </c>
      <c r="AK392" s="50">
        <v>0</v>
      </c>
      <c r="AL392" s="50">
        <v>0</v>
      </c>
      <c r="AM392" s="15">
        <f>Tabela21[[#This Row],[Att subs]]+Tabela21[[#This Row],[Crit D subs]]</f>
        <v>1.2</v>
      </c>
      <c r="AN392" s="15">
        <v>1</v>
      </c>
      <c r="AO392" s="15">
        <v>0.2</v>
      </c>
      <c r="AP392" s="15">
        <v>0.4</v>
      </c>
      <c r="AQ392" s="189">
        <f t="shared" si="96"/>
        <v>5082.74</v>
      </c>
      <c r="AR392" s="189">
        <f t="shared" si="97"/>
        <v>5402.0700000000006</v>
      </c>
      <c r="AS392" s="189">
        <f t="shared" si="93"/>
        <v>5091.07</v>
      </c>
      <c r="AT392" s="189">
        <f t="shared" si="94"/>
        <v>9902.24</v>
      </c>
      <c r="AU392" s="50">
        <f t="shared" si="95"/>
        <v>9777.840000000002</v>
      </c>
    </row>
    <row r="393" spans="36:47">
      <c r="AJ393" s="50">
        <v>3</v>
      </c>
      <c r="AK393" s="50">
        <v>0</v>
      </c>
      <c r="AL393" s="50">
        <v>0</v>
      </c>
      <c r="AM393" s="15">
        <f>Tabela21[[#This Row],[Att subs]]+Tabela21[[#This Row],[Crit D subs]]</f>
        <v>1.2</v>
      </c>
      <c r="AN393" s="15">
        <v>1</v>
      </c>
      <c r="AO393" s="15">
        <v>0.2</v>
      </c>
      <c r="AP393" s="15">
        <v>0.5</v>
      </c>
      <c r="AQ393" s="189">
        <f t="shared" si="96"/>
        <v>5324.94</v>
      </c>
      <c r="AR393" s="189">
        <f t="shared" si="97"/>
        <v>5744.170000000001</v>
      </c>
      <c r="AS393" s="189">
        <f t="shared" si="93"/>
        <v>5287</v>
      </c>
      <c r="AT393" s="189">
        <f t="shared" si="94"/>
        <v>10574</v>
      </c>
      <c r="AU393" s="50">
        <f t="shared" si="95"/>
        <v>10773.04</v>
      </c>
    </row>
    <row r="394" spans="36:47">
      <c r="AJ394" s="50">
        <v>3</v>
      </c>
      <c r="AK394" s="50">
        <v>0</v>
      </c>
      <c r="AL394" s="50">
        <v>0</v>
      </c>
      <c r="AM394" s="15">
        <f>Tabela21[[#This Row],[Att subs]]+Tabela21[[#This Row],[Crit D subs]]</f>
        <v>1.2</v>
      </c>
      <c r="AN394" s="15">
        <v>1</v>
      </c>
      <c r="AO394" s="15">
        <v>0.2</v>
      </c>
      <c r="AP394" s="15">
        <v>0.6</v>
      </c>
      <c r="AQ394" s="189">
        <f t="shared" si="96"/>
        <v>5567.14</v>
      </c>
      <c r="AR394" s="189">
        <f t="shared" si="97"/>
        <v>6086.2699999999995</v>
      </c>
      <c r="AS394" s="189">
        <f t="shared" si="93"/>
        <v>5287</v>
      </c>
      <c r="AT394" s="189">
        <f t="shared" si="94"/>
        <v>10574</v>
      </c>
      <c r="AU394" s="50">
        <f t="shared" si="95"/>
        <v>11768.24</v>
      </c>
    </row>
    <row r="395" spans="36:47">
      <c r="AJ395" s="50">
        <v>3</v>
      </c>
      <c r="AK395" s="50">
        <v>0</v>
      </c>
      <c r="AL395" s="50">
        <v>0</v>
      </c>
      <c r="AM395" s="15">
        <f>Tabela21[[#This Row],[Att subs]]+Tabela21[[#This Row],[Crit D subs]]</f>
        <v>1.2</v>
      </c>
      <c r="AN395" s="15">
        <v>1</v>
      </c>
      <c r="AO395" s="15">
        <v>0.2</v>
      </c>
      <c r="AP395" s="15">
        <v>0.7</v>
      </c>
      <c r="AQ395" s="189">
        <f t="shared" si="96"/>
        <v>5809.34</v>
      </c>
      <c r="AR395" s="189">
        <f t="shared" si="97"/>
        <v>6428.3700000000008</v>
      </c>
      <c r="AS395" s="189">
        <f t="shared" si="93"/>
        <v>5287</v>
      </c>
      <c r="AT395" s="189">
        <f t="shared" si="94"/>
        <v>10574</v>
      </c>
      <c r="AU395" s="50">
        <f t="shared" si="95"/>
        <v>12763.44</v>
      </c>
    </row>
    <row r="396" spans="36:47">
      <c r="AJ396" s="50">
        <v>3</v>
      </c>
      <c r="AK396" s="50">
        <v>0</v>
      </c>
      <c r="AL396" s="50">
        <v>0</v>
      </c>
      <c r="AM396" s="15">
        <f>Tabela21[[#This Row],[Att subs]]+Tabela21[[#This Row],[Crit D subs]]</f>
        <v>1.2</v>
      </c>
      <c r="AN396" s="15">
        <v>1</v>
      </c>
      <c r="AO396" s="15">
        <v>0.2</v>
      </c>
      <c r="AP396" s="15">
        <v>0.8</v>
      </c>
      <c r="AQ396" s="189">
        <f t="shared" si="96"/>
        <v>5882</v>
      </c>
      <c r="AR396" s="189">
        <f t="shared" si="97"/>
        <v>6531</v>
      </c>
      <c r="AS396" s="189">
        <f t="shared" si="93"/>
        <v>5287</v>
      </c>
      <c r="AT396" s="189">
        <f t="shared" si="94"/>
        <v>10574</v>
      </c>
      <c r="AU396" s="50">
        <f t="shared" si="95"/>
        <v>13062</v>
      </c>
    </row>
    <row r="397" spans="36:47">
      <c r="AJ397" s="50">
        <v>3</v>
      </c>
      <c r="AK397" s="50">
        <v>0</v>
      </c>
      <c r="AL397" s="50">
        <v>0</v>
      </c>
      <c r="AM397" s="15">
        <f>Tabela21[[#This Row],[Att subs]]+Tabela21[[#This Row],[Crit D subs]]</f>
        <v>1.2</v>
      </c>
      <c r="AN397" s="15">
        <v>1</v>
      </c>
      <c r="AO397" s="15">
        <v>0.2</v>
      </c>
      <c r="AP397" s="15">
        <v>0.9</v>
      </c>
      <c r="AQ397" s="189">
        <f t="shared" si="96"/>
        <v>5882</v>
      </c>
      <c r="AR397" s="189">
        <f t="shared" si="97"/>
        <v>6531</v>
      </c>
      <c r="AS397" s="189">
        <f t="shared" si="93"/>
        <v>5287</v>
      </c>
      <c r="AT397" s="189">
        <f t="shared" si="94"/>
        <v>10574</v>
      </c>
      <c r="AU397" s="50">
        <f t="shared" si="95"/>
        <v>13062</v>
      </c>
    </row>
    <row r="398" spans="36:47">
      <c r="AJ398" s="50">
        <v>3</v>
      </c>
      <c r="AK398" s="50">
        <v>0</v>
      </c>
      <c r="AL398" s="50">
        <v>0</v>
      </c>
      <c r="AM398" s="15">
        <f>Tabela21[[#This Row],[Att subs]]+Tabela21[[#This Row],[Crit D subs]]</f>
        <v>1.2</v>
      </c>
      <c r="AN398" s="15">
        <v>1</v>
      </c>
      <c r="AO398" s="15">
        <v>0.2</v>
      </c>
      <c r="AP398" s="15">
        <v>1</v>
      </c>
      <c r="AQ398" s="189">
        <f t="shared" si="96"/>
        <v>5882</v>
      </c>
      <c r="AR398" s="189">
        <f t="shared" si="97"/>
        <v>6531</v>
      </c>
      <c r="AS398" s="189">
        <f t="shared" si="93"/>
        <v>5287</v>
      </c>
      <c r="AT398" s="189">
        <f t="shared" si="94"/>
        <v>10574</v>
      </c>
      <c r="AU398" s="50">
        <f t="shared" si="95"/>
        <v>13062</v>
      </c>
    </row>
    <row r="399" spans="36:47">
      <c r="AJ399" s="50">
        <v>2</v>
      </c>
      <c r="AK399" s="50">
        <v>1</v>
      </c>
      <c r="AL399" s="50">
        <v>0</v>
      </c>
      <c r="AM399" s="15">
        <f>Tabela21[[#This Row],[Att subs]]+Tabela21[[#This Row],[Crit D subs]]</f>
        <v>0.4</v>
      </c>
      <c r="AN399" s="15">
        <v>0</v>
      </c>
      <c r="AO399" s="15">
        <v>0.4</v>
      </c>
      <c r="AP399" s="15">
        <v>0</v>
      </c>
      <c r="AQ399" s="189">
        <f t="shared" si="96"/>
        <v>2863.0909999999999</v>
      </c>
      <c r="AR399" s="189">
        <f t="shared" si="97"/>
        <v>2571.5459999999998</v>
      </c>
      <c r="AS399" s="189">
        <f t="shared" si="93"/>
        <v>2955.7380000000003</v>
      </c>
      <c r="AT399" s="189">
        <f t="shared" si="94"/>
        <v>5058.8760000000002</v>
      </c>
      <c r="AU399" s="50">
        <f t="shared" si="95"/>
        <v>3872.8919999999998</v>
      </c>
    </row>
    <row r="400" spans="36:47">
      <c r="AJ400" s="50">
        <v>2</v>
      </c>
      <c r="AK400" s="50">
        <v>1</v>
      </c>
      <c r="AL400" s="50">
        <v>0</v>
      </c>
      <c r="AM400" s="15">
        <f>Tabela21[[#This Row],[Att subs]]+Tabela21[[#This Row],[Crit D subs]]</f>
        <v>0.4</v>
      </c>
      <c r="AN400" s="15">
        <v>0</v>
      </c>
      <c r="AO400" s="15">
        <v>0.4</v>
      </c>
      <c r="AP400" s="15">
        <v>0.1</v>
      </c>
      <c r="AQ400" s="189">
        <f t="shared" si="96"/>
        <v>3149.4209999999998</v>
      </c>
      <c r="AR400" s="189">
        <f t="shared" si="97"/>
        <v>2879.5259999999998</v>
      </c>
      <c r="AS400" s="189">
        <f t="shared" si="93"/>
        <v>3194.1180000000004</v>
      </c>
      <c r="AT400" s="189">
        <f t="shared" si="94"/>
        <v>5709.6360000000004</v>
      </c>
      <c r="AU400" s="50">
        <f t="shared" si="95"/>
        <v>4662.8519999999999</v>
      </c>
    </row>
    <row r="401" spans="36:47">
      <c r="AJ401" s="50">
        <v>2</v>
      </c>
      <c r="AK401" s="50">
        <v>1</v>
      </c>
      <c r="AL401" s="50">
        <v>0</v>
      </c>
      <c r="AM401" s="15">
        <f>Tabela21[[#This Row],[Att subs]]+Tabela21[[#This Row],[Crit D subs]]</f>
        <v>0.4</v>
      </c>
      <c r="AN401" s="15">
        <v>0</v>
      </c>
      <c r="AO401" s="15">
        <v>0.4</v>
      </c>
      <c r="AP401" s="15">
        <v>0.2</v>
      </c>
      <c r="AQ401" s="189">
        <f t="shared" si="96"/>
        <v>3435.7509999999997</v>
      </c>
      <c r="AR401" s="189">
        <f t="shared" si="97"/>
        <v>3187.5059999999994</v>
      </c>
      <c r="AS401" s="189">
        <f t="shared" si="93"/>
        <v>3432.498</v>
      </c>
      <c r="AT401" s="189">
        <f t="shared" si="94"/>
        <v>6360.3960000000006</v>
      </c>
      <c r="AU401" s="50">
        <f t="shared" si="95"/>
        <v>5452.811999999999</v>
      </c>
    </row>
    <row r="402" spans="36:47">
      <c r="AJ402" s="50">
        <v>2</v>
      </c>
      <c r="AK402" s="50">
        <v>1</v>
      </c>
      <c r="AL402" s="50">
        <v>0</v>
      </c>
      <c r="AM402" s="15">
        <f>Tabela21[[#This Row],[Att subs]]+Tabela21[[#This Row],[Crit D subs]]</f>
        <v>0.4</v>
      </c>
      <c r="AN402" s="15">
        <v>0</v>
      </c>
      <c r="AO402" s="15">
        <v>0.4</v>
      </c>
      <c r="AP402" s="15">
        <v>0.3</v>
      </c>
      <c r="AQ402" s="189">
        <f t="shared" si="96"/>
        <v>3722.0809999999997</v>
      </c>
      <c r="AR402" s="189">
        <f t="shared" si="97"/>
        <v>3495.4860000000003</v>
      </c>
      <c r="AS402" s="189">
        <f t="shared" si="93"/>
        <v>3670.8780000000002</v>
      </c>
      <c r="AT402" s="189">
        <f t="shared" si="94"/>
        <v>7011.1559999999999</v>
      </c>
      <c r="AU402" s="50">
        <f t="shared" si="95"/>
        <v>6242.7719999999999</v>
      </c>
    </row>
    <row r="403" spans="36:47">
      <c r="AJ403" s="50">
        <v>2</v>
      </c>
      <c r="AK403" s="50">
        <v>1</v>
      </c>
      <c r="AL403" s="50">
        <v>0</v>
      </c>
      <c r="AM403" s="15">
        <f>Tabela21[[#This Row],[Att subs]]+Tabela21[[#This Row],[Crit D subs]]</f>
        <v>0.4</v>
      </c>
      <c r="AN403" s="15">
        <v>0</v>
      </c>
      <c r="AO403" s="15">
        <v>0.4</v>
      </c>
      <c r="AP403" s="15">
        <v>0.4</v>
      </c>
      <c r="AQ403" s="189">
        <f t="shared" si="96"/>
        <v>4008.4110000000001</v>
      </c>
      <c r="AR403" s="189">
        <f t="shared" si="97"/>
        <v>3803.4660000000003</v>
      </c>
      <c r="AS403" s="189">
        <f t="shared" si="93"/>
        <v>3909.2580000000003</v>
      </c>
      <c r="AT403" s="189">
        <f t="shared" si="94"/>
        <v>7661.9160000000011</v>
      </c>
      <c r="AU403" s="50">
        <f t="shared" si="95"/>
        <v>7032.7320000000009</v>
      </c>
    </row>
    <row r="404" spans="36:47">
      <c r="AJ404" s="50">
        <v>2</v>
      </c>
      <c r="AK404" s="50">
        <v>1</v>
      </c>
      <c r="AL404" s="50">
        <v>0</v>
      </c>
      <c r="AM404" s="15">
        <f>Tabela21[[#This Row],[Att subs]]+Tabela21[[#This Row],[Crit D subs]]</f>
        <v>0.4</v>
      </c>
      <c r="AN404" s="15">
        <v>0</v>
      </c>
      <c r="AO404" s="15">
        <v>0.4</v>
      </c>
      <c r="AP404" s="15">
        <v>0.5</v>
      </c>
      <c r="AQ404" s="189">
        <f t="shared" si="96"/>
        <v>4294.741</v>
      </c>
      <c r="AR404" s="189">
        <f t="shared" si="97"/>
        <v>4111.4460000000008</v>
      </c>
      <c r="AS404" s="189">
        <f t="shared" si="93"/>
        <v>4123.8</v>
      </c>
      <c r="AT404" s="189">
        <f t="shared" si="94"/>
        <v>8247.6</v>
      </c>
      <c r="AU404" s="50">
        <f t="shared" si="95"/>
        <v>7822.6920000000018</v>
      </c>
    </row>
    <row r="405" spans="36:47">
      <c r="AJ405" s="50">
        <v>2</v>
      </c>
      <c r="AK405" s="50">
        <v>1</v>
      </c>
      <c r="AL405" s="50">
        <v>0</v>
      </c>
      <c r="AM405" s="15">
        <f>Tabela21[[#This Row],[Att subs]]+Tabela21[[#This Row],[Crit D subs]]</f>
        <v>0.4</v>
      </c>
      <c r="AN405" s="15">
        <v>0</v>
      </c>
      <c r="AO405" s="15">
        <v>0.4</v>
      </c>
      <c r="AP405" s="15">
        <v>0.6</v>
      </c>
      <c r="AQ405" s="189">
        <f t="shared" si="96"/>
        <v>4581.0709999999999</v>
      </c>
      <c r="AR405" s="189">
        <f t="shared" si="97"/>
        <v>4419.4259999999995</v>
      </c>
      <c r="AS405" s="189">
        <f t="shared" si="93"/>
        <v>4123.8</v>
      </c>
      <c r="AT405" s="189">
        <f t="shared" si="94"/>
        <v>8247.6</v>
      </c>
      <c r="AU405" s="50">
        <f t="shared" si="95"/>
        <v>8612.652</v>
      </c>
    </row>
    <row r="406" spans="36:47">
      <c r="AJ406" s="50">
        <v>2</v>
      </c>
      <c r="AK406" s="50">
        <v>1</v>
      </c>
      <c r="AL406" s="50">
        <v>0</v>
      </c>
      <c r="AM406" s="15">
        <f>Tabela21[[#This Row],[Att subs]]+Tabela21[[#This Row],[Crit D subs]]</f>
        <v>0.4</v>
      </c>
      <c r="AN406" s="15">
        <v>0</v>
      </c>
      <c r="AO406" s="15">
        <v>0.4</v>
      </c>
      <c r="AP406" s="15">
        <v>0.7</v>
      </c>
      <c r="AQ406" s="189">
        <f t="shared" si="96"/>
        <v>4867.4009999999998</v>
      </c>
      <c r="AR406" s="189">
        <f t="shared" si="97"/>
        <v>4727.4059999999999</v>
      </c>
      <c r="AS406" s="189">
        <f t="shared" si="93"/>
        <v>4123.8</v>
      </c>
      <c r="AT406" s="189">
        <f t="shared" si="94"/>
        <v>8247.6</v>
      </c>
      <c r="AU406" s="50">
        <f t="shared" si="95"/>
        <v>9402.612000000001</v>
      </c>
    </row>
    <row r="407" spans="36:47">
      <c r="AJ407" s="50">
        <v>2</v>
      </c>
      <c r="AK407" s="50">
        <v>1</v>
      </c>
      <c r="AL407" s="50">
        <v>0</v>
      </c>
      <c r="AM407" s="15">
        <f>Tabela21[[#This Row],[Att subs]]+Tabela21[[#This Row],[Crit D subs]]</f>
        <v>0.4</v>
      </c>
      <c r="AN407" s="15">
        <v>0</v>
      </c>
      <c r="AO407" s="15">
        <v>0.4</v>
      </c>
      <c r="AP407" s="15">
        <v>0.8</v>
      </c>
      <c r="AQ407" s="189">
        <f t="shared" si="96"/>
        <v>4953.3</v>
      </c>
      <c r="AR407" s="189">
        <f t="shared" si="97"/>
        <v>4819.8</v>
      </c>
      <c r="AS407" s="189">
        <f t="shared" si="93"/>
        <v>4123.8</v>
      </c>
      <c r="AT407" s="189">
        <f t="shared" si="94"/>
        <v>8247.6</v>
      </c>
      <c r="AU407" s="50">
        <f t="shared" si="95"/>
        <v>9639.6</v>
      </c>
    </row>
    <row r="408" spans="36:47">
      <c r="AJ408" s="50">
        <v>2</v>
      </c>
      <c r="AK408" s="50">
        <v>1</v>
      </c>
      <c r="AL408" s="50">
        <v>0</v>
      </c>
      <c r="AM408" s="15">
        <f>Tabela21[[#This Row],[Att subs]]+Tabela21[[#This Row],[Crit D subs]]</f>
        <v>0.4</v>
      </c>
      <c r="AN408" s="15">
        <v>0</v>
      </c>
      <c r="AO408" s="15">
        <v>0.4</v>
      </c>
      <c r="AP408" s="15">
        <v>0.9</v>
      </c>
      <c r="AQ408" s="189">
        <f t="shared" si="96"/>
        <v>4953.3</v>
      </c>
      <c r="AR408" s="189">
        <f t="shared" si="97"/>
        <v>4819.8</v>
      </c>
      <c r="AS408" s="189">
        <f t="shared" si="93"/>
        <v>4123.8</v>
      </c>
      <c r="AT408" s="189">
        <f t="shared" si="94"/>
        <v>8247.6</v>
      </c>
      <c r="AU408" s="50">
        <f t="shared" si="95"/>
        <v>9639.6</v>
      </c>
    </row>
    <row r="409" spans="36:47">
      <c r="AJ409" s="50">
        <v>2</v>
      </c>
      <c r="AK409" s="50">
        <v>1</v>
      </c>
      <c r="AL409" s="50">
        <v>0</v>
      </c>
      <c r="AM409" s="15">
        <f>Tabela21[[#This Row],[Att subs]]+Tabela21[[#This Row],[Crit D subs]]</f>
        <v>0.4</v>
      </c>
      <c r="AN409" s="15">
        <v>0</v>
      </c>
      <c r="AO409" s="15">
        <v>0.4</v>
      </c>
      <c r="AP409" s="15">
        <v>1</v>
      </c>
      <c r="AQ409" s="189">
        <f t="shared" si="96"/>
        <v>4953.3</v>
      </c>
      <c r="AR409" s="189">
        <f t="shared" si="97"/>
        <v>4819.8</v>
      </c>
      <c r="AS409" s="189">
        <f t="shared" si="93"/>
        <v>4123.8</v>
      </c>
      <c r="AT409" s="189">
        <f t="shared" si="94"/>
        <v>8247.6</v>
      </c>
      <c r="AU409" s="50">
        <f t="shared" si="95"/>
        <v>9639.6</v>
      </c>
    </row>
    <row r="410" spans="36:47">
      <c r="AJ410" s="50">
        <v>2</v>
      </c>
      <c r="AK410" s="50">
        <v>0</v>
      </c>
      <c r="AL410" s="50">
        <v>1</v>
      </c>
      <c r="AM410" s="15">
        <f>Tabela21[[#This Row],[Att subs]]+Tabela21[[#This Row],[Crit D subs]]</f>
        <v>0.4</v>
      </c>
      <c r="AN410" s="15">
        <v>0</v>
      </c>
      <c r="AO410" s="15">
        <v>0.4</v>
      </c>
      <c r="AP410" s="15">
        <v>0</v>
      </c>
      <c r="AQ410" s="189">
        <f t="shared" si="96"/>
        <v>3256.22</v>
      </c>
      <c r="AR410" s="189">
        <f t="shared" si="97"/>
        <v>3142.44</v>
      </c>
      <c r="AS410" s="189">
        <f t="shared" si="93"/>
        <v>3086.76</v>
      </c>
      <c r="AT410" s="189">
        <f t="shared" si="94"/>
        <v>5929.92</v>
      </c>
      <c r="AU410" s="50">
        <f t="shared" si="95"/>
        <v>5623.6799999999994</v>
      </c>
    </row>
    <row r="411" spans="36:47">
      <c r="AJ411" s="50">
        <v>2</v>
      </c>
      <c r="AK411" s="50">
        <v>0</v>
      </c>
      <c r="AL411" s="50">
        <v>1</v>
      </c>
      <c r="AM411" s="15">
        <f>Tabela21[[#This Row],[Att subs]]+Tabela21[[#This Row],[Crit D subs]]</f>
        <v>0.4</v>
      </c>
      <c r="AN411" s="15">
        <v>0</v>
      </c>
      <c r="AO411" s="15">
        <v>0.4</v>
      </c>
      <c r="AP411" s="15">
        <v>0.1</v>
      </c>
      <c r="AQ411" s="189">
        <f t="shared" si="96"/>
        <v>3444.3199999999997</v>
      </c>
      <c r="AR411" s="189">
        <f t="shared" si="97"/>
        <v>3368.64</v>
      </c>
      <c r="AS411" s="189">
        <f t="shared" si="93"/>
        <v>3243.3599999999997</v>
      </c>
      <c r="AT411" s="189">
        <f t="shared" si="94"/>
        <v>6417.12</v>
      </c>
      <c r="AU411" s="50">
        <f t="shared" si="95"/>
        <v>6250.079999999999</v>
      </c>
    </row>
    <row r="412" spans="36:47">
      <c r="AJ412" s="50">
        <v>2</v>
      </c>
      <c r="AK412" s="50">
        <v>0</v>
      </c>
      <c r="AL412" s="50">
        <v>1</v>
      </c>
      <c r="AM412" s="15">
        <f>Tabela21[[#This Row],[Att subs]]+Tabela21[[#This Row],[Crit D subs]]</f>
        <v>0.4</v>
      </c>
      <c r="AN412" s="15">
        <v>0</v>
      </c>
      <c r="AO412" s="15">
        <v>0.4</v>
      </c>
      <c r="AP412" s="15">
        <v>0.2</v>
      </c>
      <c r="AQ412" s="189">
        <f t="shared" si="96"/>
        <v>3632.4199999999996</v>
      </c>
      <c r="AR412" s="189">
        <f t="shared" si="97"/>
        <v>3594.8399999999997</v>
      </c>
      <c r="AS412" s="189">
        <f t="shared" si="93"/>
        <v>3306</v>
      </c>
      <c r="AT412" s="189">
        <f t="shared" si="94"/>
        <v>6612</v>
      </c>
      <c r="AU412" s="50">
        <f t="shared" si="95"/>
        <v>6876.48</v>
      </c>
    </row>
    <row r="413" spans="36:47">
      <c r="AJ413" s="50">
        <v>2</v>
      </c>
      <c r="AK413" s="50">
        <v>0</v>
      </c>
      <c r="AL413" s="50">
        <v>1</v>
      </c>
      <c r="AM413" s="15">
        <f>Tabela21[[#This Row],[Att subs]]+Tabela21[[#This Row],[Crit D subs]]</f>
        <v>0.4</v>
      </c>
      <c r="AN413" s="15">
        <v>0</v>
      </c>
      <c r="AO413" s="15">
        <v>0.4</v>
      </c>
      <c r="AP413" s="15">
        <v>0.3</v>
      </c>
      <c r="AQ413" s="189">
        <f t="shared" si="96"/>
        <v>3820.52</v>
      </c>
      <c r="AR413" s="189">
        <f t="shared" si="97"/>
        <v>3821.0400000000004</v>
      </c>
      <c r="AS413" s="189">
        <f t="shared" si="93"/>
        <v>3306</v>
      </c>
      <c r="AT413" s="189">
        <f t="shared" si="94"/>
        <v>6612</v>
      </c>
      <c r="AU413" s="50">
        <f t="shared" si="95"/>
        <v>7502.88</v>
      </c>
    </row>
    <row r="414" spans="36:47">
      <c r="AJ414" s="50">
        <v>2</v>
      </c>
      <c r="AK414" s="50">
        <v>0</v>
      </c>
      <c r="AL414" s="50">
        <v>1</v>
      </c>
      <c r="AM414" s="15">
        <f>Tabela21[[#This Row],[Att subs]]+Tabela21[[#This Row],[Crit D subs]]</f>
        <v>0.4</v>
      </c>
      <c r="AN414" s="15">
        <v>0</v>
      </c>
      <c r="AO414" s="15">
        <v>0.4</v>
      </c>
      <c r="AP414" s="15">
        <v>0.4</v>
      </c>
      <c r="AQ414" s="189">
        <f t="shared" si="96"/>
        <v>3971</v>
      </c>
      <c r="AR414" s="189">
        <f t="shared" si="97"/>
        <v>4001.9999999999995</v>
      </c>
      <c r="AS414" s="189">
        <f t="shared" si="93"/>
        <v>3306</v>
      </c>
      <c r="AT414" s="189">
        <f t="shared" si="94"/>
        <v>6612</v>
      </c>
      <c r="AU414" s="50">
        <f t="shared" si="95"/>
        <v>8003.9999999999991</v>
      </c>
    </row>
    <row r="415" spans="36:47">
      <c r="AJ415" s="50">
        <v>2</v>
      </c>
      <c r="AK415" s="50">
        <v>0</v>
      </c>
      <c r="AL415" s="50">
        <v>1</v>
      </c>
      <c r="AM415" s="15">
        <f>Tabela21[[#This Row],[Att subs]]+Tabela21[[#This Row],[Crit D subs]]</f>
        <v>0.4</v>
      </c>
      <c r="AN415" s="15">
        <v>0</v>
      </c>
      <c r="AO415" s="15">
        <v>0.4</v>
      </c>
      <c r="AP415" s="15">
        <v>0.5</v>
      </c>
      <c r="AQ415" s="189">
        <f t="shared" si="96"/>
        <v>3971</v>
      </c>
      <c r="AR415" s="189">
        <f t="shared" si="97"/>
        <v>4001.9999999999995</v>
      </c>
      <c r="AS415" s="189">
        <f t="shared" si="93"/>
        <v>3306</v>
      </c>
      <c r="AT415" s="189">
        <f t="shared" si="94"/>
        <v>6612</v>
      </c>
      <c r="AU415" s="50">
        <f t="shared" si="95"/>
        <v>8003.9999999999991</v>
      </c>
    </row>
    <row r="416" spans="36:47">
      <c r="AJ416" s="50">
        <v>2</v>
      </c>
      <c r="AK416" s="50">
        <v>0</v>
      </c>
      <c r="AL416" s="50">
        <v>1</v>
      </c>
      <c r="AM416" s="15">
        <f>Tabela21[[#This Row],[Att subs]]+Tabela21[[#This Row],[Crit D subs]]</f>
        <v>0.4</v>
      </c>
      <c r="AN416" s="15">
        <v>0</v>
      </c>
      <c r="AO416" s="15">
        <v>0.4</v>
      </c>
      <c r="AP416" s="15">
        <v>0.6</v>
      </c>
      <c r="AQ416" s="189">
        <f t="shared" si="96"/>
        <v>3971</v>
      </c>
      <c r="AR416" s="189">
        <f t="shared" si="97"/>
        <v>4001.9999999999995</v>
      </c>
      <c r="AS416" s="189">
        <f t="shared" si="93"/>
        <v>3306</v>
      </c>
      <c r="AT416" s="189">
        <f t="shared" si="94"/>
        <v>6612</v>
      </c>
      <c r="AU416" s="50">
        <f t="shared" si="95"/>
        <v>8003.9999999999991</v>
      </c>
    </row>
    <row r="417" spans="36:47">
      <c r="AJ417" s="50">
        <v>2</v>
      </c>
      <c r="AK417" s="50">
        <v>0</v>
      </c>
      <c r="AL417" s="50">
        <v>1</v>
      </c>
      <c r="AM417" s="15">
        <f>Tabela21[[#This Row],[Att subs]]+Tabela21[[#This Row],[Crit D subs]]</f>
        <v>0.4</v>
      </c>
      <c r="AN417" s="15">
        <v>0</v>
      </c>
      <c r="AO417" s="15">
        <v>0.4</v>
      </c>
      <c r="AP417" s="15">
        <v>0.7</v>
      </c>
      <c r="AQ417" s="189">
        <f t="shared" si="96"/>
        <v>3971</v>
      </c>
      <c r="AR417" s="189">
        <f t="shared" si="97"/>
        <v>4001.9999999999995</v>
      </c>
      <c r="AS417" s="189">
        <f t="shared" si="93"/>
        <v>3306</v>
      </c>
      <c r="AT417" s="189">
        <f t="shared" si="94"/>
        <v>6612</v>
      </c>
      <c r="AU417" s="50">
        <f t="shared" si="95"/>
        <v>8003.9999999999991</v>
      </c>
    </row>
    <row r="418" spans="36:47">
      <c r="AJ418" s="50">
        <v>2</v>
      </c>
      <c r="AK418" s="50">
        <v>0</v>
      </c>
      <c r="AL418" s="50">
        <v>1</v>
      </c>
      <c r="AM418" s="15">
        <f>Tabela21[[#This Row],[Att subs]]+Tabela21[[#This Row],[Crit D subs]]</f>
        <v>0.4</v>
      </c>
      <c r="AN418" s="15">
        <v>0</v>
      </c>
      <c r="AO418" s="15">
        <v>0.4</v>
      </c>
      <c r="AP418" s="15">
        <v>0.8</v>
      </c>
      <c r="AQ418" s="189">
        <f t="shared" si="96"/>
        <v>3971</v>
      </c>
      <c r="AR418" s="189">
        <f t="shared" si="97"/>
        <v>4001.9999999999995</v>
      </c>
      <c r="AS418" s="189">
        <f t="shared" si="93"/>
        <v>3306</v>
      </c>
      <c r="AT418" s="189">
        <f t="shared" si="94"/>
        <v>6612</v>
      </c>
      <c r="AU418" s="50">
        <f t="shared" si="95"/>
        <v>8003.9999999999991</v>
      </c>
    </row>
    <row r="419" spans="36:47">
      <c r="AJ419" s="50">
        <v>2</v>
      </c>
      <c r="AK419" s="50">
        <v>0</v>
      </c>
      <c r="AL419" s="50">
        <v>1</v>
      </c>
      <c r="AM419" s="15">
        <f>Tabela21[[#This Row],[Att subs]]+Tabela21[[#This Row],[Crit D subs]]</f>
        <v>0.4</v>
      </c>
      <c r="AN419" s="15">
        <v>0</v>
      </c>
      <c r="AO419" s="15">
        <v>0.4</v>
      </c>
      <c r="AP419" s="15">
        <v>0.9</v>
      </c>
      <c r="AQ419" s="189">
        <f t="shared" si="96"/>
        <v>3971</v>
      </c>
      <c r="AR419" s="189">
        <f t="shared" si="97"/>
        <v>4001.9999999999995</v>
      </c>
      <c r="AS419" s="189">
        <f t="shared" si="93"/>
        <v>3306</v>
      </c>
      <c r="AT419" s="189">
        <f t="shared" si="94"/>
        <v>6612</v>
      </c>
      <c r="AU419" s="50">
        <f t="shared" si="95"/>
        <v>8003.9999999999991</v>
      </c>
    </row>
    <row r="420" spans="36:47">
      <c r="AJ420" s="50">
        <v>2</v>
      </c>
      <c r="AK420" s="50">
        <v>0</v>
      </c>
      <c r="AL420" s="50">
        <v>1</v>
      </c>
      <c r="AM420" s="15">
        <f>Tabela21[[#This Row],[Att subs]]+Tabela21[[#This Row],[Crit D subs]]</f>
        <v>0.4</v>
      </c>
      <c r="AN420" s="15">
        <v>0</v>
      </c>
      <c r="AO420" s="15">
        <v>0.4</v>
      </c>
      <c r="AP420" s="15">
        <v>1</v>
      </c>
      <c r="AQ420" s="189">
        <f t="shared" si="96"/>
        <v>3971</v>
      </c>
      <c r="AR420" s="189">
        <f t="shared" si="97"/>
        <v>4001.9999999999995</v>
      </c>
      <c r="AS420" s="189">
        <f t="shared" si="93"/>
        <v>3306</v>
      </c>
      <c r="AT420" s="189">
        <f t="shared" si="94"/>
        <v>6612</v>
      </c>
      <c r="AU420" s="50">
        <f t="shared" si="95"/>
        <v>8003.9999999999991</v>
      </c>
    </row>
    <row r="421" spans="36:47">
      <c r="AJ421" s="50">
        <v>3</v>
      </c>
      <c r="AK421" s="50">
        <v>0</v>
      </c>
      <c r="AL421" s="50">
        <v>0</v>
      </c>
      <c r="AM421" s="15">
        <f>Tabela21[[#This Row],[Att subs]]+Tabela21[[#This Row],[Crit D subs]]</f>
        <v>0.4</v>
      </c>
      <c r="AN421" s="15">
        <v>0</v>
      </c>
      <c r="AO421" s="15">
        <v>0.4</v>
      </c>
      <c r="AP421" s="15">
        <v>0</v>
      </c>
      <c r="AQ421" s="189">
        <f t="shared" si="96"/>
        <v>3057.7799999999997</v>
      </c>
      <c r="AR421" s="189">
        <f t="shared" si="97"/>
        <v>2850.61</v>
      </c>
      <c r="AS421" s="189">
        <f t="shared" si="93"/>
        <v>3078.4900000000002</v>
      </c>
      <c r="AT421" s="189">
        <f t="shared" si="94"/>
        <v>5123.08</v>
      </c>
      <c r="AU421" s="50">
        <f t="shared" si="95"/>
        <v>4160.92</v>
      </c>
    </row>
    <row r="422" spans="36:47">
      <c r="AJ422" s="50">
        <v>3</v>
      </c>
      <c r="AK422" s="50">
        <v>0</v>
      </c>
      <c r="AL422" s="50">
        <v>0</v>
      </c>
      <c r="AM422" s="15">
        <f>Tabela21[[#This Row],[Att subs]]+Tabela21[[#This Row],[Crit D subs]]</f>
        <v>0.4</v>
      </c>
      <c r="AN422" s="15">
        <v>0</v>
      </c>
      <c r="AO422" s="15">
        <v>0.4</v>
      </c>
      <c r="AP422" s="15">
        <v>0.1</v>
      </c>
      <c r="AQ422" s="189">
        <f t="shared" si="96"/>
        <v>3279.18</v>
      </c>
      <c r="AR422" s="189">
        <f t="shared" si="97"/>
        <v>3124.91</v>
      </c>
      <c r="AS422" s="189">
        <f t="shared" si="93"/>
        <v>3268.39</v>
      </c>
      <c r="AT422" s="189">
        <f t="shared" si="94"/>
        <v>5713.88</v>
      </c>
      <c r="AU422" s="50">
        <f t="shared" si="95"/>
        <v>4920.5199999999995</v>
      </c>
    </row>
    <row r="423" spans="36:47">
      <c r="AJ423" s="50">
        <v>3</v>
      </c>
      <c r="AK423" s="50">
        <v>0</v>
      </c>
      <c r="AL423" s="50">
        <v>0</v>
      </c>
      <c r="AM423" s="15">
        <f>Tabela21[[#This Row],[Att subs]]+Tabela21[[#This Row],[Crit D subs]]</f>
        <v>0.4</v>
      </c>
      <c r="AN423" s="15">
        <v>0</v>
      </c>
      <c r="AO423" s="15">
        <v>0.4</v>
      </c>
      <c r="AP423" s="15">
        <v>0.2</v>
      </c>
      <c r="AQ423" s="189">
        <f t="shared" si="96"/>
        <v>3500.5799999999995</v>
      </c>
      <c r="AR423" s="189">
        <f t="shared" si="97"/>
        <v>3399.2099999999996</v>
      </c>
      <c r="AS423" s="189">
        <f t="shared" si="93"/>
        <v>3458.2899999999995</v>
      </c>
      <c r="AT423" s="189">
        <f t="shared" si="94"/>
        <v>6304.68</v>
      </c>
      <c r="AU423" s="50">
        <f t="shared" si="95"/>
        <v>5680.119999999999</v>
      </c>
    </row>
    <row r="424" spans="36:47">
      <c r="AJ424" s="50">
        <v>3</v>
      </c>
      <c r="AK424" s="50">
        <v>0</v>
      </c>
      <c r="AL424" s="50">
        <v>0</v>
      </c>
      <c r="AM424" s="15">
        <f>Tabela21[[#This Row],[Att subs]]+Tabela21[[#This Row],[Crit D subs]]</f>
        <v>0.4</v>
      </c>
      <c r="AN424" s="15">
        <v>0</v>
      </c>
      <c r="AO424" s="15">
        <v>0.4</v>
      </c>
      <c r="AP424" s="15">
        <v>0.3</v>
      </c>
      <c r="AQ424" s="189">
        <f t="shared" si="96"/>
        <v>3721.9799999999996</v>
      </c>
      <c r="AR424" s="189">
        <f t="shared" si="97"/>
        <v>3673.5099999999993</v>
      </c>
      <c r="AS424" s="189">
        <f t="shared" si="93"/>
        <v>3648.19</v>
      </c>
      <c r="AT424" s="189">
        <f t="shared" si="94"/>
        <v>6895.48</v>
      </c>
      <c r="AU424" s="50">
        <f t="shared" si="95"/>
        <v>6439.7199999999993</v>
      </c>
    </row>
    <row r="425" spans="36:47">
      <c r="AJ425" s="50">
        <v>3</v>
      </c>
      <c r="AK425" s="50">
        <v>0</v>
      </c>
      <c r="AL425" s="50">
        <v>0</v>
      </c>
      <c r="AM425" s="15">
        <f>Tabela21[[#This Row],[Att subs]]+Tabela21[[#This Row],[Crit D subs]]</f>
        <v>0.4</v>
      </c>
      <c r="AN425" s="15">
        <v>0</v>
      </c>
      <c r="AO425" s="15">
        <v>0.4</v>
      </c>
      <c r="AP425" s="15">
        <v>0.4</v>
      </c>
      <c r="AQ425" s="189">
        <f t="shared" si="96"/>
        <v>3943.3799999999992</v>
      </c>
      <c r="AR425" s="189">
        <f t="shared" si="97"/>
        <v>3947.81</v>
      </c>
      <c r="AS425" s="189">
        <f t="shared" si="93"/>
        <v>3838.0899999999997</v>
      </c>
      <c r="AT425" s="189">
        <f t="shared" si="94"/>
        <v>7486.2799999999988</v>
      </c>
      <c r="AU425" s="50">
        <f t="shared" si="95"/>
        <v>7199.32</v>
      </c>
    </row>
    <row r="426" spans="36:47">
      <c r="AJ426" s="50">
        <v>3</v>
      </c>
      <c r="AK426" s="50">
        <v>0</v>
      </c>
      <c r="AL426" s="50">
        <v>0</v>
      </c>
      <c r="AM426" s="15">
        <f>Tabela21[[#This Row],[Att subs]]+Tabela21[[#This Row],[Crit D subs]]</f>
        <v>0.4</v>
      </c>
      <c r="AN426" s="15">
        <v>0</v>
      </c>
      <c r="AO426" s="15">
        <v>0.4</v>
      </c>
      <c r="AP426" s="15">
        <v>0.5</v>
      </c>
      <c r="AQ426" s="189">
        <f t="shared" si="96"/>
        <v>4164.78</v>
      </c>
      <c r="AR426" s="189">
        <f t="shared" si="97"/>
        <v>4222.1099999999997</v>
      </c>
      <c r="AS426" s="189">
        <f t="shared" si="93"/>
        <v>4009</v>
      </c>
      <c r="AT426" s="189">
        <f t="shared" si="94"/>
        <v>8018</v>
      </c>
      <c r="AU426" s="50">
        <f t="shared" si="95"/>
        <v>7958.9199999999992</v>
      </c>
    </row>
    <row r="427" spans="36:47">
      <c r="AJ427" s="50">
        <v>3</v>
      </c>
      <c r="AK427" s="50">
        <v>0</v>
      </c>
      <c r="AL427" s="50">
        <v>0</v>
      </c>
      <c r="AM427" s="15">
        <f>Tabela21[[#This Row],[Att subs]]+Tabela21[[#This Row],[Crit D subs]]</f>
        <v>0.4</v>
      </c>
      <c r="AN427" s="15">
        <v>0</v>
      </c>
      <c r="AO427" s="15">
        <v>0.4</v>
      </c>
      <c r="AP427" s="15">
        <v>0.6</v>
      </c>
      <c r="AQ427" s="189">
        <f t="shared" si="96"/>
        <v>4386.1799999999994</v>
      </c>
      <c r="AR427" s="189">
        <f t="shared" si="97"/>
        <v>4496.41</v>
      </c>
      <c r="AS427" s="189">
        <f t="shared" si="93"/>
        <v>4009</v>
      </c>
      <c r="AT427" s="189">
        <f t="shared" si="94"/>
        <v>8018</v>
      </c>
      <c r="AU427" s="50">
        <f t="shared" si="95"/>
        <v>8718.5199999999986</v>
      </c>
    </row>
    <row r="428" spans="36:47">
      <c r="AJ428" s="50">
        <v>3</v>
      </c>
      <c r="AK428" s="50">
        <v>0</v>
      </c>
      <c r="AL428" s="50">
        <v>0</v>
      </c>
      <c r="AM428" s="15">
        <f>Tabela21[[#This Row],[Att subs]]+Tabela21[[#This Row],[Crit D subs]]</f>
        <v>0.4</v>
      </c>
      <c r="AN428" s="15">
        <v>0</v>
      </c>
      <c r="AO428" s="15">
        <v>0.4</v>
      </c>
      <c r="AP428" s="15">
        <v>0.7</v>
      </c>
      <c r="AQ428" s="189">
        <f t="shared" si="96"/>
        <v>4607.58</v>
      </c>
      <c r="AR428" s="189">
        <f t="shared" si="97"/>
        <v>4770.71</v>
      </c>
      <c r="AS428" s="189">
        <f t="shared" si="93"/>
        <v>4009</v>
      </c>
      <c r="AT428" s="189">
        <f t="shared" si="94"/>
        <v>8018</v>
      </c>
      <c r="AU428" s="50">
        <f t="shared" si="95"/>
        <v>9478.1200000000008</v>
      </c>
    </row>
    <row r="429" spans="36:47">
      <c r="AJ429" s="50">
        <v>3</v>
      </c>
      <c r="AK429" s="50">
        <v>0</v>
      </c>
      <c r="AL429" s="50">
        <v>0</v>
      </c>
      <c r="AM429" s="15">
        <f>Tabela21[[#This Row],[Att subs]]+Tabela21[[#This Row],[Crit D subs]]</f>
        <v>0.4</v>
      </c>
      <c r="AN429" s="15">
        <v>0</v>
      </c>
      <c r="AO429" s="15">
        <v>0.4</v>
      </c>
      <c r="AP429" s="15">
        <v>0.8</v>
      </c>
      <c r="AQ429" s="189">
        <f t="shared" si="96"/>
        <v>4674</v>
      </c>
      <c r="AR429" s="189">
        <f t="shared" si="97"/>
        <v>4853</v>
      </c>
      <c r="AS429" s="189">
        <f t="shared" si="93"/>
        <v>4009</v>
      </c>
      <c r="AT429" s="189">
        <f t="shared" si="94"/>
        <v>8018</v>
      </c>
      <c r="AU429" s="50">
        <f t="shared" si="95"/>
        <v>9706</v>
      </c>
    </row>
    <row r="430" spans="36:47">
      <c r="AJ430" s="50">
        <v>3</v>
      </c>
      <c r="AK430" s="50">
        <v>0</v>
      </c>
      <c r="AL430" s="50">
        <v>0</v>
      </c>
      <c r="AM430" s="15">
        <f>Tabela21[[#This Row],[Att subs]]+Tabela21[[#This Row],[Crit D subs]]</f>
        <v>0.4</v>
      </c>
      <c r="AN430" s="15">
        <v>0</v>
      </c>
      <c r="AO430" s="15">
        <v>0.4</v>
      </c>
      <c r="AP430" s="15">
        <v>0.9</v>
      </c>
      <c r="AQ430" s="189">
        <f t="shared" si="96"/>
        <v>4674</v>
      </c>
      <c r="AR430" s="189">
        <f t="shared" si="97"/>
        <v>4853</v>
      </c>
      <c r="AS430" s="189">
        <f t="shared" si="93"/>
        <v>4009</v>
      </c>
      <c r="AT430" s="189">
        <f t="shared" si="94"/>
        <v>8018</v>
      </c>
      <c r="AU430" s="50">
        <f t="shared" si="95"/>
        <v>9706</v>
      </c>
    </row>
    <row r="431" spans="36:47">
      <c r="AJ431" s="50">
        <v>3</v>
      </c>
      <c r="AK431" s="50">
        <v>0</v>
      </c>
      <c r="AL431" s="50">
        <v>0</v>
      </c>
      <c r="AM431" s="15">
        <f>Tabela21[[#This Row],[Att subs]]+Tabela21[[#This Row],[Crit D subs]]</f>
        <v>0.4</v>
      </c>
      <c r="AN431" s="15">
        <v>0</v>
      </c>
      <c r="AO431" s="15">
        <v>0.4</v>
      </c>
      <c r="AP431" s="15">
        <v>1</v>
      </c>
      <c r="AQ431" s="189">
        <f t="shared" si="96"/>
        <v>4674</v>
      </c>
      <c r="AR431" s="189">
        <f t="shared" si="97"/>
        <v>4853</v>
      </c>
      <c r="AS431" s="189">
        <f t="shared" si="93"/>
        <v>4009</v>
      </c>
      <c r="AT431" s="189">
        <f t="shared" si="94"/>
        <v>8018</v>
      </c>
      <c r="AU431" s="50">
        <f t="shared" si="95"/>
        <v>9706</v>
      </c>
    </row>
    <row r="432" spans="36:47">
      <c r="AJ432" s="50">
        <v>2</v>
      </c>
      <c r="AK432" s="50">
        <v>1</v>
      </c>
      <c r="AL432" s="50">
        <v>0</v>
      </c>
      <c r="AM432" s="15">
        <f>Tabela21[[#This Row],[Att subs]]+Tabela21[[#This Row],[Crit D subs]]</f>
        <v>0.60000000000000009</v>
      </c>
      <c r="AN432" s="15">
        <v>0.2</v>
      </c>
      <c r="AO432" s="15">
        <v>0.4</v>
      </c>
      <c r="AP432" s="15">
        <v>0</v>
      </c>
      <c r="AQ432" s="189">
        <f t="shared" si="96"/>
        <v>3137.0709999999999</v>
      </c>
      <c r="AR432" s="189">
        <f t="shared" si="97"/>
        <v>2867.1260000000002</v>
      </c>
      <c r="AS432" s="189">
        <f t="shared" si="93"/>
        <v>3295.4780000000001</v>
      </c>
      <c r="AT432" s="189">
        <f t="shared" si="94"/>
        <v>5640.3559999999998</v>
      </c>
      <c r="AU432" s="50">
        <f t="shared" si="95"/>
        <v>4318.0519999999997</v>
      </c>
    </row>
    <row r="433" spans="36:47">
      <c r="AJ433" s="50">
        <v>2</v>
      </c>
      <c r="AK433" s="50">
        <v>1</v>
      </c>
      <c r="AL433" s="50">
        <v>0</v>
      </c>
      <c r="AM433" s="15">
        <f>Tabela21[[#This Row],[Att subs]]+Tabela21[[#This Row],[Crit D subs]]</f>
        <v>0.60000000000000009</v>
      </c>
      <c r="AN433" s="15">
        <v>0.2</v>
      </c>
      <c r="AO433" s="15">
        <v>0.4</v>
      </c>
      <c r="AP433" s="15">
        <v>0.1</v>
      </c>
      <c r="AQ433" s="189">
        <f t="shared" si="96"/>
        <v>3450.8009999999999</v>
      </c>
      <c r="AR433" s="189">
        <f t="shared" si="97"/>
        <v>3210.5059999999999</v>
      </c>
      <c r="AS433" s="189">
        <f t="shared" si="93"/>
        <v>3561.2580000000003</v>
      </c>
      <c r="AT433" s="189">
        <f t="shared" si="94"/>
        <v>6365.9160000000002</v>
      </c>
      <c r="AU433" s="50">
        <f t="shared" si="95"/>
        <v>5198.8119999999999</v>
      </c>
    </row>
    <row r="434" spans="36:47">
      <c r="AJ434" s="50">
        <v>2</v>
      </c>
      <c r="AK434" s="50">
        <v>1</v>
      </c>
      <c r="AL434" s="50">
        <v>0</v>
      </c>
      <c r="AM434" s="15">
        <f>Tabela21[[#This Row],[Att subs]]+Tabela21[[#This Row],[Crit D subs]]</f>
        <v>0.60000000000000009</v>
      </c>
      <c r="AN434" s="15">
        <v>0.2</v>
      </c>
      <c r="AO434" s="15">
        <v>0.4</v>
      </c>
      <c r="AP434" s="15">
        <v>0.2</v>
      </c>
      <c r="AQ434" s="189">
        <f t="shared" si="96"/>
        <v>3764.5309999999999</v>
      </c>
      <c r="AR434" s="189">
        <f t="shared" si="97"/>
        <v>3553.8859999999995</v>
      </c>
      <c r="AS434" s="189">
        <f t="shared" si="93"/>
        <v>3827.038</v>
      </c>
      <c r="AT434" s="189">
        <f t="shared" si="94"/>
        <v>7091.4760000000006</v>
      </c>
      <c r="AU434" s="50">
        <f t="shared" si="95"/>
        <v>6079.5719999999992</v>
      </c>
    </row>
    <row r="435" spans="36:47">
      <c r="AJ435" s="50">
        <v>2</v>
      </c>
      <c r="AK435" s="50">
        <v>1</v>
      </c>
      <c r="AL435" s="50">
        <v>0</v>
      </c>
      <c r="AM435" s="15">
        <f>Tabela21[[#This Row],[Att subs]]+Tabela21[[#This Row],[Crit D subs]]</f>
        <v>0.60000000000000009</v>
      </c>
      <c r="AN435" s="15">
        <v>0.2</v>
      </c>
      <c r="AO435" s="15">
        <v>0.4</v>
      </c>
      <c r="AP435" s="15">
        <v>0.3</v>
      </c>
      <c r="AQ435" s="189">
        <f t="shared" si="96"/>
        <v>4078.261</v>
      </c>
      <c r="AR435" s="189">
        <f t="shared" si="97"/>
        <v>3897.2660000000001</v>
      </c>
      <c r="AS435" s="189">
        <f t="shared" si="93"/>
        <v>4092.8180000000002</v>
      </c>
      <c r="AT435" s="189">
        <f t="shared" si="94"/>
        <v>7817.0360000000001</v>
      </c>
      <c r="AU435" s="50">
        <f t="shared" si="95"/>
        <v>6960.3320000000003</v>
      </c>
    </row>
    <row r="436" spans="36:47">
      <c r="AJ436" s="50">
        <v>2</v>
      </c>
      <c r="AK436" s="50">
        <v>1</v>
      </c>
      <c r="AL436" s="50">
        <v>0</v>
      </c>
      <c r="AM436" s="15">
        <f>Tabela21[[#This Row],[Att subs]]+Tabela21[[#This Row],[Crit D subs]]</f>
        <v>0.60000000000000009</v>
      </c>
      <c r="AN436" s="15">
        <v>0.2</v>
      </c>
      <c r="AO436" s="15">
        <v>0.4</v>
      </c>
      <c r="AP436" s="15">
        <v>0.4</v>
      </c>
      <c r="AQ436" s="189">
        <f t="shared" si="96"/>
        <v>4391.991</v>
      </c>
      <c r="AR436" s="189">
        <f t="shared" si="97"/>
        <v>4240.6460000000006</v>
      </c>
      <c r="AS436" s="189">
        <f t="shared" si="93"/>
        <v>4358.598</v>
      </c>
      <c r="AT436" s="189">
        <f t="shared" si="94"/>
        <v>8542.5960000000014</v>
      </c>
      <c r="AU436" s="50">
        <f t="shared" si="95"/>
        <v>7841.0920000000006</v>
      </c>
    </row>
    <row r="437" spans="36:47">
      <c r="AJ437" s="50">
        <v>2</v>
      </c>
      <c r="AK437" s="50">
        <v>1</v>
      </c>
      <c r="AL437" s="50">
        <v>0</v>
      </c>
      <c r="AM437" s="15">
        <f>Tabela21[[#This Row],[Att subs]]+Tabela21[[#This Row],[Crit D subs]]</f>
        <v>0.60000000000000009</v>
      </c>
      <c r="AN437" s="15">
        <v>0.2</v>
      </c>
      <c r="AO437" s="15">
        <v>0.4</v>
      </c>
      <c r="AP437" s="15">
        <v>0.5</v>
      </c>
      <c r="AQ437" s="189">
        <f t="shared" si="96"/>
        <v>4705.7209999999995</v>
      </c>
      <c r="AR437" s="189">
        <f t="shared" si="97"/>
        <v>4584.0260000000007</v>
      </c>
      <c r="AS437" s="189">
        <f t="shared" si="93"/>
        <v>4597.8</v>
      </c>
      <c r="AT437" s="189">
        <f t="shared" si="94"/>
        <v>9195.6</v>
      </c>
      <c r="AU437" s="50">
        <f t="shared" si="95"/>
        <v>8721.8520000000026</v>
      </c>
    </row>
    <row r="438" spans="36:47">
      <c r="AJ438" s="50">
        <v>2</v>
      </c>
      <c r="AK438" s="50">
        <v>1</v>
      </c>
      <c r="AL438" s="50">
        <v>0</v>
      </c>
      <c r="AM438" s="15">
        <f>Tabela21[[#This Row],[Att subs]]+Tabela21[[#This Row],[Crit D subs]]</f>
        <v>0.60000000000000009</v>
      </c>
      <c r="AN438" s="15">
        <v>0.2</v>
      </c>
      <c r="AO438" s="15">
        <v>0.4</v>
      </c>
      <c r="AP438" s="15">
        <v>0.6</v>
      </c>
      <c r="AQ438" s="189">
        <f t="shared" si="96"/>
        <v>5019.451</v>
      </c>
      <c r="AR438" s="189">
        <f t="shared" si="97"/>
        <v>4927.4059999999999</v>
      </c>
      <c r="AS438" s="189">
        <f t="shared" si="93"/>
        <v>4597.8</v>
      </c>
      <c r="AT438" s="189">
        <f t="shared" si="94"/>
        <v>9195.6</v>
      </c>
      <c r="AU438" s="50">
        <f t="shared" si="95"/>
        <v>9602.6119999999992</v>
      </c>
    </row>
    <row r="439" spans="36:47">
      <c r="AJ439" s="50">
        <v>2</v>
      </c>
      <c r="AK439" s="50">
        <v>1</v>
      </c>
      <c r="AL439" s="50">
        <v>0</v>
      </c>
      <c r="AM439" s="15">
        <f>Tabela21[[#This Row],[Att subs]]+Tabela21[[#This Row],[Crit D subs]]</f>
        <v>0.60000000000000009</v>
      </c>
      <c r="AN439" s="15">
        <v>0.2</v>
      </c>
      <c r="AO439" s="15">
        <v>0.4</v>
      </c>
      <c r="AP439" s="15">
        <v>0.7</v>
      </c>
      <c r="AQ439" s="189">
        <f t="shared" si="96"/>
        <v>5333.1809999999996</v>
      </c>
      <c r="AR439" s="189">
        <f t="shared" si="97"/>
        <v>5270.7860000000001</v>
      </c>
      <c r="AS439" s="189">
        <f t="shared" si="93"/>
        <v>4597.8</v>
      </c>
      <c r="AT439" s="189">
        <f t="shared" si="94"/>
        <v>9195.6</v>
      </c>
      <c r="AU439" s="50">
        <f t="shared" si="95"/>
        <v>10483.372000000001</v>
      </c>
    </row>
    <row r="440" spans="36:47">
      <c r="AJ440" s="50">
        <v>2</v>
      </c>
      <c r="AK440" s="50">
        <v>1</v>
      </c>
      <c r="AL440" s="50">
        <v>0</v>
      </c>
      <c r="AM440" s="15">
        <f>Tabela21[[#This Row],[Att subs]]+Tabela21[[#This Row],[Crit D subs]]</f>
        <v>0.60000000000000009</v>
      </c>
      <c r="AN440" s="15">
        <v>0.2</v>
      </c>
      <c r="AO440" s="15">
        <v>0.4</v>
      </c>
      <c r="AP440" s="15">
        <v>0.8</v>
      </c>
      <c r="AQ440" s="189">
        <f t="shared" si="96"/>
        <v>5427.3</v>
      </c>
      <c r="AR440" s="189">
        <f t="shared" si="97"/>
        <v>5373.8</v>
      </c>
      <c r="AS440" s="189">
        <f t="shared" si="93"/>
        <v>4597.8</v>
      </c>
      <c r="AT440" s="189">
        <f t="shared" si="94"/>
        <v>9195.6</v>
      </c>
      <c r="AU440" s="50">
        <f t="shared" si="95"/>
        <v>10747.6</v>
      </c>
    </row>
    <row r="441" spans="36:47">
      <c r="AJ441" s="50">
        <v>2</v>
      </c>
      <c r="AK441" s="50">
        <v>1</v>
      </c>
      <c r="AL441" s="50">
        <v>0</v>
      </c>
      <c r="AM441" s="15">
        <f>Tabela21[[#This Row],[Att subs]]+Tabela21[[#This Row],[Crit D subs]]</f>
        <v>0.60000000000000009</v>
      </c>
      <c r="AN441" s="15">
        <v>0.2</v>
      </c>
      <c r="AO441" s="15">
        <v>0.4</v>
      </c>
      <c r="AP441" s="15">
        <v>0.9</v>
      </c>
      <c r="AQ441" s="189">
        <f t="shared" si="96"/>
        <v>5427.3</v>
      </c>
      <c r="AR441" s="189">
        <f t="shared" si="97"/>
        <v>5373.8</v>
      </c>
      <c r="AS441" s="189">
        <f t="shared" si="93"/>
        <v>4597.8</v>
      </c>
      <c r="AT441" s="189">
        <f t="shared" si="94"/>
        <v>9195.6</v>
      </c>
      <c r="AU441" s="50">
        <f t="shared" si="95"/>
        <v>10747.6</v>
      </c>
    </row>
    <row r="442" spans="36:47">
      <c r="AJ442" s="50">
        <v>2</v>
      </c>
      <c r="AK442" s="50">
        <v>1</v>
      </c>
      <c r="AL442" s="50">
        <v>0</v>
      </c>
      <c r="AM442" s="15">
        <f>Tabela21[[#This Row],[Att subs]]+Tabela21[[#This Row],[Crit D subs]]</f>
        <v>0.60000000000000009</v>
      </c>
      <c r="AN442" s="15">
        <v>0.2</v>
      </c>
      <c r="AO442" s="15">
        <v>0.4</v>
      </c>
      <c r="AP442" s="15">
        <v>1</v>
      </c>
      <c r="AQ442" s="189">
        <f t="shared" si="96"/>
        <v>5427.3</v>
      </c>
      <c r="AR442" s="189">
        <f t="shared" si="97"/>
        <v>5373.8</v>
      </c>
      <c r="AS442" s="189">
        <f t="shared" si="93"/>
        <v>4597.8</v>
      </c>
      <c r="AT442" s="189">
        <f t="shared" si="94"/>
        <v>9195.6</v>
      </c>
      <c r="AU442" s="50">
        <f t="shared" si="95"/>
        <v>10747.6</v>
      </c>
    </row>
    <row r="443" spans="36:47">
      <c r="AJ443" s="50">
        <v>2</v>
      </c>
      <c r="AK443" s="50">
        <v>0</v>
      </c>
      <c r="AL443" s="50">
        <v>1</v>
      </c>
      <c r="AM443" s="15">
        <f>Tabela21[[#This Row],[Att subs]]+Tabela21[[#This Row],[Crit D subs]]</f>
        <v>0.60000000000000009</v>
      </c>
      <c r="AN443" s="15">
        <v>0.2</v>
      </c>
      <c r="AO443" s="15">
        <v>0.4</v>
      </c>
      <c r="AP443" s="15">
        <v>0</v>
      </c>
      <c r="AQ443" s="189">
        <f t="shared" si="96"/>
        <v>3567.8199999999997</v>
      </c>
      <c r="AR443" s="189">
        <f t="shared" si="97"/>
        <v>3503.64</v>
      </c>
      <c r="AS443" s="189">
        <f t="shared" si="93"/>
        <v>3441.56</v>
      </c>
      <c r="AT443" s="189">
        <f t="shared" si="94"/>
        <v>6611.5199999999995</v>
      </c>
      <c r="AU443" s="50">
        <f t="shared" si="95"/>
        <v>6270.08</v>
      </c>
    </row>
    <row r="444" spans="36:47">
      <c r="AJ444" s="50">
        <v>2</v>
      </c>
      <c r="AK444" s="50">
        <v>0</v>
      </c>
      <c r="AL444" s="50">
        <v>1</v>
      </c>
      <c r="AM444" s="15">
        <f>Tabela21[[#This Row],[Att subs]]+Tabela21[[#This Row],[Crit D subs]]</f>
        <v>0.60000000000000009</v>
      </c>
      <c r="AN444" s="15">
        <v>0.2</v>
      </c>
      <c r="AO444" s="15">
        <v>0.4</v>
      </c>
      <c r="AP444" s="15">
        <v>0.1</v>
      </c>
      <c r="AQ444" s="189">
        <f t="shared" si="96"/>
        <v>3773.9199999999996</v>
      </c>
      <c r="AR444" s="189">
        <f t="shared" si="97"/>
        <v>3755.8399999999997</v>
      </c>
      <c r="AS444" s="189">
        <f t="shared" si="93"/>
        <v>3616.16</v>
      </c>
      <c r="AT444" s="189">
        <f t="shared" si="94"/>
        <v>7154.7199999999993</v>
      </c>
      <c r="AU444" s="50">
        <f t="shared" si="95"/>
        <v>6968.48</v>
      </c>
    </row>
    <row r="445" spans="36:47">
      <c r="AJ445" s="50">
        <v>2</v>
      </c>
      <c r="AK445" s="50">
        <v>0</v>
      </c>
      <c r="AL445" s="50">
        <v>1</v>
      </c>
      <c r="AM445" s="15">
        <f>Tabela21[[#This Row],[Att subs]]+Tabela21[[#This Row],[Crit D subs]]</f>
        <v>0.60000000000000009</v>
      </c>
      <c r="AN445" s="15">
        <v>0.2</v>
      </c>
      <c r="AO445" s="15">
        <v>0.4</v>
      </c>
      <c r="AP445" s="15">
        <v>0.2</v>
      </c>
      <c r="AQ445" s="189">
        <f t="shared" si="96"/>
        <v>3980.0199999999995</v>
      </c>
      <c r="AR445" s="189">
        <f t="shared" si="97"/>
        <v>4008.0399999999995</v>
      </c>
      <c r="AS445" s="189">
        <f t="shared" si="93"/>
        <v>3686</v>
      </c>
      <c r="AT445" s="189">
        <f t="shared" si="94"/>
        <v>7372</v>
      </c>
      <c r="AU445" s="50">
        <f t="shared" si="95"/>
        <v>7666.8799999999992</v>
      </c>
    </row>
    <row r="446" spans="36:47">
      <c r="AJ446" s="50">
        <v>2</v>
      </c>
      <c r="AK446" s="50">
        <v>0</v>
      </c>
      <c r="AL446" s="50">
        <v>1</v>
      </c>
      <c r="AM446" s="15">
        <f>Tabela21[[#This Row],[Att subs]]+Tabela21[[#This Row],[Crit D subs]]</f>
        <v>0.60000000000000009</v>
      </c>
      <c r="AN446" s="15">
        <v>0.2</v>
      </c>
      <c r="AO446" s="15">
        <v>0.4</v>
      </c>
      <c r="AP446" s="15">
        <v>0.3</v>
      </c>
      <c r="AQ446" s="189">
        <f t="shared" si="96"/>
        <v>4186.12</v>
      </c>
      <c r="AR446" s="189">
        <f t="shared" si="97"/>
        <v>4260.2400000000007</v>
      </c>
      <c r="AS446" s="189">
        <f t="shared" si="93"/>
        <v>3686</v>
      </c>
      <c r="AT446" s="189">
        <f t="shared" si="94"/>
        <v>7372</v>
      </c>
      <c r="AU446" s="50">
        <f t="shared" si="95"/>
        <v>8365.2800000000007</v>
      </c>
    </row>
    <row r="447" spans="36:47">
      <c r="AJ447" s="50">
        <v>2</v>
      </c>
      <c r="AK447" s="50">
        <v>0</v>
      </c>
      <c r="AL447" s="50">
        <v>1</v>
      </c>
      <c r="AM447" s="15">
        <f>Tabela21[[#This Row],[Att subs]]+Tabela21[[#This Row],[Crit D subs]]</f>
        <v>0.60000000000000009</v>
      </c>
      <c r="AN447" s="15">
        <v>0.2</v>
      </c>
      <c r="AO447" s="15">
        <v>0.4</v>
      </c>
      <c r="AP447" s="15">
        <v>0.4</v>
      </c>
      <c r="AQ447" s="189">
        <f t="shared" si="96"/>
        <v>4351</v>
      </c>
      <c r="AR447" s="189">
        <f t="shared" si="97"/>
        <v>4462</v>
      </c>
      <c r="AS447" s="189">
        <f t="shared" si="93"/>
        <v>3686</v>
      </c>
      <c r="AT447" s="189">
        <f t="shared" si="94"/>
        <v>7372</v>
      </c>
      <c r="AU447" s="50">
        <f t="shared" si="95"/>
        <v>8924</v>
      </c>
    </row>
    <row r="448" spans="36:47">
      <c r="AJ448" s="50">
        <v>2</v>
      </c>
      <c r="AK448" s="50">
        <v>0</v>
      </c>
      <c r="AL448" s="50">
        <v>1</v>
      </c>
      <c r="AM448" s="15">
        <f>Tabela21[[#This Row],[Att subs]]+Tabela21[[#This Row],[Crit D subs]]</f>
        <v>0.60000000000000009</v>
      </c>
      <c r="AN448" s="15">
        <v>0.2</v>
      </c>
      <c r="AO448" s="15">
        <v>0.4</v>
      </c>
      <c r="AP448" s="15">
        <v>0.5</v>
      </c>
      <c r="AQ448" s="189">
        <f t="shared" si="96"/>
        <v>4351</v>
      </c>
      <c r="AR448" s="189">
        <f t="shared" si="97"/>
        <v>4462</v>
      </c>
      <c r="AS448" s="189">
        <f t="shared" si="93"/>
        <v>3686</v>
      </c>
      <c r="AT448" s="189">
        <f t="shared" si="94"/>
        <v>7372</v>
      </c>
      <c r="AU448" s="50">
        <f t="shared" si="95"/>
        <v>8924</v>
      </c>
    </row>
    <row r="449" spans="36:47">
      <c r="AJ449" s="50">
        <v>2</v>
      </c>
      <c r="AK449" s="50">
        <v>0</v>
      </c>
      <c r="AL449" s="50">
        <v>1</v>
      </c>
      <c r="AM449" s="15">
        <f>Tabela21[[#This Row],[Att subs]]+Tabela21[[#This Row],[Crit D subs]]</f>
        <v>0.60000000000000009</v>
      </c>
      <c r="AN449" s="15">
        <v>0.2</v>
      </c>
      <c r="AO449" s="15">
        <v>0.4</v>
      </c>
      <c r="AP449" s="15">
        <v>0.6</v>
      </c>
      <c r="AQ449" s="189">
        <f t="shared" si="96"/>
        <v>4351</v>
      </c>
      <c r="AR449" s="189">
        <f t="shared" si="97"/>
        <v>4462</v>
      </c>
      <c r="AS449" s="189">
        <f t="shared" si="93"/>
        <v>3686</v>
      </c>
      <c r="AT449" s="189">
        <f t="shared" si="94"/>
        <v>7372</v>
      </c>
      <c r="AU449" s="50">
        <f t="shared" si="95"/>
        <v>8924</v>
      </c>
    </row>
    <row r="450" spans="36:47">
      <c r="AJ450" s="50">
        <v>2</v>
      </c>
      <c r="AK450" s="50">
        <v>0</v>
      </c>
      <c r="AL450" s="50">
        <v>1</v>
      </c>
      <c r="AM450" s="15">
        <f>Tabela21[[#This Row],[Att subs]]+Tabela21[[#This Row],[Crit D subs]]</f>
        <v>0.60000000000000009</v>
      </c>
      <c r="AN450" s="15">
        <v>0.2</v>
      </c>
      <c r="AO450" s="15">
        <v>0.4</v>
      </c>
      <c r="AP450" s="15">
        <v>0.7</v>
      </c>
      <c r="AQ450" s="189">
        <f t="shared" si="96"/>
        <v>4351</v>
      </c>
      <c r="AR450" s="189">
        <f t="shared" si="97"/>
        <v>4462</v>
      </c>
      <c r="AS450" s="189">
        <f t="shared" si="93"/>
        <v>3686</v>
      </c>
      <c r="AT450" s="189">
        <f t="shared" si="94"/>
        <v>7372</v>
      </c>
      <c r="AU450" s="50">
        <f t="shared" si="95"/>
        <v>8924</v>
      </c>
    </row>
    <row r="451" spans="36:47">
      <c r="AJ451" s="50">
        <v>2</v>
      </c>
      <c r="AK451" s="50">
        <v>0</v>
      </c>
      <c r="AL451" s="50">
        <v>1</v>
      </c>
      <c r="AM451" s="15">
        <f>Tabela21[[#This Row],[Att subs]]+Tabela21[[#This Row],[Crit D subs]]</f>
        <v>0.60000000000000009</v>
      </c>
      <c r="AN451" s="15">
        <v>0.2</v>
      </c>
      <c r="AO451" s="15">
        <v>0.4</v>
      </c>
      <c r="AP451" s="15">
        <v>0.8</v>
      </c>
      <c r="AQ451" s="189">
        <f t="shared" si="96"/>
        <v>4351</v>
      </c>
      <c r="AR451" s="189">
        <f t="shared" si="97"/>
        <v>4462</v>
      </c>
      <c r="AS451" s="189">
        <f t="shared" ref="AS451:AS514" si="98">$AG$3*(1+$AJ451*$Y$2+$AN451)*(MAXA(1-$AI$3-$AL451*$AA$3-$AP451-0.36,0)+MINA($AI$3+$AL451*$AA$3+$AP451+0.36,1)*(1+$AH$3+$AO451+$AK451*$Z$4))</f>
        <v>3686</v>
      </c>
      <c r="AT451" s="189">
        <f t="shared" ref="AT451:AT514" si="99">$AG$3*(1+$AJ451*$Y$2+$AN451)*(MAXA(1-$AI$3-$AL451*$AA$3-$AP451-0.36,0)+2*MINA($AI$3+$AL451*$AA$3+$AP451+0.36,1)*(1+$AH$3+$AO451+$AK451*$Z$4))</f>
        <v>7372</v>
      </c>
      <c r="AU451" s="50">
        <f t="shared" ref="AU451:AU514" si="100">$AG$3*(1+$AJ451*$Y$2+$AN451)*(MAXA(1-$AI$3-$AL451*$AA$3-$AP451-0.12,0)+2*MINA($AI$3+$AL451*$AA$3+$AP451+0.12,1)*(1+$AH$3+$AO451+$AK451*$Z$4+0.4))</f>
        <v>8924</v>
      </c>
    </row>
    <row r="452" spans="36:47">
      <c r="AJ452" s="50">
        <v>2</v>
      </c>
      <c r="AK452" s="50">
        <v>0</v>
      </c>
      <c r="AL452" s="50">
        <v>1</v>
      </c>
      <c r="AM452" s="15">
        <f>Tabela21[[#This Row],[Att subs]]+Tabela21[[#This Row],[Crit D subs]]</f>
        <v>0.60000000000000009</v>
      </c>
      <c r="AN452" s="15">
        <v>0.2</v>
      </c>
      <c r="AO452" s="15">
        <v>0.4</v>
      </c>
      <c r="AP452" s="15">
        <v>0.9</v>
      </c>
      <c r="AQ452" s="189">
        <f t="shared" ref="AQ452:AQ515" si="101">$AG$3*(1+$AJ452*$Y$2+$AN452+0.35)*(MAXA(1-$AI$3-$AL452*$AA$3-$AP452-0.12,0)+MINA($AI$3+$AL452*$AA$3+$AP452+0.12,1)*(1+$AH$3+$AO452+$AK452*$Z$4))</f>
        <v>4351</v>
      </c>
      <c r="AR452" s="189">
        <f t="shared" ref="AR452:AR515" si="102">$AG$3*(1+$AJ452*$Y$2+$AN452)*(MAXA(1-$AI$3-$AL452*$AA$3-$AP452-0.12,0)+MINA($AI$3+$AL452*$AA$3+$AP452+0.12,1)*(1+$AH$3+$AO452+$AK452*$Z$4+0.4))</f>
        <v>4462</v>
      </c>
      <c r="AS452" s="189">
        <f t="shared" si="98"/>
        <v>3686</v>
      </c>
      <c r="AT452" s="189">
        <f t="shared" si="99"/>
        <v>7372</v>
      </c>
      <c r="AU452" s="50">
        <f t="shared" si="100"/>
        <v>8924</v>
      </c>
    </row>
    <row r="453" spans="36:47">
      <c r="AJ453" s="50">
        <v>2</v>
      </c>
      <c r="AK453" s="50">
        <v>0</v>
      </c>
      <c r="AL453" s="50">
        <v>1</v>
      </c>
      <c r="AM453" s="15">
        <f>Tabela21[[#This Row],[Att subs]]+Tabela21[[#This Row],[Crit D subs]]</f>
        <v>0.60000000000000009</v>
      </c>
      <c r="AN453" s="15">
        <v>0.2</v>
      </c>
      <c r="AO453" s="15">
        <v>0.4</v>
      </c>
      <c r="AP453" s="15">
        <v>1</v>
      </c>
      <c r="AQ453" s="189">
        <f t="shared" si="101"/>
        <v>4351</v>
      </c>
      <c r="AR453" s="189">
        <f t="shared" si="102"/>
        <v>4462</v>
      </c>
      <c r="AS453" s="189">
        <f t="shared" si="98"/>
        <v>3686</v>
      </c>
      <c r="AT453" s="189">
        <f t="shared" si="99"/>
        <v>7372</v>
      </c>
      <c r="AU453" s="50">
        <f t="shared" si="100"/>
        <v>8924</v>
      </c>
    </row>
    <row r="454" spans="36:47">
      <c r="AJ454" s="50">
        <v>3</v>
      </c>
      <c r="AK454" s="50">
        <v>0</v>
      </c>
      <c r="AL454" s="50">
        <v>0</v>
      </c>
      <c r="AM454" s="15">
        <f>Tabela21[[#This Row],[Att subs]]+Tabela21[[#This Row],[Crit D subs]]</f>
        <v>0.60000000000000009</v>
      </c>
      <c r="AN454" s="15">
        <v>0.2</v>
      </c>
      <c r="AO454" s="15">
        <v>0.4</v>
      </c>
      <c r="AP454" s="15">
        <v>0</v>
      </c>
      <c r="AQ454" s="189">
        <f t="shared" si="101"/>
        <v>3306.3799999999997</v>
      </c>
      <c r="AR454" s="189">
        <f t="shared" si="102"/>
        <v>3120.81</v>
      </c>
      <c r="AS454" s="189">
        <f t="shared" si="98"/>
        <v>3370.29</v>
      </c>
      <c r="AT454" s="189">
        <f t="shared" si="99"/>
        <v>5608.68</v>
      </c>
      <c r="AU454" s="50">
        <f t="shared" si="100"/>
        <v>4555.32</v>
      </c>
    </row>
    <row r="455" spans="36:47">
      <c r="AJ455" s="50">
        <v>3</v>
      </c>
      <c r="AK455" s="50">
        <v>0</v>
      </c>
      <c r="AL455" s="50">
        <v>0</v>
      </c>
      <c r="AM455" s="15">
        <f>Tabela21[[#This Row],[Att subs]]+Tabela21[[#This Row],[Crit D subs]]</f>
        <v>0.60000000000000009</v>
      </c>
      <c r="AN455" s="15">
        <v>0.2</v>
      </c>
      <c r="AO455" s="15">
        <v>0.4</v>
      </c>
      <c r="AP455" s="15">
        <v>0.1</v>
      </c>
      <c r="AQ455" s="189">
        <f t="shared" si="101"/>
        <v>3545.7799999999997</v>
      </c>
      <c r="AR455" s="189">
        <f t="shared" si="102"/>
        <v>3421.1099999999997</v>
      </c>
      <c r="AS455" s="189">
        <f t="shared" si="98"/>
        <v>3578.19</v>
      </c>
      <c r="AT455" s="189">
        <f t="shared" si="99"/>
        <v>6255.4800000000005</v>
      </c>
      <c r="AU455" s="50">
        <f t="shared" si="100"/>
        <v>5386.92</v>
      </c>
    </row>
    <row r="456" spans="36:47">
      <c r="AJ456" s="50">
        <v>3</v>
      </c>
      <c r="AK456" s="50">
        <v>0</v>
      </c>
      <c r="AL456" s="50">
        <v>0</v>
      </c>
      <c r="AM456" s="15">
        <f>Tabela21[[#This Row],[Att subs]]+Tabela21[[#This Row],[Crit D subs]]</f>
        <v>0.60000000000000009</v>
      </c>
      <c r="AN456" s="15">
        <v>0.2</v>
      </c>
      <c r="AO456" s="15">
        <v>0.4</v>
      </c>
      <c r="AP456" s="15">
        <v>0.2</v>
      </c>
      <c r="AQ456" s="189">
        <f t="shared" si="101"/>
        <v>3785.1799999999994</v>
      </c>
      <c r="AR456" s="189">
        <f t="shared" si="102"/>
        <v>3721.4099999999994</v>
      </c>
      <c r="AS456" s="189">
        <f t="shared" si="98"/>
        <v>3786.0899999999997</v>
      </c>
      <c r="AT456" s="189">
        <f t="shared" si="99"/>
        <v>6902.28</v>
      </c>
      <c r="AU456" s="50">
        <f t="shared" si="100"/>
        <v>6218.5199999999995</v>
      </c>
    </row>
    <row r="457" spans="36:47">
      <c r="AJ457" s="50">
        <v>3</v>
      </c>
      <c r="AK457" s="50">
        <v>0</v>
      </c>
      <c r="AL457" s="50">
        <v>0</v>
      </c>
      <c r="AM457" s="15">
        <f>Tabela21[[#This Row],[Att subs]]+Tabela21[[#This Row],[Crit D subs]]</f>
        <v>0.60000000000000009</v>
      </c>
      <c r="AN457" s="15">
        <v>0.2</v>
      </c>
      <c r="AO457" s="15">
        <v>0.4</v>
      </c>
      <c r="AP457" s="15">
        <v>0.3</v>
      </c>
      <c r="AQ457" s="189">
        <f t="shared" si="101"/>
        <v>4024.58</v>
      </c>
      <c r="AR457" s="189">
        <f t="shared" si="102"/>
        <v>4021.7099999999991</v>
      </c>
      <c r="AS457" s="189">
        <f t="shared" si="98"/>
        <v>3993.9900000000002</v>
      </c>
      <c r="AT457" s="189">
        <f t="shared" si="99"/>
        <v>7549.08</v>
      </c>
      <c r="AU457" s="50">
        <f t="shared" si="100"/>
        <v>7050.119999999999</v>
      </c>
    </row>
    <row r="458" spans="36:47">
      <c r="AJ458" s="50">
        <v>3</v>
      </c>
      <c r="AK458" s="50">
        <v>0</v>
      </c>
      <c r="AL458" s="50">
        <v>0</v>
      </c>
      <c r="AM458" s="15">
        <f>Tabela21[[#This Row],[Att subs]]+Tabela21[[#This Row],[Crit D subs]]</f>
        <v>0.60000000000000009</v>
      </c>
      <c r="AN458" s="15">
        <v>0.2</v>
      </c>
      <c r="AO458" s="15">
        <v>0.4</v>
      </c>
      <c r="AP458" s="15">
        <v>0.4</v>
      </c>
      <c r="AQ458" s="189">
        <f t="shared" si="101"/>
        <v>4263.9799999999996</v>
      </c>
      <c r="AR458" s="189">
        <f t="shared" si="102"/>
        <v>4322.01</v>
      </c>
      <c r="AS458" s="189">
        <f t="shared" si="98"/>
        <v>4201.8900000000003</v>
      </c>
      <c r="AT458" s="189">
        <f t="shared" si="99"/>
        <v>8195.8799999999992</v>
      </c>
      <c r="AU458" s="50">
        <f t="shared" si="100"/>
        <v>7881.72</v>
      </c>
    </row>
    <row r="459" spans="36:47">
      <c r="AJ459" s="50">
        <v>3</v>
      </c>
      <c r="AK459" s="50">
        <v>0</v>
      </c>
      <c r="AL459" s="50">
        <v>0</v>
      </c>
      <c r="AM459" s="15">
        <f>Tabela21[[#This Row],[Att subs]]+Tabela21[[#This Row],[Crit D subs]]</f>
        <v>0.60000000000000009</v>
      </c>
      <c r="AN459" s="15">
        <v>0.2</v>
      </c>
      <c r="AO459" s="15">
        <v>0.4</v>
      </c>
      <c r="AP459" s="15">
        <v>0.5</v>
      </c>
      <c r="AQ459" s="189">
        <f t="shared" si="101"/>
        <v>4503.3799999999992</v>
      </c>
      <c r="AR459" s="189">
        <f t="shared" si="102"/>
        <v>4622.3099999999995</v>
      </c>
      <c r="AS459" s="189">
        <f t="shared" si="98"/>
        <v>4389</v>
      </c>
      <c r="AT459" s="189">
        <f t="shared" si="99"/>
        <v>8778</v>
      </c>
      <c r="AU459" s="50">
        <f t="shared" si="100"/>
        <v>8713.32</v>
      </c>
    </row>
    <row r="460" spans="36:47">
      <c r="AJ460" s="50">
        <v>3</v>
      </c>
      <c r="AK460" s="50">
        <v>0</v>
      </c>
      <c r="AL460" s="50">
        <v>0</v>
      </c>
      <c r="AM460" s="15">
        <f>Tabela21[[#This Row],[Att subs]]+Tabela21[[#This Row],[Crit D subs]]</f>
        <v>0.60000000000000009</v>
      </c>
      <c r="AN460" s="15">
        <v>0.2</v>
      </c>
      <c r="AO460" s="15">
        <v>0.4</v>
      </c>
      <c r="AP460" s="15">
        <v>0.6</v>
      </c>
      <c r="AQ460" s="189">
        <f t="shared" si="101"/>
        <v>4742.78</v>
      </c>
      <c r="AR460" s="189">
        <f t="shared" si="102"/>
        <v>4922.6099999999997</v>
      </c>
      <c r="AS460" s="189">
        <f t="shared" si="98"/>
        <v>4389</v>
      </c>
      <c r="AT460" s="189">
        <f t="shared" si="99"/>
        <v>8778</v>
      </c>
      <c r="AU460" s="50">
        <f t="shared" si="100"/>
        <v>9544.92</v>
      </c>
    </row>
    <row r="461" spans="36:47">
      <c r="AJ461" s="50">
        <v>3</v>
      </c>
      <c r="AK461" s="50">
        <v>0</v>
      </c>
      <c r="AL461" s="50">
        <v>0</v>
      </c>
      <c r="AM461" s="15">
        <f>Tabela21[[#This Row],[Att subs]]+Tabela21[[#This Row],[Crit D subs]]</f>
        <v>0.60000000000000009</v>
      </c>
      <c r="AN461" s="15">
        <v>0.2</v>
      </c>
      <c r="AO461" s="15">
        <v>0.4</v>
      </c>
      <c r="AP461" s="15">
        <v>0.7</v>
      </c>
      <c r="AQ461" s="189">
        <f t="shared" si="101"/>
        <v>4982.18</v>
      </c>
      <c r="AR461" s="189">
        <f t="shared" si="102"/>
        <v>5222.91</v>
      </c>
      <c r="AS461" s="189">
        <f t="shared" si="98"/>
        <v>4389</v>
      </c>
      <c r="AT461" s="189">
        <f t="shared" si="99"/>
        <v>8778</v>
      </c>
      <c r="AU461" s="50">
        <f t="shared" si="100"/>
        <v>10376.52</v>
      </c>
    </row>
    <row r="462" spans="36:47">
      <c r="AJ462" s="50">
        <v>3</v>
      </c>
      <c r="AK462" s="50">
        <v>0</v>
      </c>
      <c r="AL462" s="50">
        <v>0</v>
      </c>
      <c r="AM462" s="15">
        <f>Tabela21[[#This Row],[Att subs]]+Tabela21[[#This Row],[Crit D subs]]</f>
        <v>0.60000000000000009</v>
      </c>
      <c r="AN462" s="15">
        <v>0.2</v>
      </c>
      <c r="AO462" s="15">
        <v>0.4</v>
      </c>
      <c r="AP462" s="15">
        <v>0.8</v>
      </c>
      <c r="AQ462" s="189">
        <f t="shared" si="101"/>
        <v>5054</v>
      </c>
      <c r="AR462" s="189">
        <f t="shared" si="102"/>
        <v>5313</v>
      </c>
      <c r="AS462" s="189">
        <f t="shared" si="98"/>
        <v>4389</v>
      </c>
      <c r="AT462" s="189">
        <f t="shared" si="99"/>
        <v>8778</v>
      </c>
      <c r="AU462" s="50">
        <f t="shared" si="100"/>
        <v>10626</v>
      </c>
    </row>
    <row r="463" spans="36:47">
      <c r="AJ463" s="50">
        <v>3</v>
      </c>
      <c r="AK463" s="50">
        <v>0</v>
      </c>
      <c r="AL463" s="50">
        <v>0</v>
      </c>
      <c r="AM463" s="15">
        <f>Tabela21[[#This Row],[Att subs]]+Tabela21[[#This Row],[Crit D subs]]</f>
        <v>0.60000000000000009</v>
      </c>
      <c r="AN463" s="15">
        <v>0.2</v>
      </c>
      <c r="AO463" s="15">
        <v>0.4</v>
      </c>
      <c r="AP463" s="15">
        <v>0.9</v>
      </c>
      <c r="AQ463" s="189">
        <f t="shared" si="101"/>
        <v>5054</v>
      </c>
      <c r="AR463" s="189">
        <f t="shared" si="102"/>
        <v>5313</v>
      </c>
      <c r="AS463" s="189">
        <f t="shared" si="98"/>
        <v>4389</v>
      </c>
      <c r="AT463" s="189">
        <f t="shared" si="99"/>
        <v>8778</v>
      </c>
      <c r="AU463" s="50">
        <f t="shared" si="100"/>
        <v>10626</v>
      </c>
    </row>
    <row r="464" spans="36:47">
      <c r="AJ464" s="50">
        <v>3</v>
      </c>
      <c r="AK464" s="50">
        <v>0</v>
      </c>
      <c r="AL464" s="50">
        <v>0</v>
      </c>
      <c r="AM464" s="15">
        <f>Tabela21[[#This Row],[Att subs]]+Tabela21[[#This Row],[Crit D subs]]</f>
        <v>0.60000000000000009</v>
      </c>
      <c r="AN464" s="15">
        <v>0.2</v>
      </c>
      <c r="AO464" s="15">
        <v>0.4</v>
      </c>
      <c r="AP464" s="15">
        <v>1</v>
      </c>
      <c r="AQ464" s="189">
        <f t="shared" si="101"/>
        <v>5054</v>
      </c>
      <c r="AR464" s="189">
        <f t="shared" si="102"/>
        <v>5313</v>
      </c>
      <c r="AS464" s="189">
        <f t="shared" si="98"/>
        <v>4389</v>
      </c>
      <c r="AT464" s="189">
        <f t="shared" si="99"/>
        <v>8778</v>
      </c>
      <c r="AU464" s="50">
        <f t="shared" si="100"/>
        <v>10626</v>
      </c>
    </row>
    <row r="465" spans="36:47">
      <c r="AJ465" s="50">
        <v>2</v>
      </c>
      <c r="AK465" s="50">
        <v>1</v>
      </c>
      <c r="AL465" s="50">
        <v>0</v>
      </c>
      <c r="AM465" s="15">
        <f>Tabela21[[#This Row],[Att subs]]+Tabela21[[#This Row],[Crit D subs]]</f>
        <v>0.8</v>
      </c>
      <c r="AN465" s="15">
        <v>0.4</v>
      </c>
      <c r="AO465" s="15">
        <v>0.4</v>
      </c>
      <c r="AP465" s="15">
        <v>0</v>
      </c>
      <c r="AQ465" s="189">
        <f t="shared" si="101"/>
        <v>3411.0509999999999</v>
      </c>
      <c r="AR465" s="189">
        <f t="shared" si="102"/>
        <v>3162.7060000000001</v>
      </c>
      <c r="AS465" s="189">
        <f t="shared" si="98"/>
        <v>3635.2180000000003</v>
      </c>
      <c r="AT465" s="189">
        <f t="shared" si="99"/>
        <v>6221.8360000000002</v>
      </c>
      <c r="AU465" s="50">
        <f t="shared" si="100"/>
        <v>4763.2120000000004</v>
      </c>
    </row>
    <row r="466" spans="36:47">
      <c r="AJ466" s="50">
        <v>2</v>
      </c>
      <c r="AK466" s="50">
        <v>1</v>
      </c>
      <c r="AL466" s="50">
        <v>0</v>
      </c>
      <c r="AM466" s="15">
        <f>Tabela21[[#This Row],[Att subs]]+Tabela21[[#This Row],[Crit D subs]]</f>
        <v>0.8</v>
      </c>
      <c r="AN466" s="15">
        <v>0.4</v>
      </c>
      <c r="AO466" s="15">
        <v>0.4</v>
      </c>
      <c r="AP466" s="15">
        <v>0.1</v>
      </c>
      <c r="AQ466" s="189">
        <f t="shared" si="101"/>
        <v>3752.1809999999996</v>
      </c>
      <c r="AR466" s="189">
        <f t="shared" si="102"/>
        <v>3541.4859999999999</v>
      </c>
      <c r="AS466" s="189">
        <f t="shared" si="98"/>
        <v>3928.3980000000001</v>
      </c>
      <c r="AT466" s="189">
        <f t="shared" si="99"/>
        <v>7022.1959999999999</v>
      </c>
      <c r="AU466" s="50">
        <f t="shared" si="100"/>
        <v>5734.771999999999</v>
      </c>
    </row>
    <row r="467" spans="36:47">
      <c r="AJ467" s="50">
        <v>2</v>
      </c>
      <c r="AK467" s="50">
        <v>1</v>
      </c>
      <c r="AL467" s="50">
        <v>0</v>
      </c>
      <c r="AM467" s="15">
        <f>Tabela21[[#This Row],[Att subs]]+Tabela21[[#This Row],[Crit D subs]]</f>
        <v>0.8</v>
      </c>
      <c r="AN467" s="15">
        <v>0.4</v>
      </c>
      <c r="AO467" s="15">
        <v>0.4</v>
      </c>
      <c r="AP467" s="15">
        <v>0.2</v>
      </c>
      <c r="AQ467" s="189">
        <f t="shared" si="101"/>
        <v>4093.3109999999997</v>
      </c>
      <c r="AR467" s="189">
        <f t="shared" si="102"/>
        <v>3920.2659999999992</v>
      </c>
      <c r="AS467" s="189">
        <f t="shared" si="98"/>
        <v>4221.5780000000004</v>
      </c>
      <c r="AT467" s="189">
        <f t="shared" si="99"/>
        <v>7822.5560000000005</v>
      </c>
      <c r="AU467" s="50">
        <f t="shared" si="100"/>
        <v>6706.3319999999985</v>
      </c>
    </row>
    <row r="468" spans="36:47">
      <c r="AJ468" s="50">
        <v>2</v>
      </c>
      <c r="AK468" s="50">
        <v>1</v>
      </c>
      <c r="AL468" s="50">
        <v>0</v>
      </c>
      <c r="AM468" s="15">
        <f>Tabela21[[#This Row],[Att subs]]+Tabela21[[#This Row],[Crit D subs]]</f>
        <v>0.8</v>
      </c>
      <c r="AN468" s="15">
        <v>0.4</v>
      </c>
      <c r="AO468" s="15">
        <v>0.4</v>
      </c>
      <c r="AP468" s="15">
        <v>0.3</v>
      </c>
      <c r="AQ468" s="189">
        <f t="shared" si="101"/>
        <v>4434.4409999999998</v>
      </c>
      <c r="AR468" s="189">
        <f t="shared" si="102"/>
        <v>4299.0460000000003</v>
      </c>
      <c r="AS468" s="189">
        <f t="shared" si="98"/>
        <v>4514.7580000000007</v>
      </c>
      <c r="AT468" s="189">
        <f t="shared" si="99"/>
        <v>8622.9159999999993</v>
      </c>
      <c r="AU468" s="50">
        <f t="shared" si="100"/>
        <v>7677.8919999999998</v>
      </c>
    </row>
    <row r="469" spans="36:47">
      <c r="AJ469" s="50">
        <v>2</v>
      </c>
      <c r="AK469" s="50">
        <v>1</v>
      </c>
      <c r="AL469" s="50">
        <v>0</v>
      </c>
      <c r="AM469" s="15">
        <f>Tabela21[[#This Row],[Att subs]]+Tabela21[[#This Row],[Crit D subs]]</f>
        <v>0.8</v>
      </c>
      <c r="AN469" s="15">
        <v>0.4</v>
      </c>
      <c r="AO469" s="15">
        <v>0.4</v>
      </c>
      <c r="AP469" s="15">
        <v>0.4</v>
      </c>
      <c r="AQ469" s="189">
        <f t="shared" si="101"/>
        <v>4775.5709999999999</v>
      </c>
      <c r="AR469" s="189">
        <f t="shared" si="102"/>
        <v>4677.826</v>
      </c>
      <c r="AS469" s="189">
        <f t="shared" si="98"/>
        <v>4807.9380000000001</v>
      </c>
      <c r="AT469" s="189">
        <f t="shared" si="99"/>
        <v>9423.2760000000017</v>
      </c>
      <c r="AU469" s="50">
        <f t="shared" si="100"/>
        <v>8649.4520000000011</v>
      </c>
    </row>
    <row r="470" spans="36:47">
      <c r="AJ470" s="50">
        <v>2</v>
      </c>
      <c r="AK470" s="50">
        <v>1</v>
      </c>
      <c r="AL470" s="50">
        <v>0</v>
      </c>
      <c r="AM470" s="15">
        <f>Tabela21[[#This Row],[Att subs]]+Tabela21[[#This Row],[Crit D subs]]</f>
        <v>0.8</v>
      </c>
      <c r="AN470" s="15">
        <v>0.4</v>
      </c>
      <c r="AO470" s="15">
        <v>0.4</v>
      </c>
      <c r="AP470" s="15">
        <v>0.5</v>
      </c>
      <c r="AQ470" s="189">
        <f t="shared" si="101"/>
        <v>5116.701</v>
      </c>
      <c r="AR470" s="189">
        <f t="shared" si="102"/>
        <v>5056.6060000000007</v>
      </c>
      <c r="AS470" s="189">
        <f t="shared" si="98"/>
        <v>5071.8</v>
      </c>
      <c r="AT470" s="189">
        <f t="shared" si="99"/>
        <v>10143.6</v>
      </c>
      <c r="AU470" s="50">
        <f t="shared" si="100"/>
        <v>9621.0120000000024</v>
      </c>
    </row>
    <row r="471" spans="36:47">
      <c r="AJ471" s="50">
        <v>2</v>
      </c>
      <c r="AK471" s="50">
        <v>1</v>
      </c>
      <c r="AL471" s="50">
        <v>0</v>
      </c>
      <c r="AM471" s="15">
        <f>Tabela21[[#This Row],[Att subs]]+Tabela21[[#This Row],[Crit D subs]]</f>
        <v>0.8</v>
      </c>
      <c r="AN471" s="15">
        <v>0.4</v>
      </c>
      <c r="AO471" s="15">
        <v>0.4</v>
      </c>
      <c r="AP471" s="15">
        <v>0.6</v>
      </c>
      <c r="AQ471" s="189">
        <f t="shared" si="101"/>
        <v>5457.8310000000001</v>
      </c>
      <c r="AR471" s="189">
        <f t="shared" si="102"/>
        <v>5435.3859999999995</v>
      </c>
      <c r="AS471" s="189">
        <f t="shared" si="98"/>
        <v>5071.8</v>
      </c>
      <c r="AT471" s="189">
        <f t="shared" si="99"/>
        <v>10143.6</v>
      </c>
      <c r="AU471" s="50">
        <f t="shared" si="100"/>
        <v>10592.572</v>
      </c>
    </row>
    <row r="472" spans="36:47">
      <c r="AJ472" s="50">
        <v>2</v>
      </c>
      <c r="AK472" s="50">
        <v>1</v>
      </c>
      <c r="AL472" s="50">
        <v>0</v>
      </c>
      <c r="AM472" s="15">
        <f>Tabela21[[#This Row],[Att subs]]+Tabela21[[#This Row],[Crit D subs]]</f>
        <v>0.8</v>
      </c>
      <c r="AN472" s="15">
        <v>0.4</v>
      </c>
      <c r="AO472" s="15">
        <v>0.4</v>
      </c>
      <c r="AP472" s="15">
        <v>0.7</v>
      </c>
      <c r="AQ472" s="189">
        <f t="shared" si="101"/>
        <v>5798.9610000000002</v>
      </c>
      <c r="AR472" s="189">
        <f t="shared" si="102"/>
        <v>5814.1660000000002</v>
      </c>
      <c r="AS472" s="189">
        <f t="shared" si="98"/>
        <v>5071.8</v>
      </c>
      <c r="AT472" s="189">
        <f t="shared" si="99"/>
        <v>10143.6</v>
      </c>
      <c r="AU472" s="50">
        <f t="shared" si="100"/>
        <v>11564.132000000001</v>
      </c>
    </row>
    <row r="473" spans="36:47">
      <c r="AJ473" s="50">
        <v>2</v>
      </c>
      <c r="AK473" s="50">
        <v>1</v>
      </c>
      <c r="AL473" s="50">
        <v>0</v>
      </c>
      <c r="AM473" s="15">
        <f>Tabela21[[#This Row],[Att subs]]+Tabela21[[#This Row],[Crit D subs]]</f>
        <v>0.8</v>
      </c>
      <c r="AN473" s="15">
        <v>0.4</v>
      </c>
      <c r="AO473" s="15">
        <v>0.4</v>
      </c>
      <c r="AP473" s="15">
        <v>0.8</v>
      </c>
      <c r="AQ473" s="189">
        <f t="shared" si="101"/>
        <v>5901.3</v>
      </c>
      <c r="AR473" s="189">
        <f t="shared" si="102"/>
        <v>5927.8</v>
      </c>
      <c r="AS473" s="189">
        <f t="shared" si="98"/>
        <v>5071.8</v>
      </c>
      <c r="AT473" s="189">
        <f t="shared" si="99"/>
        <v>10143.6</v>
      </c>
      <c r="AU473" s="50">
        <f t="shared" si="100"/>
        <v>11855.6</v>
      </c>
    </row>
    <row r="474" spans="36:47">
      <c r="AJ474" s="50">
        <v>2</v>
      </c>
      <c r="AK474" s="50">
        <v>1</v>
      </c>
      <c r="AL474" s="50">
        <v>0</v>
      </c>
      <c r="AM474" s="15">
        <f>Tabela21[[#This Row],[Att subs]]+Tabela21[[#This Row],[Crit D subs]]</f>
        <v>0.8</v>
      </c>
      <c r="AN474" s="15">
        <v>0.4</v>
      </c>
      <c r="AO474" s="15">
        <v>0.4</v>
      </c>
      <c r="AP474" s="15">
        <v>0.9</v>
      </c>
      <c r="AQ474" s="189">
        <f t="shared" si="101"/>
        <v>5901.3</v>
      </c>
      <c r="AR474" s="189">
        <f t="shared" si="102"/>
        <v>5927.8</v>
      </c>
      <c r="AS474" s="189">
        <f t="shared" si="98"/>
        <v>5071.8</v>
      </c>
      <c r="AT474" s="189">
        <f t="shared" si="99"/>
        <v>10143.6</v>
      </c>
      <c r="AU474" s="50">
        <f t="shared" si="100"/>
        <v>11855.6</v>
      </c>
    </row>
    <row r="475" spans="36:47">
      <c r="AJ475" s="50">
        <v>2</v>
      </c>
      <c r="AK475" s="50">
        <v>1</v>
      </c>
      <c r="AL475" s="50">
        <v>0</v>
      </c>
      <c r="AM475" s="15">
        <f>Tabela21[[#This Row],[Att subs]]+Tabela21[[#This Row],[Crit D subs]]</f>
        <v>0.8</v>
      </c>
      <c r="AN475" s="15">
        <v>0.4</v>
      </c>
      <c r="AO475" s="15">
        <v>0.4</v>
      </c>
      <c r="AP475" s="15">
        <v>1</v>
      </c>
      <c r="AQ475" s="189">
        <f t="shared" si="101"/>
        <v>5901.3</v>
      </c>
      <c r="AR475" s="189">
        <f t="shared" si="102"/>
        <v>5927.8</v>
      </c>
      <c r="AS475" s="189">
        <f t="shared" si="98"/>
        <v>5071.8</v>
      </c>
      <c r="AT475" s="189">
        <f t="shared" si="99"/>
        <v>10143.6</v>
      </c>
      <c r="AU475" s="50">
        <f t="shared" si="100"/>
        <v>11855.6</v>
      </c>
    </row>
    <row r="476" spans="36:47">
      <c r="AJ476" s="50">
        <v>2</v>
      </c>
      <c r="AK476" s="50">
        <v>0</v>
      </c>
      <c r="AL476" s="50">
        <v>1</v>
      </c>
      <c r="AM476" s="15">
        <f>Tabela21[[#This Row],[Att subs]]+Tabela21[[#This Row],[Crit D subs]]</f>
        <v>0.8</v>
      </c>
      <c r="AN476" s="15">
        <v>0.4</v>
      </c>
      <c r="AO476" s="15">
        <v>0.4</v>
      </c>
      <c r="AP476" s="15">
        <v>0</v>
      </c>
      <c r="AQ476" s="189">
        <f t="shared" si="101"/>
        <v>3879.4199999999996</v>
      </c>
      <c r="AR476" s="189">
        <f t="shared" si="102"/>
        <v>3864.84</v>
      </c>
      <c r="AS476" s="189">
        <f t="shared" si="98"/>
        <v>3796.36</v>
      </c>
      <c r="AT476" s="189">
        <f t="shared" si="99"/>
        <v>7293.12</v>
      </c>
      <c r="AU476" s="50">
        <f t="shared" si="100"/>
        <v>6916.48</v>
      </c>
    </row>
    <row r="477" spans="36:47">
      <c r="AJ477" s="50">
        <v>2</v>
      </c>
      <c r="AK477" s="50">
        <v>0</v>
      </c>
      <c r="AL477" s="50">
        <v>1</v>
      </c>
      <c r="AM477" s="15">
        <f>Tabela21[[#This Row],[Att subs]]+Tabela21[[#This Row],[Crit D subs]]</f>
        <v>0.8</v>
      </c>
      <c r="AN477" s="15">
        <v>0.4</v>
      </c>
      <c r="AO477" s="15">
        <v>0.4</v>
      </c>
      <c r="AP477" s="15">
        <v>0.1</v>
      </c>
      <c r="AQ477" s="189">
        <f t="shared" si="101"/>
        <v>4103.5199999999995</v>
      </c>
      <c r="AR477" s="189">
        <f t="shared" si="102"/>
        <v>4143.04</v>
      </c>
      <c r="AS477" s="189">
        <f t="shared" si="98"/>
        <v>3988.9599999999996</v>
      </c>
      <c r="AT477" s="189">
        <f t="shared" si="99"/>
        <v>7892.32</v>
      </c>
      <c r="AU477" s="50">
        <f t="shared" si="100"/>
        <v>7686.8799999999992</v>
      </c>
    </row>
    <row r="478" spans="36:47">
      <c r="AJ478" s="50">
        <v>2</v>
      </c>
      <c r="AK478" s="50">
        <v>0</v>
      </c>
      <c r="AL478" s="50">
        <v>1</v>
      </c>
      <c r="AM478" s="15">
        <f>Tabela21[[#This Row],[Att subs]]+Tabela21[[#This Row],[Crit D subs]]</f>
        <v>0.8</v>
      </c>
      <c r="AN478" s="15">
        <v>0.4</v>
      </c>
      <c r="AO478" s="15">
        <v>0.4</v>
      </c>
      <c r="AP478" s="15">
        <v>0.2</v>
      </c>
      <c r="AQ478" s="189">
        <f t="shared" si="101"/>
        <v>4327.619999999999</v>
      </c>
      <c r="AR478" s="189">
        <f t="shared" si="102"/>
        <v>4421.24</v>
      </c>
      <c r="AS478" s="189">
        <f t="shared" si="98"/>
        <v>4066</v>
      </c>
      <c r="AT478" s="189">
        <f t="shared" si="99"/>
        <v>8132</v>
      </c>
      <c r="AU478" s="50">
        <f t="shared" si="100"/>
        <v>8457.2799999999988</v>
      </c>
    </row>
    <row r="479" spans="36:47">
      <c r="AJ479" s="50">
        <v>2</v>
      </c>
      <c r="AK479" s="50">
        <v>0</v>
      </c>
      <c r="AL479" s="50">
        <v>1</v>
      </c>
      <c r="AM479" s="15">
        <f>Tabela21[[#This Row],[Att subs]]+Tabela21[[#This Row],[Crit D subs]]</f>
        <v>0.8</v>
      </c>
      <c r="AN479" s="15">
        <v>0.4</v>
      </c>
      <c r="AO479" s="15">
        <v>0.4</v>
      </c>
      <c r="AP479" s="15">
        <v>0.3</v>
      </c>
      <c r="AQ479" s="189">
        <f t="shared" si="101"/>
        <v>4551.72</v>
      </c>
      <c r="AR479" s="189">
        <f t="shared" si="102"/>
        <v>4699.4400000000005</v>
      </c>
      <c r="AS479" s="189">
        <f t="shared" si="98"/>
        <v>4066</v>
      </c>
      <c r="AT479" s="189">
        <f t="shared" si="99"/>
        <v>8132</v>
      </c>
      <c r="AU479" s="50">
        <f t="shared" si="100"/>
        <v>9227.68</v>
      </c>
    </row>
    <row r="480" spans="36:47">
      <c r="AJ480" s="50">
        <v>2</v>
      </c>
      <c r="AK480" s="50">
        <v>0</v>
      </c>
      <c r="AL480" s="50">
        <v>1</v>
      </c>
      <c r="AM480" s="15">
        <f>Tabela21[[#This Row],[Att subs]]+Tabela21[[#This Row],[Crit D subs]]</f>
        <v>0.8</v>
      </c>
      <c r="AN480" s="15">
        <v>0.4</v>
      </c>
      <c r="AO480" s="15">
        <v>0.4</v>
      </c>
      <c r="AP480" s="15">
        <v>0.4</v>
      </c>
      <c r="AQ480" s="189">
        <f t="shared" si="101"/>
        <v>4731</v>
      </c>
      <c r="AR480" s="189">
        <f t="shared" si="102"/>
        <v>4922</v>
      </c>
      <c r="AS480" s="189">
        <f t="shared" si="98"/>
        <v>4066</v>
      </c>
      <c r="AT480" s="189">
        <f t="shared" si="99"/>
        <v>8132</v>
      </c>
      <c r="AU480" s="50">
        <f t="shared" si="100"/>
        <v>9844</v>
      </c>
    </row>
    <row r="481" spans="36:47">
      <c r="AJ481" s="50">
        <v>2</v>
      </c>
      <c r="AK481" s="50">
        <v>0</v>
      </c>
      <c r="AL481" s="50">
        <v>1</v>
      </c>
      <c r="AM481" s="15">
        <f>Tabela21[[#This Row],[Att subs]]+Tabela21[[#This Row],[Crit D subs]]</f>
        <v>0.8</v>
      </c>
      <c r="AN481" s="15">
        <v>0.4</v>
      </c>
      <c r="AO481" s="15">
        <v>0.4</v>
      </c>
      <c r="AP481" s="15">
        <v>0.5</v>
      </c>
      <c r="AQ481" s="189">
        <f t="shared" si="101"/>
        <v>4731</v>
      </c>
      <c r="AR481" s="189">
        <f t="shared" si="102"/>
        <v>4922</v>
      </c>
      <c r="AS481" s="189">
        <f t="shared" si="98"/>
        <v>4066</v>
      </c>
      <c r="AT481" s="189">
        <f t="shared" si="99"/>
        <v>8132</v>
      </c>
      <c r="AU481" s="50">
        <f t="shared" si="100"/>
        <v>9844</v>
      </c>
    </row>
    <row r="482" spans="36:47">
      <c r="AJ482" s="50">
        <v>2</v>
      </c>
      <c r="AK482" s="50">
        <v>0</v>
      </c>
      <c r="AL482" s="50">
        <v>1</v>
      </c>
      <c r="AM482" s="15">
        <f>Tabela21[[#This Row],[Att subs]]+Tabela21[[#This Row],[Crit D subs]]</f>
        <v>0.8</v>
      </c>
      <c r="AN482" s="15">
        <v>0.4</v>
      </c>
      <c r="AO482" s="15">
        <v>0.4</v>
      </c>
      <c r="AP482" s="15">
        <v>0.6</v>
      </c>
      <c r="AQ482" s="189">
        <f t="shared" si="101"/>
        <v>4731</v>
      </c>
      <c r="AR482" s="189">
        <f t="shared" si="102"/>
        <v>4922</v>
      </c>
      <c r="AS482" s="189">
        <f t="shared" si="98"/>
        <v>4066</v>
      </c>
      <c r="AT482" s="189">
        <f t="shared" si="99"/>
        <v>8132</v>
      </c>
      <c r="AU482" s="50">
        <f t="shared" si="100"/>
        <v>9844</v>
      </c>
    </row>
    <row r="483" spans="36:47">
      <c r="AJ483" s="50">
        <v>2</v>
      </c>
      <c r="AK483" s="50">
        <v>0</v>
      </c>
      <c r="AL483" s="50">
        <v>1</v>
      </c>
      <c r="AM483" s="15">
        <f>Tabela21[[#This Row],[Att subs]]+Tabela21[[#This Row],[Crit D subs]]</f>
        <v>0.8</v>
      </c>
      <c r="AN483" s="15">
        <v>0.4</v>
      </c>
      <c r="AO483" s="15">
        <v>0.4</v>
      </c>
      <c r="AP483" s="15">
        <v>0.7</v>
      </c>
      <c r="AQ483" s="189">
        <f t="shared" si="101"/>
        <v>4731</v>
      </c>
      <c r="AR483" s="189">
        <f t="shared" si="102"/>
        <v>4922</v>
      </c>
      <c r="AS483" s="189">
        <f t="shared" si="98"/>
        <v>4066</v>
      </c>
      <c r="AT483" s="189">
        <f t="shared" si="99"/>
        <v>8132</v>
      </c>
      <c r="AU483" s="50">
        <f t="shared" si="100"/>
        <v>9844</v>
      </c>
    </row>
    <row r="484" spans="36:47">
      <c r="AJ484" s="50">
        <v>2</v>
      </c>
      <c r="AK484" s="50">
        <v>0</v>
      </c>
      <c r="AL484" s="50">
        <v>1</v>
      </c>
      <c r="AM484" s="15">
        <f>Tabela21[[#This Row],[Att subs]]+Tabela21[[#This Row],[Crit D subs]]</f>
        <v>0.8</v>
      </c>
      <c r="AN484" s="15">
        <v>0.4</v>
      </c>
      <c r="AO484" s="15">
        <v>0.4</v>
      </c>
      <c r="AP484" s="15">
        <v>0.8</v>
      </c>
      <c r="AQ484" s="189">
        <f t="shared" si="101"/>
        <v>4731</v>
      </c>
      <c r="AR484" s="189">
        <f t="shared" si="102"/>
        <v>4922</v>
      </c>
      <c r="AS484" s="189">
        <f t="shared" si="98"/>
        <v>4066</v>
      </c>
      <c r="AT484" s="189">
        <f t="shared" si="99"/>
        <v>8132</v>
      </c>
      <c r="AU484" s="50">
        <f t="shared" si="100"/>
        <v>9844</v>
      </c>
    </row>
    <row r="485" spans="36:47">
      <c r="AJ485" s="50">
        <v>2</v>
      </c>
      <c r="AK485" s="50">
        <v>0</v>
      </c>
      <c r="AL485" s="50">
        <v>1</v>
      </c>
      <c r="AM485" s="15">
        <f>Tabela21[[#This Row],[Att subs]]+Tabela21[[#This Row],[Crit D subs]]</f>
        <v>0.8</v>
      </c>
      <c r="AN485" s="15">
        <v>0.4</v>
      </c>
      <c r="AO485" s="15">
        <v>0.4</v>
      </c>
      <c r="AP485" s="15">
        <v>0.9</v>
      </c>
      <c r="AQ485" s="189">
        <f t="shared" si="101"/>
        <v>4731</v>
      </c>
      <c r="AR485" s="189">
        <f t="shared" si="102"/>
        <v>4922</v>
      </c>
      <c r="AS485" s="189">
        <f t="shared" si="98"/>
        <v>4066</v>
      </c>
      <c r="AT485" s="189">
        <f t="shared" si="99"/>
        <v>8132</v>
      </c>
      <c r="AU485" s="50">
        <f t="shared" si="100"/>
        <v>9844</v>
      </c>
    </row>
    <row r="486" spans="36:47">
      <c r="AJ486" s="50">
        <v>2</v>
      </c>
      <c r="AK486" s="50">
        <v>0</v>
      </c>
      <c r="AL486" s="50">
        <v>1</v>
      </c>
      <c r="AM486" s="15">
        <f>Tabela21[[#This Row],[Att subs]]+Tabela21[[#This Row],[Crit D subs]]</f>
        <v>0.8</v>
      </c>
      <c r="AN486" s="15">
        <v>0.4</v>
      </c>
      <c r="AO486" s="15">
        <v>0.4</v>
      </c>
      <c r="AP486" s="15">
        <v>1</v>
      </c>
      <c r="AQ486" s="189">
        <f t="shared" si="101"/>
        <v>4731</v>
      </c>
      <c r="AR486" s="189">
        <f t="shared" si="102"/>
        <v>4922</v>
      </c>
      <c r="AS486" s="189">
        <f t="shared" si="98"/>
        <v>4066</v>
      </c>
      <c r="AT486" s="189">
        <f t="shared" si="99"/>
        <v>8132</v>
      </c>
      <c r="AU486" s="50">
        <f t="shared" si="100"/>
        <v>9844</v>
      </c>
    </row>
    <row r="487" spans="36:47">
      <c r="AJ487" s="50">
        <v>3</v>
      </c>
      <c r="AK487" s="50">
        <v>0</v>
      </c>
      <c r="AL487" s="50">
        <v>0</v>
      </c>
      <c r="AM487" s="15">
        <f>Tabela21[[#This Row],[Att subs]]+Tabela21[[#This Row],[Crit D subs]]</f>
        <v>0.8</v>
      </c>
      <c r="AN487" s="15">
        <v>0.4</v>
      </c>
      <c r="AO487" s="15">
        <v>0.4</v>
      </c>
      <c r="AP487" s="15">
        <v>0</v>
      </c>
      <c r="AQ487" s="189">
        <f t="shared" si="101"/>
        <v>3554.9799999999996</v>
      </c>
      <c r="AR487" s="189">
        <f t="shared" si="102"/>
        <v>3391.0099999999998</v>
      </c>
      <c r="AS487" s="189">
        <f t="shared" si="98"/>
        <v>3662.09</v>
      </c>
      <c r="AT487" s="189">
        <f t="shared" si="99"/>
        <v>6094.28</v>
      </c>
      <c r="AU487" s="50">
        <f t="shared" si="100"/>
        <v>4949.72</v>
      </c>
    </row>
    <row r="488" spans="36:47">
      <c r="AJ488" s="50">
        <v>3</v>
      </c>
      <c r="AK488" s="50">
        <v>0</v>
      </c>
      <c r="AL488" s="50">
        <v>0</v>
      </c>
      <c r="AM488" s="15">
        <f>Tabela21[[#This Row],[Att subs]]+Tabela21[[#This Row],[Crit D subs]]</f>
        <v>0.8</v>
      </c>
      <c r="AN488" s="15">
        <v>0.4</v>
      </c>
      <c r="AO488" s="15">
        <v>0.4</v>
      </c>
      <c r="AP488" s="15">
        <v>0.1</v>
      </c>
      <c r="AQ488" s="189">
        <f t="shared" si="101"/>
        <v>3812.38</v>
      </c>
      <c r="AR488" s="189">
        <f t="shared" si="102"/>
        <v>3717.3099999999995</v>
      </c>
      <c r="AS488" s="189">
        <f t="shared" si="98"/>
        <v>3887.99</v>
      </c>
      <c r="AT488" s="189">
        <f t="shared" si="99"/>
        <v>6797.0800000000008</v>
      </c>
      <c r="AU488" s="50">
        <f t="shared" si="100"/>
        <v>5853.32</v>
      </c>
    </row>
    <row r="489" spans="36:47">
      <c r="AJ489" s="50">
        <v>3</v>
      </c>
      <c r="AK489" s="50">
        <v>0</v>
      </c>
      <c r="AL489" s="50">
        <v>0</v>
      </c>
      <c r="AM489" s="15">
        <f>Tabela21[[#This Row],[Att subs]]+Tabela21[[#This Row],[Crit D subs]]</f>
        <v>0.8</v>
      </c>
      <c r="AN489" s="15">
        <v>0.4</v>
      </c>
      <c r="AO489" s="15">
        <v>0.4</v>
      </c>
      <c r="AP489" s="15">
        <v>0.2</v>
      </c>
      <c r="AQ489" s="189">
        <f t="shared" si="101"/>
        <v>4069.7799999999993</v>
      </c>
      <c r="AR489" s="189">
        <f t="shared" si="102"/>
        <v>4043.6099999999992</v>
      </c>
      <c r="AS489" s="189">
        <f t="shared" si="98"/>
        <v>4113.8899999999994</v>
      </c>
      <c r="AT489" s="189">
        <f t="shared" si="99"/>
        <v>7499.88</v>
      </c>
      <c r="AU489" s="50">
        <f t="shared" si="100"/>
        <v>6756.9199999999992</v>
      </c>
    </row>
    <row r="490" spans="36:47">
      <c r="AJ490" s="50">
        <v>3</v>
      </c>
      <c r="AK490" s="50">
        <v>0</v>
      </c>
      <c r="AL490" s="50">
        <v>0</v>
      </c>
      <c r="AM490" s="15">
        <f>Tabela21[[#This Row],[Att subs]]+Tabela21[[#This Row],[Crit D subs]]</f>
        <v>0.8</v>
      </c>
      <c r="AN490" s="15">
        <v>0.4</v>
      </c>
      <c r="AO490" s="15">
        <v>0.4</v>
      </c>
      <c r="AP490" s="15">
        <v>0.3</v>
      </c>
      <c r="AQ490" s="189">
        <f t="shared" si="101"/>
        <v>4327.1799999999994</v>
      </c>
      <c r="AR490" s="189">
        <f t="shared" si="102"/>
        <v>4369.9099999999989</v>
      </c>
      <c r="AS490" s="189">
        <f t="shared" si="98"/>
        <v>4339.79</v>
      </c>
      <c r="AT490" s="189">
        <f t="shared" si="99"/>
        <v>8202.68</v>
      </c>
      <c r="AU490" s="50">
        <f t="shared" si="100"/>
        <v>7660.5199999999986</v>
      </c>
    </row>
    <row r="491" spans="36:47">
      <c r="AJ491" s="50">
        <v>3</v>
      </c>
      <c r="AK491" s="50">
        <v>0</v>
      </c>
      <c r="AL491" s="50">
        <v>0</v>
      </c>
      <c r="AM491" s="15">
        <f>Tabela21[[#This Row],[Att subs]]+Tabela21[[#This Row],[Crit D subs]]</f>
        <v>0.8</v>
      </c>
      <c r="AN491" s="15">
        <v>0.4</v>
      </c>
      <c r="AO491" s="15">
        <v>0.4</v>
      </c>
      <c r="AP491" s="15">
        <v>0.4</v>
      </c>
      <c r="AQ491" s="189">
        <f t="shared" si="101"/>
        <v>4584.579999999999</v>
      </c>
      <c r="AR491" s="189">
        <f t="shared" si="102"/>
        <v>4696.21</v>
      </c>
      <c r="AS491" s="189">
        <f t="shared" si="98"/>
        <v>4565.6899999999996</v>
      </c>
      <c r="AT491" s="189">
        <f t="shared" si="99"/>
        <v>8905.48</v>
      </c>
      <c r="AU491" s="50">
        <f t="shared" si="100"/>
        <v>8564.119999999999</v>
      </c>
    </row>
    <row r="492" spans="36:47">
      <c r="AJ492" s="50">
        <v>3</v>
      </c>
      <c r="AK492" s="50">
        <v>0</v>
      </c>
      <c r="AL492" s="50">
        <v>0</v>
      </c>
      <c r="AM492" s="15">
        <f>Tabela21[[#This Row],[Att subs]]+Tabela21[[#This Row],[Crit D subs]]</f>
        <v>0.8</v>
      </c>
      <c r="AN492" s="15">
        <v>0.4</v>
      </c>
      <c r="AO492" s="15">
        <v>0.4</v>
      </c>
      <c r="AP492" s="15">
        <v>0.5</v>
      </c>
      <c r="AQ492" s="189">
        <f t="shared" si="101"/>
        <v>4841.9799999999996</v>
      </c>
      <c r="AR492" s="189">
        <f t="shared" si="102"/>
        <v>5022.5099999999993</v>
      </c>
      <c r="AS492" s="189">
        <f t="shared" si="98"/>
        <v>4769</v>
      </c>
      <c r="AT492" s="189">
        <f t="shared" si="99"/>
        <v>9538</v>
      </c>
      <c r="AU492" s="50">
        <f t="shared" si="100"/>
        <v>9467.7199999999993</v>
      </c>
    </row>
    <row r="493" spans="36:47">
      <c r="AJ493" s="50">
        <v>3</v>
      </c>
      <c r="AK493" s="50">
        <v>0</v>
      </c>
      <c r="AL493" s="50">
        <v>0</v>
      </c>
      <c r="AM493" s="15">
        <f>Tabela21[[#This Row],[Att subs]]+Tabela21[[#This Row],[Crit D subs]]</f>
        <v>0.8</v>
      </c>
      <c r="AN493" s="15">
        <v>0.4</v>
      </c>
      <c r="AO493" s="15">
        <v>0.4</v>
      </c>
      <c r="AP493" s="15">
        <v>0.6</v>
      </c>
      <c r="AQ493" s="189">
        <f t="shared" si="101"/>
        <v>5099.38</v>
      </c>
      <c r="AR493" s="189">
        <f t="shared" si="102"/>
        <v>5348.8099999999995</v>
      </c>
      <c r="AS493" s="189">
        <f t="shared" si="98"/>
        <v>4769</v>
      </c>
      <c r="AT493" s="189">
        <f t="shared" si="99"/>
        <v>9538</v>
      </c>
      <c r="AU493" s="50">
        <f t="shared" si="100"/>
        <v>10371.32</v>
      </c>
    </row>
    <row r="494" spans="36:47">
      <c r="AJ494" s="50">
        <v>3</v>
      </c>
      <c r="AK494" s="50">
        <v>0</v>
      </c>
      <c r="AL494" s="50">
        <v>0</v>
      </c>
      <c r="AM494" s="15">
        <f>Tabela21[[#This Row],[Att subs]]+Tabela21[[#This Row],[Crit D subs]]</f>
        <v>0.8</v>
      </c>
      <c r="AN494" s="15">
        <v>0.4</v>
      </c>
      <c r="AO494" s="15">
        <v>0.4</v>
      </c>
      <c r="AP494" s="15">
        <v>0.7</v>
      </c>
      <c r="AQ494" s="189">
        <f t="shared" si="101"/>
        <v>5356.78</v>
      </c>
      <c r="AR494" s="189">
        <f t="shared" si="102"/>
        <v>5675.1100000000006</v>
      </c>
      <c r="AS494" s="189">
        <f t="shared" si="98"/>
        <v>4769</v>
      </c>
      <c r="AT494" s="189">
        <f t="shared" si="99"/>
        <v>9538</v>
      </c>
      <c r="AU494" s="50">
        <f t="shared" si="100"/>
        <v>11274.92</v>
      </c>
    </row>
    <row r="495" spans="36:47">
      <c r="AJ495" s="50">
        <v>3</v>
      </c>
      <c r="AK495" s="50">
        <v>0</v>
      </c>
      <c r="AL495" s="50">
        <v>0</v>
      </c>
      <c r="AM495" s="15">
        <f>Tabela21[[#This Row],[Att subs]]+Tabela21[[#This Row],[Crit D subs]]</f>
        <v>0.8</v>
      </c>
      <c r="AN495" s="15">
        <v>0.4</v>
      </c>
      <c r="AO495" s="15">
        <v>0.4</v>
      </c>
      <c r="AP495" s="15">
        <v>0.8</v>
      </c>
      <c r="AQ495" s="189">
        <f t="shared" si="101"/>
        <v>5434</v>
      </c>
      <c r="AR495" s="189">
        <f t="shared" si="102"/>
        <v>5773</v>
      </c>
      <c r="AS495" s="189">
        <f t="shared" si="98"/>
        <v>4769</v>
      </c>
      <c r="AT495" s="189">
        <f t="shared" si="99"/>
        <v>9538</v>
      </c>
      <c r="AU495" s="50">
        <f t="shared" si="100"/>
        <v>11546</v>
      </c>
    </row>
    <row r="496" spans="36:47">
      <c r="AJ496" s="50">
        <v>3</v>
      </c>
      <c r="AK496" s="50">
        <v>0</v>
      </c>
      <c r="AL496" s="50">
        <v>0</v>
      </c>
      <c r="AM496" s="15">
        <f>Tabela21[[#This Row],[Att subs]]+Tabela21[[#This Row],[Crit D subs]]</f>
        <v>0.8</v>
      </c>
      <c r="AN496" s="15">
        <v>0.4</v>
      </c>
      <c r="AO496" s="15">
        <v>0.4</v>
      </c>
      <c r="AP496" s="15">
        <v>0.9</v>
      </c>
      <c r="AQ496" s="189">
        <f t="shared" si="101"/>
        <v>5434</v>
      </c>
      <c r="AR496" s="189">
        <f t="shared" si="102"/>
        <v>5773</v>
      </c>
      <c r="AS496" s="189">
        <f t="shared" si="98"/>
        <v>4769</v>
      </c>
      <c r="AT496" s="189">
        <f t="shared" si="99"/>
        <v>9538</v>
      </c>
      <c r="AU496" s="50">
        <f t="shared" si="100"/>
        <v>11546</v>
      </c>
    </row>
    <row r="497" spans="36:47">
      <c r="AJ497" s="50">
        <v>3</v>
      </c>
      <c r="AK497" s="50">
        <v>0</v>
      </c>
      <c r="AL497" s="50">
        <v>0</v>
      </c>
      <c r="AM497" s="15">
        <f>Tabela21[[#This Row],[Att subs]]+Tabela21[[#This Row],[Crit D subs]]</f>
        <v>0.8</v>
      </c>
      <c r="AN497" s="15">
        <v>0.4</v>
      </c>
      <c r="AO497" s="15">
        <v>0.4</v>
      </c>
      <c r="AP497" s="15">
        <v>1</v>
      </c>
      <c r="AQ497" s="189">
        <f t="shared" si="101"/>
        <v>5434</v>
      </c>
      <c r="AR497" s="189">
        <f t="shared" si="102"/>
        <v>5773</v>
      </c>
      <c r="AS497" s="189">
        <f t="shared" si="98"/>
        <v>4769</v>
      </c>
      <c r="AT497" s="189">
        <f t="shared" si="99"/>
        <v>9538</v>
      </c>
      <c r="AU497" s="50">
        <f t="shared" si="100"/>
        <v>11546</v>
      </c>
    </row>
    <row r="498" spans="36:47">
      <c r="AJ498" s="50">
        <v>2</v>
      </c>
      <c r="AK498" s="50">
        <v>1</v>
      </c>
      <c r="AL498" s="50">
        <v>0</v>
      </c>
      <c r="AM498" s="15">
        <f>Tabela21[[#This Row],[Att subs]]+Tabela21[[#This Row],[Crit D subs]]</f>
        <v>1</v>
      </c>
      <c r="AN498" s="15">
        <v>0.6</v>
      </c>
      <c r="AO498" s="15">
        <v>0.4</v>
      </c>
      <c r="AP498" s="15">
        <v>0</v>
      </c>
      <c r="AQ498" s="189">
        <f t="shared" si="101"/>
        <v>3685.0309999999995</v>
      </c>
      <c r="AR498" s="189">
        <f t="shared" si="102"/>
        <v>3458.2860000000001</v>
      </c>
      <c r="AS498" s="189">
        <f t="shared" si="98"/>
        <v>3974.9580000000001</v>
      </c>
      <c r="AT498" s="189">
        <f t="shared" si="99"/>
        <v>6803.3159999999998</v>
      </c>
      <c r="AU498" s="50">
        <f t="shared" si="100"/>
        <v>5208.3720000000003</v>
      </c>
    </row>
    <row r="499" spans="36:47">
      <c r="AJ499" s="50">
        <v>2</v>
      </c>
      <c r="AK499" s="50">
        <v>1</v>
      </c>
      <c r="AL499" s="50">
        <v>0</v>
      </c>
      <c r="AM499" s="15">
        <f>Tabela21[[#This Row],[Att subs]]+Tabela21[[#This Row],[Crit D subs]]</f>
        <v>1</v>
      </c>
      <c r="AN499" s="15">
        <v>0.6</v>
      </c>
      <c r="AO499" s="15">
        <v>0.4</v>
      </c>
      <c r="AP499" s="15">
        <v>0.1</v>
      </c>
      <c r="AQ499" s="189">
        <f t="shared" si="101"/>
        <v>4053.5609999999997</v>
      </c>
      <c r="AR499" s="189">
        <f t="shared" si="102"/>
        <v>3872.4659999999999</v>
      </c>
      <c r="AS499" s="189">
        <f t="shared" si="98"/>
        <v>4295.5380000000005</v>
      </c>
      <c r="AT499" s="189">
        <f t="shared" si="99"/>
        <v>7678.4760000000006</v>
      </c>
      <c r="AU499" s="50">
        <f t="shared" si="100"/>
        <v>6270.7319999999991</v>
      </c>
    </row>
    <row r="500" spans="36:47">
      <c r="AJ500" s="50">
        <v>2</v>
      </c>
      <c r="AK500" s="50">
        <v>1</v>
      </c>
      <c r="AL500" s="50">
        <v>0</v>
      </c>
      <c r="AM500" s="15">
        <f>Tabela21[[#This Row],[Att subs]]+Tabela21[[#This Row],[Crit D subs]]</f>
        <v>1</v>
      </c>
      <c r="AN500" s="15">
        <v>0.6</v>
      </c>
      <c r="AO500" s="15">
        <v>0.4</v>
      </c>
      <c r="AP500" s="15">
        <v>0.2</v>
      </c>
      <c r="AQ500" s="189">
        <f t="shared" si="101"/>
        <v>4422.0909999999994</v>
      </c>
      <c r="AR500" s="189">
        <f t="shared" si="102"/>
        <v>4286.6459999999988</v>
      </c>
      <c r="AS500" s="189">
        <f t="shared" si="98"/>
        <v>4616.1180000000004</v>
      </c>
      <c r="AT500" s="189">
        <f t="shared" si="99"/>
        <v>8553.6360000000004</v>
      </c>
      <c r="AU500" s="50">
        <f t="shared" si="100"/>
        <v>7333.0919999999987</v>
      </c>
    </row>
    <row r="501" spans="36:47">
      <c r="AJ501" s="50">
        <v>2</v>
      </c>
      <c r="AK501" s="50">
        <v>1</v>
      </c>
      <c r="AL501" s="50">
        <v>0</v>
      </c>
      <c r="AM501" s="15">
        <f>Tabela21[[#This Row],[Att subs]]+Tabela21[[#This Row],[Crit D subs]]</f>
        <v>1</v>
      </c>
      <c r="AN501" s="15">
        <v>0.6</v>
      </c>
      <c r="AO501" s="15">
        <v>0.4</v>
      </c>
      <c r="AP501" s="15">
        <v>0.3</v>
      </c>
      <c r="AQ501" s="189">
        <f t="shared" si="101"/>
        <v>4790.6210000000001</v>
      </c>
      <c r="AR501" s="189">
        <f t="shared" si="102"/>
        <v>4700.826</v>
      </c>
      <c r="AS501" s="189">
        <f t="shared" si="98"/>
        <v>4936.6980000000003</v>
      </c>
      <c r="AT501" s="189">
        <f t="shared" si="99"/>
        <v>9428.7960000000003</v>
      </c>
      <c r="AU501" s="50">
        <f t="shared" si="100"/>
        <v>8395.4520000000011</v>
      </c>
    </row>
    <row r="502" spans="36:47">
      <c r="AJ502" s="50">
        <v>2</v>
      </c>
      <c r="AK502" s="50">
        <v>1</v>
      </c>
      <c r="AL502" s="50">
        <v>0</v>
      </c>
      <c r="AM502" s="15">
        <f>Tabela21[[#This Row],[Att subs]]+Tabela21[[#This Row],[Crit D subs]]</f>
        <v>1</v>
      </c>
      <c r="AN502" s="15">
        <v>0.6</v>
      </c>
      <c r="AO502" s="15">
        <v>0.4</v>
      </c>
      <c r="AP502" s="15">
        <v>0.4</v>
      </c>
      <c r="AQ502" s="189">
        <f t="shared" si="101"/>
        <v>5159.1509999999998</v>
      </c>
      <c r="AR502" s="189">
        <f t="shared" si="102"/>
        <v>5115.0060000000003</v>
      </c>
      <c r="AS502" s="189">
        <f t="shared" si="98"/>
        <v>5257.2780000000002</v>
      </c>
      <c r="AT502" s="189">
        <f t="shared" si="99"/>
        <v>10303.956</v>
      </c>
      <c r="AU502" s="50">
        <f t="shared" si="100"/>
        <v>9457.8119999999999</v>
      </c>
    </row>
    <row r="503" spans="36:47">
      <c r="AJ503" s="50">
        <v>2</v>
      </c>
      <c r="AK503" s="50">
        <v>1</v>
      </c>
      <c r="AL503" s="50">
        <v>0</v>
      </c>
      <c r="AM503" s="15">
        <f>Tabela21[[#This Row],[Att subs]]+Tabela21[[#This Row],[Crit D subs]]</f>
        <v>1</v>
      </c>
      <c r="AN503" s="15">
        <v>0.6</v>
      </c>
      <c r="AO503" s="15">
        <v>0.4</v>
      </c>
      <c r="AP503" s="15">
        <v>0.5</v>
      </c>
      <c r="AQ503" s="189">
        <f t="shared" si="101"/>
        <v>5527.6809999999996</v>
      </c>
      <c r="AR503" s="189">
        <f t="shared" si="102"/>
        <v>5529.1860000000006</v>
      </c>
      <c r="AS503" s="189">
        <f t="shared" si="98"/>
        <v>5545.8</v>
      </c>
      <c r="AT503" s="189">
        <f t="shared" si="99"/>
        <v>11091.6</v>
      </c>
      <c r="AU503" s="50">
        <f t="shared" si="100"/>
        <v>10520.172000000002</v>
      </c>
    </row>
    <row r="504" spans="36:47">
      <c r="AJ504" s="50">
        <v>2</v>
      </c>
      <c r="AK504" s="50">
        <v>1</v>
      </c>
      <c r="AL504" s="50">
        <v>0</v>
      </c>
      <c r="AM504" s="15">
        <f>Tabela21[[#This Row],[Att subs]]+Tabela21[[#This Row],[Crit D subs]]</f>
        <v>1</v>
      </c>
      <c r="AN504" s="15">
        <v>0.6</v>
      </c>
      <c r="AO504" s="15">
        <v>0.4</v>
      </c>
      <c r="AP504" s="15">
        <v>0.6</v>
      </c>
      <c r="AQ504" s="189">
        <f t="shared" si="101"/>
        <v>5896.2110000000002</v>
      </c>
      <c r="AR504" s="189">
        <f t="shared" si="102"/>
        <v>5943.366</v>
      </c>
      <c r="AS504" s="189">
        <f t="shared" si="98"/>
        <v>5545.8</v>
      </c>
      <c r="AT504" s="189">
        <f t="shared" si="99"/>
        <v>11091.6</v>
      </c>
      <c r="AU504" s="50">
        <f t="shared" si="100"/>
        <v>11582.531999999999</v>
      </c>
    </row>
    <row r="505" spans="36:47">
      <c r="AJ505" s="50">
        <v>2</v>
      </c>
      <c r="AK505" s="50">
        <v>1</v>
      </c>
      <c r="AL505" s="50">
        <v>0</v>
      </c>
      <c r="AM505" s="15">
        <f>Tabela21[[#This Row],[Att subs]]+Tabela21[[#This Row],[Crit D subs]]</f>
        <v>1</v>
      </c>
      <c r="AN505" s="15">
        <v>0.6</v>
      </c>
      <c r="AO505" s="15">
        <v>0.4</v>
      </c>
      <c r="AP505" s="15">
        <v>0.7</v>
      </c>
      <c r="AQ505" s="189">
        <f t="shared" si="101"/>
        <v>6264.741</v>
      </c>
      <c r="AR505" s="189">
        <f t="shared" si="102"/>
        <v>6357.5459999999994</v>
      </c>
      <c r="AS505" s="189">
        <f t="shared" si="98"/>
        <v>5545.8</v>
      </c>
      <c r="AT505" s="189">
        <f t="shared" si="99"/>
        <v>11091.6</v>
      </c>
      <c r="AU505" s="50">
        <f t="shared" si="100"/>
        <v>12644.892000000002</v>
      </c>
    </row>
    <row r="506" spans="36:47">
      <c r="AJ506" s="50">
        <v>2</v>
      </c>
      <c r="AK506" s="50">
        <v>1</v>
      </c>
      <c r="AL506" s="50">
        <v>0</v>
      </c>
      <c r="AM506" s="15">
        <f>Tabela21[[#This Row],[Att subs]]+Tabela21[[#This Row],[Crit D subs]]</f>
        <v>1</v>
      </c>
      <c r="AN506" s="15">
        <v>0.6</v>
      </c>
      <c r="AO506" s="15">
        <v>0.4</v>
      </c>
      <c r="AP506" s="15">
        <v>0.8</v>
      </c>
      <c r="AQ506" s="189">
        <f t="shared" si="101"/>
        <v>6375.3</v>
      </c>
      <c r="AR506" s="189">
        <f t="shared" si="102"/>
        <v>6481.8</v>
      </c>
      <c r="AS506" s="189">
        <f t="shared" si="98"/>
        <v>5545.8</v>
      </c>
      <c r="AT506" s="189">
        <f t="shared" si="99"/>
        <v>11091.6</v>
      </c>
      <c r="AU506" s="50">
        <f t="shared" si="100"/>
        <v>12963.6</v>
      </c>
    </row>
    <row r="507" spans="36:47">
      <c r="AJ507" s="50">
        <v>2</v>
      </c>
      <c r="AK507" s="50">
        <v>1</v>
      </c>
      <c r="AL507" s="50">
        <v>0</v>
      </c>
      <c r="AM507" s="15">
        <f>Tabela21[[#This Row],[Att subs]]+Tabela21[[#This Row],[Crit D subs]]</f>
        <v>1</v>
      </c>
      <c r="AN507" s="15">
        <v>0.6</v>
      </c>
      <c r="AO507" s="15">
        <v>0.4</v>
      </c>
      <c r="AP507" s="15">
        <v>0.9</v>
      </c>
      <c r="AQ507" s="189">
        <f t="shared" si="101"/>
        <v>6375.3</v>
      </c>
      <c r="AR507" s="189">
        <f t="shared" si="102"/>
        <v>6481.8</v>
      </c>
      <c r="AS507" s="189">
        <f t="shared" si="98"/>
        <v>5545.8</v>
      </c>
      <c r="AT507" s="189">
        <f t="shared" si="99"/>
        <v>11091.6</v>
      </c>
      <c r="AU507" s="50">
        <f t="shared" si="100"/>
        <v>12963.6</v>
      </c>
    </row>
    <row r="508" spans="36:47">
      <c r="AJ508" s="50">
        <v>2</v>
      </c>
      <c r="AK508" s="50">
        <v>1</v>
      </c>
      <c r="AL508" s="50">
        <v>0</v>
      </c>
      <c r="AM508" s="15">
        <f>Tabela21[[#This Row],[Att subs]]+Tabela21[[#This Row],[Crit D subs]]</f>
        <v>1</v>
      </c>
      <c r="AN508" s="15">
        <v>0.6</v>
      </c>
      <c r="AO508" s="15">
        <v>0.4</v>
      </c>
      <c r="AP508" s="15">
        <v>1</v>
      </c>
      <c r="AQ508" s="189">
        <f t="shared" si="101"/>
        <v>6375.3</v>
      </c>
      <c r="AR508" s="189">
        <f t="shared" si="102"/>
        <v>6481.8</v>
      </c>
      <c r="AS508" s="189">
        <f t="shared" si="98"/>
        <v>5545.8</v>
      </c>
      <c r="AT508" s="189">
        <f t="shared" si="99"/>
        <v>11091.6</v>
      </c>
      <c r="AU508" s="50">
        <f t="shared" si="100"/>
        <v>12963.6</v>
      </c>
    </row>
    <row r="509" spans="36:47">
      <c r="AJ509" s="50">
        <v>2</v>
      </c>
      <c r="AK509" s="50">
        <v>0</v>
      </c>
      <c r="AL509" s="50">
        <v>1</v>
      </c>
      <c r="AM509" s="15">
        <f>Tabela21[[#This Row],[Att subs]]+Tabela21[[#This Row],[Crit D subs]]</f>
        <v>1</v>
      </c>
      <c r="AN509" s="15">
        <v>0.6</v>
      </c>
      <c r="AO509" s="15">
        <v>0.4</v>
      </c>
      <c r="AP509" s="15">
        <v>0</v>
      </c>
      <c r="AQ509" s="189">
        <f t="shared" si="101"/>
        <v>4191.0199999999995</v>
      </c>
      <c r="AR509" s="189">
        <f t="shared" si="102"/>
        <v>4226.04</v>
      </c>
      <c r="AS509" s="189">
        <f t="shared" si="98"/>
        <v>4151.16</v>
      </c>
      <c r="AT509" s="189">
        <f t="shared" si="99"/>
        <v>7974.72</v>
      </c>
      <c r="AU509" s="50">
        <f t="shared" si="100"/>
        <v>7562.8799999999992</v>
      </c>
    </row>
    <row r="510" spans="36:47">
      <c r="AJ510" s="50">
        <v>2</v>
      </c>
      <c r="AK510" s="50">
        <v>0</v>
      </c>
      <c r="AL510" s="50">
        <v>1</v>
      </c>
      <c r="AM510" s="15">
        <f>Tabela21[[#This Row],[Att subs]]+Tabela21[[#This Row],[Crit D subs]]</f>
        <v>1</v>
      </c>
      <c r="AN510" s="15">
        <v>0.6</v>
      </c>
      <c r="AO510" s="15">
        <v>0.4</v>
      </c>
      <c r="AP510" s="15">
        <v>0.1</v>
      </c>
      <c r="AQ510" s="189">
        <f t="shared" si="101"/>
        <v>4433.12</v>
      </c>
      <c r="AR510" s="189">
        <f t="shared" si="102"/>
        <v>4530.24</v>
      </c>
      <c r="AS510" s="189">
        <f t="shared" si="98"/>
        <v>4361.7599999999993</v>
      </c>
      <c r="AT510" s="189">
        <f t="shared" si="99"/>
        <v>8629.92</v>
      </c>
      <c r="AU510" s="50">
        <f t="shared" si="100"/>
        <v>8405.2799999999988</v>
      </c>
    </row>
    <row r="511" spans="36:47">
      <c r="AJ511" s="50">
        <v>2</v>
      </c>
      <c r="AK511" s="50">
        <v>0</v>
      </c>
      <c r="AL511" s="50">
        <v>1</v>
      </c>
      <c r="AM511" s="15">
        <f>Tabela21[[#This Row],[Att subs]]+Tabela21[[#This Row],[Crit D subs]]</f>
        <v>1</v>
      </c>
      <c r="AN511" s="15">
        <v>0.6</v>
      </c>
      <c r="AO511" s="15">
        <v>0.4</v>
      </c>
      <c r="AP511" s="15">
        <v>0.2</v>
      </c>
      <c r="AQ511" s="189">
        <f t="shared" si="101"/>
        <v>4675.2199999999993</v>
      </c>
      <c r="AR511" s="189">
        <f t="shared" si="102"/>
        <v>4834.4399999999996</v>
      </c>
      <c r="AS511" s="189">
        <f t="shared" si="98"/>
        <v>4446</v>
      </c>
      <c r="AT511" s="189">
        <f t="shared" si="99"/>
        <v>8892</v>
      </c>
      <c r="AU511" s="50">
        <f t="shared" si="100"/>
        <v>9247.6799999999985</v>
      </c>
    </row>
    <row r="512" spans="36:47">
      <c r="AJ512" s="50">
        <v>2</v>
      </c>
      <c r="AK512" s="50">
        <v>0</v>
      </c>
      <c r="AL512" s="50">
        <v>1</v>
      </c>
      <c r="AM512" s="15">
        <f>Tabela21[[#This Row],[Att subs]]+Tabela21[[#This Row],[Crit D subs]]</f>
        <v>1</v>
      </c>
      <c r="AN512" s="15">
        <v>0.6</v>
      </c>
      <c r="AO512" s="15">
        <v>0.4</v>
      </c>
      <c r="AP512" s="15">
        <v>0.3</v>
      </c>
      <c r="AQ512" s="189">
        <f t="shared" si="101"/>
        <v>4917.3200000000006</v>
      </c>
      <c r="AR512" s="189">
        <f t="shared" si="102"/>
        <v>5138.6400000000003</v>
      </c>
      <c r="AS512" s="189">
        <f t="shared" si="98"/>
        <v>4446</v>
      </c>
      <c r="AT512" s="189">
        <f t="shared" si="99"/>
        <v>8892</v>
      </c>
      <c r="AU512" s="50">
        <f t="shared" si="100"/>
        <v>10090.08</v>
      </c>
    </row>
    <row r="513" spans="36:47">
      <c r="AJ513" s="50">
        <v>2</v>
      </c>
      <c r="AK513" s="50">
        <v>0</v>
      </c>
      <c r="AL513" s="50">
        <v>1</v>
      </c>
      <c r="AM513" s="15">
        <f>Tabela21[[#This Row],[Att subs]]+Tabela21[[#This Row],[Crit D subs]]</f>
        <v>1</v>
      </c>
      <c r="AN513" s="15">
        <v>0.6</v>
      </c>
      <c r="AO513" s="15">
        <v>0.4</v>
      </c>
      <c r="AP513" s="15">
        <v>0.4</v>
      </c>
      <c r="AQ513" s="189">
        <f t="shared" si="101"/>
        <v>5111</v>
      </c>
      <c r="AR513" s="189">
        <f t="shared" si="102"/>
        <v>5382</v>
      </c>
      <c r="AS513" s="189">
        <f t="shared" si="98"/>
        <v>4446</v>
      </c>
      <c r="AT513" s="189">
        <f t="shared" si="99"/>
        <v>8892</v>
      </c>
      <c r="AU513" s="50">
        <f t="shared" si="100"/>
        <v>10764</v>
      </c>
    </row>
    <row r="514" spans="36:47">
      <c r="AJ514" s="50">
        <v>2</v>
      </c>
      <c r="AK514" s="50">
        <v>0</v>
      </c>
      <c r="AL514" s="50">
        <v>1</v>
      </c>
      <c r="AM514" s="15">
        <f>Tabela21[[#This Row],[Att subs]]+Tabela21[[#This Row],[Crit D subs]]</f>
        <v>1</v>
      </c>
      <c r="AN514" s="15">
        <v>0.6</v>
      </c>
      <c r="AO514" s="15">
        <v>0.4</v>
      </c>
      <c r="AP514" s="15">
        <v>0.5</v>
      </c>
      <c r="AQ514" s="189">
        <f t="shared" si="101"/>
        <v>5111</v>
      </c>
      <c r="AR514" s="189">
        <f t="shared" si="102"/>
        <v>5382</v>
      </c>
      <c r="AS514" s="189">
        <f t="shared" si="98"/>
        <v>4446</v>
      </c>
      <c r="AT514" s="189">
        <f t="shared" si="99"/>
        <v>8892</v>
      </c>
      <c r="AU514" s="50">
        <f t="shared" si="100"/>
        <v>10764</v>
      </c>
    </row>
    <row r="515" spans="36:47">
      <c r="AJ515" s="50">
        <v>2</v>
      </c>
      <c r="AK515" s="50">
        <v>0</v>
      </c>
      <c r="AL515" s="50">
        <v>1</v>
      </c>
      <c r="AM515" s="15">
        <f>Tabela21[[#This Row],[Att subs]]+Tabela21[[#This Row],[Crit D subs]]</f>
        <v>1</v>
      </c>
      <c r="AN515" s="15">
        <v>0.6</v>
      </c>
      <c r="AO515" s="15">
        <v>0.4</v>
      </c>
      <c r="AP515" s="15">
        <v>0.6</v>
      </c>
      <c r="AQ515" s="189">
        <f t="shared" si="101"/>
        <v>5111</v>
      </c>
      <c r="AR515" s="189">
        <f t="shared" si="102"/>
        <v>5382</v>
      </c>
      <c r="AS515" s="189">
        <f t="shared" ref="AS515:AS578" si="103">$AG$3*(1+$AJ515*$Y$2+$AN515)*(MAXA(1-$AI$3-$AL515*$AA$3-$AP515-0.36,0)+MINA($AI$3+$AL515*$AA$3+$AP515+0.36,1)*(1+$AH$3+$AO515+$AK515*$Z$4))</f>
        <v>4446</v>
      </c>
      <c r="AT515" s="189">
        <f t="shared" ref="AT515:AT578" si="104">$AG$3*(1+$AJ515*$Y$2+$AN515)*(MAXA(1-$AI$3-$AL515*$AA$3-$AP515-0.36,0)+2*MINA($AI$3+$AL515*$AA$3+$AP515+0.36,1)*(1+$AH$3+$AO515+$AK515*$Z$4))</f>
        <v>8892</v>
      </c>
      <c r="AU515" s="50">
        <f t="shared" ref="AU515:AU578" si="105">$AG$3*(1+$AJ515*$Y$2+$AN515)*(MAXA(1-$AI$3-$AL515*$AA$3-$AP515-0.12,0)+2*MINA($AI$3+$AL515*$AA$3+$AP515+0.12,1)*(1+$AH$3+$AO515+$AK515*$Z$4+0.4))</f>
        <v>10764</v>
      </c>
    </row>
    <row r="516" spans="36:47">
      <c r="AJ516" s="50">
        <v>2</v>
      </c>
      <c r="AK516" s="50">
        <v>0</v>
      </c>
      <c r="AL516" s="50">
        <v>1</v>
      </c>
      <c r="AM516" s="15">
        <f>Tabela21[[#This Row],[Att subs]]+Tabela21[[#This Row],[Crit D subs]]</f>
        <v>1</v>
      </c>
      <c r="AN516" s="15">
        <v>0.6</v>
      </c>
      <c r="AO516" s="15">
        <v>0.4</v>
      </c>
      <c r="AP516" s="15">
        <v>0.7</v>
      </c>
      <c r="AQ516" s="189">
        <f t="shared" ref="AQ516:AQ579" si="106">$AG$3*(1+$AJ516*$Y$2+$AN516+0.35)*(MAXA(1-$AI$3-$AL516*$AA$3-$AP516-0.12,0)+MINA($AI$3+$AL516*$AA$3+$AP516+0.12,1)*(1+$AH$3+$AO516+$AK516*$Z$4))</f>
        <v>5111</v>
      </c>
      <c r="AR516" s="189">
        <f t="shared" ref="AR516:AR579" si="107">$AG$3*(1+$AJ516*$Y$2+$AN516)*(MAXA(1-$AI$3-$AL516*$AA$3-$AP516-0.12,0)+MINA($AI$3+$AL516*$AA$3+$AP516+0.12,1)*(1+$AH$3+$AO516+$AK516*$Z$4+0.4))</f>
        <v>5382</v>
      </c>
      <c r="AS516" s="189">
        <f t="shared" si="103"/>
        <v>4446</v>
      </c>
      <c r="AT516" s="189">
        <f t="shared" si="104"/>
        <v>8892</v>
      </c>
      <c r="AU516" s="50">
        <f t="shared" si="105"/>
        <v>10764</v>
      </c>
    </row>
    <row r="517" spans="36:47">
      <c r="AJ517" s="50">
        <v>2</v>
      </c>
      <c r="AK517" s="50">
        <v>0</v>
      </c>
      <c r="AL517" s="50">
        <v>1</v>
      </c>
      <c r="AM517" s="15">
        <f>Tabela21[[#This Row],[Att subs]]+Tabela21[[#This Row],[Crit D subs]]</f>
        <v>1</v>
      </c>
      <c r="AN517" s="15">
        <v>0.6</v>
      </c>
      <c r="AO517" s="15">
        <v>0.4</v>
      </c>
      <c r="AP517" s="15">
        <v>0.8</v>
      </c>
      <c r="AQ517" s="189">
        <f t="shared" si="106"/>
        <v>5111</v>
      </c>
      <c r="AR517" s="189">
        <f t="shared" si="107"/>
        <v>5382</v>
      </c>
      <c r="AS517" s="189">
        <f t="shared" si="103"/>
        <v>4446</v>
      </c>
      <c r="AT517" s="189">
        <f t="shared" si="104"/>
        <v>8892</v>
      </c>
      <c r="AU517" s="50">
        <f t="shared" si="105"/>
        <v>10764</v>
      </c>
    </row>
    <row r="518" spans="36:47">
      <c r="AJ518" s="50">
        <v>2</v>
      </c>
      <c r="AK518" s="50">
        <v>0</v>
      </c>
      <c r="AL518" s="50">
        <v>1</v>
      </c>
      <c r="AM518" s="15">
        <f>Tabela21[[#This Row],[Att subs]]+Tabela21[[#This Row],[Crit D subs]]</f>
        <v>1</v>
      </c>
      <c r="AN518" s="15">
        <v>0.6</v>
      </c>
      <c r="AO518" s="15">
        <v>0.4</v>
      </c>
      <c r="AP518" s="15">
        <v>0.9</v>
      </c>
      <c r="AQ518" s="189">
        <f t="shared" si="106"/>
        <v>5111</v>
      </c>
      <c r="AR518" s="189">
        <f t="shared" si="107"/>
        <v>5382</v>
      </c>
      <c r="AS518" s="189">
        <f t="shared" si="103"/>
        <v>4446</v>
      </c>
      <c r="AT518" s="189">
        <f t="shared" si="104"/>
        <v>8892</v>
      </c>
      <c r="AU518" s="50">
        <f t="shared" si="105"/>
        <v>10764</v>
      </c>
    </row>
    <row r="519" spans="36:47">
      <c r="AJ519" s="50">
        <v>2</v>
      </c>
      <c r="AK519" s="50">
        <v>0</v>
      </c>
      <c r="AL519" s="50">
        <v>1</v>
      </c>
      <c r="AM519" s="15">
        <f>Tabela21[[#This Row],[Att subs]]+Tabela21[[#This Row],[Crit D subs]]</f>
        <v>1</v>
      </c>
      <c r="AN519" s="15">
        <v>0.6</v>
      </c>
      <c r="AO519" s="15">
        <v>0.4</v>
      </c>
      <c r="AP519" s="15">
        <v>1</v>
      </c>
      <c r="AQ519" s="189">
        <f t="shared" si="106"/>
        <v>5111</v>
      </c>
      <c r="AR519" s="189">
        <f t="shared" si="107"/>
        <v>5382</v>
      </c>
      <c r="AS519" s="189">
        <f t="shared" si="103"/>
        <v>4446</v>
      </c>
      <c r="AT519" s="189">
        <f t="shared" si="104"/>
        <v>8892</v>
      </c>
      <c r="AU519" s="50">
        <f t="shared" si="105"/>
        <v>10764</v>
      </c>
    </row>
    <row r="520" spans="36:47">
      <c r="AJ520" s="50">
        <v>3</v>
      </c>
      <c r="AK520" s="50">
        <v>0</v>
      </c>
      <c r="AL520" s="50">
        <v>0</v>
      </c>
      <c r="AM520" s="15">
        <f>Tabela21[[#This Row],[Att subs]]+Tabela21[[#This Row],[Crit D subs]]</f>
        <v>1</v>
      </c>
      <c r="AN520" s="15">
        <v>0.6</v>
      </c>
      <c r="AO520" s="15">
        <v>0.4</v>
      </c>
      <c r="AP520" s="15">
        <v>0</v>
      </c>
      <c r="AQ520" s="189">
        <f t="shared" si="106"/>
        <v>3803.5799999999995</v>
      </c>
      <c r="AR520" s="189">
        <f t="shared" si="107"/>
        <v>3661.21</v>
      </c>
      <c r="AS520" s="189">
        <f t="shared" si="103"/>
        <v>3953.8900000000003</v>
      </c>
      <c r="AT520" s="189">
        <f t="shared" si="104"/>
        <v>6579.88</v>
      </c>
      <c r="AU520" s="50">
        <f t="shared" si="105"/>
        <v>5344.12</v>
      </c>
    </row>
    <row r="521" spans="36:47">
      <c r="AJ521" s="50">
        <v>3</v>
      </c>
      <c r="AK521" s="50">
        <v>0</v>
      </c>
      <c r="AL521" s="50">
        <v>0</v>
      </c>
      <c r="AM521" s="15">
        <f>Tabela21[[#This Row],[Att subs]]+Tabela21[[#This Row],[Crit D subs]]</f>
        <v>1</v>
      </c>
      <c r="AN521" s="15">
        <v>0.6</v>
      </c>
      <c r="AO521" s="15">
        <v>0.4</v>
      </c>
      <c r="AP521" s="15">
        <v>0.1</v>
      </c>
      <c r="AQ521" s="189">
        <f t="shared" si="106"/>
        <v>4078.98</v>
      </c>
      <c r="AR521" s="189">
        <f t="shared" si="107"/>
        <v>4013.5099999999998</v>
      </c>
      <c r="AS521" s="189">
        <f t="shared" si="103"/>
        <v>4197.79</v>
      </c>
      <c r="AT521" s="189">
        <f t="shared" si="104"/>
        <v>7338.68</v>
      </c>
      <c r="AU521" s="50">
        <f t="shared" si="105"/>
        <v>6319.7199999999993</v>
      </c>
    </row>
    <row r="522" spans="36:47">
      <c r="AJ522" s="50">
        <v>3</v>
      </c>
      <c r="AK522" s="50">
        <v>0</v>
      </c>
      <c r="AL522" s="50">
        <v>0</v>
      </c>
      <c r="AM522" s="15">
        <f>Tabela21[[#This Row],[Att subs]]+Tabela21[[#This Row],[Crit D subs]]</f>
        <v>1</v>
      </c>
      <c r="AN522" s="15">
        <v>0.6</v>
      </c>
      <c r="AO522" s="15">
        <v>0.4</v>
      </c>
      <c r="AP522" s="15">
        <v>0.2</v>
      </c>
      <c r="AQ522" s="189">
        <f t="shared" si="106"/>
        <v>4354.3799999999992</v>
      </c>
      <c r="AR522" s="189">
        <f t="shared" si="107"/>
        <v>4365.8099999999995</v>
      </c>
      <c r="AS522" s="189">
        <f t="shared" si="103"/>
        <v>4441.6899999999996</v>
      </c>
      <c r="AT522" s="189">
        <f t="shared" si="104"/>
        <v>8097.48</v>
      </c>
      <c r="AU522" s="50">
        <f t="shared" si="105"/>
        <v>7295.32</v>
      </c>
    </row>
    <row r="523" spans="36:47">
      <c r="AJ523" s="50">
        <v>3</v>
      </c>
      <c r="AK523" s="50">
        <v>0</v>
      </c>
      <c r="AL523" s="50">
        <v>0</v>
      </c>
      <c r="AM523" s="15">
        <f>Tabela21[[#This Row],[Att subs]]+Tabela21[[#This Row],[Crit D subs]]</f>
        <v>1</v>
      </c>
      <c r="AN523" s="15">
        <v>0.6</v>
      </c>
      <c r="AO523" s="15">
        <v>0.4</v>
      </c>
      <c r="AP523" s="15">
        <v>0.3</v>
      </c>
      <c r="AQ523" s="189">
        <f t="shared" si="106"/>
        <v>4629.78</v>
      </c>
      <c r="AR523" s="189">
        <f t="shared" si="107"/>
        <v>4718.1099999999988</v>
      </c>
      <c r="AS523" s="189">
        <f t="shared" si="103"/>
        <v>4685.59</v>
      </c>
      <c r="AT523" s="189">
        <f t="shared" si="104"/>
        <v>8856.2799999999988</v>
      </c>
      <c r="AU523" s="50">
        <f t="shared" si="105"/>
        <v>8270.9199999999983</v>
      </c>
    </row>
    <row r="524" spans="36:47">
      <c r="AJ524" s="50">
        <v>3</v>
      </c>
      <c r="AK524" s="50">
        <v>0</v>
      </c>
      <c r="AL524" s="50">
        <v>0</v>
      </c>
      <c r="AM524" s="15">
        <f>Tabela21[[#This Row],[Att subs]]+Tabela21[[#This Row],[Crit D subs]]</f>
        <v>1</v>
      </c>
      <c r="AN524" s="15">
        <v>0.6</v>
      </c>
      <c r="AO524" s="15">
        <v>0.4</v>
      </c>
      <c r="AP524" s="15">
        <v>0.4</v>
      </c>
      <c r="AQ524" s="189">
        <f t="shared" si="106"/>
        <v>4905.1799999999994</v>
      </c>
      <c r="AR524" s="189">
        <f t="shared" si="107"/>
        <v>5070.41</v>
      </c>
      <c r="AS524" s="189">
        <f t="shared" si="103"/>
        <v>4929.49</v>
      </c>
      <c r="AT524" s="189">
        <f t="shared" si="104"/>
        <v>9615.0799999999981</v>
      </c>
      <c r="AU524" s="50">
        <f t="shared" si="105"/>
        <v>9246.52</v>
      </c>
    </row>
    <row r="525" spans="36:47">
      <c r="AJ525" s="50">
        <v>3</v>
      </c>
      <c r="AK525" s="50">
        <v>0</v>
      </c>
      <c r="AL525" s="50">
        <v>0</v>
      </c>
      <c r="AM525" s="15">
        <f>Tabela21[[#This Row],[Att subs]]+Tabela21[[#This Row],[Crit D subs]]</f>
        <v>1</v>
      </c>
      <c r="AN525" s="15">
        <v>0.6</v>
      </c>
      <c r="AO525" s="15">
        <v>0.4</v>
      </c>
      <c r="AP525" s="15">
        <v>0.5</v>
      </c>
      <c r="AQ525" s="189">
        <f t="shared" si="106"/>
        <v>5180.58</v>
      </c>
      <c r="AR525" s="189">
        <f t="shared" si="107"/>
        <v>5422.71</v>
      </c>
      <c r="AS525" s="189">
        <f t="shared" si="103"/>
        <v>5149</v>
      </c>
      <c r="AT525" s="189">
        <f t="shared" si="104"/>
        <v>10298</v>
      </c>
      <c r="AU525" s="50">
        <f t="shared" si="105"/>
        <v>10222.119999999999</v>
      </c>
    </row>
    <row r="526" spans="36:47">
      <c r="AJ526" s="50">
        <v>3</v>
      </c>
      <c r="AK526" s="50">
        <v>0</v>
      </c>
      <c r="AL526" s="50">
        <v>0</v>
      </c>
      <c r="AM526" s="15">
        <f>Tabela21[[#This Row],[Att subs]]+Tabela21[[#This Row],[Crit D subs]]</f>
        <v>1</v>
      </c>
      <c r="AN526" s="15">
        <v>0.6</v>
      </c>
      <c r="AO526" s="15">
        <v>0.4</v>
      </c>
      <c r="AP526" s="15">
        <v>0.6</v>
      </c>
      <c r="AQ526" s="189">
        <f t="shared" si="106"/>
        <v>5455.98</v>
      </c>
      <c r="AR526" s="189">
        <f t="shared" si="107"/>
        <v>5775.0099999999993</v>
      </c>
      <c r="AS526" s="189">
        <f t="shared" si="103"/>
        <v>5149</v>
      </c>
      <c r="AT526" s="189">
        <f t="shared" si="104"/>
        <v>10298</v>
      </c>
      <c r="AU526" s="50">
        <f t="shared" si="105"/>
        <v>11197.72</v>
      </c>
    </row>
    <row r="527" spans="36:47">
      <c r="AJ527" s="50">
        <v>3</v>
      </c>
      <c r="AK527" s="50">
        <v>0</v>
      </c>
      <c r="AL527" s="50">
        <v>0</v>
      </c>
      <c r="AM527" s="15">
        <f>Tabela21[[#This Row],[Att subs]]+Tabela21[[#This Row],[Crit D subs]]</f>
        <v>1</v>
      </c>
      <c r="AN527" s="15">
        <v>0.6</v>
      </c>
      <c r="AO527" s="15">
        <v>0.4</v>
      </c>
      <c r="AP527" s="15">
        <v>0.7</v>
      </c>
      <c r="AQ527" s="189">
        <f t="shared" si="106"/>
        <v>5731.38</v>
      </c>
      <c r="AR527" s="189">
        <f t="shared" si="107"/>
        <v>6127.31</v>
      </c>
      <c r="AS527" s="189">
        <f t="shared" si="103"/>
        <v>5149</v>
      </c>
      <c r="AT527" s="189">
        <f t="shared" si="104"/>
        <v>10298</v>
      </c>
      <c r="AU527" s="50">
        <f t="shared" si="105"/>
        <v>12173.32</v>
      </c>
    </row>
    <row r="528" spans="36:47">
      <c r="AJ528" s="50">
        <v>3</v>
      </c>
      <c r="AK528" s="50">
        <v>0</v>
      </c>
      <c r="AL528" s="50">
        <v>0</v>
      </c>
      <c r="AM528" s="15">
        <f>Tabela21[[#This Row],[Att subs]]+Tabela21[[#This Row],[Crit D subs]]</f>
        <v>1</v>
      </c>
      <c r="AN528" s="15">
        <v>0.6</v>
      </c>
      <c r="AO528" s="15">
        <v>0.4</v>
      </c>
      <c r="AP528" s="15">
        <v>0.8</v>
      </c>
      <c r="AQ528" s="189">
        <f t="shared" si="106"/>
        <v>5814</v>
      </c>
      <c r="AR528" s="189">
        <f t="shared" si="107"/>
        <v>6232.9999999999991</v>
      </c>
      <c r="AS528" s="189">
        <f t="shared" si="103"/>
        <v>5149</v>
      </c>
      <c r="AT528" s="189">
        <f t="shared" si="104"/>
        <v>10298</v>
      </c>
      <c r="AU528" s="50">
        <f t="shared" si="105"/>
        <v>12465.999999999998</v>
      </c>
    </row>
    <row r="529" spans="36:47">
      <c r="AJ529" s="50">
        <v>3</v>
      </c>
      <c r="AK529" s="50">
        <v>0</v>
      </c>
      <c r="AL529" s="50">
        <v>0</v>
      </c>
      <c r="AM529" s="15">
        <f>Tabela21[[#This Row],[Att subs]]+Tabela21[[#This Row],[Crit D subs]]</f>
        <v>1</v>
      </c>
      <c r="AN529" s="15">
        <v>0.6</v>
      </c>
      <c r="AO529" s="15">
        <v>0.4</v>
      </c>
      <c r="AP529" s="15">
        <v>0.9</v>
      </c>
      <c r="AQ529" s="189">
        <f t="shared" si="106"/>
        <v>5814</v>
      </c>
      <c r="AR529" s="189">
        <f t="shared" si="107"/>
        <v>6232.9999999999991</v>
      </c>
      <c r="AS529" s="189">
        <f t="shared" si="103"/>
        <v>5149</v>
      </c>
      <c r="AT529" s="189">
        <f t="shared" si="104"/>
        <v>10298</v>
      </c>
      <c r="AU529" s="50">
        <f t="shared" si="105"/>
        <v>12465.999999999998</v>
      </c>
    </row>
    <row r="530" spans="36:47">
      <c r="AJ530" s="50">
        <v>3</v>
      </c>
      <c r="AK530" s="50">
        <v>0</v>
      </c>
      <c r="AL530" s="50">
        <v>0</v>
      </c>
      <c r="AM530" s="15">
        <f>Tabela21[[#This Row],[Att subs]]+Tabela21[[#This Row],[Crit D subs]]</f>
        <v>1</v>
      </c>
      <c r="AN530" s="15">
        <v>0.6</v>
      </c>
      <c r="AO530" s="15">
        <v>0.4</v>
      </c>
      <c r="AP530" s="15">
        <v>1</v>
      </c>
      <c r="AQ530" s="189">
        <f t="shared" si="106"/>
        <v>5814</v>
      </c>
      <c r="AR530" s="189">
        <f t="shared" si="107"/>
        <v>6232.9999999999991</v>
      </c>
      <c r="AS530" s="189">
        <f t="shared" si="103"/>
        <v>5149</v>
      </c>
      <c r="AT530" s="189">
        <f t="shared" si="104"/>
        <v>10298</v>
      </c>
      <c r="AU530" s="50">
        <f t="shared" si="105"/>
        <v>12465.999999999998</v>
      </c>
    </row>
    <row r="531" spans="36:47">
      <c r="AJ531" s="50">
        <v>2</v>
      </c>
      <c r="AK531" s="50">
        <v>1</v>
      </c>
      <c r="AL531" s="50">
        <v>0</v>
      </c>
      <c r="AM531" s="15">
        <f>Tabela21[[#This Row],[Att subs]]+Tabela21[[#This Row],[Crit D subs]]</f>
        <v>1.2000000000000002</v>
      </c>
      <c r="AN531" s="15">
        <v>0.8</v>
      </c>
      <c r="AO531" s="15">
        <v>0.4</v>
      </c>
      <c r="AP531" s="15">
        <v>0</v>
      </c>
      <c r="AQ531" s="189">
        <f t="shared" si="106"/>
        <v>3959.0109999999995</v>
      </c>
      <c r="AR531" s="189">
        <f t="shared" si="107"/>
        <v>3753.866</v>
      </c>
      <c r="AS531" s="189">
        <f t="shared" si="103"/>
        <v>4314.6980000000003</v>
      </c>
      <c r="AT531" s="189">
        <f t="shared" si="104"/>
        <v>7384.7960000000003</v>
      </c>
      <c r="AU531" s="50">
        <f t="shared" si="105"/>
        <v>5653.5320000000002</v>
      </c>
    </row>
    <row r="532" spans="36:47">
      <c r="AJ532" s="50">
        <v>2</v>
      </c>
      <c r="AK532" s="50">
        <v>1</v>
      </c>
      <c r="AL532" s="50">
        <v>0</v>
      </c>
      <c r="AM532" s="15">
        <f>Tabela21[[#This Row],[Att subs]]+Tabela21[[#This Row],[Crit D subs]]</f>
        <v>1.2000000000000002</v>
      </c>
      <c r="AN532" s="15">
        <v>0.8</v>
      </c>
      <c r="AO532" s="15">
        <v>0.4</v>
      </c>
      <c r="AP532" s="15">
        <v>0.1</v>
      </c>
      <c r="AQ532" s="189">
        <f t="shared" si="106"/>
        <v>4354.9409999999998</v>
      </c>
      <c r="AR532" s="189">
        <f t="shared" si="107"/>
        <v>4203.4459999999999</v>
      </c>
      <c r="AS532" s="189">
        <f t="shared" si="103"/>
        <v>4662.6779999999999</v>
      </c>
      <c r="AT532" s="189">
        <f t="shared" si="104"/>
        <v>8334.7559999999994</v>
      </c>
      <c r="AU532" s="50">
        <f t="shared" si="105"/>
        <v>6806.6919999999991</v>
      </c>
    </row>
    <row r="533" spans="36:47">
      <c r="AJ533" s="50">
        <v>2</v>
      </c>
      <c r="AK533" s="50">
        <v>1</v>
      </c>
      <c r="AL533" s="50">
        <v>0</v>
      </c>
      <c r="AM533" s="15">
        <f>Tabela21[[#This Row],[Att subs]]+Tabela21[[#This Row],[Crit D subs]]</f>
        <v>1.2000000000000002</v>
      </c>
      <c r="AN533" s="15">
        <v>0.8</v>
      </c>
      <c r="AO533" s="15">
        <v>0.4</v>
      </c>
      <c r="AP533" s="15">
        <v>0.2</v>
      </c>
      <c r="AQ533" s="189">
        <f t="shared" si="106"/>
        <v>4750.8710000000001</v>
      </c>
      <c r="AR533" s="189">
        <f t="shared" si="107"/>
        <v>4653.0259999999989</v>
      </c>
      <c r="AS533" s="189">
        <f t="shared" si="103"/>
        <v>5010.6580000000004</v>
      </c>
      <c r="AT533" s="189">
        <f t="shared" si="104"/>
        <v>9284.7160000000003</v>
      </c>
      <c r="AU533" s="50">
        <f t="shared" si="105"/>
        <v>7959.851999999999</v>
      </c>
    </row>
    <row r="534" spans="36:47">
      <c r="AJ534" s="50">
        <v>2</v>
      </c>
      <c r="AK534" s="50">
        <v>1</v>
      </c>
      <c r="AL534" s="50">
        <v>0</v>
      </c>
      <c r="AM534" s="15">
        <f>Tabela21[[#This Row],[Att subs]]+Tabela21[[#This Row],[Crit D subs]]</f>
        <v>1.2000000000000002</v>
      </c>
      <c r="AN534" s="15">
        <v>0.8</v>
      </c>
      <c r="AO534" s="15">
        <v>0.4</v>
      </c>
      <c r="AP534" s="15">
        <v>0.3</v>
      </c>
      <c r="AQ534" s="189">
        <f t="shared" si="106"/>
        <v>5146.8009999999995</v>
      </c>
      <c r="AR534" s="189">
        <f t="shared" si="107"/>
        <v>5102.6060000000007</v>
      </c>
      <c r="AS534" s="189">
        <f t="shared" si="103"/>
        <v>5358.6379999999999</v>
      </c>
      <c r="AT534" s="189">
        <f t="shared" si="104"/>
        <v>10234.675999999999</v>
      </c>
      <c r="AU534" s="50">
        <f t="shared" si="105"/>
        <v>9113.0120000000006</v>
      </c>
    </row>
    <row r="535" spans="36:47">
      <c r="AJ535" s="50">
        <v>2</v>
      </c>
      <c r="AK535" s="50">
        <v>1</v>
      </c>
      <c r="AL535" s="50">
        <v>0</v>
      </c>
      <c r="AM535" s="15">
        <f>Tabela21[[#This Row],[Att subs]]+Tabela21[[#This Row],[Crit D subs]]</f>
        <v>1.2000000000000002</v>
      </c>
      <c r="AN535" s="15">
        <v>0.8</v>
      </c>
      <c r="AO535" s="15">
        <v>0.4</v>
      </c>
      <c r="AP535" s="15">
        <v>0.4</v>
      </c>
      <c r="AQ535" s="189">
        <f t="shared" si="106"/>
        <v>5542.7309999999998</v>
      </c>
      <c r="AR535" s="189">
        <f t="shared" si="107"/>
        <v>5552.1860000000006</v>
      </c>
      <c r="AS535" s="189">
        <f t="shared" si="103"/>
        <v>5706.6180000000004</v>
      </c>
      <c r="AT535" s="189">
        <f t="shared" si="104"/>
        <v>11184.636</v>
      </c>
      <c r="AU535" s="50">
        <f t="shared" si="105"/>
        <v>10266.172</v>
      </c>
    </row>
    <row r="536" spans="36:47">
      <c r="AJ536" s="50">
        <v>2</v>
      </c>
      <c r="AK536" s="50">
        <v>1</v>
      </c>
      <c r="AL536" s="50">
        <v>0</v>
      </c>
      <c r="AM536" s="15">
        <f>Tabela21[[#This Row],[Att subs]]+Tabela21[[#This Row],[Crit D subs]]</f>
        <v>1.2000000000000002</v>
      </c>
      <c r="AN536" s="15">
        <v>0.8</v>
      </c>
      <c r="AO536" s="15">
        <v>0.4</v>
      </c>
      <c r="AP536" s="15">
        <v>0.5</v>
      </c>
      <c r="AQ536" s="189">
        <f t="shared" si="106"/>
        <v>5938.6610000000001</v>
      </c>
      <c r="AR536" s="189">
        <f t="shared" si="107"/>
        <v>6001.7660000000005</v>
      </c>
      <c r="AS536" s="189">
        <f t="shared" si="103"/>
        <v>6019.8</v>
      </c>
      <c r="AT536" s="189">
        <f t="shared" si="104"/>
        <v>12039.6</v>
      </c>
      <c r="AU536" s="50">
        <f t="shared" si="105"/>
        <v>11419.332000000002</v>
      </c>
    </row>
    <row r="537" spans="36:47">
      <c r="AJ537" s="50">
        <v>2</v>
      </c>
      <c r="AK537" s="50">
        <v>1</v>
      </c>
      <c r="AL537" s="50">
        <v>0</v>
      </c>
      <c r="AM537" s="15">
        <f>Tabela21[[#This Row],[Att subs]]+Tabela21[[#This Row],[Crit D subs]]</f>
        <v>1.2000000000000002</v>
      </c>
      <c r="AN537" s="15">
        <v>0.8</v>
      </c>
      <c r="AO537" s="15">
        <v>0.4</v>
      </c>
      <c r="AP537" s="15">
        <v>0.6</v>
      </c>
      <c r="AQ537" s="189">
        <f t="shared" si="106"/>
        <v>6334.5909999999994</v>
      </c>
      <c r="AR537" s="189">
        <f t="shared" si="107"/>
        <v>6451.3459999999995</v>
      </c>
      <c r="AS537" s="189">
        <f t="shared" si="103"/>
        <v>6019.8</v>
      </c>
      <c r="AT537" s="189">
        <f t="shared" si="104"/>
        <v>12039.6</v>
      </c>
      <c r="AU537" s="50">
        <f t="shared" si="105"/>
        <v>12572.492</v>
      </c>
    </row>
    <row r="538" spans="36:47">
      <c r="AJ538" s="50">
        <v>2</v>
      </c>
      <c r="AK538" s="50">
        <v>1</v>
      </c>
      <c r="AL538" s="50">
        <v>0</v>
      </c>
      <c r="AM538" s="15">
        <f>Tabela21[[#This Row],[Att subs]]+Tabela21[[#This Row],[Crit D subs]]</f>
        <v>1.2000000000000002</v>
      </c>
      <c r="AN538" s="15">
        <v>0.8</v>
      </c>
      <c r="AO538" s="15">
        <v>0.4</v>
      </c>
      <c r="AP538" s="15">
        <v>0.7</v>
      </c>
      <c r="AQ538" s="189">
        <f t="shared" si="106"/>
        <v>6730.5209999999997</v>
      </c>
      <c r="AR538" s="189">
        <f t="shared" si="107"/>
        <v>6900.9259999999995</v>
      </c>
      <c r="AS538" s="189">
        <f t="shared" si="103"/>
        <v>6019.8</v>
      </c>
      <c r="AT538" s="189">
        <f t="shared" si="104"/>
        <v>12039.6</v>
      </c>
      <c r="AU538" s="50">
        <f t="shared" si="105"/>
        <v>13725.652000000002</v>
      </c>
    </row>
    <row r="539" spans="36:47">
      <c r="AJ539" s="50">
        <v>2</v>
      </c>
      <c r="AK539" s="50">
        <v>1</v>
      </c>
      <c r="AL539" s="50">
        <v>0</v>
      </c>
      <c r="AM539" s="15">
        <f>Tabela21[[#This Row],[Att subs]]+Tabela21[[#This Row],[Crit D subs]]</f>
        <v>1.2000000000000002</v>
      </c>
      <c r="AN539" s="15">
        <v>0.8</v>
      </c>
      <c r="AO539" s="15">
        <v>0.4</v>
      </c>
      <c r="AP539" s="15">
        <v>0.8</v>
      </c>
      <c r="AQ539" s="189">
        <f t="shared" si="106"/>
        <v>6849.3</v>
      </c>
      <c r="AR539" s="189">
        <f t="shared" si="107"/>
        <v>7035.8</v>
      </c>
      <c r="AS539" s="189">
        <f t="shared" si="103"/>
        <v>6019.8</v>
      </c>
      <c r="AT539" s="189">
        <f t="shared" si="104"/>
        <v>12039.6</v>
      </c>
      <c r="AU539" s="50">
        <f t="shared" si="105"/>
        <v>14071.6</v>
      </c>
    </row>
    <row r="540" spans="36:47">
      <c r="AJ540" s="50">
        <v>2</v>
      </c>
      <c r="AK540" s="50">
        <v>1</v>
      </c>
      <c r="AL540" s="50">
        <v>0</v>
      </c>
      <c r="AM540" s="15">
        <f>Tabela21[[#This Row],[Att subs]]+Tabela21[[#This Row],[Crit D subs]]</f>
        <v>1.2000000000000002</v>
      </c>
      <c r="AN540" s="15">
        <v>0.8</v>
      </c>
      <c r="AO540" s="15">
        <v>0.4</v>
      </c>
      <c r="AP540" s="15">
        <v>0.9</v>
      </c>
      <c r="AQ540" s="189">
        <f t="shared" si="106"/>
        <v>6849.3</v>
      </c>
      <c r="AR540" s="189">
        <f t="shared" si="107"/>
        <v>7035.8</v>
      </c>
      <c r="AS540" s="189">
        <f t="shared" si="103"/>
        <v>6019.8</v>
      </c>
      <c r="AT540" s="189">
        <f t="shared" si="104"/>
        <v>12039.6</v>
      </c>
      <c r="AU540" s="50">
        <f t="shared" si="105"/>
        <v>14071.6</v>
      </c>
    </row>
    <row r="541" spans="36:47">
      <c r="AJ541" s="50">
        <v>2</v>
      </c>
      <c r="AK541" s="50">
        <v>1</v>
      </c>
      <c r="AL541" s="50">
        <v>0</v>
      </c>
      <c r="AM541" s="15">
        <f>Tabela21[[#This Row],[Att subs]]+Tabela21[[#This Row],[Crit D subs]]</f>
        <v>1.2000000000000002</v>
      </c>
      <c r="AN541" s="15">
        <v>0.8</v>
      </c>
      <c r="AO541" s="15">
        <v>0.4</v>
      </c>
      <c r="AP541" s="15">
        <v>1</v>
      </c>
      <c r="AQ541" s="189">
        <f t="shared" si="106"/>
        <v>6849.3</v>
      </c>
      <c r="AR541" s="189">
        <f t="shared" si="107"/>
        <v>7035.8</v>
      </c>
      <c r="AS541" s="189">
        <f t="shared" si="103"/>
        <v>6019.8</v>
      </c>
      <c r="AT541" s="189">
        <f t="shared" si="104"/>
        <v>12039.6</v>
      </c>
      <c r="AU541" s="50">
        <f t="shared" si="105"/>
        <v>14071.6</v>
      </c>
    </row>
    <row r="542" spans="36:47">
      <c r="AJ542" s="50">
        <v>2</v>
      </c>
      <c r="AK542" s="50">
        <v>0</v>
      </c>
      <c r="AL542" s="50">
        <v>1</v>
      </c>
      <c r="AM542" s="15">
        <f>Tabela21[[#This Row],[Att subs]]+Tabela21[[#This Row],[Crit D subs]]</f>
        <v>1.2000000000000002</v>
      </c>
      <c r="AN542" s="15">
        <v>0.8</v>
      </c>
      <c r="AO542" s="15">
        <v>0.4</v>
      </c>
      <c r="AP542" s="15">
        <v>0</v>
      </c>
      <c r="AQ542" s="189">
        <f t="shared" si="106"/>
        <v>4502.62</v>
      </c>
      <c r="AR542" s="189">
        <f t="shared" si="107"/>
        <v>4587.24</v>
      </c>
      <c r="AS542" s="189">
        <f t="shared" si="103"/>
        <v>4505.96</v>
      </c>
      <c r="AT542" s="189">
        <f t="shared" si="104"/>
        <v>8656.32</v>
      </c>
      <c r="AU542" s="50">
        <f t="shared" si="105"/>
        <v>8209.2799999999988</v>
      </c>
    </row>
    <row r="543" spans="36:47">
      <c r="AJ543" s="50">
        <v>2</v>
      </c>
      <c r="AK543" s="50">
        <v>0</v>
      </c>
      <c r="AL543" s="50">
        <v>1</v>
      </c>
      <c r="AM543" s="15">
        <f>Tabela21[[#This Row],[Att subs]]+Tabela21[[#This Row],[Crit D subs]]</f>
        <v>1.2000000000000002</v>
      </c>
      <c r="AN543" s="15">
        <v>0.8</v>
      </c>
      <c r="AO543" s="15">
        <v>0.4</v>
      </c>
      <c r="AP543" s="15">
        <v>0.1</v>
      </c>
      <c r="AQ543" s="189">
        <f t="shared" si="106"/>
        <v>4762.7199999999993</v>
      </c>
      <c r="AR543" s="189">
        <f t="shared" si="107"/>
        <v>4917.4399999999996</v>
      </c>
      <c r="AS543" s="189">
        <f t="shared" si="103"/>
        <v>4734.5599999999995</v>
      </c>
      <c r="AT543" s="189">
        <f t="shared" si="104"/>
        <v>9367.5199999999986</v>
      </c>
      <c r="AU543" s="50">
        <f t="shared" si="105"/>
        <v>9123.6799999999985</v>
      </c>
    </row>
    <row r="544" spans="36:47">
      <c r="AJ544" s="50">
        <v>2</v>
      </c>
      <c r="AK544" s="50">
        <v>0</v>
      </c>
      <c r="AL544" s="50">
        <v>1</v>
      </c>
      <c r="AM544" s="15">
        <f>Tabela21[[#This Row],[Att subs]]+Tabela21[[#This Row],[Crit D subs]]</f>
        <v>1.2000000000000002</v>
      </c>
      <c r="AN544" s="15">
        <v>0.8</v>
      </c>
      <c r="AO544" s="15">
        <v>0.4</v>
      </c>
      <c r="AP544" s="15">
        <v>0.2</v>
      </c>
      <c r="AQ544" s="189">
        <f t="shared" si="106"/>
        <v>5022.82</v>
      </c>
      <c r="AR544" s="189">
        <f t="shared" si="107"/>
        <v>5247.6399999999994</v>
      </c>
      <c r="AS544" s="189">
        <f t="shared" si="103"/>
        <v>4826</v>
      </c>
      <c r="AT544" s="189">
        <f t="shared" si="104"/>
        <v>9652</v>
      </c>
      <c r="AU544" s="50">
        <f t="shared" si="105"/>
        <v>10038.079999999998</v>
      </c>
    </row>
    <row r="545" spans="36:47">
      <c r="AJ545" s="50">
        <v>2</v>
      </c>
      <c r="AK545" s="50">
        <v>0</v>
      </c>
      <c r="AL545" s="50">
        <v>1</v>
      </c>
      <c r="AM545" s="15">
        <f>Tabela21[[#This Row],[Att subs]]+Tabela21[[#This Row],[Crit D subs]]</f>
        <v>1.2000000000000002</v>
      </c>
      <c r="AN545" s="15">
        <v>0.8</v>
      </c>
      <c r="AO545" s="15">
        <v>0.4</v>
      </c>
      <c r="AP545" s="15">
        <v>0.3</v>
      </c>
      <c r="AQ545" s="189">
        <f t="shared" si="106"/>
        <v>5282.92</v>
      </c>
      <c r="AR545" s="189">
        <f t="shared" si="107"/>
        <v>5577.84</v>
      </c>
      <c r="AS545" s="189">
        <f t="shared" si="103"/>
        <v>4826</v>
      </c>
      <c r="AT545" s="189">
        <f t="shared" si="104"/>
        <v>9652</v>
      </c>
      <c r="AU545" s="50">
        <f t="shared" si="105"/>
        <v>10952.480000000001</v>
      </c>
    </row>
    <row r="546" spans="36:47">
      <c r="AJ546" s="50">
        <v>2</v>
      </c>
      <c r="AK546" s="50">
        <v>0</v>
      </c>
      <c r="AL546" s="50">
        <v>1</v>
      </c>
      <c r="AM546" s="15">
        <f>Tabela21[[#This Row],[Att subs]]+Tabela21[[#This Row],[Crit D subs]]</f>
        <v>1.2000000000000002</v>
      </c>
      <c r="AN546" s="15">
        <v>0.8</v>
      </c>
      <c r="AO546" s="15">
        <v>0.4</v>
      </c>
      <c r="AP546" s="15">
        <v>0.4</v>
      </c>
      <c r="AQ546" s="189">
        <f t="shared" si="106"/>
        <v>5491</v>
      </c>
      <c r="AR546" s="189">
        <f t="shared" si="107"/>
        <v>5842</v>
      </c>
      <c r="AS546" s="189">
        <f t="shared" si="103"/>
        <v>4826</v>
      </c>
      <c r="AT546" s="189">
        <f t="shared" si="104"/>
        <v>9652</v>
      </c>
      <c r="AU546" s="50">
        <f t="shared" si="105"/>
        <v>11684</v>
      </c>
    </row>
    <row r="547" spans="36:47">
      <c r="AJ547" s="50">
        <v>2</v>
      </c>
      <c r="AK547" s="50">
        <v>0</v>
      </c>
      <c r="AL547" s="50">
        <v>1</v>
      </c>
      <c r="AM547" s="15">
        <f>Tabela21[[#This Row],[Att subs]]+Tabela21[[#This Row],[Crit D subs]]</f>
        <v>1.2000000000000002</v>
      </c>
      <c r="AN547" s="15">
        <v>0.8</v>
      </c>
      <c r="AO547" s="15">
        <v>0.4</v>
      </c>
      <c r="AP547" s="15">
        <v>0.5</v>
      </c>
      <c r="AQ547" s="189">
        <f t="shared" si="106"/>
        <v>5491</v>
      </c>
      <c r="AR547" s="189">
        <f t="shared" si="107"/>
        <v>5842</v>
      </c>
      <c r="AS547" s="189">
        <f t="shared" si="103"/>
        <v>4826</v>
      </c>
      <c r="AT547" s="189">
        <f t="shared" si="104"/>
        <v>9652</v>
      </c>
      <c r="AU547" s="50">
        <f t="shared" si="105"/>
        <v>11684</v>
      </c>
    </row>
    <row r="548" spans="36:47">
      <c r="AJ548" s="50">
        <v>2</v>
      </c>
      <c r="AK548" s="50">
        <v>0</v>
      </c>
      <c r="AL548" s="50">
        <v>1</v>
      </c>
      <c r="AM548" s="15">
        <f>Tabela21[[#This Row],[Att subs]]+Tabela21[[#This Row],[Crit D subs]]</f>
        <v>1.2000000000000002</v>
      </c>
      <c r="AN548" s="15">
        <v>0.8</v>
      </c>
      <c r="AO548" s="15">
        <v>0.4</v>
      </c>
      <c r="AP548" s="15">
        <v>0.6</v>
      </c>
      <c r="AQ548" s="189">
        <f t="shared" si="106"/>
        <v>5491</v>
      </c>
      <c r="AR548" s="189">
        <f t="shared" si="107"/>
        <v>5842</v>
      </c>
      <c r="AS548" s="189">
        <f t="shared" si="103"/>
        <v>4826</v>
      </c>
      <c r="AT548" s="189">
        <f t="shared" si="104"/>
        <v>9652</v>
      </c>
      <c r="AU548" s="50">
        <f t="shared" si="105"/>
        <v>11684</v>
      </c>
    </row>
    <row r="549" spans="36:47">
      <c r="AJ549" s="50">
        <v>2</v>
      </c>
      <c r="AK549" s="50">
        <v>0</v>
      </c>
      <c r="AL549" s="50">
        <v>1</v>
      </c>
      <c r="AM549" s="15">
        <f>Tabela21[[#This Row],[Att subs]]+Tabela21[[#This Row],[Crit D subs]]</f>
        <v>1.2000000000000002</v>
      </c>
      <c r="AN549" s="15">
        <v>0.8</v>
      </c>
      <c r="AO549" s="15">
        <v>0.4</v>
      </c>
      <c r="AP549" s="15">
        <v>0.7</v>
      </c>
      <c r="AQ549" s="189">
        <f t="shared" si="106"/>
        <v>5491</v>
      </c>
      <c r="AR549" s="189">
        <f t="shared" si="107"/>
        <v>5842</v>
      </c>
      <c r="AS549" s="189">
        <f t="shared" si="103"/>
        <v>4826</v>
      </c>
      <c r="AT549" s="189">
        <f t="shared" si="104"/>
        <v>9652</v>
      </c>
      <c r="AU549" s="50">
        <f t="shared" si="105"/>
        <v>11684</v>
      </c>
    </row>
    <row r="550" spans="36:47">
      <c r="AJ550" s="50">
        <v>2</v>
      </c>
      <c r="AK550" s="50">
        <v>0</v>
      </c>
      <c r="AL550" s="50">
        <v>1</v>
      </c>
      <c r="AM550" s="15">
        <f>Tabela21[[#This Row],[Att subs]]+Tabela21[[#This Row],[Crit D subs]]</f>
        <v>1.2000000000000002</v>
      </c>
      <c r="AN550" s="15">
        <v>0.8</v>
      </c>
      <c r="AO550" s="15">
        <v>0.4</v>
      </c>
      <c r="AP550" s="15">
        <v>0.8</v>
      </c>
      <c r="AQ550" s="189">
        <f t="shared" si="106"/>
        <v>5491</v>
      </c>
      <c r="AR550" s="189">
        <f t="shared" si="107"/>
        <v>5842</v>
      </c>
      <c r="AS550" s="189">
        <f t="shared" si="103"/>
        <v>4826</v>
      </c>
      <c r="AT550" s="189">
        <f t="shared" si="104"/>
        <v>9652</v>
      </c>
      <c r="AU550" s="50">
        <f t="shared" si="105"/>
        <v>11684</v>
      </c>
    </row>
    <row r="551" spans="36:47">
      <c r="AJ551" s="50">
        <v>2</v>
      </c>
      <c r="AK551" s="50">
        <v>0</v>
      </c>
      <c r="AL551" s="50">
        <v>1</v>
      </c>
      <c r="AM551" s="15">
        <f>Tabela21[[#This Row],[Att subs]]+Tabela21[[#This Row],[Crit D subs]]</f>
        <v>1.2000000000000002</v>
      </c>
      <c r="AN551" s="15">
        <v>0.8</v>
      </c>
      <c r="AO551" s="15">
        <v>0.4</v>
      </c>
      <c r="AP551" s="15">
        <v>0.9</v>
      </c>
      <c r="AQ551" s="189">
        <f t="shared" si="106"/>
        <v>5491</v>
      </c>
      <c r="AR551" s="189">
        <f t="shared" si="107"/>
        <v>5842</v>
      </c>
      <c r="AS551" s="189">
        <f t="shared" si="103"/>
        <v>4826</v>
      </c>
      <c r="AT551" s="189">
        <f t="shared" si="104"/>
        <v>9652</v>
      </c>
      <c r="AU551" s="50">
        <f t="shared" si="105"/>
        <v>11684</v>
      </c>
    </row>
    <row r="552" spans="36:47">
      <c r="AJ552" s="50">
        <v>2</v>
      </c>
      <c r="AK552" s="50">
        <v>0</v>
      </c>
      <c r="AL552" s="50">
        <v>1</v>
      </c>
      <c r="AM552" s="15">
        <f>Tabela21[[#This Row],[Att subs]]+Tabela21[[#This Row],[Crit D subs]]</f>
        <v>1.2000000000000002</v>
      </c>
      <c r="AN552" s="15">
        <v>0.8</v>
      </c>
      <c r="AO552" s="15">
        <v>0.4</v>
      </c>
      <c r="AP552" s="15">
        <v>1</v>
      </c>
      <c r="AQ552" s="189">
        <f t="shared" si="106"/>
        <v>5491</v>
      </c>
      <c r="AR552" s="189">
        <f t="shared" si="107"/>
        <v>5842</v>
      </c>
      <c r="AS552" s="189">
        <f t="shared" si="103"/>
        <v>4826</v>
      </c>
      <c r="AT552" s="189">
        <f t="shared" si="104"/>
        <v>9652</v>
      </c>
      <c r="AU552" s="50">
        <f t="shared" si="105"/>
        <v>11684</v>
      </c>
    </row>
    <row r="553" spans="36:47">
      <c r="AJ553" s="50">
        <v>3</v>
      </c>
      <c r="AK553" s="50">
        <v>0</v>
      </c>
      <c r="AL553" s="50">
        <v>0</v>
      </c>
      <c r="AM553" s="15">
        <f>Tabela21[[#This Row],[Att subs]]+Tabela21[[#This Row],[Crit D subs]]</f>
        <v>1.2000000000000002</v>
      </c>
      <c r="AN553" s="15">
        <v>0.8</v>
      </c>
      <c r="AO553" s="15">
        <v>0.4</v>
      </c>
      <c r="AP553" s="15">
        <v>0</v>
      </c>
      <c r="AQ553" s="189">
        <f t="shared" si="106"/>
        <v>4052.1800000000003</v>
      </c>
      <c r="AR553" s="189">
        <f t="shared" si="107"/>
        <v>3931.41</v>
      </c>
      <c r="AS553" s="189">
        <f t="shared" si="103"/>
        <v>4245.6900000000005</v>
      </c>
      <c r="AT553" s="189">
        <f t="shared" si="104"/>
        <v>7065.48</v>
      </c>
      <c r="AU553" s="50">
        <f t="shared" si="105"/>
        <v>5738.5199999999995</v>
      </c>
    </row>
    <row r="554" spans="36:47">
      <c r="AJ554" s="50">
        <v>3</v>
      </c>
      <c r="AK554" s="50">
        <v>0</v>
      </c>
      <c r="AL554" s="50">
        <v>0</v>
      </c>
      <c r="AM554" s="15">
        <f>Tabela21[[#This Row],[Att subs]]+Tabela21[[#This Row],[Crit D subs]]</f>
        <v>1.2000000000000002</v>
      </c>
      <c r="AN554" s="15">
        <v>0.8</v>
      </c>
      <c r="AO554" s="15">
        <v>0.4</v>
      </c>
      <c r="AP554" s="15">
        <v>0.1</v>
      </c>
      <c r="AQ554" s="189">
        <f t="shared" si="106"/>
        <v>4345.5800000000008</v>
      </c>
      <c r="AR554" s="189">
        <f t="shared" si="107"/>
        <v>4309.71</v>
      </c>
      <c r="AS554" s="189">
        <f t="shared" si="103"/>
        <v>4507.59</v>
      </c>
      <c r="AT554" s="189">
        <f t="shared" si="104"/>
        <v>7880.2800000000007</v>
      </c>
      <c r="AU554" s="50">
        <f t="shared" si="105"/>
        <v>6786.12</v>
      </c>
    </row>
    <row r="555" spans="36:47">
      <c r="AJ555" s="50">
        <v>3</v>
      </c>
      <c r="AK555" s="50">
        <v>0</v>
      </c>
      <c r="AL555" s="50">
        <v>0</v>
      </c>
      <c r="AM555" s="15">
        <f>Tabela21[[#This Row],[Att subs]]+Tabela21[[#This Row],[Crit D subs]]</f>
        <v>1.2000000000000002</v>
      </c>
      <c r="AN555" s="15">
        <v>0.8</v>
      </c>
      <c r="AO555" s="15">
        <v>0.4</v>
      </c>
      <c r="AP555" s="15">
        <v>0.2</v>
      </c>
      <c r="AQ555" s="189">
        <f t="shared" si="106"/>
        <v>4638.9800000000005</v>
      </c>
      <c r="AR555" s="189">
        <f t="shared" si="107"/>
        <v>4688.0099999999993</v>
      </c>
      <c r="AS555" s="189">
        <f t="shared" si="103"/>
        <v>4769.49</v>
      </c>
      <c r="AT555" s="189">
        <f t="shared" si="104"/>
        <v>8695.08</v>
      </c>
      <c r="AU555" s="50">
        <f t="shared" si="105"/>
        <v>7833.7199999999993</v>
      </c>
    </row>
    <row r="556" spans="36:47">
      <c r="AJ556" s="50">
        <v>3</v>
      </c>
      <c r="AK556" s="50">
        <v>0</v>
      </c>
      <c r="AL556" s="50">
        <v>0</v>
      </c>
      <c r="AM556" s="15">
        <f>Tabela21[[#This Row],[Att subs]]+Tabela21[[#This Row],[Crit D subs]]</f>
        <v>1.2000000000000002</v>
      </c>
      <c r="AN556" s="15">
        <v>0.8</v>
      </c>
      <c r="AO556" s="15">
        <v>0.4</v>
      </c>
      <c r="AP556" s="15">
        <v>0.3</v>
      </c>
      <c r="AQ556" s="189">
        <f t="shared" si="106"/>
        <v>4932.38</v>
      </c>
      <c r="AR556" s="189">
        <f t="shared" si="107"/>
        <v>5066.3099999999986</v>
      </c>
      <c r="AS556" s="189">
        <f t="shared" si="103"/>
        <v>5031.3900000000003</v>
      </c>
      <c r="AT556" s="189">
        <f t="shared" si="104"/>
        <v>9509.8799999999992</v>
      </c>
      <c r="AU556" s="50">
        <f t="shared" si="105"/>
        <v>8881.32</v>
      </c>
    </row>
    <row r="557" spans="36:47">
      <c r="AJ557" s="50">
        <v>3</v>
      </c>
      <c r="AK557" s="50">
        <v>0</v>
      </c>
      <c r="AL557" s="50">
        <v>0</v>
      </c>
      <c r="AM557" s="15">
        <f>Tabela21[[#This Row],[Att subs]]+Tabela21[[#This Row],[Crit D subs]]</f>
        <v>1.2000000000000002</v>
      </c>
      <c r="AN557" s="15">
        <v>0.8</v>
      </c>
      <c r="AO557" s="15">
        <v>0.4</v>
      </c>
      <c r="AP557" s="15">
        <v>0.4</v>
      </c>
      <c r="AQ557" s="189">
        <f t="shared" si="106"/>
        <v>5225.78</v>
      </c>
      <c r="AR557" s="189">
        <f t="shared" si="107"/>
        <v>5444.61</v>
      </c>
      <c r="AS557" s="189">
        <f t="shared" si="103"/>
        <v>5293.29</v>
      </c>
      <c r="AT557" s="189">
        <f t="shared" si="104"/>
        <v>10324.679999999998</v>
      </c>
      <c r="AU557" s="50">
        <f t="shared" si="105"/>
        <v>9928.92</v>
      </c>
    </row>
    <row r="558" spans="36:47">
      <c r="AJ558" s="50">
        <v>3</v>
      </c>
      <c r="AK558" s="50">
        <v>0</v>
      </c>
      <c r="AL558" s="50">
        <v>0</v>
      </c>
      <c r="AM558" s="15">
        <f>Tabela21[[#This Row],[Att subs]]+Tabela21[[#This Row],[Crit D subs]]</f>
        <v>1.2000000000000002</v>
      </c>
      <c r="AN558" s="15">
        <v>0.8</v>
      </c>
      <c r="AO558" s="15">
        <v>0.4</v>
      </c>
      <c r="AP558" s="15">
        <v>0.5</v>
      </c>
      <c r="AQ558" s="189">
        <f t="shared" si="106"/>
        <v>5519.18</v>
      </c>
      <c r="AR558" s="189">
        <f t="shared" si="107"/>
        <v>5822.91</v>
      </c>
      <c r="AS558" s="189">
        <f t="shared" si="103"/>
        <v>5529</v>
      </c>
      <c r="AT558" s="189">
        <f t="shared" si="104"/>
        <v>11058</v>
      </c>
      <c r="AU558" s="50">
        <f t="shared" si="105"/>
        <v>10976.519999999999</v>
      </c>
    </row>
    <row r="559" spans="36:47">
      <c r="AJ559" s="50">
        <v>3</v>
      </c>
      <c r="AK559" s="50">
        <v>0</v>
      </c>
      <c r="AL559" s="50">
        <v>0</v>
      </c>
      <c r="AM559" s="15">
        <f>Tabela21[[#This Row],[Att subs]]+Tabela21[[#This Row],[Crit D subs]]</f>
        <v>1.2000000000000002</v>
      </c>
      <c r="AN559" s="15">
        <v>0.8</v>
      </c>
      <c r="AO559" s="15">
        <v>0.4</v>
      </c>
      <c r="AP559" s="15">
        <v>0.6</v>
      </c>
      <c r="AQ559" s="189">
        <f t="shared" si="106"/>
        <v>5812.5800000000008</v>
      </c>
      <c r="AR559" s="189">
        <f t="shared" si="107"/>
        <v>6201.2099999999991</v>
      </c>
      <c r="AS559" s="189">
        <f t="shared" si="103"/>
        <v>5529</v>
      </c>
      <c r="AT559" s="189">
        <f t="shared" si="104"/>
        <v>11058</v>
      </c>
      <c r="AU559" s="50">
        <f t="shared" si="105"/>
        <v>12024.119999999999</v>
      </c>
    </row>
    <row r="560" spans="36:47">
      <c r="AJ560" s="50">
        <v>3</v>
      </c>
      <c r="AK560" s="50">
        <v>0</v>
      </c>
      <c r="AL560" s="50">
        <v>0</v>
      </c>
      <c r="AM560" s="15">
        <f>Tabela21[[#This Row],[Att subs]]+Tabela21[[#This Row],[Crit D subs]]</f>
        <v>1.2000000000000002</v>
      </c>
      <c r="AN560" s="15">
        <v>0.8</v>
      </c>
      <c r="AO560" s="15">
        <v>0.4</v>
      </c>
      <c r="AP560" s="15">
        <v>0.7</v>
      </c>
      <c r="AQ560" s="189">
        <f t="shared" si="106"/>
        <v>6105.9800000000005</v>
      </c>
      <c r="AR560" s="189">
        <f t="shared" si="107"/>
        <v>6579.51</v>
      </c>
      <c r="AS560" s="189">
        <f t="shared" si="103"/>
        <v>5529</v>
      </c>
      <c r="AT560" s="189">
        <f t="shared" si="104"/>
        <v>11058</v>
      </c>
      <c r="AU560" s="50">
        <f t="shared" si="105"/>
        <v>13071.72</v>
      </c>
    </row>
    <row r="561" spans="36:47">
      <c r="AJ561" s="50">
        <v>3</v>
      </c>
      <c r="AK561" s="50">
        <v>0</v>
      </c>
      <c r="AL561" s="50">
        <v>0</v>
      </c>
      <c r="AM561" s="15">
        <f>Tabela21[[#This Row],[Att subs]]+Tabela21[[#This Row],[Crit D subs]]</f>
        <v>1.2000000000000002</v>
      </c>
      <c r="AN561" s="15">
        <v>0.8</v>
      </c>
      <c r="AO561" s="15">
        <v>0.4</v>
      </c>
      <c r="AP561" s="15">
        <v>0.8</v>
      </c>
      <c r="AQ561" s="189">
        <f t="shared" si="106"/>
        <v>6194.0000000000009</v>
      </c>
      <c r="AR561" s="189">
        <f t="shared" si="107"/>
        <v>6692.9999999999991</v>
      </c>
      <c r="AS561" s="189">
        <f t="shared" si="103"/>
        <v>5529</v>
      </c>
      <c r="AT561" s="189">
        <f t="shared" si="104"/>
        <v>11058</v>
      </c>
      <c r="AU561" s="50">
        <f t="shared" si="105"/>
        <v>13385.999999999998</v>
      </c>
    </row>
    <row r="562" spans="36:47">
      <c r="AJ562" s="50">
        <v>3</v>
      </c>
      <c r="AK562" s="50">
        <v>0</v>
      </c>
      <c r="AL562" s="50">
        <v>0</v>
      </c>
      <c r="AM562" s="15">
        <f>Tabela21[[#This Row],[Att subs]]+Tabela21[[#This Row],[Crit D subs]]</f>
        <v>1.2000000000000002</v>
      </c>
      <c r="AN562" s="15">
        <v>0.8</v>
      </c>
      <c r="AO562" s="15">
        <v>0.4</v>
      </c>
      <c r="AP562" s="15">
        <v>0.9</v>
      </c>
      <c r="AQ562" s="189">
        <f t="shared" si="106"/>
        <v>6194.0000000000009</v>
      </c>
      <c r="AR562" s="189">
        <f t="shared" si="107"/>
        <v>6692.9999999999991</v>
      </c>
      <c r="AS562" s="189">
        <f t="shared" si="103"/>
        <v>5529</v>
      </c>
      <c r="AT562" s="189">
        <f t="shared" si="104"/>
        <v>11058</v>
      </c>
      <c r="AU562" s="50">
        <f t="shared" si="105"/>
        <v>13385.999999999998</v>
      </c>
    </row>
    <row r="563" spans="36:47">
      <c r="AJ563" s="50">
        <v>3</v>
      </c>
      <c r="AK563" s="50">
        <v>0</v>
      </c>
      <c r="AL563" s="50">
        <v>0</v>
      </c>
      <c r="AM563" s="15">
        <f>Tabela21[[#This Row],[Att subs]]+Tabela21[[#This Row],[Crit D subs]]</f>
        <v>1.2000000000000002</v>
      </c>
      <c r="AN563" s="15">
        <v>0.8</v>
      </c>
      <c r="AO563" s="15">
        <v>0.4</v>
      </c>
      <c r="AP563" s="15">
        <v>1</v>
      </c>
      <c r="AQ563" s="189">
        <f t="shared" si="106"/>
        <v>6194.0000000000009</v>
      </c>
      <c r="AR563" s="189">
        <f t="shared" si="107"/>
        <v>6692.9999999999991</v>
      </c>
      <c r="AS563" s="189">
        <f t="shared" si="103"/>
        <v>5529</v>
      </c>
      <c r="AT563" s="189">
        <f t="shared" si="104"/>
        <v>11058</v>
      </c>
      <c r="AU563" s="50">
        <f t="shared" si="105"/>
        <v>13385.999999999998</v>
      </c>
    </row>
    <row r="564" spans="36:47">
      <c r="AJ564" s="50">
        <v>2</v>
      </c>
      <c r="AK564" s="50">
        <v>1</v>
      </c>
      <c r="AL564" s="50">
        <v>0</v>
      </c>
      <c r="AM564" s="15">
        <f>Tabela21[[#This Row],[Att subs]]+Tabela21[[#This Row],[Crit D subs]]</f>
        <v>1.4</v>
      </c>
      <c r="AN564" s="15">
        <v>1</v>
      </c>
      <c r="AO564" s="15">
        <v>0.4</v>
      </c>
      <c r="AP564" s="15">
        <v>0</v>
      </c>
      <c r="AQ564" s="189">
        <f t="shared" si="106"/>
        <v>4232.991</v>
      </c>
      <c r="AR564" s="189">
        <f t="shared" si="107"/>
        <v>4049.4459999999999</v>
      </c>
      <c r="AS564" s="189">
        <f t="shared" si="103"/>
        <v>4654.4380000000001</v>
      </c>
      <c r="AT564" s="189">
        <f t="shared" si="104"/>
        <v>7966.2759999999998</v>
      </c>
      <c r="AU564" s="50">
        <f t="shared" si="105"/>
        <v>6098.692</v>
      </c>
    </row>
    <row r="565" spans="36:47">
      <c r="AJ565" s="50">
        <v>2</v>
      </c>
      <c r="AK565" s="50">
        <v>1</v>
      </c>
      <c r="AL565" s="50">
        <v>0</v>
      </c>
      <c r="AM565" s="15">
        <f>Tabela21[[#This Row],[Att subs]]+Tabela21[[#This Row],[Crit D subs]]</f>
        <v>1.4</v>
      </c>
      <c r="AN565" s="15">
        <v>1</v>
      </c>
      <c r="AO565" s="15">
        <v>0.4</v>
      </c>
      <c r="AP565" s="15">
        <v>0.1</v>
      </c>
      <c r="AQ565" s="189">
        <f t="shared" si="106"/>
        <v>4656.3210000000008</v>
      </c>
      <c r="AR565" s="189">
        <f t="shared" si="107"/>
        <v>4534.4260000000004</v>
      </c>
      <c r="AS565" s="189">
        <f t="shared" si="103"/>
        <v>5029.8180000000002</v>
      </c>
      <c r="AT565" s="189">
        <f t="shared" si="104"/>
        <v>8991.0360000000001</v>
      </c>
      <c r="AU565" s="50">
        <f t="shared" si="105"/>
        <v>7342.6519999999991</v>
      </c>
    </row>
    <row r="566" spans="36:47">
      <c r="AJ566" s="50">
        <v>2</v>
      </c>
      <c r="AK566" s="50">
        <v>1</v>
      </c>
      <c r="AL566" s="50">
        <v>0</v>
      </c>
      <c r="AM566" s="15">
        <f>Tabela21[[#This Row],[Att subs]]+Tabela21[[#This Row],[Crit D subs]]</f>
        <v>1.4</v>
      </c>
      <c r="AN566" s="15">
        <v>1</v>
      </c>
      <c r="AO566" s="15">
        <v>0.4</v>
      </c>
      <c r="AP566" s="15">
        <v>0.2</v>
      </c>
      <c r="AQ566" s="189">
        <f t="shared" si="106"/>
        <v>5079.6510000000007</v>
      </c>
      <c r="AR566" s="189">
        <f t="shared" si="107"/>
        <v>5019.405999999999</v>
      </c>
      <c r="AS566" s="189">
        <f t="shared" si="103"/>
        <v>5405.1980000000003</v>
      </c>
      <c r="AT566" s="189">
        <f t="shared" si="104"/>
        <v>10015.796</v>
      </c>
      <c r="AU566" s="50">
        <f t="shared" si="105"/>
        <v>8586.6119999999992</v>
      </c>
    </row>
    <row r="567" spans="36:47">
      <c r="AJ567" s="50">
        <v>2</v>
      </c>
      <c r="AK567" s="50">
        <v>1</v>
      </c>
      <c r="AL567" s="50">
        <v>0</v>
      </c>
      <c r="AM567" s="15">
        <f>Tabela21[[#This Row],[Att subs]]+Tabela21[[#This Row],[Crit D subs]]</f>
        <v>1.4</v>
      </c>
      <c r="AN567" s="15">
        <v>1</v>
      </c>
      <c r="AO567" s="15">
        <v>0.4</v>
      </c>
      <c r="AP567" s="15">
        <v>0.3</v>
      </c>
      <c r="AQ567" s="189">
        <f t="shared" si="106"/>
        <v>5502.9810000000007</v>
      </c>
      <c r="AR567" s="189">
        <f t="shared" si="107"/>
        <v>5504.3860000000004</v>
      </c>
      <c r="AS567" s="189">
        <f t="shared" si="103"/>
        <v>5780.5780000000004</v>
      </c>
      <c r="AT567" s="189">
        <f t="shared" si="104"/>
        <v>11040.556</v>
      </c>
      <c r="AU567" s="50">
        <f t="shared" si="105"/>
        <v>9830.5720000000001</v>
      </c>
    </row>
    <row r="568" spans="36:47">
      <c r="AJ568" s="50">
        <v>2</v>
      </c>
      <c r="AK568" s="50">
        <v>1</v>
      </c>
      <c r="AL568" s="50">
        <v>0</v>
      </c>
      <c r="AM568" s="15">
        <f>Tabela21[[#This Row],[Att subs]]+Tabela21[[#This Row],[Crit D subs]]</f>
        <v>1.4</v>
      </c>
      <c r="AN568" s="15">
        <v>1</v>
      </c>
      <c r="AO568" s="15">
        <v>0.4</v>
      </c>
      <c r="AP568" s="15">
        <v>0.4</v>
      </c>
      <c r="AQ568" s="189">
        <f t="shared" si="106"/>
        <v>5926.3110000000006</v>
      </c>
      <c r="AR568" s="189">
        <f t="shared" si="107"/>
        <v>5989.3660000000009</v>
      </c>
      <c r="AS568" s="189">
        <f t="shared" si="103"/>
        <v>6155.9580000000005</v>
      </c>
      <c r="AT568" s="189">
        <f t="shared" si="104"/>
        <v>12065.316000000001</v>
      </c>
      <c r="AU568" s="50">
        <f t="shared" si="105"/>
        <v>11074.532000000001</v>
      </c>
    </row>
    <row r="569" spans="36:47">
      <c r="AJ569" s="50">
        <v>2</v>
      </c>
      <c r="AK569" s="50">
        <v>1</v>
      </c>
      <c r="AL569" s="50">
        <v>0</v>
      </c>
      <c r="AM569" s="15">
        <f>Tabela21[[#This Row],[Att subs]]+Tabela21[[#This Row],[Crit D subs]]</f>
        <v>1.4</v>
      </c>
      <c r="AN569" s="15">
        <v>1</v>
      </c>
      <c r="AO569" s="15">
        <v>0.4</v>
      </c>
      <c r="AP569" s="15">
        <v>0.5</v>
      </c>
      <c r="AQ569" s="189">
        <f t="shared" si="106"/>
        <v>6349.6410000000005</v>
      </c>
      <c r="AR569" s="189">
        <f t="shared" si="107"/>
        <v>6474.3460000000005</v>
      </c>
      <c r="AS569" s="189">
        <f t="shared" si="103"/>
        <v>6493.8</v>
      </c>
      <c r="AT569" s="189">
        <f t="shared" si="104"/>
        <v>12987.6</v>
      </c>
      <c r="AU569" s="50">
        <f t="shared" si="105"/>
        <v>12318.492000000002</v>
      </c>
    </row>
    <row r="570" spans="36:47">
      <c r="AJ570" s="50">
        <v>2</v>
      </c>
      <c r="AK570" s="50">
        <v>1</v>
      </c>
      <c r="AL570" s="50">
        <v>0</v>
      </c>
      <c r="AM570" s="15">
        <f>Tabela21[[#This Row],[Att subs]]+Tabela21[[#This Row],[Crit D subs]]</f>
        <v>1.4</v>
      </c>
      <c r="AN570" s="15">
        <v>1</v>
      </c>
      <c r="AO570" s="15">
        <v>0.4</v>
      </c>
      <c r="AP570" s="15">
        <v>0.6</v>
      </c>
      <c r="AQ570" s="189">
        <f t="shared" si="106"/>
        <v>6772.9710000000005</v>
      </c>
      <c r="AR570" s="189">
        <f t="shared" si="107"/>
        <v>6959.3259999999991</v>
      </c>
      <c r="AS570" s="189">
        <f t="shared" si="103"/>
        <v>6493.8</v>
      </c>
      <c r="AT570" s="189">
        <f t="shared" si="104"/>
        <v>12987.6</v>
      </c>
      <c r="AU570" s="50">
        <f t="shared" si="105"/>
        <v>13562.451999999999</v>
      </c>
    </row>
    <row r="571" spans="36:47">
      <c r="AJ571" s="50">
        <v>2</v>
      </c>
      <c r="AK571" s="50">
        <v>1</v>
      </c>
      <c r="AL571" s="50">
        <v>0</v>
      </c>
      <c r="AM571" s="15">
        <f>Tabela21[[#This Row],[Att subs]]+Tabela21[[#This Row],[Crit D subs]]</f>
        <v>1.4</v>
      </c>
      <c r="AN571" s="15">
        <v>1</v>
      </c>
      <c r="AO571" s="15">
        <v>0.4</v>
      </c>
      <c r="AP571" s="15">
        <v>0.7</v>
      </c>
      <c r="AQ571" s="189">
        <f t="shared" si="106"/>
        <v>7196.3010000000013</v>
      </c>
      <c r="AR571" s="189">
        <f t="shared" si="107"/>
        <v>7444.3059999999996</v>
      </c>
      <c r="AS571" s="189">
        <f t="shared" si="103"/>
        <v>6493.8</v>
      </c>
      <c r="AT571" s="189">
        <f t="shared" si="104"/>
        <v>12987.6</v>
      </c>
      <c r="AU571" s="50">
        <f t="shared" si="105"/>
        <v>14806.412</v>
      </c>
    </row>
    <row r="572" spans="36:47">
      <c r="AJ572" s="50">
        <v>2</v>
      </c>
      <c r="AK572" s="50">
        <v>1</v>
      </c>
      <c r="AL572" s="50">
        <v>0</v>
      </c>
      <c r="AM572" s="15">
        <f>Tabela21[[#This Row],[Att subs]]+Tabela21[[#This Row],[Crit D subs]]</f>
        <v>1.4</v>
      </c>
      <c r="AN572" s="15">
        <v>1</v>
      </c>
      <c r="AO572" s="15">
        <v>0.4</v>
      </c>
      <c r="AP572" s="15">
        <v>0.8</v>
      </c>
      <c r="AQ572" s="189">
        <f t="shared" si="106"/>
        <v>7323.3000000000011</v>
      </c>
      <c r="AR572" s="189">
        <f t="shared" si="107"/>
        <v>7589.8</v>
      </c>
      <c r="AS572" s="189">
        <f t="shared" si="103"/>
        <v>6493.8</v>
      </c>
      <c r="AT572" s="189">
        <f t="shared" si="104"/>
        <v>12987.6</v>
      </c>
      <c r="AU572" s="50">
        <f t="shared" si="105"/>
        <v>15179.6</v>
      </c>
    </row>
    <row r="573" spans="36:47">
      <c r="AJ573" s="50">
        <v>2</v>
      </c>
      <c r="AK573" s="50">
        <v>1</v>
      </c>
      <c r="AL573" s="50">
        <v>0</v>
      </c>
      <c r="AM573" s="15">
        <f>Tabela21[[#This Row],[Att subs]]+Tabela21[[#This Row],[Crit D subs]]</f>
        <v>1.4</v>
      </c>
      <c r="AN573" s="15">
        <v>1</v>
      </c>
      <c r="AO573" s="15">
        <v>0.4</v>
      </c>
      <c r="AP573" s="15">
        <v>0.9</v>
      </c>
      <c r="AQ573" s="189">
        <f t="shared" si="106"/>
        <v>7323.3000000000011</v>
      </c>
      <c r="AR573" s="189">
        <f t="shared" si="107"/>
        <v>7589.8</v>
      </c>
      <c r="AS573" s="189">
        <f t="shared" si="103"/>
        <v>6493.8</v>
      </c>
      <c r="AT573" s="189">
        <f t="shared" si="104"/>
        <v>12987.6</v>
      </c>
      <c r="AU573" s="50">
        <f t="shared" si="105"/>
        <v>15179.6</v>
      </c>
    </row>
    <row r="574" spans="36:47">
      <c r="AJ574" s="50">
        <v>2</v>
      </c>
      <c r="AK574" s="50">
        <v>1</v>
      </c>
      <c r="AL574" s="50">
        <v>0</v>
      </c>
      <c r="AM574" s="15">
        <f>Tabela21[[#This Row],[Att subs]]+Tabela21[[#This Row],[Crit D subs]]</f>
        <v>1.4</v>
      </c>
      <c r="AN574" s="15">
        <v>1</v>
      </c>
      <c r="AO574" s="15">
        <v>0.4</v>
      </c>
      <c r="AP574" s="15">
        <v>1</v>
      </c>
      <c r="AQ574" s="189">
        <f t="shared" si="106"/>
        <v>7323.3000000000011</v>
      </c>
      <c r="AR574" s="189">
        <f t="shared" si="107"/>
        <v>7589.8</v>
      </c>
      <c r="AS574" s="189">
        <f t="shared" si="103"/>
        <v>6493.8</v>
      </c>
      <c r="AT574" s="189">
        <f t="shared" si="104"/>
        <v>12987.6</v>
      </c>
      <c r="AU574" s="50">
        <f t="shared" si="105"/>
        <v>15179.6</v>
      </c>
    </row>
    <row r="575" spans="36:47">
      <c r="AJ575" s="50">
        <v>2</v>
      </c>
      <c r="AK575" s="50">
        <v>0</v>
      </c>
      <c r="AL575" s="50">
        <v>1</v>
      </c>
      <c r="AM575" s="15">
        <f>Tabela21[[#This Row],[Att subs]]+Tabela21[[#This Row],[Crit D subs]]</f>
        <v>1.4</v>
      </c>
      <c r="AN575" s="15">
        <v>1</v>
      </c>
      <c r="AO575" s="15">
        <v>0.4</v>
      </c>
      <c r="AP575" s="15">
        <v>0</v>
      </c>
      <c r="AQ575" s="189">
        <f t="shared" si="106"/>
        <v>4814.22</v>
      </c>
      <c r="AR575" s="189">
        <f t="shared" si="107"/>
        <v>4948.4400000000005</v>
      </c>
      <c r="AS575" s="189">
        <f t="shared" si="103"/>
        <v>4860.76</v>
      </c>
      <c r="AT575" s="189">
        <f t="shared" si="104"/>
        <v>9337.92</v>
      </c>
      <c r="AU575" s="50">
        <f t="shared" si="105"/>
        <v>8855.6799999999985</v>
      </c>
    </row>
    <row r="576" spans="36:47">
      <c r="AJ576" s="50">
        <v>2</v>
      </c>
      <c r="AK576" s="50">
        <v>0</v>
      </c>
      <c r="AL576" s="50">
        <v>1</v>
      </c>
      <c r="AM576" s="15">
        <f>Tabela21[[#This Row],[Att subs]]+Tabela21[[#This Row],[Crit D subs]]</f>
        <v>1.4</v>
      </c>
      <c r="AN576" s="15">
        <v>1</v>
      </c>
      <c r="AO576" s="15">
        <v>0.4</v>
      </c>
      <c r="AP576" s="15">
        <v>0.1</v>
      </c>
      <c r="AQ576" s="189">
        <f t="shared" si="106"/>
        <v>5092.3200000000006</v>
      </c>
      <c r="AR576" s="189">
        <f t="shared" si="107"/>
        <v>5304.6399999999994</v>
      </c>
      <c r="AS576" s="189">
        <f t="shared" si="103"/>
        <v>5107.3599999999997</v>
      </c>
      <c r="AT576" s="189">
        <f t="shared" si="104"/>
        <v>10105.119999999999</v>
      </c>
      <c r="AU576" s="50">
        <f t="shared" si="105"/>
        <v>9842.0799999999981</v>
      </c>
    </row>
    <row r="577" spans="36:47">
      <c r="AJ577" s="50">
        <v>2</v>
      </c>
      <c r="AK577" s="50">
        <v>0</v>
      </c>
      <c r="AL577" s="50">
        <v>1</v>
      </c>
      <c r="AM577" s="15">
        <f>Tabela21[[#This Row],[Att subs]]+Tabela21[[#This Row],[Crit D subs]]</f>
        <v>1.4</v>
      </c>
      <c r="AN577" s="15">
        <v>1</v>
      </c>
      <c r="AO577" s="15">
        <v>0.4</v>
      </c>
      <c r="AP577" s="15">
        <v>0.2</v>
      </c>
      <c r="AQ577" s="189">
        <f t="shared" si="106"/>
        <v>5370.42</v>
      </c>
      <c r="AR577" s="189">
        <f t="shared" si="107"/>
        <v>5660.8399999999992</v>
      </c>
      <c r="AS577" s="189">
        <f t="shared" si="103"/>
        <v>5206</v>
      </c>
      <c r="AT577" s="189">
        <f t="shared" si="104"/>
        <v>10412</v>
      </c>
      <c r="AU577" s="50">
        <f t="shared" si="105"/>
        <v>10828.48</v>
      </c>
    </row>
    <row r="578" spans="36:47">
      <c r="AJ578" s="50">
        <v>2</v>
      </c>
      <c r="AK578" s="50">
        <v>0</v>
      </c>
      <c r="AL578" s="50">
        <v>1</v>
      </c>
      <c r="AM578" s="15">
        <f>Tabela21[[#This Row],[Att subs]]+Tabela21[[#This Row],[Crit D subs]]</f>
        <v>1.4</v>
      </c>
      <c r="AN578" s="15">
        <v>1</v>
      </c>
      <c r="AO578" s="15">
        <v>0.4</v>
      </c>
      <c r="AP578" s="15">
        <v>0.3</v>
      </c>
      <c r="AQ578" s="189">
        <f t="shared" si="106"/>
        <v>5648.5200000000013</v>
      </c>
      <c r="AR578" s="189">
        <f t="shared" si="107"/>
        <v>6017.0400000000009</v>
      </c>
      <c r="AS578" s="189">
        <f t="shared" si="103"/>
        <v>5206</v>
      </c>
      <c r="AT578" s="189">
        <f t="shared" si="104"/>
        <v>10412</v>
      </c>
      <c r="AU578" s="50">
        <f t="shared" si="105"/>
        <v>11814.880000000001</v>
      </c>
    </row>
    <row r="579" spans="36:47">
      <c r="AJ579" s="50">
        <v>2</v>
      </c>
      <c r="AK579" s="50">
        <v>0</v>
      </c>
      <c r="AL579" s="50">
        <v>1</v>
      </c>
      <c r="AM579" s="15">
        <f>Tabela21[[#This Row],[Att subs]]+Tabela21[[#This Row],[Crit D subs]]</f>
        <v>1.4</v>
      </c>
      <c r="AN579" s="15">
        <v>1</v>
      </c>
      <c r="AO579" s="15">
        <v>0.4</v>
      </c>
      <c r="AP579" s="15">
        <v>0.4</v>
      </c>
      <c r="AQ579" s="189">
        <f t="shared" si="106"/>
        <v>5871.0000000000009</v>
      </c>
      <c r="AR579" s="189">
        <f t="shared" si="107"/>
        <v>6301.9999999999991</v>
      </c>
      <c r="AS579" s="189">
        <f t="shared" ref="AS579:AS642" si="108">$AG$3*(1+$AJ579*$Y$2+$AN579)*(MAXA(1-$AI$3-$AL579*$AA$3-$AP579-0.36,0)+MINA($AI$3+$AL579*$AA$3+$AP579+0.36,1)*(1+$AH$3+$AO579+$AK579*$Z$4))</f>
        <v>5206</v>
      </c>
      <c r="AT579" s="189">
        <f t="shared" ref="AT579:AT642" si="109">$AG$3*(1+$AJ579*$Y$2+$AN579)*(MAXA(1-$AI$3-$AL579*$AA$3-$AP579-0.36,0)+2*MINA($AI$3+$AL579*$AA$3+$AP579+0.36,1)*(1+$AH$3+$AO579+$AK579*$Z$4))</f>
        <v>10412</v>
      </c>
      <c r="AU579" s="50">
        <f t="shared" ref="AU579:AU642" si="110">$AG$3*(1+$AJ579*$Y$2+$AN579)*(MAXA(1-$AI$3-$AL579*$AA$3-$AP579-0.12,0)+2*MINA($AI$3+$AL579*$AA$3+$AP579+0.12,1)*(1+$AH$3+$AO579+$AK579*$Z$4+0.4))</f>
        <v>12603.999999999998</v>
      </c>
    </row>
    <row r="580" spans="36:47">
      <c r="AJ580" s="50">
        <v>2</v>
      </c>
      <c r="AK580" s="50">
        <v>0</v>
      </c>
      <c r="AL580" s="50">
        <v>1</v>
      </c>
      <c r="AM580" s="15">
        <f>Tabela21[[#This Row],[Att subs]]+Tabela21[[#This Row],[Crit D subs]]</f>
        <v>1.4</v>
      </c>
      <c r="AN580" s="15">
        <v>1</v>
      </c>
      <c r="AO580" s="15">
        <v>0.4</v>
      </c>
      <c r="AP580" s="15">
        <v>0.5</v>
      </c>
      <c r="AQ580" s="189">
        <f t="shared" ref="AQ580:AQ643" si="111">$AG$3*(1+$AJ580*$Y$2+$AN580+0.35)*(MAXA(1-$AI$3-$AL580*$AA$3-$AP580-0.12,0)+MINA($AI$3+$AL580*$AA$3+$AP580+0.12,1)*(1+$AH$3+$AO580+$AK580*$Z$4))</f>
        <v>5871.0000000000009</v>
      </c>
      <c r="AR580" s="189">
        <f t="shared" ref="AR580:AR643" si="112">$AG$3*(1+$AJ580*$Y$2+$AN580)*(MAXA(1-$AI$3-$AL580*$AA$3-$AP580-0.12,0)+MINA($AI$3+$AL580*$AA$3+$AP580+0.12,1)*(1+$AH$3+$AO580+$AK580*$Z$4+0.4))</f>
        <v>6301.9999999999991</v>
      </c>
      <c r="AS580" s="189">
        <f t="shared" si="108"/>
        <v>5206</v>
      </c>
      <c r="AT580" s="189">
        <f t="shared" si="109"/>
        <v>10412</v>
      </c>
      <c r="AU580" s="50">
        <f t="shared" si="110"/>
        <v>12603.999999999998</v>
      </c>
    </row>
    <row r="581" spans="36:47">
      <c r="AJ581" s="50">
        <v>2</v>
      </c>
      <c r="AK581" s="50">
        <v>0</v>
      </c>
      <c r="AL581" s="50">
        <v>1</v>
      </c>
      <c r="AM581" s="15">
        <f>Tabela21[[#This Row],[Att subs]]+Tabela21[[#This Row],[Crit D subs]]</f>
        <v>1.4</v>
      </c>
      <c r="AN581" s="15">
        <v>1</v>
      </c>
      <c r="AO581" s="15">
        <v>0.4</v>
      </c>
      <c r="AP581" s="15">
        <v>0.6</v>
      </c>
      <c r="AQ581" s="189">
        <f t="shared" si="111"/>
        <v>5871.0000000000009</v>
      </c>
      <c r="AR581" s="189">
        <f t="shared" si="112"/>
        <v>6301.9999999999991</v>
      </c>
      <c r="AS581" s="189">
        <f t="shared" si="108"/>
        <v>5206</v>
      </c>
      <c r="AT581" s="189">
        <f t="shared" si="109"/>
        <v>10412</v>
      </c>
      <c r="AU581" s="50">
        <f t="shared" si="110"/>
        <v>12603.999999999998</v>
      </c>
    </row>
    <row r="582" spans="36:47">
      <c r="AJ582" s="50">
        <v>2</v>
      </c>
      <c r="AK582" s="50">
        <v>0</v>
      </c>
      <c r="AL582" s="50">
        <v>1</v>
      </c>
      <c r="AM582" s="15">
        <f>Tabela21[[#This Row],[Att subs]]+Tabela21[[#This Row],[Crit D subs]]</f>
        <v>1.4</v>
      </c>
      <c r="AN582" s="15">
        <v>1</v>
      </c>
      <c r="AO582" s="15">
        <v>0.4</v>
      </c>
      <c r="AP582" s="15">
        <v>0.7</v>
      </c>
      <c r="AQ582" s="189">
        <f t="shared" si="111"/>
        <v>5871.0000000000009</v>
      </c>
      <c r="AR582" s="189">
        <f t="shared" si="112"/>
        <v>6301.9999999999991</v>
      </c>
      <c r="AS582" s="189">
        <f t="shared" si="108"/>
        <v>5206</v>
      </c>
      <c r="AT582" s="189">
        <f t="shared" si="109"/>
        <v>10412</v>
      </c>
      <c r="AU582" s="50">
        <f t="shared" si="110"/>
        <v>12603.999999999998</v>
      </c>
    </row>
    <row r="583" spans="36:47">
      <c r="AJ583" s="50">
        <v>2</v>
      </c>
      <c r="AK583" s="50">
        <v>0</v>
      </c>
      <c r="AL583" s="50">
        <v>1</v>
      </c>
      <c r="AM583" s="15">
        <f>Tabela21[[#This Row],[Att subs]]+Tabela21[[#This Row],[Crit D subs]]</f>
        <v>1.4</v>
      </c>
      <c r="AN583" s="15">
        <v>1</v>
      </c>
      <c r="AO583" s="15">
        <v>0.4</v>
      </c>
      <c r="AP583" s="15">
        <v>0.8</v>
      </c>
      <c r="AQ583" s="189">
        <f t="shared" si="111"/>
        <v>5871.0000000000009</v>
      </c>
      <c r="AR583" s="189">
        <f t="shared" si="112"/>
        <v>6301.9999999999991</v>
      </c>
      <c r="AS583" s="189">
        <f t="shared" si="108"/>
        <v>5206</v>
      </c>
      <c r="AT583" s="189">
        <f t="shared" si="109"/>
        <v>10412</v>
      </c>
      <c r="AU583" s="50">
        <f t="shared" si="110"/>
        <v>12603.999999999998</v>
      </c>
    </row>
    <row r="584" spans="36:47">
      <c r="AJ584" s="50">
        <v>2</v>
      </c>
      <c r="AK584" s="50">
        <v>0</v>
      </c>
      <c r="AL584" s="50">
        <v>1</v>
      </c>
      <c r="AM584" s="15">
        <f>Tabela21[[#This Row],[Att subs]]+Tabela21[[#This Row],[Crit D subs]]</f>
        <v>1.4</v>
      </c>
      <c r="AN584" s="15">
        <v>1</v>
      </c>
      <c r="AO584" s="15">
        <v>0.4</v>
      </c>
      <c r="AP584" s="15">
        <v>0.9</v>
      </c>
      <c r="AQ584" s="189">
        <f t="shared" si="111"/>
        <v>5871.0000000000009</v>
      </c>
      <c r="AR584" s="189">
        <f t="shared" si="112"/>
        <v>6301.9999999999991</v>
      </c>
      <c r="AS584" s="189">
        <f t="shared" si="108"/>
        <v>5206</v>
      </c>
      <c r="AT584" s="189">
        <f t="shared" si="109"/>
        <v>10412</v>
      </c>
      <c r="AU584" s="50">
        <f t="shared" si="110"/>
        <v>12603.999999999998</v>
      </c>
    </row>
    <row r="585" spans="36:47">
      <c r="AJ585" s="50">
        <v>2</v>
      </c>
      <c r="AK585" s="50">
        <v>0</v>
      </c>
      <c r="AL585" s="50">
        <v>1</v>
      </c>
      <c r="AM585" s="15">
        <f>Tabela21[[#This Row],[Att subs]]+Tabela21[[#This Row],[Crit D subs]]</f>
        <v>1.4</v>
      </c>
      <c r="AN585" s="15">
        <v>1</v>
      </c>
      <c r="AO585" s="15">
        <v>0.4</v>
      </c>
      <c r="AP585" s="15">
        <v>1</v>
      </c>
      <c r="AQ585" s="189">
        <f t="shared" si="111"/>
        <v>5871.0000000000009</v>
      </c>
      <c r="AR585" s="189">
        <f t="shared" si="112"/>
        <v>6301.9999999999991</v>
      </c>
      <c r="AS585" s="189">
        <f t="shared" si="108"/>
        <v>5206</v>
      </c>
      <c r="AT585" s="189">
        <f t="shared" si="109"/>
        <v>10412</v>
      </c>
      <c r="AU585" s="50">
        <f t="shared" si="110"/>
        <v>12603.999999999998</v>
      </c>
    </row>
    <row r="586" spans="36:47">
      <c r="AJ586" s="50">
        <v>3</v>
      </c>
      <c r="AK586" s="50">
        <v>0</v>
      </c>
      <c r="AL586" s="50">
        <v>0</v>
      </c>
      <c r="AM586" s="15">
        <f>Tabela21[[#This Row],[Att subs]]+Tabela21[[#This Row],[Crit D subs]]</f>
        <v>1.4</v>
      </c>
      <c r="AN586" s="15">
        <v>1</v>
      </c>
      <c r="AO586" s="15">
        <v>0.4</v>
      </c>
      <c r="AP586" s="15">
        <v>0</v>
      </c>
      <c r="AQ586" s="189">
        <f t="shared" si="111"/>
        <v>4300.78</v>
      </c>
      <c r="AR586" s="189">
        <f t="shared" si="112"/>
        <v>4201.6099999999997</v>
      </c>
      <c r="AS586" s="189">
        <f t="shared" si="108"/>
        <v>4537.49</v>
      </c>
      <c r="AT586" s="189">
        <f t="shared" si="109"/>
        <v>7551.08</v>
      </c>
      <c r="AU586" s="50">
        <f t="shared" si="110"/>
        <v>6132.92</v>
      </c>
    </row>
    <row r="587" spans="36:47">
      <c r="AJ587" s="50">
        <v>3</v>
      </c>
      <c r="AK587" s="50">
        <v>0</v>
      </c>
      <c r="AL587" s="50">
        <v>0</v>
      </c>
      <c r="AM587" s="15">
        <f>Tabela21[[#This Row],[Att subs]]+Tabela21[[#This Row],[Crit D subs]]</f>
        <v>1.4</v>
      </c>
      <c r="AN587" s="15">
        <v>1</v>
      </c>
      <c r="AO587" s="15">
        <v>0.4</v>
      </c>
      <c r="AP587" s="15">
        <v>0.1</v>
      </c>
      <c r="AQ587" s="189">
        <f t="shared" si="111"/>
        <v>4612.18</v>
      </c>
      <c r="AR587" s="189">
        <f t="shared" si="112"/>
        <v>4605.91</v>
      </c>
      <c r="AS587" s="189">
        <f t="shared" si="108"/>
        <v>4817.3899999999994</v>
      </c>
      <c r="AT587" s="189">
        <f t="shared" si="109"/>
        <v>8421.880000000001</v>
      </c>
      <c r="AU587" s="50">
        <f t="shared" si="110"/>
        <v>7252.5199999999995</v>
      </c>
    </row>
    <row r="588" spans="36:47">
      <c r="AJ588" s="50">
        <v>3</v>
      </c>
      <c r="AK588" s="50">
        <v>0</v>
      </c>
      <c r="AL588" s="50">
        <v>0</v>
      </c>
      <c r="AM588" s="15">
        <f>Tabela21[[#This Row],[Att subs]]+Tabela21[[#This Row],[Crit D subs]]</f>
        <v>1.4</v>
      </c>
      <c r="AN588" s="15">
        <v>1</v>
      </c>
      <c r="AO588" s="15">
        <v>0.4</v>
      </c>
      <c r="AP588" s="15">
        <v>0.2</v>
      </c>
      <c r="AQ588" s="189">
        <f t="shared" si="111"/>
        <v>4923.579999999999</v>
      </c>
      <c r="AR588" s="189">
        <f t="shared" si="112"/>
        <v>5010.2099999999991</v>
      </c>
      <c r="AS588" s="189">
        <f t="shared" si="108"/>
        <v>5097.2899999999991</v>
      </c>
      <c r="AT588" s="189">
        <f t="shared" si="109"/>
        <v>9292.68</v>
      </c>
      <c r="AU588" s="50">
        <f t="shared" si="110"/>
        <v>8372.119999999999</v>
      </c>
    </row>
    <row r="589" spans="36:47">
      <c r="AJ589" s="50">
        <v>3</v>
      </c>
      <c r="AK589" s="50">
        <v>0</v>
      </c>
      <c r="AL589" s="50">
        <v>0</v>
      </c>
      <c r="AM589" s="15">
        <f>Tabela21[[#This Row],[Att subs]]+Tabela21[[#This Row],[Crit D subs]]</f>
        <v>1.4</v>
      </c>
      <c r="AN589" s="15">
        <v>1</v>
      </c>
      <c r="AO589" s="15">
        <v>0.4</v>
      </c>
      <c r="AP589" s="15">
        <v>0.3</v>
      </c>
      <c r="AQ589" s="189">
        <f t="shared" si="111"/>
        <v>5234.9799999999996</v>
      </c>
      <c r="AR589" s="189">
        <f t="shared" si="112"/>
        <v>5414.5099999999993</v>
      </c>
      <c r="AS589" s="189">
        <f t="shared" si="108"/>
        <v>5377.1900000000005</v>
      </c>
      <c r="AT589" s="189">
        <f t="shared" si="109"/>
        <v>10163.48</v>
      </c>
      <c r="AU589" s="50">
        <f t="shared" si="110"/>
        <v>9491.7199999999993</v>
      </c>
    </row>
    <row r="590" spans="36:47">
      <c r="AJ590" s="50">
        <v>3</v>
      </c>
      <c r="AK590" s="50">
        <v>0</v>
      </c>
      <c r="AL590" s="50">
        <v>0</v>
      </c>
      <c r="AM590" s="15">
        <f>Tabela21[[#This Row],[Att subs]]+Tabela21[[#This Row],[Crit D subs]]</f>
        <v>1.4</v>
      </c>
      <c r="AN590" s="15">
        <v>1</v>
      </c>
      <c r="AO590" s="15">
        <v>0.4</v>
      </c>
      <c r="AP590" s="15">
        <v>0.4</v>
      </c>
      <c r="AQ590" s="189">
        <f t="shared" si="111"/>
        <v>5546.3799999999992</v>
      </c>
      <c r="AR590" s="189">
        <f t="shared" si="112"/>
        <v>5818.81</v>
      </c>
      <c r="AS590" s="189">
        <f t="shared" si="108"/>
        <v>5657.09</v>
      </c>
      <c r="AT590" s="189">
        <f t="shared" si="109"/>
        <v>11034.279999999999</v>
      </c>
      <c r="AU590" s="50">
        <f t="shared" si="110"/>
        <v>10611.32</v>
      </c>
    </row>
    <row r="591" spans="36:47">
      <c r="AJ591" s="50">
        <v>3</v>
      </c>
      <c r="AK591" s="50">
        <v>0</v>
      </c>
      <c r="AL591" s="50">
        <v>0</v>
      </c>
      <c r="AM591" s="15">
        <f>Tabela21[[#This Row],[Att subs]]+Tabela21[[#This Row],[Crit D subs]]</f>
        <v>1.4</v>
      </c>
      <c r="AN591" s="15">
        <v>1</v>
      </c>
      <c r="AO591" s="15">
        <v>0.4</v>
      </c>
      <c r="AP591" s="15">
        <v>0.5</v>
      </c>
      <c r="AQ591" s="189">
        <f t="shared" si="111"/>
        <v>5857.78</v>
      </c>
      <c r="AR591" s="189">
        <f t="shared" si="112"/>
        <v>6223.11</v>
      </c>
      <c r="AS591" s="189">
        <f t="shared" si="108"/>
        <v>5909</v>
      </c>
      <c r="AT591" s="189">
        <f t="shared" si="109"/>
        <v>11818</v>
      </c>
      <c r="AU591" s="50">
        <f t="shared" si="110"/>
        <v>11730.92</v>
      </c>
    </row>
    <row r="592" spans="36:47">
      <c r="AJ592" s="50">
        <v>3</v>
      </c>
      <c r="AK592" s="50">
        <v>0</v>
      </c>
      <c r="AL592" s="50">
        <v>0</v>
      </c>
      <c r="AM592" s="15">
        <f>Tabela21[[#This Row],[Att subs]]+Tabela21[[#This Row],[Crit D subs]]</f>
        <v>1.4</v>
      </c>
      <c r="AN592" s="15">
        <v>1</v>
      </c>
      <c r="AO592" s="15">
        <v>0.4</v>
      </c>
      <c r="AP592" s="15">
        <v>0.6</v>
      </c>
      <c r="AQ592" s="189">
        <f t="shared" si="111"/>
        <v>6169.1799999999994</v>
      </c>
      <c r="AR592" s="189">
        <f t="shared" si="112"/>
        <v>6627.4099999999989</v>
      </c>
      <c r="AS592" s="189">
        <f t="shared" si="108"/>
        <v>5909</v>
      </c>
      <c r="AT592" s="189">
        <f t="shared" si="109"/>
        <v>11818</v>
      </c>
      <c r="AU592" s="50">
        <f t="shared" si="110"/>
        <v>12850.519999999999</v>
      </c>
    </row>
    <row r="593" spans="36:47">
      <c r="AJ593" s="50">
        <v>3</v>
      </c>
      <c r="AK593" s="50">
        <v>0</v>
      </c>
      <c r="AL593" s="50">
        <v>0</v>
      </c>
      <c r="AM593" s="15">
        <f>Tabela21[[#This Row],[Att subs]]+Tabela21[[#This Row],[Crit D subs]]</f>
        <v>1.4</v>
      </c>
      <c r="AN593" s="15">
        <v>1</v>
      </c>
      <c r="AO593" s="15">
        <v>0.4</v>
      </c>
      <c r="AP593" s="15">
        <v>0.7</v>
      </c>
      <c r="AQ593" s="189">
        <f t="shared" si="111"/>
        <v>6480.58</v>
      </c>
      <c r="AR593" s="189">
        <f t="shared" si="112"/>
        <v>7031.71</v>
      </c>
      <c r="AS593" s="189">
        <f t="shared" si="108"/>
        <v>5909</v>
      </c>
      <c r="AT593" s="189">
        <f t="shared" si="109"/>
        <v>11818</v>
      </c>
      <c r="AU593" s="50">
        <f t="shared" si="110"/>
        <v>13970.12</v>
      </c>
    </row>
    <row r="594" spans="36:47">
      <c r="AJ594" s="50">
        <v>3</v>
      </c>
      <c r="AK594" s="50">
        <v>0</v>
      </c>
      <c r="AL594" s="50">
        <v>0</v>
      </c>
      <c r="AM594" s="15">
        <f>Tabela21[[#This Row],[Att subs]]+Tabela21[[#This Row],[Crit D subs]]</f>
        <v>1.4</v>
      </c>
      <c r="AN594" s="15">
        <v>1</v>
      </c>
      <c r="AO594" s="15">
        <v>0.4</v>
      </c>
      <c r="AP594" s="15">
        <v>0.8</v>
      </c>
      <c r="AQ594" s="189">
        <f t="shared" si="111"/>
        <v>6574</v>
      </c>
      <c r="AR594" s="189">
        <f t="shared" si="112"/>
        <v>7152.9999999999991</v>
      </c>
      <c r="AS594" s="189">
        <f t="shared" si="108"/>
        <v>5909</v>
      </c>
      <c r="AT594" s="189">
        <f t="shared" si="109"/>
        <v>11818</v>
      </c>
      <c r="AU594" s="50">
        <f t="shared" si="110"/>
        <v>14305.999999999998</v>
      </c>
    </row>
    <row r="595" spans="36:47">
      <c r="AJ595" s="50">
        <v>3</v>
      </c>
      <c r="AK595" s="50">
        <v>0</v>
      </c>
      <c r="AL595" s="50">
        <v>0</v>
      </c>
      <c r="AM595" s="15">
        <f>Tabela21[[#This Row],[Att subs]]+Tabela21[[#This Row],[Crit D subs]]</f>
        <v>1.4</v>
      </c>
      <c r="AN595" s="15">
        <v>1</v>
      </c>
      <c r="AO595" s="15">
        <v>0.4</v>
      </c>
      <c r="AP595" s="15">
        <v>0.9</v>
      </c>
      <c r="AQ595" s="189">
        <f t="shared" si="111"/>
        <v>6574</v>
      </c>
      <c r="AR595" s="189">
        <f t="shared" si="112"/>
        <v>7152.9999999999991</v>
      </c>
      <c r="AS595" s="189">
        <f t="shared" si="108"/>
        <v>5909</v>
      </c>
      <c r="AT595" s="189">
        <f t="shared" si="109"/>
        <v>11818</v>
      </c>
      <c r="AU595" s="50">
        <f t="shared" si="110"/>
        <v>14305.999999999998</v>
      </c>
    </row>
    <row r="596" spans="36:47">
      <c r="AJ596" s="50">
        <v>3</v>
      </c>
      <c r="AK596" s="50">
        <v>0</v>
      </c>
      <c r="AL596" s="50">
        <v>0</v>
      </c>
      <c r="AM596" s="15">
        <f>Tabela21[[#This Row],[Att subs]]+Tabela21[[#This Row],[Crit D subs]]</f>
        <v>1.4</v>
      </c>
      <c r="AN596" s="15">
        <v>1</v>
      </c>
      <c r="AO596" s="15">
        <v>0.4</v>
      </c>
      <c r="AP596" s="15">
        <v>1</v>
      </c>
      <c r="AQ596" s="189">
        <f t="shared" si="111"/>
        <v>6574</v>
      </c>
      <c r="AR596" s="189">
        <f t="shared" si="112"/>
        <v>7152.9999999999991</v>
      </c>
      <c r="AS596" s="189">
        <f t="shared" si="108"/>
        <v>5909</v>
      </c>
      <c r="AT596" s="189">
        <f t="shared" si="109"/>
        <v>11818</v>
      </c>
      <c r="AU596" s="50">
        <f t="shared" si="110"/>
        <v>14305.999999999998</v>
      </c>
    </row>
    <row r="597" spans="36:47">
      <c r="AJ597" s="50">
        <v>2</v>
      </c>
      <c r="AK597" s="50">
        <v>1</v>
      </c>
      <c r="AL597" s="50">
        <v>0</v>
      </c>
      <c r="AM597" s="15">
        <f>Tabela21[[#This Row],[Att subs]]+Tabela21[[#This Row],[Crit D subs]]</f>
        <v>0.6</v>
      </c>
      <c r="AN597" s="15">
        <v>0</v>
      </c>
      <c r="AO597" s="15">
        <v>0.6</v>
      </c>
      <c r="AP597" s="15">
        <v>0</v>
      </c>
      <c r="AQ597" s="189">
        <f t="shared" si="111"/>
        <v>2975.9510000000005</v>
      </c>
      <c r="AR597" s="189">
        <f t="shared" si="112"/>
        <v>2665.5059999999999</v>
      </c>
      <c r="AS597" s="189">
        <f t="shared" si="108"/>
        <v>3133.2180000000003</v>
      </c>
      <c r="AT597" s="189">
        <f t="shared" si="109"/>
        <v>5413.8360000000011</v>
      </c>
      <c r="AU597" s="50">
        <f t="shared" si="110"/>
        <v>4060.8120000000004</v>
      </c>
    </row>
    <row r="598" spans="36:47">
      <c r="AJ598" s="50">
        <v>2</v>
      </c>
      <c r="AK598" s="50">
        <v>1</v>
      </c>
      <c r="AL598" s="50">
        <v>0</v>
      </c>
      <c r="AM598" s="15">
        <f>Tabela21[[#This Row],[Att subs]]+Tabela21[[#This Row],[Crit D subs]]</f>
        <v>0.6</v>
      </c>
      <c r="AN598" s="15">
        <v>0</v>
      </c>
      <c r="AO598" s="15">
        <v>0.6</v>
      </c>
      <c r="AP598" s="15">
        <v>0.1</v>
      </c>
      <c r="AQ598" s="189">
        <f t="shared" si="111"/>
        <v>3304.0810000000006</v>
      </c>
      <c r="AR598" s="189">
        <f t="shared" si="112"/>
        <v>3008.2859999999996</v>
      </c>
      <c r="AS598" s="189">
        <f t="shared" si="108"/>
        <v>3406.3980000000001</v>
      </c>
      <c r="AT598" s="189">
        <f t="shared" si="109"/>
        <v>6134.1960000000008</v>
      </c>
      <c r="AU598" s="50">
        <f t="shared" si="110"/>
        <v>4920.3719999999994</v>
      </c>
    </row>
    <row r="599" spans="36:47">
      <c r="AJ599" s="50">
        <v>2</v>
      </c>
      <c r="AK599" s="50">
        <v>1</v>
      </c>
      <c r="AL599" s="50">
        <v>0</v>
      </c>
      <c r="AM599" s="15">
        <f>Tabela21[[#This Row],[Att subs]]+Tabela21[[#This Row],[Crit D subs]]</f>
        <v>0.6</v>
      </c>
      <c r="AN599" s="15">
        <v>0</v>
      </c>
      <c r="AO599" s="15">
        <v>0.6</v>
      </c>
      <c r="AP599" s="15">
        <v>0.2</v>
      </c>
      <c r="AQ599" s="189">
        <f t="shared" si="111"/>
        <v>3632.2109999999993</v>
      </c>
      <c r="AR599" s="189">
        <f t="shared" si="112"/>
        <v>3351.0659999999998</v>
      </c>
      <c r="AS599" s="189">
        <f t="shared" si="108"/>
        <v>3679.578</v>
      </c>
      <c r="AT599" s="189">
        <f t="shared" si="109"/>
        <v>6854.5560000000005</v>
      </c>
      <c r="AU599" s="50">
        <f t="shared" si="110"/>
        <v>5779.9319999999998</v>
      </c>
    </row>
    <row r="600" spans="36:47">
      <c r="AJ600" s="50">
        <v>2</v>
      </c>
      <c r="AK600" s="50">
        <v>1</v>
      </c>
      <c r="AL600" s="50">
        <v>0</v>
      </c>
      <c r="AM600" s="15">
        <f>Tabela21[[#This Row],[Att subs]]+Tabela21[[#This Row],[Crit D subs]]</f>
        <v>0.6</v>
      </c>
      <c r="AN600" s="15">
        <v>0</v>
      </c>
      <c r="AO600" s="15">
        <v>0.6</v>
      </c>
      <c r="AP600" s="15">
        <v>0.3</v>
      </c>
      <c r="AQ600" s="189">
        <f t="shared" si="111"/>
        <v>3960.3410000000003</v>
      </c>
      <c r="AR600" s="189">
        <f t="shared" si="112"/>
        <v>3693.846</v>
      </c>
      <c r="AS600" s="189">
        <f t="shared" si="108"/>
        <v>3952.7580000000003</v>
      </c>
      <c r="AT600" s="189">
        <f t="shared" si="109"/>
        <v>7574.9160000000011</v>
      </c>
      <c r="AU600" s="50">
        <f t="shared" si="110"/>
        <v>6639.4920000000002</v>
      </c>
    </row>
    <row r="601" spans="36:47">
      <c r="AJ601" s="50">
        <v>2</v>
      </c>
      <c r="AK601" s="50">
        <v>1</v>
      </c>
      <c r="AL601" s="50">
        <v>0</v>
      </c>
      <c r="AM601" s="15">
        <f>Tabela21[[#This Row],[Att subs]]+Tabela21[[#This Row],[Crit D subs]]</f>
        <v>0.6</v>
      </c>
      <c r="AN601" s="15">
        <v>0</v>
      </c>
      <c r="AO601" s="15">
        <v>0.6</v>
      </c>
      <c r="AP601" s="15">
        <v>0.4</v>
      </c>
      <c r="AQ601" s="189">
        <f t="shared" si="111"/>
        <v>4288.4710000000005</v>
      </c>
      <c r="AR601" s="189">
        <f t="shared" si="112"/>
        <v>4036.6260000000002</v>
      </c>
      <c r="AS601" s="189">
        <f t="shared" si="108"/>
        <v>4225.9380000000001</v>
      </c>
      <c r="AT601" s="189">
        <f t="shared" si="109"/>
        <v>8295.2759999999998</v>
      </c>
      <c r="AU601" s="50">
        <f t="shared" si="110"/>
        <v>7499.0519999999997</v>
      </c>
    </row>
    <row r="602" spans="36:47">
      <c r="AJ602" s="50">
        <v>2</v>
      </c>
      <c r="AK602" s="50">
        <v>1</v>
      </c>
      <c r="AL602" s="50">
        <v>0</v>
      </c>
      <c r="AM602" s="15">
        <f>Tabela21[[#This Row],[Att subs]]+Tabela21[[#This Row],[Crit D subs]]</f>
        <v>0.6</v>
      </c>
      <c r="AN602" s="15">
        <v>0</v>
      </c>
      <c r="AO602" s="15">
        <v>0.6</v>
      </c>
      <c r="AP602" s="15">
        <v>0.5</v>
      </c>
      <c r="AQ602" s="189">
        <f t="shared" si="111"/>
        <v>4616.6010000000006</v>
      </c>
      <c r="AR602" s="189">
        <f t="shared" si="112"/>
        <v>4379.4059999999999</v>
      </c>
      <c r="AS602" s="189">
        <f t="shared" si="108"/>
        <v>4471.8</v>
      </c>
      <c r="AT602" s="189">
        <f t="shared" si="109"/>
        <v>8943.6</v>
      </c>
      <c r="AU602" s="50">
        <f t="shared" si="110"/>
        <v>8358.612000000001</v>
      </c>
    </row>
    <row r="603" spans="36:47">
      <c r="AJ603" s="50">
        <v>2</v>
      </c>
      <c r="AK603" s="50">
        <v>1</v>
      </c>
      <c r="AL603" s="50">
        <v>0</v>
      </c>
      <c r="AM603" s="15">
        <f>Tabela21[[#This Row],[Att subs]]+Tabela21[[#This Row],[Crit D subs]]</f>
        <v>0.6</v>
      </c>
      <c r="AN603" s="15">
        <v>0</v>
      </c>
      <c r="AO603" s="15">
        <v>0.6</v>
      </c>
      <c r="AP603" s="15">
        <v>0.6</v>
      </c>
      <c r="AQ603" s="189">
        <f t="shared" si="111"/>
        <v>4944.7310000000007</v>
      </c>
      <c r="AR603" s="189">
        <f t="shared" si="112"/>
        <v>4722.1860000000006</v>
      </c>
      <c r="AS603" s="189">
        <f t="shared" si="108"/>
        <v>4471.8</v>
      </c>
      <c r="AT603" s="189">
        <f t="shared" si="109"/>
        <v>8943.6</v>
      </c>
      <c r="AU603" s="50">
        <f t="shared" si="110"/>
        <v>9218.1720000000005</v>
      </c>
    </row>
    <row r="604" spans="36:47">
      <c r="AJ604" s="50">
        <v>2</v>
      </c>
      <c r="AK604" s="50">
        <v>1</v>
      </c>
      <c r="AL604" s="50">
        <v>0</v>
      </c>
      <c r="AM604" s="15">
        <f>Tabela21[[#This Row],[Att subs]]+Tabela21[[#This Row],[Crit D subs]]</f>
        <v>0.6</v>
      </c>
      <c r="AN604" s="15">
        <v>0</v>
      </c>
      <c r="AO604" s="15">
        <v>0.6</v>
      </c>
      <c r="AP604" s="15">
        <v>0.7</v>
      </c>
      <c r="AQ604" s="189">
        <f t="shared" si="111"/>
        <v>5272.8609999999999</v>
      </c>
      <c r="AR604" s="189">
        <f t="shared" si="112"/>
        <v>5064.9659999999994</v>
      </c>
      <c r="AS604" s="189">
        <f t="shared" si="108"/>
        <v>4471.8</v>
      </c>
      <c r="AT604" s="189">
        <f t="shared" si="109"/>
        <v>8943.6</v>
      </c>
      <c r="AU604" s="50">
        <f t="shared" si="110"/>
        <v>10077.732</v>
      </c>
    </row>
    <row r="605" spans="36:47">
      <c r="AJ605" s="50">
        <v>2</v>
      </c>
      <c r="AK605" s="50">
        <v>1</v>
      </c>
      <c r="AL605" s="50">
        <v>0</v>
      </c>
      <c r="AM605" s="15">
        <f>Tabela21[[#This Row],[Att subs]]+Tabela21[[#This Row],[Crit D subs]]</f>
        <v>0.6</v>
      </c>
      <c r="AN605" s="15">
        <v>0</v>
      </c>
      <c r="AO605" s="15">
        <v>0.6</v>
      </c>
      <c r="AP605" s="15">
        <v>0.8</v>
      </c>
      <c r="AQ605" s="189">
        <f t="shared" si="111"/>
        <v>5371.3</v>
      </c>
      <c r="AR605" s="189">
        <f t="shared" si="112"/>
        <v>5167.8</v>
      </c>
      <c r="AS605" s="189">
        <f t="shared" si="108"/>
        <v>4471.8</v>
      </c>
      <c r="AT605" s="189">
        <f t="shared" si="109"/>
        <v>8943.6</v>
      </c>
      <c r="AU605" s="50">
        <f t="shared" si="110"/>
        <v>10335.6</v>
      </c>
    </row>
    <row r="606" spans="36:47">
      <c r="AJ606" s="50">
        <v>2</v>
      </c>
      <c r="AK606" s="50">
        <v>1</v>
      </c>
      <c r="AL606" s="50">
        <v>0</v>
      </c>
      <c r="AM606" s="15">
        <f>Tabela21[[#This Row],[Att subs]]+Tabela21[[#This Row],[Crit D subs]]</f>
        <v>0.6</v>
      </c>
      <c r="AN606" s="15">
        <v>0</v>
      </c>
      <c r="AO606" s="15">
        <v>0.6</v>
      </c>
      <c r="AP606" s="15">
        <v>0.9</v>
      </c>
      <c r="AQ606" s="189">
        <f t="shared" si="111"/>
        <v>5371.3</v>
      </c>
      <c r="AR606" s="189">
        <f t="shared" si="112"/>
        <v>5167.8</v>
      </c>
      <c r="AS606" s="189">
        <f t="shared" si="108"/>
        <v>4471.8</v>
      </c>
      <c r="AT606" s="189">
        <f t="shared" si="109"/>
        <v>8943.6</v>
      </c>
      <c r="AU606" s="50">
        <f t="shared" si="110"/>
        <v>10335.6</v>
      </c>
    </row>
    <row r="607" spans="36:47">
      <c r="AJ607" s="50">
        <v>2</v>
      </c>
      <c r="AK607" s="50">
        <v>1</v>
      </c>
      <c r="AL607" s="50">
        <v>0</v>
      </c>
      <c r="AM607" s="15">
        <f>Tabela21[[#This Row],[Att subs]]+Tabela21[[#This Row],[Crit D subs]]</f>
        <v>0.6</v>
      </c>
      <c r="AN607" s="15">
        <v>0</v>
      </c>
      <c r="AO607" s="15">
        <v>0.6</v>
      </c>
      <c r="AP607" s="15">
        <v>1</v>
      </c>
      <c r="AQ607" s="189">
        <f t="shared" si="111"/>
        <v>5371.3</v>
      </c>
      <c r="AR607" s="189">
        <f t="shared" si="112"/>
        <v>5167.8</v>
      </c>
      <c r="AS607" s="189">
        <f t="shared" si="108"/>
        <v>4471.8</v>
      </c>
      <c r="AT607" s="189">
        <f t="shared" si="109"/>
        <v>8943.6</v>
      </c>
      <c r="AU607" s="50">
        <f t="shared" si="110"/>
        <v>10335.6</v>
      </c>
    </row>
    <row r="608" spans="36:47">
      <c r="AJ608" s="50">
        <v>2</v>
      </c>
      <c r="AK608" s="50">
        <v>0</v>
      </c>
      <c r="AL608" s="50">
        <v>1</v>
      </c>
      <c r="AM608" s="15">
        <f>Tabela21[[#This Row],[Att subs]]+Tabela21[[#This Row],[Crit D subs]]</f>
        <v>0.6</v>
      </c>
      <c r="AN608" s="15">
        <v>0</v>
      </c>
      <c r="AO608" s="15">
        <v>0.6</v>
      </c>
      <c r="AP608" s="15">
        <v>0</v>
      </c>
      <c r="AQ608" s="189">
        <f t="shared" si="111"/>
        <v>3515.3799999999997</v>
      </c>
      <c r="AR608" s="189">
        <f t="shared" si="112"/>
        <v>3358.2000000000003</v>
      </c>
      <c r="AS608" s="189">
        <f t="shared" si="108"/>
        <v>3386.0400000000004</v>
      </c>
      <c r="AT608" s="189">
        <f t="shared" si="109"/>
        <v>6528.4800000000005</v>
      </c>
      <c r="AU608" s="50">
        <f t="shared" si="110"/>
        <v>6055.2</v>
      </c>
    </row>
    <row r="609" spans="36:47">
      <c r="AJ609" s="50">
        <v>2</v>
      </c>
      <c r="AK609" s="50">
        <v>0</v>
      </c>
      <c r="AL609" s="50">
        <v>1</v>
      </c>
      <c r="AM609" s="15">
        <f>Tabela21[[#This Row],[Att subs]]+Tabela21[[#This Row],[Crit D subs]]</f>
        <v>0.6</v>
      </c>
      <c r="AN609" s="15">
        <v>0</v>
      </c>
      <c r="AO609" s="15">
        <v>0.6</v>
      </c>
      <c r="AP609" s="15">
        <v>0.1</v>
      </c>
      <c r="AQ609" s="189">
        <f t="shared" si="111"/>
        <v>3745.28</v>
      </c>
      <c r="AR609" s="189">
        <f t="shared" si="112"/>
        <v>3619.2000000000003</v>
      </c>
      <c r="AS609" s="189">
        <f t="shared" si="108"/>
        <v>3577.44</v>
      </c>
      <c r="AT609" s="189">
        <f t="shared" si="109"/>
        <v>7085.28</v>
      </c>
      <c r="AU609" s="50">
        <f t="shared" si="110"/>
        <v>6751.2</v>
      </c>
    </row>
    <row r="610" spans="36:47">
      <c r="AJ610" s="50">
        <v>2</v>
      </c>
      <c r="AK610" s="50">
        <v>0</v>
      </c>
      <c r="AL610" s="50">
        <v>1</v>
      </c>
      <c r="AM610" s="15">
        <f>Tabela21[[#This Row],[Att subs]]+Tabela21[[#This Row],[Crit D subs]]</f>
        <v>0.6</v>
      </c>
      <c r="AN610" s="15">
        <v>0</v>
      </c>
      <c r="AO610" s="15">
        <v>0.6</v>
      </c>
      <c r="AP610" s="15">
        <v>0.2</v>
      </c>
      <c r="AQ610" s="189">
        <f t="shared" si="111"/>
        <v>3975.18</v>
      </c>
      <c r="AR610" s="189">
        <f t="shared" si="112"/>
        <v>3880.2</v>
      </c>
      <c r="AS610" s="189">
        <f t="shared" si="108"/>
        <v>3654</v>
      </c>
      <c r="AT610" s="189">
        <f t="shared" si="109"/>
        <v>7308</v>
      </c>
      <c r="AU610" s="50">
        <f t="shared" si="110"/>
        <v>7447.1999999999989</v>
      </c>
    </row>
    <row r="611" spans="36:47">
      <c r="AJ611" s="50">
        <v>2</v>
      </c>
      <c r="AK611" s="50">
        <v>0</v>
      </c>
      <c r="AL611" s="50">
        <v>1</v>
      </c>
      <c r="AM611" s="15">
        <f>Tabela21[[#This Row],[Att subs]]+Tabela21[[#This Row],[Crit D subs]]</f>
        <v>0.6</v>
      </c>
      <c r="AN611" s="15">
        <v>0</v>
      </c>
      <c r="AO611" s="15">
        <v>0.6</v>
      </c>
      <c r="AP611" s="15">
        <v>0.3</v>
      </c>
      <c r="AQ611" s="189">
        <f t="shared" si="111"/>
        <v>4205.08</v>
      </c>
      <c r="AR611" s="189">
        <f t="shared" si="112"/>
        <v>4141.2000000000007</v>
      </c>
      <c r="AS611" s="189">
        <f t="shared" si="108"/>
        <v>3654</v>
      </c>
      <c r="AT611" s="189">
        <f t="shared" si="109"/>
        <v>7308</v>
      </c>
      <c r="AU611" s="50">
        <f t="shared" si="110"/>
        <v>8143.2000000000007</v>
      </c>
    </row>
    <row r="612" spans="36:47">
      <c r="AJ612" s="50">
        <v>2</v>
      </c>
      <c r="AK612" s="50">
        <v>0</v>
      </c>
      <c r="AL612" s="50">
        <v>1</v>
      </c>
      <c r="AM612" s="15">
        <f>Tabela21[[#This Row],[Att subs]]+Tabela21[[#This Row],[Crit D subs]]</f>
        <v>0.6</v>
      </c>
      <c r="AN612" s="15">
        <v>0</v>
      </c>
      <c r="AO612" s="15">
        <v>0.6</v>
      </c>
      <c r="AP612" s="15">
        <v>0.4</v>
      </c>
      <c r="AQ612" s="189">
        <f t="shared" si="111"/>
        <v>4389</v>
      </c>
      <c r="AR612" s="189">
        <f t="shared" si="112"/>
        <v>4350</v>
      </c>
      <c r="AS612" s="189">
        <f t="shared" si="108"/>
        <v>3654</v>
      </c>
      <c r="AT612" s="189">
        <f t="shared" si="109"/>
        <v>7308</v>
      </c>
      <c r="AU612" s="50">
        <f t="shared" si="110"/>
        <v>8700</v>
      </c>
    </row>
    <row r="613" spans="36:47">
      <c r="AJ613" s="50">
        <v>2</v>
      </c>
      <c r="AK613" s="50">
        <v>0</v>
      </c>
      <c r="AL613" s="50">
        <v>1</v>
      </c>
      <c r="AM613" s="15">
        <f>Tabela21[[#This Row],[Att subs]]+Tabela21[[#This Row],[Crit D subs]]</f>
        <v>0.6</v>
      </c>
      <c r="AN613" s="15">
        <v>0</v>
      </c>
      <c r="AO613" s="15">
        <v>0.6</v>
      </c>
      <c r="AP613" s="15">
        <v>0.5</v>
      </c>
      <c r="AQ613" s="189">
        <f t="shared" si="111"/>
        <v>4389</v>
      </c>
      <c r="AR613" s="189">
        <f t="shared" si="112"/>
        <v>4350</v>
      </c>
      <c r="AS613" s="189">
        <f t="shared" si="108"/>
        <v>3654</v>
      </c>
      <c r="AT613" s="189">
        <f t="shared" si="109"/>
        <v>7308</v>
      </c>
      <c r="AU613" s="50">
        <f t="shared" si="110"/>
        <v>8700</v>
      </c>
    </row>
    <row r="614" spans="36:47">
      <c r="AJ614" s="50">
        <v>2</v>
      </c>
      <c r="AK614" s="50">
        <v>0</v>
      </c>
      <c r="AL614" s="50">
        <v>1</v>
      </c>
      <c r="AM614" s="15">
        <f>Tabela21[[#This Row],[Att subs]]+Tabela21[[#This Row],[Crit D subs]]</f>
        <v>0.6</v>
      </c>
      <c r="AN614" s="15">
        <v>0</v>
      </c>
      <c r="AO614" s="15">
        <v>0.6</v>
      </c>
      <c r="AP614" s="15">
        <v>0.6</v>
      </c>
      <c r="AQ614" s="189">
        <f t="shared" si="111"/>
        <v>4389</v>
      </c>
      <c r="AR614" s="189">
        <f t="shared" si="112"/>
        <v>4350</v>
      </c>
      <c r="AS614" s="189">
        <f t="shared" si="108"/>
        <v>3654</v>
      </c>
      <c r="AT614" s="189">
        <f t="shared" si="109"/>
        <v>7308</v>
      </c>
      <c r="AU614" s="50">
        <f t="shared" si="110"/>
        <v>8700</v>
      </c>
    </row>
    <row r="615" spans="36:47">
      <c r="AJ615" s="50">
        <v>2</v>
      </c>
      <c r="AK615" s="50">
        <v>0</v>
      </c>
      <c r="AL615" s="50">
        <v>1</v>
      </c>
      <c r="AM615" s="15">
        <f>Tabela21[[#This Row],[Att subs]]+Tabela21[[#This Row],[Crit D subs]]</f>
        <v>0.6</v>
      </c>
      <c r="AN615" s="15">
        <v>0</v>
      </c>
      <c r="AO615" s="15">
        <v>0.6</v>
      </c>
      <c r="AP615" s="15">
        <v>0.7</v>
      </c>
      <c r="AQ615" s="189">
        <f t="shared" si="111"/>
        <v>4389</v>
      </c>
      <c r="AR615" s="189">
        <f t="shared" si="112"/>
        <v>4350</v>
      </c>
      <c r="AS615" s="189">
        <f t="shared" si="108"/>
        <v>3654</v>
      </c>
      <c r="AT615" s="189">
        <f t="shared" si="109"/>
        <v>7308</v>
      </c>
      <c r="AU615" s="50">
        <f t="shared" si="110"/>
        <v>8700</v>
      </c>
    </row>
    <row r="616" spans="36:47">
      <c r="AJ616" s="50">
        <v>2</v>
      </c>
      <c r="AK616" s="50">
        <v>0</v>
      </c>
      <c r="AL616" s="50">
        <v>1</v>
      </c>
      <c r="AM616" s="15">
        <f>Tabela21[[#This Row],[Att subs]]+Tabela21[[#This Row],[Crit D subs]]</f>
        <v>0.6</v>
      </c>
      <c r="AN616" s="15">
        <v>0</v>
      </c>
      <c r="AO616" s="15">
        <v>0.6</v>
      </c>
      <c r="AP616" s="15">
        <v>0.8</v>
      </c>
      <c r="AQ616" s="189">
        <f t="shared" si="111"/>
        <v>4389</v>
      </c>
      <c r="AR616" s="189">
        <f t="shared" si="112"/>
        <v>4350</v>
      </c>
      <c r="AS616" s="189">
        <f t="shared" si="108"/>
        <v>3654</v>
      </c>
      <c r="AT616" s="189">
        <f t="shared" si="109"/>
        <v>7308</v>
      </c>
      <c r="AU616" s="50">
        <f t="shared" si="110"/>
        <v>8700</v>
      </c>
    </row>
    <row r="617" spans="36:47">
      <c r="AJ617" s="50">
        <v>2</v>
      </c>
      <c r="AK617" s="50">
        <v>0</v>
      </c>
      <c r="AL617" s="50">
        <v>1</v>
      </c>
      <c r="AM617" s="15">
        <f>Tabela21[[#This Row],[Att subs]]+Tabela21[[#This Row],[Crit D subs]]</f>
        <v>0.6</v>
      </c>
      <c r="AN617" s="15">
        <v>0</v>
      </c>
      <c r="AO617" s="15">
        <v>0.6</v>
      </c>
      <c r="AP617" s="15">
        <v>0.9</v>
      </c>
      <c r="AQ617" s="189">
        <f t="shared" si="111"/>
        <v>4389</v>
      </c>
      <c r="AR617" s="189">
        <f t="shared" si="112"/>
        <v>4350</v>
      </c>
      <c r="AS617" s="189">
        <f t="shared" si="108"/>
        <v>3654</v>
      </c>
      <c r="AT617" s="189">
        <f t="shared" si="109"/>
        <v>7308</v>
      </c>
      <c r="AU617" s="50">
        <f t="shared" si="110"/>
        <v>8700</v>
      </c>
    </row>
    <row r="618" spans="36:47">
      <c r="AJ618" s="50">
        <v>2</v>
      </c>
      <c r="AK618" s="50">
        <v>0</v>
      </c>
      <c r="AL618" s="50">
        <v>1</v>
      </c>
      <c r="AM618" s="15">
        <f>Tabela21[[#This Row],[Att subs]]+Tabela21[[#This Row],[Crit D subs]]</f>
        <v>0.6</v>
      </c>
      <c r="AN618" s="15">
        <v>0</v>
      </c>
      <c r="AO618" s="15">
        <v>0.6</v>
      </c>
      <c r="AP618" s="15">
        <v>1</v>
      </c>
      <c r="AQ618" s="189">
        <f t="shared" si="111"/>
        <v>4389</v>
      </c>
      <c r="AR618" s="189">
        <f t="shared" si="112"/>
        <v>4350</v>
      </c>
      <c r="AS618" s="189">
        <f t="shared" si="108"/>
        <v>3654</v>
      </c>
      <c r="AT618" s="189">
        <f t="shared" si="109"/>
        <v>7308</v>
      </c>
      <c r="AU618" s="50">
        <f t="shared" si="110"/>
        <v>8700</v>
      </c>
    </row>
    <row r="619" spans="36:47">
      <c r="AJ619" s="50">
        <v>3</v>
      </c>
      <c r="AK619" s="50">
        <v>0</v>
      </c>
      <c r="AL619" s="50">
        <v>0</v>
      </c>
      <c r="AM619" s="15">
        <f>Tabela21[[#This Row],[Att subs]]+Tabela21[[#This Row],[Crit D subs]]</f>
        <v>0.6</v>
      </c>
      <c r="AN619" s="15">
        <v>0</v>
      </c>
      <c r="AO619" s="15">
        <v>0.6</v>
      </c>
      <c r="AP619" s="15">
        <v>0</v>
      </c>
      <c r="AQ619" s="189">
        <f t="shared" si="111"/>
        <v>3190.6200000000003</v>
      </c>
      <c r="AR619" s="189">
        <f t="shared" si="112"/>
        <v>2964.55</v>
      </c>
      <c r="AS619" s="189">
        <f t="shared" si="108"/>
        <v>3293.7100000000005</v>
      </c>
      <c r="AT619" s="189">
        <f t="shared" si="109"/>
        <v>5553.5200000000013</v>
      </c>
      <c r="AU619" s="50">
        <f t="shared" si="110"/>
        <v>4388.8</v>
      </c>
    </row>
    <row r="620" spans="36:47">
      <c r="AJ620" s="50">
        <v>3</v>
      </c>
      <c r="AK620" s="50">
        <v>0</v>
      </c>
      <c r="AL620" s="50">
        <v>0</v>
      </c>
      <c r="AM620" s="15">
        <f>Tabela21[[#This Row],[Att subs]]+Tabela21[[#This Row],[Crit D subs]]</f>
        <v>0.6</v>
      </c>
      <c r="AN620" s="15">
        <v>0</v>
      </c>
      <c r="AO620" s="15">
        <v>0.6</v>
      </c>
      <c r="AP620" s="15">
        <v>0.1</v>
      </c>
      <c r="AQ620" s="189">
        <f t="shared" si="111"/>
        <v>3461.2200000000003</v>
      </c>
      <c r="AR620" s="189">
        <f t="shared" si="112"/>
        <v>3281.05</v>
      </c>
      <c r="AS620" s="189">
        <f t="shared" si="108"/>
        <v>3525.8099999999995</v>
      </c>
      <c r="AT620" s="189">
        <f t="shared" si="109"/>
        <v>6228.72</v>
      </c>
      <c r="AU620" s="50">
        <f t="shared" si="110"/>
        <v>5232.8</v>
      </c>
    </row>
    <row r="621" spans="36:47">
      <c r="AJ621" s="50">
        <v>3</v>
      </c>
      <c r="AK621" s="50">
        <v>0</v>
      </c>
      <c r="AL621" s="50">
        <v>0</v>
      </c>
      <c r="AM621" s="15">
        <f>Tabela21[[#This Row],[Att subs]]+Tabela21[[#This Row],[Crit D subs]]</f>
        <v>0.6</v>
      </c>
      <c r="AN621" s="15">
        <v>0</v>
      </c>
      <c r="AO621" s="15">
        <v>0.6</v>
      </c>
      <c r="AP621" s="15">
        <v>0.2</v>
      </c>
      <c r="AQ621" s="189">
        <f t="shared" si="111"/>
        <v>3731.8199999999997</v>
      </c>
      <c r="AR621" s="189">
        <f t="shared" si="112"/>
        <v>3597.5499999999993</v>
      </c>
      <c r="AS621" s="189">
        <f t="shared" si="108"/>
        <v>3757.9099999999994</v>
      </c>
      <c r="AT621" s="189">
        <f t="shared" si="109"/>
        <v>6903.9199999999992</v>
      </c>
      <c r="AU621" s="50">
        <f t="shared" si="110"/>
        <v>6076.7999999999993</v>
      </c>
    </row>
    <row r="622" spans="36:47">
      <c r="AJ622" s="50">
        <v>3</v>
      </c>
      <c r="AK622" s="50">
        <v>0</v>
      </c>
      <c r="AL622" s="50">
        <v>0</v>
      </c>
      <c r="AM622" s="15">
        <f>Tabela21[[#This Row],[Att subs]]+Tabela21[[#This Row],[Crit D subs]]</f>
        <v>0.6</v>
      </c>
      <c r="AN622" s="15">
        <v>0</v>
      </c>
      <c r="AO622" s="15">
        <v>0.6</v>
      </c>
      <c r="AP622" s="15">
        <v>0.3</v>
      </c>
      <c r="AQ622" s="189">
        <f t="shared" si="111"/>
        <v>4002.4199999999996</v>
      </c>
      <c r="AR622" s="189">
        <f t="shared" si="112"/>
        <v>3914.05</v>
      </c>
      <c r="AS622" s="189">
        <f t="shared" si="108"/>
        <v>3990.01</v>
      </c>
      <c r="AT622" s="189">
        <f t="shared" si="109"/>
        <v>7579.119999999999</v>
      </c>
      <c r="AU622" s="50">
        <f t="shared" si="110"/>
        <v>6920.7999999999993</v>
      </c>
    </row>
    <row r="623" spans="36:47">
      <c r="AJ623" s="50">
        <v>3</v>
      </c>
      <c r="AK623" s="50">
        <v>0</v>
      </c>
      <c r="AL623" s="50">
        <v>0</v>
      </c>
      <c r="AM623" s="15">
        <f>Tabela21[[#This Row],[Att subs]]+Tabela21[[#This Row],[Crit D subs]]</f>
        <v>0.6</v>
      </c>
      <c r="AN623" s="15">
        <v>0</v>
      </c>
      <c r="AO623" s="15">
        <v>0.6</v>
      </c>
      <c r="AP623" s="15">
        <v>0.4</v>
      </c>
      <c r="AQ623" s="189">
        <f t="shared" si="111"/>
        <v>4273.0200000000004</v>
      </c>
      <c r="AR623" s="189">
        <f t="shared" si="112"/>
        <v>4230.55</v>
      </c>
      <c r="AS623" s="189">
        <f t="shared" si="108"/>
        <v>4222.1100000000006</v>
      </c>
      <c r="AT623" s="189">
        <f t="shared" si="109"/>
        <v>8254.3200000000015</v>
      </c>
      <c r="AU623" s="50">
        <f t="shared" si="110"/>
        <v>7764.8</v>
      </c>
    </row>
    <row r="624" spans="36:47">
      <c r="AJ624" s="50">
        <v>3</v>
      </c>
      <c r="AK624" s="50">
        <v>0</v>
      </c>
      <c r="AL624" s="50">
        <v>0</v>
      </c>
      <c r="AM624" s="15">
        <f>Tabela21[[#This Row],[Att subs]]+Tabela21[[#This Row],[Crit D subs]]</f>
        <v>0.6</v>
      </c>
      <c r="AN624" s="15">
        <v>0</v>
      </c>
      <c r="AO624" s="15">
        <v>0.6</v>
      </c>
      <c r="AP624" s="15">
        <v>0.5</v>
      </c>
      <c r="AQ624" s="189">
        <f t="shared" si="111"/>
        <v>4543.6200000000008</v>
      </c>
      <c r="AR624" s="189">
        <f t="shared" si="112"/>
        <v>4547.05</v>
      </c>
      <c r="AS624" s="189">
        <f t="shared" si="108"/>
        <v>4431</v>
      </c>
      <c r="AT624" s="189">
        <f t="shared" si="109"/>
        <v>8862</v>
      </c>
      <c r="AU624" s="50">
        <f t="shared" si="110"/>
        <v>8608.7999999999993</v>
      </c>
    </row>
    <row r="625" spans="36:47">
      <c r="AJ625" s="50">
        <v>3</v>
      </c>
      <c r="AK625" s="50">
        <v>0</v>
      </c>
      <c r="AL625" s="50">
        <v>0</v>
      </c>
      <c r="AM625" s="15">
        <f>Tabela21[[#This Row],[Att subs]]+Tabela21[[#This Row],[Crit D subs]]</f>
        <v>0.6</v>
      </c>
      <c r="AN625" s="15">
        <v>0</v>
      </c>
      <c r="AO625" s="15">
        <v>0.6</v>
      </c>
      <c r="AP625" s="15">
        <v>0.6</v>
      </c>
      <c r="AQ625" s="189">
        <f t="shared" si="111"/>
        <v>4814.2199999999993</v>
      </c>
      <c r="AR625" s="189">
        <f t="shared" si="112"/>
        <v>4863.5499999999993</v>
      </c>
      <c r="AS625" s="189">
        <f t="shared" si="108"/>
        <v>4431</v>
      </c>
      <c r="AT625" s="189">
        <f t="shared" si="109"/>
        <v>8862</v>
      </c>
      <c r="AU625" s="50">
        <f t="shared" si="110"/>
        <v>9452.7999999999993</v>
      </c>
    </row>
    <row r="626" spans="36:47">
      <c r="AJ626" s="50">
        <v>3</v>
      </c>
      <c r="AK626" s="50">
        <v>0</v>
      </c>
      <c r="AL626" s="50">
        <v>0</v>
      </c>
      <c r="AM626" s="15">
        <f>Tabela21[[#This Row],[Att subs]]+Tabela21[[#This Row],[Crit D subs]]</f>
        <v>0.6</v>
      </c>
      <c r="AN626" s="15">
        <v>0</v>
      </c>
      <c r="AO626" s="15">
        <v>0.6</v>
      </c>
      <c r="AP626" s="15">
        <v>0.7</v>
      </c>
      <c r="AQ626" s="189">
        <f t="shared" si="111"/>
        <v>5084.8200000000006</v>
      </c>
      <c r="AR626" s="189">
        <f t="shared" si="112"/>
        <v>5180.05</v>
      </c>
      <c r="AS626" s="189">
        <f t="shared" si="108"/>
        <v>4431</v>
      </c>
      <c r="AT626" s="189">
        <f t="shared" si="109"/>
        <v>8862</v>
      </c>
      <c r="AU626" s="50">
        <f t="shared" si="110"/>
        <v>10296.799999999999</v>
      </c>
    </row>
    <row r="627" spans="36:47">
      <c r="AJ627" s="50">
        <v>3</v>
      </c>
      <c r="AK627" s="50">
        <v>0</v>
      </c>
      <c r="AL627" s="50">
        <v>0</v>
      </c>
      <c r="AM627" s="15">
        <f>Tabela21[[#This Row],[Att subs]]+Tabela21[[#This Row],[Crit D subs]]</f>
        <v>0.6</v>
      </c>
      <c r="AN627" s="15">
        <v>0</v>
      </c>
      <c r="AO627" s="15">
        <v>0.6</v>
      </c>
      <c r="AP627" s="15">
        <v>0.8</v>
      </c>
      <c r="AQ627" s="189">
        <f t="shared" si="111"/>
        <v>5166</v>
      </c>
      <c r="AR627" s="189">
        <f t="shared" si="112"/>
        <v>5275</v>
      </c>
      <c r="AS627" s="189">
        <f t="shared" si="108"/>
        <v>4431</v>
      </c>
      <c r="AT627" s="189">
        <f t="shared" si="109"/>
        <v>8862</v>
      </c>
      <c r="AU627" s="50">
        <f t="shared" si="110"/>
        <v>10550</v>
      </c>
    </row>
    <row r="628" spans="36:47">
      <c r="AJ628" s="50">
        <v>3</v>
      </c>
      <c r="AK628" s="50">
        <v>0</v>
      </c>
      <c r="AL628" s="50">
        <v>0</v>
      </c>
      <c r="AM628" s="15">
        <f>Tabela21[[#This Row],[Att subs]]+Tabela21[[#This Row],[Crit D subs]]</f>
        <v>0.6</v>
      </c>
      <c r="AN628" s="15">
        <v>0</v>
      </c>
      <c r="AO628" s="15">
        <v>0.6</v>
      </c>
      <c r="AP628" s="15">
        <v>0.9</v>
      </c>
      <c r="AQ628" s="189">
        <f t="shared" si="111"/>
        <v>5166</v>
      </c>
      <c r="AR628" s="189">
        <f t="shared" si="112"/>
        <v>5275</v>
      </c>
      <c r="AS628" s="189">
        <f t="shared" si="108"/>
        <v>4431</v>
      </c>
      <c r="AT628" s="189">
        <f t="shared" si="109"/>
        <v>8862</v>
      </c>
      <c r="AU628" s="50">
        <f t="shared" si="110"/>
        <v>10550</v>
      </c>
    </row>
    <row r="629" spans="36:47">
      <c r="AJ629" s="50">
        <v>3</v>
      </c>
      <c r="AK629" s="50">
        <v>0</v>
      </c>
      <c r="AL629" s="50">
        <v>0</v>
      </c>
      <c r="AM629" s="15">
        <f>Tabela21[[#This Row],[Att subs]]+Tabela21[[#This Row],[Crit D subs]]</f>
        <v>0.6</v>
      </c>
      <c r="AN629" s="15">
        <v>0</v>
      </c>
      <c r="AO629" s="15">
        <v>0.6</v>
      </c>
      <c r="AP629" s="15">
        <v>1</v>
      </c>
      <c r="AQ629" s="189">
        <f t="shared" si="111"/>
        <v>5166</v>
      </c>
      <c r="AR629" s="189">
        <f t="shared" si="112"/>
        <v>5275</v>
      </c>
      <c r="AS629" s="189">
        <f t="shared" si="108"/>
        <v>4431</v>
      </c>
      <c r="AT629" s="189">
        <f t="shared" si="109"/>
        <v>8862</v>
      </c>
      <c r="AU629" s="50">
        <f t="shared" si="110"/>
        <v>10550</v>
      </c>
    </row>
    <row r="630" spans="36:47">
      <c r="AJ630" s="50">
        <v>2</v>
      </c>
      <c r="AK630" s="50">
        <v>1</v>
      </c>
      <c r="AL630" s="50">
        <v>0</v>
      </c>
      <c r="AM630" s="15">
        <f>Tabela21[[#This Row],[Att subs]]+Tabela21[[#This Row],[Crit D subs]]</f>
        <v>0.8</v>
      </c>
      <c r="AN630" s="15">
        <v>0.2</v>
      </c>
      <c r="AO630" s="15">
        <v>0.6</v>
      </c>
      <c r="AP630" s="15">
        <v>0</v>
      </c>
      <c r="AQ630" s="189">
        <f t="shared" si="111"/>
        <v>3260.7310000000002</v>
      </c>
      <c r="AR630" s="189">
        <f t="shared" si="112"/>
        <v>2971.886</v>
      </c>
      <c r="AS630" s="189">
        <f t="shared" si="108"/>
        <v>3493.3580000000002</v>
      </c>
      <c r="AT630" s="189">
        <f t="shared" si="109"/>
        <v>6036.1160000000009</v>
      </c>
      <c r="AU630" s="50">
        <f t="shared" si="110"/>
        <v>4527.5720000000001</v>
      </c>
    </row>
    <row r="631" spans="36:47">
      <c r="AJ631" s="50">
        <v>2</v>
      </c>
      <c r="AK631" s="50">
        <v>1</v>
      </c>
      <c r="AL631" s="50">
        <v>0</v>
      </c>
      <c r="AM631" s="15">
        <f>Tabela21[[#This Row],[Att subs]]+Tabela21[[#This Row],[Crit D subs]]</f>
        <v>0.8</v>
      </c>
      <c r="AN631" s="15">
        <v>0.2</v>
      </c>
      <c r="AO631" s="15">
        <v>0.6</v>
      </c>
      <c r="AP631" s="15">
        <v>0.1</v>
      </c>
      <c r="AQ631" s="189">
        <f t="shared" si="111"/>
        <v>3620.2610000000004</v>
      </c>
      <c r="AR631" s="189">
        <f t="shared" si="112"/>
        <v>3354.0659999999998</v>
      </c>
      <c r="AS631" s="189">
        <f t="shared" si="108"/>
        <v>3797.9380000000001</v>
      </c>
      <c r="AT631" s="189">
        <f t="shared" si="109"/>
        <v>6839.2760000000007</v>
      </c>
      <c r="AU631" s="50">
        <f t="shared" si="110"/>
        <v>5485.9319999999998</v>
      </c>
    </row>
    <row r="632" spans="36:47">
      <c r="AJ632" s="50">
        <v>2</v>
      </c>
      <c r="AK632" s="50">
        <v>1</v>
      </c>
      <c r="AL632" s="50">
        <v>0</v>
      </c>
      <c r="AM632" s="15">
        <f>Tabela21[[#This Row],[Att subs]]+Tabela21[[#This Row],[Crit D subs]]</f>
        <v>0.8</v>
      </c>
      <c r="AN632" s="15">
        <v>0.2</v>
      </c>
      <c r="AO632" s="15">
        <v>0.6</v>
      </c>
      <c r="AP632" s="15">
        <v>0.2</v>
      </c>
      <c r="AQ632" s="189">
        <f t="shared" si="111"/>
        <v>3979.7909999999997</v>
      </c>
      <c r="AR632" s="189">
        <f t="shared" si="112"/>
        <v>3736.2460000000001</v>
      </c>
      <c r="AS632" s="189">
        <f t="shared" si="108"/>
        <v>4102.518</v>
      </c>
      <c r="AT632" s="189">
        <f t="shared" si="109"/>
        <v>7642.4360000000006</v>
      </c>
      <c r="AU632" s="50">
        <f t="shared" si="110"/>
        <v>6444.2919999999995</v>
      </c>
    </row>
    <row r="633" spans="36:47">
      <c r="AJ633" s="50">
        <v>2</v>
      </c>
      <c r="AK633" s="50">
        <v>1</v>
      </c>
      <c r="AL633" s="50">
        <v>0</v>
      </c>
      <c r="AM633" s="15">
        <f>Tabela21[[#This Row],[Att subs]]+Tabela21[[#This Row],[Crit D subs]]</f>
        <v>0.8</v>
      </c>
      <c r="AN633" s="15">
        <v>0.2</v>
      </c>
      <c r="AO633" s="15">
        <v>0.6</v>
      </c>
      <c r="AP633" s="15">
        <v>0.3</v>
      </c>
      <c r="AQ633" s="189">
        <f t="shared" si="111"/>
        <v>4339.3210000000008</v>
      </c>
      <c r="AR633" s="189">
        <f t="shared" si="112"/>
        <v>4118.4260000000004</v>
      </c>
      <c r="AS633" s="189">
        <f t="shared" si="108"/>
        <v>4407.098</v>
      </c>
      <c r="AT633" s="189">
        <f t="shared" si="109"/>
        <v>8445.5960000000014</v>
      </c>
      <c r="AU633" s="50">
        <f t="shared" si="110"/>
        <v>7402.652000000001</v>
      </c>
    </row>
    <row r="634" spans="36:47">
      <c r="AJ634" s="50">
        <v>2</v>
      </c>
      <c r="AK634" s="50">
        <v>1</v>
      </c>
      <c r="AL634" s="50">
        <v>0</v>
      </c>
      <c r="AM634" s="15">
        <f>Tabela21[[#This Row],[Att subs]]+Tabela21[[#This Row],[Crit D subs]]</f>
        <v>0.8</v>
      </c>
      <c r="AN634" s="15">
        <v>0.2</v>
      </c>
      <c r="AO634" s="15">
        <v>0.6</v>
      </c>
      <c r="AP634" s="15">
        <v>0.4</v>
      </c>
      <c r="AQ634" s="189">
        <f t="shared" si="111"/>
        <v>4698.8510000000006</v>
      </c>
      <c r="AR634" s="189">
        <f t="shared" si="112"/>
        <v>4500.6059999999998</v>
      </c>
      <c r="AS634" s="189">
        <f t="shared" si="108"/>
        <v>4711.6779999999999</v>
      </c>
      <c r="AT634" s="189">
        <f t="shared" si="109"/>
        <v>9248.7560000000012</v>
      </c>
      <c r="AU634" s="50">
        <f t="shared" si="110"/>
        <v>8361.0120000000006</v>
      </c>
    </row>
    <row r="635" spans="36:47">
      <c r="AJ635" s="50">
        <v>2</v>
      </c>
      <c r="AK635" s="50">
        <v>1</v>
      </c>
      <c r="AL635" s="50">
        <v>0</v>
      </c>
      <c r="AM635" s="15">
        <f>Tabela21[[#This Row],[Att subs]]+Tabela21[[#This Row],[Crit D subs]]</f>
        <v>0.8</v>
      </c>
      <c r="AN635" s="15">
        <v>0.2</v>
      </c>
      <c r="AO635" s="15">
        <v>0.6</v>
      </c>
      <c r="AP635" s="15">
        <v>0.5</v>
      </c>
      <c r="AQ635" s="189">
        <f t="shared" si="111"/>
        <v>5058.3810000000003</v>
      </c>
      <c r="AR635" s="189">
        <f t="shared" si="112"/>
        <v>4882.7860000000001</v>
      </c>
      <c r="AS635" s="189">
        <f t="shared" si="108"/>
        <v>4985.8</v>
      </c>
      <c r="AT635" s="189">
        <f t="shared" si="109"/>
        <v>9971.6</v>
      </c>
      <c r="AU635" s="50">
        <f t="shared" si="110"/>
        <v>9319.3720000000012</v>
      </c>
    </row>
    <row r="636" spans="36:47">
      <c r="AJ636" s="50">
        <v>2</v>
      </c>
      <c r="AK636" s="50">
        <v>1</v>
      </c>
      <c r="AL636" s="50">
        <v>0</v>
      </c>
      <c r="AM636" s="15">
        <f>Tabela21[[#This Row],[Att subs]]+Tabela21[[#This Row],[Crit D subs]]</f>
        <v>0.8</v>
      </c>
      <c r="AN636" s="15">
        <v>0.2</v>
      </c>
      <c r="AO636" s="15">
        <v>0.6</v>
      </c>
      <c r="AP636" s="15">
        <v>0.6</v>
      </c>
      <c r="AQ636" s="189">
        <f t="shared" si="111"/>
        <v>5417.911000000001</v>
      </c>
      <c r="AR636" s="189">
        <f t="shared" si="112"/>
        <v>5264.9660000000003</v>
      </c>
      <c r="AS636" s="189">
        <f t="shared" si="108"/>
        <v>4985.8</v>
      </c>
      <c r="AT636" s="189">
        <f t="shared" si="109"/>
        <v>9971.6</v>
      </c>
      <c r="AU636" s="50">
        <f t="shared" si="110"/>
        <v>10277.732000000002</v>
      </c>
    </row>
    <row r="637" spans="36:47">
      <c r="AJ637" s="50">
        <v>2</v>
      </c>
      <c r="AK637" s="50">
        <v>1</v>
      </c>
      <c r="AL637" s="50">
        <v>0</v>
      </c>
      <c r="AM637" s="15">
        <f>Tabela21[[#This Row],[Att subs]]+Tabela21[[#This Row],[Crit D subs]]</f>
        <v>0.8</v>
      </c>
      <c r="AN637" s="15">
        <v>0.2</v>
      </c>
      <c r="AO637" s="15">
        <v>0.6</v>
      </c>
      <c r="AP637" s="15">
        <v>0.7</v>
      </c>
      <c r="AQ637" s="189">
        <f t="shared" si="111"/>
        <v>5777.4409999999998</v>
      </c>
      <c r="AR637" s="189">
        <f t="shared" si="112"/>
        <v>5647.1459999999997</v>
      </c>
      <c r="AS637" s="189">
        <f t="shared" si="108"/>
        <v>4985.8</v>
      </c>
      <c r="AT637" s="189">
        <f t="shared" si="109"/>
        <v>9971.6</v>
      </c>
      <c r="AU637" s="50">
        <f t="shared" si="110"/>
        <v>11236.092000000001</v>
      </c>
    </row>
    <row r="638" spans="36:47">
      <c r="AJ638" s="50">
        <v>2</v>
      </c>
      <c r="AK638" s="50">
        <v>1</v>
      </c>
      <c r="AL638" s="50">
        <v>0</v>
      </c>
      <c r="AM638" s="15">
        <f>Tabela21[[#This Row],[Att subs]]+Tabela21[[#This Row],[Crit D subs]]</f>
        <v>0.8</v>
      </c>
      <c r="AN638" s="15">
        <v>0.2</v>
      </c>
      <c r="AO638" s="15">
        <v>0.6</v>
      </c>
      <c r="AP638" s="15">
        <v>0.8</v>
      </c>
      <c r="AQ638" s="189">
        <f t="shared" si="111"/>
        <v>5885.3000000000011</v>
      </c>
      <c r="AR638" s="189">
        <f t="shared" si="112"/>
        <v>5761.8</v>
      </c>
      <c r="AS638" s="189">
        <f t="shared" si="108"/>
        <v>4985.8</v>
      </c>
      <c r="AT638" s="189">
        <f t="shared" si="109"/>
        <v>9971.6</v>
      </c>
      <c r="AU638" s="50">
        <f t="shared" si="110"/>
        <v>11523.6</v>
      </c>
    </row>
    <row r="639" spans="36:47">
      <c r="AJ639" s="50">
        <v>2</v>
      </c>
      <c r="AK639" s="50">
        <v>1</v>
      </c>
      <c r="AL639" s="50">
        <v>0</v>
      </c>
      <c r="AM639" s="15">
        <f>Tabela21[[#This Row],[Att subs]]+Tabela21[[#This Row],[Crit D subs]]</f>
        <v>0.8</v>
      </c>
      <c r="AN639" s="15">
        <v>0.2</v>
      </c>
      <c r="AO639" s="15">
        <v>0.6</v>
      </c>
      <c r="AP639" s="15">
        <v>0.9</v>
      </c>
      <c r="AQ639" s="189">
        <f t="shared" si="111"/>
        <v>5885.3000000000011</v>
      </c>
      <c r="AR639" s="189">
        <f t="shared" si="112"/>
        <v>5761.8</v>
      </c>
      <c r="AS639" s="189">
        <f t="shared" si="108"/>
        <v>4985.8</v>
      </c>
      <c r="AT639" s="189">
        <f t="shared" si="109"/>
        <v>9971.6</v>
      </c>
      <c r="AU639" s="50">
        <f t="shared" si="110"/>
        <v>11523.6</v>
      </c>
    </row>
    <row r="640" spans="36:47">
      <c r="AJ640" s="50">
        <v>2</v>
      </c>
      <c r="AK640" s="50">
        <v>1</v>
      </c>
      <c r="AL640" s="50">
        <v>0</v>
      </c>
      <c r="AM640" s="15">
        <f>Tabela21[[#This Row],[Att subs]]+Tabela21[[#This Row],[Crit D subs]]</f>
        <v>0.8</v>
      </c>
      <c r="AN640" s="15">
        <v>0.2</v>
      </c>
      <c r="AO640" s="15">
        <v>0.6</v>
      </c>
      <c r="AP640" s="15">
        <v>1</v>
      </c>
      <c r="AQ640" s="189">
        <f t="shared" si="111"/>
        <v>5885.3000000000011</v>
      </c>
      <c r="AR640" s="189">
        <f t="shared" si="112"/>
        <v>5761.8</v>
      </c>
      <c r="AS640" s="189">
        <f t="shared" si="108"/>
        <v>4985.8</v>
      </c>
      <c r="AT640" s="189">
        <f t="shared" si="109"/>
        <v>9971.6</v>
      </c>
      <c r="AU640" s="50">
        <f t="shared" si="110"/>
        <v>11523.6</v>
      </c>
    </row>
    <row r="641" spans="36:47">
      <c r="AJ641" s="50">
        <v>2</v>
      </c>
      <c r="AK641" s="50">
        <v>0</v>
      </c>
      <c r="AL641" s="50">
        <v>1</v>
      </c>
      <c r="AM641" s="15">
        <f>Tabela21[[#This Row],[Att subs]]+Tabela21[[#This Row],[Crit D subs]]</f>
        <v>0.8</v>
      </c>
      <c r="AN641" s="15">
        <v>0.2</v>
      </c>
      <c r="AO641" s="15">
        <v>0.6</v>
      </c>
      <c r="AP641" s="15">
        <v>0</v>
      </c>
      <c r="AQ641" s="189">
        <f t="shared" si="111"/>
        <v>3851.7799999999997</v>
      </c>
      <c r="AR641" s="189">
        <f t="shared" si="112"/>
        <v>3744.2000000000003</v>
      </c>
      <c r="AS641" s="189">
        <f t="shared" si="108"/>
        <v>3775.2400000000002</v>
      </c>
      <c r="AT641" s="189">
        <f t="shared" si="109"/>
        <v>7278.88</v>
      </c>
      <c r="AU641" s="50">
        <f t="shared" si="110"/>
        <v>6751.2</v>
      </c>
    </row>
    <row r="642" spans="36:47">
      <c r="AJ642" s="50">
        <v>2</v>
      </c>
      <c r="AK642" s="50">
        <v>0</v>
      </c>
      <c r="AL642" s="50">
        <v>1</v>
      </c>
      <c r="AM642" s="15">
        <f>Tabela21[[#This Row],[Att subs]]+Tabela21[[#This Row],[Crit D subs]]</f>
        <v>0.8</v>
      </c>
      <c r="AN642" s="15">
        <v>0.2</v>
      </c>
      <c r="AO642" s="15">
        <v>0.6</v>
      </c>
      <c r="AP642" s="15">
        <v>0.1</v>
      </c>
      <c r="AQ642" s="189">
        <f t="shared" si="111"/>
        <v>4103.68</v>
      </c>
      <c r="AR642" s="189">
        <f t="shared" si="112"/>
        <v>4035.2000000000003</v>
      </c>
      <c r="AS642" s="189">
        <f t="shared" si="108"/>
        <v>3988.64</v>
      </c>
      <c r="AT642" s="189">
        <f t="shared" si="109"/>
        <v>7899.68</v>
      </c>
      <c r="AU642" s="50">
        <f t="shared" si="110"/>
        <v>7527.2</v>
      </c>
    </row>
    <row r="643" spans="36:47">
      <c r="AJ643" s="50">
        <v>2</v>
      </c>
      <c r="AK643" s="50">
        <v>0</v>
      </c>
      <c r="AL643" s="50">
        <v>1</v>
      </c>
      <c r="AM643" s="15">
        <f>Tabela21[[#This Row],[Att subs]]+Tabela21[[#This Row],[Crit D subs]]</f>
        <v>0.8</v>
      </c>
      <c r="AN643" s="15">
        <v>0.2</v>
      </c>
      <c r="AO643" s="15">
        <v>0.6</v>
      </c>
      <c r="AP643" s="15">
        <v>0.2</v>
      </c>
      <c r="AQ643" s="189">
        <f t="shared" si="111"/>
        <v>4355.58</v>
      </c>
      <c r="AR643" s="189">
        <f t="shared" si="112"/>
        <v>4326.2</v>
      </c>
      <c r="AS643" s="189">
        <f t="shared" ref="AS643:AS706" si="113">$AG$3*(1+$AJ643*$Y$2+$AN643)*(MAXA(1-$AI$3-$AL643*$AA$3-$AP643-0.36,0)+MINA($AI$3+$AL643*$AA$3+$AP643+0.36,1)*(1+$AH$3+$AO643+$AK643*$Z$4))</f>
        <v>4074</v>
      </c>
      <c r="AT643" s="189">
        <f t="shared" ref="AT643:AT706" si="114">$AG$3*(1+$AJ643*$Y$2+$AN643)*(MAXA(1-$AI$3-$AL643*$AA$3-$AP643-0.36,0)+2*MINA($AI$3+$AL643*$AA$3+$AP643+0.36,1)*(1+$AH$3+$AO643+$AK643*$Z$4))</f>
        <v>8148</v>
      </c>
      <c r="AU643" s="50">
        <f t="shared" ref="AU643:AU706" si="115">$AG$3*(1+$AJ643*$Y$2+$AN643)*(MAXA(1-$AI$3-$AL643*$AA$3-$AP643-0.12,0)+2*MINA($AI$3+$AL643*$AA$3+$AP643+0.12,1)*(1+$AH$3+$AO643+$AK643*$Z$4+0.4))</f>
        <v>8303.1999999999989</v>
      </c>
    </row>
    <row r="644" spans="36:47">
      <c r="AJ644" s="50">
        <v>2</v>
      </c>
      <c r="AK644" s="50">
        <v>0</v>
      </c>
      <c r="AL644" s="50">
        <v>1</v>
      </c>
      <c r="AM644" s="15">
        <f>Tabela21[[#This Row],[Att subs]]+Tabela21[[#This Row],[Crit D subs]]</f>
        <v>0.8</v>
      </c>
      <c r="AN644" s="15">
        <v>0.2</v>
      </c>
      <c r="AO644" s="15">
        <v>0.6</v>
      </c>
      <c r="AP644" s="15">
        <v>0.3</v>
      </c>
      <c r="AQ644" s="189">
        <f t="shared" ref="AQ644:AQ707" si="116">$AG$3*(1+$AJ644*$Y$2+$AN644+0.35)*(MAXA(1-$AI$3-$AL644*$AA$3-$AP644-0.12,0)+MINA($AI$3+$AL644*$AA$3+$AP644+0.12,1)*(1+$AH$3+$AO644+$AK644*$Z$4))</f>
        <v>4607.4800000000005</v>
      </c>
      <c r="AR644" s="189">
        <f t="shared" ref="AR644:AR707" si="117">$AG$3*(1+$AJ644*$Y$2+$AN644)*(MAXA(1-$AI$3-$AL644*$AA$3-$AP644-0.12,0)+MINA($AI$3+$AL644*$AA$3+$AP644+0.12,1)*(1+$AH$3+$AO644+$AK644*$Z$4+0.4))</f>
        <v>4617.2000000000007</v>
      </c>
      <c r="AS644" s="189">
        <f t="shared" si="113"/>
        <v>4074</v>
      </c>
      <c r="AT644" s="189">
        <f t="shared" si="114"/>
        <v>8148</v>
      </c>
      <c r="AU644" s="50">
        <f t="shared" si="115"/>
        <v>9079.2000000000007</v>
      </c>
    </row>
    <row r="645" spans="36:47">
      <c r="AJ645" s="50">
        <v>2</v>
      </c>
      <c r="AK645" s="50">
        <v>0</v>
      </c>
      <c r="AL645" s="50">
        <v>1</v>
      </c>
      <c r="AM645" s="15">
        <f>Tabela21[[#This Row],[Att subs]]+Tabela21[[#This Row],[Crit D subs]]</f>
        <v>0.8</v>
      </c>
      <c r="AN645" s="15">
        <v>0.2</v>
      </c>
      <c r="AO645" s="15">
        <v>0.6</v>
      </c>
      <c r="AP645" s="15">
        <v>0.4</v>
      </c>
      <c r="AQ645" s="189">
        <f t="shared" si="116"/>
        <v>4809</v>
      </c>
      <c r="AR645" s="189">
        <f t="shared" si="117"/>
        <v>4850</v>
      </c>
      <c r="AS645" s="189">
        <f t="shared" si="113"/>
        <v>4074</v>
      </c>
      <c r="AT645" s="189">
        <f t="shared" si="114"/>
        <v>8148</v>
      </c>
      <c r="AU645" s="50">
        <f t="shared" si="115"/>
        <v>9700</v>
      </c>
    </row>
    <row r="646" spans="36:47">
      <c r="AJ646" s="50">
        <v>2</v>
      </c>
      <c r="AK646" s="50">
        <v>0</v>
      </c>
      <c r="AL646" s="50">
        <v>1</v>
      </c>
      <c r="AM646" s="15">
        <f>Tabela21[[#This Row],[Att subs]]+Tabela21[[#This Row],[Crit D subs]]</f>
        <v>0.8</v>
      </c>
      <c r="AN646" s="15">
        <v>0.2</v>
      </c>
      <c r="AO646" s="15">
        <v>0.6</v>
      </c>
      <c r="AP646" s="15">
        <v>0.5</v>
      </c>
      <c r="AQ646" s="189">
        <f t="shared" si="116"/>
        <v>4809</v>
      </c>
      <c r="AR646" s="189">
        <f t="shared" si="117"/>
        <v>4850</v>
      </c>
      <c r="AS646" s="189">
        <f t="shared" si="113"/>
        <v>4074</v>
      </c>
      <c r="AT646" s="189">
        <f t="shared" si="114"/>
        <v>8148</v>
      </c>
      <c r="AU646" s="50">
        <f t="shared" si="115"/>
        <v>9700</v>
      </c>
    </row>
    <row r="647" spans="36:47">
      <c r="AJ647" s="50">
        <v>2</v>
      </c>
      <c r="AK647" s="50">
        <v>0</v>
      </c>
      <c r="AL647" s="50">
        <v>1</v>
      </c>
      <c r="AM647" s="15">
        <f>Tabela21[[#This Row],[Att subs]]+Tabela21[[#This Row],[Crit D subs]]</f>
        <v>0.8</v>
      </c>
      <c r="AN647" s="15">
        <v>0.2</v>
      </c>
      <c r="AO647" s="15">
        <v>0.6</v>
      </c>
      <c r="AP647" s="15">
        <v>0.6</v>
      </c>
      <c r="AQ647" s="189">
        <f t="shared" si="116"/>
        <v>4809</v>
      </c>
      <c r="AR647" s="189">
        <f t="shared" si="117"/>
        <v>4850</v>
      </c>
      <c r="AS647" s="189">
        <f t="shared" si="113"/>
        <v>4074</v>
      </c>
      <c r="AT647" s="189">
        <f t="shared" si="114"/>
        <v>8148</v>
      </c>
      <c r="AU647" s="50">
        <f t="shared" si="115"/>
        <v>9700</v>
      </c>
    </row>
    <row r="648" spans="36:47">
      <c r="AJ648" s="50">
        <v>2</v>
      </c>
      <c r="AK648" s="50">
        <v>0</v>
      </c>
      <c r="AL648" s="50">
        <v>1</v>
      </c>
      <c r="AM648" s="15">
        <f>Tabela21[[#This Row],[Att subs]]+Tabela21[[#This Row],[Crit D subs]]</f>
        <v>0.8</v>
      </c>
      <c r="AN648" s="15">
        <v>0.2</v>
      </c>
      <c r="AO648" s="15">
        <v>0.6</v>
      </c>
      <c r="AP648" s="15">
        <v>0.7</v>
      </c>
      <c r="AQ648" s="189">
        <f t="shared" si="116"/>
        <v>4809</v>
      </c>
      <c r="AR648" s="189">
        <f t="shared" si="117"/>
        <v>4850</v>
      </c>
      <c r="AS648" s="189">
        <f t="shared" si="113"/>
        <v>4074</v>
      </c>
      <c r="AT648" s="189">
        <f t="shared" si="114"/>
        <v>8148</v>
      </c>
      <c r="AU648" s="50">
        <f t="shared" si="115"/>
        <v>9700</v>
      </c>
    </row>
    <row r="649" spans="36:47">
      <c r="AJ649" s="50">
        <v>2</v>
      </c>
      <c r="AK649" s="50">
        <v>0</v>
      </c>
      <c r="AL649" s="50">
        <v>1</v>
      </c>
      <c r="AM649" s="15">
        <f>Tabela21[[#This Row],[Att subs]]+Tabela21[[#This Row],[Crit D subs]]</f>
        <v>0.8</v>
      </c>
      <c r="AN649" s="15">
        <v>0.2</v>
      </c>
      <c r="AO649" s="15">
        <v>0.6</v>
      </c>
      <c r="AP649" s="15">
        <v>0.8</v>
      </c>
      <c r="AQ649" s="189">
        <f t="shared" si="116"/>
        <v>4809</v>
      </c>
      <c r="AR649" s="189">
        <f t="shared" si="117"/>
        <v>4850</v>
      </c>
      <c r="AS649" s="189">
        <f t="shared" si="113"/>
        <v>4074</v>
      </c>
      <c r="AT649" s="189">
        <f t="shared" si="114"/>
        <v>8148</v>
      </c>
      <c r="AU649" s="50">
        <f t="shared" si="115"/>
        <v>9700</v>
      </c>
    </row>
    <row r="650" spans="36:47">
      <c r="AJ650" s="50">
        <v>2</v>
      </c>
      <c r="AK650" s="50">
        <v>0</v>
      </c>
      <c r="AL650" s="50">
        <v>1</v>
      </c>
      <c r="AM650" s="15">
        <f>Tabela21[[#This Row],[Att subs]]+Tabela21[[#This Row],[Crit D subs]]</f>
        <v>0.8</v>
      </c>
      <c r="AN650" s="15">
        <v>0.2</v>
      </c>
      <c r="AO650" s="15">
        <v>0.6</v>
      </c>
      <c r="AP650" s="15">
        <v>0.9</v>
      </c>
      <c r="AQ650" s="189">
        <f t="shared" si="116"/>
        <v>4809</v>
      </c>
      <c r="AR650" s="189">
        <f t="shared" si="117"/>
        <v>4850</v>
      </c>
      <c r="AS650" s="189">
        <f t="shared" si="113"/>
        <v>4074</v>
      </c>
      <c r="AT650" s="189">
        <f t="shared" si="114"/>
        <v>8148</v>
      </c>
      <c r="AU650" s="50">
        <f t="shared" si="115"/>
        <v>9700</v>
      </c>
    </row>
    <row r="651" spans="36:47">
      <c r="AJ651" s="50">
        <v>2</v>
      </c>
      <c r="AK651" s="50">
        <v>0</v>
      </c>
      <c r="AL651" s="50">
        <v>1</v>
      </c>
      <c r="AM651" s="15">
        <f>Tabela21[[#This Row],[Att subs]]+Tabela21[[#This Row],[Crit D subs]]</f>
        <v>0.8</v>
      </c>
      <c r="AN651" s="15">
        <v>0.2</v>
      </c>
      <c r="AO651" s="15">
        <v>0.6</v>
      </c>
      <c r="AP651" s="15">
        <v>1</v>
      </c>
      <c r="AQ651" s="189">
        <f t="shared" si="116"/>
        <v>4809</v>
      </c>
      <c r="AR651" s="189">
        <f t="shared" si="117"/>
        <v>4850</v>
      </c>
      <c r="AS651" s="189">
        <f t="shared" si="113"/>
        <v>4074</v>
      </c>
      <c r="AT651" s="189">
        <f t="shared" si="114"/>
        <v>8148</v>
      </c>
      <c r="AU651" s="50">
        <f t="shared" si="115"/>
        <v>9700</v>
      </c>
    </row>
    <row r="652" spans="36:47">
      <c r="AJ652" s="50">
        <v>3</v>
      </c>
      <c r="AK652" s="50">
        <v>0</v>
      </c>
      <c r="AL652" s="50">
        <v>0</v>
      </c>
      <c r="AM652" s="15">
        <f>Tabela21[[#This Row],[Att subs]]+Tabela21[[#This Row],[Crit D subs]]</f>
        <v>0.8</v>
      </c>
      <c r="AN652" s="15">
        <v>0.2</v>
      </c>
      <c r="AO652" s="15">
        <v>0.6</v>
      </c>
      <c r="AP652" s="15">
        <v>0</v>
      </c>
      <c r="AQ652" s="189">
        <f t="shared" si="116"/>
        <v>3450.0200000000004</v>
      </c>
      <c r="AR652" s="189">
        <f t="shared" si="117"/>
        <v>3245.55</v>
      </c>
      <c r="AS652" s="189">
        <f t="shared" si="113"/>
        <v>3605.9100000000003</v>
      </c>
      <c r="AT652" s="189">
        <f t="shared" si="114"/>
        <v>6079.920000000001</v>
      </c>
      <c r="AU652" s="50">
        <f t="shared" si="115"/>
        <v>4804.8</v>
      </c>
    </row>
    <row r="653" spans="36:47">
      <c r="AJ653" s="50">
        <v>3</v>
      </c>
      <c r="AK653" s="50">
        <v>0</v>
      </c>
      <c r="AL653" s="50">
        <v>0</v>
      </c>
      <c r="AM653" s="15">
        <f>Tabela21[[#This Row],[Att subs]]+Tabela21[[#This Row],[Crit D subs]]</f>
        <v>0.8</v>
      </c>
      <c r="AN653" s="15">
        <v>0.2</v>
      </c>
      <c r="AO653" s="15">
        <v>0.6</v>
      </c>
      <c r="AP653" s="15">
        <v>0.1</v>
      </c>
      <c r="AQ653" s="189">
        <f t="shared" si="116"/>
        <v>3742.62</v>
      </c>
      <c r="AR653" s="189">
        <f t="shared" si="117"/>
        <v>3592.05</v>
      </c>
      <c r="AS653" s="189">
        <f t="shared" si="113"/>
        <v>3860.0099999999998</v>
      </c>
      <c r="AT653" s="189">
        <f t="shared" si="114"/>
        <v>6819.12</v>
      </c>
      <c r="AU653" s="50">
        <f t="shared" si="115"/>
        <v>5728.8</v>
      </c>
    </row>
    <row r="654" spans="36:47">
      <c r="AJ654" s="50">
        <v>3</v>
      </c>
      <c r="AK654" s="50">
        <v>0</v>
      </c>
      <c r="AL654" s="50">
        <v>0</v>
      </c>
      <c r="AM654" s="15">
        <f>Tabela21[[#This Row],[Att subs]]+Tabela21[[#This Row],[Crit D subs]]</f>
        <v>0.8</v>
      </c>
      <c r="AN654" s="15">
        <v>0.2</v>
      </c>
      <c r="AO654" s="15">
        <v>0.6</v>
      </c>
      <c r="AP654" s="15">
        <v>0.2</v>
      </c>
      <c r="AQ654" s="189">
        <f t="shared" si="116"/>
        <v>4035.22</v>
      </c>
      <c r="AR654" s="189">
        <f t="shared" si="117"/>
        <v>3938.5499999999993</v>
      </c>
      <c r="AS654" s="189">
        <f t="shared" si="113"/>
        <v>4114.1099999999997</v>
      </c>
      <c r="AT654" s="189">
        <f t="shared" si="114"/>
        <v>7558.32</v>
      </c>
      <c r="AU654" s="50">
        <f t="shared" si="115"/>
        <v>6652.7999999999984</v>
      </c>
    </row>
    <row r="655" spans="36:47">
      <c r="AJ655" s="50">
        <v>3</v>
      </c>
      <c r="AK655" s="50">
        <v>0</v>
      </c>
      <c r="AL655" s="50">
        <v>0</v>
      </c>
      <c r="AM655" s="15">
        <f>Tabela21[[#This Row],[Att subs]]+Tabela21[[#This Row],[Crit D subs]]</f>
        <v>0.8</v>
      </c>
      <c r="AN655" s="15">
        <v>0.2</v>
      </c>
      <c r="AO655" s="15">
        <v>0.6</v>
      </c>
      <c r="AP655" s="15">
        <v>0.3</v>
      </c>
      <c r="AQ655" s="189">
        <f t="shared" si="116"/>
        <v>4327.82</v>
      </c>
      <c r="AR655" s="189">
        <f t="shared" si="117"/>
        <v>4285.05</v>
      </c>
      <c r="AS655" s="189">
        <f t="shared" si="113"/>
        <v>4368.21</v>
      </c>
      <c r="AT655" s="189">
        <f t="shared" si="114"/>
        <v>8297.5199999999986</v>
      </c>
      <c r="AU655" s="50">
        <f t="shared" si="115"/>
        <v>7576.7999999999993</v>
      </c>
    </row>
    <row r="656" spans="36:47">
      <c r="AJ656" s="50">
        <v>3</v>
      </c>
      <c r="AK656" s="50">
        <v>0</v>
      </c>
      <c r="AL656" s="50">
        <v>0</v>
      </c>
      <c r="AM656" s="15">
        <f>Tabela21[[#This Row],[Att subs]]+Tabela21[[#This Row],[Crit D subs]]</f>
        <v>0.8</v>
      </c>
      <c r="AN656" s="15">
        <v>0.2</v>
      </c>
      <c r="AO656" s="15">
        <v>0.6</v>
      </c>
      <c r="AP656" s="15">
        <v>0.4</v>
      </c>
      <c r="AQ656" s="189">
        <f t="shared" si="116"/>
        <v>4620.42</v>
      </c>
      <c r="AR656" s="189">
        <f t="shared" si="117"/>
        <v>4631.55</v>
      </c>
      <c r="AS656" s="189">
        <f t="shared" si="113"/>
        <v>4622.3100000000004</v>
      </c>
      <c r="AT656" s="189">
        <f t="shared" si="114"/>
        <v>9036.7200000000012</v>
      </c>
      <c r="AU656" s="50">
        <f t="shared" si="115"/>
        <v>8500.8000000000011</v>
      </c>
    </row>
    <row r="657" spans="36:47">
      <c r="AJ657" s="50">
        <v>3</v>
      </c>
      <c r="AK657" s="50">
        <v>0</v>
      </c>
      <c r="AL657" s="50">
        <v>0</v>
      </c>
      <c r="AM657" s="15">
        <f>Tabela21[[#This Row],[Att subs]]+Tabela21[[#This Row],[Crit D subs]]</f>
        <v>0.8</v>
      </c>
      <c r="AN657" s="15">
        <v>0.2</v>
      </c>
      <c r="AO657" s="15">
        <v>0.6</v>
      </c>
      <c r="AP657" s="15">
        <v>0.5</v>
      </c>
      <c r="AQ657" s="189">
        <f t="shared" si="116"/>
        <v>4913.0200000000004</v>
      </c>
      <c r="AR657" s="189">
        <f t="shared" si="117"/>
        <v>4978.05</v>
      </c>
      <c r="AS657" s="189">
        <f t="shared" si="113"/>
        <v>4851</v>
      </c>
      <c r="AT657" s="189">
        <f t="shared" si="114"/>
        <v>9702</v>
      </c>
      <c r="AU657" s="50">
        <f t="shared" si="115"/>
        <v>9424.7999999999993</v>
      </c>
    </row>
    <row r="658" spans="36:47">
      <c r="AJ658" s="50">
        <v>3</v>
      </c>
      <c r="AK658" s="50">
        <v>0</v>
      </c>
      <c r="AL658" s="50">
        <v>0</v>
      </c>
      <c r="AM658" s="15">
        <f>Tabela21[[#This Row],[Att subs]]+Tabela21[[#This Row],[Crit D subs]]</f>
        <v>0.8</v>
      </c>
      <c r="AN658" s="15">
        <v>0.2</v>
      </c>
      <c r="AO658" s="15">
        <v>0.6</v>
      </c>
      <c r="AP658" s="15">
        <v>0.6</v>
      </c>
      <c r="AQ658" s="189">
        <f t="shared" si="116"/>
        <v>5205.62</v>
      </c>
      <c r="AR658" s="189">
        <f t="shared" si="117"/>
        <v>5324.5499999999993</v>
      </c>
      <c r="AS658" s="189">
        <f t="shared" si="113"/>
        <v>4851</v>
      </c>
      <c r="AT658" s="189">
        <f t="shared" si="114"/>
        <v>9702</v>
      </c>
      <c r="AU658" s="50">
        <f t="shared" si="115"/>
        <v>10348.799999999999</v>
      </c>
    </row>
    <row r="659" spans="36:47">
      <c r="AJ659" s="50">
        <v>3</v>
      </c>
      <c r="AK659" s="50">
        <v>0</v>
      </c>
      <c r="AL659" s="50">
        <v>0</v>
      </c>
      <c r="AM659" s="15">
        <f>Tabela21[[#This Row],[Att subs]]+Tabela21[[#This Row],[Crit D subs]]</f>
        <v>0.8</v>
      </c>
      <c r="AN659" s="15">
        <v>0.2</v>
      </c>
      <c r="AO659" s="15">
        <v>0.6</v>
      </c>
      <c r="AP659" s="15">
        <v>0.7</v>
      </c>
      <c r="AQ659" s="189">
        <f t="shared" si="116"/>
        <v>5498.22</v>
      </c>
      <c r="AR659" s="189">
        <f t="shared" si="117"/>
        <v>5671.05</v>
      </c>
      <c r="AS659" s="189">
        <f t="shared" si="113"/>
        <v>4851</v>
      </c>
      <c r="AT659" s="189">
        <f t="shared" si="114"/>
        <v>9702</v>
      </c>
      <c r="AU659" s="50">
        <f t="shared" si="115"/>
        <v>11272.8</v>
      </c>
    </row>
    <row r="660" spans="36:47">
      <c r="AJ660" s="50">
        <v>3</v>
      </c>
      <c r="AK660" s="50">
        <v>0</v>
      </c>
      <c r="AL660" s="50">
        <v>0</v>
      </c>
      <c r="AM660" s="15">
        <f>Tabela21[[#This Row],[Att subs]]+Tabela21[[#This Row],[Crit D subs]]</f>
        <v>0.8</v>
      </c>
      <c r="AN660" s="15">
        <v>0.2</v>
      </c>
      <c r="AO660" s="15">
        <v>0.6</v>
      </c>
      <c r="AP660" s="15">
        <v>0.8</v>
      </c>
      <c r="AQ660" s="189">
        <f t="shared" si="116"/>
        <v>5586</v>
      </c>
      <c r="AR660" s="189">
        <f t="shared" si="117"/>
        <v>5775</v>
      </c>
      <c r="AS660" s="189">
        <f t="shared" si="113"/>
        <v>4851</v>
      </c>
      <c r="AT660" s="189">
        <f t="shared" si="114"/>
        <v>9702</v>
      </c>
      <c r="AU660" s="50">
        <f t="shared" si="115"/>
        <v>11550</v>
      </c>
    </row>
    <row r="661" spans="36:47">
      <c r="AJ661" s="50">
        <v>3</v>
      </c>
      <c r="AK661" s="50">
        <v>0</v>
      </c>
      <c r="AL661" s="50">
        <v>0</v>
      </c>
      <c r="AM661" s="15">
        <f>Tabela21[[#This Row],[Att subs]]+Tabela21[[#This Row],[Crit D subs]]</f>
        <v>0.8</v>
      </c>
      <c r="AN661" s="15">
        <v>0.2</v>
      </c>
      <c r="AO661" s="15">
        <v>0.6</v>
      </c>
      <c r="AP661" s="15">
        <v>0.9</v>
      </c>
      <c r="AQ661" s="189">
        <f t="shared" si="116"/>
        <v>5586</v>
      </c>
      <c r="AR661" s="189">
        <f t="shared" si="117"/>
        <v>5775</v>
      </c>
      <c r="AS661" s="189">
        <f t="shared" si="113"/>
        <v>4851</v>
      </c>
      <c r="AT661" s="189">
        <f t="shared" si="114"/>
        <v>9702</v>
      </c>
      <c r="AU661" s="50">
        <f t="shared" si="115"/>
        <v>11550</v>
      </c>
    </row>
    <row r="662" spans="36:47">
      <c r="AJ662" s="50">
        <v>3</v>
      </c>
      <c r="AK662" s="50">
        <v>0</v>
      </c>
      <c r="AL662" s="50">
        <v>0</v>
      </c>
      <c r="AM662" s="15">
        <f>Tabela21[[#This Row],[Att subs]]+Tabela21[[#This Row],[Crit D subs]]</f>
        <v>0.8</v>
      </c>
      <c r="AN662" s="15">
        <v>0.2</v>
      </c>
      <c r="AO662" s="15">
        <v>0.6</v>
      </c>
      <c r="AP662" s="15">
        <v>1</v>
      </c>
      <c r="AQ662" s="189">
        <f t="shared" si="116"/>
        <v>5586</v>
      </c>
      <c r="AR662" s="189">
        <f t="shared" si="117"/>
        <v>5775</v>
      </c>
      <c r="AS662" s="189">
        <f t="shared" si="113"/>
        <v>4851</v>
      </c>
      <c r="AT662" s="189">
        <f t="shared" si="114"/>
        <v>9702</v>
      </c>
      <c r="AU662" s="50">
        <f t="shared" si="115"/>
        <v>11550</v>
      </c>
    </row>
    <row r="663" spans="36:47">
      <c r="AJ663" s="50">
        <v>2</v>
      </c>
      <c r="AK663" s="50">
        <v>1</v>
      </c>
      <c r="AL663" s="50">
        <v>0</v>
      </c>
      <c r="AM663" s="15">
        <f>Tabela21[[#This Row],[Att subs]]+Tabela21[[#This Row],[Crit D subs]]</f>
        <v>1</v>
      </c>
      <c r="AN663" s="15">
        <v>0.4</v>
      </c>
      <c r="AO663" s="15">
        <v>0.6</v>
      </c>
      <c r="AP663" s="15">
        <v>0</v>
      </c>
      <c r="AQ663" s="189">
        <f t="shared" si="116"/>
        <v>3545.5110000000004</v>
      </c>
      <c r="AR663" s="189">
        <f t="shared" si="117"/>
        <v>3278.2660000000001</v>
      </c>
      <c r="AS663" s="189">
        <f t="shared" si="113"/>
        <v>3853.4980000000005</v>
      </c>
      <c r="AT663" s="189">
        <f t="shared" si="114"/>
        <v>6658.3960000000015</v>
      </c>
      <c r="AU663" s="50">
        <f t="shared" si="115"/>
        <v>4994.3320000000003</v>
      </c>
    </row>
    <row r="664" spans="36:47">
      <c r="AJ664" s="50">
        <v>2</v>
      </c>
      <c r="AK664" s="50">
        <v>1</v>
      </c>
      <c r="AL664" s="50">
        <v>0</v>
      </c>
      <c r="AM664" s="15">
        <f>Tabela21[[#This Row],[Att subs]]+Tabela21[[#This Row],[Crit D subs]]</f>
        <v>1</v>
      </c>
      <c r="AN664" s="15">
        <v>0.4</v>
      </c>
      <c r="AO664" s="15">
        <v>0.6</v>
      </c>
      <c r="AP664" s="15">
        <v>0.1</v>
      </c>
      <c r="AQ664" s="189">
        <f t="shared" si="116"/>
        <v>3936.4410000000003</v>
      </c>
      <c r="AR664" s="189">
        <f t="shared" si="117"/>
        <v>3699.8459999999995</v>
      </c>
      <c r="AS664" s="189">
        <f t="shared" si="113"/>
        <v>4189.4780000000001</v>
      </c>
      <c r="AT664" s="189">
        <f t="shared" si="114"/>
        <v>7544.3560000000007</v>
      </c>
      <c r="AU664" s="50">
        <f t="shared" si="115"/>
        <v>6051.4919999999993</v>
      </c>
    </row>
    <row r="665" spans="36:47">
      <c r="AJ665" s="50">
        <v>2</v>
      </c>
      <c r="AK665" s="50">
        <v>1</v>
      </c>
      <c r="AL665" s="50">
        <v>0</v>
      </c>
      <c r="AM665" s="15">
        <f>Tabela21[[#This Row],[Att subs]]+Tabela21[[#This Row],[Crit D subs]]</f>
        <v>1</v>
      </c>
      <c r="AN665" s="15">
        <v>0.4</v>
      </c>
      <c r="AO665" s="15">
        <v>0.6</v>
      </c>
      <c r="AP665" s="15">
        <v>0.2</v>
      </c>
      <c r="AQ665" s="189">
        <f t="shared" si="116"/>
        <v>4327.3709999999992</v>
      </c>
      <c r="AR665" s="189">
        <f t="shared" si="117"/>
        <v>4121.4259999999995</v>
      </c>
      <c r="AS665" s="189">
        <f t="shared" si="113"/>
        <v>4525.4579999999996</v>
      </c>
      <c r="AT665" s="189">
        <f t="shared" si="114"/>
        <v>8430.3160000000007</v>
      </c>
      <c r="AU665" s="50">
        <f t="shared" si="115"/>
        <v>7108.6519999999991</v>
      </c>
    </row>
    <row r="666" spans="36:47">
      <c r="AJ666" s="50">
        <v>2</v>
      </c>
      <c r="AK666" s="50">
        <v>1</v>
      </c>
      <c r="AL666" s="50">
        <v>0</v>
      </c>
      <c r="AM666" s="15">
        <f>Tabela21[[#This Row],[Att subs]]+Tabela21[[#This Row],[Crit D subs]]</f>
        <v>1</v>
      </c>
      <c r="AN666" s="15">
        <v>0.4</v>
      </c>
      <c r="AO666" s="15">
        <v>0.6</v>
      </c>
      <c r="AP666" s="15">
        <v>0.3</v>
      </c>
      <c r="AQ666" s="189">
        <f t="shared" si="116"/>
        <v>4718.3010000000004</v>
      </c>
      <c r="AR666" s="189">
        <f t="shared" si="117"/>
        <v>4543.0060000000003</v>
      </c>
      <c r="AS666" s="189">
        <f t="shared" si="113"/>
        <v>4861.4380000000001</v>
      </c>
      <c r="AT666" s="189">
        <f t="shared" si="114"/>
        <v>9316.2760000000017</v>
      </c>
      <c r="AU666" s="50">
        <f t="shared" si="115"/>
        <v>8165.8120000000008</v>
      </c>
    </row>
    <row r="667" spans="36:47">
      <c r="AJ667" s="50">
        <v>2</v>
      </c>
      <c r="AK667" s="50">
        <v>1</v>
      </c>
      <c r="AL667" s="50">
        <v>0</v>
      </c>
      <c r="AM667" s="15">
        <f>Tabela21[[#This Row],[Att subs]]+Tabela21[[#This Row],[Crit D subs]]</f>
        <v>1</v>
      </c>
      <c r="AN667" s="15">
        <v>0.4</v>
      </c>
      <c r="AO667" s="15">
        <v>0.6</v>
      </c>
      <c r="AP667" s="15">
        <v>0.4</v>
      </c>
      <c r="AQ667" s="189">
        <f t="shared" si="116"/>
        <v>5109.2310000000007</v>
      </c>
      <c r="AR667" s="189">
        <f t="shared" si="117"/>
        <v>4964.5860000000002</v>
      </c>
      <c r="AS667" s="189">
        <f t="shared" si="113"/>
        <v>5197.4180000000006</v>
      </c>
      <c r="AT667" s="189">
        <f t="shared" si="114"/>
        <v>10202.236000000001</v>
      </c>
      <c r="AU667" s="50">
        <f t="shared" si="115"/>
        <v>9222.9719999999998</v>
      </c>
    </row>
    <row r="668" spans="36:47">
      <c r="AJ668" s="50">
        <v>2</v>
      </c>
      <c r="AK668" s="50">
        <v>1</v>
      </c>
      <c r="AL668" s="50">
        <v>0</v>
      </c>
      <c r="AM668" s="15">
        <f>Tabela21[[#This Row],[Att subs]]+Tabela21[[#This Row],[Crit D subs]]</f>
        <v>1</v>
      </c>
      <c r="AN668" s="15">
        <v>0.4</v>
      </c>
      <c r="AO668" s="15">
        <v>0.6</v>
      </c>
      <c r="AP668" s="15">
        <v>0.5</v>
      </c>
      <c r="AQ668" s="189">
        <f t="shared" si="116"/>
        <v>5500.161000000001</v>
      </c>
      <c r="AR668" s="189">
        <f t="shared" si="117"/>
        <v>5386.1660000000002</v>
      </c>
      <c r="AS668" s="189">
        <f t="shared" si="113"/>
        <v>5499.8</v>
      </c>
      <c r="AT668" s="189">
        <f t="shared" si="114"/>
        <v>10999.6</v>
      </c>
      <c r="AU668" s="50">
        <f t="shared" si="115"/>
        <v>10280.132000000001</v>
      </c>
    </row>
    <row r="669" spans="36:47">
      <c r="AJ669" s="50">
        <v>2</v>
      </c>
      <c r="AK669" s="50">
        <v>1</v>
      </c>
      <c r="AL669" s="50">
        <v>0</v>
      </c>
      <c r="AM669" s="15">
        <f>Tabela21[[#This Row],[Att subs]]+Tabela21[[#This Row],[Crit D subs]]</f>
        <v>1</v>
      </c>
      <c r="AN669" s="15">
        <v>0.4</v>
      </c>
      <c r="AO669" s="15">
        <v>0.6</v>
      </c>
      <c r="AP669" s="15">
        <v>0.6</v>
      </c>
      <c r="AQ669" s="189">
        <f t="shared" si="116"/>
        <v>5891.0910000000013</v>
      </c>
      <c r="AR669" s="189">
        <f t="shared" si="117"/>
        <v>5807.7460000000001</v>
      </c>
      <c r="AS669" s="189">
        <f t="shared" si="113"/>
        <v>5499.8</v>
      </c>
      <c r="AT669" s="189">
        <f t="shared" si="114"/>
        <v>10999.6</v>
      </c>
      <c r="AU669" s="50">
        <f t="shared" si="115"/>
        <v>11337.292000000001</v>
      </c>
    </row>
    <row r="670" spans="36:47">
      <c r="AJ670" s="50">
        <v>2</v>
      </c>
      <c r="AK670" s="50">
        <v>1</v>
      </c>
      <c r="AL670" s="50">
        <v>0</v>
      </c>
      <c r="AM670" s="15">
        <f>Tabela21[[#This Row],[Att subs]]+Tabela21[[#This Row],[Crit D subs]]</f>
        <v>1</v>
      </c>
      <c r="AN670" s="15">
        <v>0.4</v>
      </c>
      <c r="AO670" s="15">
        <v>0.6</v>
      </c>
      <c r="AP670" s="15">
        <v>0.7</v>
      </c>
      <c r="AQ670" s="189">
        <f t="shared" si="116"/>
        <v>6282.0209999999997</v>
      </c>
      <c r="AR670" s="189">
        <f t="shared" si="117"/>
        <v>6229.326</v>
      </c>
      <c r="AS670" s="189">
        <f t="shared" si="113"/>
        <v>5499.8</v>
      </c>
      <c r="AT670" s="189">
        <f t="shared" si="114"/>
        <v>10999.6</v>
      </c>
      <c r="AU670" s="50">
        <f t="shared" si="115"/>
        <v>12394.452000000001</v>
      </c>
    </row>
    <row r="671" spans="36:47">
      <c r="AJ671" s="50">
        <v>2</v>
      </c>
      <c r="AK671" s="50">
        <v>1</v>
      </c>
      <c r="AL671" s="50">
        <v>0</v>
      </c>
      <c r="AM671" s="15">
        <f>Tabela21[[#This Row],[Att subs]]+Tabela21[[#This Row],[Crit D subs]]</f>
        <v>1</v>
      </c>
      <c r="AN671" s="15">
        <v>0.4</v>
      </c>
      <c r="AO671" s="15">
        <v>0.6</v>
      </c>
      <c r="AP671" s="15">
        <v>0.8</v>
      </c>
      <c r="AQ671" s="189">
        <f t="shared" si="116"/>
        <v>6399.3000000000011</v>
      </c>
      <c r="AR671" s="189">
        <f t="shared" si="117"/>
        <v>6355.8</v>
      </c>
      <c r="AS671" s="189">
        <f t="shared" si="113"/>
        <v>5499.8</v>
      </c>
      <c r="AT671" s="189">
        <f t="shared" si="114"/>
        <v>10999.6</v>
      </c>
      <c r="AU671" s="50">
        <f t="shared" si="115"/>
        <v>12711.6</v>
      </c>
    </row>
    <row r="672" spans="36:47">
      <c r="AJ672" s="50">
        <v>2</v>
      </c>
      <c r="AK672" s="50">
        <v>1</v>
      </c>
      <c r="AL672" s="50">
        <v>0</v>
      </c>
      <c r="AM672" s="15">
        <f>Tabela21[[#This Row],[Att subs]]+Tabela21[[#This Row],[Crit D subs]]</f>
        <v>1</v>
      </c>
      <c r="AN672" s="15">
        <v>0.4</v>
      </c>
      <c r="AO672" s="15">
        <v>0.6</v>
      </c>
      <c r="AP672" s="15">
        <v>0.9</v>
      </c>
      <c r="AQ672" s="189">
        <f t="shared" si="116"/>
        <v>6399.3000000000011</v>
      </c>
      <c r="AR672" s="189">
        <f t="shared" si="117"/>
        <v>6355.8</v>
      </c>
      <c r="AS672" s="189">
        <f t="shared" si="113"/>
        <v>5499.8</v>
      </c>
      <c r="AT672" s="189">
        <f t="shared" si="114"/>
        <v>10999.6</v>
      </c>
      <c r="AU672" s="50">
        <f t="shared" si="115"/>
        <v>12711.6</v>
      </c>
    </row>
    <row r="673" spans="36:47">
      <c r="AJ673" s="50">
        <v>2</v>
      </c>
      <c r="AK673" s="50">
        <v>1</v>
      </c>
      <c r="AL673" s="50">
        <v>0</v>
      </c>
      <c r="AM673" s="15">
        <f>Tabela21[[#This Row],[Att subs]]+Tabela21[[#This Row],[Crit D subs]]</f>
        <v>1</v>
      </c>
      <c r="AN673" s="15">
        <v>0.4</v>
      </c>
      <c r="AO673" s="15">
        <v>0.6</v>
      </c>
      <c r="AP673" s="15">
        <v>1</v>
      </c>
      <c r="AQ673" s="189">
        <f t="shared" si="116"/>
        <v>6399.3000000000011</v>
      </c>
      <c r="AR673" s="189">
        <f t="shared" si="117"/>
        <v>6355.8</v>
      </c>
      <c r="AS673" s="189">
        <f t="shared" si="113"/>
        <v>5499.8</v>
      </c>
      <c r="AT673" s="189">
        <f t="shared" si="114"/>
        <v>10999.6</v>
      </c>
      <c r="AU673" s="50">
        <f t="shared" si="115"/>
        <v>12711.6</v>
      </c>
    </row>
    <row r="674" spans="36:47">
      <c r="AJ674" s="50">
        <v>2</v>
      </c>
      <c r="AK674" s="50">
        <v>0</v>
      </c>
      <c r="AL674" s="50">
        <v>1</v>
      </c>
      <c r="AM674" s="15">
        <f>Tabela21[[#This Row],[Att subs]]+Tabela21[[#This Row],[Crit D subs]]</f>
        <v>1</v>
      </c>
      <c r="AN674" s="15">
        <v>0.4</v>
      </c>
      <c r="AO674" s="15">
        <v>0.6</v>
      </c>
      <c r="AP674" s="15">
        <v>0</v>
      </c>
      <c r="AQ674" s="189">
        <f t="shared" si="116"/>
        <v>4188.18</v>
      </c>
      <c r="AR674" s="189">
        <f t="shared" si="117"/>
        <v>4130.2000000000007</v>
      </c>
      <c r="AS674" s="189">
        <f t="shared" si="113"/>
        <v>4164.4400000000005</v>
      </c>
      <c r="AT674" s="189">
        <f t="shared" si="114"/>
        <v>8029.2800000000007</v>
      </c>
      <c r="AU674" s="50">
        <f t="shared" si="115"/>
        <v>7447.2</v>
      </c>
    </row>
    <row r="675" spans="36:47">
      <c r="AJ675" s="50">
        <v>2</v>
      </c>
      <c r="AK675" s="50">
        <v>0</v>
      </c>
      <c r="AL675" s="50">
        <v>1</v>
      </c>
      <c r="AM675" s="15">
        <f>Tabela21[[#This Row],[Att subs]]+Tabela21[[#This Row],[Crit D subs]]</f>
        <v>1</v>
      </c>
      <c r="AN675" s="15">
        <v>0.4</v>
      </c>
      <c r="AO675" s="15">
        <v>0.6</v>
      </c>
      <c r="AP675" s="15">
        <v>0.1</v>
      </c>
      <c r="AQ675" s="189">
        <f t="shared" si="116"/>
        <v>4462.08</v>
      </c>
      <c r="AR675" s="189">
        <f t="shared" si="117"/>
        <v>4451.2</v>
      </c>
      <c r="AS675" s="189">
        <f t="shared" si="113"/>
        <v>4399.84</v>
      </c>
      <c r="AT675" s="189">
        <f t="shared" si="114"/>
        <v>8714.08</v>
      </c>
      <c r="AU675" s="50">
        <f t="shared" si="115"/>
        <v>8303.1999999999989</v>
      </c>
    </row>
    <row r="676" spans="36:47">
      <c r="AJ676" s="50">
        <v>2</v>
      </c>
      <c r="AK676" s="50">
        <v>0</v>
      </c>
      <c r="AL676" s="50">
        <v>1</v>
      </c>
      <c r="AM676" s="15">
        <f>Tabela21[[#This Row],[Att subs]]+Tabela21[[#This Row],[Crit D subs]]</f>
        <v>1</v>
      </c>
      <c r="AN676" s="15">
        <v>0.4</v>
      </c>
      <c r="AO676" s="15">
        <v>0.6</v>
      </c>
      <c r="AP676" s="15">
        <v>0.2</v>
      </c>
      <c r="AQ676" s="189">
        <f t="shared" si="116"/>
        <v>4735.9799999999996</v>
      </c>
      <c r="AR676" s="189">
        <f t="shared" si="117"/>
        <v>4772.2</v>
      </c>
      <c r="AS676" s="189">
        <f t="shared" si="113"/>
        <v>4494</v>
      </c>
      <c r="AT676" s="189">
        <f t="shared" si="114"/>
        <v>8988</v>
      </c>
      <c r="AU676" s="50">
        <f t="shared" si="115"/>
        <v>9159.1999999999989</v>
      </c>
    </row>
    <row r="677" spans="36:47">
      <c r="AJ677" s="50">
        <v>2</v>
      </c>
      <c r="AK677" s="50">
        <v>0</v>
      </c>
      <c r="AL677" s="50">
        <v>1</v>
      </c>
      <c r="AM677" s="15">
        <f>Tabela21[[#This Row],[Att subs]]+Tabela21[[#This Row],[Crit D subs]]</f>
        <v>1</v>
      </c>
      <c r="AN677" s="15">
        <v>0.4</v>
      </c>
      <c r="AO677" s="15">
        <v>0.6</v>
      </c>
      <c r="AP677" s="15">
        <v>0.3</v>
      </c>
      <c r="AQ677" s="189">
        <f t="shared" si="116"/>
        <v>5009.88</v>
      </c>
      <c r="AR677" s="189">
        <f t="shared" si="117"/>
        <v>5093.2000000000007</v>
      </c>
      <c r="AS677" s="189">
        <f t="shared" si="113"/>
        <v>4494</v>
      </c>
      <c r="AT677" s="189">
        <f t="shared" si="114"/>
        <v>8988</v>
      </c>
      <c r="AU677" s="50">
        <f t="shared" si="115"/>
        <v>10015.200000000001</v>
      </c>
    </row>
    <row r="678" spans="36:47">
      <c r="AJ678" s="50">
        <v>2</v>
      </c>
      <c r="AK678" s="50">
        <v>0</v>
      </c>
      <c r="AL678" s="50">
        <v>1</v>
      </c>
      <c r="AM678" s="15">
        <f>Tabela21[[#This Row],[Att subs]]+Tabela21[[#This Row],[Crit D subs]]</f>
        <v>1</v>
      </c>
      <c r="AN678" s="15">
        <v>0.4</v>
      </c>
      <c r="AO678" s="15">
        <v>0.6</v>
      </c>
      <c r="AP678" s="15">
        <v>0.4</v>
      </c>
      <c r="AQ678" s="189">
        <f t="shared" si="116"/>
        <v>5229</v>
      </c>
      <c r="AR678" s="189">
        <f t="shared" si="117"/>
        <v>5350</v>
      </c>
      <c r="AS678" s="189">
        <f t="shared" si="113"/>
        <v>4494</v>
      </c>
      <c r="AT678" s="189">
        <f t="shared" si="114"/>
        <v>8988</v>
      </c>
      <c r="AU678" s="50">
        <f t="shared" si="115"/>
        <v>10700</v>
      </c>
    </row>
    <row r="679" spans="36:47">
      <c r="AJ679" s="50">
        <v>2</v>
      </c>
      <c r="AK679" s="50">
        <v>0</v>
      </c>
      <c r="AL679" s="50">
        <v>1</v>
      </c>
      <c r="AM679" s="15">
        <f>Tabela21[[#This Row],[Att subs]]+Tabela21[[#This Row],[Crit D subs]]</f>
        <v>1</v>
      </c>
      <c r="AN679" s="15">
        <v>0.4</v>
      </c>
      <c r="AO679" s="15">
        <v>0.6</v>
      </c>
      <c r="AP679" s="15">
        <v>0.5</v>
      </c>
      <c r="AQ679" s="189">
        <f t="shared" si="116"/>
        <v>5229</v>
      </c>
      <c r="AR679" s="189">
        <f t="shared" si="117"/>
        <v>5350</v>
      </c>
      <c r="AS679" s="189">
        <f t="shared" si="113"/>
        <v>4494</v>
      </c>
      <c r="AT679" s="189">
        <f t="shared" si="114"/>
        <v>8988</v>
      </c>
      <c r="AU679" s="50">
        <f t="shared" si="115"/>
        <v>10700</v>
      </c>
    </row>
    <row r="680" spans="36:47">
      <c r="AJ680" s="50">
        <v>2</v>
      </c>
      <c r="AK680" s="50">
        <v>0</v>
      </c>
      <c r="AL680" s="50">
        <v>1</v>
      </c>
      <c r="AM680" s="15">
        <f>Tabela21[[#This Row],[Att subs]]+Tabela21[[#This Row],[Crit D subs]]</f>
        <v>1</v>
      </c>
      <c r="AN680" s="15">
        <v>0.4</v>
      </c>
      <c r="AO680" s="15">
        <v>0.6</v>
      </c>
      <c r="AP680" s="15">
        <v>0.6</v>
      </c>
      <c r="AQ680" s="189">
        <f t="shared" si="116"/>
        <v>5229</v>
      </c>
      <c r="AR680" s="189">
        <f t="shared" si="117"/>
        <v>5350</v>
      </c>
      <c r="AS680" s="189">
        <f t="shared" si="113"/>
        <v>4494</v>
      </c>
      <c r="AT680" s="189">
        <f t="shared" si="114"/>
        <v>8988</v>
      </c>
      <c r="AU680" s="50">
        <f t="shared" si="115"/>
        <v>10700</v>
      </c>
    </row>
    <row r="681" spans="36:47">
      <c r="AJ681" s="50">
        <v>2</v>
      </c>
      <c r="AK681" s="50">
        <v>0</v>
      </c>
      <c r="AL681" s="50">
        <v>1</v>
      </c>
      <c r="AM681" s="15">
        <f>Tabela21[[#This Row],[Att subs]]+Tabela21[[#This Row],[Crit D subs]]</f>
        <v>1</v>
      </c>
      <c r="AN681" s="15">
        <v>0.4</v>
      </c>
      <c r="AO681" s="15">
        <v>0.6</v>
      </c>
      <c r="AP681" s="15">
        <v>0.7</v>
      </c>
      <c r="AQ681" s="189">
        <f t="shared" si="116"/>
        <v>5229</v>
      </c>
      <c r="AR681" s="189">
        <f t="shared" si="117"/>
        <v>5350</v>
      </c>
      <c r="AS681" s="189">
        <f t="shared" si="113"/>
        <v>4494</v>
      </c>
      <c r="AT681" s="189">
        <f t="shared" si="114"/>
        <v>8988</v>
      </c>
      <c r="AU681" s="50">
        <f t="shared" si="115"/>
        <v>10700</v>
      </c>
    </row>
    <row r="682" spans="36:47">
      <c r="AJ682" s="50">
        <v>2</v>
      </c>
      <c r="AK682" s="50">
        <v>0</v>
      </c>
      <c r="AL682" s="50">
        <v>1</v>
      </c>
      <c r="AM682" s="15">
        <f>Tabela21[[#This Row],[Att subs]]+Tabela21[[#This Row],[Crit D subs]]</f>
        <v>1</v>
      </c>
      <c r="AN682" s="15">
        <v>0.4</v>
      </c>
      <c r="AO682" s="15">
        <v>0.6</v>
      </c>
      <c r="AP682" s="15">
        <v>0.8</v>
      </c>
      <c r="AQ682" s="189">
        <f t="shared" si="116"/>
        <v>5229</v>
      </c>
      <c r="AR682" s="189">
        <f t="shared" si="117"/>
        <v>5350</v>
      </c>
      <c r="AS682" s="189">
        <f t="shared" si="113"/>
        <v>4494</v>
      </c>
      <c r="AT682" s="189">
        <f t="shared" si="114"/>
        <v>8988</v>
      </c>
      <c r="AU682" s="50">
        <f t="shared" si="115"/>
        <v>10700</v>
      </c>
    </row>
    <row r="683" spans="36:47">
      <c r="AJ683" s="50">
        <v>2</v>
      </c>
      <c r="AK683" s="50">
        <v>0</v>
      </c>
      <c r="AL683" s="50">
        <v>1</v>
      </c>
      <c r="AM683" s="15">
        <f>Tabela21[[#This Row],[Att subs]]+Tabela21[[#This Row],[Crit D subs]]</f>
        <v>1</v>
      </c>
      <c r="AN683" s="15">
        <v>0.4</v>
      </c>
      <c r="AO683" s="15">
        <v>0.6</v>
      </c>
      <c r="AP683" s="15">
        <v>0.9</v>
      </c>
      <c r="AQ683" s="189">
        <f t="shared" si="116"/>
        <v>5229</v>
      </c>
      <c r="AR683" s="189">
        <f t="shared" si="117"/>
        <v>5350</v>
      </c>
      <c r="AS683" s="189">
        <f t="shared" si="113"/>
        <v>4494</v>
      </c>
      <c r="AT683" s="189">
        <f t="shared" si="114"/>
        <v>8988</v>
      </c>
      <c r="AU683" s="50">
        <f t="shared" si="115"/>
        <v>10700</v>
      </c>
    </row>
    <row r="684" spans="36:47">
      <c r="AJ684" s="50">
        <v>2</v>
      </c>
      <c r="AK684" s="50">
        <v>0</v>
      </c>
      <c r="AL684" s="50">
        <v>1</v>
      </c>
      <c r="AM684" s="15">
        <f>Tabela21[[#This Row],[Att subs]]+Tabela21[[#This Row],[Crit D subs]]</f>
        <v>1</v>
      </c>
      <c r="AN684" s="15">
        <v>0.4</v>
      </c>
      <c r="AO684" s="15">
        <v>0.6</v>
      </c>
      <c r="AP684" s="15">
        <v>1</v>
      </c>
      <c r="AQ684" s="189">
        <f t="shared" si="116"/>
        <v>5229</v>
      </c>
      <c r="AR684" s="189">
        <f t="shared" si="117"/>
        <v>5350</v>
      </c>
      <c r="AS684" s="189">
        <f t="shared" si="113"/>
        <v>4494</v>
      </c>
      <c r="AT684" s="189">
        <f t="shared" si="114"/>
        <v>8988</v>
      </c>
      <c r="AU684" s="50">
        <f t="shared" si="115"/>
        <v>10700</v>
      </c>
    </row>
    <row r="685" spans="36:47">
      <c r="AJ685" s="50">
        <v>3</v>
      </c>
      <c r="AK685" s="50">
        <v>0</v>
      </c>
      <c r="AL685" s="50">
        <v>0</v>
      </c>
      <c r="AM685" s="15">
        <f>Tabela21[[#This Row],[Att subs]]+Tabela21[[#This Row],[Crit D subs]]</f>
        <v>1</v>
      </c>
      <c r="AN685" s="15">
        <v>0.4</v>
      </c>
      <c r="AO685" s="15">
        <v>0.6</v>
      </c>
      <c r="AP685" s="15">
        <v>0</v>
      </c>
      <c r="AQ685" s="189">
        <f t="shared" si="116"/>
        <v>3709.4200000000005</v>
      </c>
      <c r="AR685" s="189">
        <f t="shared" si="117"/>
        <v>3526.55</v>
      </c>
      <c r="AS685" s="189">
        <f t="shared" si="113"/>
        <v>3918.1100000000006</v>
      </c>
      <c r="AT685" s="189">
        <f t="shared" si="114"/>
        <v>6606.3200000000015</v>
      </c>
      <c r="AU685" s="50">
        <f t="shared" si="115"/>
        <v>5220.8</v>
      </c>
    </row>
    <row r="686" spans="36:47">
      <c r="AJ686" s="50">
        <v>3</v>
      </c>
      <c r="AK686" s="50">
        <v>0</v>
      </c>
      <c r="AL686" s="50">
        <v>0</v>
      </c>
      <c r="AM686" s="15">
        <f>Tabela21[[#This Row],[Att subs]]+Tabela21[[#This Row],[Crit D subs]]</f>
        <v>1</v>
      </c>
      <c r="AN686" s="15">
        <v>0.4</v>
      </c>
      <c r="AO686" s="15">
        <v>0.6</v>
      </c>
      <c r="AP686" s="15">
        <v>0.1</v>
      </c>
      <c r="AQ686" s="189">
        <f t="shared" si="116"/>
        <v>4024.02</v>
      </c>
      <c r="AR686" s="189">
        <f t="shared" si="117"/>
        <v>3903.05</v>
      </c>
      <c r="AS686" s="189">
        <f t="shared" si="113"/>
        <v>4194.2099999999991</v>
      </c>
      <c r="AT686" s="189">
        <f t="shared" si="114"/>
        <v>7409.5199999999995</v>
      </c>
      <c r="AU686" s="50">
        <f t="shared" si="115"/>
        <v>6224.8</v>
      </c>
    </row>
    <row r="687" spans="36:47">
      <c r="AJ687" s="50">
        <v>3</v>
      </c>
      <c r="AK687" s="50">
        <v>0</v>
      </c>
      <c r="AL687" s="50">
        <v>0</v>
      </c>
      <c r="AM687" s="15">
        <f>Tabela21[[#This Row],[Att subs]]+Tabela21[[#This Row],[Crit D subs]]</f>
        <v>1</v>
      </c>
      <c r="AN687" s="15">
        <v>0.4</v>
      </c>
      <c r="AO687" s="15">
        <v>0.6</v>
      </c>
      <c r="AP687" s="15">
        <v>0.2</v>
      </c>
      <c r="AQ687" s="189">
        <f t="shared" si="116"/>
        <v>4338.62</v>
      </c>
      <c r="AR687" s="189">
        <f t="shared" si="117"/>
        <v>4279.5499999999993</v>
      </c>
      <c r="AS687" s="189">
        <f t="shared" si="113"/>
        <v>4470.3099999999995</v>
      </c>
      <c r="AT687" s="189">
        <f t="shared" si="114"/>
        <v>8212.7199999999993</v>
      </c>
      <c r="AU687" s="50">
        <f t="shared" si="115"/>
        <v>7228.7999999999984</v>
      </c>
    </row>
    <row r="688" spans="36:47">
      <c r="AJ688" s="50">
        <v>3</v>
      </c>
      <c r="AK688" s="50">
        <v>0</v>
      </c>
      <c r="AL688" s="50">
        <v>0</v>
      </c>
      <c r="AM688" s="15">
        <f>Tabela21[[#This Row],[Att subs]]+Tabela21[[#This Row],[Crit D subs]]</f>
        <v>1</v>
      </c>
      <c r="AN688" s="15">
        <v>0.4</v>
      </c>
      <c r="AO688" s="15">
        <v>0.6</v>
      </c>
      <c r="AP688" s="15">
        <v>0.3</v>
      </c>
      <c r="AQ688" s="189">
        <f t="shared" si="116"/>
        <v>4653.2199999999993</v>
      </c>
      <c r="AR688" s="189">
        <f t="shared" si="117"/>
        <v>4656.05</v>
      </c>
      <c r="AS688" s="189">
        <f t="shared" si="113"/>
        <v>4746.41</v>
      </c>
      <c r="AT688" s="189">
        <f t="shared" si="114"/>
        <v>9015.9199999999983</v>
      </c>
      <c r="AU688" s="50">
        <f t="shared" si="115"/>
        <v>8232.7999999999993</v>
      </c>
    </row>
    <row r="689" spans="36:47">
      <c r="AJ689" s="50">
        <v>3</v>
      </c>
      <c r="AK689" s="50">
        <v>0</v>
      </c>
      <c r="AL689" s="50">
        <v>0</v>
      </c>
      <c r="AM689" s="15">
        <f>Tabela21[[#This Row],[Att subs]]+Tabela21[[#This Row],[Crit D subs]]</f>
        <v>1</v>
      </c>
      <c r="AN689" s="15">
        <v>0.4</v>
      </c>
      <c r="AO689" s="15">
        <v>0.6</v>
      </c>
      <c r="AP689" s="15">
        <v>0.4</v>
      </c>
      <c r="AQ689" s="189">
        <f t="shared" si="116"/>
        <v>4967.8200000000006</v>
      </c>
      <c r="AR689" s="189">
        <f t="shared" si="117"/>
        <v>5032.55</v>
      </c>
      <c r="AS689" s="189">
        <f t="shared" si="113"/>
        <v>5022.5100000000011</v>
      </c>
      <c r="AT689" s="189">
        <f t="shared" si="114"/>
        <v>9819.1200000000008</v>
      </c>
      <c r="AU689" s="50">
        <f t="shared" si="115"/>
        <v>9236.8000000000011</v>
      </c>
    </row>
    <row r="690" spans="36:47">
      <c r="AJ690" s="50">
        <v>3</v>
      </c>
      <c r="AK690" s="50">
        <v>0</v>
      </c>
      <c r="AL690" s="50">
        <v>0</v>
      </c>
      <c r="AM690" s="15">
        <f>Tabela21[[#This Row],[Att subs]]+Tabela21[[#This Row],[Crit D subs]]</f>
        <v>1</v>
      </c>
      <c r="AN690" s="15">
        <v>0.4</v>
      </c>
      <c r="AO690" s="15">
        <v>0.6</v>
      </c>
      <c r="AP690" s="15">
        <v>0.5</v>
      </c>
      <c r="AQ690" s="189">
        <f t="shared" si="116"/>
        <v>5282.420000000001</v>
      </c>
      <c r="AR690" s="189">
        <f t="shared" si="117"/>
        <v>5409.05</v>
      </c>
      <c r="AS690" s="189">
        <f t="shared" si="113"/>
        <v>5271</v>
      </c>
      <c r="AT690" s="189">
        <f t="shared" si="114"/>
        <v>10542</v>
      </c>
      <c r="AU690" s="50">
        <f t="shared" si="115"/>
        <v>10240.799999999999</v>
      </c>
    </row>
    <row r="691" spans="36:47">
      <c r="AJ691" s="50">
        <v>3</v>
      </c>
      <c r="AK691" s="50">
        <v>0</v>
      </c>
      <c r="AL691" s="50">
        <v>0</v>
      </c>
      <c r="AM691" s="15">
        <f>Tabela21[[#This Row],[Att subs]]+Tabela21[[#This Row],[Crit D subs]]</f>
        <v>1</v>
      </c>
      <c r="AN691" s="15">
        <v>0.4</v>
      </c>
      <c r="AO691" s="15">
        <v>0.6</v>
      </c>
      <c r="AP691" s="15">
        <v>0.6</v>
      </c>
      <c r="AQ691" s="189">
        <f t="shared" si="116"/>
        <v>5597.0199999999995</v>
      </c>
      <c r="AR691" s="189">
        <f t="shared" si="117"/>
        <v>5785.5499999999993</v>
      </c>
      <c r="AS691" s="189">
        <f t="shared" si="113"/>
        <v>5271</v>
      </c>
      <c r="AT691" s="189">
        <f t="shared" si="114"/>
        <v>10542</v>
      </c>
      <c r="AU691" s="50">
        <f t="shared" si="115"/>
        <v>11244.8</v>
      </c>
    </row>
    <row r="692" spans="36:47">
      <c r="AJ692" s="50">
        <v>3</v>
      </c>
      <c r="AK692" s="50">
        <v>0</v>
      </c>
      <c r="AL692" s="50">
        <v>0</v>
      </c>
      <c r="AM692" s="15">
        <f>Tabela21[[#This Row],[Att subs]]+Tabela21[[#This Row],[Crit D subs]]</f>
        <v>1</v>
      </c>
      <c r="AN692" s="15">
        <v>0.4</v>
      </c>
      <c r="AO692" s="15">
        <v>0.6</v>
      </c>
      <c r="AP692" s="15">
        <v>0.7</v>
      </c>
      <c r="AQ692" s="189">
        <f t="shared" si="116"/>
        <v>5911.6200000000008</v>
      </c>
      <c r="AR692" s="189">
        <f t="shared" si="117"/>
        <v>6162.05</v>
      </c>
      <c r="AS692" s="189">
        <f t="shared" si="113"/>
        <v>5271</v>
      </c>
      <c r="AT692" s="189">
        <f t="shared" si="114"/>
        <v>10542</v>
      </c>
      <c r="AU692" s="50">
        <f t="shared" si="115"/>
        <v>12248.8</v>
      </c>
    </row>
    <row r="693" spans="36:47">
      <c r="AJ693" s="50">
        <v>3</v>
      </c>
      <c r="AK693" s="50">
        <v>0</v>
      </c>
      <c r="AL693" s="50">
        <v>0</v>
      </c>
      <c r="AM693" s="15">
        <f>Tabela21[[#This Row],[Att subs]]+Tabela21[[#This Row],[Crit D subs]]</f>
        <v>1</v>
      </c>
      <c r="AN693" s="15">
        <v>0.4</v>
      </c>
      <c r="AO693" s="15">
        <v>0.6</v>
      </c>
      <c r="AP693" s="15">
        <v>0.8</v>
      </c>
      <c r="AQ693" s="189">
        <f t="shared" si="116"/>
        <v>6006</v>
      </c>
      <c r="AR693" s="189">
        <f t="shared" si="117"/>
        <v>6275</v>
      </c>
      <c r="AS693" s="189">
        <f t="shared" si="113"/>
        <v>5271</v>
      </c>
      <c r="AT693" s="189">
        <f t="shared" si="114"/>
        <v>10542</v>
      </c>
      <c r="AU693" s="50">
        <f t="shared" si="115"/>
        <v>12550</v>
      </c>
    </row>
    <row r="694" spans="36:47">
      <c r="AJ694" s="50">
        <v>3</v>
      </c>
      <c r="AK694" s="50">
        <v>0</v>
      </c>
      <c r="AL694" s="50">
        <v>0</v>
      </c>
      <c r="AM694" s="15">
        <f>Tabela21[[#This Row],[Att subs]]+Tabela21[[#This Row],[Crit D subs]]</f>
        <v>1</v>
      </c>
      <c r="AN694" s="15">
        <v>0.4</v>
      </c>
      <c r="AO694" s="15">
        <v>0.6</v>
      </c>
      <c r="AP694" s="15">
        <v>0.9</v>
      </c>
      <c r="AQ694" s="189">
        <f t="shared" si="116"/>
        <v>6006</v>
      </c>
      <c r="AR694" s="189">
        <f t="shared" si="117"/>
        <v>6275</v>
      </c>
      <c r="AS694" s="189">
        <f t="shared" si="113"/>
        <v>5271</v>
      </c>
      <c r="AT694" s="189">
        <f t="shared" si="114"/>
        <v>10542</v>
      </c>
      <c r="AU694" s="50">
        <f t="shared" si="115"/>
        <v>12550</v>
      </c>
    </row>
    <row r="695" spans="36:47">
      <c r="AJ695" s="50">
        <v>3</v>
      </c>
      <c r="AK695" s="50">
        <v>0</v>
      </c>
      <c r="AL695" s="50">
        <v>0</v>
      </c>
      <c r="AM695" s="15">
        <f>Tabela21[[#This Row],[Att subs]]+Tabela21[[#This Row],[Crit D subs]]</f>
        <v>1</v>
      </c>
      <c r="AN695" s="15">
        <v>0.4</v>
      </c>
      <c r="AO695" s="15">
        <v>0.6</v>
      </c>
      <c r="AP695" s="15">
        <v>1</v>
      </c>
      <c r="AQ695" s="189">
        <f t="shared" si="116"/>
        <v>6006</v>
      </c>
      <c r="AR695" s="189">
        <f t="shared" si="117"/>
        <v>6275</v>
      </c>
      <c r="AS695" s="189">
        <f t="shared" si="113"/>
        <v>5271</v>
      </c>
      <c r="AT695" s="189">
        <f t="shared" si="114"/>
        <v>10542</v>
      </c>
      <c r="AU695" s="50">
        <f t="shared" si="115"/>
        <v>12550</v>
      </c>
    </row>
    <row r="696" spans="36:47">
      <c r="AJ696" s="50">
        <v>2</v>
      </c>
      <c r="AK696" s="50">
        <v>1</v>
      </c>
      <c r="AL696" s="50">
        <v>0</v>
      </c>
      <c r="AM696" s="15">
        <f>Tabela21[[#This Row],[Att subs]]+Tabela21[[#This Row],[Crit D subs]]</f>
        <v>1.2</v>
      </c>
      <c r="AN696" s="15">
        <v>0.6</v>
      </c>
      <c r="AO696" s="15">
        <v>0.6</v>
      </c>
      <c r="AP696" s="15">
        <v>0</v>
      </c>
      <c r="AQ696" s="189">
        <f t="shared" si="116"/>
        <v>3830.2910000000006</v>
      </c>
      <c r="AR696" s="189">
        <f t="shared" si="117"/>
        <v>3584.6460000000002</v>
      </c>
      <c r="AS696" s="189">
        <f t="shared" si="113"/>
        <v>4213.6380000000008</v>
      </c>
      <c r="AT696" s="189">
        <f t="shared" si="114"/>
        <v>7280.6760000000013</v>
      </c>
      <c r="AU696" s="50">
        <f t="shared" si="115"/>
        <v>5461.0920000000006</v>
      </c>
    </row>
    <row r="697" spans="36:47">
      <c r="AJ697" s="50">
        <v>2</v>
      </c>
      <c r="AK697" s="50">
        <v>1</v>
      </c>
      <c r="AL697" s="50">
        <v>0</v>
      </c>
      <c r="AM697" s="15">
        <f>Tabela21[[#This Row],[Att subs]]+Tabela21[[#This Row],[Crit D subs]]</f>
        <v>1.2</v>
      </c>
      <c r="AN697" s="15">
        <v>0.6</v>
      </c>
      <c r="AO697" s="15">
        <v>0.6</v>
      </c>
      <c r="AP697" s="15">
        <v>0.1</v>
      </c>
      <c r="AQ697" s="189">
        <f t="shared" si="116"/>
        <v>4252.6210000000001</v>
      </c>
      <c r="AR697" s="189">
        <f t="shared" si="117"/>
        <v>4045.6259999999997</v>
      </c>
      <c r="AS697" s="189">
        <f t="shared" si="113"/>
        <v>4581.018</v>
      </c>
      <c r="AT697" s="189">
        <f t="shared" si="114"/>
        <v>8249.4360000000015</v>
      </c>
      <c r="AU697" s="50">
        <f t="shared" si="115"/>
        <v>6617.0519999999997</v>
      </c>
    </row>
    <row r="698" spans="36:47">
      <c r="AJ698" s="50">
        <v>2</v>
      </c>
      <c r="AK698" s="50">
        <v>1</v>
      </c>
      <c r="AL698" s="50">
        <v>0</v>
      </c>
      <c r="AM698" s="15">
        <f>Tabela21[[#This Row],[Att subs]]+Tabela21[[#This Row],[Crit D subs]]</f>
        <v>1.2</v>
      </c>
      <c r="AN698" s="15">
        <v>0.6</v>
      </c>
      <c r="AO698" s="15">
        <v>0.6</v>
      </c>
      <c r="AP698" s="15">
        <v>0.2</v>
      </c>
      <c r="AQ698" s="189">
        <f t="shared" si="116"/>
        <v>4674.9509999999991</v>
      </c>
      <c r="AR698" s="189">
        <f t="shared" si="117"/>
        <v>4506.6059999999998</v>
      </c>
      <c r="AS698" s="189">
        <f t="shared" si="113"/>
        <v>4948.3980000000001</v>
      </c>
      <c r="AT698" s="189">
        <f t="shared" si="114"/>
        <v>9218.1960000000017</v>
      </c>
      <c r="AU698" s="50">
        <f t="shared" si="115"/>
        <v>7773.0119999999988</v>
      </c>
    </row>
    <row r="699" spans="36:47">
      <c r="AJ699" s="50">
        <v>2</v>
      </c>
      <c r="AK699" s="50">
        <v>1</v>
      </c>
      <c r="AL699" s="50">
        <v>0</v>
      </c>
      <c r="AM699" s="15">
        <f>Tabela21[[#This Row],[Att subs]]+Tabela21[[#This Row],[Crit D subs]]</f>
        <v>1.2</v>
      </c>
      <c r="AN699" s="15">
        <v>0.6</v>
      </c>
      <c r="AO699" s="15">
        <v>0.6</v>
      </c>
      <c r="AP699" s="15">
        <v>0.3</v>
      </c>
      <c r="AQ699" s="189">
        <f t="shared" si="116"/>
        <v>5097.2810000000009</v>
      </c>
      <c r="AR699" s="189">
        <f t="shared" si="117"/>
        <v>4967.5860000000002</v>
      </c>
      <c r="AS699" s="189">
        <f t="shared" si="113"/>
        <v>5315.7780000000002</v>
      </c>
      <c r="AT699" s="189">
        <f t="shared" si="114"/>
        <v>10186.956000000002</v>
      </c>
      <c r="AU699" s="50">
        <f t="shared" si="115"/>
        <v>8928.9720000000016</v>
      </c>
    </row>
    <row r="700" spans="36:47">
      <c r="AJ700" s="50">
        <v>2</v>
      </c>
      <c r="AK700" s="50">
        <v>1</v>
      </c>
      <c r="AL700" s="50">
        <v>0</v>
      </c>
      <c r="AM700" s="15">
        <f>Tabela21[[#This Row],[Att subs]]+Tabela21[[#This Row],[Crit D subs]]</f>
        <v>1.2</v>
      </c>
      <c r="AN700" s="15">
        <v>0.6</v>
      </c>
      <c r="AO700" s="15">
        <v>0.6</v>
      </c>
      <c r="AP700" s="15">
        <v>0.4</v>
      </c>
      <c r="AQ700" s="189">
        <f t="shared" si="116"/>
        <v>5519.6110000000008</v>
      </c>
      <c r="AR700" s="189">
        <f t="shared" si="117"/>
        <v>5428.5659999999998</v>
      </c>
      <c r="AS700" s="189">
        <f t="shared" si="113"/>
        <v>5683.1580000000004</v>
      </c>
      <c r="AT700" s="189">
        <f t="shared" si="114"/>
        <v>11155.716</v>
      </c>
      <c r="AU700" s="50">
        <f t="shared" si="115"/>
        <v>10084.932000000001</v>
      </c>
    </row>
    <row r="701" spans="36:47">
      <c r="AJ701" s="50">
        <v>2</v>
      </c>
      <c r="AK701" s="50">
        <v>1</v>
      </c>
      <c r="AL701" s="50">
        <v>0</v>
      </c>
      <c r="AM701" s="15">
        <f>Tabela21[[#This Row],[Att subs]]+Tabela21[[#This Row],[Crit D subs]]</f>
        <v>1.2</v>
      </c>
      <c r="AN701" s="15">
        <v>0.6</v>
      </c>
      <c r="AO701" s="15">
        <v>0.6</v>
      </c>
      <c r="AP701" s="15">
        <v>0.5</v>
      </c>
      <c r="AQ701" s="189">
        <f t="shared" si="116"/>
        <v>5941.9410000000007</v>
      </c>
      <c r="AR701" s="189">
        <f t="shared" si="117"/>
        <v>5889.5460000000003</v>
      </c>
      <c r="AS701" s="189">
        <f t="shared" si="113"/>
        <v>6013.8000000000011</v>
      </c>
      <c r="AT701" s="189">
        <f t="shared" si="114"/>
        <v>12027.600000000002</v>
      </c>
      <c r="AU701" s="50">
        <f t="shared" si="115"/>
        <v>11240.892000000002</v>
      </c>
    </row>
    <row r="702" spans="36:47">
      <c r="AJ702" s="50">
        <v>2</v>
      </c>
      <c r="AK702" s="50">
        <v>1</v>
      </c>
      <c r="AL702" s="50">
        <v>0</v>
      </c>
      <c r="AM702" s="15">
        <f>Tabela21[[#This Row],[Att subs]]+Tabela21[[#This Row],[Crit D subs]]</f>
        <v>1.2</v>
      </c>
      <c r="AN702" s="15">
        <v>0.6</v>
      </c>
      <c r="AO702" s="15">
        <v>0.6</v>
      </c>
      <c r="AP702" s="15">
        <v>0.6</v>
      </c>
      <c r="AQ702" s="189">
        <f t="shared" si="116"/>
        <v>6364.2710000000006</v>
      </c>
      <c r="AR702" s="189">
        <f t="shared" si="117"/>
        <v>6350.5260000000007</v>
      </c>
      <c r="AS702" s="189">
        <f t="shared" si="113"/>
        <v>6013.8000000000011</v>
      </c>
      <c r="AT702" s="189">
        <f t="shared" si="114"/>
        <v>12027.600000000002</v>
      </c>
      <c r="AU702" s="50">
        <f t="shared" si="115"/>
        <v>12396.852000000001</v>
      </c>
    </row>
    <row r="703" spans="36:47">
      <c r="AJ703" s="50">
        <v>2</v>
      </c>
      <c r="AK703" s="50">
        <v>1</v>
      </c>
      <c r="AL703" s="50">
        <v>0</v>
      </c>
      <c r="AM703" s="15">
        <f>Tabela21[[#This Row],[Att subs]]+Tabela21[[#This Row],[Crit D subs]]</f>
        <v>1.2</v>
      </c>
      <c r="AN703" s="15">
        <v>0.6</v>
      </c>
      <c r="AO703" s="15">
        <v>0.6</v>
      </c>
      <c r="AP703" s="15">
        <v>0.7</v>
      </c>
      <c r="AQ703" s="189">
        <f t="shared" si="116"/>
        <v>6786.6009999999997</v>
      </c>
      <c r="AR703" s="189">
        <f t="shared" si="117"/>
        <v>6811.5059999999994</v>
      </c>
      <c r="AS703" s="189">
        <f t="shared" si="113"/>
        <v>6013.8000000000011</v>
      </c>
      <c r="AT703" s="189">
        <f t="shared" si="114"/>
        <v>12027.600000000002</v>
      </c>
      <c r="AU703" s="50">
        <f t="shared" si="115"/>
        <v>13552.812</v>
      </c>
    </row>
    <row r="704" spans="36:47">
      <c r="AJ704" s="50">
        <v>2</v>
      </c>
      <c r="AK704" s="50">
        <v>1</v>
      </c>
      <c r="AL704" s="50">
        <v>0</v>
      </c>
      <c r="AM704" s="15">
        <f>Tabela21[[#This Row],[Att subs]]+Tabela21[[#This Row],[Crit D subs]]</f>
        <v>1.2</v>
      </c>
      <c r="AN704" s="15">
        <v>0.6</v>
      </c>
      <c r="AO704" s="15">
        <v>0.6</v>
      </c>
      <c r="AP704" s="15">
        <v>0.8</v>
      </c>
      <c r="AQ704" s="189">
        <f t="shared" si="116"/>
        <v>6913.3000000000011</v>
      </c>
      <c r="AR704" s="189">
        <f t="shared" si="117"/>
        <v>6949.8</v>
      </c>
      <c r="AS704" s="189">
        <f t="shared" si="113"/>
        <v>6013.8000000000011</v>
      </c>
      <c r="AT704" s="189">
        <f t="shared" si="114"/>
        <v>12027.600000000002</v>
      </c>
      <c r="AU704" s="50">
        <f t="shared" si="115"/>
        <v>13899.6</v>
      </c>
    </row>
    <row r="705" spans="36:47">
      <c r="AJ705" s="50">
        <v>2</v>
      </c>
      <c r="AK705" s="50">
        <v>1</v>
      </c>
      <c r="AL705" s="50">
        <v>0</v>
      </c>
      <c r="AM705" s="15">
        <f>Tabela21[[#This Row],[Att subs]]+Tabela21[[#This Row],[Crit D subs]]</f>
        <v>1.2</v>
      </c>
      <c r="AN705" s="15">
        <v>0.6</v>
      </c>
      <c r="AO705" s="15">
        <v>0.6</v>
      </c>
      <c r="AP705" s="15">
        <v>0.9</v>
      </c>
      <c r="AQ705" s="189">
        <f t="shared" si="116"/>
        <v>6913.3000000000011</v>
      </c>
      <c r="AR705" s="189">
        <f t="shared" si="117"/>
        <v>6949.8</v>
      </c>
      <c r="AS705" s="189">
        <f t="shared" si="113"/>
        <v>6013.8000000000011</v>
      </c>
      <c r="AT705" s="189">
        <f t="shared" si="114"/>
        <v>12027.600000000002</v>
      </c>
      <c r="AU705" s="50">
        <f t="shared" si="115"/>
        <v>13899.6</v>
      </c>
    </row>
    <row r="706" spans="36:47">
      <c r="AJ706" s="50">
        <v>2</v>
      </c>
      <c r="AK706" s="50">
        <v>1</v>
      </c>
      <c r="AL706" s="50">
        <v>0</v>
      </c>
      <c r="AM706" s="15">
        <f>Tabela21[[#This Row],[Att subs]]+Tabela21[[#This Row],[Crit D subs]]</f>
        <v>1.2</v>
      </c>
      <c r="AN706" s="15">
        <v>0.6</v>
      </c>
      <c r="AO706" s="15">
        <v>0.6</v>
      </c>
      <c r="AP706" s="15">
        <v>1</v>
      </c>
      <c r="AQ706" s="189">
        <f t="shared" si="116"/>
        <v>6913.3000000000011</v>
      </c>
      <c r="AR706" s="189">
        <f t="shared" si="117"/>
        <v>6949.8</v>
      </c>
      <c r="AS706" s="189">
        <f t="shared" si="113"/>
        <v>6013.8000000000011</v>
      </c>
      <c r="AT706" s="189">
        <f t="shared" si="114"/>
        <v>12027.600000000002</v>
      </c>
      <c r="AU706" s="50">
        <f t="shared" si="115"/>
        <v>13899.6</v>
      </c>
    </row>
    <row r="707" spans="36:47">
      <c r="AJ707" s="50">
        <v>2</v>
      </c>
      <c r="AK707" s="50">
        <v>0</v>
      </c>
      <c r="AL707" s="50">
        <v>1</v>
      </c>
      <c r="AM707" s="15">
        <f>Tabela21[[#This Row],[Att subs]]+Tabela21[[#This Row],[Crit D subs]]</f>
        <v>1.2</v>
      </c>
      <c r="AN707" s="15">
        <v>0.6</v>
      </c>
      <c r="AO707" s="15">
        <v>0.6</v>
      </c>
      <c r="AP707" s="15">
        <v>0</v>
      </c>
      <c r="AQ707" s="189">
        <f t="shared" si="116"/>
        <v>4524.58</v>
      </c>
      <c r="AR707" s="189">
        <f t="shared" si="117"/>
        <v>4516.2000000000007</v>
      </c>
      <c r="AS707" s="189">
        <f t="shared" ref="AS707:AS770" si="118">$AG$3*(1+$AJ707*$Y$2+$AN707)*(MAXA(1-$AI$3-$AL707*$AA$3-$AP707-0.36,0)+MINA($AI$3+$AL707*$AA$3+$AP707+0.36,1)*(1+$AH$3+$AO707+$AK707*$Z$4))</f>
        <v>4553.6400000000003</v>
      </c>
      <c r="AT707" s="189">
        <f t="shared" ref="AT707:AT770" si="119">$AG$3*(1+$AJ707*$Y$2+$AN707)*(MAXA(1-$AI$3-$AL707*$AA$3-$AP707-0.36,0)+2*MINA($AI$3+$AL707*$AA$3+$AP707+0.36,1)*(1+$AH$3+$AO707+$AK707*$Z$4))</f>
        <v>8779.68</v>
      </c>
      <c r="AU707" s="50">
        <f t="shared" ref="AU707:AU770" si="120">$AG$3*(1+$AJ707*$Y$2+$AN707)*(MAXA(1-$AI$3-$AL707*$AA$3-$AP707-0.12,0)+2*MINA($AI$3+$AL707*$AA$3+$AP707+0.12,1)*(1+$AH$3+$AO707+$AK707*$Z$4+0.4))</f>
        <v>8143.2</v>
      </c>
    </row>
    <row r="708" spans="36:47">
      <c r="AJ708" s="50">
        <v>2</v>
      </c>
      <c r="AK708" s="50">
        <v>0</v>
      </c>
      <c r="AL708" s="50">
        <v>1</v>
      </c>
      <c r="AM708" s="15">
        <f>Tabela21[[#This Row],[Att subs]]+Tabela21[[#This Row],[Crit D subs]]</f>
        <v>1.2</v>
      </c>
      <c r="AN708" s="15">
        <v>0.6</v>
      </c>
      <c r="AO708" s="15">
        <v>0.6</v>
      </c>
      <c r="AP708" s="15">
        <v>0.1</v>
      </c>
      <c r="AQ708" s="189">
        <f t="shared" ref="AQ708:AQ771" si="121">$AG$3*(1+$AJ708*$Y$2+$AN708+0.35)*(MAXA(1-$AI$3-$AL708*$AA$3-$AP708-0.12,0)+MINA($AI$3+$AL708*$AA$3+$AP708+0.12,1)*(1+$AH$3+$AO708+$AK708*$Z$4))</f>
        <v>4820.4800000000005</v>
      </c>
      <c r="AR708" s="189">
        <f t="shared" ref="AR708:AR771" si="122">$AG$3*(1+$AJ708*$Y$2+$AN708)*(MAXA(1-$AI$3-$AL708*$AA$3-$AP708-0.12,0)+MINA($AI$3+$AL708*$AA$3+$AP708+0.12,1)*(1+$AH$3+$AO708+$AK708*$Z$4+0.4))</f>
        <v>4867.2</v>
      </c>
      <c r="AS708" s="189">
        <f t="shared" si="118"/>
        <v>4811.04</v>
      </c>
      <c r="AT708" s="189">
        <f t="shared" si="119"/>
        <v>9528.48</v>
      </c>
      <c r="AU708" s="50">
        <f t="shared" si="120"/>
        <v>9079.1999999999989</v>
      </c>
    </row>
    <row r="709" spans="36:47">
      <c r="AJ709" s="50">
        <v>2</v>
      </c>
      <c r="AK709" s="50">
        <v>0</v>
      </c>
      <c r="AL709" s="50">
        <v>1</v>
      </c>
      <c r="AM709" s="15">
        <f>Tabela21[[#This Row],[Att subs]]+Tabela21[[#This Row],[Crit D subs]]</f>
        <v>1.2</v>
      </c>
      <c r="AN709" s="15">
        <v>0.6</v>
      </c>
      <c r="AO709" s="15">
        <v>0.6</v>
      </c>
      <c r="AP709" s="15">
        <v>0.2</v>
      </c>
      <c r="AQ709" s="189">
        <f t="shared" si="121"/>
        <v>5116.38</v>
      </c>
      <c r="AR709" s="189">
        <f t="shared" si="122"/>
        <v>5218.2</v>
      </c>
      <c r="AS709" s="189">
        <f t="shared" si="118"/>
        <v>4914</v>
      </c>
      <c r="AT709" s="189">
        <f t="shared" si="119"/>
        <v>9828</v>
      </c>
      <c r="AU709" s="50">
        <f t="shared" si="120"/>
        <v>10015.199999999999</v>
      </c>
    </row>
    <row r="710" spans="36:47">
      <c r="AJ710" s="50">
        <v>2</v>
      </c>
      <c r="AK710" s="50">
        <v>0</v>
      </c>
      <c r="AL710" s="50">
        <v>1</v>
      </c>
      <c r="AM710" s="15">
        <f>Tabela21[[#This Row],[Att subs]]+Tabela21[[#This Row],[Crit D subs]]</f>
        <v>1.2</v>
      </c>
      <c r="AN710" s="15">
        <v>0.6</v>
      </c>
      <c r="AO710" s="15">
        <v>0.6</v>
      </c>
      <c r="AP710" s="15">
        <v>0.3</v>
      </c>
      <c r="AQ710" s="189">
        <f t="shared" si="121"/>
        <v>5412.28</v>
      </c>
      <c r="AR710" s="189">
        <f t="shared" si="122"/>
        <v>5569.2000000000007</v>
      </c>
      <c r="AS710" s="189">
        <f t="shared" si="118"/>
        <v>4914</v>
      </c>
      <c r="AT710" s="189">
        <f t="shared" si="119"/>
        <v>9828</v>
      </c>
      <c r="AU710" s="50">
        <f t="shared" si="120"/>
        <v>10951.2</v>
      </c>
    </row>
    <row r="711" spans="36:47">
      <c r="AJ711" s="50">
        <v>2</v>
      </c>
      <c r="AK711" s="50">
        <v>0</v>
      </c>
      <c r="AL711" s="50">
        <v>1</v>
      </c>
      <c r="AM711" s="15">
        <f>Tabela21[[#This Row],[Att subs]]+Tabela21[[#This Row],[Crit D subs]]</f>
        <v>1.2</v>
      </c>
      <c r="AN711" s="15">
        <v>0.6</v>
      </c>
      <c r="AO711" s="15">
        <v>0.6</v>
      </c>
      <c r="AP711" s="15">
        <v>0.4</v>
      </c>
      <c r="AQ711" s="189">
        <f t="shared" si="121"/>
        <v>5649</v>
      </c>
      <c r="AR711" s="189">
        <f t="shared" si="122"/>
        <v>5850</v>
      </c>
      <c r="AS711" s="189">
        <f t="shared" si="118"/>
        <v>4914</v>
      </c>
      <c r="AT711" s="189">
        <f t="shared" si="119"/>
        <v>9828</v>
      </c>
      <c r="AU711" s="50">
        <f t="shared" si="120"/>
        <v>11700</v>
      </c>
    </row>
    <row r="712" spans="36:47">
      <c r="AJ712" s="50">
        <v>2</v>
      </c>
      <c r="AK712" s="50">
        <v>0</v>
      </c>
      <c r="AL712" s="50">
        <v>1</v>
      </c>
      <c r="AM712" s="15">
        <f>Tabela21[[#This Row],[Att subs]]+Tabela21[[#This Row],[Crit D subs]]</f>
        <v>1.2</v>
      </c>
      <c r="AN712" s="15">
        <v>0.6</v>
      </c>
      <c r="AO712" s="15">
        <v>0.6</v>
      </c>
      <c r="AP712" s="15">
        <v>0.5</v>
      </c>
      <c r="AQ712" s="189">
        <f t="shared" si="121"/>
        <v>5649</v>
      </c>
      <c r="AR712" s="189">
        <f t="shared" si="122"/>
        <v>5850</v>
      </c>
      <c r="AS712" s="189">
        <f t="shared" si="118"/>
        <v>4914</v>
      </c>
      <c r="AT712" s="189">
        <f t="shared" si="119"/>
        <v>9828</v>
      </c>
      <c r="AU712" s="50">
        <f t="shared" si="120"/>
        <v>11700</v>
      </c>
    </row>
    <row r="713" spans="36:47">
      <c r="AJ713" s="50">
        <v>2</v>
      </c>
      <c r="AK713" s="50">
        <v>0</v>
      </c>
      <c r="AL713" s="50">
        <v>1</v>
      </c>
      <c r="AM713" s="15">
        <f>Tabela21[[#This Row],[Att subs]]+Tabela21[[#This Row],[Crit D subs]]</f>
        <v>1.2</v>
      </c>
      <c r="AN713" s="15">
        <v>0.6</v>
      </c>
      <c r="AO713" s="15">
        <v>0.6</v>
      </c>
      <c r="AP713" s="15">
        <v>0.6</v>
      </c>
      <c r="AQ713" s="189">
        <f t="shared" si="121"/>
        <v>5649</v>
      </c>
      <c r="AR713" s="189">
        <f t="shared" si="122"/>
        <v>5850</v>
      </c>
      <c r="AS713" s="189">
        <f t="shared" si="118"/>
        <v>4914</v>
      </c>
      <c r="AT713" s="189">
        <f t="shared" si="119"/>
        <v>9828</v>
      </c>
      <c r="AU713" s="50">
        <f t="shared" si="120"/>
        <v>11700</v>
      </c>
    </row>
    <row r="714" spans="36:47">
      <c r="AJ714" s="50">
        <v>2</v>
      </c>
      <c r="AK714" s="50">
        <v>0</v>
      </c>
      <c r="AL714" s="50">
        <v>1</v>
      </c>
      <c r="AM714" s="15">
        <f>Tabela21[[#This Row],[Att subs]]+Tabela21[[#This Row],[Crit D subs]]</f>
        <v>1.2</v>
      </c>
      <c r="AN714" s="15">
        <v>0.6</v>
      </c>
      <c r="AO714" s="15">
        <v>0.6</v>
      </c>
      <c r="AP714" s="15">
        <v>0.7</v>
      </c>
      <c r="AQ714" s="189">
        <f t="shared" si="121"/>
        <v>5649</v>
      </c>
      <c r="AR714" s="189">
        <f t="shared" si="122"/>
        <v>5850</v>
      </c>
      <c r="AS714" s="189">
        <f t="shared" si="118"/>
        <v>4914</v>
      </c>
      <c r="AT714" s="189">
        <f t="shared" si="119"/>
        <v>9828</v>
      </c>
      <c r="AU714" s="50">
        <f t="shared" si="120"/>
        <v>11700</v>
      </c>
    </row>
    <row r="715" spans="36:47">
      <c r="AJ715" s="50">
        <v>2</v>
      </c>
      <c r="AK715" s="50">
        <v>0</v>
      </c>
      <c r="AL715" s="50">
        <v>1</v>
      </c>
      <c r="AM715" s="15">
        <f>Tabela21[[#This Row],[Att subs]]+Tabela21[[#This Row],[Crit D subs]]</f>
        <v>1.2</v>
      </c>
      <c r="AN715" s="15">
        <v>0.6</v>
      </c>
      <c r="AO715" s="15">
        <v>0.6</v>
      </c>
      <c r="AP715" s="15">
        <v>0.8</v>
      </c>
      <c r="AQ715" s="189">
        <f t="shared" si="121"/>
        <v>5649</v>
      </c>
      <c r="AR715" s="189">
        <f t="shared" si="122"/>
        <v>5850</v>
      </c>
      <c r="AS715" s="189">
        <f t="shared" si="118"/>
        <v>4914</v>
      </c>
      <c r="AT715" s="189">
        <f t="shared" si="119"/>
        <v>9828</v>
      </c>
      <c r="AU715" s="50">
        <f t="shared" si="120"/>
        <v>11700</v>
      </c>
    </row>
    <row r="716" spans="36:47">
      <c r="AJ716" s="50">
        <v>2</v>
      </c>
      <c r="AK716" s="50">
        <v>0</v>
      </c>
      <c r="AL716" s="50">
        <v>1</v>
      </c>
      <c r="AM716" s="15">
        <f>Tabela21[[#This Row],[Att subs]]+Tabela21[[#This Row],[Crit D subs]]</f>
        <v>1.2</v>
      </c>
      <c r="AN716" s="15">
        <v>0.6</v>
      </c>
      <c r="AO716" s="15">
        <v>0.6</v>
      </c>
      <c r="AP716" s="15">
        <v>0.9</v>
      </c>
      <c r="AQ716" s="189">
        <f t="shared" si="121"/>
        <v>5649</v>
      </c>
      <c r="AR716" s="189">
        <f t="shared" si="122"/>
        <v>5850</v>
      </c>
      <c r="AS716" s="189">
        <f t="shared" si="118"/>
        <v>4914</v>
      </c>
      <c r="AT716" s="189">
        <f t="shared" si="119"/>
        <v>9828</v>
      </c>
      <c r="AU716" s="50">
        <f t="shared" si="120"/>
        <v>11700</v>
      </c>
    </row>
    <row r="717" spans="36:47">
      <c r="AJ717" s="50">
        <v>2</v>
      </c>
      <c r="AK717" s="50">
        <v>0</v>
      </c>
      <c r="AL717" s="50">
        <v>1</v>
      </c>
      <c r="AM717" s="15">
        <f>Tabela21[[#This Row],[Att subs]]+Tabela21[[#This Row],[Crit D subs]]</f>
        <v>1.2</v>
      </c>
      <c r="AN717" s="15">
        <v>0.6</v>
      </c>
      <c r="AO717" s="15">
        <v>0.6</v>
      </c>
      <c r="AP717" s="15">
        <v>1</v>
      </c>
      <c r="AQ717" s="189">
        <f t="shared" si="121"/>
        <v>5649</v>
      </c>
      <c r="AR717" s="189">
        <f t="shared" si="122"/>
        <v>5850</v>
      </c>
      <c r="AS717" s="189">
        <f t="shared" si="118"/>
        <v>4914</v>
      </c>
      <c r="AT717" s="189">
        <f t="shared" si="119"/>
        <v>9828</v>
      </c>
      <c r="AU717" s="50">
        <f t="shared" si="120"/>
        <v>11700</v>
      </c>
    </row>
    <row r="718" spans="36:47">
      <c r="AJ718" s="50">
        <v>3</v>
      </c>
      <c r="AK718" s="50">
        <v>0</v>
      </c>
      <c r="AL718" s="50">
        <v>0</v>
      </c>
      <c r="AM718" s="15">
        <f>Tabela21[[#This Row],[Att subs]]+Tabela21[[#This Row],[Crit D subs]]</f>
        <v>1.2</v>
      </c>
      <c r="AN718" s="15">
        <v>0.6</v>
      </c>
      <c r="AO718" s="15">
        <v>0.6</v>
      </c>
      <c r="AP718" s="15">
        <v>0</v>
      </c>
      <c r="AQ718" s="189">
        <f t="shared" si="121"/>
        <v>3968.8200000000006</v>
      </c>
      <c r="AR718" s="189">
        <f t="shared" si="122"/>
        <v>3807.55</v>
      </c>
      <c r="AS718" s="189">
        <f t="shared" si="118"/>
        <v>4230.3100000000004</v>
      </c>
      <c r="AT718" s="189">
        <f t="shared" si="119"/>
        <v>7132.7200000000012</v>
      </c>
      <c r="AU718" s="50">
        <f t="shared" si="120"/>
        <v>5636.8</v>
      </c>
    </row>
    <row r="719" spans="36:47">
      <c r="AJ719" s="50">
        <v>3</v>
      </c>
      <c r="AK719" s="50">
        <v>0</v>
      </c>
      <c r="AL719" s="50">
        <v>0</v>
      </c>
      <c r="AM719" s="15">
        <f>Tabela21[[#This Row],[Att subs]]+Tabela21[[#This Row],[Crit D subs]]</f>
        <v>1.2</v>
      </c>
      <c r="AN719" s="15">
        <v>0.6</v>
      </c>
      <c r="AO719" s="15">
        <v>0.6</v>
      </c>
      <c r="AP719" s="15">
        <v>0.1</v>
      </c>
      <c r="AQ719" s="189">
        <f t="shared" si="121"/>
        <v>4305.42</v>
      </c>
      <c r="AR719" s="189">
        <f t="shared" si="122"/>
        <v>4214.05</v>
      </c>
      <c r="AS719" s="189">
        <f t="shared" si="118"/>
        <v>4528.41</v>
      </c>
      <c r="AT719" s="189">
        <f t="shared" si="119"/>
        <v>7999.92</v>
      </c>
      <c r="AU719" s="50">
        <f t="shared" si="120"/>
        <v>6720.8</v>
      </c>
    </row>
    <row r="720" spans="36:47">
      <c r="AJ720" s="50">
        <v>3</v>
      </c>
      <c r="AK720" s="50">
        <v>0</v>
      </c>
      <c r="AL720" s="50">
        <v>0</v>
      </c>
      <c r="AM720" s="15">
        <f>Tabela21[[#This Row],[Att subs]]+Tabela21[[#This Row],[Crit D subs]]</f>
        <v>1.2</v>
      </c>
      <c r="AN720" s="15">
        <v>0.6</v>
      </c>
      <c r="AO720" s="15">
        <v>0.6</v>
      </c>
      <c r="AP720" s="15">
        <v>0.2</v>
      </c>
      <c r="AQ720" s="189">
        <f t="shared" si="121"/>
        <v>4642.0199999999995</v>
      </c>
      <c r="AR720" s="189">
        <f t="shared" si="122"/>
        <v>4620.5499999999993</v>
      </c>
      <c r="AS720" s="189">
        <f t="shared" si="118"/>
        <v>4826.5099999999993</v>
      </c>
      <c r="AT720" s="189">
        <f t="shared" si="119"/>
        <v>8867.119999999999</v>
      </c>
      <c r="AU720" s="50">
        <f t="shared" si="120"/>
        <v>7804.7999999999984</v>
      </c>
    </row>
    <row r="721" spans="36:47">
      <c r="AJ721" s="50">
        <v>3</v>
      </c>
      <c r="AK721" s="50">
        <v>0</v>
      </c>
      <c r="AL721" s="50">
        <v>0</v>
      </c>
      <c r="AM721" s="15">
        <f>Tabela21[[#This Row],[Att subs]]+Tabela21[[#This Row],[Crit D subs]]</f>
        <v>1.2</v>
      </c>
      <c r="AN721" s="15">
        <v>0.6</v>
      </c>
      <c r="AO721" s="15">
        <v>0.6</v>
      </c>
      <c r="AP721" s="15">
        <v>0.3</v>
      </c>
      <c r="AQ721" s="189">
        <f t="shared" si="121"/>
        <v>4978.619999999999</v>
      </c>
      <c r="AR721" s="189">
        <f t="shared" si="122"/>
        <v>5027.05</v>
      </c>
      <c r="AS721" s="189">
        <f t="shared" si="118"/>
        <v>5124.6099999999997</v>
      </c>
      <c r="AT721" s="189">
        <f t="shared" si="119"/>
        <v>9734.32</v>
      </c>
      <c r="AU721" s="50">
        <f t="shared" si="120"/>
        <v>8888.7999999999993</v>
      </c>
    </row>
    <row r="722" spans="36:47">
      <c r="AJ722" s="50">
        <v>3</v>
      </c>
      <c r="AK722" s="50">
        <v>0</v>
      </c>
      <c r="AL722" s="50">
        <v>0</v>
      </c>
      <c r="AM722" s="15">
        <f>Tabela21[[#This Row],[Att subs]]+Tabela21[[#This Row],[Crit D subs]]</f>
        <v>1.2</v>
      </c>
      <c r="AN722" s="15">
        <v>0.6</v>
      </c>
      <c r="AO722" s="15">
        <v>0.6</v>
      </c>
      <c r="AP722" s="15">
        <v>0.4</v>
      </c>
      <c r="AQ722" s="189">
        <f t="shared" si="121"/>
        <v>5315.22</v>
      </c>
      <c r="AR722" s="189">
        <f t="shared" si="122"/>
        <v>5433.5499999999993</v>
      </c>
      <c r="AS722" s="189">
        <f t="shared" si="118"/>
        <v>5422.7100000000009</v>
      </c>
      <c r="AT722" s="189">
        <f t="shared" si="119"/>
        <v>10601.52</v>
      </c>
      <c r="AU722" s="50">
        <f t="shared" si="120"/>
        <v>9972.8000000000011</v>
      </c>
    </row>
    <row r="723" spans="36:47">
      <c r="AJ723" s="50">
        <v>3</v>
      </c>
      <c r="AK723" s="50">
        <v>0</v>
      </c>
      <c r="AL723" s="50">
        <v>0</v>
      </c>
      <c r="AM723" s="15">
        <f>Tabela21[[#This Row],[Att subs]]+Tabela21[[#This Row],[Crit D subs]]</f>
        <v>1.2</v>
      </c>
      <c r="AN723" s="15">
        <v>0.6</v>
      </c>
      <c r="AO723" s="15">
        <v>0.6</v>
      </c>
      <c r="AP723" s="15">
        <v>0.5</v>
      </c>
      <c r="AQ723" s="189">
        <f t="shared" si="121"/>
        <v>5651.8200000000006</v>
      </c>
      <c r="AR723" s="189">
        <f t="shared" si="122"/>
        <v>5840.0500000000011</v>
      </c>
      <c r="AS723" s="189">
        <f t="shared" si="118"/>
        <v>5691</v>
      </c>
      <c r="AT723" s="189">
        <f t="shared" si="119"/>
        <v>11382</v>
      </c>
      <c r="AU723" s="50">
        <f t="shared" si="120"/>
        <v>11056.800000000001</v>
      </c>
    </row>
    <row r="724" spans="36:47">
      <c r="AJ724" s="50">
        <v>3</v>
      </c>
      <c r="AK724" s="50">
        <v>0</v>
      </c>
      <c r="AL724" s="50">
        <v>0</v>
      </c>
      <c r="AM724" s="15">
        <f>Tabela21[[#This Row],[Att subs]]+Tabela21[[#This Row],[Crit D subs]]</f>
        <v>1.2</v>
      </c>
      <c r="AN724" s="15">
        <v>0.6</v>
      </c>
      <c r="AO724" s="15">
        <v>0.6</v>
      </c>
      <c r="AP724" s="15">
        <v>0.6</v>
      </c>
      <c r="AQ724" s="189">
        <f t="shared" si="121"/>
        <v>5988.4199999999992</v>
      </c>
      <c r="AR724" s="189">
        <f t="shared" si="122"/>
        <v>6246.5499999999993</v>
      </c>
      <c r="AS724" s="189">
        <f t="shared" si="118"/>
        <v>5691</v>
      </c>
      <c r="AT724" s="189">
        <f t="shared" si="119"/>
        <v>11382</v>
      </c>
      <c r="AU724" s="50">
        <f t="shared" si="120"/>
        <v>12140.8</v>
      </c>
    </row>
    <row r="725" spans="36:47">
      <c r="AJ725" s="50">
        <v>3</v>
      </c>
      <c r="AK725" s="50">
        <v>0</v>
      </c>
      <c r="AL725" s="50">
        <v>0</v>
      </c>
      <c r="AM725" s="15">
        <f>Tabela21[[#This Row],[Att subs]]+Tabela21[[#This Row],[Crit D subs]]</f>
        <v>1.2</v>
      </c>
      <c r="AN725" s="15">
        <v>0.6</v>
      </c>
      <c r="AO725" s="15">
        <v>0.6</v>
      </c>
      <c r="AP725" s="15">
        <v>0.7</v>
      </c>
      <c r="AQ725" s="189">
        <f t="shared" si="121"/>
        <v>6325.02</v>
      </c>
      <c r="AR725" s="189">
        <f t="shared" si="122"/>
        <v>6653.05</v>
      </c>
      <c r="AS725" s="189">
        <f t="shared" si="118"/>
        <v>5691</v>
      </c>
      <c r="AT725" s="189">
        <f t="shared" si="119"/>
        <v>11382</v>
      </c>
      <c r="AU725" s="50">
        <f t="shared" si="120"/>
        <v>13224.8</v>
      </c>
    </row>
    <row r="726" spans="36:47">
      <c r="AJ726" s="50">
        <v>3</v>
      </c>
      <c r="AK726" s="50">
        <v>0</v>
      </c>
      <c r="AL726" s="50">
        <v>0</v>
      </c>
      <c r="AM726" s="15">
        <f>Tabela21[[#This Row],[Att subs]]+Tabela21[[#This Row],[Crit D subs]]</f>
        <v>1.2</v>
      </c>
      <c r="AN726" s="15">
        <v>0.6</v>
      </c>
      <c r="AO726" s="15">
        <v>0.6</v>
      </c>
      <c r="AP726" s="15">
        <v>0.8</v>
      </c>
      <c r="AQ726" s="189">
        <f t="shared" si="121"/>
        <v>6426</v>
      </c>
      <c r="AR726" s="189">
        <f t="shared" si="122"/>
        <v>6775</v>
      </c>
      <c r="AS726" s="189">
        <f t="shared" si="118"/>
        <v>5691</v>
      </c>
      <c r="AT726" s="189">
        <f t="shared" si="119"/>
        <v>11382</v>
      </c>
      <c r="AU726" s="50">
        <f t="shared" si="120"/>
        <v>13550</v>
      </c>
    </row>
    <row r="727" spans="36:47">
      <c r="AJ727" s="50">
        <v>3</v>
      </c>
      <c r="AK727" s="50">
        <v>0</v>
      </c>
      <c r="AL727" s="50">
        <v>0</v>
      </c>
      <c r="AM727" s="15">
        <f>Tabela21[[#This Row],[Att subs]]+Tabela21[[#This Row],[Crit D subs]]</f>
        <v>1.2</v>
      </c>
      <c r="AN727" s="15">
        <v>0.6</v>
      </c>
      <c r="AO727" s="15">
        <v>0.6</v>
      </c>
      <c r="AP727" s="15">
        <v>0.9</v>
      </c>
      <c r="AQ727" s="189">
        <f t="shared" si="121"/>
        <v>6426</v>
      </c>
      <c r="AR727" s="189">
        <f t="shared" si="122"/>
        <v>6775</v>
      </c>
      <c r="AS727" s="189">
        <f t="shared" si="118"/>
        <v>5691</v>
      </c>
      <c r="AT727" s="189">
        <f t="shared" si="119"/>
        <v>11382</v>
      </c>
      <c r="AU727" s="50">
        <f t="shared" si="120"/>
        <v>13550</v>
      </c>
    </row>
    <row r="728" spans="36:47">
      <c r="AJ728" s="50">
        <v>3</v>
      </c>
      <c r="AK728" s="50">
        <v>0</v>
      </c>
      <c r="AL728" s="50">
        <v>0</v>
      </c>
      <c r="AM728" s="15">
        <f>Tabela21[[#This Row],[Att subs]]+Tabela21[[#This Row],[Crit D subs]]</f>
        <v>1.2</v>
      </c>
      <c r="AN728" s="15">
        <v>0.6</v>
      </c>
      <c r="AO728" s="15">
        <v>0.6</v>
      </c>
      <c r="AP728" s="15">
        <v>1</v>
      </c>
      <c r="AQ728" s="189">
        <f t="shared" si="121"/>
        <v>6426</v>
      </c>
      <c r="AR728" s="189">
        <f t="shared" si="122"/>
        <v>6775</v>
      </c>
      <c r="AS728" s="189">
        <f t="shared" si="118"/>
        <v>5691</v>
      </c>
      <c r="AT728" s="189">
        <f t="shared" si="119"/>
        <v>11382</v>
      </c>
      <c r="AU728" s="50">
        <f t="shared" si="120"/>
        <v>13550</v>
      </c>
    </row>
    <row r="729" spans="36:47">
      <c r="AJ729" s="50">
        <v>2</v>
      </c>
      <c r="AK729" s="50">
        <v>1</v>
      </c>
      <c r="AL729" s="50">
        <v>0</v>
      </c>
      <c r="AM729" s="15">
        <f>Tabela21[[#This Row],[Att subs]]+Tabela21[[#This Row],[Crit D subs]]</f>
        <v>1.4</v>
      </c>
      <c r="AN729" s="15">
        <v>0.8</v>
      </c>
      <c r="AO729" s="15">
        <v>0.6</v>
      </c>
      <c r="AP729" s="15">
        <v>0</v>
      </c>
      <c r="AQ729" s="189">
        <f t="shared" si="121"/>
        <v>4115.0710000000008</v>
      </c>
      <c r="AR729" s="189">
        <f t="shared" si="122"/>
        <v>3891.0260000000003</v>
      </c>
      <c r="AS729" s="189">
        <f t="shared" si="118"/>
        <v>4573.7780000000002</v>
      </c>
      <c r="AT729" s="189">
        <f t="shared" si="119"/>
        <v>7902.9560000000019</v>
      </c>
      <c r="AU729" s="50">
        <f t="shared" si="120"/>
        <v>5927.8519999999999</v>
      </c>
    </row>
    <row r="730" spans="36:47">
      <c r="AJ730" s="50">
        <v>2</v>
      </c>
      <c r="AK730" s="50">
        <v>1</v>
      </c>
      <c r="AL730" s="50">
        <v>0</v>
      </c>
      <c r="AM730" s="15">
        <f>Tabela21[[#This Row],[Att subs]]+Tabela21[[#This Row],[Crit D subs]]</f>
        <v>1.4</v>
      </c>
      <c r="AN730" s="15">
        <v>0.8</v>
      </c>
      <c r="AO730" s="15">
        <v>0.6</v>
      </c>
      <c r="AP730" s="15">
        <v>0.1</v>
      </c>
      <c r="AQ730" s="189">
        <f t="shared" si="121"/>
        <v>4568.8010000000004</v>
      </c>
      <c r="AR730" s="189">
        <f t="shared" si="122"/>
        <v>4391.4059999999999</v>
      </c>
      <c r="AS730" s="189">
        <f t="shared" si="118"/>
        <v>4972.558</v>
      </c>
      <c r="AT730" s="189">
        <f t="shared" si="119"/>
        <v>8954.5160000000014</v>
      </c>
      <c r="AU730" s="50">
        <f t="shared" si="120"/>
        <v>7182.6120000000001</v>
      </c>
    </row>
    <row r="731" spans="36:47">
      <c r="AJ731" s="50">
        <v>2</v>
      </c>
      <c r="AK731" s="50">
        <v>1</v>
      </c>
      <c r="AL731" s="50">
        <v>0</v>
      </c>
      <c r="AM731" s="15">
        <f>Tabela21[[#This Row],[Att subs]]+Tabela21[[#This Row],[Crit D subs]]</f>
        <v>1.4</v>
      </c>
      <c r="AN731" s="15">
        <v>0.8</v>
      </c>
      <c r="AO731" s="15">
        <v>0.6</v>
      </c>
      <c r="AP731" s="15">
        <v>0.2</v>
      </c>
      <c r="AQ731" s="189">
        <f t="shared" si="121"/>
        <v>5022.530999999999</v>
      </c>
      <c r="AR731" s="189">
        <f t="shared" si="122"/>
        <v>4891.7860000000001</v>
      </c>
      <c r="AS731" s="189">
        <f t="shared" si="118"/>
        <v>5371.3379999999997</v>
      </c>
      <c r="AT731" s="189">
        <f t="shared" si="119"/>
        <v>10006.076000000001</v>
      </c>
      <c r="AU731" s="50">
        <f t="shared" si="120"/>
        <v>8437.3719999999994</v>
      </c>
    </row>
    <row r="732" spans="36:47">
      <c r="AJ732" s="50">
        <v>2</v>
      </c>
      <c r="AK732" s="50">
        <v>1</v>
      </c>
      <c r="AL732" s="50">
        <v>0</v>
      </c>
      <c r="AM732" s="15">
        <f>Tabela21[[#This Row],[Att subs]]+Tabela21[[#This Row],[Crit D subs]]</f>
        <v>1.4</v>
      </c>
      <c r="AN732" s="15">
        <v>0.8</v>
      </c>
      <c r="AO732" s="15">
        <v>0.6</v>
      </c>
      <c r="AP732" s="15">
        <v>0.3</v>
      </c>
      <c r="AQ732" s="189">
        <f t="shared" si="121"/>
        <v>5476.2610000000004</v>
      </c>
      <c r="AR732" s="189">
        <f t="shared" si="122"/>
        <v>5392.1660000000002</v>
      </c>
      <c r="AS732" s="189">
        <f t="shared" si="118"/>
        <v>5770.1180000000004</v>
      </c>
      <c r="AT732" s="189">
        <f t="shared" si="119"/>
        <v>11057.636000000002</v>
      </c>
      <c r="AU732" s="50">
        <f t="shared" si="120"/>
        <v>9692.1320000000014</v>
      </c>
    </row>
    <row r="733" spans="36:47">
      <c r="AJ733" s="50">
        <v>2</v>
      </c>
      <c r="AK733" s="50">
        <v>1</v>
      </c>
      <c r="AL733" s="50">
        <v>0</v>
      </c>
      <c r="AM733" s="15">
        <f>Tabela21[[#This Row],[Att subs]]+Tabela21[[#This Row],[Crit D subs]]</f>
        <v>1.4</v>
      </c>
      <c r="AN733" s="15">
        <v>0.8</v>
      </c>
      <c r="AO733" s="15">
        <v>0.6</v>
      </c>
      <c r="AP733" s="15">
        <v>0.4</v>
      </c>
      <c r="AQ733" s="189">
        <f t="shared" si="121"/>
        <v>5929.9910000000009</v>
      </c>
      <c r="AR733" s="189">
        <f t="shared" si="122"/>
        <v>5892.5460000000003</v>
      </c>
      <c r="AS733" s="189">
        <f t="shared" si="118"/>
        <v>6168.8980000000001</v>
      </c>
      <c r="AT733" s="189">
        <f t="shared" si="119"/>
        <v>12109.196</v>
      </c>
      <c r="AU733" s="50">
        <f t="shared" si="120"/>
        <v>10946.892</v>
      </c>
    </row>
    <row r="734" spans="36:47">
      <c r="AJ734" s="50">
        <v>2</v>
      </c>
      <c r="AK734" s="50">
        <v>1</v>
      </c>
      <c r="AL734" s="50">
        <v>0</v>
      </c>
      <c r="AM734" s="15">
        <f>Tabela21[[#This Row],[Att subs]]+Tabela21[[#This Row],[Crit D subs]]</f>
        <v>1.4</v>
      </c>
      <c r="AN734" s="15">
        <v>0.8</v>
      </c>
      <c r="AO734" s="15">
        <v>0.6</v>
      </c>
      <c r="AP734" s="15">
        <v>0.5</v>
      </c>
      <c r="AQ734" s="189">
        <f t="shared" si="121"/>
        <v>6383.7210000000005</v>
      </c>
      <c r="AR734" s="189">
        <f t="shared" si="122"/>
        <v>6392.9260000000004</v>
      </c>
      <c r="AS734" s="189">
        <f t="shared" si="118"/>
        <v>6527.8000000000011</v>
      </c>
      <c r="AT734" s="189">
        <f t="shared" si="119"/>
        <v>13055.600000000002</v>
      </c>
      <c r="AU734" s="50">
        <f t="shared" si="120"/>
        <v>12201.652000000002</v>
      </c>
    </row>
    <row r="735" spans="36:47">
      <c r="AJ735" s="50">
        <v>2</v>
      </c>
      <c r="AK735" s="50">
        <v>1</v>
      </c>
      <c r="AL735" s="50">
        <v>0</v>
      </c>
      <c r="AM735" s="15">
        <f>Tabela21[[#This Row],[Att subs]]+Tabela21[[#This Row],[Crit D subs]]</f>
        <v>1.4</v>
      </c>
      <c r="AN735" s="15">
        <v>0.8</v>
      </c>
      <c r="AO735" s="15">
        <v>0.6</v>
      </c>
      <c r="AP735" s="15">
        <v>0.6</v>
      </c>
      <c r="AQ735" s="189">
        <f t="shared" si="121"/>
        <v>6837.4510000000009</v>
      </c>
      <c r="AR735" s="189">
        <f t="shared" si="122"/>
        <v>6893.3060000000005</v>
      </c>
      <c r="AS735" s="189">
        <f t="shared" si="118"/>
        <v>6527.8000000000011</v>
      </c>
      <c r="AT735" s="189">
        <f t="shared" si="119"/>
        <v>13055.600000000002</v>
      </c>
      <c r="AU735" s="50">
        <f t="shared" si="120"/>
        <v>13456.412000000002</v>
      </c>
    </row>
    <row r="736" spans="36:47">
      <c r="AJ736" s="50">
        <v>2</v>
      </c>
      <c r="AK736" s="50">
        <v>1</v>
      </c>
      <c r="AL736" s="50">
        <v>0</v>
      </c>
      <c r="AM736" s="15">
        <f>Tabela21[[#This Row],[Att subs]]+Tabela21[[#This Row],[Crit D subs]]</f>
        <v>1.4</v>
      </c>
      <c r="AN736" s="15">
        <v>0.8</v>
      </c>
      <c r="AO736" s="15">
        <v>0.6</v>
      </c>
      <c r="AP736" s="15">
        <v>0.7</v>
      </c>
      <c r="AQ736" s="189">
        <f t="shared" si="121"/>
        <v>7291.1809999999996</v>
      </c>
      <c r="AR736" s="189">
        <f t="shared" si="122"/>
        <v>7393.6859999999997</v>
      </c>
      <c r="AS736" s="189">
        <f t="shared" si="118"/>
        <v>6527.8000000000011</v>
      </c>
      <c r="AT736" s="189">
        <f t="shared" si="119"/>
        <v>13055.600000000002</v>
      </c>
      <c r="AU736" s="50">
        <f t="shared" si="120"/>
        <v>14711.172</v>
      </c>
    </row>
    <row r="737" spans="36:47">
      <c r="AJ737" s="50">
        <v>2</v>
      </c>
      <c r="AK737" s="50">
        <v>1</v>
      </c>
      <c r="AL737" s="50">
        <v>0</v>
      </c>
      <c r="AM737" s="15">
        <f>Tabela21[[#This Row],[Att subs]]+Tabela21[[#This Row],[Crit D subs]]</f>
        <v>1.4</v>
      </c>
      <c r="AN737" s="15">
        <v>0.8</v>
      </c>
      <c r="AO737" s="15">
        <v>0.6</v>
      </c>
      <c r="AP737" s="15">
        <v>0.8</v>
      </c>
      <c r="AQ737" s="189">
        <f t="shared" si="121"/>
        <v>7427.3000000000011</v>
      </c>
      <c r="AR737" s="189">
        <f t="shared" si="122"/>
        <v>7543.8</v>
      </c>
      <c r="AS737" s="189">
        <f t="shared" si="118"/>
        <v>6527.8000000000011</v>
      </c>
      <c r="AT737" s="189">
        <f t="shared" si="119"/>
        <v>13055.600000000002</v>
      </c>
      <c r="AU737" s="50">
        <f t="shared" si="120"/>
        <v>15087.6</v>
      </c>
    </row>
    <row r="738" spans="36:47">
      <c r="AJ738" s="50">
        <v>2</v>
      </c>
      <c r="AK738" s="50">
        <v>1</v>
      </c>
      <c r="AL738" s="50">
        <v>0</v>
      </c>
      <c r="AM738" s="15">
        <f>Tabela21[[#This Row],[Att subs]]+Tabela21[[#This Row],[Crit D subs]]</f>
        <v>1.4</v>
      </c>
      <c r="AN738" s="15">
        <v>0.8</v>
      </c>
      <c r="AO738" s="15">
        <v>0.6</v>
      </c>
      <c r="AP738" s="15">
        <v>0.9</v>
      </c>
      <c r="AQ738" s="189">
        <f t="shared" si="121"/>
        <v>7427.3000000000011</v>
      </c>
      <c r="AR738" s="189">
        <f t="shared" si="122"/>
        <v>7543.8</v>
      </c>
      <c r="AS738" s="189">
        <f t="shared" si="118"/>
        <v>6527.8000000000011</v>
      </c>
      <c r="AT738" s="189">
        <f t="shared" si="119"/>
        <v>13055.600000000002</v>
      </c>
      <c r="AU738" s="50">
        <f t="shared" si="120"/>
        <v>15087.6</v>
      </c>
    </row>
    <row r="739" spans="36:47">
      <c r="AJ739" s="50">
        <v>2</v>
      </c>
      <c r="AK739" s="50">
        <v>1</v>
      </c>
      <c r="AL739" s="50">
        <v>0</v>
      </c>
      <c r="AM739" s="15">
        <f>Tabela21[[#This Row],[Att subs]]+Tabela21[[#This Row],[Crit D subs]]</f>
        <v>1.4</v>
      </c>
      <c r="AN739" s="15">
        <v>0.8</v>
      </c>
      <c r="AO739" s="15">
        <v>0.6</v>
      </c>
      <c r="AP739" s="15">
        <v>1</v>
      </c>
      <c r="AQ739" s="189">
        <f t="shared" si="121"/>
        <v>7427.3000000000011</v>
      </c>
      <c r="AR739" s="189">
        <f t="shared" si="122"/>
        <v>7543.8</v>
      </c>
      <c r="AS739" s="189">
        <f t="shared" si="118"/>
        <v>6527.8000000000011</v>
      </c>
      <c r="AT739" s="189">
        <f t="shared" si="119"/>
        <v>13055.600000000002</v>
      </c>
      <c r="AU739" s="50">
        <f t="shared" si="120"/>
        <v>15087.6</v>
      </c>
    </row>
    <row r="740" spans="36:47">
      <c r="AJ740" s="50">
        <v>2</v>
      </c>
      <c r="AK740" s="50">
        <v>0</v>
      </c>
      <c r="AL740" s="50">
        <v>1</v>
      </c>
      <c r="AM740" s="15">
        <f>Tabela21[[#This Row],[Att subs]]+Tabela21[[#This Row],[Crit D subs]]</f>
        <v>1.4</v>
      </c>
      <c r="AN740" s="15">
        <v>0.8</v>
      </c>
      <c r="AO740" s="15">
        <v>0.6</v>
      </c>
      <c r="AP740" s="15">
        <v>0</v>
      </c>
      <c r="AQ740" s="189">
        <f t="shared" si="121"/>
        <v>4860.9799999999996</v>
      </c>
      <c r="AR740" s="189">
        <f t="shared" si="122"/>
        <v>4902.2000000000007</v>
      </c>
      <c r="AS740" s="189">
        <f t="shared" si="118"/>
        <v>4942.84</v>
      </c>
      <c r="AT740" s="189">
        <f t="shared" si="119"/>
        <v>9530.08</v>
      </c>
      <c r="AU740" s="50">
        <f t="shared" si="120"/>
        <v>8839.2000000000007</v>
      </c>
    </row>
    <row r="741" spans="36:47">
      <c r="AJ741" s="50">
        <v>2</v>
      </c>
      <c r="AK741" s="50">
        <v>0</v>
      </c>
      <c r="AL741" s="50">
        <v>1</v>
      </c>
      <c r="AM741" s="15">
        <f>Tabela21[[#This Row],[Att subs]]+Tabela21[[#This Row],[Crit D subs]]</f>
        <v>1.4</v>
      </c>
      <c r="AN741" s="15">
        <v>0.8</v>
      </c>
      <c r="AO741" s="15">
        <v>0.6</v>
      </c>
      <c r="AP741" s="15">
        <v>0.1</v>
      </c>
      <c r="AQ741" s="189">
        <f t="shared" si="121"/>
        <v>5178.88</v>
      </c>
      <c r="AR741" s="189">
        <f t="shared" si="122"/>
        <v>5283.2</v>
      </c>
      <c r="AS741" s="189">
        <f t="shared" si="118"/>
        <v>5222.24</v>
      </c>
      <c r="AT741" s="189">
        <f t="shared" si="119"/>
        <v>10342.880000000001</v>
      </c>
      <c r="AU741" s="50">
        <f t="shared" si="120"/>
        <v>9855.1999999999989</v>
      </c>
    </row>
    <row r="742" spans="36:47">
      <c r="AJ742" s="50">
        <v>2</v>
      </c>
      <c r="AK742" s="50">
        <v>0</v>
      </c>
      <c r="AL742" s="50">
        <v>1</v>
      </c>
      <c r="AM742" s="15">
        <f>Tabela21[[#This Row],[Att subs]]+Tabela21[[#This Row],[Crit D subs]]</f>
        <v>1.4</v>
      </c>
      <c r="AN742" s="15">
        <v>0.8</v>
      </c>
      <c r="AO742" s="15">
        <v>0.6</v>
      </c>
      <c r="AP742" s="15">
        <v>0.2</v>
      </c>
      <c r="AQ742" s="189">
        <f t="shared" si="121"/>
        <v>5496.78</v>
      </c>
      <c r="AR742" s="189">
        <f t="shared" si="122"/>
        <v>5664.2</v>
      </c>
      <c r="AS742" s="189">
        <f t="shared" si="118"/>
        <v>5334</v>
      </c>
      <c r="AT742" s="189">
        <f t="shared" si="119"/>
        <v>10668</v>
      </c>
      <c r="AU742" s="50">
        <f t="shared" si="120"/>
        <v>10871.199999999999</v>
      </c>
    </row>
    <row r="743" spans="36:47">
      <c r="AJ743" s="50">
        <v>2</v>
      </c>
      <c r="AK743" s="50">
        <v>0</v>
      </c>
      <c r="AL743" s="50">
        <v>1</v>
      </c>
      <c r="AM743" s="15">
        <f>Tabela21[[#This Row],[Att subs]]+Tabela21[[#This Row],[Crit D subs]]</f>
        <v>1.4</v>
      </c>
      <c r="AN743" s="15">
        <v>0.8</v>
      </c>
      <c r="AO743" s="15">
        <v>0.6</v>
      </c>
      <c r="AP743" s="15">
        <v>0.3</v>
      </c>
      <c r="AQ743" s="189">
        <f t="shared" si="121"/>
        <v>5814.68</v>
      </c>
      <c r="AR743" s="189">
        <f t="shared" si="122"/>
        <v>6045.2000000000007</v>
      </c>
      <c r="AS743" s="189">
        <f t="shared" si="118"/>
        <v>5334</v>
      </c>
      <c r="AT743" s="189">
        <f t="shared" si="119"/>
        <v>10668</v>
      </c>
      <c r="AU743" s="50">
        <f t="shared" si="120"/>
        <v>11887.2</v>
      </c>
    </row>
    <row r="744" spans="36:47">
      <c r="AJ744" s="50">
        <v>2</v>
      </c>
      <c r="AK744" s="50">
        <v>0</v>
      </c>
      <c r="AL744" s="50">
        <v>1</v>
      </c>
      <c r="AM744" s="15">
        <f>Tabela21[[#This Row],[Att subs]]+Tabela21[[#This Row],[Crit D subs]]</f>
        <v>1.4</v>
      </c>
      <c r="AN744" s="15">
        <v>0.8</v>
      </c>
      <c r="AO744" s="15">
        <v>0.6</v>
      </c>
      <c r="AP744" s="15">
        <v>0.4</v>
      </c>
      <c r="AQ744" s="189">
        <f t="shared" si="121"/>
        <v>6069</v>
      </c>
      <c r="AR744" s="189">
        <f t="shared" si="122"/>
        <v>6350</v>
      </c>
      <c r="AS744" s="189">
        <f t="shared" si="118"/>
        <v>5334</v>
      </c>
      <c r="AT744" s="189">
        <f t="shared" si="119"/>
        <v>10668</v>
      </c>
      <c r="AU744" s="50">
        <f t="shared" si="120"/>
        <v>12700</v>
      </c>
    </row>
    <row r="745" spans="36:47">
      <c r="AJ745" s="50">
        <v>2</v>
      </c>
      <c r="AK745" s="50">
        <v>0</v>
      </c>
      <c r="AL745" s="50">
        <v>1</v>
      </c>
      <c r="AM745" s="15">
        <f>Tabela21[[#This Row],[Att subs]]+Tabela21[[#This Row],[Crit D subs]]</f>
        <v>1.4</v>
      </c>
      <c r="AN745" s="15">
        <v>0.8</v>
      </c>
      <c r="AO745" s="15">
        <v>0.6</v>
      </c>
      <c r="AP745" s="15">
        <v>0.5</v>
      </c>
      <c r="AQ745" s="189">
        <f t="shared" si="121"/>
        <v>6069</v>
      </c>
      <c r="AR745" s="189">
        <f t="shared" si="122"/>
        <v>6350</v>
      </c>
      <c r="AS745" s="189">
        <f t="shared" si="118"/>
        <v>5334</v>
      </c>
      <c r="AT745" s="189">
        <f t="shared" si="119"/>
        <v>10668</v>
      </c>
      <c r="AU745" s="50">
        <f t="shared" si="120"/>
        <v>12700</v>
      </c>
    </row>
    <row r="746" spans="36:47">
      <c r="AJ746" s="50">
        <v>2</v>
      </c>
      <c r="AK746" s="50">
        <v>0</v>
      </c>
      <c r="AL746" s="50">
        <v>1</v>
      </c>
      <c r="AM746" s="15">
        <f>Tabela21[[#This Row],[Att subs]]+Tabela21[[#This Row],[Crit D subs]]</f>
        <v>1.4</v>
      </c>
      <c r="AN746" s="15">
        <v>0.8</v>
      </c>
      <c r="AO746" s="15">
        <v>0.6</v>
      </c>
      <c r="AP746" s="15">
        <v>0.6</v>
      </c>
      <c r="AQ746" s="189">
        <f t="shared" si="121"/>
        <v>6069</v>
      </c>
      <c r="AR746" s="189">
        <f t="shared" si="122"/>
        <v>6350</v>
      </c>
      <c r="AS746" s="189">
        <f t="shared" si="118"/>
        <v>5334</v>
      </c>
      <c r="AT746" s="189">
        <f t="shared" si="119"/>
        <v>10668</v>
      </c>
      <c r="AU746" s="50">
        <f t="shared" si="120"/>
        <v>12700</v>
      </c>
    </row>
    <row r="747" spans="36:47">
      <c r="AJ747" s="50">
        <v>2</v>
      </c>
      <c r="AK747" s="50">
        <v>0</v>
      </c>
      <c r="AL747" s="50">
        <v>1</v>
      </c>
      <c r="AM747" s="15">
        <f>Tabela21[[#This Row],[Att subs]]+Tabela21[[#This Row],[Crit D subs]]</f>
        <v>1.4</v>
      </c>
      <c r="AN747" s="15">
        <v>0.8</v>
      </c>
      <c r="AO747" s="15">
        <v>0.6</v>
      </c>
      <c r="AP747" s="15">
        <v>0.7</v>
      </c>
      <c r="AQ747" s="189">
        <f t="shared" si="121"/>
        <v>6069</v>
      </c>
      <c r="AR747" s="189">
        <f t="shared" si="122"/>
        <v>6350</v>
      </c>
      <c r="AS747" s="189">
        <f t="shared" si="118"/>
        <v>5334</v>
      </c>
      <c r="AT747" s="189">
        <f t="shared" si="119"/>
        <v>10668</v>
      </c>
      <c r="AU747" s="50">
        <f t="shared" si="120"/>
        <v>12700</v>
      </c>
    </row>
    <row r="748" spans="36:47">
      <c r="AJ748" s="50">
        <v>2</v>
      </c>
      <c r="AK748" s="50">
        <v>0</v>
      </c>
      <c r="AL748" s="50">
        <v>1</v>
      </c>
      <c r="AM748" s="15">
        <f>Tabela21[[#This Row],[Att subs]]+Tabela21[[#This Row],[Crit D subs]]</f>
        <v>1.4</v>
      </c>
      <c r="AN748" s="15">
        <v>0.8</v>
      </c>
      <c r="AO748" s="15">
        <v>0.6</v>
      </c>
      <c r="AP748" s="15">
        <v>0.8</v>
      </c>
      <c r="AQ748" s="189">
        <f t="shared" si="121"/>
        <v>6069</v>
      </c>
      <c r="AR748" s="189">
        <f t="shared" si="122"/>
        <v>6350</v>
      </c>
      <c r="AS748" s="189">
        <f t="shared" si="118"/>
        <v>5334</v>
      </c>
      <c r="AT748" s="189">
        <f t="shared" si="119"/>
        <v>10668</v>
      </c>
      <c r="AU748" s="50">
        <f t="shared" si="120"/>
        <v>12700</v>
      </c>
    </row>
    <row r="749" spans="36:47">
      <c r="AJ749" s="50">
        <v>2</v>
      </c>
      <c r="AK749" s="50">
        <v>0</v>
      </c>
      <c r="AL749" s="50">
        <v>1</v>
      </c>
      <c r="AM749" s="15">
        <f>Tabela21[[#This Row],[Att subs]]+Tabela21[[#This Row],[Crit D subs]]</f>
        <v>1.4</v>
      </c>
      <c r="AN749" s="15">
        <v>0.8</v>
      </c>
      <c r="AO749" s="15">
        <v>0.6</v>
      </c>
      <c r="AP749" s="15">
        <v>0.9</v>
      </c>
      <c r="AQ749" s="189">
        <f t="shared" si="121"/>
        <v>6069</v>
      </c>
      <c r="AR749" s="189">
        <f t="shared" si="122"/>
        <v>6350</v>
      </c>
      <c r="AS749" s="189">
        <f t="shared" si="118"/>
        <v>5334</v>
      </c>
      <c r="AT749" s="189">
        <f t="shared" si="119"/>
        <v>10668</v>
      </c>
      <c r="AU749" s="50">
        <f t="shared" si="120"/>
        <v>12700</v>
      </c>
    </row>
    <row r="750" spans="36:47">
      <c r="AJ750" s="50">
        <v>2</v>
      </c>
      <c r="AK750" s="50">
        <v>0</v>
      </c>
      <c r="AL750" s="50">
        <v>1</v>
      </c>
      <c r="AM750" s="15">
        <f>Tabela21[[#This Row],[Att subs]]+Tabela21[[#This Row],[Crit D subs]]</f>
        <v>1.4</v>
      </c>
      <c r="AN750" s="15">
        <v>0.8</v>
      </c>
      <c r="AO750" s="15">
        <v>0.6</v>
      </c>
      <c r="AP750" s="15">
        <v>1</v>
      </c>
      <c r="AQ750" s="189">
        <f t="shared" si="121"/>
        <v>6069</v>
      </c>
      <c r="AR750" s="189">
        <f t="shared" si="122"/>
        <v>6350</v>
      </c>
      <c r="AS750" s="189">
        <f t="shared" si="118"/>
        <v>5334</v>
      </c>
      <c r="AT750" s="189">
        <f t="shared" si="119"/>
        <v>10668</v>
      </c>
      <c r="AU750" s="50">
        <f t="shared" si="120"/>
        <v>12700</v>
      </c>
    </row>
    <row r="751" spans="36:47">
      <c r="AJ751" s="50">
        <v>3</v>
      </c>
      <c r="AK751" s="50">
        <v>0</v>
      </c>
      <c r="AL751" s="50">
        <v>0</v>
      </c>
      <c r="AM751" s="15">
        <f>Tabela21[[#This Row],[Att subs]]+Tabela21[[#This Row],[Crit D subs]]</f>
        <v>1.4</v>
      </c>
      <c r="AN751" s="15">
        <v>0.8</v>
      </c>
      <c r="AO751" s="15">
        <v>0.6</v>
      </c>
      <c r="AP751" s="15">
        <v>0</v>
      </c>
      <c r="AQ751" s="189">
        <f t="shared" si="121"/>
        <v>4228.2200000000012</v>
      </c>
      <c r="AR751" s="189">
        <f t="shared" si="122"/>
        <v>4088.55</v>
      </c>
      <c r="AS751" s="189">
        <f t="shared" si="118"/>
        <v>4542.51</v>
      </c>
      <c r="AT751" s="189">
        <f t="shared" si="119"/>
        <v>7659.1200000000017</v>
      </c>
      <c r="AU751" s="50">
        <f t="shared" si="120"/>
        <v>6052.8</v>
      </c>
    </row>
    <row r="752" spans="36:47">
      <c r="AJ752" s="50">
        <v>3</v>
      </c>
      <c r="AK752" s="50">
        <v>0</v>
      </c>
      <c r="AL752" s="50">
        <v>0</v>
      </c>
      <c r="AM752" s="15">
        <f>Tabela21[[#This Row],[Att subs]]+Tabela21[[#This Row],[Crit D subs]]</f>
        <v>1.4</v>
      </c>
      <c r="AN752" s="15">
        <v>0.8</v>
      </c>
      <c r="AO752" s="15">
        <v>0.6</v>
      </c>
      <c r="AP752" s="15">
        <v>0.1</v>
      </c>
      <c r="AQ752" s="189">
        <f t="shared" si="121"/>
        <v>4586.8200000000006</v>
      </c>
      <c r="AR752" s="189">
        <f t="shared" si="122"/>
        <v>4525.05</v>
      </c>
      <c r="AS752" s="189">
        <f t="shared" si="118"/>
        <v>4862.6099999999997</v>
      </c>
      <c r="AT752" s="189">
        <f t="shared" si="119"/>
        <v>8590.32</v>
      </c>
      <c r="AU752" s="50">
        <f t="shared" si="120"/>
        <v>7216.8</v>
      </c>
    </row>
    <row r="753" spans="36:47">
      <c r="AJ753" s="50">
        <v>3</v>
      </c>
      <c r="AK753" s="50">
        <v>0</v>
      </c>
      <c r="AL753" s="50">
        <v>0</v>
      </c>
      <c r="AM753" s="15">
        <f>Tabela21[[#This Row],[Att subs]]+Tabela21[[#This Row],[Crit D subs]]</f>
        <v>1.4</v>
      </c>
      <c r="AN753" s="15">
        <v>0.8</v>
      </c>
      <c r="AO753" s="15">
        <v>0.6</v>
      </c>
      <c r="AP753" s="15">
        <v>0.2</v>
      </c>
      <c r="AQ753" s="189">
        <f t="shared" si="121"/>
        <v>4945.42</v>
      </c>
      <c r="AR753" s="189">
        <f t="shared" si="122"/>
        <v>4961.5499999999993</v>
      </c>
      <c r="AS753" s="189">
        <f t="shared" si="118"/>
        <v>5182.7099999999991</v>
      </c>
      <c r="AT753" s="189">
        <f t="shared" si="119"/>
        <v>9521.5199999999986</v>
      </c>
      <c r="AU753" s="50">
        <f t="shared" si="120"/>
        <v>8380.7999999999993</v>
      </c>
    </row>
    <row r="754" spans="36:47">
      <c r="AJ754" s="50">
        <v>3</v>
      </c>
      <c r="AK754" s="50">
        <v>0</v>
      </c>
      <c r="AL754" s="50">
        <v>0</v>
      </c>
      <c r="AM754" s="15">
        <f>Tabela21[[#This Row],[Att subs]]+Tabela21[[#This Row],[Crit D subs]]</f>
        <v>1.4</v>
      </c>
      <c r="AN754" s="15">
        <v>0.8</v>
      </c>
      <c r="AO754" s="15">
        <v>0.6</v>
      </c>
      <c r="AP754" s="15">
        <v>0.3</v>
      </c>
      <c r="AQ754" s="189">
        <f t="shared" si="121"/>
        <v>5304.02</v>
      </c>
      <c r="AR754" s="189">
        <f t="shared" si="122"/>
        <v>5398.05</v>
      </c>
      <c r="AS754" s="189">
        <f t="shared" si="118"/>
        <v>5502.81</v>
      </c>
      <c r="AT754" s="189">
        <f t="shared" si="119"/>
        <v>10452.719999999999</v>
      </c>
      <c r="AU754" s="50">
        <f t="shared" si="120"/>
        <v>9544.7999999999993</v>
      </c>
    </row>
    <row r="755" spans="36:47">
      <c r="AJ755" s="50">
        <v>3</v>
      </c>
      <c r="AK755" s="50">
        <v>0</v>
      </c>
      <c r="AL755" s="50">
        <v>0</v>
      </c>
      <c r="AM755" s="15">
        <f>Tabela21[[#This Row],[Att subs]]+Tabela21[[#This Row],[Crit D subs]]</f>
        <v>1.4</v>
      </c>
      <c r="AN755" s="15">
        <v>0.8</v>
      </c>
      <c r="AO755" s="15">
        <v>0.6</v>
      </c>
      <c r="AP755" s="15">
        <v>0.4</v>
      </c>
      <c r="AQ755" s="189">
        <f t="shared" si="121"/>
        <v>5662.6200000000008</v>
      </c>
      <c r="AR755" s="189">
        <f t="shared" si="122"/>
        <v>5834.5499999999993</v>
      </c>
      <c r="AS755" s="189">
        <f t="shared" si="118"/>
        <v>5822.9100000000008</v>
      </c>
      <c r="AT755" s="189">
        <f t="shared" si="119"/>
        <v>11383.920000000002</v>
      </c>
      <c r="AU755" s="50">
        <f t="shared" si="120"/>
        <v>10708.800000000001</v>
      </c>
    </row>
    <row r="756" spans="36:47">
      <c r="AJ756" s="50">
        <v>3</v>
      </c>
      <c r="AK756" s="50">
        <v>0</v>
      </c>
      <c r="AL756" s="50">
        <v>0</v>
      </c>
      <c r="AM756" s="15">
        <f>Tabela21[[#This Row],[Att subs]]+Tabela21[[#This Row],[Crit D subs]]</f>
        <v>1.4</v>
      </c>
      <c r="AN756" s="15">
        <v>0.8</v>
      </c>
      <c r="AO756" s="15">
        <v>0.6</v>
      </c>
      <c r="AP756" s="15">
        <v>0.5</v>
      </c>
      <c r="AQ756" s="189">
        <f t="shared" si="121"/>
        <v>6021.2200000000012</v>
      </c>
      <c r="AR756" s="189">
        <f t="shared" si="122"/>
        <v>6271.0500000000011</v>
      </c>
      <c r="AS756" s="189">
        <f t="shared" si="118"/>
        <v>6111</v>
      </c>
      <c r="AT756" s="189">
        <f t="shared" si="119"/>
        <v>12222</v>
      </c>
      <c r="AU756" s="50">
        <f t="shared" si="120"/>
        <v>11872.800000000001</v>
      </c>
    </row>
    <row r="757" spans="36:47">
      <c r="AJ757" s="50">
        <v>3</v>
      </c>
      <c r="AK757" s="50">
        <v>0</v>
      </c>
      <c r="AL757" s="50">
        <v>0</v>
      </c>
      <c r="AM757" s="15">
        <f>Tabela21[[#This Row],[Att subs]]+Tabela21[[#This Row],[Crit D subs]]</f>
        <v>1.4</v>
      </c>
      <c r="AN757" s="15">
        <v>0.8</v>
      </c>
      <c r="AO757" s="15">
        <v>0.6</v>
      </c>
      <c r="AP757" s="15">
        <v>0.6</v>
      </c>
      <c r="AQ757" s="189">
        <f t="shared" si="121"/>
        <v>6379.8200000000006</v>
      </c>
      <c r="AR757" s="189">
        <f t="shared" si="122"/>
        <v>6707.5499999999993</v>
      </c>
      <c r="AS757" s="189">
        <f t="shared" si="118"/>
        <v>6111</v>
      </c>
      <c r="AT757" s="189">
        <f t="shared" si="119"/>
        <v>12222</v>
      </c>
      <c r="AU757" s="50">
        <f t="shared" si="120"/>
        <v>13036.8</v>
      </c>
    </row>
    <row r="758" spans="36:47">
      <c r="AJ758" s="50">
        <v>3</v>
      </c>
      <c r="AK758" s="50">
        <v>0</v>
      </c>
      <c r="AL758" s="50">
        <v>0</v>
      </c>
      <c r="AM758" s="15">
        <f>Tabela21[[#This Row],[Att subs]]+Tabela21[[#This Row],[Crit D subs]]</f>
        <v>1.4</v>
      </c>
      <c r="AN758" s="15">
        <v>0.8</v>
      </c>
      <c r="AO758" s="15">
        <v>0.6</v>
      </c>
      <c r="AP758" s="15">
        <v>0.7</v>
      </c>
      <c r="AQ758" s="189">
        <f t="shared" si="121"/>
        <v>6738.4200000000019</v>
      </c>
      <c r="AR758" s="189">
        <f t="shared" si="122"/>
        <v>7144.05</v>
      </c>
      <c r="AS758" s="189">
        <f t="shared" si="118"/>
        <v>6111</v>
      </c>
      <c r="AT758" s="189">
        <f t="shared" si="119"/>
        <v>12222</v>
      </c>
      <c r="AU758" s="50">
        <f t="shared" si="120"/>
        <v>14200.8</v>
      </c>
    </row>
    <row r="759" spans="36:47">
      <c r="AJ759" s="50">
        <v>3</v>
      </c>
      <c r="AK759" s="50">
        <v>0</v>
      </c>
      <c r="AL759" s="50">
        <v>0</v>
      </c>
      <c r="AM759" s="15">
        <f>Tabela21[[#This Row],[Att subs]]+Tabela21[[#This Row],[Crit D subs]]</f>
        <v>1.4</v>
      </c>
      <c r="AN759" s="15">
        <v>0.8</v>
      </c>
      <c r="AO759" s="15">
        <v>0.6</v>
      </c>
      <c r="AP759" s="15">
        <v>0.8</v>
      </c>
      <c r="AQ759" s="189">
        <f t="shared" si="121"/>
        <v>6846.0000000000009</v>
      </c>
      <c r="AR759" s="189">
        <f t="shared" si="122"/>
        <v>7275</v>
      </c>
      <c r="AS759" s="189">
        <f t="shared" si="118"/>
        <v>6111</v>
      </c>
      <c r="AT759" s="189">
        <f t="shared" si="119"/>
        <v>12222</v>
      </c>
      <c r="AU759" s="50">
        <f t="shared" si="120"/>
        <v>14550</v>
      </c>
    </row>
    <row r="760" spans="36:47">
      <c r="AJ760" s="50">
        <v>3</v>
      </c>
      <c r="AK760" s="50">
        <v>0</v>
      </c>
      <c r="AL760" s="50">
        <v>0</v>
      </c>
      <c r="AM760" s="15">
        <f>Tabela21[[#This Row],[Att subs]]+Tabela21[[#This Row],[Crit D subs]]</f>
        <v>1.4</v>
      </c>
      <c r="AN760" s="15">
        <v>0.8</v>
      </c>
      <c r="AO760" s="15">
        <v>0.6</v>
      </c>
      <c r="AP760" s="15">
        <v>0.9</v>
      </c>
      <c r="AQ760" s="189">
        <f t="shared" si="121"/>
        <v>6846.0000000000009</v>
      </c>
      <c r="AR760" s="189">
        <f t="shared" si="122"/>
        <v>7275</v>
      </c>
      <c r="AS760" s="189">
        <f t="shared" si="118"/>
        <v>6111</v>
      </c>
      <c r="AT760" s="189">
        <f t="shared" si="119"/>
        <v>12222</v>
      </c>
      <c r="AU760" s="50">
        <f t="shared" si="120"/>
        <v>14550</v>
      </c>
    </row>
    <row r="761" spans="36:47">
      <c r="AJ761" s="50">
        <v>3</v>
      </c>
      <c r="AK761" s="50">
        <v>0</v>
      </c>
      <c r="AL761" s="50">
        <v>0</v>
      </c>
      <c r="AM761" s="15">
        <f>Tabela21[[#This Row],[Att subs]]+Tabela21[[#This Row],[Crit D subs]]</f>
        <v>1.4</v>
      </c>
      <c r="AN761" s="15">
        <v>0.8</v>
      </c>
      <c r="AO761" s="15">
        <v>0.6</v>
      </c>
      <c r="AP761" s="15">
        <v>1</v>
      </c>
      <c r="AQ761" s="189">
        <f t="shared" si="121"/>
        <v>6846.0000000000009</v>
      </c>
      <c r="AR761" s="189">
        <f t="shared" si="122"/>
        <v>7275</v>
      </c>
      <c r="AS761" s="189">
        <f t="shared" si="118"/>
        <v>6111</v>
      </c>
      <c r="AT761" s="189">
        <f t="shared" si="119"/>
        <v>12222</v>
      </c>
      <c r="AU761" s="50">
        <f t="shared" si="120"/>
        <v>14550</v>
      </c>
    </row>
    <row r="762" spans="36:47">
      <c r="AJ762" s="50">
        <v>2</v>
      </c>
      <c r="AK762" s="50">
        <v>1</v>
      </c>
      <c r="AL762" s="50">
        <v>0</v>
      </c>
      <c r="AM762" s="15">
        <f>Tabela21[[#This Row],[Att subs]]+Tabela21[[#This Row],[Crit D subs]]</f>
        <v>1.6</v>
      </c>
      <c r="AN762" s="15">
        <v>1</v>
      </c>
      <c r="AO762" s="15">
        <v>0.6</v>
      </c>
      <c r="AP762" s="15">
        <v>0</v>
      </c>
      <c r="AQ762" s="189">
        <f t="shared" si="121"/>
        <v>4399.8510000000015</v>
      </c>
      <c r="AR762" s="189">
        <f t="shared" si="122"/>
        <v>4197.4059999999999</v>
      </c>
      <c r="AS762" s="189">
        <f t="shared" si="118"/>
        <v>4933.9180000000006</v>
      </c>
      <c r="AT762" s="189">
        <f t="shared" si="119"/>
        <v>8525.2360000000008</v>
      </c>
      <c r="AU762" s="50">
        <f t="shared" si="120"/>
        <v>6394.6120000000001</v>
      </c>
    </row>
    <row r="763" spans="36:47">
      <c r="AJ763" s="50">
        <v>2</v>
      </c>
      <c r="AK763" s="50">
        <v>1</v>
      </c>
      <c r="AL763" s="50">
        <v>0</v>
      </c>
      <c r="AM763" s="15">
        <f>Tabela21[[#This Row],[Att subs]]+Tabela21[[#This Row],[Crit D subs]]</f>
        <v>1.6</v>
      </c>
      <c r="AN763" s="15">
        <v>1</v>
      </c>
      <c r="AO763" s="15">
        <v>0.6</v>
      </c>
      <c r="AP763" s="15">
        <v>0.1</v>
      </c>
      <c r="AQ763" s="189">
        <f t="shared" si="121"/>
        <v>4884.9810000000016</v>
      </c>
      <c r="AR763" s="189">
        <f t="shared" si="122"/>
        <v>4737.1859999999997</v>
      </c>
      <c r="AS763" s="189">
        <f t="shared" si="118"/>
        <v>5364.098</v>
      </c>
      <c r="AT763" s="189">
        <f t="shared" si="119"/>
        <v>9659.5960000000014</v>
      </c>
      <c r="AU763" s="50">
        <f t="shared" si="120"/>
        <v>7748.1719999999996</v>
      </c>
    </row>
    <row r="764" spans="36:47">
      <c r="AJ764" s="50">
        <v>2</v>
      </c>
      <c r="AK764" s="50">
        <v>1</v>
      </c>
      <c r="AL764" s="50">
        <v>0</v>
      </c>
      <c r="AM764" s="15">
        <f>Tabela21[[#This Row],[Att subs]]+Tabela21[[#This Row],[Crit D subs]]</f>
        <v>1.6</v>
      </c>
      <c r="AN764" s="15">
        <v>1</v>
      </c>
      <c r="AO764" s="15">
        <v>0.6</v>
      </c>
      <c r="AP764" s="15">
        <v>0.2</v>
      </c>
      <c r="AQ764" s="189">
        <f t="shared" si="121"/>
        <v>5370.1109999999999</v>
      </c>
      <c r="AR764" s="189">
        <f t="shared" si="122"/>
        <v>5276.9659999999994</v>
      </c>
      <c r="AS764" s="189">
        <f t="shared" si="118"/>
        <v>5794.2780000000002</v>
      </c>
      <c r="AT764" s="189">
        <f t="shared" si="119"/>
        <v>10793.956000000002</v>
      </c>
      <c r="AU764" s="50">
        <f t="shared" si="120"/>
        <v>9101.7319999999982</v>
      </c>
    </row>
    <row r="765" spans="36:47">
      <c r="AJ765" s="50">
        <v>2</v>
      </c>
      <c r="AK765" s="50">
        <v>1</v>
      </c>
      <c r="AL765" s="50">
        <v>0</v>
      </c>
      <c r="AM765" s="15">
        <f>Tabela21[[#This Row],[Att subs]]+Tabela21[[#This Row],[Crit D subs]]</f>
        <v>1.6</v>
      </c>
      <c r="AN765" s="15">
        <v>1</v>
      </c>
      <c r="AO765" s="15">
        <v>0.6</v>
      </c>
      <c r="AP765" s="15">
        <v>0.3</v>
      </c>
      <c r="AQ765" s="189">
        <f t="shared" si="121"/>
        <v>5855.2410000000018</v>
      </c>
      <c r="AR765" s="189">
        <f t="shared" si="122"/>
        <v>5816.7460000000001</v>
      </c>
      <c r="AS765" s="189">
        <f t="shared" si="118"/>
        <v>6224.4580000000005</v>
      </c>
      <c r="AT765" s="189">
        <f t="shared" si="119"/>
        <v>11928.316000000003</v>
      </c>
      <c r="AU765" s="50">
        <f t="shared" si="120"/>
        <v>10455.292000000001</v>
      </c>
    </row>
    <row r="766" spans="36:47">
      <c r="AJ766" s="50">
        <v>2</v>
      </c>
      <c r="AK766" s="50">
        <v>1</v>
      </c>
      <c r="AL766" s="50">
        <v>0</v>
      </c>
      <c r="AM766" s="15">
        <f>Tabela21[[#This Row],[Att subs]]+Tabela21[[#This Row],[Crit D subs]]</f>
        <v>1.6</v>
      </c>
      <c r="AN766" s="15">
        <v>1</v>
      </c>
      <c r="AO766" s="15">
        <v>0.6</v>
      </c>
      <c r="AP766" s="15">
        <v>0.4</v>
      </c>
      <c r="AQ766" s="189">
        <f t="shared" si="121"/>
        <v>6340.3710000000019</v>
      </c>
      <c r="AR766" s="189">
        <f t="shared" si="122"/>
        <v>6356.5259999999998</v>
      </c>
      <c r="AS766" s="189">
        <f t="shared" si="118"/>
        <v>6654.6379999999999</v>
      </c>
      <c r="AT766" s="189">
        <f t="shared" si="119"/>
        <v>13062.676000000001</v>
      </c>
      <c r="AU766" s="50">
        <f t="shared" si="120"/>
        <v>11808.852000000001</v>
      </c>
    </row>
    <row r="767" spans="36:47">
      <c r="AJ767" s="50">
        <v>2</v>
      </c>
      <c r="AK767" s="50">
        <v>1</v>
      </c>
      <c r="AL767" s="50">
        <v>0</v>
      </c>
      <c r="AM767" s="15">
        <f>Tabela21[[#This Row],[Att subs]]+Tabela21[[#This Row],[Crit D subs]]</f>
        <v>1.6</v>
      </c>
      <c r="AN767" s="15">
        <v>1</v>
      </c>
      <c r="AO767" s="15">
        <v>0.6</v>
      </c>
      <c r="AP767" s="15">
        <v>0.5</v>
      </c>
      <c r="AQ767" s="189">
        <f t="shared" si="121"/>
        <v>6825.501000000002</v>
      </c>
      <c r="AR767" s="189">
        <f t="shared" si="122"/>
        <v>6896.3060000000005</v>
      </c>
      <c r="AS767" s="189">
        <f t="shared" si="118"/>
        <v>7041.8000000000011</v>
      </c>
      <c r="AT767" s="189">
        <f t="shared" si="119"/>
        <v>14083.600000000002</v>
      </c>
      <c r="AU767" s="50">
        <f t="shared" si="120"/>
        <v>13162.412000000002</v>
      </c>
    </row>
    <row r="768" spans="36:47">
      <c r="AJ768" s="50">
        <v>2</v>
      </c>
      <c r="AK768" s="50">
        <v>1</v>
      </c>
      <c r="AL768" s="50">
        <v>0</v>
      </c>
      <c r="AM768" s="15">
        <f>Tabela21[[#This Row],[Att subs]]+Tabela21[[#This Row],[Crit D subs]]</f>
        <v>1.6</v>
      </c>
      <c r="AN768" s="15">
        <v>1</v>
      </c>
      <c r="AO768" s="15">
        <v>0.6</v>
      </c>
      <c r="AP768" s="15">
        <v>0.6</v>
      </c>
      <c r="AQ768" s="189">
        <f t="shared" si="121"/>
        <v>7310.6310000000021</v>
      </c>
      <c r="AR768" s="189">
        <f t="shared" si="122"/>
        <v>7436.0860000000002</v>
      </c>
      <c r="AS768" s="189">
        <f t="shared" si="118"/>
        <v>7041.8000000000011</v>
      </c>
      <c r="AT768" s="189">
        <f t="shared" si="119"/>
        <v>14083.600000000002</v>
      </c>
      <c r="AU768" s="50">
        <f t="shared" si="120"/>
        <v>14515.972000000002</v>
      </c>
    </row>
    <row r="769" spans="36:47">
      <c r="AJ769" s="50">
        <v>2</v>
      </c>
      <c r="AK769" s="50">
        <v>1</v>
      </c>
      <c r="AL769" s="50">
        <v>0</v>
      </c>
      <c r="AM769" s="15">
        <f>Tabela21[[#This Row],[Att subs]]+Tabela21[[#This Row],[Crit D subs]]</f>
        <v>1.6</v>
      </c>
      <c r="AN769" s="15">
        <v>1</v>
      </c>
      <c r="AO769" s="15">
        <v>0.6</v>
      </c>
      <c r="AP769" s="15">
        <v>0.7</v>
      </c>
      <c r="AQ769" s="189">
        <f t="shared" si="121"/>
        <v>7795.7610000000013</v>
      </c>
      <c r="AR769" s="189">
        <f t="shared" si="122"/>
        <v>7975.8659999999991</v>
      </c>
      <c r="AS769" s="189">
        <f t="shared" si="118"/>
        <v>7041.8000000000011</v>
      </c>
      <c r="AT769" s="189">
        <f t="shared" si="119"/>
        <v>14083.600000000002</v>
      </c>
      <c r="AU769" s="50">
        <f t="shared" si="120"/>
        <v>15869.532000000001</v>
      </c>
    </row>
    <row r="770" spans="36:47">
      <c r="AJ770" s="50">
        <v>2</v>
      </c>
      <c r="AK770" s="50">
        <v>1</v>
      </c>
      <c r="AL770" s="50">
        <v>0</v>
      </c>
      <c r="AM770" s="15">
        <f>Tabela21[[#This Row],[Att subs]]+Tabela21[[#This Row],[Crit D subs]]</f>
        <v>1.6</v>
      </c>
      <c r="AN770" s="15">
        <v>1</v>
      </c>
      <c r="AO770" s="15">
        <v>0.6</v>
      </c>
      <c r="AP770" s="15">
        <v>0.8</v>
      </c>
      <c r="AQ770" s="189">
        <f t="shared" si="121"/>
        <v>7941.300000000002</v>
      </c>
      <c r="AR770" s="189">
        <f t="shared" si="122"/>
        <v>8137.8</v>
      </c>
      <c r="AS770" s="189">
        <f t="shared" si="118"/>
        <v>7041.8000000000011</v>
      </c>
      <c r="AT770" s="189">
        <f t="shared" si="119"/>
        <v>14083.600000000002</v>
      </c>
      <c r="AU770" s="50">
        <f t="shared" si="120"/>
        <v>16275.6</v>
      </c>
    </row>
    <row r="771" spans="36:47">
      <c r="AJ771" s="50">
        <v>2</v>
      </c>
      <c r="AK771" s="50">
        <v>1</v>
      </c>
      <c r="AL771" s="50">
        <v>0</v>
      </c>
      <c r="AM771" s="15">
        <f>Tabela21[[#This Row],[Att subs]]+Tabela21[[#This Row],[Crit D subs]]</f>
        <v>1.6</v>
      </c>
      <c r="AN771" s="15">
        <v>1</v>
      </c>
      <c r="AO771" s="15">
        <v>0.6</v>
      </c>
      <c r="AP771" s="15">
        <v>0.9</v>
      </c>
      <c r="AQ771" s="189">
        <f t="shared" si="121"/>
        <v>7941.300000000002</v>
      </c>
      <c r="AR771" s="189">
        <f t="shared" si="122"/>
        <v>8137.8</v>
      </c>
      <c r="AS771" s="189">
        <f t="shared" ref="AS771:AS834" si="123">$AG$3*(1+$AJ771*$Y$2+$AN771)*(MAXA(1-$AI$3-$AL771*$AA$3-$AP771-0.36,0)+MINA($AI$3+$AL771*$AA$3+$AP771+0.36,1)*(1+$AH$3+$AO771+$AK771*$Z$4))</f>
        <v>7041.8000000000011</v>
      </c>
      <c r="AT771" s="189">
        <f t="shared" ref="AT771:AT834" si="124">$AG$3*(1+$AJ771*$Y$2+$AN771)*(MAXA(1-$AI$3-$AL771*$AA$3-$AP771-0.36,0)+2*MINA($AI$3+$AL771*$AA$3+$AP771+0.36,1)*(1+$AH$3+$AO771+$AK771*$Z$4))</f>
        <v>14083.600000000002</v>
      </c>
      <c r="AU771" s="50">
        <f t="shared" ref="AU771:AU834" si="125">$AG$3*(1+$AJ771*$Y$2+$AN771)*(MAXA(1-$AI$3-$AL771*$AA$3-$AP771-0.12,0)+2*MINA($AI$3+$AL771*$AA$3+$AP771+0.12,1)*(1+$AH$3+$AO771+$AK771*$Z$4+0.4))</f>
        <v>16275.6</v>
      </c>
    </row>
    <row r="772" spans="36:47">
      <c r="AJ772" s="50">
        <v>2</v>
      </c>
      <c r="AK772" s="50">
        <v>1</v>
      </c>
      <c r="AL772" s="50">
        <v>0</v>
      </c>
      <c r="AM772" s="15">
        <f>Tabela21[[#This Row],[Att subs]]+Tabela21[[#This Row],[Crit D subs]]</f>
        <v>1.6</v>
      </c>
      <c r="AN772" s="15">
        <v>1</v>
      </c>
      <c r="AO772" s="15">
        <v>0.6</v>
      </c>
      <c r="AP772" s="15">
        <v>1</v>
      </c>
      <c r="AQ772" s="189">
        <f t="shared" ref="AQ772:AQ835" si="126">$AG$3*(1+$AJ772*$Y$2+$AN772+0.35)*(MAXA(1-$AI$3-$AL772*$AA$3-$AP772-0.12,0)+MINA($AI$3+$AL772*$AA$3+$AP772+0.12,1)*(1+$AH$3+$AO772+$AK772*$Z$4))</f>
        <v>7941.300000000002</v>
      </c>
      <c r="AR772" s="189">
        <f t="shared" ref="AR772:AR835" si="127">$AG$3*(1+$AJ772*$Y$2+$AN772)*(MAXA(1-$AI$3-$AL772*$AA$3-$AP772-0.12,0)+MINA($AI$3+$AL772*$AA$3+$AP772+0.12,1)*(1+$AH$3+$AO772+$AK772*$Z$4+0.4))</f>
        <v>8137.8</v>
      </c>
      <c r="AS772" s="189">
        <f t="shared" si="123"/>
        <v>7041.8000000000011</v>
      </c>
      <c r="AT772" s="189">
        <f t="shared" si="124"/>
        <v>14083.600000000002</v>
      </c>
      <c r="AU772" s="50">
        <f t="shared" si="125"/>
        <v>16275.6</v>
      </c>
    </row>
    <row r="773" spans="36:47">
      <c r="AJ773" s="50">
        <v>2</v>
      </c>
      <c r="AK773" s="50">
        <v>0</v>
      </c>
      <c r="AL773" s="50">
        <v>1</v>
      </c>
      <c r="AM773" s="15">
        <f>Tabela21[[#This Row],[Att subs]]+Tabela21[[#This Row],[Crit D subs]]</f>
        <v>1.6</v>
      </c>
      <c r="AN773" s="15">
        <v>1</v>
      </c>
      <c r="AO773" s="15">
        <v>0.6</v>
      </c>
      <c r="AP773" s="15">
        <v>0</v>
      </c>
      <c r="AQ773" s="189">
        <f t="shared" si="126"/>
        <v>5197.380000000001</v>
      </c>
      <c r="AR773" s="189">
        <f t="shared" si="127"/>
        <v>5288.2000000000007</v>
      </c>
      <c r="AS773" s="189">
        <f t="shared" si="123"/>
        <v>5332.0400000000009</v>
      </c>
      <c r="AT773" s="189">
        <f t="shared" si="124"/>
        <v>10280.480000000001</v>
      </c>
      <c r="AU773" s="50">
        <f t="shared" si="125"/>
        <v>9535.2000000000007</v>
      </c>
    </row>
    <row r="774" spans="36:47">
      <c r="AJ774" s="50">
        <v>2</v>
      </c>
      <c r="AK774" s="50">
        <v>0</v>
      </c>
      <c r="AL774" s="50">
        <v>1</v>
      </c>
      <c r="AM774" s="15">
        <f>Tabela21[[#This Row],[Att subs]]+Tabela21[[#This Row],[Crit D subs]]</f>
        <v>1.6</v>
      </c>
      <c r="AN774" s="15">
        <v>1</v>
      </c>
      <c r="AO774" s="15">
        <v>0.6</v>
      </c>
      <c r="AP774" s="15">
        <v>0.1</v>
      </c>
      <c r="AQ774" s="189">
        <f t="shared" si="126"/>
        <v>5537.2800000000007</v>
      </c>
      <c r="AR774" s="189">
        <f t="shared" si="127"/>
        <v>5699.2</v>
      </c>
      <c r="AS774" s="189">
        <f t="shared" si="123"/>
        <v>5633.4400000000005</v>
      </c>
      <c r="AT774" s="189">
        <f t="shared" si="124"/>
        <v>11157.28</v>
      </c>
      <c r="AU774" s="50">
        <f t="shared" si="125"/>
        <v>10631.199999999999</v>
      </c>
    </row>
    <row r="775" spans="36:47">
      <c r="AJ775" s="50">
        <v>2</v>
      </c>
      <c r="AK775" s="50">
        <v>0</v>
      </c>
      <c r="AL775" s="50">
        <v>1</v>
      </c>
      <c r="AM775" s="15">
        <f>Tabela21[[#This Row],[Att subs]]+Tabela21[[#This Row],[Crit D subs]]</f>
        <v>1.6</v>
      </c>
      <c r="AN775" s="15">
        <v>1</v>
      </c>
      <c r="AO775" s="15">
        <v>0.6</v>
      </c>
      <c r="AP775" s="15">
        <v>0.2</v>
      </c>
      <c r="AQ775" s="189">
        <f t="shared" si="126"/>
        <v>5877.18</v>
      </c>
      <c r="AR775" s="189">
        <f t="shared" si="127"/>
        <v>6110.2</v>
      </c>
      <c r="AS775" s="189">
        <f t="shared" si="123"/>
        <v>5754</v>
      </c>
      <c r="AT775" s="189">
        <f t="shared" si="124"/>
        <v>11508</v>
      </c>
      <c r="AU775" s="50">
        <f t="shared" si="125"/>
        <v>11727.199999999999</v>
      </c>
    </row>
    <row r="776" spans="36:47">
      <c r="AJ776" s="50">
        <v>2</v>
      </c>
      <c r="AK776" s="50">
        <v>0</v>
      </c>
      <c r="AL776" s="50">
        <v>1</v>
      </c>
      <c r="AM776" s="15">
        <f>Tabela21[[#This Row],[Att subs]]+Tabela21[[#This Row],[Crit D subs]]</f>
        <v>1.6</v>
      </c>
      <c r="AN776" s="15">
        <v>1</v>
      </c>
      <c r="AO776" s="15">
        <v>0.6</v>
      </c>
      <c r="AP776" s="15">
        <v>0.3</v>
      </c>
      <c r="AQ776" s="189">
        <f t="shared" si="126"/>
        <v>6217.0800000000008</v>
      </c>
      <c r="AR776" s="189">
        <f t="shared" si="127"/>
        <v>6521.2000000000007</v>
      </c>
      <c r="AS776" s="189">
        <f t="shared" si="123"/>
        <v>5754</v>
      </c>
      <c r="AT776" s="189">
        <f t="shared" si="124"/>
        <v>11508</v>
      </c>
      <c r="AU776" s="50">
        <f t="shared" si="125"/>
        <v>12823.200000000003</v>
      </c>
    </row>
    <row r="777" spans="36:47">
      <c r="AJ777" s="50">
        <v>2</v>
      </c>
      <c r="AK777" s="50">
        <v>0</v>
      </c>
      <c r="AL777" s="50">
        <v>1</v>
      </c>
      <c r="AM777" s="15">
        <f>Tabela21[[#This Row],[Att subs]]+Tabela21[[#This Row],[Crit D subs]]</f>
        <v>1.6</v>
      </c>
      <c r="AN777" s="15">
        <v>1</v>
      </c>
      <c r="AO777" s="15">
        <v>0.6</v>
      </c>
      <c r="AP777" s="15">
        <v>0.4</v>
      </c>
      <c r="AQ777" s="189">
        <f t="shared" si="126"/>
        <v>6489.0000000000009</v>
      </c>
      <c r="AR777" s="189">
        <f t="shared" si="127"/>
        <v>6850</v>
      </c>
      <c r="AS777" s="189">
        <f t="shared" si="123"/>
        <v>5754</v>
      </c>
      <c r="AT777" s="189">
        <f t="shared" si="124"/>
        <v>11508</v>
      </c>
      <c r="AU777" s="50">
        <f t="shared" si="125"/>
        <v>13700</v>
      </c>
    </row>
    <row r="778" spans="36:47">
      <c r="AJ778" s="50">
        <v>2</v>
      </c>
      <c r="AK778" s="50">
        <v>0</v>
      </c>
      <c r="AL778" s="50">
        <v>1</v>
      </c>
      <c r="AM778" s="15">
        <f>Tabela21[[#This Row],[Att subs]]+Tabela21[[#This Row],[Crit D subs]]</f>
        <v>1.6</v>
      </c>
      <c r="AN778" s="15">
        <v>1</v>
      </c>
      <c r="AO778" s="15">
        <v>0.6</v>
      </c>
      <c r="AP778" s="15">
        <v>0.5</v>
      </c>
      <c r="AQ778" s="189">
        <f t="shared" si="126"/>
        <v>6489.0000000000009</v>
      </c>
      <c r="AR778" s="189">
        <f t="shared" si="127"/>
        <v>6850</v>
      </c>
      <c r="AS778" s="189">
        <f t="shared" si="123"/>
        <v>5754</v>
      </c>
      <c r="AT778" s="189">
        <f t="shared" si="124"/>
        <v>11508</v>
      </c>
      <c r="AU778" s="50">
        <f t="shared" si="125"/>
        <v>13700</v>
      </c>
    </row>
    <row r="779" spans="36:47">
      <c r="AJ779" s="50">
        <v>2</v>
      </c>
      <c r="AK779" s="50">
        <v>0</v>
      </c>
      <c r="AL779" s="50">
        <v>1</v>
      </c>
      <c r="AM779" s="15">
        <f>Tabela21[[#This Row],[Att subs]]+Tabela21[[#This Row],[Crit D subs]]</f>
        <v>1.6</v>
      </c>
      <c r="AN779" s="15">
        <v>1</v>
      </c>
      <c r="AO779" s="15">
        <v>0.6</v>
      </c>
      <c r="AP779" s="15">
        <v>0.6</v>
      </c>
      <c r="AQ779" s="189">
        <f t="shared" si="126"/>
        <v>6489.0000000000009</v>
      </c>
      <c r="AR779" s="189">
        <f t="shared" si="127"/>
        <v>6850</v>
      </c>
      <c r="AS779" s="189">
        <f t="shared" si="123"/>
        <v>5754</v>
      </c>
      <c r="AT779" s="189">
        <f t="shared" si="124"/>
        <v>11508</v>
      </c>
      <c r="AU779" s="50">
        <f t="shared" si="125"/>
        <v>13700</v>
      </c>
    </row>
    <row r="780" spans="36:47">
      <c r="AJ780" s="50">
        <v>2</v>
      </c>
      <c r="AK780" s="50">
        <v>0</v>
      </c>
      <c r="AL780" s="50">
        <v>1</v>
      </c>
      <c r="AM780" s="15">
        <f>Tabela21[[#This Row],[Att subs]]+Tabela21[[#This Row],[Crit D subs]]</f>
        <v>1.6</v>
      </c>
      <c r="AN780" s="15">
        <v>1</v>
      </c>
      <c r="AO780" s="15">
        <v>0.6</v>
      </c>
      <c r="AP780" s="15">
        <v>0.7</v>
      </c>
      <c r="AQ780" s="189">
        <f t="shared" si="126"/>
        <v>6489.0000000000009</v>
      </c>
      <c r="AR780" s="189">
        <f t="shared" si="127"/>
        <v>6850</v>
      </c>
      <c r="AS780" s="189">
        <f t="shared" si="123"/>
        <v>5754</v>
      </c>
      <c r="AT780" s="189">
        <f t="shared" si="124"/>
        <v>11508</v>
      </c>
      <c r="AU780" s="50">
        <f t="shared" si="125"/>
        <v>13700</v>
      </c>
    </row>
    <row r="781" spans="36:47">
      <c r="AJ781" s="50">
        <v>2</v>
      </c>
      <c r="AK781" s="50">
        <v>0</v>
      </c>
      <c r="AL781" s="50">
        <v>1</v>
      </c>
      <c r="AM781" s="15">
        <f>Tabela21[[#This Row],[Att subs]]+Tabela21[[#This Row],[Crit D subs]]</f>
        <v>1.6</v>
      </c>
      <c r="AN781" s="15">
        <v>1</v>
      </c>
      <c r="AO781" s="15">
        <v>0.6</v>
      </c>
      <c r="AP781" s="15">
        <v>0.8</v>
      </c>
      <c r="AQ781" s="189">
        <f t="shared" si="126"/>
        <v>6489.0000000000009</v>
      </c>
      <c r="AR781" s="189">
        <f t="shared" si="127"/>
        <v>6850</v>
      </c>
      <c r="AS781" s="189">
        <f t="shared" si="123"/>
        <v>5754</v>
      </c>
      <c r="AT781" s="189">
        <f t="shared" si="124"/>
        <v>11508</v>
      </c>
      <c r="AU781" s="50">
        <f t="shared" si="125"/>
        <v>13700</v>
      </c>
    </row>
    <row r="782" spans="36:47">
      <c r="AJ782" s="50">
        <v>2</v>
      </c>
      <c r="AK782" s="50">
        <v>0</v>
      </c>
      <c r="AL782" s="50">
        <v>1</v>
      </c>
      <c r="AM782" s="15">
        <f>Tabela21[[#This Row],[Att subs]]+Tabela21[[#This Row],[Crit D subs]]</f>
        <v>1.6</v>
      </c>
      <c r="AN782" s="15">
        <v>1</v>
      </c>
      <c r="AO782" s="15">
        <v>0.6</v>
      </c>
      <c r="AP782" s="15">
        <v>0.9</v>
      </c>
      <c r="AQ782" s="189">
        <f t="shared" si="126"/>
        <v>6489.0000000000009</v>
      </c>
      <c r="AR782" s="189">
        <f t="shared" si="127"/>
        <v>6850</v>
      </c>
      <c r="AS782" s="189">
        <f t="shared" si="123"/>
        <v>5754</v>
      </c>
      <c r="AT782" s="189">
        <f t="shared" si="124"/>
        <v>11508</v>
      </c>
      <c r="AU782" s="50">
        <f t="shared" si="125"/>
        <v>13700</v>
      </c>
    </row>
    <row r="783" spans="36:47">
      <c r="AJ783" s="50">
        <v>2</v>
      </c>
      <c r="AK783" s="50">
        <v>0</v>
      </c>
      <c r="AL783" s="50">
        <v>1</v>
      </c>
      <c r="AM783" s="15">
        <f>Tabela21[[#This Row],[Att subs]]+Tabela21[[#This Row],[Crit D subs]]</f>
        <v>1.6</v>
      </c>
      <c r="AN783" s="15">
        <v>1</v>
      </c>
      <c r="AO783" s="15">
        <v>0.6</v>
      </c>
      <c r="AP783" s="15">
        <v>1</v>
      </c>
      <c r="AQ783" s="189">
        <f t="shared" si="126"/>
        <v>6489.0000000000009</v>
      </c>
      <c r="AR783" s="189">
        <f t="shared" si="127"/>
        <v>6850</v>
      </c>
      <c r="AS783" s="189">
        <f t="shared" si="123"/>
        <v>5754</v>
      </c>
      <c r="AT783" s="189">
        <f t="shared" si="124"/>
        <v>11508</v>
      </c>
      <c r="AU783" s="50">
        <f t="shared" si="125"/>
        <v>13700</v>
      </c>
    </row>
    <row r="784" spans="36:47">
      <c r="AJ784" s="50">
        <v>3</v>
      </c>
      <c r="AK784" s="50">
        <v>0</v>
      </c>
      <c r="AL784" s="50">
        <v>0</v>
      </c>
      <c r="AM784" s="15">
        <f>Tabela21[[#This Row],[Att subs]]+Tabela21[[#This Row],[Crit D subs]]</f>
        <v>1.6</v>
      </c>
      <c r="AN784" s="15">
        <v>1</v>
      </c>
      <c r="AO784" s="15">
        <v>0.6</v>
      </c>
      <c r="AP784" s="15">
        <v>0</v>
      </c>
      <c r="AQ784" s="189">
        <f t="shared" si="126"/>
        <v>4487.6200000000008</v>
      </c>
      <c r="AR784" s="189">
        <f t="shared" si="127"/>
        <v>4369.55</v>
      </c>
      <c r="AS784" s="189">
        <f t="shared" si="123"/>
        <v>4854.7100000000009</v>
      </c>
      <c r="AT784" s="189">
        <f t="shared" si="124"/>
        <v>8185.5200000000013</v>
      </c>
      <c r="AU784" s="50">
        <f t="shared" si="125"/>
        <v>6468.8</v>
      </c>
    </row>
    <row r="785" spans="36:47">
      <c r="AJ785" s="50">
        <v>3</v>
      </c>
      <c r="AK785" s="50">
        <v>0</v>
      </c>
      <c r="AL785" s="50">
        <v>0</v>
      </c>
      <c r="AM785" s="15">
        <f>Tabela21[[#This Row],[Att subs]]+Tabela21[[#This Row],[Crit D subs]]</f>
        <v>1.6</v>
      </c>
      <c r="AN785" s="15">
        <v>1</v>
      </c>
      <c r="AO785" s="15">
        <v>0.6</v>
      </c>
      <c r="AP785" s="15">
        <v>0.1</v>
      </c>
      <c r="AQ785" s="189">
        <f t="shared" si="126"/>
        <v>4868.22</v>
      </c>
      <c r="AR785" s="189">
        <f t="shared" si="127"/>
        <v>4836.05</v>
      </c>
      <c r="AS785" s="189">
        <f t="shared" si="123"/>
        <v>5196.8099999999995</v>
      </c>
      <c r="AT785" s="189">
        <f t="shared" si="124"/>
        <v>9180.7199999999993</v>
      </c>
      <c r="AU785" s="50">
        <f t="shared" si="125"/>
        <v>7712.8</v>
      </c>
    </row>
    <row r="786" spans="36:47">
      <c r="AJ786" s="50">
        <v>3</v>
      </c>
      <c r="AK786" s="50">
        <v>0</v>
      </c>
      <c r="AL786" s="50">
        <v>0</v>
      </c>
      <c r="AM786" s="15">
        <f>Tabela21[[#This Row],[Att subs]]+Tabela21[[#This Row],[Crit D subs]]</f>
        <v>1.6</v>
      </c>
      <c r="AN786" s="15">
        <v>1</v>
      </c>
      <c r="AO786" s="15">
        <v>0.6</v>
      </c>
      <c r="AP786" s="15">
        <v>0.2</v>
      </c>
      <c r="AQ786" s="189">
        <f t="shared" si="126"/>
        <v>5248.82</v>
      </c>
      <c r="AR786" s="189">
        <f t="shared" si="127"/>
        <v>5302.5499999999993</v>
      </c>
      <c r="AS786" s="189">
        <f t="shared" si="123"/>
        <v>5538.9099999999989</v>
      </c>
      <c r="AT786" s="189">
        <f t="shared" si="124"/>
        <v>10175.92</v>
      </c>
      <c r="AU786" s="50">
        <f t="shared" si="125"/>
        <v>8956.7999999999975</v>
      </c>
    </row>
    <row r="787" spans="36:47">
      <c r="AJ787" s="50">
        <v>3</v>
      </c>
      <c r="AK787" s="50">
        <v>0</v>
      </c>
      <c r="AL787" s="50">
        <v>0</v>
      </c>
      <c r="AM787" s="15">
        <f>Tabela21[[#This Row],[Att subs]]+Tabela21[[#This Row],[Crit D subs]]</f>
        <v>1.6</v>
      </c>
      <c r="AN787" s="15">
        <v>1</v>
      </c>
      <c r="AO787" s="15">
        <v>0.6</v>
      </c>
      <c r="AP787" s="15">
        <v>0.3</v>
      </c>
      <c r="AQ787" s="189">
        <f t="shared" si="126"/>
        <v>5629.4199999999992</v>
      </c>
      <c r="AR787" s="189">
        <f t="shared" si="127"/>
        <v>5769.05</v>
      </c>
      <c r="AS787" s="189">
        <f t="shared" si="123"/>
        <v>5881.01</v>
      </c>
      <c r="AT787" s="189">
        <f t="shared" si="124"/>
        <v>11171.119999999999</v>
      </c>
      <c r="AU787" s="50">
        <f t="shared" si="125"/>
        <v>10200.799999999999</v>
      </c>
    </row>
    <row r="788" spans="36:47">
      <c r="AJ788" s="50">
        <v>3</v>
      </c>
      <c r="AK788" s="50">
        <v>0</v>
      </c>
      <c r="AL788" s="50">
        <v>0</v>
      </c>
      <c r="AM788" s="15">
        <f>Tabela21[[#This Row],[Att subs]]+Tabela21[[#This Row],[Crit D subs]]</f>
        <v>1.6</v>
      </c>
      <c r="AN788" s="15">
        <v>1</v>
      </c>
      <c r="AO788" s="15">
        <v>0.6</v>
      </c>
      <c r="AP788" s="15">
        <v>0.4</v>
      </c>
      <c r="AQ788" s="189">
        <f t="shared" si="126"/>
        <v>6010.02</v>
      </c>
      <c r="AR788" s="189">
        <f t="shared" si="127"/>
        <v>6235.5499999999993</v>
      </c>
      <c r="AS788" s="189">
        <f t="shared" si="123"/>
        <v>6223.1100000000015</v>
      </c>
      <c r="AT788" s="189">
        <f t="shared" si="124"/>
        <v>12166.320000000002</v>
      </c>
      <c r="AU788" s="50">
        <f t="shared" si="125"/>
        <v>11444.800000000001</v>
      </c>
    </row>
    <row r="789" spans="36:47">
      <c r="AJ789" s="50">
        <v>3</v>
      </c>
      <c r="AK789" s="50">
        <v>0</v>
      </c>
      <c r="AL789" s="50">
        <v>0</v>
      </c>
      <c r="AM789" s="15">
        <f>Tabela21[[#This Row],[Att subs]]+Tabela21[[#This Row],[Crit D subs]]</f>
        <v>1.6</v>
      </c>
      <c r="AN789" s="15">
        <v>1</v>
      </c>
      <c r="AO789" s="15">
        <v>0.6</v>
      </c>
      <c r="AP789" s="15">
        <v>0.5</v>
      </c>
      <c r="AQ789" s="189">
        <f t="shared" si="126"/>
        <v>6390.6200000000008</v>
      </c>
      <c r="AR789" s="189">
        <f t="shared" si="127"/>
        <v>6702.0500000000011</v>
      </c>
      <c r="AS789" s="189">
        <f t="shared" si="123"/>
        <v>6531</v>
      </c>
      <c r="AT789" s="189">
        <f t="shared" si="124"/>
        <v>13062</v>
      </c>
      <c r="AU789" s="50">
        <f t="shared" si="125"/>
        <v>12688.800000000001</v>
      </c>
    </row>
    <row r="790" spans="36:47">
      <c r="AJ790" s="50">
        <v>3</v>
      </c>
      <c r="AK790" s="50">
        <v>0</v>
      </c>
      <c r="AL790" s="50">
        <v>0</v>
      </c>
      <c r="AM790" s="15">
        <f>Tabela21[[#This Row],[Att subs]]+Tabela21[[#This Row],[Crit D subs]]</f>
        <v>1.6</v>
      </c>
      <c r="AN790" s="15">
        <v>1</v>
      </c>
      <c r="AO790" s="15">
        <v>0.6</v>
      </c>
      <c r="AP790" s="15">
        <v>0.6</v>
      </c>
      <c r="AQ790" s="189">
        <f t="shared" si="126"/>
        <v>6771.2199999999993</v>
      </c>
      <c r="AR790" s="189">
        <f t="shared" si="127"/>
        <v>7168.5499999999993</v>
      </c>
      <c r="AS790" s="189">
        <f t="shared" si="123"/>
        <v>6531</v>
      </c>
      <c r="AT790" s="189">
        <f t="shared" si="124"/>
        <v>13062</v>
      </c>
      <c r="AU790" s="50">
        <f t="shared" si="125"/>
        <v>13932.8</v>
      </c>
    </row>
    <row r="791" spans="36:47">
      <c r="AJ791" s="50">
        <v>3</v>
      </c>
      <c r="AK791" s="50">
        <v>0</v>
      </c>
      <c r="AL791" s="50">
        <v>0</v>
      </c>
      <c r="AM791" s="15">
        <f>Tabela21[[#This Row],[Att subs]]+Tabela21[[#This Row],[Crit D subs]]</f>
        <v>1.6</v>
      </c>
      <c r="AN791" s="15">
        <v>1</v>
      </c>
      <c r="AO791" s="15">
        <v>0.6</v>
      </c>
      <c r="AP791" s="15">
        <v>0.7</v>
      </c>
      <c r="AQ791" s="189">
        <f t="shared" si="126"/>
        <v>7151.8200000000006</v>
      </c>
      <c r="AR791" s="189">
        <f t="shared" si="127"/>
        <v>7635.05</v>
      </c>
      <c r="AS791" s="189">
        <f t="shared" si="123"/>
        <v>6531</v>
      </c>
      <c r="AT791" s="189">
        <f t="shared" si="124"/>
        <v>13062</v>
      </c>
      <c r="AU791" s="50">
        <f t="shared" si="125"/>
        <v>15176.8</v>
      </c>
    </row>
    <row r="792" spans="36:47">
      <c r="AJ792" s="50">
        <v>3</v>
      </c>
      <c r="AK792" s="50">
        <v>0</v>
      </c>
      <c r="AL792" s="50">
        <v>0</v>
      </c>
      <c r="AM792" s="15">
        <f>Tabela21[[#This Row],[Att subs]]+Tabela21[[#This Row],[Crit D subs]]</f>
        <v>1.6</v>
      </c>
      <c r="AN792" s="15">
        <v>1</v>
      </c>
      <c r="AO792" s="15">
        <v>0.6</v>
      </c>
      <c r="AP792" s="15">
        <v>0.8</v>
      </c>
      <c r="AQ792" s="189">
        <f t="shared" si="126"/>
        <v>7266</v>
      </c>
      <c r="AR792" s="189">
        <f t="shared" si="127"/>
        <v>7775</v>
      </c>
      <c r="AS792" s="189">
        <f t="shared" si="123"/>
        <v>6531</v>
      </c>
      <c r="AT792" s="189">
        <f t="shared" si="124"/>
        <v>13062</v>
      </c>
      <c r="AU792" s="50">
        <f t="shared" si="125"/>
        <v>15550</v>
      </c>
    </row>
    <row r="793" spans="36:47">
      <c r="AJ793" s="50">
        <v>3</v>
      </c>
      <c r="AK793" s="50">
        <v>0</v>
      </c>
      <c r="AL793" s="50">
        <v>0</v>
      </c>
      <c r="AM793" s="15">
        <f>Tabela21[[#This Row],[Att subs]]+Tabela21[[#This Row],[Crit D subs]]</f>
        <v>1.6</v>
      </c>
      <c r="AN793" s="15">
        <v>1</v>
      </c>
      <c r="AO793" s="15">
        <v>0.6</v>
      </c>
      <c r="AP793" s="15">
        <v>0.9</v>
      </c>
      <c r="AQ793" s="189">
        <f t="shared" si="126"/>
        <v>7266</v>
      </c>
      <c r="AR793" s="189">
        <f t="shared" si="127"/>
        <v>7775</v>
      </c>
      <c r="AS793" s="189">
        <f t="shared" si="123"/>
        <v>6531</v>
      </c>
      <c r="AT793" s="189">
        <f t="shared" si="124"/>
        <v>13062</v>
      </c>
      <c r="AU793" s="50">
        <f t="shared" si="125"/>
        <v>15550</v>
      </c>
    </row>
    <row r="794" spans="36:47">
      <c r="AJ794" s="50">
        <v>3</v>
      </c>
      <c r="AK794" s="50">
        <v>0</v>
      </c>
      <c r="AL794" s="50">
        <v>0</v>
      </c>
      <c r="AM794" s="15">
        <f>Tabela21[[#This Row],[Att subs]]+Tabela21[[#This Row],[Crit D subs]]</f>
        <v>1.6</v>
      </c>
      <c r="AN794" s="15">
        <v>1</v>
      </c>
      <c r="AO794" s="15">
        <v>0.6</v>
      </c>
      <c r="AP794" s="15">
        <v>1</v>
      </c>
      <c r="AQ794" s="189">
        <f t="shared" si="126"/>
        <v>7266</v>
      </c>
      <c r="AR794" s="189">
        <f t="shared" si="127"/>
        <v>7775</v>
      </c>
      <c r="AS794" s="189">
        <f t="shared" si="123"/>
        <v>6531</v>
      </c>
      <c r="AT794" s="189">
        <f t="shared" si="124"/>
        <v>13062</v>
      </c>
      <c r="AU794" s="50">
        <f t="shared" si="125"/>
        <v>15550</v>
      </c>
    </row>
    <row r="795" spans="36:47">
      <c r="AJ795" s="50">
        <v>2</v>
      </c>
      <c r="AK795" s="50">
        <v>1</v>
      </c>
      <c r="AL795" s="50">
        <v>0</v>
      </c>
      <c r="AM795" s="15">
        <f>Tabela21[[#This Row],[Att subs]]+Tabela21[[#This Row],[Crit D subs]]</f>
        <v>0.8</v>
      </c>
      <c r="AN795" s="15">
        <v>0</v>
      </c>
      <c r="AO795" s="15">
        <v>0.8</v>
      </c>
      <c r="AP795" s="15">
        <v>0</v>
      </c>
      <c r="AQ795" s="189">
        <f t="shared" si="126"/>
        <v>3088.8110000000001</v>
      </c>
      <c r="AR795" s="189">
        <f t="shared" si="127"/>
        <v>2759.4659999999999</v>
      </c>
      <c r="AS795" s="189">
        <f t="shared" si="123"/>
        <v>3310.6979999999999</v>
      </c>
      <c r="AT795" s="189">
        <f t="shared" si="124"/>
        <v>5768.7959999999994</v>
      </c>
      <c r="AU795" s="50">
        <f t="shared" si="125"/>
        <v>4248.732</v>
      </c>
    </row>
    <row r="796" spans="36:47">
      <c r="AJ796" s="50">
        <v>2</v>
      </c>
      <c r="AK796" s="50">
        <v>1</v>
      </c>
      <c r="AL796" s="50">
        <v>0</v>
      </c>
      <c r="AM796" s="15">
        <f>Tabela21[[#This Row],[Att subs]]+Tabela21[[#This Row],[Crit D subs]]</f>
        <v>0.8</v>
      </c>
      <c r="AN796" s="15">
        <v>0</v>
      </c>
      <c r="AO796" s="15">
        <v>0.8</v>
      </c>
      <c r="AP796" s="15">
        <v>0.1</v>
      </c>
      <c r="AQ796" s="189">
        <f t="shared" si="126"/>
        <v>3458.741</v>
      </c>
      <c r="AR796" s="189">
        <f t="shared" si="127"/>
        <v>3137.0459999999994</v>
      </c>
      <c r="AS796" s="189">
        <f t="shared" si="123"/>
        <v>3618.6779999999999</v>
      </c>
      <c r="AT796" s="189">
        <f t="shared" si="124"/>
        <v>6558.7559999999994</v>
      </c>
      <c r="AU796" s="50">
        <f t="shared" si="125"/>
        <v>5177.8919999999989</v>
      </c>
    </row>
    <row r="797" spans="36:47">
      <c r="AJ797" s="50">
        <v>2</v>
      </c>
      <c r="AK797" s="50">
        <v>1</v>
      </c>
      <c r="AL797" s="50">
        <v>0</v>
      </c>
      <c r="AM797" s="15">
        <f>Tabela21[[#This Row],[Att subs]]+Tabela21[[#This Row],[Crit D subs]]</f>
        <v>0.8</v>
      </c>
      <c r="AN797" s="15">
        <v>0</v>
      </c>
      <c r="AO797" s="15">
        <v>0.8</v>
      </c>
      <c r="AP797" s="15">
        <v>0.2</v>
      </c>
      <c r="AQ797" s="189">
        <f t="shared" si="126"/>
        <v>3828.6709999999994</v>
      </c>
      <c r="AR797" s="189">
        <f t="shared" si="127"/>
        <v>3514.6259999999997</v>
      </c>
      <c r="AS797" s="189">
        <f t="shared" si="123"/>
        <v>3926.657999999999</v>
      </c>
      <c r="AT797" s="189">
        <f t="shared" si="124"/>
        <v>7348.7159999999985</v>
      </c>
      <c r="AU797" s="50">
        <f t="shared" si="125"/>
        <v>6107.0519999999988</v>
      </c>
    </row>
    <row r="798" spans="36:47">
      <c r="AJ798" s="50">
        <v>2</v>
      </c>
      <c r="AK798" s="50">
        <v>1</v>
      </c>
      <c r="AL798" s="50">
        <v>0</v>
      </c>
      <c r="AM798" s="15">
        <f>Tabela21[[#This Row],[Att subs]]+Tabela21[[#This Row],[Crit D subs]]</f>
        <v>0.8</v>
      </c>
      <c r="AN798" s="15">
        <v>0</v>
      </c>
      <c r="AO798" s="15">
        <v>0.8</v>
      </c>
      <c r="AP798" s="15">
        <v>0.3</v>
      </c>
      <c r="AQ798" s="189">
        <f t="shared" si="126"/>
        <v>4198.6009999999997</v>
      </c>
      <c r="AR798" s="189">
        <f t="shared" si="127"/>
        <v>3892.2059999999992</v>
      </c>
      <c r="AS798" s="189">
        <f t="shared" si="123"/>
        <v>4234.637999999999</v>
      </c>
      <c r="AT798" s="189">
        <f t="shared" si="124"/>
        <v>8138.6759999999995</v>
      </c>
      <c r="AU798" s="50">
        <f t="shared" si="125"/>
        <v>7036.2119999999986</v>
      </c>
    </row>
    <row r="799" spans="36:47">
      <c r="AJ799" s="50">
        <v>2</v>
      </c>
      <c r="AK799" s="50">
        <v>1</v>
      </c>
      <c r="AL799" s="50">
        <v>0</v>
      </c>
      <c r="AM799" s="15">
        <f>Tabela21[[#This Row],[Att subs]]+Tabela21[[#This Row],[Crit D subs]]</f>
        <v>0.8</v>
      </c>
      <c r="AN799" s="15">
        <v>0</v>
      </c>
      <c r="AO799" s="15">
        <v>0.8</v>
      </c>
      <c r="AP799" s="15">
        <v>0.4</v>
      </c>
      <c r="AQ799" s="189">
        <f t="shared" si="126"/>
        <v>4568.530999999999</v>
      </c>
      <c r="AR799" s="189">
        <f t="shared" si="127"/>
        <v>4269.7860000000001</v>
      </c>
      <c r="AS799" s="189">
        <f t="shared" si="123"/>
        <v>4542.6179999999995</v>
      </c>
      <c r="AT799" s="189">
        <f t="shared" si="124"/>
        <v>8928.6359999999986</v>
      </c>
      <c r="AU799" s="50">
        <f t="shared" si="125"/>
        <v>7965.3719999999994</v>
      </c>
    </row>
    <row r="800" spans="36:47">
      <c r="AJ800" s="50">
        <v>2</v>
      </c>
      <c r="AK800" s="50">
        <v>1</v>
      </c>
      <c r="AL800" s="50">
        <v>0</v>
      </c>
      <c r="AM800" s="15">
        <f>Tabela21[[#This Row],[Att subs]]+Tabela21[[#This Row],[Crit D subs]]</f>
        <v>0.8</v>
      </c>
      <c r="AN800" s="15">
        <v>0</v>
      </c>
      <c r="AO800" s="15">
        <v>0.8</v>
      </c>
      <c r="AP800" s="15">
        <v>0.5</v>
      </c>
      <c r="AQ800" s="189">
        <f t="shared" si="126"/>
        <v>4938.4609999999993</v>
      </c>
      <c r="AR800" s="189">
        <f t="shared" si="127"/>
        <v>4647.3659999999991</v>
      </c>
      <c r="AS800" s="189">
        <f t="shared" si="123"/>
        <v>4819.7999999999993</v>
      </c>
      <c r="AT800" s="189">
        <f t="shared" si="124"/>
        <v>9639.5999999999985</v>
      </c>
      <c r="AU800" s="50">
        <f t="shared" si="125"/>
        <v>8894.5319999999974</v>
      </c>
    </row>
    <row r="801" spans="36:47">
      <c r="AJ801" s="50">
        <v>2</v>
      </c>
      <c r="AK801" s="50">
        <v>1</v>
      </c>
      <c r="AL801" s="50">
        <v>0</v>
      </c>
      <c r="AM801" s="15">
        <f>Tabela21[[#This Row],[Att subs]]+Tabela21[[#This Row],[Crit D subs]]</f>
        <v>0.8</v>
      </c>
      <c r="AN801" s="15">
        <v>0</v>
      </c>
      <c r="AO801" s="15">
        <v>0.8</v>
      </c>
      <c r="AP801" s="15">
        <v>0.6</v>
      </c>
      <c r="AQ801" s="189">
        <f t="shared" si="126"/>
        <v>5308.3909999999987</v>
      </c>
      <c r="AR801" s="189">
        <f t="shared" si="127"/>
        <v>5024.945999999999</v>
      </c>
      <c r="AS801" s="189">
        <f t="shared" si="123"/>
        <v>4819.7999999999993</v>
      </c>
      <c r="AT801" s="189">
        <f t="shared" si="124"/>
        <v>9639.5999999999985</v>
      </c>
      <c r="AU801" s="50">
        <f t="shared" si="125"/>
        <v>9823.6919999999973</v>
      </c>
    </row>
    <row r="802" spans="36:47">
      <c r="AJ802" s="50">
        <v>2</v>
      </c>
      <c r="AK802" s="50">
        <v>1</v>
      </c>
      <c r="AL802" s="50">
        <v>0</v>
      </c>
      <c r="AM802" s="15">
        <f>Tabela21[[#This Row],[Att subs]]+Tabela21[[#This Row],[Crit D subs]]</f>
        <v>0.8</v>
      </c>
      <c r="AN802" s="15">
        <v>0</v>
      </c>
      <c r="AO802" s="15">
        <v>0.8</v>
      </c>
      <c r="AP802" s="15">
        <v>0.7</v>
      </c>
      <c r="AQ802" s="189">
        <f t="shared" si="126"/>
        <v>5678.3209999999999</v>
      </c>
      <c r="AR802" s="189">
        <f t="shared" si="127"/>
        <v>5402.5259999999998</v>
      </c>
      <c r="AS802" s="189">
        <f t="shared" si="123"/>
        <v>4819.7999999999993</v>
      </c>
      <c r="AT802" s="189">
        <f t="shared" si="124"/>
        <v>9639.5999999999985</v>
      </c>
      <c r="AU802" s="50">
        <f t="shared" si="125"/>
        <v>10752.851999999999</v>
      </c>
    </row>
    <row r="803" spans="36:47">
      <c r="AJ803" s="50">
        <v>2</v>
      </c>
      <c r="AK803" s="50">
        <v>1</v>
      </c>
      <c r="AL803" s="50">
        <v>0</v>
      </c>
      <c r="AM803" s="15">
        <f>Tabela21[[#This Row],[Att subs]]+Tabela21[[#This Row],[Crit D subs]]</f>
        <v>0.8</v>
      </c>
      <c r="AN803" s="15">
        <v>0</v>
      </c>
      <c r="AO803" s="15">
        <v>0.8</v>
      </c>
      <c r="AP803" s="15">
        <v>0.8</v>
      </c>
      <c r="AQ803" s="189">
        <f t="shared" si="126"/>
        <v>5789.2999999999993</v>
      </c>
      <c r="AR803" s="189">
        <f t="shared" si="127"/>
        <v>5515.7999999999993</v>
      </c>
      <c r="AS803" s="189">
        <f t="shared" si="123"/>
        <v>4819.7999999999993</v>
      </c>
      <c r="AT803" s="189">
        <f t="shared" si="124"/>
        <v>9639.5999999999985</v>
      </c>
      <c r="AU803" s="50">
        <f t="shared" si="125"/>
        <v>11031.599999999999</v>
      </c>
    </row>
    <row r="804" spans="36:47">
      <c r="AJ804" s="50">
        <v>2</v>
      </c>
      <c r="AK804" s="50">
        <v>1</v>
      </c>
      <c r="AL804" s="50">
        <v>0</v>
      </c>
      <c r="AM804" s="15">
        <f>Tabela21[[#This Row],[Att subs]]+Tabela21[[#This Row],[Crit D subs]]</f>
        <v>0.8</v>
      </c>
      <c r="AN804" s="15">
        <v>0</v>
      </c>
      <c r="AO804" s="15">
        <v>0.8</v>
      </c>
      <c r="AP804" s="15">
        <v>0.9</v>
      </c>
      <c r="AQ804" s="189">
        <f t="shared" si="126"/>
        <v>5789.2999999999993</v>
      </c>
      <c r="AR804" s="189">
        <f t="shared" si="127"/>
        <v>5515.7999999999993</v>
      </c>
      <c r="AS804" s="189">
        <f t="shared" si="123"/>
        <v>4819.7999999999993</v>
      </c>
      <c r="AT804" s="189">
        <f t="shared" si="124"/>
        <v>9639.5999999999985</v>
      </c>
      <c r="AU804" s="50">
        <f t="shared" si="125"/>
        <v>11031.599999999999</v>
      </c>
    </row>
    <row r="805" spans="36:47">
      <c r="AJ805" s="50">
        <v>2</v>
      </c>
      <c r="AK805" s="50">
        <v>1</v>
      </c>
      <c r="AL805" s="50">
        <v>0</v>
      </c>
      <c r="AM805" s="15">
        <f>Tabela21[[#This Row],[Att subs]]+Tabela21[[#This Row],[Crit D subs]]</f>
        <v>0.8</v>
      </c>
      <c r="AN805" s="15">
        <v>0</v>
      </c>
      <c r="AO805" s="15">
        <v>0.8</v>
      </c>
      <c r="AP805" s="15">
        <v>1</v>
      </c>
      <c r="AQ805" s="189">
        <f t="shared" si="126"/>
        <v>5789.2999999999993</v>
      </c>
      <c r="AR805" s="189">
        <f t="shared" si="127"/>
        <v>5515.7999999999993</v>
      </c>
      <c r="AS805" s="189">
        <f t="shared" si="123"/>
        <v>4819.7999999999993</v>
      </c>
      <c r="AT805" s="189">
        <f t="shared" si="124"/>
        <v>9639.5999999999985</v>
      </c>
      <c r="AU805" s="50">
        <f t="shared" si="125"/>
        <v>11031.599999999999</v>
      </c>
    </row>
    <row r="806" spans="36:47">
      <c r="AJ806" s="50">
        <v>2</v>
      </c>
      <c r="AK806" s="50">
        <v>0</v>
      </c>
      <c r="AL806" s="50">
        <v>1</v>
      </c>
      <c r="AM806" s="15">
        <f>Tabela21[[#This Row],[Att subs]]+Tabela21[[#This Row],[Crit D subs]]</f>
        <v>0.8</v>
      </c>
      <c r="AN806" s="15">
        <v>0</v>
      </c>
      <c r="AO806" s="15">
        <v>0.8</v>
      </c>
      <c r="AP806" s="15">
        <v>0</v>
      </c>
      <c r="AQ806" s="189">
        <f t="shared" si="126"/>
        <v>3774.54</v>
      </c>
      <c r="AR806" s="189">
        <f t="shared" si="127"/>
        <v>3573.9599999999996</v>
      </c>
      <c r="AS806" s="189">
        <f t="shared" si="123"/>
        <v>3685.3199999999997</v>
      </c>
      <c r="AT806" s="189">
        <f t="shared" si="124"/>
        <v>7127.0399999999991</v>
      </c>
      <c r="AU806" s="50">
        <f t="shared" si="125"/>
        <v>6486.7199999999993</v>
      </c>
    </row>
    <row r="807" spans="36:47">
      <c r="AJ807" s="50">
        <v>2</v>
      </c>
      <c r="AK807" s="50">
        <v>0</v>
      </c>
      <c r="AL807" s="50">
        <v>1</v>
      </c>
      <c r="AM807" s="15">
        <f>Tabela21[[#This Row],[Att subs]]+Tabela21[[#This Row],[Crit D subs]]</f>
        <v>0.8</v>
      </c>
      <c r="AN807" s="15">
        <v>0</v>
      </c>
      <c r="AO807" s="15">
        <v>0.8</v>
      </c>
      <c r="AP807" s="15">
        <v>0.1</v>
      </c>
      <c r="AQ807" s="189">
        <f t="shared" si="126"/>
        <v>4046.24</v>
      </c>
      <c r="AR807" s="189">
        <f t="shared" si="127"/>
        <v>3869.7599999999998</v>
      </c>
      <c r="AS807" s="189">
        <f t="shared" si="123"/>
        <v>3911.5199999999995</v>
      </c>
      <c r="AT807" s="189">
        <f t="shared" si="124"/>
        <v>7753.44</v>
      </c>
      <c r="AU807" s="50">
        <f t="shared" si="125"/>
        <v>7252.3199999999988</v>
      </c>
    </row>
    <row r="808" spans="36:47">
      <c r="AJ808" s="50">
        <v>2</v>
      </c>
      <c r="AK808" s="50">
        <v>0</v>
      </c>
      <c r="AL808" s="50">
        <v>1</v>
      </c>
      <c r="AM808" s="15">
        <f>Tabela21[[#This Row],[Att subs]]+Tabela21[[#This Row],[Crit D subs]]</f>
        <v>0.8</v>
      </c>
      <c r="AN808" s="15">
        <v>0</v>
      </c>
      <c r="AO808" s="15">
        <v>0.8</v>
      </c>
      <c r="AP808" s="15">
        <v>0.2</v>
      </c>
      <c r="AQ808" s="189">
        <f t="shared" si="126"/>
        <v>4317.9399999999996</v>
      </c>
      <c r="AR808" s="189">
        <f t="shared" si="127"/>
        <v>4165.5599999999995</v>
      </c>
      <c r="AS808" s="189">
        <f t="shared" si="123"/>
        <v>4001.9999999999995</v>
      </c>
      <c r="AT808" s="189">
        <f t="shared" si="124"/>
        <v>8003.9999999999991</v>
      </c>
      <c r="AU808" s="50">
        <f t="shared" si="125"/>
        <v>8017.9199999999983</v>
      </c>
    </row>
    <row r="809" spans="36:47">
      <c r="AJ809" s="50">
        <v>2</v>
      </c>
      <c r="AK809" s="50">
        <v>0</v>
      </c>
      <c r="AL809" s="50">
        <v>1</v>
      </c>
      <c r="AM809" s="15">
        <f>Tabela21[[#This Row],[Att subs]]+Tabela21[[#This Row],[Crit D subs]]</f>
        <v>0.8</v>
      </c>
      <c r="AN809" s="15">
        <v>0</v>
      </c>
      <c r="AO809" s="15">
        <v>0.8</v>
      </c>
      <c r="AP809" s="15">
        <v>0.3</v>
      </c>
      <c r="AQ809" s="189">
        <f t="shared" si="126"/>
        <v>4589.6400000000003</v>
      </c>
      <c r="AR809" s="189">
        <f t="shared" si="127"/>
        <v>4461.3599999999997</v>
      </c>
      <c r="AS809" s="189">
        <f t="shared" si="123"/>
        <v>4001.9999999999995</v>
      </c>
      <c r="AT809" s="189">
        <f t="shared" si="124"/>
        <v>8003.9999999999991</v>
      </c>
      <c r="AU809" s="50">
        <f t="shared" si="125"/>
        <v>8783.52</v>
      </c>
    </row>
    <row r="810" spans="36:47">
      <c r="AJ810" s="50">
        <v>2</v>
      </c>
      <c r="AK810" s="50">
        <v>0</v>
      </c>
      <c r="AL810" s="50">
        <v>1</v>
      </c>
      <c r="AM810" s="15">
        <f>Tabela21[[#This Row],[Att subs]]+Tabela21[[#This Row],[Crit D subs]]</f>
        <v>0.8</v>
      </c>
      <c r="AN810" s="15">
        <v>0</v>
      </c>
      <c r="AO810" s="15">
        <v>0.8</v>
      </c>
      <c r="AP810" s="15">
        <v>0.4</v>
      </c>
      <c r="AQ810" s="189">
        <f t="shared" si="126"/>
        <v>4807</v>
      </c>
      <c r="AR810" s="189">
        <f t="shared" si="127"/>
        <v>4697.9999999999991</v>
      </c>
      <c r="AS810" s="189">
        <f t="shared" si="123"/>
        <v>4001.9999999999995</v>
      </c>
      <c r="AT810" s="189">
        <f t="shared" si="124"/>
        <v>8003.9999999999991</v>
      </c>
      <c r="AU810" s="50">
        <f t="shared" si="125"/>
        <v>9395.9999999999982</v>
      </c>
    </row>
    <row r="811" spans="36:47">
      <c r="AJ811" s="50">
        <v>2</v>
      </c>
      <c r="AK811" s="50">
        <v>0</v>
      </c>
      <c r="AL811" s="50">
        <v>1</v>
      </c>
      <c r="AM811" s="15">
        <f>Tabela21[[#This Row],[Att subs]]+Tabela21[[#This Row],[Crit D subs]]</f>
        <v>0.8</v>
      </c>
      <c r="AN811" s="15">
        <v>0</v>
      </c>
      <c r="AO811" s="15">
        <v>0.8</v>
      </c>
      <c r="AP811" s="15">
        <v>0.5</v>
      </c>
      <c r="AQ811" s="189">
        <f t="shared" si="126"/>
        <v>4807</v>
      </c>
      <c r="AR811" s="189">
        <f t="shared" si="127"/>
        <v>4697.9999999999991</v>
      </c>
      <c r="AS811" s="189">
        <f t="shared" si="123"/>
        <v>4001.9999999999995</v>
      </c>
      <c r="AT811" s="189">
        <f t="shared" si="124"/>
        <v>8003.9999999999991</v>
      </c>
      <c r="AU811" s="50">
        <f t="shared" si="125"/>
        <v>9395.9999999999982</v>
      </c>
    </row>
    <row r="812" spans="36:47">
      <c r="AJ812" s="50">
        <v>2</v>
      </c>
      <c r="AK812" s="50">
        <v>0</v>
      </c>
      <c r="AL812" s="50">
        <v>1</v>
      </c>
      <c r="AM812" s="15">
        <f>Tabela21[[#This Row],[Att subs]]+Tabela21[[#This Row],[Crit D subs]]</f>
        <v>0.8</v>
      </c>
      <c r="AN812" s="15">
        <v>0</v>
      </c>
      <c r="AO812" s="15">
        <v>0.8</v>
      </c>
      <c r="AP812" s="15">
        <v>0.6</v>
      </c>
      <c r="AQ812" s="189">
        <f t="shared" si="126"/>
        <v>4807</v>
      </c>
      <c r="AR812" s="189">
        <f t="shared" si="127"/>
        <v>4697.9999999999991</v>
      </c>
      <c r="AS812" s="189">
        <f t="shared" si="123"/>
        <v>4001.9999999999995</v>
      </c>
      <c r="AT812" s="189">
        <f t="shared" si="124"/>
        <v>8003.9999999999991</v>
      </c>
      <c r="AU812" s="50">
        <f t="shared" si="125"/>
        <v>9395.9999999999982</v>
      </c>
    </row>
    <row r="813" spans="36:47">
      <c r="AJ813" s="50">
        <v>2</v>
      </c>
      <c r="AK813" s="50">
        <v>0</v>
      </c>
      <c r="AL813" s="50">
        <v>1</v>
      </c>
      <c r="AM813" s="15">
        <f>Tabela21[[#This Row],[Att subs]]+Tabela21[[#This Row],[Crit D subs]]</f>
        <v>0.8</v>
      </c>
      <c r="AN813" s="15">
        <v>0</v>
      </c>
      <c r="AO813" s="15">
        <v>0.8</v>
      </c>
      <c r="AP813" s="15">
        <v>0.7</v>
      </c>
      <c r="AQ813" s="189">
        <f t="shared" si="126"/>
        <v>4807</v>
      </c>
      <c r="AR813" s="189">
        <f t="shared" si="127"/>
        <v>4697.9999999999991</v>
      </c>
      <c r="AS813" s="189">
        <f t="shared" si="123"/>
        <v>4001.9999999999995</v>
      </c>
      <c r="AT813" s="189">
        <f t="shared" si="124"/>
        <v>8003.9999999999991</v>
      </c>
      <c r="AU813" s="50">
        <f t="shared" si="125"/>
        <v>9395.9999999999982</v>
      </c>
    </row>
    <row r="814" spans="36:47">
      <c r="AJ814" s="50">
        <v>2</v>
      </c>
      <c r="AK814" s="50">
        <v>0</v>
      </c>
      <c r="AL814" s="50">
        <v>1</v>
      </c>
      <c r="AM814" s="15">
        <f>Tabela21[[#This Row],[Att subs]]+Tabela21[[#This Row],[Crit D subs]]</f>
        <v>0.8</v>
      </c>
      <c r="AN814" s="15">
        <v>0</v>
      </c>
      <c r="AO814" s="15">
        <v>0.8</v>
      </c>
      <c r="AP814" s="15">
        <v>0.8</v>
      </c>
      <c r="AQ814" s="189">
        <f t="shared" si="126"/>
        <v>4807</v>
      </c>
      <c r="AR814" s="189">
        <f t="shared" si="127"/>
        <v>4697.9999999999991</v>
      </c>
      <c r="AS814" s="189">
        <f t="shared" si="123"/>
        <v>4001.9999999999995</v>
      </c>
      <c r="AT814" s="189">
        <f t="shared" si="124"/>
        <v>8003.9999999999991</v>
      </c>
      <c r="AU814" s="50">
        <f t="shared" si="125"/>
        <v>9395.9999999999982</v>
      </c>
    </row>
    <row r="815" spans="36:47">
      <c r="AJ815" s="50">
        <v>2</v>
      </c>
      <c r="AK815" s="50">
        <v>0</v>
      </c>
      <c r="AL815" s="50">
        <v>1</v>
      </c>
      <c r="AM815" s="15">
        <f>Tabela21[[#This Row],[Att subs]]+Tabela21[[#This Row],[Crit D subs]]</f>
        <v>0.8</v>
      </c>
      <c r="AN815" s="15">
        <v>0</v>
      </c>
      <c r="AO815" s="15">
        <v>0.8</v>
      </c>
      <c r="AP815" s="15">
        <v>0.9</v>
      </c>
      <c r="AQ815" s="189">
        <f t="shared" si="126"/>
        <v>4807</v>
      </c>
      <c r="AR815" s="189">
        <f t="shared" si="127"/>
        <v>4697.9999999999991</v>
      </c>
      <c r="AS815" s="189">
        <f t="shared" si="123"/>
        <v>4001.9999999999995</v>
      </c>
      <c r="AT815" s="189">
        <f t="shared" si="124"/>
        <v>8003.9999999999991</v>
      </c>
      <c r="AU815" s="50">
        <f t="shared" si="125"/>
        <v>9395.9999999999982</v>
      </c>
    </row>
    <row r="816" spans="36:47">
      <c r="AJ816" s="50">
        <v>2</v>
      </c>
      <c r="AK816" s="50">
        <v>0</v>
      </c>
      <c r="AL816" s="50">
        <v>1</v>
      </c>
      <c r="AM816" s="15">
        <f>Tabela21[[#This Row],[Att subs]]+Tabela21[[#This Row],[Crit D subs]]</f>
        <v>0.8</v>
      </c>
      <c r="AN816" s="15">
        <v>0</v>
      </c>
      <c r="AO816" s="15">
        <v>0.8</v>
      </c>
      <c r="AP816" s="15">
        <v>1</v>
      </c>
      <c r="AQ816" s="189">
        <f t="shared" si="126"/>
        <v>4807</v>
      </c>
      <c r="AR816" s="189">
        <f t="shared" si="127"/>
        <v>4697.9999999999991</v>
      </c>
      <c r="AS816" s="189">
        <f t="shared" si="123"/>
        <v>4001.9999999999995</v>
      </c>
      <c r="AT816" s="189">
        <f t="shared" si="124"/>
        <v>8003.9999999999991</v>
      </c>
      <c r="AU816" s="50">
        <f t="shared" si="125"/>
        <v>9395.9999999999982</v>
      </c>
    </row>
    <row r="817" spans="36:47">
      <c r="AJ817" s="50">
        <v>3</v>
      </c>
      <c r="AK817" s="50">
        <v>0</v>
      </c>
      <c r="AL817" s="50">
        <v>0</v>
      </c>
      <c r="AM817" s="15">
        <f>Tabela21[[#This Row],[Att subs]]+Tabela21[[#This Row],[Crit D subs]]</f>
        <v>0.8</v>
      </c>
      <c r="AN817" s="15">
        <v>0</v>
      </c>
      <c r="AO817" s="15">
        <v>0.8</v>
      </c>
      <c r="AP817" s="15">
        <v>0</v>
      </c>
      <c r="AQ817" s="189">
        <f t="shared" si="126"/>
        <v>3323.46</v>
      </c>
      <c r="AR817" s="189">
        <f t="shared" si="127"/>
        <v>3078.4900000000002</v>
      </c>
      <c r="AS817" s="189">
        <f t="shared" si="123"/>
        <v>3508.9299999999994</v>
      </c>
      <c r="AT817" s="189">
        <f t="shared" si="124"/>
        <v>5983.9599999999991</v>
      </c>
      <c r="AU817" s="50">
        <f t="shared" si="125"/>
        <v>4616.6799999999994</v>
      </c>
    </row>
    <row r="818" spans="36:47">
      <c r="AJ818" s="50">
        <v>3</v>
      </c>
      <c r="AK818" s="50">
        <v>0</v>
      </c>
      <c r="AL818" s="50">
        <v>0</v>
      </c>
      <c r="AM818" s="15">
        <f>Tabela21[[#This Row],[Att subs]]+Tabela21[[#This Row],[Crit D subs]]</f>
        <v>0.8</v>
      </c>
      <c r="AN818" s="15">
        <v>0</v>
      </c>
      <c r="AO818" s="15">
        <v>0.8</v>
      </c>
      <c r="AP818" s="15">
        <v>0.1</v>
      </c>
      <c r="AQ818" s="189">
        <f t="shared" si="126"/>
        <v>3643.2599999999998</v>
      </c>
      <c r="AR818" s="189">
        <f t="shared" si="127"/>
        <v>3437.19</v>
      </c>
      <c r="AS818" s="189">
        <f t="shared" si="123"/>
        <v>3783.2299999999996</v>
      </c>
      <c r="AT818" s="189">
        <f t="shared" si="124"/>
        <v>6743.5599999999995</v>
      </c>
      <c r="AU818" s="50">
        <f t="shared" si="125"/>
        <v>5545.079999999999</v>
      </c>
    </row>
    <row r="819" spans="36:47">
      <c r="AJ819" s="50">
        <v>3</v>
      </c>
      <c r="AK819" s="50">
        <v>0</v>
      </c>
      <c r="AL819" s="50">
        <v>0</v>
      </c>
      <c r="AM819" s="15">
        <f>Tabela21[[#This Row],[Att subs]]+Tabela21[[#This Row],[Crit D subs]]</f>
        <v>0.8</v>
      </c>
      <c r="AN819" s="15">
        <v>0</v>
      </c>
      <c r="AO819" s="15">
        <v>0.8</v>
      </c>
      <c r="AP819" s="15">
        <v>0.2</v>
      </c>
      <c r="AQ819" s="189">
        <f t="shared" si="126"/>
        <v>3963.0599999999995</v>
      </c>
      <c r="AR819" s="189">
        <f t="shared" si="127"/>
        <v>3795.89</v>
      </c>
      <c r="AS819" s="189">
        <f t="shared" si="123"/>
        <v>4057.5299999999993</v>
      </c>
      <c r="AT819" s="189">
        <f t="shared" si="124"/>
        <v>7503.1599999999989</v>
      </c>
      <c r="AU819" s="50">
        <f t="shared" si="125"/>
        <v>6473.48</v>
      </c>
    </row>
    <row r="820" spans="36:47">
      <c r="AJ820" s="50">
        <v>3</v>
      </c>
      <c r="AK820" s="50">
        <v>0</v>
      </c>
      <c r="AL820" s="50">
        <v>0</v>
      </c>
      <c r="AM820" s="15">
        <f>Tabela21[[#This Row],[Att subs]]+Tabela21[[#This Row],[Crit D subs]]</f>
        <v>0.8</v>
      </c>
      <c r="AN820" s="15">
        <v>0</v>
      </c>
      <c r="AO820" s="15">
        <v>0.8</v>
      </c>
      <c r="AP820" s="15">
        <v>0.3</v>
      </c>
      <c r="AQ820" s="189">
        <f t="shared" si="126"/>
        <v>4282.8599999999988</v>
      </c>
      <c r="AR820" s="189">
        <f t="shared" si="127"/>
        <v>4154.59</v>
      </c>
      <c r="AS820" s="189">
        <f t="shared" si="123"/>
        <v>4331.83</v>
      </c>
      <c r="AT820" s="189">
        <f t="shared" si="124"/>
        <v>8262.7599999999984</v>
      </c>
      <c r="AU820" s="50">
        <f t="shared" si="125"/>
        <v>7401.8799999999992</v>
      </c>
    </row>
    <row r="821" spans="36:47">
      <c r="AJ821" s="50">
        <v>3</v>
      </c>
      <c r="AK821" s="50">
        <v>0</v>
      </c>
      <c r="AL821" s="50">
        <v>0</v>
      </c>
      <c r="AM821" s="15">
        <f>Tabela21[[#This Row],[Att subs]]+Tabela21[[#This Row],[Crit D subs]]</f>
        <v>0.8</v>
      </c>
      <c r="AN821" s="15">
        <v>0</v>
      </c>
      <c r="AO821" s="15">
        <v>0.8</v>
      </c>
      <c r="AP821" s="15">
        <v>0.4</v>
      </c>
      <c r="AQ821" s="189">
        <f t="shared" si="126"/>
        <v>4602.66</v>
      </c>
      <c r="AR821" s="189">
        <f t="shared" si="127"/>
        <v>4513.29</v>
      </c>
      <c r="AS821" s="189">
        <f t="shared" si="123"/>
        <v>4606.1299999999992</v>
      </c>
      <c r="AT821" s="189">
        <f t="shared" si="124"/>
        <v>9022.3599999999988</v>
      </c>
      <c r="AU821" s="50">
        <f t="shared" si="125"/>
        <v>8330.2800000000007</v>
      </c>
    </row>
    <row r="822" spans="36:47">
      <c r="AJ822" s="50">
        <v>3</v>
      </c>
      <c r="AK822" s="50">
        <v>0</v>
      </c>
      <c r="AL822" s="50">
        <v>0</v>
      </c>
      <c r="AM822" s="15">
        <f>Tabela21[[#This Row],[Att subs]]+Tabela21[[#This Row],[Crit D subs]]</f>
        <v>0.8</v>
      </c>
      <c r="AN822" s="15">
        <v>0</v>
      </c>
      <c r="AO822" s="15">
        <v>0.8</v>
      </c>
      <c r="AP822" s="15">
        <v>0.5</v>
      </c>
      <c r="AQ822" s="189">
        <f t="shared" si="126"/>
        <v>4922.46</v>
      </c>
      <c r="AR822" s="189">
        <f t="shared" si="127"/>
        <v>4871.99</v>
      </c>
      <c r="AS822" s="189">
        <f t="shared" si="123"/>
        <v>4853</v>
      </c>
      <c r="AT822" s="189">
        <f t="shared" si="124"/>
        <v>9706</v>
      </c>
      <c r="AU822" s="50">
        <f t="shared" si="125"/>
        <v>9258.68</v>
      </c>
    </row>
    <row r="823" spans="36:47">
      <c r="AJ823" s="50">
        <v>3</v>
      </c>
      <c r="AK823" s="50">
        <v>0</v>
      </c>
      <c r="AL823" s="50">
        <v>0</v>
      </c>
      <c r="AM823" s="15">
        <f>Tabela21[[#This Row],[Att subs]]+Tabela21[[#This Row],[Crit D subs]]</f>
        <v>0.8</v>
      </c>
      <c r="AN823" s="15">
        <v>0</v>
      </c>
      <c r="AO823" s="15">
        <v>0.8</v>
      </c>
      <c r="AP823" s="15">
        <v>0.6</v>
      </c>
      <c r="AQ823" s="189">
        <f t="shared" si="126"/>
        <v>5242.2599999999993</v>
      </c>
      <c r="AR823" s="189">
        <f t="shared" si="127"/>
        <v>5230.6899999999996</v>
      </c>
      <c r="AS823" s="189">
        <f t="shared" si="123"/>
        <v>4853</v>
      </c>
      <c r="AT823" s="189">
        <f t="shared" si="124"/>
        <v>9706</v>
      </c>
      <c r="AU823" s="50">
        <f t="shared" si="125"/>
        <v>10187.079999999998</v>
      </c>
    </row>
    <row r="824" spans="36:47">
      <c r="AJ824" s="50">
        <v>3</v>
      </c>
      <c r="AK824" s="50">
        <v>0</v>
      </c>
      <c r="AL824" s="50">
        <v>0</v>
      </c>
      <c r="AM824" s="15">
        <f>Tabela21[[#This Row],[Att subs]]+Tabela21[[#This Row],[Crit D subs]]</f>
        <v>0.8</v>
      </c>
      <c r="AN824" s="15">
        <v>0</v>
      </c>
      <c r="AO824" s="15">
        <v>0.8</v>
      </c>
      <c r="AP824" s="15">
        <v>0.7</v>
      </c>
      <c r="AQ824" s="189">
        <f t="shared" si="126"/>
        <v>5562.06</v>
      </c>
      <c r="AR824" s="189">
        <f t="shared" si="127"/>
        <v>5589.39</v>
      </c>
      <c r="AS824" s="189">
        <f t="shared" si="123"/>
        <v>4853</v>
      </c>
      <c r="AT824" s="189">
        <f t="shared" si="124"/>
        <v>9706</v>
      </c>
      <c r="AU824" s="50">
        <f t="shared" si="125"/>
        <v>11115.48</v>
      </c>
    </row>
    <row r="825" spans="36:47">
      <c r="AJ825" s="50">
        <v>3</v>
      </c>
      <c r="AK825" s="50">
        <v>0</v>
      </c>
      <c r="AL825" s="50">
        <v>0</v>
      </c>
      <c r="AM825" s="15">
        <f>Tabela21[[#This Row],[Att subs]]+Tabela21[[#This Row],[Crit D subs]]</f>
        <v>0.8</v>
      </c>
      <c r="AN825" s="15">
        <v>0</v>
      </c>
      <c r="AO825" s="15">
        <v>0.8</v>
      </c>
      <c r="AP825" s="15">
        <v>0.8</v>
      </c>
      <c r="AQ825" s="189">
        <f t="shared" si="126"/>
        <v>5658</v>
      </c>
      <c r="AR825" s="189">
        <f t="shared" si="127"/>
        <v>5696.9999999999991</v>
      </c>
      <c r="AS825" s="189">
        <f t="shared" si="123"/>
        <v>4853</v>
      </c>
      <c r="AT825" s="189">
        <f t="shared" si="124"/>
        <v>9706</v>
      </c>
      <c r="AU825" s="50">
        <f t="shared" si="125"/>
        <v>11393.999999999998</v>
      </c>
    </row>
    <row r="826" spans="36:47">
      <c r="AJ826" s="50">
        <v>3</v>
      </c>
      <c r="AK826" s="50">
        <v>0</v>
      </c>
      <c r="AL826" s="50">
        <v>0</v>
      </c>
      <c r="AM826" s="15">
        <f>Tabela21[[#This Row],[Att subs]]+Tabela21[[#This Row],[Crit D subs]]</f>
        <v>0.8</v>
      </c>
      <c r="AN826" s="15">
        <v>0</v>
      </c>
      <c r="AO826" s="15">
        <v>0.8</v>
      </c>
      <c r="AP826" s="15">
        <v>0.9</v>
      </c>
      <c r="AQ826" s="189">
        <f t="shared" si="126"/>
        <v>5658</v>
      </c>
      <c r="AR826" s="189">
        <f t="shared" si="127"/>
        <v>5696.9999999999991</v>
      </c>
      <c r="AS826" s="189">
        <f t="shared" si="123"/>
        <v>4853</v>
      </c>
      <c r="AT826" s="189">
        <f t="shared" si="124"/>
        <v>9706</v>
      </c>
      <c r="AU826" s="50">
        <f t="shared" si="125"/>
        <v>11393.999999999998</v>
      </c>
    </row>
    <row r="827" spans="36:47">
      <c r="AJ827" s="50">
        <v>3</v>
      </c>
      <c r="AK827" s="50">
        <v>0</v>
      </c>
      <c r="AL827" s="50">
        <v>0</v>
      </c>
      <c r="AM827" s="15">
        <f>Tabela21[[#This Row],[Att subs]]+Tabela21[[#This Row],[Crit D subs]]</f>
        <v>0.8</v>
      </c>
      <c r="AN827" s="15">
        <v>0</v>
      </c>
      <c r="AO827" s="15">
        <v>0.8</v>
      </c>
      <c r="AP827" s="15">
        <v>1</v>
      </c>
      <c r="AQ827" s="189">
        <f t="shared" si="126"/>
        <v>5658</v>
      </c>
      <c r="AR827" s="189">
        <f t="shared" si="127"/>
        <v>5696.9999999999991</v>
      </c>
      <c r="AS827" s="189">
        <f t="shared" si="123"/>
        <v>4853</v>
      </c>
      <c r="AT827" s="189">
        <f t="shared" si="124"/>
        <v>9706</v>
      </c>
      <c r="AU827" s="50">
        <f t="shared" si="125"/>
        <v>11393.999999999998</v>
      </c>
    </row>
    <row r="828" spans="36:47">
      <c r="AJ828" s="50">
        <v>2</v>
      </c>
      <c r="AK828" s="50">
        <v>1</v>
      </c>
      <c r="AL828" s="50">
        <v>0</v>
      </c>
      <c r="AM828" s="15">
        <f>Tabela21[[#This Row],[Att subs]]+Tabela21[[#This Row],[Crit D subs]]</f>
        <v>1</v>
      </c>
      <c r="AN828" s="15">
        <v>0.2</v>
      </c>
      <c r="AO828" s="15">
        <v>0.8</v>
      </c>
      <c r="AP828" s="15">
        <v>0</v>
      </c>
      <c r="AQ828" s="189">
        <f t="shared" si="126"/>
        <v>3384.3910000000001</v>
      </c>
      <c r="AR828" s="189">
        <f t="shared" si="127"/>
        <v>3076.6459999999997</v>
      </c>
      <c r="AS828" s="189">
        <f t="shared" si="123"/>
        <v>3691.2379999999998</v>
      </c>
      <c r="AT828" s="189">
        <f t="shared" si="124"/>
        <v>6431.8759999999993</v>
      </c>
      <c r="AU828" s="50">
        <f t="shared" si="125"/>
        <v>4737.0919999999996</v>
      </c>
    </row>
    <row r="829" spans="36:47">
      <c r="AJ829" s="50">
        <v>2</v>
      </c>
      <c r="AK829" s="50">
        <v>1</v>
      </c>
      <c r="AL829" s="50">
        <v>0</v>
      </c>
      <c r="AM829" s="15">
        <f>Tabela21[[#This Row],[Att subs]]+Tabela21[[#This Row],[Crit D subs]]</f>
        <v>1</v>
      </c>
      <c r="AN829" s="15">
        <v>0.2</v>
      </c>
      <c r="AO829" s="15">
        <v>0.8</v>
      </c>
      <c r="AP829" s="15">
        <v>0.1</v>
      </c>
      <c r="AQ829" s="189">
        <f t="shared" si="126"/>
        <v>3789.721</v>
      </c>
      <c r="AR829" s="189">
        <f t="shared" si="127"/>
        <v>3497.6259999999993</v>
      </c>
      <c r="AS829" s="189">
        <f t="shared" si="123"/>
        <v>4034.6179999999999</v>
      </c>
      <c r="AT829" s="189">
        <f t="shared" si="124"/>
        <v>7312.6359999999995</v>
      </c>
      <c r="AU829" s="50">
        <f t="shared" si="125"/>
        <v>5773.0519999999988</v>
      </c>
    </row>
    <row r="830" spans="36:47">
      <c r="AJ830" s="50">
        <v>2</v>
      </c>
      <c r="AK830" s="50">
        <v>1</v>
      </c>
      <c r="AL830" s="50">
        <v>0</v>
      </c>
      <c r="AM830" s="15">
        <f>Tabela21[[#This Row],[Att subs]]+Tabela21[[#This Row],[Crit D subs]]</f>
        <v>1</v>
      </c>
      <c r="AN830" s="15">
        <v>0.2</v>
      </c>
      <c r="AO830" s="15">
        <v>0.8</v>
      </c>
      <c r="AP830" s="15">
        <v>0.2</v>
      </c>
      <c r="AQ830" s="189">
        <f t="shared" si="126"/>
        <v>4195.0509999999995</v>
      </c>
      <c r="AR830" s="189">
        <f t="shared" si="127"/>
        <v>3918.6059999999998</v>
      </c>
      <c r="AS830" s="189">
        <f t="shared" si="123"/>
        <v>4377.9979999999987</v>
      </c>
      <c r="AT830" s="189">
        <f t="shared" si="124"/>
        <v>8193.3959999999988</v>
      </c>
      <c r="AU830" s="50">
        <f t="shared" si="125"/>
        <v>6809.0119999999988</v>
      </c>
    </row>
    <row r="831" spans="36:47">
      <c r="AJ831" s="50">
        <v>2</v>
      </c>
      <c r="AK831" s="50">
        <v>1</v>
      </c>
      <c r="AL831" s="50">
        <v>0</v>
      </c>
      <c r="AM831" s="15">
        <f>Tabela21[[#This Row],[Att subs]]+Tabela21[[#This Row],[Crit D subs]]</f>
        <v>1</v>
      </c>
      <c r="AN831" s="15">
        <v>0.2</v>
      </c>
      <c r="AO831" s="15">
        <v>0.8</v>
      </c>
      <c r="AP831" s="15">
        <v>0.3</v>
      </c>
      <c r="AQ831" s="189">
        <f t="shared" si="126"/>
        <v>4600.3809999999994</v>
      </c>
      <c r="AR831" s="189">
        <f t="shared" si="127"/>
        <v>4339.5859999999993</v>
      </c>
      <c r="AS831" s="189">
        <f t="shared" si="123"/>
        <v>4721.3779999999988</v>
      </c>
      <c r="AT831" s="189">
        <f t="shared" si="124"/>
        <v>9074.155999999999</v>
      </c>
      <c r="AU831" s="50">
        <f t="shared" si="125"/>
        <v>7844.9719999999988</v>
      </c>
    </row>
    <row r="832" spans="36:47">
      <c r="AJ832" s="50">
        <v>2</v>
      </c>
      <c r="AK832" s="50">
        <v>1</v>
      </c>
      <c r="AL832" s="50">
        <v>0</v>
      </c>
      <c r="AM832" s="15">
        <f>Tabela21[[#This Row],[Att subs]]+Tabela21[[#This Row],[Crit D subs]]</f>
        <v>1</v>
      </c>
      <c r="AN832" s="15">
        <v>0.2</v>
      </c>
      <c r="AO832" s="15">
        <v>0.8</v>
      </c>
      <c r="AP832" s="15">
        <v>0.4</v>
      </c>
      <c r="AQ832" s="189">
        <f t="shared" si="126"/>
        <v>5005.7109999999993</v>
      </c>
      <c r="AR832" s="189">
        <f t="shared" si="127"/>
        <v>4760.5659999999998</v>
      </c>
      <c r="AS832" s="189">
        <f t="shared" si="123"/>
        <v>5064.7579999999989</v>
      </c>
      <c r="AT832" s="189">
        <f t="shared" si="124"/>
        <v>9954.9159999999993</v>
      </c>
      <c r="AU832" s="50">
        <f t="shared" si="125"/>
        <v>8880.9319999999989</v>
      </c>
    </row>
    <row r="833" spans="36:47">
      <c r="AJ833" s="50">
        <v>2</v>
      </c>
      <c r="AK833" s="50">
        <v>1</v>
      </c>
      <c r="AL833" s="50">
        <v>0</v>
      </c>
      <c r="AM833" s="15">
        <f>Tabela21[[#This Row],[Att subs]]+Tabela21[[#This Row],[Crit D subs]]</f>
        <v>1</v>
      </c>
      <c r="AN833" s="15">
        <v>0.2</v>
      </c>
      <c r="AO833" s="15">
        <v>0.8</v>
      </c>
      <c r="AP833" s="15">
        <v>0.5</v>
      </c>
      <c r="AQ833" s="189">
        <f t="shared" si="126"/>
        <v>5411.0409999999993</v>
      </c>
      <c r="AR833" s="189">
        <f t="shared" si="127"/>
        <v>5181.5459999999994</v>
      </c>
      <c r="AS833" s="189">
        <f t="shared" si="123"/>
        <v>5373.7999999999993</v>
      </c>
      <c r="AT833" s="189">
        <f t="shared" si="124"/>
        <v>10747.599999999999</v>
      </c>
      <c r="AU833" s="50">
        <f t="shared" si="125"/>
        <v>9916.891999999998</v>
      </c>
    </row>
    <row r="834" spans="36:47">
      <c r="AJ834" s="50">
        <v>2</v>
      </c>
      <c r="AK834" s="50">
        <v>1</v>
      </c>
      <c r="AL834" s="50">
        <v>0</v>
      </c>
      <c r="AM834" s="15">
        <f>Tabela21[[#This Row],[Att subs]]+Tabela21[[#This Row],[Crit D subs]]</f>
        <v>1</v>
      </c>
      <c r="AN834" s="15">
        <v>0.2</v>
      </c>
      <c r="AO834" s="15">
        <v>0.8</v>
      </c>
      <c r="AP834" s="15">
        <v>0.6</v>
      </c>
      <c r="AQ834" s="189">
        <f t="shared" si="126"/>
        <v>5816.3709999999983</v>
      </c>
      <c r="AR834" s="189">
        <f t="shared" si="127"/>
        <v>5602.5259999999989</v>
      </c>
      <c r="AS834" s="189">
        <f t="shared" si="123"/>
        <v>5373.7999999999993</v>
      </c>
      <c r="AT834" s="189">
        <f t="shared" si="124"/>
        <v>10747.599999999999</v>
      </c>
      <c r="AU834" s="50">
        <f t="shared" si="125"/>
        <v>10952.851999999997</v>
      </c>
    </row>
    <row r="835" spans="36:47">
      <c r="AJ835" s="50">
        <v>2</v>
      </c>
      <c r="AK835" s="50">
        <v>1</v>
      </c>
      <c r="AL835" s="50">
        <v>0</v>
      </c>
      <c r="AM835" s="15">
        <f>Tabela21[[#This Row],[Att subs]]+Tabela21[[#This Row],[Crit D subs]]</f>
        <v>1</v>
      </c>
      <c r="AN835" s="15">
        <v>0.2</v>
      </c>
      <c r="AO835" s="15">
        <v>0.8</v>
      </c>
      <c r="AP835" s="15">
        <v>0.7</v>
      </c>
      <c r="AQ835" s="189">
        <f t="shared" si="126"/>
        <v>6221.701</v>
      </c>
      <c r="AR835" s="189">
        <f t="shared" si="127"/>
        <v>6023.5059999999994</v>
      </c>
      <c r="AS835" s="189">
        <f t="shared" ref="AS835:AS898" si="128">$AG$3*(1+$AJ835*$Y$2+$AN835)*(MAXA(1-$AI$3-$AL835*$AA$3-$AP835-0.36,0)+MINA($AI$3+$AL835*$AA$3+$AP835+0.36,1)*(1+$AH$3+$AO835+$AK835*$Z$4))</f>
        <v>5373.7999999999993</v>
      </c>
      <c r="AT835" s="189">
        <f t="shared" ref="AT835:AT898" si="129">$AG$3*(1+$AJ835*$Y$2+$AN835)*(MAXA(1-$AI$3-$AL835*$AA$3-$AP835-0.36,0)+2*MINA($AI$3+$AL835*$AA$3+$AP835+0.36,1)*(1+$AH$3+$AO835+$AK835*$Z$4))</f>
        <v>10747.599999999999</v>
      </c>
      <c r="AU835" s="50">
        <f t="shared" ref="AU835:AU898" si="130">$AG$3*(1+$AJ835*$Y$2+$AN835)*(MAXA(1-$AI$3-$AL835*$AA$3-$AP835-0.12,0)+2*MINA($AI$3+$AL835*$AA$3+$AP835+0.12,1)*(1+$AH$3+$AO835+$AK835*$Z$4+0.4))</f>
        <v>11988.811999999998</v>
      </c>
    </row>
    <row r="836" spans="36:47">
      <c r="AJ836" s="50">
        <v>2</v>
      </c>
      <c r="AK836" s="50">
        <v>1</v>
      </c>
      <c r="AL836" s="50">
        <v>0</v>
      </c>
      <c r="AM836" s="15">
        <f>Tabela21[[#This Row],[Att subs]]+Tabela21[[#This Row],[Crit D subs]]</f>
        <v>1</v>
      </c>
      <c r="AN836" s="15">
        <v>0.2</v>
      </c>
      <c r="AO836" s="15">
        <v>0.8</v>
      </c>
      <c r="AP836" s="15">
        <v>0.8</v>
      </c>
      <c r="AQ836" s="189">
        <f t="shared" ref="AQ836:AQ899" si="131">$AG$3*(1+$AJ836*$Y$2+$AN836+0.35)*(MAXA(1-$AI$3-$AL836*$AA$3-$AP836-0.12,0)+MINA($AI$3+$AL836*$AA$3+$AP836+0.12,1)*(1+$AH$3+$AO836+$AK836*$Z$4))</f>
        <v>6343.2999999999993</v>
      </c>
      <c r="AR836" s="189">
        <f t="shared" ref="AR836:AR899" si="132">$AG$3*(1+$AJ836*$Y$2+$AN836)*(MAXA(1-$AI$3-$AL836*$AA$3-$AP836-0.12,0)+MINA($AI$3+$AL836*$AA$3+$AP836+0.12,1)*(1+$AH$3+$AO836+$AK836*$Z$4+0.4))</f>
        <v>6149.7999999999993</v>
      </c>
      <c r="AS836" s="189">
        <f t="shared" si="128"/>
        <v>5373.7999999999993</v>
      </c>
      <c r="AT836" s="189">
        <f t="shared" si="129"/>
        <v>10747.599999999999</v>
      </c>
      <c r="AU836" s="50">
        <f t="shared" si="130"/>
        <v>12299.599999999999</v>
      </c>
    </row>
    <row r="837" spans="36:47">
      <c r="AJ837" s="50">
        <v>2</v>
      </c>
      <c r="AK837" s="50">
        <v>1</v>
      </c>
      <c r="AL837" s="50">
        <v>0</v>
      </c>
      <c r="AM837" s="15">
        <f>Tabela21[[#This Row],[Att subs]]+Tabela21[[#This Row],[Crit D subs]]</f>
        <v>1</v>
      </c>
      <c r="AN837" s="15">
        <v>0.2</v>
      </c>
      <c r="AO837" s="15">
        <v>0.8</v>
      </c>
      <c r="AP837" s="15">
        <v>0.9</v>
      </c>
      <c r="AQ837" s="189">
        <f t="shared" si="131"/>
        <v>6343.2999999999993</v>
      </c>
      <c r="AR837" s="189">
        <f t="shared" si="132"/>
        <v>6149.7999999999993</v>
      </c>
      <c r="AS837" s="189">
        <f t="shared" si="128"/>
        <v>5373.7999999999993</v>
      </c>
      <c r="AT837" s="189">
        <f t="shared" si="129"/>
        <v>10747.599999999999</v>
      </c>
      <c r="AU837" s="50">
        <f t="shared" si="130"/>
        <v>12299.599999999999</v>
      </c>
    </row>
    <row r="838" spans="36:47">
      <c r="AJ838" s="50">
        <v>2</v>
      </c>
      <c r="AK838" s="50">
        <v>1</v>
      </c>
      <c r="AL838" s="50">
        <v>0</v>
      </c>
      <c r="AM838" s="15">
        <f>Tabela21[[#This Row],[Att subs]]+Tabela21[[#This Row],[Crit D subs]]</f>
        <v>1</v>
      </c>
      <c r="AN838" s="15">
        <v>0.2</v>
      </c>
      <c r="AO838" s="15">
        <v>0.8</v>
      </c>
      <c r="AP838" s="15">
        <v>1</v>
      </c>
      <c r="AQ838" s="189">
        <f t="shared" si="131"/>
        <v>6343.2999999999993</v>
      </c>
      <c r="AR838" s="189">
        <f t="shared" si="132"/>
        <v>6149.7999999999993</v>
      </c>
      <c r="AS838" s="189">
        <f t="shared" si="128"/>
        <v>5373.7999999999993</v>
      </c>
      <c r="AT838" s="189">
        <f t="shared" si="129"/>
        <v>10747.599999999999</v>
      </c>
      <c r="AU838" s="50">
        <f t="shared" si="130"/>
        <v>12299.599999999999</v>
      </c>
    </row>
    <row r="839" spans="36:47">
      <c r="AJ839" s="50">
        <v>2</v>
      </c>
      <c r="AK839" s="50">
        <v>0</v>
      </c>
      <c r="AL839" s="50">
        <v>1</v>
      </c>
      <c r="AM839" s="15">
        <f>Tabela21[[#This Row],[Att subs]]+Tabela21[[#This Row],[Crit D subs]]</f>
        <v>1</v>
      </c>
      <c r="AN839" s="15">
        <v>0.2</v>
      </c>
      <c r="AO839" s="15">
        <v>0.8</v>
      </c>
      <c r="AP839" s="15">
        <v>0</v>
      </c>
      <c r="AQ839" s="189">
        <f t="shared" si="131"/>
        <v>4135.74</v>
      </c>
      <c r="AR839" s="189">
        <f t="shared" si="132"/>
        <v>3984.7599999999998</v>
      </c>
      <c r="AS839" s="189">
        <f t="shared" si="128"/>
        <v>4108.92</v>
      </c>
      <c r="AT839" s="189">
        <f t="shared" si="129"/>
        <v>7946.2399999999989</v>
      </c>
      <c r="AU839" s="50">
        <f t="shared" si="130"/>
        <v>7232.32</v>
      </c>
    </row>
    <row r="840" spans="36:47">
      <c r="AJ840" s="50">
        <v>2</v>
      </c>
      <c r="AK840" s="50">
        <v>0</v>
      </c>
      <c r="AL840" s="50">
        <v>1</v>
      </c>
      <c r="AM840" s="15">
        <f>Tabela21[[#This Row],[Att subs]]+Tabela21[[#This Row],[Crit D subs]]</f>
        <v>1</v>
      </c>
      <c r="AN840" s="15">
        <v>0.2</v>
      </c>
      <c r="AO840" s="15">
        <v>0.8</v>
      </c>
      <c r="AP840" s="15">
        <v>0.1</v>
      </c>
      <c r="AQ840" s="189">
        <f t="shared" si="131"/>
        <v>4433.4399999999996</v>
      </c>
      <c r="AR840" s="189">
        <f t="shared" si="132"/>
        <v>4314.5599999999995</v>
      </c>
      <c r="AS840" s="189">
        <f t="shared" si="128"/>
        <v>4361.12</v>
      </c>
      <c r="AT840" s="189">
        <f t="shared" si="129"/>
        <v>8644.64</v>
      </c>
      <c r="AU840" s="50">
        <f t="shared" si="130"/>
        <v>8085.9199999999983</v>
      </c>
    </row>
    <row r="841" spans="36:47">
      <c r="AJ841" s="50">
        <v>2</v>
      </c>
      <c r="AK841" s="50">
        <v>0</v>
      </c>
      <c r="AL841" s="50">
        <v>1</v>
      </c>
      <c r="AM841" s="15">
        <f>Tabela21[[#This Row],[Att subs]]+Tabela21[[#This Row],[Crit D subs]]</f>
        <v>1</v>
      </c>
      <c r="AN841" s="15">
        <v>0.2</v>
      </c>
      <c r="AO841" s="15">
        <v>0.8</v>
      </c>
      <c r="AP841" s="15">
        <v>0.2</v>
      </c>
      <c r="AQ841" s="189">
        <f t="shared" si="131"/>
        <v>4731.1399999999994</v>
      </c>
      <c r="AR841" s="189">
        <f t="shared" si="132"/>
        <v>4644.3599999999997</v>
      </c>
      <c r="AS841" s="189">
        <f t="shared" si="128"/>
        <v>4462</v>
      </c>
      <c r="AT841" s="189">
        <f t="shared" si="129"/>
        <v>8924</v>
      </c>
      <c r="AU841" s="50">
        <f t="shared" si="130"/>
        <v>8939.5199999999968</v>
      </c>
    </row>
    <row r="842" spans="36:47">
      <c r="AJ842" s="50">
        <v>2</v>
      </c>
      <c r="AK842" s="50">
        <v>0</v>
      </c>
      <c r="AL842" s="50">
        <v>1</v>
      </c>
      <c r="AM842" s="15">
        <f>Tabela21[[#This Row],[Att subs]]+Tabela21[[#This Row],[Crit D subs]]</f>
        <v>1</v>
      </c>
      <c r="AN842" s="15">
        <v>0.2</v>
      </c>
      <c r="AO842" s="15">
        <v>0.8</v>
      </c>
      <c r="AP842" s="15">
        <v>0.3</v>
      </c>
      <c r="AQ842" s="189">
        <f t="shared" si="131"/>
        <v>5028.84</v>
      </c>
      <c r="AR842" s="189">
        <f t="shared" si="132"/>
        <v>4974.16</v>
      </c>
      <c r="AS842" s="189">
        <f t="shared" si="128"/>
        <v>4462</v>
      </c>
      <c r="AT842" s="189">
        <f t="shared" si="129"/>
        <v>8924</v>
      </c>
      <c r="AU842" s="50">
        <f t="shared" si="130"/>
        <v>9793.1200000000008</v>
      </c>
    </row>
    <row r="843" spans="36:47">
      <c r="AJ843" s="50">
        <v>2</v>
      </c>
      <c r="AK843" s="50">
        <v>0</v>
      </c>
      <c r="AL843" s="50">
        <v>1</v>
      </c>
      <c r="AM843" s="15">
        <f>Tabela21[[#This Row],[Att subs]]+Tabela21[[#This Row],[Crit D subs]]</f>
        <v>1</v>
      </c>
      <c r="AN843" s="15">
        <v>0.2</v>
      </c>
      <c r="AO843" s="15">
        <v>0.8</v>
      </c>
      <c r="AP843" s="15">
        <v>0.4</v>
      </c>
      <c r="AQ843" s="189">
        <f t="shared" si="131"/>
        <v>5267</v>
      </c>
      <c r="AR843" s="189">
        <f t="shared" si="132"/>
        <v>5237.9999999999991</v>
      </c>
      <c r="AS843" s="189">
        <f t="shared" si="128"/>
        <v>4462</v>
      </c>
      <c r="AT843" s="189">
        <f t="shared" si="129"/>
        <v>8924</v>
      </c>
      <c r="AU843" s="50">
        <f t="shared" si="130"/>
        <v>10475.999999999998</v>
      </c>
    </row>
    <row r="844" spans="36:47">
      <c r="AJ844" s="50">
        <v>2</v>
      </c>
      <c r="AK844" s="50">
        <v>0</v>
      </c>
      <c r="AL844" s="50">
        <v>1</v>
      </c>
      <c r="AM844" s="15">
        <f>Tabela21[[#This Row],[Att subs]]+Tabela21[[#This Row],[Crit D subs]]</f>
        <v>1</v>
      </c>
      <c r="AN844" s="15">
        <v>0.2</v>
      </c>
      <c r="AO844" s="15">
        <v>0.8</v>
      </c>
      <c r="AP844" s="15">
        <v>0.5</v>
      </c>
      <c r="AQ844" s="189">
        <f t="shared" si="131"/>
        <v>5267</v>
      </c>
      <c r="AR844" s="189">
        <f t="shared" si="132"/>
        <v>5237.9999999999991</v>
      </c>
      <c r="AS844" s="189">
        <f t="shared" si="128"/>
        <v>4462</v>
      </c>
      <c r="AT844" s="189">
        <f t="shared" si="129"/>
        <v>8924</v>
      </c>
      <c r="AU844" s="50">
        <f t="shared" si="130"/>
        <v>10475.999999999998</v>
      </c>
    </row>
    <row r="845" spans="36:47">
      <c r="AJ845" s="50">
        <v>2</v>
      </c>
      <c r="AK845" s="50">
        <v>0</v>
      </c>
      <c r="AL845" s="50">
        <v>1</v>
      </c>
      <c r="AM845" s="15">
        <f>Tabela21[[#This Row],[Att subs]]+Tabela21[[#This Row],[Crit D subs]]</f>
        <v>1</v>
      </c>
      <c r="AN845" s="15">
        <v>0.2</v>
      </c>
      <c r="AO845" s="15">
        <v>0.8</v>
      </c>
      <c r="AP845" s="15">
        <v>0.6</v>
      </c>
      <c r="AQ845" s="189">
        <f t="shared" si="131"/>
        <v>5267</v>
      </c>
      <c r="AR845" s="189">
        <f t="shared" si="132"/>
        <v>5237.9999999999991</v>
      </c>
      <c r="AS845" s="189">
        <f t="shared" si="128"/>
        <v>4462</v>
      </c>
      <c r="AT845" s="189">
        <f t="shared" si="129"/>
        <v>8924</v>
      </c>
      <c r="AU845" s="50">
        <f t="shared" si="130"/>
        <v>10475.999999999998</v>
      </c>
    </row>
    <row r="846" spans="36:47">
      <c r="AJ846" s="50">
        <v>2</v>
      </c>
      <c r="AK846" s="50">
        <v>0</v>
      </c>
      <c r="AL846" s="50">
        <v>1</v>
      </c>
      <c r="AM846" s="15">
        <f>Tabela21[[#This Row],[Att subs]]+Tabela21[[#This Row],[Crit D subs]]</f>
        <v>1</v>
      </c>
      <c r="AN846" s="15">
        <v>0.2</v>
      </c>
      <c r="AO846" s="15">
        <v>0.8</v>
      </c>
      <c r="AP846" s="15">
        <v>0.7</v>
      </c>
      <c r="AQ846" s="189">
        <f t="shared" si="131"/>
        <v>5267</v>
      </c>
      <c r="AR846" s="189">
        <f t="shared" si="132"/>
        <v>5237.9999999999991</v>
      </c>
      <c r="AS846" s="189">
        <f t="shared" si="128"/>
        <v>4462</v>
      </c>
      <c r="AT846" s="189">
        <f t="shared" si="129"/>
        <v>8924</v>
      </c>
      <c r="AU846" s="50">
        <f t="shared" si="130"/>
        <v>10475.999999999998</v>
      </c>
    </row>
    <row r="847" spans="36:47">
      <c r="AJ847" s="50">
        <v>2</v>
      </c>
      <c r="AK847" s="50">
        <v>0</v>
      </c>
      <c r="AL847" s="50">
        <v>1</v>
      </c>
      <c r="AM847" s="15">
        <f>Tabela21[[#This Row],[Att subs]]+Tabela21[[#This Row],[Crit D subs]]</f>
        <v>1</v>
      </c>
      <c r="AN847" s="15">
        <v>0.2</v>
      </c>
      <c r="AO847" s="15">
        <v>0.8</v>
      </c>
      <c r="AP847" s="15">
        <v>0.8</v>
      </c>
      <c r="AQ847" s="189">
        <f t="shared" si="131"/>
        <v>5267</v>
      </c>
      <c r="AR847" s="189">
        <f t="shared" si="132"/>
        <v>5237.9999999999991</v>
      </c>
      <c r="AS847" s="189">
        <f t="shared" si="128"/>
        <v>4462</v>
      </c>
      <c r="AT847" s="189">
        <f t="shared" si="129"/>
        <v>8924</v>
      </c>
      <c r="AU847" s="50">
        <f t="shared" si="130"/>
        <v>10475.999999999998</v>
      </c>
    </row>
    <row r="848" spans="36:47">
      <c r="AJ848" s="50">
        <v>2</v>
      </c>
      <c r="AK848" s="50">
        <v>0</v>
      </c>
      <c r="AL848" s="50">
        <v>1</v>
      </c>
      <c r="AM848" s="15">
        <f>Tabela21[[#This Row],[Att subs]]+Tabela21[[#This Row],[Crit D subs]]</f>
        <v>1</v>
      </c>
      <c r="AN848" s="15">
        <v>0.2</v>
      </c>
      <c r="AO848" s="15">
        <v>0.8</v>
      </c>
      <c r="AP848" s="15">
        <v>0.9</v>
      </c>
      <c r="AQ848" s="189">
        <f t="shared" si="131"/>
        <v>5267</v>
      </c>
      <c r="AR848" s="189">
        <f t="shared" si="132"/>
        <v>5237.9999999999991</v>
      </c>
      <c r="AS848" s="189">
        <f t="shared" si="128"/>
        <v>4462</v>
      </c>
      <c r="AT848" s="189">
        <f t="shared" si="129"/>
        <v>8924</v>
      </c>
      <c r="AU848" s="50">
        <f t="shared" si="130"/>
        <v>10475.999999999998</v>
      </c>
    </row>
    <row r="849" spans="36:47">
      <c r="AJ849" s="50">
        <v>2</v>
      </c>
      <c r="AK849" s="50">
        <v>0</v>
      </c>
      <c r="AL849" s="50">
        <v>1</v>
      </c>
      <c r="AM849" s="15">
        <f>Tabela21[[#This Row],[Att subs]]+Tabela21[[#This Row],[Crit D subs]]</f>
        <v>1</v>
      </c>
      <c r="AN849" s="15">
        <v>0.2</v>
      </c>
      <c r="AO849" s="15">
        <v>0.8</v>
      </c>
      <c r="AP849" s="15">
        <v>1</v>
      </c>
      <c r="AQ849" s="189">
        <f t="shared" si="131"/>
        <v>5267</v>
      </c>
      <c r="AR849" s="189">
        <f t="shared" si="132"/>
        <v>5237.9999999999991</v>
      </c>
      <c r="AS849" s="189">
        <f t="shared" si="128"/>
        <v>4462</v>
      </c>
      <c r="AT849" s="189">
        <f t="shared" si="129"/>
        <v>8924</v>
      </c>
      <c r="AU849" s="50">
        <f t="shared" si="130"/>
        <v>10475.999999999998</v>
      </c>
    </row>
    <row r="850" spans="36:47">
      <c r="AJ850" s="50">
        <v>3</v>
      </c>
      <c r="AK850" s="50">
        <v>0</v>
      </c>
      <c r="AL850" s="50">
        <v>0</v>
      </c>
      <c r="AM850" s="15">
        <f>Tabela21[[#This Row],[Att subs]]+Tabela21[[#This Row],[Crit D subs]]</f>
        <v>1</v>
      </c>
      <c r="AN850" s="15">
        <v>0.2</v>
      </c>
      <c r="AO850" s="15">
        <v>0.8</v>
      </c>
      <c r="AP850" s="15">
        <v>0</v>
      </c>
      <c r="AQ850" s="189">
        <f t="shared" si="131"/>
        <v>3593.66</v>
      </c>
      <c r="AR850" s="189">
        <f t="shared" si="132"/>
        <v>3370.29</v>
      </c>
      <c r="AS850" s="189">
        <f t="shared" si="128"/>
        <v>3841.5299999999997</v>
      </c>
      <c r="AT850" s="189">
        <f t="shared" si="129"/>
        <v>6551.1599999999989</v>
      </c>
      <c r="AU850" s="50">
        <f t="shared" si="130"/>
        <v>5054.28</v>
      </c>
    </row>
    <row r="851" spans="36:47">
      <c r="AJ851" s="50">
        <v>3</v>
      </c>
      <c r="AK851" s="50">
        <v>0</v>
      </c>
      <c r="AL851" s="50">
        <v>0</v>
      </c>
      <c r="AM851" s="15">
        <f>Tabela21[[#This Row],[Att subs]]+Tabela21[[#This Row],[Crit D subs]]</f>
        <v>1</v>
      </c>
      <c r="AN851" s="15">
        <v>0.2</v>
      </c>
      <c r="AO851" s="15">
        <v>0.8</v>
      </c>
      <c r="AP851" s="15">
        <v>0.1</v>
      </c>
      <c r="AQ851" s="189">
        <f t="shared" si="131"/>
        <v>3939.4599999999996</v>
      </c>
      <c r="AR851" s="189">
        <f t="shared" si="132"/>
        <v>3762.99</v>
      </c>
      <c r="AS851" s="189">
        <f t="shared" si="128"/>
        <v>4141.829999999999</v>
      </c>
      <c r="AT851" s="189">
        <f t="shared" si="129"/>
        <v>7382.7599999999993</v>
      </c>
      <c r="AU851" s="50">
        <f t="shared" si="130"/>
        <v>6070.6799999999994</v>
      </c>
    </row>
    <row r="852" spans="36:47">
      <c r="AJ852" s="50">
        <v>3</v>
      </c>
      <c r="AK852" s="50">
        <v>0</v>
      </c>
      <c r="AL852" s="50">
        <v>0</v>
      </c>
      <c r="AM852" s="15">
        <f>Tabela21[[#This Row],[Att subs]]+Tabela21[[#This Row],[Crit D subs]]</f>
        <v>1</v>
      </c>
      <c r="AN852" s="15">
        <v>0.2</v>
      </c>
      <c r="AO852" s="15">
        <v>0.8</v>
      </c>
      <c r="AP852" s="15">
        <v>0.2</v>
      </c>
      <c r="AQ852" s="189">
        <f t="shared" si="131"/>
        <v>4285.2599999999993</v>
      </c>
      <c r="AR852" s="189">
        <f t="shared" si="132"/>
        <v>4155.6899999999996</v>
      </c>
      <c r="AS852" s="189">
        <f t="shared" si="128"/>
        <v>4442.1299999999992</v>
      </c>
      <c r="AT852" s="189">
        <f t="shared" si="129"/>
        <v>8214.3599999999988</v>
      </c>
      <c r="AU852" s="50">
        <f t="shared" si="130"/>
        <v>7087.079999999999</v>
      </c>
    </row>
    <row r="853" spans="36:47">
      <c r="AJ853" s="50">
        <v>3</v>
      </c>
      <c r="AK853" s="50">
        <v>0</v>
      </c>
      <c r="AL853" s="50">
        <v>0</v>
      </c>
      <c r="AM853" s="15">
        <f>Tabela21[[#This Row],[Att subs]]+Tabela21[[#This Row],[Crit D subs]]</f>
        <v>1</v>
      </c>
      <c r="AN853" s="15">
        <v>0.2</v>
      </c>
      <c r="AO853" s="15">
        <v>0.8</v>
      </c>
      <c r="AP853" s="15">
        <v>0.3</v>
      </c>
      <c r="AQ853" s="189">
        <f t="shared" si="131"/>
        <v>4631.0599999999995</v>
      </c>
      <c r="AR853" s="189">
        <f t="shared" si="132"/>
        <v>4548.3899999999994</v>
      </c>
      <c r="AS853" s="189">
        <f t="shared" si="128"/>
        <v>4742.43</v>
      </c>
      <c r="AT853" s="189">
        <f t="shared" si="129"/>
        <v>9045.9599999999991</v>
      </c>
      <c r="AU853" s="50">
        <f t="shared" si="130"/>
        <v>8103.4799999999987</v>
      </c>
    </row>
    <row r="854" spans="36:47">
      <c r="AJ854" s="50">
        <v>3</v>
      </c>
      <c r="AK854" s="50">
        <v>0</v>
      </c>
      <c r="AL854" s="50">
        <v>0</v>
      </c>
      <c r="AM854" s="15">
        <f>Tabela21[[#This Row],[Att subs]]+Tabela21[[#This Row],[Crit D subs]]</f>
        <v>1</v>
      </c>
      <c r="AN854" s="15">
        <v>0.2</v>
      </c>
      <c r="AO854" s="15">
        <v>0.8</v>
      </c>
      <c r="AP854" s="15">
        <v>0.4</v>
      </c>
      <c r="AQ854" s="189">
        <f t="shared" si="131"/>
        <v>4976.8599999999997</v>
      </c>
      <c r="AR854" s="189">
        <f t="shared" si="132"/>
        <v>4941.0899999999992</v>
      </c>
      <c r="AS854" s="189">
        <f t="shared" si="128"/>
        <v>5042.7299999999996</v>
      </c>
      <c r="AT854" s="189">
        <f t="shared" si="129"/>
        <v>9877.56</v>
      </c>
      <c r="AU854" s="50">
        <f t="shared" si="130"/>
        <v>9119.8799999999992</v>
      </c>
    </row>
    <row r="855" spans="36:47">
      <c r="AJ855" s="50">
        <v>3</v>
      </c>
      <c r="AK855" s="50">
        <v>0</v>
      </c>
      <c r="AL855" s="50">
        <v>0</v>
      </c>
      <c r="AM855" s="15">
        <f>Tabela21[[#This Row],[Att subs]]+Tabela21[[#This Row],[Crit D subs]]</f>
        <v>1</v>
      </c>
      <c r="AN855" s="15">
        <v>0.2</v>
      </c>
      <c r="AO855" s="15">
        <v>0.8</v>
      </c>
      <c r="AP855" s="15">
        <v>0.5</v>
      </c>
      <c r="AQ855" s="189">
        <f t="shared" si="131"/>
        <v>5322.66</v>
      </c>
      <c r="AR855" s="189">
        <f t="shared" si="132"/>
        <v>5333.7899999999991</v>
      </c>
      <c r="AS855" s="189">
        <f t="shared" si="128"/>
        <v>5313</v>
      </c>
      <c r="AT855" s="189">
        <f t="shared" si="129"/>
        <v>10626</v>
      </c>
      <c r="AU855" s="50">
        <f t="shared" si="130"/>
        <v>10136.280000000001</v>
      </c>
    </row>
    <row r="856" spans="36:47">
      <c r="AJ856" s="50">
        <v>3</v>
      </c>
      <c r="AK856" s="50">
        <v>0</v>
      </c>
      <c r="AL856" s="50">
        <v>0</v>
      </c>
      <c r="AM856" s="15">
        <f>Tabela21[[#This Row],[Att subs]]+Tabela21[[#This Row],[Crit D subs]]</f>
        <v>1</v>
      </c>
      <c r="AN856" s="15">
        <v>0.2</v>
      </c>
      <c r="AO856" s="15">
        <v>0.8</v>
      </c>
      <c r="AP856" s="15">
        <v>0.6</v>
      </c>
      <c r="AQ856" s="189">
        <f t="shared" si="131"/>
        <v>5668.4599999999991</v>
      </c>
      <c r="AR856" s="189">
        <f t="shared" si="132"/>
        <v>5726.4899999999989</v>
      </c>
      <c r="AS856" s="189">
        <f t="shared" si="128"/>
        <v>5313</v>
      </c>
      <c r="AT856" s="189">
        <f t="shared" si="129"/>
        <v>10626</v>
      </c>
      <c r="AU856" s="50">
        <f t="shared" si="130"/>
        <v>11152.679999999998</v>
      </c>
    </row>
    <row r="857" spans="36:47">
      <c r="AJ857" s="50">
        <v>3</v>
      </c>
      <c r="AK857" s="50">
        <v>0</v>
      </c>
      <c r="AL857" s="50">
        <v>0</v>
      </c>
      <c r="AM857" s="15">
        <f>Tabela21[[#This Row],[Att subs]]+Tabela21[[#This Row],[Crit D subs]]</f>
        <v>1</v>
      </c>
      <c r="AN857" s="15">
        <v>0.2</v>
      </c>
      <c r="AO857" s="15">
        <v>0.8</v>
      </c>
      <c r="AP857" s="15">
        <v>0.7</v>
      </c>
      <c r="AQ857" s="189">
        <f t="shared" si="131"/>
        <v>6014.26</v>
      </c>
      <c r="AR857" s="189">
        <f t="shared" si="132"/>
        <v>6119.19</v>
      </c>
      <c r="AS857" s="189">
        <f t="shared" si="128"/>
        <v>5313</v>
      </c>
      <c r="AT857" s="189">
        <f t="shared" si="129"/>
        <v>10626</v>
      </c>
      <c r="AU857" s="50">
        <f t="shared" si="130"/>
        <v>12169.08</v>
      </c>
    </row>
    <row r="858" spans="36:47">
      <c r="AJ858" s="50">
        <v>3</v>
      </c>
      <c r="AK858" s="50">
        <v>0</v>
      </c>
      <c r="AL858" s="50">
        <v>0</v>
      </c>
      <c r="AM858" s="15">
        <f>Tabela21[[#This Row],[Att subs]]+Tabela21[[#This Row],[Crit D subs]]</f>
        <v>1</v>
      </c>
      <c r="AN858" s="15">
        <v>0.2</v>
      </c>
      <c r="AO858" s="15">
        <v>0.8</v>
      </c>
      <c r="AP858" s="15">
        <v>0.8</v>
      </c>
      <c r="AQ858" s="189">
        <f t="shared" si="131"/>
        <v>6117.9999999999991</v>
      </c>
      <c r="AR858" s="189">
        <f t="shared" si="132"/>
        <v>6236.9999999999991</v>
      </c>
      <c r="AS858" s="189">
        <f t="shared" si="128"/>
        <v>5313</v>
      </c>
      <c r="AT858" s="189">
        <f t="shared" si="129"/>
        <v>10626</v>
      </c>
      <c r="AU858" s="50">
        <f t="shared" si="130"/>
        <v>12473.999999999998</v>
      </c>
    </row>
    <row r="859" spans="36:47">
      <c r="AJ859" s="50">
        <v>3</v>
      </c>
      <c r="AK859" s="50">
        <v>0</v>
      </c>
      <c r="AL859" s="50">
        <v>0</v>
      </c>
      <c r="AM859" s="15">
        <f>Tabela21[[#This Row],[Att subs]]+Tabela21[[#This Row],[Crit D subs]]</f>
        <v>1</v>
      </c>
      <c r="AN859" s="15">
        <v>0.2</v>
      </c>
      <c r="AO859" s="15">
        <v>0.8</v>
      </c>
      <c r="AP859" s="15">
        <v>0.9</v>
      </c>
      <c r="AQ859" s="189">
        <f t="shared" si="131"/>
        <v>6117.9999999999991</v>
      </c>
      <c r="AR859" s="189">
        <f t="shared" si="132"/>
        <v>6236.9999999999991</v>
      </c>
      <c r="AS859" s="189">
        <f t="shared" si="128"/>
        <v>5313</v>
      </c>
      <c r="AT859" s="189">
        <f t="shared" si="129"/>
        <v>10626</v>
      </c>
      <c r="AU859" s="50">
        <f t="shared" si="130"/>
        <v>12473.999999999998</v>
      </c>
    </row>
    <row r="860" spans="36:47">
      <c r="AJ860" s="50">
        <v>3</v>
      </c>
      <c r="AK860" s="50">
        <v>0</v>
      </c>
      <c r="AL860" s="50">
        <v>0</v>
      </c>
      <c r="AM860" s="15">
        <f>Tabela21[[#This Row],[Att subs]]+Tabela21[[#This Row],[Crit D subs]]</f>
        <v>1</v>
      </c>
      <c r="AN860" s="15">
        <v>0.2</v>
      </c>
      <c r="AO860" s="15">
        <v>0.8</v>
      </c>
      <c r="AP860" s="15">
        <v>1</v>
      </c>
      <c r="AQ860" s="189">
        <f t="shared" si="131"/>
        <v>6117.9999999999991</v>
      </c>
      <c r="AR860" s="189">
        <f t="shared" si="132"/>
        <v>6236.9999999999991</v>
      </c>
      <c r="AS860" s="189">
        <f t="shared" si="128"/>
        <v>5313</v>
      </c>
      <c r="AT860" s="189">
        <f t="shared" si="129"/>
        <v>10626</v>
      </c>
      <c r="AU860" s="50">
        <f t="shared" si="130"/>
        <v>12473.999999999998</v>
      </c>
    </row>
    <row r="861" spans="36:47">
      <c r="AJ861" s="50">
        <v>2</v>
      </c>
      <c r="AK861" s="50">
        <v>1</v>
      </c>
      <c r="AL861" s="50">
        <v>0</v>
      </c>
      <c r="AM861" s="15">
        <f>Tabela21[[#This Row],[Att subs]]+Tabela21[[#This Row],[Crit D subs]]</f>
        <v>1.2000000000000002</v>
      </c>
      <c r="AN861" s="15">
        <v>0.4</v>
      </c>
      <c r="AO861" s="15">
        <v>0.8</v>
      </c>
      <c r="AP861" s="15">
        <v>0</v>
      </c>
      <c r="AQ861" s="189">
        <f t="shared" si="131"/>
        <v>3679.971</v>
      </c>
      <c r="AR861" s="189">
        <f t="shared" si="132"/>
        <v>3393.8259999999996</v>
      </c>
      <c r="AS861" s="189">
        <f t="shared" si="128"/>
        <v>4071.7779999999998</v>
      </c>
      <c r="AT861" s="189">
        <f t="shared" si="129"/>
        <v>7094.9559999999992</v>
      </c>
      <c r="AU861" s="50">
        <f t="shared" si="130"/>
        <v>5225.4519999999993</v>
      </c>
    </row>
    <row r="862" spans="36:47">
      <c r="AJ862" s="50">
        <v>2</v>
      </c>
      <c r="AK862" s="50">
        <v>1</v>
      </c>
      <c r="AL862" s="50">
        <v>0</v>
      </c>
      <c r="AM862" s="15">
        <f>Tabela21[[#This Row],[Att subs]]+Tabela21[[#This Row],[Crit D subs]]</f>
        <v>1.2000000000000002</v>
      </c>
      <c r="AN862" s="15">
        <v>0.4</v>
      </c>
      <c r="AO862" s="15">
        <v>0.8</v>
      </c>
      <c r="AP862" s="15">
        <v>0.1</v>
      </c>
      <c r="AQ862" s="189">
        <f t="shared" si="131"/>
        <v>4120.701</v>
      </c>
      <c r="AR862" s="189">
        <f t="shared" si="132"/>
        <v>3858.2059999999992</v>
      </c>
      <c r="AS862" s="189">
        <f t="shared" si="128"/>
        <v>4450.558</v>
      </c>
      <c r="AT862" s="189">
        <f t="shared" si="129"/>
        <v>8066.5159999999996</v>
      </c>
      <c r="AU862" s="50">
        <f t="shared" si="130"/>
        <v>6368.2119999999986</v>
      </c>
    </row>
    <row r="863" spans="36:47">
      <c r="AJ863" s="50">
        <v>2</v>
      </c>
      <c r="AK863" s="50">
        <v>1</v>
      </c>
      <c r="AL863" s="50">
        <v>0</v>
      </c>
      <c r="AM863" s="15">
        <f>Tabela21[[#This Row],[Att subs]]+Tabela21[[#This Row],[Crit D subs]]</f>
        <v>1.2000000000000002</v>
      </c>
      <c r="AN863" s="15">
        <v>0.4</v>
      </c>
      <c r="AO863" s="15">
        <v>0.8</v>
      </c>
      <c r="AP863" s="15">
        <v>0.2</v>
      </c>
      <c r="AQ863" s="189">
        <f t="shared" si="131"/>
        <v>4561.4309999999987</v>
      </c>
      <c r="AR863" s="189">
        <f t="shared" si="132"/>
        <v>4322.5859999999993</v>
      </c>
      <c r="AS863" s="189">
        <f t="shared" si="128"/>
        <v>4829.3379999999988</v>
      </c>
      <c r="AT863" s="189">
        <f t="shared" si="129"/>
        <v>9038.0759999999973</v>
      </c>
      <c r="AU863" s="50">
        <f t="shared" si="130"/>
        <v>7510.9719999999988</v>
      </c>
    </row>
    <row r="864" spans="36:47">
      <c r="AJ864" s="50">
        <v>2</v>
      </c>
      <c r="AK864" s="50">
        <v>1</v>
      </c>
      <c r="AL864" s="50">
        <v>0</v>
      </c>
      <c r="AM864" s="15">
        <f>Tabela21[[#This Row],[Att subs]]+Tabela21[[#This Row],[Crit D subs]]</f>
        <v>1.2000000000000002</v>
      </c>
      <c r="AN864" s="15">
        <v>0.4</v>
      </c>
      <c r="AO864" s="15">
        <v>0.8</v>
      </c>
      <c r="AP864" s="15">
        <v>0.3</v>
      </c>
      <c r="AQ864" s="189">
        <f t="shared" si="131"/>
        <v>5002.1609999999991</v>
      </c>
      <c r="AR864" s="189">
        <f t="shared" si="132"/>
        <v>4786.9659999999985</v>
      </c>
      <c r="AS864" s="189">
        <f t="shared" si="128"/>
        <v>5208.1179999999986</v>
      </c>
      <c r="AT864" s="189">
        <f t="shared" si="129"/>
        <v>10009.635999999999</v>
      </c>
      <c r="AU864" s="50">
        <f t="shared" si="130"/>
        <v>8653.7319999999982</v>
      </c>
    </row>
    <row r="865" spans="36:47">
      <c r="AJ865" s="50">
        <v>2</v>
      </c>
      <c r="AK865" s="50">
        <v>1</v>
      </c>
      <c r="AL865" s="50">
        <v>0</v>
      </c>
      <c r="AM865" s="15">
        <f>Tabela21[[#This Row],[Att subs]]+Tabela21[[#This Row],[Crit D subs]]</f>
        <v>1.2000000000000002</v>
      </c>
      <c r="AN865" s="15">
        <v>0.4</v>
      </c>
      <c r="AO865" s="15">
        <v>0.8</v>
      </c>
      <c r="AP865" s="15">
        <v>0.4</v>
      </c>
      <c r="AQ865" s="189">
        <f t="shared" si="131"/>
        <v>5442.8909999999996</v>
      </c>
      <c r="AR865" s="189">
        <f t="shared" si="132"/>
        <v>5251.3459999999995</v>
      </c>
      <c r="AS865" s="189">
        <f t="shared" si="128"/>
        <v>5586.8979999999992</v>
      </c>
      <c r="AT865" s="189">
        <f t="shared" si="129"/>
        <v>10981.195999999998</v>
      </c>
      <c r="AU865" s="50">
        <f t="shared" si="130"/>
        <v>9796.4920000000002</v>
      </c>
    </row>
    <row r="866" spans="36:47">
      <c r="AJ866" s="50">
        <v>2</v>
      </c>
      <c r="AK866" s="50">
        <v>1</v>
      </c>
      <c r="AL866" s="50">
        <v>0</v>
      </c>
      <c r="AM866" s="15">
        <f>Tabela21[[#This Row],[Att subs]]+Tabela21[[#This Row],[Crit D subs]]</f>
        <v>1.2000000000000002</v>
      </c>
      <c r="AN866" s="15">
        <v>0.4</v>
      </c>
      <c r="AO866" s="15">
        <v>0.8</v>
      </c>
      <c r="AP866" s="15">
        <v>0.5</v>
      </c>
      <c r="AQ866" s="189">
        <f t="shared" si="131"/>
        <v>5883.6209999999992</v>
      </c>
      <c r="AR866" s="189">
        <f t="shared" si="132"/>
        <v>5715.7259999999987</v>
      </c>
      <c r="AS866" s="189">
        <f t="shared" si="128"/>
        <v>5927.7999999999993</v>
      </c>
      <c r="AT866" s="189">
        <f t="shared" si="129"/>
        <v>11855.599999999999</v>
      </c>
      <c r="AU866" s="50">
        <f t="shared" si="130"/>
        <v>10939.251999999997</v>
      </c>
    </row>
    <row r="867" spans="36:47">
      <c r="AJ867" s="50">
        <v>2</v>
      </c>
      <c r="AK867" s="50">
        <v>1</v>
      </c>
      <c r="AL867" s="50">
        <v>0</v>
      </c>
      <c r="AM867" s="15">
        <f>Tabela21[[#This Row],[Att subs]]+Tabela21[[#This Row],[Crit D subs]]</f>
        <v>1.2000000000000002</v>
      </c>
      <c r="AN867" s="15">
        <v>0.4</v>
      </c>
      <c r="AO867" s="15">
        <v>0.8</v>
      </c>
      <c r="AP867" s="15">
        <v>0.6</v>
      </c>
      <c r="AQ867" s="189">
        <f t="shared" si="131"/>
        <v>6324.3509999999987</v>
      </c>
      <c r="AR867" s="189">
        <f t="shared" si="132"/>
        <v>6180.1059999999979</v>
      </c>
      <c r="AS867" s="189">
        <f t="shared" si="128"/>
        <v>5927.7999999999993</v>
      </c>
      <c r="AT867" s="189">
        <f t="shared" si="129"/>
        <v>11855.599999999999</v>
      </c>
      <c r="AU867" s="50">
        <f t="shared" si="130"/>
        <v>12082.011999999997</v>
      </c>
    </row>
    <row r="868" spans="36:47">
      <c r="AJ868" s="50">
        <v>2</v>
      </c>
      <c r="AK868" s="50">
        <v>1</v>
      </c>
      <c r="AL868" s="50">
        <v>0</v>
      </c>
      <c r="AM868" s="15">
        <f>Tabela21[[#This Row],[Att subs]]+Tabela21[[#This Row],[Crit D subs]]</f>
        <v>1.2000000000000002</v>
      </c>
      <c r="AN868" s="15">
        <v>0.4</v>
      </c>
      <c r="AO868" s="15">
        <v>0.8</v>
      </c>
      <c r="AP868" s="15">
        <v>0.7</v>
      </c>
      <c r="AQ868" s="189">
        <f t="shared" si="131"/>
        <v>6765.0810000000001</v>
      </c>
      <c r="AR868" s="189">
        <f t="shared" si="132"/>
        <v>6644.4859999999999</v>
      </c>
      <c r="AS868" s="189">
        <f t="shared" si="128"/>
        <v>5927.7999999999993</v>
      </c>
      <c r="AT868" s="189">
        <f t="shared" si="129"/>
        <v>11855.599999999999</v>
      </c>
      <c r="AU868" s="50">
        <f t="shared" si="130"/>
        <v>13224.771999999999</v>
      </c>
    </row>
    <row r="869" spans="36:47">
      <c r="AJ869" s="50">
        <v>2</v>
      </c>
      <c r="AK869" s="50">
        <v>1</v>
      </c>
      <c r="AL869" s="50">
        <v>0</v>
      </c>
      <c r="AM869" s="15">
        <f>Tabela21[[#This Row],[Att subs]]+Tabela21[[#This Row],[Crit D subs]]</f>
        <v>1.2000000000000002</v>
      </c>
      <c r="AN869" s="15">
        <v>0.4</v>
      </c>
      <c r="AO869" s="15">
        <v>0.8</v>
      </c>
      <c r="AP869" s="15">
        <v>0.8</v>
      </c>
      <c r="AQ869" s="189">
        <f t="shared" si="131"/>
        <v>6897.2999999999993</v>
      </c>
      <c r="AR869" s="189">
        <f t="shared" si="132"/>
        <v>6783.7999999999993</v>
      </c>
      <c r="AS869" s="189">
        <f t="shared" si="128"/>
        <v>5927.7999999999993</v>
      </c>
      <c r="AT869" s="189">
        <f t="shared" si="129"/>
        <v>11855.599999999999</v>
      </c>
      <c r="AU869" s="50">
        <f t="shared" si="130"/>
        <v>13567.599999999999</v>
      </c>
    </row>
    <row r="870" spans="36:47">
      <c r="AJ870" s="50">
        <v>2</v>
      </c>
      <c r="AK870" s="50">
        <v>1</v>
      </c>
      <c r="AL870" s="50">
        <v>0</v>
      </c>
      <c r="AM870" s="15">
        <f>Tabela21[[#This Row],[Att subs]]+Tabela21[[#This Row],[Crit D subs]]</f>
        <v>1.2000000000000002</v>
      </c>
      <c r="AN870" s="15">
        <v>0.4</v>
      </c>
      <c r="AO870" s="15">
        <v>0.8</v>
      </c>
      <c r="AP870" s="15">
        <v>0.9</v>
      </c>
      <c r="AQ870" s="189">
        <f t="shared" si="131"/>
        <v>6897.2999999999993</v>
      </c>
      <c r="AR870" s="189">
        <f t="shared" si="132"/>
        <v>6783.7999999999993</v>
      </c>
      <c r="AS870" s="189">
        <f t="shared" si="128"/>
        <v>5927.7999999999993</v>
      </c>
      <c r="AT870" s="189">
        <f t="shared" si="129"/>
        <v>11855.599999999999</v>
      </c>
      <c r="AU870" s="50">
        <f t="shared" si="130"/>
        <v>13567.599999999999</v>
      </c>
    </row>
    <row r="871" spans="36:47">
      <c r="AJ871" s="50">
        <v>2</v>
      </c>
      <c r="AK871" s="50">
        <v>1</v>
      </c>
      <c r="AL871" s="50">
        <v>0</v>
      </c>
      <c r="AM871" s="15">
        <f>Tabela21[[#This Row],[Att subs]]+Tabela21[[#This Row],[Crit D subs]]</f>
        <v>1.2000000000000002</v>
      </c>
      <c r="AN871" s="15">
        <v>0.4</v>
      </c>
      <c r="AO871" s="15">
        <v>0.8</v>
      </c>
      <c r="AP871" s="15">
        <v>1</v>
      </c>
      <c r="AQ871" s="189">
        <f t="shared" si="131"/>
        <v>6897.2999999999993</v>
      </c>
      <c r="AR871" s="189">
        <f t="shared" si="132"/>
        <v>6783.7999999999993</v>
      </c>
      <c r="AS871" s="189">
        <f t="shared" si="128"/>
        <v>5927.7999999999993</v>
      </c>
      <c r="AT871" s="189">
        <f t="shared" si="129"/>
        <v>11855.599999999999</v>
      </c>
      <c r="AU871" s="50">
        <f t="shared" si="130"/>
        <v>13567.599999999999</v>
      </c>
    </row>
    <row r="872" spans="36:47">
      <c r="AJ872" s="50">
        <v>2</v>
      </c>
      <c r="AK872" s="50">
        <v>0</v>
      </c>
      <c r="AL872" s="50">
        <v>1</v>
      </c>
      <c r="AM872" s="15">
        <f>Tabela21[[#This Row],[Att subs]]+Tabela21[[#This Row],[Crit D subs]]</f>
        <v>1.2000000000000002</v>
      </c>
      <c r="AN872" s="15">
        <v>0.4</v>
      </c>
      <c r="AO872" s="15">
        <v>0.8</v>
      </c>
      <c r="AP872" s="15">
        <v>0</v>
      </c>
      <c r="AQ872" s="189">
        <f t="shared" si="131"/>
        <v>4496.9400000000005</v>
      </c>
      <c r="AR872" s="189">
        <f t="shared" si="132"/>
        <v>4395.5599999999995</v>
      </c>
      <c r="AS872" s="189">
        <f t="shared" si="128"/>
        <v>4532.5199999999995</v>
      </c>
      <c r="AT872" s="189">
        <f t="shared" si="129"/>
        <v>8765.4399999999987</v>
      </c>
      <c r="AU872" s="50">
        <f t="shared" si="130"/>
        <v>7977.9199999999992</v>
      </c>
    </row>
    <row r="873" spans="36:47">
      <c r="AJ873" s="50">
        <v>2</v>
      </c>
      <c r="AK873" s="50">
        <v>0</v>
      </c>
      <c r="AL873" s="50">
        <v>1</v>
      </c>
      <c r="AM873" s="15">
        <f>Tabela21[[#This Row],[Att subs]]+Tabela21[[#This Row],[Crit D subs]]</f>
        <v>1.2000000000000002</v>
      </c>
      <c r="AN873" s="15">
        <v>0.4</v>
      </c>
      <c r="AO873" s="15">
        <v>0.8</v>
      </c>
      <c r="AP873" s="15">
        <v>0.1</v>
      </c>
      <c r="AQ873" s="189">
        <f t="shared" si="131"/>
        <v>4820.6399999999994</v>
      </c>
      <c r="AR873" s="189">
        <f t="shared" si="132"/>
        <v>4759.3599999999997</v>
      </c>
      <c r="AS873" s="189">
        <f t="shared" si="128"/>
        <v>4810.7199999999993</v>
      </c>
      <c r="AT873" s="189">
        <f t="shared" si="129"/>
        <v>9535.8399999999983</v>
      </c>
      <c r="AU873" s="50">
        <f t="shared" si="130"/>
        <v>8919.5199999999986</v>
      </c>
    </row>
    <row r="874" spans="36:47">
      <c r="AJ874" s="50">
        <v>2</v>
      </c>
      <c r="AK874" s="50">
        <v>0</v>
      </c>
      <c r="AL874" s="50">
        <v>1</v>
      </c>
      <c r="AM874" s="15">
        <f>Tabela21[[#This Row],[Att subs]]+Tabela21[[#This Row],[Crit D subs]]</f>
        <v>1.2000000000000002</v>
      </c>
      <c r="AN874" s="15">
        <v>0.4</v>
      </c>
      <c r="AO874" s="15">
        <v>0.8</v>
      </c>
      <c r="AP874" s="15">
        <v>0.2</v>
      </c>
      <c r="AQ874" s="189">
        <f t="shared" si="131"/>
        <v>5144.3399999999992</v>
      </c>
      <c r="AR874" s="189">
        <f t="shared" si="132"/>
        <v>5123.1599999999989</v>
      </c>
      <c r="AS874" s="189">
        <f t="shared" si="128"/>
        <v>4922</v>
      </c>
      <c r="AT874" s="189">
        <f t="shared" si="129"/>
        <v>9844</v>
      </c>
      <c r="AU874" s="50">
        <f t="shared" si="130"/>
        <v>9861.1199999999972</v>
      </c>
    </row>
    <row r="875" spans="36:47">
      <c r="AJ875" s="50">
        <v>2</v>
      </c>
      <c r="AK875" s="50">
        <v>0</v>
      </c>
      <c r="AL875" s="50">
        <v>1</v>
      </c>
      <c r="AM875" s="15">
        <f>Tabela21[[#This Row],[Att subs]]+Tabela21[[#This Row],[Crit D subs]]</f>
        <v>1.2000000000000002</v>
      </c>
      <c r="AN875" s="15">
        <v>0.4</v>
      </c>
      <c r="AO875" s="15">
        <v>0.8</v>
      </c>
      <c r="AP875" s="15">
        <v>0.3</v>
      </c>
      <c r="AQ875" s="189">
        <f t="shared" si="131"/>
        <v>5468.0400000000009</v>
      </c>
      <c r="AR875" s="189">
        <f t="shared" si="132"/>
        <v>5486.96</v>
      </c>
      <c r="AS875" s="189">
        <f t="shared" si="128"/>
        <v>4922</v>
      </c>
      <c r="AT875" s="189">
        <f t="shared" si="129"/>
        <v>9844</v>
      </c>
      <c r="AU875" s="50">
        <f t="shared" si="130"/>
        <v>10802.72</v>
      </c>
    </row>
    <row r="876" spans="36:47">
      <c r="AJ876" s="50">
        <v>2</v>
      </c>
      <c r="AK876" s="50">
        <v>0</v>
      </c>
      <c r="AL876" s="50">
        <v>1</v>
      </c>
      <c r="AM876" s="15">
        <f>Tabela21[[#This Row],[Att subs]]+Tabela21[[#This Row],[Crit D subs]]</f>
        <v>1.2000000000000002</v>
      </c>
      <c r="AN876" s="15">
        <v>0.4</v>
      </c>
      <c r="AO876" s="15">
        <v>0.8</v>
      </c>
      <c r="AP876" s="15">
        <v>0.4</v>
      </c>
      <c r="AQ876" s="189">
        <f t="shared" si="131"/>
        <v>5727</v>
      </c>
      <c r="AR876" s="189">
        <f t="shared" si="132"/>
        <v>5777.9999999999991</v>
      </c>
      <c r="AS876" s="189">
        <f t="shared" si="128"/>
        <v>4922</v>
      </c>
      <c r="AT876" s="189">
        <f t="shared" si="129"/>
        <v>9844</v>
      </c>
      <c r="AU876" s="50">
        <f t="shared" si="130"/>
        <v>11555.999999999998</v>
      </c>
    </row>
    <row r="877" spans="36:47">
      <c r="AJ877" s="50">
        <v>2</v>
      </c>
      <c r="AK877" s="50">
        <v>0</v>
      </c>
      <c r="AL877" s="50">
        <v>1</v>
      </c>
      <c r="AM877" s="15">
        <f>Tabela21[[#This Row],[Att subs]]+Tabela21[[#This Row],[Crit D subs]]</f>
        <v>1.2000000000000002</v>
      </c>
      <c r="AN877" s="15">
        <v>0.4</v>
      </c>
      <c r="AO877" s="15">
        <v>0.8</v>
      </c>
      <c r="AP877" s="15">
        <v>0.5</v>
      </c>
      <c r="AQ877" s="189">
        <f t="shared" si="131"/>
        <v>5727</v>
      </c>
      <c r="AR877" s="189">
        <f t="shared" si="132"/>
        <v>5777.9999999999991</v>
      </c>
      <c r="AS877" s="189">
        <f t="shared" si="128"/>
        <v>4922</v>
      </c>
      <c r="AT877" s="189">
        <f t="shared" si="129"/>
        <v>9844</v>
      </c>
      <c r="AU877" s="50">
        <f t="shared" si="130"/>
        <v>11555.999999999998</v>
      </c>
    </row>
    <row r="878" spans="36:47">
      <c r="AJ878" s="50">
        <v>2</v>
      </c>
      <c r="AK878" s="50">
        <v>0</v>
      </c>
      <c r="AL878" s="50">
        <v>1</v>
      </c>
      <c r="AM878" s="15">
        <f>Tabela21[[#This Row],[Att subs]]+Tabela21[[#This Row],[Crit D subs]]</f>
        <v>1.2000000000000002</v>
      </c>
      <c r="AN878" s="15">
        <v>0.4</v>
      </c>
      <c r="AO878" s="15">
        <v>0.8</v>
      </c>
      <c r="AP878" s="15">
        <v>0.6</v>
      </c>
      <c r="AQ878" s="189">
        <f t="shared" si="131"/>
        <v>5727</v>
      </c>
      <c r="AR878" s="189">
        <f t="shared" si="132"/>
        <v>5777.9999999999991</v>
      </c>
      <c r="AS878" s="189">
        <f t="shared" si="128"/>
        <v>4922</v>
      </c>
      <c r="AT878" s="189">
        <f t="shared" si="129"/>
        <v>9844</v>
      </c>
      <c r="AU878" s="50">
        <f t="shared" si="130"/>
        <v>11555.999999999998</v>
      </c>
    </row>
    <row r="879" spans="36:47">
      <c r="AJ879" s="50">
        <v>2</v>
      </c>
      <c r="AK879" s="50">
        <v>0</v>
      </c>
      <c r="AL879" s="50">
        <v>1</v>
      </c>
      <c r="AM879" s="15">
        <f>Tabela21[[#This Row],[Att subs]]+Tabela21[[#This Row],[Crit D subs]]</f>
        <v>1.2000000000000002</v>
      </c>
      <c r="AN879" s="15">
        <v>0.4</v>
      </c>
      <c r="AO879" s="15">
        <v>0.8</v>
      </c>
      <c r="AP879" s="15">
        <v>0.7</v>
      </c>
      <c r="AQ879" s="189">
        <f t="shared" si="131"/>
        <v>5727</v>
      </c>
      <c r="AR879" s="189">
        <f t="shared" si="132"/>
        <v>5777.9999999999991</v>
      </c>
      <c r="AS879" s="189">
        <f t="shared" si="128"/>
        <v>4922</v>
      </c>
      <c r="AT879" s="189">
        <f t="shared" si="129"/>
        <v>9844</v>
      </c>
      <c r="AU879" s="50">
        <f t="shared" si="130"/>
        <v>11555.999999999998</v>
      </c>
    </row>
    <row r="880" spans="36:47">
      <c r="AJ880" s="50">
        <v>2</v>
      </c>
      <c r="AK880" s="50">
        <v>0</v>
      </c>
      <c r="AL880" s="50">
        <v>1</v>
      </c>
      <c r="AM880" s="15">
        <f>Tabela21[[#This Row],[Att subs]]+Tabela21[[#This Row],[Crit D subs]]</f>
        <v>1.2000000000000002</v>
      </c>
      <c r="AN880" s="15">
        <v>0.4</v>
      </c>
      <c r="AO880" s="15">
        <v>0.8</v>
      </c>
      <c r="AP880" s="15">
        <v>0.8</v>
      </c>
      <c r="AQ880" s="189">
        <f t="shared" si="131"/>
        <v>5727</v>
      </c>
      <c r="AR880" s="189">
        <f t="shared" si="132"/>
        <v>5777.9999999999991</v>
      </c>
      <c r="AS880" s="189">
        <f t="shared" si="128"/>
        <v>4922</v>
      </c>
      <c r="AT880" s="189">
        <f t="shared" si="129"/>
        <v>9844</v>
      </c>
      <c r="AU880" s="50">
        <f t="shared" si="130"/>
        <v>11555.999999999998</v>
      </c>
    </row>
    <row r="881" spans="36:47">
      <c r="AJ881" s="50">
        <v>2</v>
      </c>
      <c r="AK881" s="50">
        <v>0</v>
      </c>
      <c r="AL881" s="50">
        <v>1</v>
      </c>
      <c r="AM881" s="15">
        <f>Tabela21[[#This Row],[Att subs]]+Tabela21[[#This Row],[Crit D subs]]</f>
        <v>1.2000000000000002</v>
      </c>
      <c r="AN881" s="15">
        <v>0.4</v>
      </c>
      <c r="AO881" s="15">
        <v>0.8</v>
      </c>
      <c r="AP881" s="15">
        <v>0.9</v>
      </c>
      <c r="AQ881" s="189">
        <f t="shared" si="131"/>
        <v>5727</v>
      </c>
      <c r="AR881" s="189">
        <f t="shared" si="132"/>
        <v>5777.9999999999991</v>
      </c>
      <c r="AS881" s="189">
        <f t="shared" si="128"/>
        <v>4922</v>
      </c>
      <c r="AT881" s="189">
        <f t="shared" si="129"/>
        <v>9844</v>
      </c>
      <c r="AU881" s="50">
        <f t="shared" si="130"/>
        <v>11555.999999999998</v>
      </c>
    </row>
    <row r="882" spans="36:47">
      <c r="AJ882" s="50">
        <v>2</v>
      </c>
      <c r="AK882" s="50">
        <v>0</v>
      </c>
      <c r="AL882" s="50">
        <v>1</v>
      </c>
      <c r="AM882" s="15">
        <f>Tabela21[[#This Row],[Att subs]]+Tabela21[[#This Row],[Crit D subs]]</f>
        <v>1.2000000000000002</v>
      </c>
      <c r="AN882" s="15">
        <v>0.4</v>
      </c>
      <c r="AO882" s="15">
        <v>0.8</v>
      </c>
      <c r="AP882" s="15">
        <v>1</v>
      </c>
      <c r="AQ882" s="189">
        <f t="shared" si="131"/>
        <v>5727</v>
      </c>
      <c r="AR882" s="189">
        <f t="shared" si="132"/>
        <v>5777.9999999999991</v>
      </c>
      <c r="AS882" s="189">
        <f t="shared" si="128"/>
        <v>4922</v>
      </c>
      <c r="AT882" s="189">
        <f t="shared" si="129"/>
        <v>9844</v>
      </c>
      <c r="AU882" s="50">
        <f t="shared" si="130"/>
        <v>11555.999999999998</v>
      </c>
    </row>
    <row r="883" spans="36:47">
      <c r="AJ883" s="50">
        <v>3</v>
      </c>
      <c r="AK883" s="50">
        <v>0</v>
      </c>
      <c r="AL883" s="50">
        <v>0</v>
      </c>
      <c r="AM883" s="15">
        <f>Tabela21[[#This Row],[Att subs]]+Tabela21[[#This Row],[Crit D subs]]</f>
        <v>1.2000000000000002</v>
      </c>
      <c r="AN883" s="15">
        <v>0.4</v>
      </c>
      <c r="AO883" s="15">
        <v>0.8</v>
      </c>
      <c r="AP883" s="15">
        <v>0</v>
      </c>
      <c r="AQ883" s="189">
        <f t="shared" si="131"/>
        <v>3863.86</v>
      </c>
      <c r="AR883" s="189">
        <f t="shared" si="132"/>
        <v>3662.09</v>
      </c>
      <c r="AS883" s="189">
        <f t="shared" si="128"/>
        <v>4174.1299999999992</v>
      </c>
      <c r="AT883" s="189">
        <f t="shared" si="129"/>
        <v>7118.3599999999988</v>
      </c>
      <c r="AU883" s="50">
        <f t="shared" si="130"/>
        <v>5491.8799999999992</v>
      </c>
    </row>
    <row r="884" spans="36:47">
      <c r="AJ884" s="50">
        <v>3</v>
      </c>
      <c r="AK884" s="50">
        <v>0</v>
      </c>
      <c r="AL884" s="50">
        <v>0</v>
      </c>
      <c r="AM884" s="15">
        <f>Tabela21[[#This Row],[Att subs]]+Tabela21[[#This Row],[Crit D subs]]</f>
        <v>1.2000000000000002</v>
      </c>
      <c r="AN884" s="15">
        <v>0.4</v>
      </c>
      <c r="AO884" s="15">
        <v>0.8</v>
      </c>
      <c r="AP884" s="15">
        <v>0.1</v>
      </c>
      <c r="AQ884" s="189">
        <f t="shared" si="131"/>
        <v>4235.66</v>
      </c>
      <c r="AR884" s="189">
        <f t="shared" si="132"/>
        <v>4088.79</v>
      </c>
      <c r="AS884" s="189">
        <f t="shared" si="128"/>
        <v>4500.4299999999994</v>
      </c>
      <c r="AT884" s="189">
        <f t="shared" si="129"/>
        <v>8021.9599999999991</v>
      </c>
      <c r="AU884" s="50">
        <f t="shared" si="130"/>
        <v>6596.2799999999988</v>
      </c>
    </row>
    <row r="885" spans="36:47">
      <c r="AJ885" s="50">
        <v>3</v>
      </c>
      <c r="AK885" s="50">
        <v>0</v>
      </c>
      <c r="AL885" s="50">
        <v>0</v>
      </c>
      <c r="AM885" s="15">
        <f>Tabela21[[#This Row],[Att subs]]+Tabela21[[#This Row],[Crit D subs]]</f>
        <v>1.2000000000000002</v>
      </c>
      <c r="AN885" s="15">
        <v>0.4</v>
      </c>
      <c r="AO885" s="15">
        <v>0.8</v>
      </c>
      <c r="AP885" s="15">
        <v>0.2</v>
      </c>
      <c r="AQ885" s="189">
        <f t="shared" si="131"/>
        <v>4607.4599999999991</v>
      </c>
      <c r="AR885" s="189">
        <f t="shared" si="132"/>
        <v>4515.49</v>
      </c>
      <c r="AS885" s="189">
        <f t="shared" si="128"/>
        <v>4826.7299999999987</v>
      </c>
      <c r="AT885" s="189">
        <f t="shared" si="129"/>
        <v>8925.56</v>
      </c>
      <c r="AU885" s="50">
        <f t="shared" si="130"/>
        <v>7700.6799999999994</v>
      </c>
    </row>
    <row r="886" spans="36:47">
      <c r="AJ886" s="50">
        <v>3</v>
      </c>
      <c r="AK886" s="50">
        <v>0</v>
      </c>
      <c r="AL886" s="50">
        <v>0</v>
      </c>
      <c r="AM886" s="15">
        <f>Tabela21[[#This Row],[Att subs]]+Tabela21[[#This Row],[Crit D subs]]</f>
        <v>1.2000000000000002</v>
      </c>
      <c r="AN886" s="15">
        <v>0.4</v>
      </c>
      <c r="AO886" s="15">
        <v>0.8</v>
      </c>
      <c r="AP886" s="15">
        <v>0.3</v>
      </c>
      <c r="AQ886" s="189">
        <f t="shared" si="131"/>
        <v>4979.2599999999993</v>
      </c>
      <c r="AR886" s="189">
        <f t="shared" si="132"/>
        <v>4942.1899999999996</v>
      </c>
      <c r="AS886" s="189">
        <f t="shared" si="128"/>
        <v>5153.03</v>
      </c>
      <c r="AT886" s="189">
        <f t="shared" si="129"/>
        <v>9829.159999999998</v>
      </c>
      <c r="AU886" s="50">
        <f t="shared" si="130"/>
        <v>8805.0799999999981</v>
      </c>
    </row>
    <row r="887" spans="36:47">
      <c r="AJ887" s="50">
        <v>3</v>
      </c>
      <c r="AK887" s="50">
        <v>0</v>
      </c>
      <c r="AL887" s="50">
        <v>0</v>
      </c>
      <c r="AM887" s="15">
        <f>Tabela21[[#This Row],[Att subs]]+Tabela21[[#This Row],[Crit D subs]]</f>
        <v>1.2000000000000002</v>
      </c>
      <c r="AN887" s="15">
        <v>0.4</v>
      </c>
      <c r="AO887" s="15">
        <v>0.8</v>
      </c>
      <c r="AP887" s="15">
        <v>0.4</v>
      </c>
      <c r="AQ887" s="189">
        <f t="shared" si="131"/>
        <v>5351.06</v>
      </c>
      <c r="AR887" s="189">
        <f t="shared" si="132"/>
        <v>5368.8899999999994</v>
      </c>
      <c r="AS887" s="189">
        <f t="shared" si="128"/>
        <v>5479.33</v>
      </c>
      <c r="AT887" s="189">
        <f t="shared" si="129"/>
        <v>10732.76</v>
      </c>
      <c r="AU887" s="50">
        <f t="shared" si="130"/>
        <v>9909.48</v>
      </c>
    </row>
    <row r="888" spans="36:47">
      <c r="AJ888" s="50">
        <v>3</v>
      </c>
      <c r="AK888" s="50">
        <v>0</v>
      </c>
      <c r="AL888" s="50">
        <v>0</v>
      </c>
      <c r="AM888" s="15">
        <f>Tabela21[[#This Row],[Att subs]]+Tabela21[[#This Row],[Crit D subs]]</f>
        <v>1.2000000000000002</v>
      </c>
      <c r="AN888" s="15">
        <v>0.4</v>
      </c>
      <c r="AO888" s="15">
        <v>0.8</v>
      </c>
      <c r="AP888" s="15">
        <v>0.5</v>
      </c>
      <c r="AQ888" s="189">
        <f t="shared" si="131"/>
        <v>5722.86</v>
      </c>
      <c r="AR888" s="189">
        <f t="shared" si="132"/>
        <v>5795.5899999999992</v>
      </c>
      <c r="AS888" s="189">
        <f t="shared" si="128"/>
        <v>5773</v>
      </c>
      <c r="AT888" s="189">
        <f t="shared" si="129"/>
        <v>11546</v>
      </c>
      <c r="AU888" s="50">
        <f t="shared" si="130"/>
        <v>11013.88</v>
      </c>
    </row>
    <row r="889" spans="36:47">
      <c r="AJ889" s="50">
        <v>3</v>
      </c>
      <c r="AK889" s="50">
        <v>0</v>
      </c>
      <c r="AL889" s="50">
        <v>0</v>
      </c>
      <c r="AM889" s="15">
        <f>Tabela21[[#This Row],[Att subs]]+Tabela21[[#This Row],[Crit D subs]]</f>
        <v>1.2000000000000002</v>
      </c>
      <c r="AN889" s="15">
        <v>0.4</v>
      </c>
      <c r="AO889" s="15">
        <v>0.8</v>
      </c>
      <c r="AP889" s="15">
        <v>0.6</v>
      </c>
      <c r="AQ889" s="189">
        <f t="shared" si="131"/>
        <v>6094.6599999999989</v>
      </c>
      <c r="AR889" s="189">
        <f t="shared" si="132"/>
        <v>6222.2899999999991</v>
      </c>
      <c r="AS889" s="189">
        <f t="shared" si="128"/>
        <v>5773</v>
      </c>
      <c r="AT889" s="189">
        <f t="shared" si="129"/>
        <v>11546</v>
      </c>
      <c r="AU889" s="50">
        <f t="shared" si="130"/>
        <v>12118.279999999999</v>
      </c>
    </row>
    <row r="890" spans="36:47">
      <c r="AJ890" s="50">
        <v>3</v>
      </c>
      <c r="AK890" s="50">
        <v>0</v>
      </c>
      <c r="AL890" s="50">
        <v>0</v>
      </c>
      <c r="AM890" s="15">
        <f>Tabela21[[#This Row],[Att subs]]+Tabela21[[#This Row],[Crit D subs]]</f>
        <v>1.2000000000000002</v>
      </c>
      <c r="AN890" s="15">
        <v>0.4</v>
      </c>
      <c r="AO890" s="15">
        <v>0.8</v>
      </c>
      <c r="AP890" s="15">
        <v>0.7</v>
      </c>
      <c r="AQ890" s="189">
        <f t="shared" si="131"/>
        <v>6466.46</v>
      </c>
      <c r="AR890" s="189">
        <f t="shared" si="132"/>
        <v>6648.99</v>
      </c>
      <c r="AS890" s="189">
        <f t="shared" si="128"/>
        <v>5773</v>
      </c>
      <c r="AT890" s="189">
        <f t="shared" si="129"/>
        <v>11546</v>
      </c>
      <c r="AU890" s="50">
        <f t="shared" si="130"/>
        <v>13222.68</v>
      </c>
    </row>
    <row r="891" spans="36:47">
      <c r="AJ891" s="50">
        <v>3</v>
      </c>
      <c r="AK891" s="50">
        <v>0</v>
      </c>
      <c r="AL891" s="50">
        <v>0</v>
      </c>
      <c r="AM891" s="15">
        <f>Tabela21[[#This Row],[Att subs]]+Tabela21[[#This Row],[Crit D subs]]</f>
        <v>1.2000000000000002</v>
      </c>
      <c r="AN891" s="15">
        <v>0.4</v>
      </c>
      <c r="AO891" s="15">
        <v>0.8</v>
      </c>
      <c r="AP891" s="15">
        <v>0.8</v>
      </c>
      <c r="AQ891" s="189">
        <f t="shared" si="131"/>
        <v>6577.9999999999991</v>
      </c>
      <c r="AR891" s="189">
        <f t="shared" si="132"/>
        <v>6776.9999999999991</v>
      </c>
      <c r="AS891" s="189">
        <f t="shared" si="128"/>
        <v>5773</v>
      </c>
      <c r="AT891" s="189">
        <f t="shared" si="129"/>
        <v>11546</v>
      </c>
      <c r="AU891" s="50">
        <f t="shared" si="130"/>
        <v>13553.999999999998</v>
      </c>
    </row>
    <row r="892" spans="36:47">
      <c r="AJ892" s="50">
        <v>3</v>
      </c>
      <c r="AK892" s="50">
        <v>0</v>
      </c>
      <c r="AL892" s="50">
        <v>0</v>
      </c>
      <c r="AM892" s="15">
        <f>Tabela21[[#This Row],[Att subs]]+Tabela21[[#This Row],[Crit D subs]]</f>
        <v>1.2000000000000002</v>
      </c>
      <c r="AN892" s="15">
        <v>0.4</v>
      </c>
      <c r="AO892" s="15">
        <v>0.8</v>
      </c>
      <c r="AP892" s="15">
        <v>0.9</v>
      </c>
      <c r="AQ892" s="189">
        <f t="shared" si="131"/>
        <v>6577.9999999999991</v>
      </c>
      <c r="AR892" s="189">
        <f t="shared" si="132"/>
        <v>6776.9999999999991</v>
      </c>
      <c r="AS892" s="189">
        <f t="shared" si="128"/>
        <v>5773</v>
      </c>
      <c r="AT892" s="189">
        <f t="shared" si="129"/>
        <v>11546</v>
      </c>
      <c r="AU892" s="50">
        <f t="shared" si="130"/>
        <v>13553.999999999998</v>
      </c>
    </row>
    <row r="893" spans="36:47">
      <c r="AJ893" s="50">
        <v>3</v>
      </c>
      <c r="AK893" s="50">
        <v>0</v>
      </c>
      <c r="AL893" s="50">
        <v>0</v>
      </c>
      <c r="AM893" s="15">
        <f>Tabela21[[#This Row],[Att subs]]+Tabela21[[#This Row],[Crit D subs]]</f>
        <v>1.2000000000000002</v>
      </c>
      <c r="AN893" s="15">
        <v>0.4</v>
      </c>
      <c r="AO893" s="15">
        <v>0.8</v>
      </c>
      <c r="AP893" s="15">
        <v>1</v>
      </c>
      <c r="AQ893" s="189">
        <f t="shared" si="131"/>
        <v>6577.9999999999991</v>
      </c>
      <c r="AR893" s="189">
        <f t="shared" si="132"/>
        <v>6776.9999999999991</v>
      </c>
      <c r="AS893" s="189">
        <f t="shared" si="128"/>
        <v>5773</v>
      </c>
      <c r="AT893" s="189">
        <f t="shared" si="129"/>
        <v>11546</v>
      </c>
      <c r="AU893" s="50">
        <f t="shared" si="130"/>
        <v>13553.999999999998</v>
      </c>
    </row>
    <row r="894" spans="36:47">
      <c r="AJ894" s="50">
        <v>2</v>
      </c>
      <c r="AK894" s="50">
        <v>1</v>
      </c>
      <c r="AL894" s="50">
        <v>0</v>
      </c>
      <c r="AM894" s="15">
        <f>Tabela21[[#This Row],[Att subs]]+Tabela21[[#This Row],[Crit D subs]]</f>
        <v>1.4</v>
      </c>
      <c r="AN894" s="15">
        <v>0.6</v>
      </c>
      <c r="AO894" s="15">
        <v>0.8</v>
      </c>
      <c r="AP894" s="15">
        <v>0</v>
      </c>
      <c r="AQ894" s="189">
        <f t="shared" si="131"/>
        <v>3975.5509999999999</v>
      </c>
      <c r="AR894" s="189">
        <f t="shared" si="132"/>
        <v>3711.0059999999999</v>
      </c>
      <c r="AS894" s="189">
        <f t="shared" si="128"/>
        <v>4452.3179999999993</v>
      </c>
      <c r="AT894" s="189">
        <f t="shared" si="129"/>
        <v>7758.0359999999991</v>
      </c>
      <c r="AU894" s="50">
        <f t="shared" si="130"/>
        <v>5713.811999999999</v>
      </c>
    </row>
    <row r="895" spans="36:47">
      <c r="AJ895" s="50">
        <v>2</v>
      </c>
      <c r="AK895" s="50">
        <v>1</v>
      </c>
      <c r="AL895" s="50">
        <v>0</v>
      </c>
      <c r="AM895" s="15">
        <f>Tabela21[[#This Row],[Att subs]]+Tabela21[[#This Row],[Crit D subs]]</f>
        <v>1.4</v>
      </c>
      <c r="AN895" s="15">
        <v>0.6</v>
      </c>
      <c r="AO895" s="15">
        <v>0.8</v>
      </c>
      <c r="AP895" s="15">
        <v>0.1</v>
      </c>
      <c r="AQ895" s="189">
        <f t="shared" si="131"/>
        <v>4451.6810000000005</v>
      </c>
      <c r="AR895" s="189">
        <f t="shared" si="132"/>
        <v>4218.7859999999991</v>
      </c>
      <c r="AS895" s="189">
        <f t="shared" si="128"/>
        <v>4866.4979999999996</v>
      </c>
      <c r="AT895" s="189">
        <f t="shared" si="129"/>
        <v>8820.3959999999988</v>
      </c>
      <c r="AU895" s="50">
        <f t="shared" si="130"/>
        <v>6963.3719999999994</v>
      </c>
    </row>
    <row r="896" spans="36:47">
      <c r="AJ896" s="50">
        <v>2</v>
      </c>
      <c r="AK896" s="50">
        <v>1</v>
      </c>
      <c r="AL896" s="50">
        <v>0</v>
      </c>
      <c r="AM896" s="15">
        <f>Tabela21[[#This Row],[Att subs]]+Tabela21[[#This Row],[Crit D subs]]</f>
        <v>1.4</v>
      </c>
      <c r="AN896" s="15">
        <v>0.6</v>
      </c>
      <c r="AO896" s="15">
        <v>0.8</v>
      </c>
      <c r="AP896" s="15">
        <v>0.2</v>
      </c>
      <c r="AQ896" s="189">
        <f t="shared" si="131"/>
        <v>4927.8109999999988</v>
      </c>
      <c r="AR896" s="189">
        <f t="shared" si="132"/>
        <v>4726.5659999999998</v>
      </c>
      <c r="AS896" s="189">
        <f t="shared" si="128"/>
        <v>5280.677999999999</v>
      </c>
      <c r="AT896" s="189">
        <f t="shared" si="129"/>
        <v>9882.7559999999976</v>
      </c>
      <c r="AU896" s="50">
        <f t="shared" si="130"/>
        <v>8212.9319999999989</v>
      </c>
    </row>
    <row r="897" spans="36:47">
      <c r="AJ897" s="50">
        <v>2</v>
      </c>
      <c r="AK897" s="50">
        <v>1</v>
      </c>
      <c r="AL897" s="50">
        <v>0</v>
      </c>
      <c r="AM897" s="15">
        <f>Tabela21[[#This Row],[Att subs]]+Tabela21[[#This Row],[Crit D subs]]</f>
        <v>1.4</v>
      </c>
      <c r="AN897" s="15">
        <v>0.6</v>
      </c>
      <c r="AO897" s="15">
        <v>0.8</v>
      </c>
      <c r="AP897" s="15">
        <v>0.3</v>
      </c>
      <c r="AQ897" s="189">
        <f t="shared" si="131"/>
        <v>5403.9409999999989</v>
      </c>
      <c r="AR897" s="189">
        <f t="shared" si="132"/>
        <v>5234.3459999999986</v>
      </c>
      <c r="AS897" s="189">
        <f t="shared" si="128"/>
        <v>5694.8579999999993</v>
      </c>
      <c r="AT897" s="189">
        <f t="shared" si="129"/>
        <v>10945.115999999998</v>
      </c>
      <c r="AU897" s="50">
        <f t="shared" si="130"/>
        <v>9462.4919999999984</v>
      </c>
    </row>
    <row r="898" spans="36:47">
      <c r="AJ898" s="50">
        <v>2</v>
      </c>
      <c r="AK898" s="50">
        <v>1</v>
      </c>
      <c r="AL898" s="50">
        <v>0</v>
      </c>
      <c r="AM898" s="15">
        <f>Tabela21[[#This Row],[Att subs]]+Tabela21[[#This Row],[Crit D subs]]</f>
        <v>1.4</v>
      </c>
      <c r="AN898" s="15">
        <v>0.6</v>
      </c>
      <c r="AO898" s="15">
        <v>0.8</v>
      </c>
      <c r="AP898" s="15">
        <v>0.4</v>
      </c>
      <c r="AQ898" s="189">
        <f t="shared" si="131"/>
        <v>5880.070999999999</v>
      </c>
      <c r="AR898" s="189">
        <f t="shared" si="132"/>
        <v>5742.1260000000002</v>
      </c>
      <c r="AS898" s="189">
        <f t="shared" si="128"/>
        <v>6109.0379999999986</v>
      </c>
      <c r="AT898" s="189">
        <f t="shared" si="129"/>
        <v>12007.475999999999</v>
      </c>
      <c r="AU898" s="50">
        <f t="shared" si="130"/>
        <v>10712.052</v>
      </c>
    </row>
    <row r="899" spans="36:47">
      <c r="AJ899" s="50">
        <v>2</v>
      </c>
      <c r="AK899" s="50">
        <v>1</v>
      </c>
      <c r="AL899" s="50">
        <v>0</v>
      </c>
      <c r="AM899" s="15">
        <f>Tabela21[[#This Row],[Att subs]]+Tabela21[[#This Row],[Crit D subs]]</f>
        <v>1.4</v>
      </c>
      <c r="AN899" s="15">
        <v>0.6</v>
      </c>
      <c r="AO899" s="15">
        <v>0.8</v>
      </c>
      <c r="AP899" s="15">
        <v>0.5</v>
      </c>
      <c r="AQ899" s="189">
        <f t="shared" si="131"/>
        <v>6356.2009999999991</v>
      </c>
      <c r="AR899" s="189">
        <f t="shared" si="132"/>
        <v>6249.905999999999</v>
      </c>
      <c r="AS899" s="189">
        <f t="shared" ref="AS899:AS962" si="133">$AG$3*(1+$AJ899*$Y$2+$AN899)*(MAXA(1-$AI$3-$AL899*$AA$3-$AP899-0.36,0)+MINA($AI$3+$AL899*$AA$3+$AP899+0.36,1)*(1+$AH$3+$AO899+$AK899*$Z$4))</f>
        <v>6481.7999999999993</v>
      </c>
      <c r="AT899" s="189">
        <f t="shared" ref="AT899:AT962" si="134">$AG$3*(1+$AJ899*$Y$2+$AN899)*(MAXA(1-$AI$3-$AL899*$AA$3-$AP899-0.36,0)+2*MINA($AI$3+$AL899*$AA$3+$AP899+0.36,1)*(1+$AH$3+$AO899+$AK899*$Z$4))</f>
        <v>12963.599999999999</v>
      </c>
      <c r="AU899" s="50">
        <f t="shared" ref="AU899:AU962" si="135">$AG$3*(1+$AJ899*$Y$2+$AN899)*(MAXA(1-$AI$3-$AL899*$AA$3-$AP899-0.12,0)+2*MINA($AI$3+$AL899*$AA$3+$AP899+0.12,1)*(1+$AH$3+$AO899+$AK899*$Z$4+0.4))</f>
        <v>11961.611999999997</v>
      </c>
    </row>
    <row r="900" spans="36:47">
      <c r="AJ900" s="50">
        <v>2</v>
      </c>
      <c r="AK900" s="50">
        <v>1</v>
      </c>
      <c r="AL900" s="50">
        <v>0</v>
      </c>
      <c r="AM900" s="15">
        <f>Tabela21[[#This Row],[Att subs]]+Tabela21[[#This Row],[Crit D subs]]</f>
        <v>1.4</v>
      </c>
      <c r="AN900" s="15">
        <v>0.6</v>
      </c>
      <c r="AO900" s="15">
        <v>0.8</v>
      </c>
      <c r="AP900" s="15">
        <v>0.6</v>
      </c>
      <c r="AQ900" s="189">
        <f t="shared" ref="AQ900:AQ963" si="136">$AG$3*(1+$AJ900*$Y$2+$AN900+0.35)*(MAXA(1-$AI$3-$AL900*$AA$3-$AP900-0.12,0)+MINA($AI$3+$AL900*$AA$3+$AP900+0.12,1)*(1+$AH$3+$AO900+$AK900*$Z$4))</f>
        <v>6832.3309999999983</v>
      </c>
      <c r="AR900" s="189">
        <f t="shared" ref="AR900:AR963" si="137">$AG$3*(1+$AJ900*$Y$2+$AN900)*(MAXA(1-$AI$3-$AL900*$AA$3-$AP900-0.12,0)+MINA($AI$3+$AL900*$AA$3+$AP900+0.12,1)*(1+$AH$3+$AO900+$AK900*$Z$4+0.4))</f>
        <v>6757.6859999999979</v>
      </c>
      <c r="AS900" s="189">
        <f t="shared" si="133"/>
        <v>6481.7999999999993</v>
      </c>
      <c r="AT900" s="189">
        <f t="shared" si="134"/>
        <v>12963.599999999999</v>
      </c>
      <c r="AU900" s="50">
        <f t="shared" si="135"/>
        <v>13211.171999999997</v>
      </c>
    </row>
    <row r="901" spans="36:47">
      <c r="AJ901" s="50">
        <v>2</v>
      </c>
      <c r="AK901" s="50">
        <v>1</v>
      </c>
      <c r="AL901" s="50">
        <v>0</v>
      </c>
      <c r="AM901" s="15">
        <f>Tabela21[[#This Row],[Att subs]]+Tabela21[[#This Row],[Crit D subs]]</f>
        <v>1.4</v>
      </c>
      <c r="AN901" s="15">
        <v>0.6</v>
      </c>
      <c r="AO901" s="15">
        <v>0.8</v>
      </c>
      <c r="AP901" s="15">
        <v>0.7</v>
      </c>
      <c r="AQ901" s="189">
        <f t="shared" si="136"/>
        <v>7308.4609999999993</v>
      </c>
      <c r="AR901" s="189">
        <f t="shared" si="137"/>
        <v>7265.4659999999994</v>
      </c>
      <c r="AS901" s="189">
        <f t="shared" si="133"/>
        <v>6481.7999999999993</v>
      </c>
      <c r="AT901" s="189">
        <f t="shared" si="134"/>
        <v>12963.599999999999</v>
      </c>
      <c r="AU901" s="50">
        <f t="shared" si="135"/>
        <v>14460.731999999998</v>
      </c>
    </row>
    <row r="902" spans="36:47">
      <c r="AJ902" s="50">
        <v>2</v>
      </c>
      <c r="AK902" s="50">
        <v>1</v>
      </c>
      <c r="AL902" s="50">
        <v>0</v>
      </c>
      <c r="AM902" s="15">
        <f>Tabela21[[#This Row],[Att subs]]+Tabela21[[#This Row],[Crit D subs]]</f>
        <v>1.4</v>
      </c>
      <c r="AN902" s="15">
        <v>0.6</v>
      </c>
      <c r="AO902" s="15">
        <v>0.8</v>
      </c>
      <c r="AP902" s="15">
        <v>0.8</v>
      </c>
      <c r="AQ902" s="189">
        <f t="shared" si="136"/>
        <v>7451.2999999999993</v>
      </c>
      <c r="AR902" s="189">
        <f t="shared" si="137"/>
        <v>7417.7999999999984</v>
      </c>
      <c r="AS902" s="189">
        <f t="shared" si="133"/>
        <v>6481.7999999999993</v>
      </c>
      <c r="AT902" s="189">
        <f t="shared" si="134"/>
        <v>12963.599999999999</v>
      </c>
      <c r="AU902" s="50">
        <f t="shared" si="135"/>
        <v>14835.599999999997</v>
      </c>
    </row>
    <row r="903" spans="36:47">
      <c r="AJ903" s="50">
        <v>2</v>
      </c>
      <c r="AK903" s="50">
        <v>1</v>
      </c>
      <c r="AL903" s="50">
        <v>0</v>
      </c>
      <c r="AM903" s="15">
        <f>Tabela21[[#This Row],[Att subs]]+Tabela21[[#This Row],[Crit D subs]]</f>
        <v>1.4</v>
      </c>
      <c r="AN903" s="15">
        <v>0.6</v>
      </c>
      <c r="AO903" s="15">
        <v>0.8</v>
      </c>
      <c r="AP903" s="15">
        <v>0.9</v>
      </c>
      <c r="AQ903" s="189">
        <f t="shared" si="136"/>
        <v>7451.2999999999993</v>
      </c>
      <c r="AR903" s="189">
        <f t="shared" si="137"/>
        <v>7417.7999999999984</v>
      </c>
      <c r="AS903" s="189">
        <f t="shared" si="133"/>
        <v>6481.7999999999993</v>
      </c>
      <c r="AT903" s="189">
        <f t="shared" si="134"/>
        <v>12963.599999999999</v>
      </c>
      <c r="AU903" s="50">
        <f t="shared" si="135"/>
        <v>14835.599999999997</v>
      </c>
    </row>
    <row r="904" spans="36:47">
      <c r="AJ904" s="50">
        <v>2</v>
      </c>
      <c r="AK904" s="50">
        <v>1</v>
      </c>
      <c r="AL904" s="50">
        <v>0</v>
      </c>
      <c r="AM904" s="15">
        <f>Tabela21[[#This Row],[Att subs]]+Tabela21[[#This Row],[Crit D subs]]</f>
        <v>1.4</v>
      </c>
      <c r="AN904" s="15">
        <v>0.6</v>
      </c>
      <c r="AO904" s="15">
        <v>0.8</v>
      </c>
      <c r="AP904" s="15">
        <v>1</v>
      </c>
      <c r="AQ904" s="189">
        <f t="shared" si="136"/>
        <v>7451.2999999999993</v>
      </c>
      <c r="AR904" s="189">
        <f t="shared" si="137"/>
        <v>7417.7999999999984</v>
      </c>
      <c r="AS904" s="189">
        <f t="shared" si="133"/>
        <v>6481.7999999999993</v>
      </c>
      <c r="AT904" s="189">
        <f t="shared" si="134"/>
        <v>12963.599999999999</v>
      </c>
      <c r="AU904" s="50">
        <f t="shared" si="135"/>
        <v>14835.599999999997</v>
      </c>
    </row>
    <row r="905" spans="36:47">
      <c r="AJ905" s="50">
        <v>2</v>
      </c>
      <c r="AK905" s="50">
        <v>0</v>
      </c>
      <c r="AL905" s="50">
        <v>1</v>
      </c>
      <c r="AM905" s="15">
        <f>Tabela21[[#This Row],[Att subs]]+Tabela21[[#This Row],[Crit D subs]]</f>
        <v>1.4</v>
      </c>
      <c r="AN905" s="15">
        <v>0.6</v>
      </c>
      <c r="AO905" s="15">
        <v>0.8</v>
      </c>
      <c r="AP905" s="15">
        <v>0</v>
      </c>
      <c r="AQ905" s="189">
        <f t="shared" si="136"/>
        <v>4858.1400000000003</v>
      </c>
      <c r="AR905" s="189">
        <f t="shared" si="137"/>
        <v>4806.3599999999997</v>
      </c>
      <c r="AS905" s="189">
        <f t="shared" si="133"/>
        <v>4956.12</v>
      </c>
      <c r="AT905" s="189">
        <f t="shared" si="134"/>
        <v>9584.6399999999976</v>
      </c>
      <c r="AU905" s="50">
        <f t="shared" si="135"/>
        <v>8723.5199999999986</v>
      </c>
    </row>
    <row r="906" spans="36:47">
      <c r="AJ906" s="50">
        <v>2</v>
      </c>
      <c r="AK906" s="50">
        <v>0</v>
      </c>
      <c r="AL906" s="50">
        <v>1</v>
      </c>
      <c r="AM906" s="15">
        <f>Tabela21[[#This Row],[Att subs]]+Tabela21[[#This Row],[Crit D subs]]</f>
        <v>1.4</v>
      </c>
      <c r="AN906" s="15">
        <v>0.6</v>
      </c>
      <c r="AO906" s="15">
        <v>0.8</v>
      </c>
      <c r="AP906" s="15">
        <v>0.1</v>
      </c>
      <c r="AQ906" s="189">
        <f t="shared" si="136"/>
        <v>5207.84</v>
      </c>
      <c r="AR906" s="189">
        <f t="shared" si="137"/>
        <v>5204.16</v>
      </c>
      <c r="AS906" s="189">
        <f t="shared" si="133"/>
        <v>5260.32</v>
      </c>
      <c r="AT906" s="189">
        <f t="shared" si="134"/>
        <v>10427.039999999999</v>
      </c>
      <c r="AU906" s="50">
        <f t="shared" si="135"/>
        <v>9753.119999999999</v>
      </c>
    </row>
    <row r="907" spans="36:47">
      <c r="AJ907" s="50">
        <v>2</v>
      </c>
      <c r="AK907" s="50">
        <v>0</v>
      </c>
      <c r="AL907" s="50">
        <v>1</v>
      </c>
      <c r="AM907" s="15">
        <f>Tabela21[[#This Row],[Att subs]]+Tabela21[[#This Row],[Crit D subs]]</f>
        <v>1.4</v>
      </c>
      <c r="AN907" s="15">
        <v>0.6</v>
      </c>
      <c r="AO907" s="15">
        <v>0.8</v>
      </c>
      <c r="AP907" s="15">
        <v>0.2</v>
      </c>
      <c r="AQ907" s="189">
        <f t="shared" si="136"/>
        <v>5557.54</v>
      </c>
      <c r="AR907" s="189">
        <f t="shared" si="137"/>
        <v>5601.9599999999991</v>
      </c>
      <c r="AS907" s="189">
        <f t="shared" si="133"/>
        <v>5382</v>
      </c>
      <c r="AT907" s="189">
        <f t="shared" si="134"/>
        <v>10764</v>
      </c>
      <c r="AU907" s="50">
        <f t="shared" si="135"/>
        <v>10782.719999999998</v>
      </c>
    </row>
    <row r="908" spans="36:47">
      <c r="AJ908" s="50">
        <v>2</v>
      </c>
      <c r="AK908" s="50">
        <v>0</v>
      </c>
      <c r="AL908" s="50">
        <v>1</v>
      </c>
      <c r="AM908" s="15">
        <f>Tabela21[[#This Row],[Att subs]]+Tabela21[[#This Row],[Crit D subs]]</f>
        <v>1.4</v>
      </c>
      <c r="AN908" s="15">
        <v>0.6</v>
      </c>
      <c r="AO908" s="15">
        <v>0.8</v>
      </c>
      <c r="AP908" s="15">
        <v>0.3</v>
      </c>
      <c r="AQ908" s="189">
        <f t="shared" si="136"/>
        <v>5907.2400000000007</v>
      </c>
      <c r="AR908" s="189">
        <f t="shared" si="137"/>
        <v>5999.76</v>
      </c>
      <c r="AS908" s="189">
        <f t="shared" si="133"/>
        <v>5382</v>
      </c>
      <c r="AT908" s="189">
        <f t="shared" si="134"/>
        <v>10764</v>
      </c>
      <c r="AU908" s="50">
        <f t="shared" si="135"/>
        <v>11812.32</v>
      </c>
    </row>
    <row r="909" spans="36:47">
      <c r="AJ909" s="50">
        <v>2</v>
      </c>
      <c r="AK909" s="50">
        <v>0</v>
      </c>
      <c r="AL909" s="50">
        <v>1</v>
      </c>
      <c r="AM909" s="15">
        <f>Tabela21[[#This Row],[Att subs]]+Tabela21[[#This Row],[Crit D subs]]</f>
        <v>1.4</v>
      </c>
      <c r="AN909" s="15">
        <v>0.6</v>
      </c>
      <c r="AO909" s="15">
        <v>0.8</v>
      </c>
      <c r="AP909" s="15">
        <v>0.4</v>
      </c>
      <c r="AQ909" s="189">
        <f t="shared" si="136"/>
        <v>6186.9999999999991</v>
      </c>
      <c r="AR909" s="189">
        <f t="shared" si="137"/>
        <v>6317.9999999999991</v>
      </c>
      <c r="AS909" s="189">
        <f t="shared" si="133"/>
        <v>5382</v>
      </c>
      <c r="AT909" s="189">
        <f t="shared" si="134"/>
        <v>10764</v>
      </c>
      <c r="AU909" s="50">
        <f t="shared" si="135"/>
        <v>12635.999999999998</v>
      </c>
    </row>
    <row r="910" spans="36:47">
      <c r="AJ910" s="50">
        <v>2</v>
      </c>
      <c r="AK910" s="50">
        <v>0</v>
      </c>
      <c r="AL910" s="50">
        <v>1</v>
      </c>
      <c r="AM910" s="15">
        <f>Tabela21[[#This Row],[Att subs]]+Tabela21[[#This Row],[Crit D subs]]</f>
        <v>1.4</v>
      </c>
      <c r="AN910" s="15">
        <v>0.6</v>
      </c>
      <c r="AO910" s="15">
        <v>0.8</v>
      </c>
      <c r="AP910" s="15">
        <v>0.5</v>
      </c>
      <c r="AQ910" s="189">
        <f t="shared" si="136"/>
        <v>6186.9999999999991</v>
      </c>
      <c r="AR910" s="189">
        <f t="shared" si="137"/>
        <v>6317.9999999999991</v>
      </c>
      <c r="AS910" s="189">
        <f t="shared" si="133"/>
        <v>5382</v>
      </c>
      <c r="AT910" s="189">
        <f t="shared" si="134"/>
        <v>10764</v>
      </c>
      <c r="AU910" s="50">
        <f t="shared" si="135"/>
        <v>12635.999999999998</v>
      </c>
    </row>
    <row r="911" spans="36:47">
      <c r="AJ911" s="50">
        <v>2</v>
      </c>
      <c r="AK911" s="50">
        <v>0</v>
      </c>
      <c r="AL911" s="50">
        <v>1</v>
      </c>
      <c r="AM911" s="15">
        <f>Tabela21[[#This Row],[Att subs]]+Tabela21[[#This Row],[Crit D subs]]</f>
        <v>1.4</v>
      </c>
      <c r="AN911" s="15">
        <v>0.6</v>
      </c>
      <c r="AO911" s="15">
        <v>0.8</v>
      </c>
      <c r="AP911" s="15">
        <v>0.6</v>
      </c>
      <c r="AQ911" s="189">
        <f t="shared" si="136"/>
        <v>6186.9999999999991</v>
      </c>
      <c r="AR911" s="189">
        <f t="shared" si="137"/>
        <v>6317.9999999999991</v>
      </c>
      <c r="AS911" s="189">
        <f t="shared" si="133"/>
        <v>5382</v>
      </c>
      <c r="AT911" s="189">
        <f t="shared" si="134"/>
        <v>10764</v>
      </c>
      <c r="AU911" s="50">
        <f t="shared" si="135"/>
        <v>12635.999999999998</v>
      </c>
    </row>
    <row r="912" spans="36:47">
      <c r="AJ912" s="50">
        <v>2</v>
      </c>
      <c r="AK912" s="50">
        <v>0</v>
      </c>
      <c r="AL912" s="50">
        <v>1</v>
      </c>
      <c r="AM912" s="15">
        <f>Tabela21[[#This Row],[Att subs]]+Tabela21[[#This Row],[Crit D subs]]</f>
        <v>1.4</v>
      </c>
      <c r="AN912" s="15">
        <v>0.6</v>
      </c>
      <c r="AO912" s="15">
        <v>0.8</v>
      </c>
      <c r="AP912" s="15">
        <v>0.7</v>
      </c>
      <c r="AQ912" s="189">
        <f t="shared" si="136"/>
        <v>6186.9999999999991</v>
      </c>
      <c r="AR912" s="189">
        <f t="shared" si="137"/>
        <v>6317.9999999999991</v>
      </c>
      <c r="AS912" s="189">
        <f t="shared" si="133"/>
        <v>5382</v>
      </c>
      <c r="AT912" s="189">
        <f t="shared" si="134"/>
        <v>10764</v>
      </c>
      <c r="AU912" s="50">
        <f t="shared" si="135"/>
        <v>12635.999999999998</v>
      </c>
    </row>
    <row r="913" spans="36:47">
      <c r="AJ913" s="50">
        <v>2</v>
      </c>
      <c r="AK913" s="50">
        <v>0</v>
      </c>
      <c r="AL913" s="50">
        <v>1</v>
      </c>
      <c r="AM913" s="15">
        <f>Tabela21[[#This Row],[Att subs]]+Tabela21[[#This Row],[Crit D subs]]</f>
        <v>1.4</v>
      </c>
      <c r="AN913" s="15">
        <v>0.6</v>
      </c>
      <c r="AO913" s="15">
        <v>0.8</v>
      </c>
      <c r="AP913" s="15">
        <v>0.8</v>
      </c>
      <c r="AQ913" s="189">
        <f t="shared" si="136"/>
        <v>6186.9999999999991</v>
      </c>
      <c r="AR913" s="189">
        <f t="shared" si="137"/>
        <v>6317.9999999999991</v>
      </c>
      <c r="AS913" s="189">
        <f t="shared" si="133"/>
        <v>5382</v>
      </c>
      <c r="AT913" s="189">
        <f t="shared" si="134"/>
        <v>10764</v>
      </c>
      <c r="AU913" s="50">
        <f t="shared" si="135"/>
        <v>12635.999999999998</v>
      </c>
    </row>
    <row r="914" spans="36:47">
      <c r="AJ914" s="50">
        <v>2</v>
      </c>
      <c r="AK914" s="50">
        <v>0</v>
      </c>
      <c r="AL914" s="50">
        <v>1</v>
      </c>
      <c r="AM914" s="15">
        <f>Tabela21[[#This Row],[Att subs]]+Tabela21[[#This Row],[Crit D subs]]</f>
        <v>1.4</v>
      </c>
      <c r="AN914" s="15">
        <v>0.6</v>
      </c>
      <c r="AO914" s="15">
        <v>0.8</v>
      </c>
      <c r="AP914" s="15">
        <v>0.9</v>
      </c>
      <c r="AQ914" s="189">
        <f t="shared" si="136"/>
        <v>6186.9999999999991</v>
      </c>
      <c r="AR914" s="189">
        <f t="shared" si="137"/>
        <v>6317.9999999999991</v>
      </c>
      <c r="AS914" s="189">
        <f t="shared" si="133"/>
        <v>5382</v>
      </c>
      <c r="AT914" s="189">
        <f t="shared" si="134"/>
        <v>10764</v>
      </c>
      <c r="AU914" s="50">
        <f t="shared" si="135"/>
        <v>12635.999999999998</v>
      </c>
    </row>
    <row r="915" spans="36:47">
      <c r="AJ915" s="50">
        <v>2</v>
      </c>
      <c r="AK915" s="50">
        <v>0</v>
      </c>
      <c r="AL915" s="50">
        <v>1</v>
      </c>
      <c r="AM915" s="15">
        <f>Tabela21[[#This Row],[Att subs]]+Tabela21[[#This Row],[Crit D subs]]</f>
        <v>1.4</v>
      </c>
      <c r="AN915" s="15">
        <v>0.6</v>
      </c>
      <c r="AO915" s="15">
        <v>0.8</v>
      </c>
      <c r="AP915" s="15">
        <v>1</v>
      </c>
      <c r="AQ915" s="189">
        <f t="shared" si="136"/>
        <v>6186.9999999999991</v>
      </c>
      <c r="AR915" s="189">
        <f t="shared" si="137"/>
        <v>6317.9999999999991</v>
      </c>
      <c r="AS915" s="189">
        <f t="shared" si="133"/>
        <v>5382</v>
      </c>
      <c r="AT915" s="189">
        <f t="shared" si="134"/>
        <v>10764</v>
      </c>
      <c r="AU915" s="50">
        <f t="shared" si="135"/>
        <v>12635.999999999998</v>
      </c>
    </row>
    <row r="916" spans="36:47">
      <c r="AJ916" s="50">
        <v>3</v>
      </c>
      <c r="AK916" s="50">
        <v>0</v>
      </c>
      <c r="AL916" s="50">
        <v>0</v>
      </c>
      <c r="AM916" s="15">
        <f>Tabela21[[#This Row],[Att subs]]+Tabela21[[#This Row],[Crit D subs]]</f>
        <v>1.4</v>
      </c>
      <c r="AN916" s="15">
        <v>0.6</v>
      </c>
      <c r="AO916" s="15">
        <v>0.8</v>
      </c>
      <c r="AP916" s="15">
        <v>0</v>
      </c>
      <c r="AQ916" s="189">
        <f t="shared" si="136"/>
        <v>4134.0599999999995</v>
      </c>
      <c r="AR916" s="189">
        <f t="shared" si="137"/>
        <v>3953.8900000000003</v>
      </c>
      <c r="AS916" s="189">
        <f t="shared" si="133"/>
        <v>4506.7299999999996</v>
      </c>
      <c r="AT916" s="189">
        <f t="shared" si="134"/>
        <v>7685.5599999999986</v>
      </c>
      <c r="AU916" s="50">
        <f t="shared" si="135"/>
        <v>5929.48</v>
      </c>
    </row>
    <row r="917" spans="36:47">
      <c r="AJ917" s="50">
        <v>3</v>
      </c>
      <c r="AK917" s="50">
        <v>0</v>
      </c>
      <c r="AL917" s="50">
        <v>0</v>
      </c>
      <c r="AM917" s="15">
        <f>Tabela21[[#This Row],[Att subs]]+Tabela21[[#This Row],[Crit D subs]]</f>
        <v>1.4</v>
      </c>
      <c r="AN917" s="15">
        <v>0.6</v>
      </c>
      <c r="AO917" s="15">
        <v>0.8</v>
      </c>
      <c r="AP917" s="15">
        <v>0.1</v>
      </c>
      <c r="AQ917" s="189">
        <f t="shared" si="136"/>
        <v>4531.8599999999997</v>
      </c>
      <c r="AR917" s="189">
        <f t="shared" si="137"/>
        <v>4414.59</v>
      </c>
      <c r="AS917" s="189">
        <f t="shared" si="133"/>
        <v>4859.0299999999988</v>
      </c>
      <c r="AT917" s="189">
        <f t="shared" si="134"/>
        <v>8661.16</v>
      </c>
      <c r="AU917" s="50">
        <f t="shared" si="135"/>
        <v>7121.8799999999992</v>
      </c>
    </row>
    <row r="918" spans="36:47">
      <c r="AJ918" s="50">
        <v>3</v>
      </c>
      <c r="AK918" s="50">
        <v>0</v>
      </c>
      <c r="AL918" s="50">
        <v>0</v>
      </c>
      <c r="AM918" s="15">
        <f>Tabela21[[#This Row],[Att subs]]+Tabela21[[#This Row],[Crit D subs]]</f>
        <v>1.4</v>
      </c>
      <c r="AN918" s="15">
        <v>0.6</v>
      </c>
      <c r="AO918" s="15">
        <v>0.8</v>
      </c>
      <c r="AP918" s="15">
        <v>0.2</v>
      </c>
      <c r="AQ918" s="189">
        <f t="shared" si="136"/>
        <v>4929.6599999999989</v>
      </c>
      <c r="AR918" s="189">
        <f t="shared" si="137"/>
        <v>4875.29</v>
      </c>
      <c r="AS918" s="189">
        <f t="shared" si="133"/>
        <v>5211.329999999999</v>
      </c>
      <c r="AT918" s="189">
        <f t="shared" si="134"/>
        <v>9636.7599999999984</v>
      </c>
      <c r="AU918" s="50">
        <f t="shared" si="135"/>
        <v>8314.2799999999988</v>
      </c>
    </row>
    <row r="919" spans="36:47">
      <c r="AJ919" s="50">
        <v>3</v>
      </c>
      <c r="AK919" s="50">
        <v>0</v>
      </c>
      <c r="AL919" s="50">
        <v>0</v>
      </c>
      <c r="AM919" s="15">
        <f>Tabela21[[#This Row],[Att subs]]+Tabela21[[#This Row],[Crit D subs]]</f>
        <v>1.4</v>
      </c>
      <c r="AN919" s="15">
        <v>0.6</v>
      </c>
      <c r="AO919" s="15">
        <v>0.8</v>
      </c>
      <c r="AP919" s="15">
        <v>0.3</v>
      </c>
      <c r="AQ919" s="189">
        <f t="shared" si="136"/>
        <v>5327.4599999999991</v>
      </c>
      <c r="AR919" s="189">
        <f t="shared" si="137"/>
        <v>5335.99</v>
      </c>
      <c r="AS919" s="189">
        <f t="shared" si="133"/>
        <v>5563.63</v>
      </c>
      <c r="AT919" s="189">
        <f t="shared" si="134"/>
        <v>10612.359999999999</v>
      </c>
      <c r="AU919" s="50">
        <f t="shared" si="135"/>
        <v>9506.6799999999985</v>
      </c>
    </row>
    <row r="920" spans="36:47">
      <c r="AJ920" s="50">
        <v>3</v>
      </c>
      <c r="AK920" s="50">
        <v>0</v>
      </c>
      <c r="AL920" s="50">
        <v>0</v>
      </c>
      <c r="AM920" s="15">
        <f>Tabela21[[#This Row],[Att subs]]+Tabela21[[#This Row],[Crit D subs]]</f>
        <v>1.4</v>
      </c>
      <c r="AN920" s="15">
        <v>0.6</v>
      </c>
      <c r="AO920" s="15">
        <v>0.8</v>
      </c>
      <c r="AP920" s="15">
        <v>0.4</v>
      </c>
      <c r="AQ920" s="189">
        <f t="shared" si="136"/>
        <v>5725.26</v>
      </c>
      <c r="AR920" s="189">
        <f t="shared" si="137"/>
        <v>5796.69</v>
      </c>
      <c r="AS920" s="189">
        <f t="shared" si="133"/>
        <v>5915.9299999999994</v>
      </c>
      <c r="AT920" s="189">
        <f t="shared" si="134"/>
        <v>11587.96</v>
      </c>
      <c r="AU920" s="50">
        <f t="shared" si="135"/>
        <v>10699.08</v>
      </c>
    </row>
    <row r="921" spans="36:47">
      <c r="AJ921" s="50">
        <v>3</v>
      </c>
      <c r="AK921" s="50">
        <v>0</v>
      </c>
      <c r="AL921" s="50">
        <v>0</v>
      </c>
      <c r="AM921" s="15">
        <f>Tabela21[[#This Row],[Att subs]]+Tabela21[[#This Row],[Crit D subs]]</f>
        <v>1.4</v>
      </c>
      <c r="AN921" s="15">
        <v>0.6</v>
      </c>
      <c r="AO921" s="15">
        <v>0.8</v>
      </c>
      <c r="AP921" s="15">
        <v>0.5</v>
      </c>
      <c r="AQ921" s="189">
        <f t="shared" si="136"/>
        <v>6123.0599999999995</v>
      </c>
      <c r="AR921" s="189">
        <f t="shared" si="137"/>
        <v>6257.3899999999994</v>
      </c>
      <c r="AS921" s="189">
        <f t="shared" si="133"/>
        <v>6232.9999999999991</v>
      </c>
      <c r="AT921" s="189">
        <f t="shared" si="134"/>
        <v>12465.999999999998</v>
      </c>
      <c r="AU921" s="50">
        <f t="shared" si="135"/>
        <v>11891.48</v>
      </c>
    </row>
    <row r="922" spans="36:47">
      <c r="AJ922" s="50">
        <v>3</v>
      </c>
      <c r="AK922" s="50">
        <v>0</v>
      </c>
      <c r="AL922" s="50">
        <v>0</v>
      </c>
      <c r="AM922" s="15">
        <f>Tabela21[[#This Row],[Att subs]]+Tabela21[[#This Row],[Crit D subs]]</f>
        <v>1.4</v>
      </c>
      <c r="AN922" s="15">
        <v>0.6</v>
      </c>
      <c r="AO922" s="15">
        <v>0.8</v>
      </c>
      <c r="AP922" s="15">
        <v>0.6</v>
      </c>
      <c r="AQ922" s="189">
        <f t="shared" si="136"/>
        <v>6520.86</v>
      </c>
      <c r="AR922" s="189">
        <f t="shared" si="137"/>
        <v>6718.0899999999992</v>
      </c>
      <c r="AS922" s="189">
        <f t="shared" si="133"/>
        <v>6232.9999999999991</v>
      </c>
      <c r="AT922" s="189">
        <f t="shared" si="134"/>
        <v>12465.999999999998</v>
      </c>
      <c r="AU922" s="50">
        <f t="shared" si="135"/>
        <v>13083.88</v>
      </c>
    </row>
    <row r="923" spans="36:47">
      <c r="AJ923" s="50">
        <v>3</v>
      </c>
      <c r="AK923" s="50">
        <v>0</v>
      </c>
      <c r="AL923" s="50">
        <v>0</v>
      </c>
      <c r="AM923" s="15">
        <f>Tabela21[[#This Row],[Att subs]]+Tabela21[[#This Row],[Crit D subs]]</f>
        <v>1.4</v>
      </c>
      <c r="AN923" s="15">
        <v>0.6</v>
      </c>
      <c r="AO923" s="15">
        <v>0.8</v>
      </c>
      <c r="AP923" s="15">
        <v>0.7</v>
      </c>
      <c r="AQ923" s="189">
        <f t="shared" si="136"/>
        <v>6918.6600000000008</v>
      </c>
      <c r="AR923" s="189">
        <f t="shared" si="137"/>
        <v>7178.79</v>
      </c>
      <c r="AS923" s="189">
        <f t="shared" si="133"/>
        <v>6232.9999999999991</v>
      </c>
      <c r="AT923" s="189">
        <f t="shared" si="134"/>
        <v>12465.999999999998</v>
      </c>
      <c r="AU923" s="50">
        <f t="shared" si="135"/>
        <v>14276.279999999999</v>
      </c>
    </row>
    <row r="924" spans="36:47">
      <c r="AJ924" s="50">
        <v>3</v>
      </c>
      <c r="AK924" s="50">
        <v>0</v>
      </c>
      <c r="AL924" s="50">
        <v>0</v>
      </c>
      <c r="AM924" s="15">
        <f>Tabela21[[#This Row],[Att subs]]+Tabela21[[#This Row],[Crit D subs]]</f>
        <v>1.4</v>
      </c>
      <c r="AN924" s="15">
        <v>0.6</v>
      </c>
      <c r="AO924" s="15">
        <v>0.8</v>
      </c>
      <c r="AP924" s="15">
        <v>0.8</v>
      </c>
      <c r="AQ924" s="189">
        <f t="shared" si="136"/>
        <v>7037.9999999999991</v>
      </c>
      <c r="AR924" s="189">
        <f t="shared" si="137"/>
        <v>7316.9999999999991</v>
      </c>
      <c r="AS924" s="189">
        <f t="shared" si="133"/>
        <v>6232.9999999999991</v>
      </c>
      <c r="AT924" s="189">
        <f t="shared" si="134"/>
        <v>12465.999999999998</v>
      </c>
      <c r="AU924" s="50">
        <f t="shared" si="135"/>
        <v>14633.999999999998</v>
      </c>
    </row>
    <row r="925" spans="36:47">
      <c r="AJ925" s="50">
        <v>3</v>
      </c>
      <c r="AK925" s="50">
        <v>0</v>
      </c>
      <c r="AL925" s="50">
        <v>0</v>
      </c>
      <c r="AM925" s="15">
        <f>Tabela21[[#This Row],[Att subs]]+Tabela21[[#This Row],[Crit D subs]]</f>
        <v>1.4</v>
      </c>
      <c r="AN925" s="15">
        <v>0.6</v>
      </c>
      <c r="AO925" s="15">
        <v>0.8</v>
      </c>
      <c r="AP925" s="15">
        <v>0.9</v>
      </c>
      <c r="AQ925" s="189">
        <f t="shared" si="136"/>
        <v>7037.9999999999991</v>
      </c>
      <c r="AR925" s="189">
        <f t="shared" si="137"/>
        <v>7316.9999999999991</v>
      </c>
      <c r="AS925" s="189">
        <f t="shared" si="133"/>
        <v>6232.9999999999991</v>
      </c>
      <c r="AT925" s="189">
        <f t="shared" si="134"/>
        <v>12465.999999999998</v>
      </c>
      <c r="AU925" s="50">
        <f t="shared" si="135"/>
        <v>14633.999999999998</v>
      </c>
    </row>
    <row r="926" spans="36:47">
      <c r="AJ926" s="50">
        <v>3</v>
      </c>
      <c r="AK926" s="50">
        <v>0</v>
      </c>
      <c r="AL926" s="50">
        <v>0</v>
      </c>
      <c r="AM926" s="15">
        <f>Tabela21[[#This Row],[Att subs]]+Tabela21[[#This Row],[Crit D subs]]</f>
        <v>1.4</v>
      </c>
      <c r="AN926" s="15">
        <v>0.6</v>
      </c>
      <c r="AO926" s="15">
        <v>0.8</v>
      </c>
      <c r="AP926" s="15">
        <v>1</v>
      </c>
      <c r="AQ926" s="189">
        <f t="shared" si="136"/>
        <v>7037.9999999999991</v>
      </c>
      <c r="AR926" s="189">
        <f t="shared" si="137"/>
        <v>7316.9999999999991</v>
      </c>
      <c r="AS926" s="189">
        <f t="shared" si="133"/>
        <v>6232.9999999999991</v>
      </c>
      <c r="AT926" s="189">
        <f t="shared" si="134"/>
        <v>12465.999999999998</v>
      </c>
      <c r="AU926" s="50">
        <f t="shared" si="135"/>
        <v>14633.999999999998</v>
      </c>
    </row>
    <row r="927" spans="36:47">
      <c r="AJ927" s="50">
        <v>2</v>
      </c>
      <c r="AK927" s="50">
        <v>1</v>
      </c>
      <c r="AL927" s="50">
        <v>0</v>
      </c>
      <c r="AM927" s="15">
        <f>Tabela21[[#This Row],[Att subs]]+Tabela21[[#This Row],[Crit D subs]]</f>
        <v>1.6</v>
      </c>
      <c r="AN927" s="15">
        <v>0.8</v>
      </c>
      <c r="AO927" s="15">
        <v>0.8</v>
      </c>
      <c r="AP927" s="15">
        <v>0</v>
      </c>
      <c r="AQ927" s="189">
        <f t="shared" si="136"/>
        <v>4271.1310000000003</v>
      </c>
      <c r="AR927" s="189">
        <f t="shared" si="137"/>
        <v>4028.1859999999997</v>
      </c>
      <c r="AS927" s="189">
        <f t="shared" si="133"/>
        <v>4832.8579999999993</v>
      </c>
      <c r="AT927" s="189">
        <f t="shared" si="134"/>
        <v>8421.1159999999982</v>
      </c>
      <c r="AU927" s="50">
        <f t="shared" si="135"/>
        <v>6202.1719999999996</v>
      </c>
    </row>
    <row r="928" spans="36:47">
      <c r="AJ928" s="50">
        <v>2</v>
      </c>
      <c r="AK928" s="50">
        <v>1</v>
      </c>
      <c r="AL928" s="50">
        <v>0</v>
      </c>
      <c r="AM928" s="15">
        <f>Tabela21[[#This Row],[Att subs]]+Tabela21[[#This Row],[Crit D subs]]</f>
        <v>1.6</v>
      </c>
      <c r="AN928" s="15">
        <v>0.8</v>
      </c>
      <c r="AO928" s="15">
        <v>0.8</v>
      </c>
      <c r="AP928" s="15">
        <v>0.1</v>
      </c>
      <c r="AQ928" s="189">
        <f t="shared" si="136"/>
        <v>4782.6610000000001</v>
      </c>
      <c r="AR928" s="189">
        <f t="shared" si="137"/>
        <v>4579.3659999999991</v>
      </c>
      <c r="AS928" s="189">
        <f t="shared" si="133"/>
        <v>5282.4380000000001</v>
      </c>
      <c r="AT928" s="189">
        <f t="shared" si="134"/>
        <v>9574.2759999999998</v>
      </c>
      <c r="AU928" s="50">
        <f t="shared" si="135"/>
        <v>7558.5319999999992</v>
      </c>
    </row>
    <row r="929" spans="36:47">
      <c r="AJ929" s="50">
        <v>2</v>
      </c>
      <c r="AK929" s="50">
        <v>1</v>
      </c>
      <c r="AL929" s="50">
        <v>0</v>
      </c>
      <c r="AM929" s="15">
        <f>Tabela21[[#This Row],[Att subs]]+Tabela21[[#This Row],[Crit D subs]]</f>
        <v>1.6</v>
      </c>
      <c r="AN929" s="15">
        <v>0.8</v>
      </c>
      <c r="AO929" s="15">
        <v>0.8</v>
      </c>
      <c r="AP929" s="15">
        <v>0.2</v>
      </c>
      <c r="AQ929" s="189">
        <f t="shared" si="136"/>
        <v>5294.1909999999989</v>
      </c>
      <c r="AR929" s="189">
        <f t="shared" si="137"/>
        <v>5130.5459999999994</v>
      </c>
      <c r="AS929" s="189">
        <f t="shared" si="133"/>
        <v>5732.0179999999991</v>
      </c>
      <c r="AT929" s="189">
        <f t="shared" si="134"/>
        <v>10727.435999999998</v>
      </c>
      <c r="AU929" s="50">
        <f t="shared" si="135"/>
        <v>8914.891999999998</v>
      </c>
    </row>
    <row r="930" spans="36:47">
      <c r="AJ930" s="50">
        <v>2</v>
      </c>
      <c r="AK930" s="50">
        <v>1</v>
      </c>
      <c r="AL930" s="50">
        <v>0</v>
      </c>
      <c r="AM930" s="15">
        <f>Tabela21[[#This Row],[Att subs]]+Tabela21[[#This Row],[Crit D subs]]</f>
        <v>1.6</v>
      </c>
      <c r="AN930" s="15">
        <v>0.8</v>
      </c>
      <c r="AO930" s="15">
        <v>0.8</v>
      </c>
      <c r="AP930" s="15">
        <v>0.3</v>
      </c>
      <c r="AQ930" s="189">
        <f t="shared" si="136"/>
        <v>5805.7209999999986</v>
      </c>
      <c r="AR930" s="189">
        <f t="shared" si="137"/>
        <v>5681.7259999999987</v>
      </c>
      <c r="AS930" s="189">
        <f t="shared" si="133"/>
        <v>6181.597999999999</v>
      </c>
      <c r="AT930" s="189">
        <f t="shared" si="134"/>
        <v>11880.596</v>
      </c>
      <c r="AU930" s="50">
        <f t="shared" si="135"/>
        <v>10271.251999999999</v>
      </c>
    </row>
    <row r="931" spans="36:47">
      <c r="AJ931" s="50">
        <v>2</v>
      </c>
      <c r="AK931" s="50">
        <v>1</v>
      </c>
      <c r="AL931" s="50">
        <v>0</v>
      </c>
      <c r="AM931" s="15">
        <f>Tabela21[[#This Row],[Att subs]]+Tabela21[[#This Row],[Crit D subs]]</f>
        <v>1.6</v>
      </c>
      <c r="AN931" s="15">
        <v>0.8</v>
      </c>
      <c r="AO931" s="15">
        <v>0.8</v>
      </c>
      <c r="AP931" s="15">
        <v>0.4</v>
      </c>
      <c r="AQ931" s="189">
        <f t="shared" si="136"/>
        <v>6317.2509999999993</v>
      </c>
      <c r="AR931" s="189">
        <f t="shared" si="137"/>
        <v>6232.9059999999999</v>
      </c>
      <c r="AS931" s="189">
        <f t="shared" si="133"/>
        <v>6631.177999999999</v>
      </c>
      <c r="AT931" s="189">
        <f t="shared" si="134"/>
        <v>13033.755999999998</v>
      </c>
      <c r="AU931" s="50">
        <f t="shared" si="135"/>
        <v>11627.611999999999</v>
      </c>
    </row>
    <row r="932" spans="36:47">
      <c r="AJ932" s="50">
        <v>2</v>
      </c>
      <c r="AK932" s="50">
        <v>1</v>
      </c>
      <c r="AL932" s="50">
        <v>0</v>
      </c>
      <c r="AM932" s="15">
        <f>Tabela21[[#This Row],[Att subs]]+Tabela21[[#This Row],[Crit D subs]]</f>
        <v>1.6</v>
      </c>
      <c r="AN932" s="15">
        <v>0.8</v>
      </c>
      <c r="AO932" s="15">
        <v>0.8</v>
      </c>
      <c r="AP932" s="15">
        <v>0.5</v>
      </c>
      <c r="AQ932" s="189">
        <f t="shared" si="136"/>
        <v>6828.780999999999</v>
      </c>
      <c r="AR932" s="189">
        <f t="shared" si="137"/>
        <v>6784.0859999999993</v>
      </c>
      <c r="AS932" s="189">
        <f t="shared" si="133"/>
        <v>7035.7999999999993</v>
      </c>
      <c r="AT932" s="189">
        <f t="shared" si="134"/>
        <v>14071.599999999999</v>
      </c>
      <c r="AU932" s="50">
        <f t="shared" si="135"/>
        <v>12983.971999999996</v>
      </c>
    </row>
    <row r="933" spans="36:47">
      <c r="AJ933" s="50">
        <v>2</v>
      </c>
      <c r="AK933" s="50">
        <v>1</v>
      </c>
      <c r="AL933" s="50">
        <v>0</v>
      </c>
      <c r="AM933" s="15">
        <f>Tabela21[[#This Row],[Att subs]]+Tabela21[[#This Row],[Crit D subs]]</f>
        <v>1.6</v>
      </c>
      <c r="AN933" s="15">
        <v>0.8</v>
      </c>
      <c r="AO933" s="15">
        <v>0.8</v>
      </c>
      <c r="AP933" s="15">
        <v>0.6</v>
      </c>
      <c r="AQ933" s="189">
        <f t="shared" si="136"/>
        <v>7340.3109999999979</v>
      </c>
      <c r="AR933" s="189">
        <f t="shared" si="137"/>
        <v>7335.2659999999978</v>
      </c>
      <c r="AS933" s="189">
        <f t="shared" si="133"/>
        <v>7035.7999999999993</v>
      </c>
      <c r="AT933" s="189">
        <f t="shared" si="134"/>
        <v>14071.599999999999</v>
      </c>
      <c r="AU933" s="50">
        <f t="shared" si="135"/>
        <v>14340.331999999997</v>
      </c>
    </row>
    <row r="934" spans="36:47">
      <c r="AJ934" s="50">
        <v>2</v>
      </c>
      <c r="AK934" s="50">
        <v>1</v>
      </c>
      <c r="AL934" s="50">
        <v>0</v>
      </c>
      <c r="AM934" s="15">
        <f>Tabela21[[#This Row],[Att subs]]+Tabela21[[#This Row],[Crit D subs]]</f>
        <v>1.6</v>
      </c>
      <c r="AN934" s="15">
        <v>0.8</v>
      </c>
      <c r="AO934" s="15">
        <v>0.8</v>
      </c>
      <c r="AP934" s="15">
        <v>0.7</v>
      </c>
      <c r="AQ934" s="189">
        <f t="shared" si="136"/>
        <v>7851.8409999999994</v>
      </c>
      <c r="AR934" s="189">
        <f t="shared" si="137"/>
        <v>7886.445999999999</v>
      </c>
      <c r="AS934" s="189">
        <f t="shared" si="133"/>
        <v>7035.7999999999993</v>
      </c>
      <c r="AT934" s="189">
        <f t="shared" si="134"/>
        <v>14071.599999999999</v>
      </c>
      <c r="AU934" s="50">
        <f t="shared" si="135"/>
        <v>15696.691999999999</v>
      </c>
    </row>
    <row r="935" spans="36:47">
      <c r="AJ935" s="50">
        <v>2</v>
      </c>
      <c r="AK935" s="50">
        <v>1</v>
      </c>
      <c r="AL935" s="50">
        <v>0</v>
      </c>
      <c r="AM935" s="15">
        <f>Tabela21[[#This Row],[Att subs]]+Tabela21[[#This Row],[Crit D subs]]</f>
        <v>1.6</v>
      </c>
      <c r="AN935" s="15">
        <v>0.8</v>
      </c>
      <c r="AO935" s="15">
        <v>0.8</v>
      </c>
      <c r="AP935" s="15">
        <v>0.8</v>
      </c>
      <c r="AQ935" s="189">
        <f t="shared" si="136"/>
        <v>8005.2999999999984</v>
      </c>
      <c r="AR935" s="189">
        <f t="shared" si="137"/>
        <v>8051.7999999999984</v>
      </c>
      <c r="AS935" s="189">
        <f t="shared" si="133"/>
        <v>7035.7999999999993</v>
      </c>
      <c r="AT935" s="189">
        <f t="shared" si="134"/>
        <v>14071.599999999999</v>
      </c>
      <c r="AU935" s="50">
        <f t="shared" si="135"/>
        <v>16103.599999999997</v>
      </c>
    </row>
    <row r="936" spans="36:47">
      <c r="AJ936" s="50">
        <v>2</v>
      </c>
      <c r="AK936" s="50">
        <v>1</v>
      </c>
      <c r="AL936" s="50">
        <v>0</v>
      </c>
      <c r="AM936" s="15">
        <f>Tabela21[[#This Row],[Att subs]]+Tabela21[[#This Row],[Crit D subs]]</f>
        <v>1.6</v>
      </c>
      <c r="AN936" s="15">
        <v>0.8</v>
      </c>
      <c r="AO936" s="15">
        <v>0.8</v>
      </c>
      <c r="AP936" s="15">
        <v>0.9</v>
      </c>
      <c r="AQ936" s="189">
        <f t="shared" si="136"/>
        <v>8005.2999999999984</v>
      </c>
      <c r="AR936" s="189">
        <f t="shared" si="137"/>
        <v>8051.7999999999984</v>
      </c>
      <c r="AS936" s="189">
        <f t="shared" si="133"/>
        <v>7035.7999999999993</v>
      </c>
      <c r="AT936" s="189">
        <f t="shared" si="134"/>
        <v>14071.599999999999</v>
      </c>
      <c r="AU936" s="50">
        <f t="shared" si="135"/>
        <v>16103.599999999997</v>
      </c>
    </row>
    <row r="937" spans="36:47">
      <c r="AJ937" s="50">
        <v>2</v>
      </c>
      <c r="AK937" s="50">
        <v>1</v>
      </c>
      <c r="AL937" s="50">
        <v>0</v>
      </c>
      <c r="AM937" s="15">
        <f>Tabela21[[#This Row],[Att subs]]+Tabela21[[#This Row],[Crit D subs]]</f>
        <v>1.6</v>
      </c>
      <c r="AN937" s="15">
        <v>0.8</v>
      </c>
      <c r="AO937" s="15">
        <v>0.8</v>
      </c>
      <c r="AP937" s="15">
        <v>1</v>
      </c>
      <c r="AQ937" s="189">
        <f t="shared" si="136"/>
        <v>8005.2999999999984</v>
      </c>
      <c r="AR937" s="189">
        <f t="shared" si="137"/>
        <v>8051.7999999999984</v>
      </c>
      <c r="AS937" s="189">
        <f t="shared" si="133"/>
        <v>7035.7999999999993</v>
      </c>
      <c r="AT937" s="189">
        <f t="shared" si="134"/>
        <v>14071.599999999999</v>
      </c>
      <c r="AU937" s="50">
        <f t="shared" si="135"/>
        <v>16103.599999999997</v>
      </c>
    </row>
    <row r="938" spans="36:47">
      <c r="AJ938" s="50">
        <v>2</v>
      </c>
      <c r="AK938" s="50">
        <v>0</v>
      </c>
      <c r="AL938" s="50">
        <v>1</v>
      </c>
      <c r="AM938" s="15">
        <f>Tabela21[[#This Row],[Att subs]]+Tabela21[[#This Row],[Crit D subs]]</f>
        <v>1.6</v>
      </c>
      <c r="AN938" s="15">
        <v>0.8</v>
      </c>
      <c r="AO938" s="15">
        <v>0.8</v>
      </c>
      <c r="AP938" s="15">
        <v>0</v>
      </c>
      <c r="AQ938" s="189">
        <f t="shared" si="136"/>
        <v>5219.34</v>
      </c>
      <c r="AR938" s="189">
        <f t="shared" si="137"/>
        <v>5217.16</v>
      </c>
      <c r="AS938" s="189">
        <f t="shared" si="133"/>
        <v>5379.7199999999993</v>
      </c>
      <c r="AT938" s="189">
        <f t="shared" si="134"/>
        <v>10403.839999999998</v>
      </c>
      <c r="AU938" s="50">
        <f t="shared" si="135"/>
        <v>9469.119999999999</v>
      </c>
    </row>
    <row r="939" spans="36:47">
      <c r="AJ939" s="50">
        <v>2</v>
      </c>
      <c r="AK939" s="50">
        <v>0</v>
      </c>
      <c r="AL939" s="50">
        <v>1</v>
      </c>
      <c r="AM939" s="15">
        <f>Tabela21[[#This Row],[Att subs]]+Tabela21[[#This Row],[Crit D subs]]</f>
        <v>1.6</v>
      </c>
      <c r="AN939" s="15">
        <v>0.8</v>
      </c>
      <c r="AO939" s="15">
        <v>0.8</v>
      </c>
      <c r="AP939" s="15">
        <v>0.1</v>
      </c>
      <c r="AQ939" s="189">
        <f t="shared" si="136"/>
        <v>5595.04</v>
      </c>
      <c r="AR939" s="189">
        <f t="shared" si="137"/>
        <v>5648.9599999999991</v>
      </c>
      <c r="AS939" s="189">
        <f t="shared" si="133"/>
        <v>5709.9199999999992</v>
      </c>
      <c r="AT939" s="189">
        <f t="shared" si="134"/>
        <v>11318.239999999998</v>
      </c>
      <c r="AU939" s="50">
        <f t="shared" si="135"/>
        <v>10586.719999999998</v>
      </c>
    </row>
    <row r="940" spans="36:47">
      <c r="AJ940" s="50">
        <v>2</v>
      </c>
      <c r="AK940" s="50">
        <v>0</v>
      </c>
      <c r="AL940" s="50">
        <v>1</v>
      </c>
      <c r="AM940" s="15">
        <f>Tabela21[[#This Row],[Att subs]]+Tabela21[[#This Row],[Crit D subs]]</f>
        <v>1.6</v>
      </c>
      <c r="AN940" s="15">
        <v>0.8</v>
      </c>
      <c r="AO940" s="15">
        <v>0.8</v>
      </c>
      <c r="AP940" s="15">
        <v>0.2</v>
      </c>
      <c r="AQ940" s="189">
        <f t="shared" si="136"/>
        <v>5970.74</v>
      </c>
      <c r="AR940" s="189">
        <f t="shared" si="137"/>
        <v>6080.7599999999993</v>
      </c>
      <c r="AS940" s="189">
        <f t="shared" si="133"/>
        <v>5842</v>
      </c>
      <c r="AT940" s="189">
        <f t="shared" si="134"/>
        <v>11684</v>
      </c>
      <c r="AU940" s="50">
        <f t="shared" si="135"/>
        <v>11704.319999999996</v>
      </c>
    </row>
    <row r="941" spans="36:47">
      <c r="AJ941" s="50">
        <v>2</v>
      </c>
      <c r="AK941" s="50">
        <v>0</v>
      </c>
      <c r="AL941" s="50">
        <v>1</v>
      </c>
      <c r="AM941" s="15">
        <f>Tabela21[[#This Row],[Att subs]]+Tabela21[[#This Row],[Crit D subs]]</f>
        <v>1.6</v>
      </c>
      <c r="AN941" s="15">
        <v>0.8</v>
      </c>
      <c r="AO941" s="15">
        <v>0.8</v>
      </c>
      <c r="AP941" s="15">
        <v>0.3</v>
      </c>
      <c r="AQ941" s="189">
        <f t="shared" si="136"/>
        <v>6346.4400000000005</v>
      </c>
      <c r="AR941" s="189">
        <f t="shared" si="137"/>
        <v>6512.56</v>
      </c>
      <c r="AS941" s="189">
        <f t="shared" si="133"/>
        <v>5842</v>
      </c>
      <c r="AT941" s="189">
        <f t="shared" si="134"/>
        <v>11684</v>
      </c>
      <c r="AU941" s="50">
        <f t="shared" si="135"/>
        <v>12821.92</v>
      </c>
    </row>
    <row r="942" spans="36:47">
      <c r="AJ942" s="50">
        <v>2</v>
      </c>
      <c r="AK942" s="50">
        <v>0</v>
      </c>
      <c r="AL942" s="50">
        <v>1</v>
      </c>
      <c r="AM942" s="15">
        <f>Tabela21[[#This Row],[Att subs]]+Tabela21[[#This Row],[Crit D subs]]</f>
        <v>1.6</v>
      </c>
      <c r="AN942" s="15">
        <v>0.8</v>
      </c>
      <c r="AO942" s="15">
        <v>0.8</v>
      </c>
      <c r="AP942" s="15">
        <v>0.4</v>
      </c>
      <c r="AQ942" s="189">
        <f t="shared" si="136"/>
        <v>6646.9999999999991</v>
      </c>
      <c r="AR942" s="189">
        <f t="shared" si="137"/>
        <v>6857.9999999999991</v>
      </c>
      <c r="AS942" s="189">
        <f t="shared" si="133"/>
        <v>5842</v>
      </c>
      <c r="AT942" s="189">
        <f t="shared" si="134"/>
        <v>11684</v>
      </c>
      <c r="AU942" s="50">
        <f t="shared" si="135"/>
        <v>13715.999999999998</v>
      </c>
    </row>
    <row r="943" spans="36:47">
      <c r="AJ943" s="50">
        <v>2</v>
      </c>
      <c r="AK943" s="50">
        <v>0</v>
      </c>
      <c r="AL943" s="50">
        <v>1</v>
      </c>
      <c r="AM943" s="15">
        <f>Tabela21[[#This Row],[Att subs]]+Tabela21[[#This Row],[Crit D subs]]</f>
        <v>1.6</v>
      </c>
      <c r="AN943" s="15">
        <v>0.8</v>
      </c>
      <c r="AO943" s="15">
        <v>0.8</v>
      </c>
      <c r="AP943" s="15">
        <v>0.5</v>
      </c>
      <c r="AQ943" s="189">
        <f t="shared" si="136"/>
        <v>6646.9999999999991</v>
      </c>
      <c r="AR943" s="189">
        <f t="shared" si="137"/>
        <v>6857.9999999999991</v>
      </c>
      <c r="AS943" s="189">
        <f t="shared" si="133"/>
        <v>5842</v>
      </c>
      <c r="AT943" s="189">
        <f t="shared" si="134"/>
        <v>11684</v>
      </c>
      <c r="AU943" s="50">
        <f t="shared" si="135"/>
        <v>13715.999999999998</v>
      </c>
    </row>
    <row r="944" spans="36:47">
      <c r="AJ944" s="50">
        <v>2</v>
      </c>
      <c r="AK944" s="50">
        <v>0</v>
      </c>
      <c r="AL944" s="50">
        <v>1</v>
      </c>
      <c r="AM944" s="15">
        <f>Tabela21[[#This Row],[Att subs]]+Tabela21[[#This Row],[Crit D subs]]</f>
        <v>1.6</v>
      </c>
      <c r="AN944" s="15">
        <v>0.8</v>
      </c>
      <c r="AO944" s="15">
        <v>0.8</v>
      </c>
      <c r="AP944" s="15">
        <v>0.6</v>
      </c>
      <c r="AQ944" s="189">
        <f t="shared" si="136"/>
        <v>6646.9999999999991</v>
      </c>
      <c r="AR944" s="189">
        <f t="shared" si="137"/>
        <v>6857.9999999999991</v>
      </c>
      <c r="AS944" s="189">
        <f t="shared" si="133"/>
        <v>5842</v>
      </c>
      <c r="AT944" s="189">
        <f t="shared" si="134"/>
        <v>11684</v>
      </c>
      <c r="AU944" s="50">
        <f t="shared" si="135"/>
        <v>13715.999999999998</v>
      </c>
    </row>
    <row r="945" spans="36:47">
      <c r="AJ945" s="50">
        <v>2</v>
      </c>
      <c r="AK945" s="50">
        <v>0</v>
      </c>
      <c r="AL945" s="50">
        <v>1</v>
      </c>
      <c r="AM945" s="15">
        <f>Tabela21[[#This Row],[Att subs]]+Tabela21[[#This Row],[Crit D subs]]</f>
        <v>1.6</v>
      </c>
      <c r="AN945" s="15">
        <v>0.8</v>
      </c>
      <c r="AO945" s="15">
        <v>0.8</v>
      </c>
      <c r="AP945" s="15">
        <v>0.7</v>
      </c>
      <c r="AQ945" s="189">
        <f t="shared" si="136"/>
        <v>6646.9999999999991</v>
      </c>
      <c r="AR945" s="189">
        <f t="shared" si="137"/>
        <v>6857.9999999999991</v>
      </c>
      <c r="AS945" s="189">
        <f t="shared" si="133"/>
        <v>5842</v>
      </c>
      <c r="AT945" s="189">
        <f t="shared" si="134"/>
        <v>11684</v>
      </c>
      <c r="AU945" s="50">
        <f t="shared" si="135"/>
        <v>13715.999999999998</v>
      </c>
    </row>
    <row r="946" spans="36:47">
      <c r="AJ946" s="50">
        <v>2</v>
      </c>
      <c r="AK946" s="50">
        <v>0</v>
      </c>
      <c r="AL946" s="50">
        <v>1</v>
      </c>
      <c r="AM946" s="15">
        <f>Tabela21[[#This Row],[Att subs]]+Tabela21[[#This Row],[Crit D subs]]</f>
        <v>1.6</v>
      </c>
      <c r="AN946" s="15">
        <v>0.8</v>
      </c>
      <c r="AO946" s="15">
        <v>0.8</v>
      </c>
      <c r="AP946" s="15">
        <v>0.8</v>
      </c>
      <c r="AQ946" s="189">
        <f t="shared" si="136"/>
        <v>6646.9999999999991</v>
      </c>
      <c r="AR946" s="189">
        <f t="shared" si="137"/>
        <v>6857.9999999999991</v>
      </c>
      <c r="AS946" s="189">
        <f t="shared" si="133"/>
        <v>5842</v>
      </c>
      <c r="AT946" s="189">
        <f t="shared" si="134"/>
        <v>11684</v>
      </c>
      <c r="AU946" s="50">
        <f t="shared" si="135"/>
        <v>13715.999999999998</v>
      </c>
    </row>
    <row r="947" spans="36:47">
      <c r="AJ947" s="50">
        <v>2</v>
      </c>
      <c r="AK947" s="50">
        <v>0</v>
      </c>
      <c r="AL947" s="50">
        <v>1</v>
      </c>
      <c r="AM947" s="15">
        <f>Tabela21[[#This Row],[Att subs]]+Tabela21[[#This Row],[Crit D subs]]</f>
        <v>1.6</v>
      </c>
      <c r="AN947" s="15">
        <v>0.8</v>
      </c>
      <c r="AO947" s="15">
        <v>0.8</v>
      </c>
      <c r="AP947" s="15">
        <v>0.9</v>
      </c>
      <c r="AQ947" s="189">
        <f t="shared" si="136"/>
        <v>6646.9999999999991</v>
      </c>
      <c r="AR947" s="189">
        <f t="shared" si="137"/>
        <v>6857.9999999999991</v>
      </c>
      <c r="AS947" s="189">
        <f t="shared" si="133"/>
        <v>5842</v>
      </c>
      <c r="AT947" s="189">
        <f t="shared" si="134"/>
        <v>11684</v>
      </c>
      <c r="AU947" s="50">
        <f t="shared" si="135"/>
        <v>13715.999999999998</v>
      </c>
    </row>
    <row r="948" spans="36:47">
      <c r="AJ948" s="50">
        <v>2</v>
      </c>
      <c r="AK948" s="50">
        <v>0</v>
      </c>
      <c r="AL948" s="50">
        <v>1</v>
      </c>
      <c r="AM948" s="15">
        <f>Tabela21[[#This Row],[Att subs]]+Tabela21[[#This Row],[Crit D subs]]</f>
        <v>1.6</v>
      </c>
      <c r="AN948" s="15">
        <v>0.8</v>
      </c>
      <c r="AO948" s="15">
        <v>0.8</v>
      </c>
      <c r="AP948" s="15">
        <v>1</v>
      </c>
      <c r="AQ948" s="189">
        <f t="shared" si="136"/>
        <v>6646.9999999999991</v>
      </c>
      <c r="AR948" s="189">
        <f t="shared" si="137"/>
        <v>6857.9999999999991</v>
      </c>
      <c r="AS948" s="189">
        <f t="shared" si="133"/>
        <v>5842</v>
      </c>
      <c r="AT948" s="189">
        <f t="shared" si="134"/>
        <v>11684</v>
      </c>
      <c r="AU948" s="50">
        <f t="shared" si="135"/>
        <v>13715.999999999998</v>
      </c>
    </row>
    <row r="949" spans="36:47">
      <c r="AJ949" s="50">
        <v>3</v>
      </c>
      <c r="AK949" s="50">
        <v>0</v>
      </c>
      <c r="AL949" s="50">
        <v>0</v>
      </c>
      <c r="AM949" s="15">
        <f>Tabela21[[#This Row],[Att subs]]+Tabela21[[#This Row],[Crit D subs]]</f>
        <v>1.6</v>
      </c>
      <c r="AN949" s="15">
        <v>0.8</v>
      </c>
      <c r="AO949" s="15">
        <v>0.8</v>
      </c>
      <c r="AP949" s="15">
        <v>0</v>
      </c>
      <c r="AQ949" s="189">
        <f t="shared" si="136"/>
        <v>4404.26</v>
      </c>
      <c r="AR949" s="189">
        <f t="shared" si="137"/>
        <v>4245.6900000000005</v>
      </c>
      <c r="AS949" s="189">
        <f t="shared" si="133"/>
        <v>4839.329999999999</v>
      </c>
      <c r="AT949" s="189">
        <f t="shared" si="134"/>
        <v>8252.7599999999984</v>
      </c>
      <c r="AU949" s="50">
        <f t="shared" si="135"/>
        <v>6367.079999999999</v>
      </c>
    </row>
    <row r="950" spans="36:47">
      <c r="AJ950" s="50">
        <v>3</v>
      </c>
      <c r="AK950" s="50">
        <v>0</v>
      </c>
      <c r="AL950" s="50">
        <v>0</v>
      </c>
      <c r="AM950" s="15">
        <f>Tabela21[[#This Row],[Att subs]]+Tabela21[[#This Row],[Crit D subs]]</f>
        <v>1.6</v>
      </c>
      <c r="AN950" s="15">
        <v>0.8</v>
      </c>
      <c r="AO950" s="15">
        <v>0.8</v>
      </c>
      <c r="AP950" s="15">
        <v>0.1</v>
      </c>
      <c r="AQ950" s="189">
        <f t="shared" si="136"/>
        <v>4828.0600000000004</v>
      </c>
      <c r="AR950" s="189">
        <f t="shared" si="137"/>
        <v>4740.3900000000003</v>
      </c>
      <c r="AS950" s="189">
        <f t="shared" si="133"/>
        <v>5217.6299999999992</v>
      </c>
      <c r="AT950" s="189">
        <f t="shared" si="134"/>
        <v>9300.3599999999988</v>
      </c>
      <c r="AU950" s="50">
        <f t="shared" si="135"/>
        <v>7647.4799999999987</v>
      </c>
    </row>
    <row r="951" spans="36:47">
      <c r="AJ951" s="50">
        <v>3</v>
      </c>
      <c r="AK951" s="50">
        <v>0</v>
      </c>
      <c r="AL951" s="50">
        <v>0</v>
      </c>
      <c r="AM951" s="15">
        <f>Tabela21[[#This Row],[Att subs]]+Tabela21[[#This Row],[Crit D subs]]</f>
        <v>1.6</v>
      </c>
      <c r="AN951" s="15">
        <v>0.8</v>
      </c>
      <c r="AO951" s="15">
        <v>0.8</v>
      </c>
      <c r="AP951" s="15">
        <v>0.2</v>
      </c>
      <c r="AQ951" s="189">
        <f t="shared" si="136"/>
        <v>5251.86</v>
      </c>
      <c r="AR951" s="189">
        <f t="shared" si="137"/>
        <v>5235.09</v>
      </c>
      <c r="AS951" s="189">
        <f t="shared" si="133"/>
        <v>5595.9299999999985</v>
      </c>
      <c r="AT951" s="189">
        <f t="shared" si="134"/>
        <v>10347.959999999999</v>
      </c>
      <c r="AU951" s="50">
        <f t="shared" si="135"/>
        <v>8927.8799999999992</v>
      </c>
    </row>
    <row r="952" spans="36:47">
      <c r="AJ952" s="50">
        <v>3</v>
      </c>
      <c r="AK952" s="50">
        <v>0</v>
      </c>
      <c r="AL952" s="50">
        <v>0</v>
      </c>
      <c r="AM952" s="15">
        <f>Tabela21[[#This Row],[Att subs]]+Tabela21[[#This Row],[Crit D subs]]</f>
        <v>1.6</v>
      </c>
      <c r="AN952" s="15">
        <v>0.8</v>
      </c>
      <c r="AO952" s="15">
        <v>0.8</v>
      </c>
      <c r="AP952" s="15">
        <v>0.3</v>
      </c>
      <c r="AQ952" s="189">
        <f t="shared" si="136"/>
        <v>5675.66</v>
      </c>
      <c r="AR952" s="189">
        <f t="shared" si="137"/>
        <v>5729.79</v>
      </c>
      <c r="AS952" s="189">
        <f t="shared" si="133"/>
        <v>5974.23</v>
      </c>
      <c r="AT952" s="189">
        <f t="shared" si="134"/>
        <v>11395.559999999998</v>
      </c>
      <c r="AU952" s="50">
        <f t="shared" si="135"/>
        <v>10208.279999999999</v>
      </c>
    </row>
    <row r="953" spans="36:47">
      <c r="AJ953" s="50">
        <v>3</v>
      </c>
      <c r="AK953" s="50">
        <v>0</v>
      </c>
      <c r="AL953" s="50">
        <v>0</v>
      </c>
      <c r="AM953" s="15">
        <f>Tabela21[[#This Row],[Att subs]]+Tabela21[[#This Row],[Crit D subs]]</f>
        <v>1.6</v>
      </c>
      <c r="AN953" s="15">
        <v>0.8</v>
      </c>
      <c r="AO953" s="15">
        <v>0.8</v>
      </c>
      <c r="AP953" s="15">
        <v>0.4</v>
      </c>
      <c r="AQ953" s="189">
        <f t="shared" si="136"/>
        <v>6099.4600000000009</v>
      </c>
      <c r="AR953" s="189">
        <f t="shared" si="137"/>
        <v>6224.49</v>
      </c>
      <c r="AS953" s="189">
        <f t="shared" si="133"/>
        <v>6352.53</v>
      </c>
      <c r="AT953" s="189">
        <f t="shared" si="134"/>
        <v>12443.16</v>
      </c>
      <c r="AU953" s="50">
        <f t="shared" si="135"/>
        <v>11488.68</v>
      </c>
    </row>
    <row r="954" spans="36:47">
      <c r="AJ954" s="50">
        <v>3</v>
      </c>
      <c r="AK954" s="50">
        <v>0</v>
      </c>
      <c r="AL954" s="50">
        <v>0</v>
      </c>
      <c r="AM954" s="15">
        <f>Tabela21[[#This Row],[Att subs]]+Tabela21[[#This Row],[Crit D subs]]</f>
        <v>1.6</v>
      </c>
      <c r="AN954" s="15">
        <v>0.8</v>
      </c>
      <c r="AO954" s="15">
        <v>0.8</v>
      </c>
      <c r="AP954" s="15">
        <v>0.5</v>
      </c>
      <c r="AQ954" s="189">
        <f t="shared" si="136"/>
        <v>6523.26</v>
      </c>
      <c r="AR954" s="189">
        <f t="shared" si="137"/>
        <v>6719.19</v>
      </c>
      <c r="AS954" s="189">
        <f t="shared" si="133"/>
        <v>6692.9999999999991</v>
      </c>
      <c r="AT954" s="189">
        <f t="shared" si="134"/>
        <v>13385.999999999998</v>
      </c>
      <c r="AU954" s="50">
        <f t="shared" si="135"/>
        <v>12769.08</v>
      </c>
    </row>
    <row r="955" spans="36:47">
      <c r="AJ955" s="50">
        <v>3</v>
      </c>
      <c r="AK955" s="50">
        <v>0</v>
      </c>
      <c r="AL955" s="50">
        <v>0</v>
      </c>
      <c r="AM955" s="15">
        <f>Tabela21[[#This Row],[Att subs]]+Tabela21[[#This Row],[Crit D subs]]</f>
        <v>1.6</v>
      </c>
      <c r="AN955" s="15">
        <v>0.8</v>
      </c>
      <c r="AO955" s="15">
        <v>0.8</v>
      </c>
      <c r="AP955" s="15">
        <v>0.6</v>
      </c>
      <c r="AQ955" s="189">
        <f t="shared" si="136"/>
        <v>6947.06</v>
      </c>
      <c r="AR955" s="189">
        <f t="shared" si="137"/>
        <v>7213.8899999999994</v>
      </c>
      <c r="AS955" s="189">
        <f t="shared" si="133"/>
        <v>6692.9999999999991</v>
      </c>
      <c r="AT955" s="189">
        <f t="shared" si="134"/>
        <v>13385.999999999998</v>
      </c>
      <c r="AU955" s="50">
        <f t="shared" si="135"/>
        <v>14049.479999999998</v>
      </c>
    </row>
    <row r="956" spans="36:47">
      <c r="AJ956" s="50">
        <v>3</v>
      </c>
      <c r="AK956" s="50">
        <v>0</v>
      </c>
      <c r="AL956" s="50">
        <v>0</v>
      </c>
      <c r="AM956" s="15">
        <f>Tabela21[[#This Row],[Att subs]]+Tabela21[[#This Row],[Crit D subs]]</f>
        <v>1.6</v>
      </c>
      <c r="AN956" s="15">
        <v>0.8</v>
      </c>
      <c r="AO956" s="15">
        <v>0.8</v>
      </c>
      <c r="AP956" s="15">
        <v>0.7</v>
      </c>
      <c r="AQ956" s="189">
        <f t="shared" si="136"/>
        <v>7370.8600000000015</v>
      </c>
      <c r="AR956" s="189">
        <f t="shared" si="137"/>
        <v>7708.59</v>
      </c>
      <c r="AS956" s="189">
        <f t="shared" si="133"/>
        <v>6692.9999999999991</v>
      </c>
      <c r="AT956" s="189">
        <f t="shared" si="134"/>
        <v>13385.999999999998</v>
      </c>
      <c r="AU956" s="50">
        <f t="shared" si="135"/>
        <v>15329.88</v>
      </c>
    </row>
    <row r="957" spans="36:47">
      <c r="AJ957" s="50">
        <v>3</v>
      </c>
      <c r="AK957" s="50">
        <v>0</v>
      </c>
      <c r="AL957" s="50">
        <v>0</v>
      </c>
      <c r="AM957" s="15">
        <f>Tabela21[[#This Row],[Att subs]]+Tabela21[[#This Row],[Crit D subs]]</f>
        <v>1.6</v>
      </c>
      <c r="AN957" s="15">
        <v>0.8</v>
      </c>
      <c r="AO957" s="15">
        <v>0.8</v>
      </c>
      <c r="AP957" s="15">
        <v>0.8</v>
      </c>
      <c r="AQ957" s="189">
        <f t="shared" si="136"/>
        <v>7498.0000000000009</v>
      </c>
      <c r="AR957" s="189">
        <f t="shared" si="137"/>
        <v>7856.9999999999991</v>
      </c>
      <c r="AS957" s="189">
        <f t="shared" si="133"/>
        <v>6692.9999999999991</v>
      </c>
      <c r="AT957" s="189">
        <f t="shared" si="134"/>
        <v>13385.999999999998</v>
      </c>
      <c r="AU957" s="50">
        <f t="shared" si="135"/>
        <v>15713.999999999998</v>
      </c>
    </row>
    <row r="958" spans="36:47">
      <c r="AJ958" s="50">
        <v>3</v>
      </c>
      <c r="AK958" s="50">
        <v>0</v>
      </c>
      <c r="AL958" s="50">
        <v>0</v>
      </c>
      <c r="AM958" s="15">
        <f>Tabela21[[#This Row],[Att subs]]+Tabela21[[#This Row],[Crit D subs]]</f>
        <v>1.6</v>
      </c>
      <c r="AN958" s="15">
        <v>0.8</v>
      </c>
      <c r="AO958" s="15">
        <v>0.8</v>
      </c>
      <c r="AP958" s="15">
        <v>0.9</v>
      </c>
      <c r="AQ958" s="189">
        <f t="shared" si="136"/>
        <v>7498.0000000000009</v>
      </c>
      <c r="AR958" s="189">
        <f t="shared" si="137"/>
        <v>7856.9999999999991</v>
      </c>
      <c r="AS958" s="189">
        <f t="shared" si="133"/>
        <v>6692.9999999999991</v>
      </c>
      <c r="AT958" s="189">
        <f t="shared" si="134"/>
        <v>13385.999999999998</v>
      </c>
      <c r="AU958" s="50">
        <f t="shared" si="135"/>
        <v>15713.999999999998</v>
      </c>
    </row>
    <row r="959" spans="36:47">
      <c r="AJ959" s="50">
        <v>3</v>
      </c>
      <c r="AK959" s="50">
        <v>0</v>
      </c>
      <c r="AL959" s="50">
        <v>0</v>
      </c>
      <c r="AM959" s="15">
        <f>Tabela21[[#This Row],[Att subs]]+Tabela21[[#This Row],[Crit D subs]]</f>
        <v>1.6</v>
      </c>
      <c r="AN959" s="15">
        <v>0.8</v>
      </c>
      <c r="AO959" s="15">
        <v>0.8</v>
      </c>
      <c r="AP959" s="15">
        <v>1</v>
      </c>
      <c r="AQ959" s="189">
        <f t="shared" si="136"/>
        <v>7498.0000000000009</v>
      </c>
      <c r="AR959" s="189">
        <f t="shared" si="137"/>
        <v>7856.9999999999991</v>
      </c>
      <c r="AS959" s="189">
        <f t="shared" si="133"/>
        <v>6692.9999999999991</v>
      </c>
      <c r="AT959" s="189">
        <f t="shared" si="134"/>
        <v>13385.999999999998</v>
      </c>
      <c r="AU959" s="50">
        <f t="shared" si="135"/>
        <v>15713.999999999998</v>
      </c>
    </row>
    <row r="960" spans="36:47">
      <c r="AJ960" s="50">
        <v>2</v>
      </c>
      <c r="AK960" s="50">
        <v>1</v>
      </c>
      <c r="AL960" s="50">
        <v>0</v>
      </c>
      <c r="AM960" s="15">
        <f>Tabela21[[#This Row],[Att subs]]+Tabela21[[#This Row],[Crit D subs]]</f>
        <v>1.8</v>
      </c>
      <c r="AN960" s="15">
        <v>1</v>
      </c>
      <c r="AO960" s="15">
        <v>0.8</v>
      </c>
      <c r="AP960" s="15">
        <v>0</v>
      </c>
      <c r="AQ960" s="189">
        <f t="shared" si="136"/>
        <v>4566.7110000000002</v>
      </c>
      <c r="AR960" s="189">
        <f t="shared" si="137"/>
        <v>4345.366</v>
      </c>
      <c r="AS960" s="189">
        <f t="shared" si="133"/>
        <v>5213.3979999999992</v>
      </c>
      <c r="AT960" s="189">
        <f t="shared" si="134"/>
        <v>9084.1959999999981</v>
      </c>
      <c r="AU960" s="50">
        <f t="shared" si="135"/>
        <v>6690.5319999999992</v>
      </c>
    </row>
    <row r="961" spans="36:47">
      <c r="AJ961" s="50">
        <v>2</v>
      </c>
      <c r="AK961" s="50">
        <v>1</v>
      </c>
      <c r="AL961" s="50">
        <v>0</v>
      </c>
      <c r="AM961" s="15">
        <f>Tabela21[[#This Row],[Att subs]]+Tabela21[[#This Row],[Crit D subs]]</f>
        <v>1.8</v>
      </c>
      <c r="AN961" s="15">
        <v>1</v>
      </c>
      <c r="AO961" s="15">
        <v>0.8</v>
      </c>
      <c r="AP961" s="15">
        <v>0.1</v>
      </c>
      <c r="AQ961" s="189">
        <f t="shared" si="136"/>
        <v>5113.6410000000005</v>
      </c>
      <c r="AR961" s="189">
        <f t="shared" si="137"/>
        <v>4939.945999999999</v>
      </c>
      <c r="AS961" s="189">
        <f t="shared" si="133"/>
        <v>5698.3779999999997</v>
      </c>
      <c r="AT961" s="189">
        <f t="shared" si="134"/>
        <v>10328.155999999999</v>
      </c>
      <c r="AU961" s="50">
        <f t="shared" si="135"/>
        <v>8153.6919999999991</v>
      </c>
    </row>
    <row r="962" spans="36:47">
      <c r="AJ962" s="50">
        <v>2</v>
      </c>
      <c r="AK962" s="50">
        <v>1</v>
      </c>
      <c r="AL962" s="50">
        <v>0</v>
      </c>
      <c r="AM962" s="15">
        <f>Tabela21[[#This Row],[Att subs]]+Tabela21[[#This Row],[Crit D subs]]</f>
        <v>1.8</v>
      </c>
      <c r="AN962" s="15">
        <v>1</v>
      </c>
      <c r="AO962" s="15">
        <v>0.8</v>
      </c>
      <c r="AP962" s="15">
        <v>0.2</v>
      </c>
      <c r="AQ962" s="189">
        <f t="shared" si="136"/>
        <v>5660.5709999999999</v>
      </c>
      <c r="AR962" s="189">
        <f t="shared" si="137"/>
        <v>5534.5259999999998</v>
      </c>
      <c r="AS962" s="189">
        <f t="shared" si="133"/>
        <v>6183.3579999999984</v>
      </c>
      <c r="AT962" s="189">
        <f t="shared" si="134"/>
        <v>11572.115999999996</v>
      </c>
      <c r="AU962" s="50">
        <f t="shared" si="135"/>
        <v>9616.851999999999</v>
      </c>
    </row>
    <row r="963" spans="36:47">
      <c r="AJ963" s="50">
        <v>2</v>
      </c>
      <c r="AK963" s="50">
        <v>1</v>
      </c>
      <c r="AL963" s="50">
        <v>0</v>
      </c>
      <c r="AM963" s="15">
        <f>Tabela21[[#This Row],[Att subs]]+Tabela21[[#This Row],[Crit D subs]]</f>
        <v>1.8</v>
      </c>
      <c r="AN963" s="15">
        <v>1</v>
      </c>
      <c r="AO963" s="15">
        <v>0.8</v>
      </c>
      <c r="AP963" s="15">
        <v>0.3</v>
      </c>
      <c r="AQ963" s="189">
        <f t="shared" si="136"/>
        <v>6207.5010000000002</v>
      </c>
      <c r="AR963" s="189">
        <f t="shared" si="137"/>
        <v>6129.1059999999989</v>
      </c>
      <c r="AS963" s="189">
        <f t="shared" ref="AS963:AS1026" si="138">$AG$3*(1+$AJ963*$Y$2+$AN963)*(MAXA(1-$AI$3-$AL963*$AA$3-$AP963-0.36,0)+MINA($AI$3+$AL963*$AA$3+$AP963+0.36,1)*(1+$AH$3+$AO963+$AK963*$Z$4))</f>
        <v>6668.3379999999988</v>
      </c>
      <c r="AT963" s="189">
        <f t="shared" ref="AT963:AT1026" si="139">$AG$3*(1+$AJ963*$Y$2+$AN963)*(MAXA(1-$AI$3-$AL963*$AA$3-$AP963-0.36,0)+2*MINA($AI$3+$AL963*$AA$3+$AP963+0.36,1)*(1+$AH$3+$AO963+$AK963*$Z$4))</f>
        <v>12816.075999999999</v>
      </c>
      <c r="AU963" s="50">
        <f t="shared" ref="AU963:AU1026" si="140">$AG$3*(1+$AJ963*$Y$2+$AN963)*(MAXA(1-$AI$3-$AL963*$AA$3-$AP963-0.12,0)+2*MINA($AI$3+$AL963*$AA$3+$AP963+0.12,1)*(1+$AH$3+$AO963+$AK963*$Z$4+0.4))</f>
        <v>11080.011999999997</v>
      </c>
    </row>
    <row r="964" spans="36:47">
      <c r="AJ964" s="50">
        <v>2</v>
      </c>
      <c r="AK964" s="50">
        <v>1</v>
      </c>
      <c r="AL964" s="50">
        <v>0</v>
      </c>
      <c r="AM964" s="15">
        <f>Tabela21[[#This Row],[Att subs]]+Tabela21[[#This Row],[Crit D subs]]</f>
        <v>1.8</v>
      </c>
      <c r="AN964" s="15">
        <v>1</v>
      </c>
      <c r="AO964" s="15">
        <v>0.8</v>
      </c>
      <c r="AP964" s="15">
        <v>0.4</v>
      </c>
      <c r="AQ964" s="189">
        <f t="shared" ref="AQ964:AQ1027" si="141">$AG$3*(1+$AJ964*$Y$2+$AN964+0.35)*(MAXA(1-$AI$3-$AL964*$AA$3-$AP964-0.12,0)+MINA($AI$3+$AL964*$AA$3+$AP964+0.12,1)*(1+$AH$3+$AO964+$AK964*$Z$4))</f>
        <v>6754.4310000000005</v>
      </c>
      <c r="AR964" s="189">
        <f t="shared" ref="AR964:AR1027" si="142">$AG$3*(1+$AJ964*$Y$2+$AN964)*(MAXA(1-$AI$3-$AL964*$AA$3-$AP964-0.12,0)+MINA($AI$3+$AL964*$AA$3+$AP964+0.12,1)*(1+$AH$3+$AO964+$AK964*$Z$4+0.4))</f>
        <v>6723.6859999999997</v>
      </c>
      <c r="AS964" s="189">
        <f t="shared" si="138"/>
        <v>7153.3179999999984</v>
      </c>
      <c r="AT964" s="189">
        <f t="shared" si="139"/>
        <v>14060.035999999998</v>
      </c>
      <c r="AU964" s="50">
        <f t="shared" si="140"/>
        <v>12543.172</v>
      </c>
    </row>
    <row r="965" spans="36:47">
      <c r="AJ965" s="50">
        <v>2</v>
      </c>
      <c r="AK965" s="50">
        <v>1</v>
      </c>
      <c r="AL965" s="50">
        <v>0</v>
      </c>
      <c r="AM965" s="15">
        <f>Tabela21[[#This Row],[Att subs]]+Tabela21[[#This Row],[Crit D subs]]</f>
        <v>1.8</v>
      </c>
      <c r="AN965" s="15">
        <v>1</v>
      </c>
      <c r="AO965" s="15">
        <v>0.8</v>
      </c>
      <c r="AP965" s="15">
        <v>0.5</v>
      </c>
      <c r="AQ965" s="189">
        <f t="shared" si="141"/>
        <v>7301.3610000000008</v>
      </c>
      <c r="AR965" s="189">
        <f t="shared" si="142"/>
        <v>7318.2659999999987</v>
      </c>
      <c r="AS965" s="189">
        <f t="shared" si="138"/>
        <v>7589.7999999999993</v>
      </c>
      <c r="AT965" s="189">
        <f t="shared" si="139"/>
        <v>15179.599999999999</v>
      </c>
      <c r="AU965" s="50">
        <f t="shared" si="140"/>
        <v>14006.331999999997</v>
      </c>
    </row>
    <row r="966" spans="36:47">
      <c r="AJ966" s="50">
        <v>2</v>
      </c>
      <c r="AK966" s="50">
        <v>1</v>
      </c>
      <c r="AL966" s="50">
        <v>0</v>
      </c>
      <c r="AM966" s="15">
        <f>Tabela21[[#This Row],[Att subs]]+Tabela21[[#This Row],[Crit D subs]]</f>
        <v>1.8</v>
      </c>
      <c r="AN966" s="15">
        <v>1</v>
      </c>
      <c r="AO966" s="15">
        <v>0.8</v>
      </c>
      <c r="AP966" s="15">
        <v>0.6</v>
      </c>
      <c r="AQ966" s="189">
        <f t="shared" si="141"/>
        <v>7848.2909999999993</v>
      </c>
      <c r="AR966" s="189">
        <f t="shared" si="142"/>
        <v>7912.8459999999977</v>
      </c>
      <c r="AS966" s="189">
        <f t="shared" si="138"/>
        <v>7589.7999999999993</v>
      </c>
      <c r="AT966" s="189">
        <f t="shared" si="139"/>
        <v>15179.599999999999</v>
      </c>
      <c r="AU966" s="50">
        <f t="shared" si="140"/>
        <v>15469.491999999997</v>
      </c>
    </row>
    <row r="967" spans="36:47">
      <c r="AJ967" s="50">
        <v>2</v>
      </c>
      <c r="AK967" s="50">
        <v>1</v>
      </c>
      <c r="AL967" s="50">
        <v>0</v>
      </c>
      <c r="AM967" s="15">
        <f>Tabela21[[#This Row],[Att subs]]+Tabela21[[#This Row],[Crit D subs]]</f>
        <v>1.8</v>
      </c>
      <c r="AN967" s="15">
        <v>1</v>
      </c>
      <c r="AO967" s="15">
        <v>0.8</v>
      </c>
      <c r="AP967" s="15">
        <v>0.7</v>
      </c>
      <c r="AQ967" s="189">
        <f t="shared" si="141"/>
        <v>8395.2210000000014</v>
      </c>
      <c r="AR967" s="189">
        <f t="shared" si="142"/>
        <v>8507.4259999999995</v>
      </c>
      <c r="AS967" s="189">
        <f t="shared" si="138"/>
        <v>7589.7999999999993</v>
      </c>
      <c r="AT967" s="189">
        <f t="shared" si="139"/>
        <v>15179.599999999999</v>
      </c>
      <c r="AU967" s="50">
        <f t="shared" si="140"/>
        <v>16932.651999999998</v>
      </c>
    </row>
    <row r="968" spans="36:47">
      <c r="AJ968" s="50">
        <v>2</v>
      </c>
      <c r="AK968" s="50">
        <v>1</v>
      </c>
      <c r="AL968" s="50">
        <v>0</v>
      </c>
      <c r="AM968" s="15">
        <f>Tabela21[[#This Row],[Att subs]]+Tabela21[[#This Row],[Crit D subs]]</f>
        <v>1.8</v>
      </c>
      <c r="AN968" s="15">
        <v>1</v>
      </c>
      <c r="AO968" s="15">
        <v>0.8</v>
      </c>
      <c r="AP968" s="15">
        <v>0.8</v>
      </c>
      <c r="AQ968" s="189">
        <f t="shared" si="141"/>
        <v>8559.2999999999993</v>
      </c>
      <c r="AR968" s="189">
        <f t="shared" si="142"/>
        <v>8685.7999999999993</v>
      </c>
      <c r="AS968" s="189">
        <f t="shared" si="138"/>
        <v>7589.7999999999993</v>
      </c>
      <c r="AT968" s="189">
        <f t="shared" si="139"/>
        <v>15179.599999999999</v>
      </c>
      <c r="AU968" s="50">
        <f t="shared" si="140"/>
        <v>17371.599999999999</v>
      </c>
    </row>
    <row r="969" spans="36:47">
      <c r="AJ969" s="50">
        <v>2</v>
      </c>
      <c r="AK969" s="50">
        <v>1</v>
      </c>
      <c r="AL969" s="50">
        <v>0</v>
      </c>
      <c r="AM969" s="15">
        <f>Tabela21[[#This Row],[Att subs]]+Tabela21[[#This Row],[Crit D subs]]</f>
        <v>1.8</v>
      </c>
      <c r="AN969" s="15">
        <v>1</v>
      </c>
      <c r="AO969" s="15">
        <v>0.8</v>
      </c>
      <c r="AP969" s="15">
        <v>0.9</v>
      </c>
      <c r="AQ969" s="189">
        <f t="shared" si="141"/>
        <v>8559.2999999999993</v>
      </c>
      <c r="AR969" s="189">
        <f t="shared" si="142"/>
        <v>8685.7999999999993</v>
      </c>
      <c r="AS969" s="189">
        <f t="shared" si="138"/>
        <v>7589.7999999999993</v>
      </c>
      <c r="AT969" s="189">
        <f t="shared" si="139"/>
        <v>15179.599999999999</v>
      </c>
      <c r="AU969" s="50">
        <f t="shared" si="140"/>
        <v>17371.599999999999</v>
      </c>
    </row>
    <row r="970" spans="36:47">
      <c r="AJ970" s="50">
        <v>2</v>
      </c>
      <c r="AK970" s="50">
        <v>1</v>
      </c>
      <c r="AL970" s="50">
        <v>0</v>
      </c>
      <c r="AM970" s="15">
        <f>Tabela21[[#This Row],[Att subs]]+Tabela21[[#This Row],[Crit D subs]]</f>
        <v>1.8</v>
      </c>
      <c r="AN970" s="15">
        <v>1</v>
      </c>
      <c r="AO970" s="15">
        <v>0.8</v>
      </c>
      <c r="AP970" s="15">
        <v>1</v>
      </c>
      <c r="AQ970" s="189">
        <f t="shared" si="141"/>
        <v>8559.2999999999993</v>
      </c>
      <c r="AR970" s="189">
        <f t="shared" si="142"/>
        <v>8685.7999999999993</v>
      </c>
      <c r="AS970" s="189">
        <f t="shared" si="138"/>
        <v>7589.7999999999993</v>
      </c>
      <c r="AT970" s="189">
        <f t="shared" si="139"/>
        <v>15179.599999999999</v>
      </c>
      <c r="AU970" s="50">
        <f t="shared" si="140"/>
        <v>17371.599999999999</v>
      </c>
    </row>
    <row r="971" spans="36:47">
      <c r="AJ971" s="50">
        <v>2</v>
      </c>
      <c r="AK971" s="50">
        <v>0</v>
      </c>
      <c r="AL971" s="50">
        <v>1</v>
      </c>
      <c r="AM971" s="15">
        <f>Tabela21[[#This Row],[Att subs]]+Tabela21[[#This Row],[Crit D subs]]</f>
        <v>1.8</v>
      </c>
      <c r="AN971" s="15">
        <v>1</v>
      </c>
      <c r="AO971" s="15">
        <v>0.8</v>
      </c>
      <c r="AP971" s="15">
        <v>0</v>
      </c>
      <c r="AQ971" s="189">
        <f t="shared" si="141"/>
        <v>5580.5400000000009</v>
      </c>
      <c r="AR971" s="189">
        <f t="shared" si="142"/>
        <v>5627.9599999999991</v>
      </c>
      <c r="AS971" s="189">
        <f t="shared" si="138"/>
        <v>5803.32</v>
      </c>
      <c r="AT971" s="189">
        <f t="shared" si="139"/>
        <v>11223.039999999997</v>
      </c>
      <c r="AU971" s="50">
        <f t="shared" si="140"/>
        <v>10214.719999999999</v>
      </c>
    </row>
    <row r="972" spans="36:47">
      <c r="AJ972" s="50">
        <v>2</v>
      </c>
      <c r="AK972" s="50">
        <v>0</v>
      </c>
      <c r="AL972" s="50">
        <v>1</v>
      </c>
      <c r="AM972" s="15">
        <f>Tabela21[[#This Row],[Att subs]]+Tabela21[[#This Row],[Crit D subs]]</f>
        <v>1.8</v>
      </c>
      <c r="AN972" s="15">
        <v>1</v>
      </c>
      <c r="AO972" s="15">
        <v>0.8</v>
      </c>
      <c r="AP972" s="15">
        <v>0.1</v>
      </c>
      <c r="AQ972" s="189">
        <f t="shared" si="141"/>
        <v>5982.2400000000007</v>
      </c>
      <c r="AR972" s="189">
        <f t="shared" si="142"/>
        <v>6093.7599999999993</v>
      </c>
      <c r="AS972" s="189">
        <f t="shared" si="138"/>
        <v>6159.5199999999995</v>
      </c>
      <c r="AT972" s="189">
        <f t="shared" si="139"/>
        <v>12209.439999999999</v>
      </c>
      <c r="AU972" s="50">
        <f t="shared" si="140"/>
        <v>11420.319999999998</v>
      </c>
    </row>
    <row r="973" spans="36:47">
      <c r="AJ973" s="50">
        <v>2</v>
      </c>
      <c r="AK973" s="50">
        <v>0</v>
      </c>
      <c r="AL973" s="50">
        <v>1</v>
      </c>
      <c r="AM973" s="15">
        <f>Tabela21[[#This Row],[Att subs]]+Tabela21[[#This Row],[Crit D subs]]</f>
        <v>1.8</v>
      </c>
      <c r="AN973" s="15">
        <v>1</v>
      </c>
      <c r="AO973" s="15">
        <v>0.8</v>
      </c>
      <c r="AP973" s="15">
        <v>0.2</v>
      </c>
      <c r="AQ973" s="189">
        <f t="shared" si="141"/>
        <v>6383.9400000000005</v>
      </c>
      <c r="AR973" s="189">
        <f t="shared" si="142"/>
        <v>6559.5599999999995</v>
      </c>
      <c r="AS973" s="189">
        <f t="shared" si="138"/>
        <v>6301.9999999999991</v>
      </c>
      <c r="AT973" s="189">
        <f t="shared" si="139"/>
        <v>12603.999999999998</v>
      </c>
      <c r="AU973" s="50">
        <f t="shared" si="140"/>
        <v>12625.919999999996</v>
      </c>
    </row>
    <row r="974" spans="36:47">
      <c r="AJ974" s="50">
        <v>2</v>
      </c>
      <c r="AK974" s="50">
        <v>0</v>
      </c>
      <c r="AL974" s="50">
        <v>1</v>
      </c>
      <c r="AM974" s="15">
        <f>Tabela21[[#This Row],[Att subs]]+Tabela21[[#This Row],[Crit D subs]]</f>
        <v>1.8</v>
      </c>
      <c r="AN974" s="15">
        <v>1</v>
      </c>
      <c r="AO974" s="15">
        <v>0.8</v>
      </c>
      <c r="AP974" s="15">
        <v>0.3</v>
      </c>
      <c r="AQ974" s="189">
        <f t="shared" si="141"/>
        <v>6785.6400000000012</v>
      </c>
      <c r="AR974" s="189">
        <f t="shared" si="142"/>
        <v>7025.3600000000006</v>
      </c>
      <c r="AS974" s="189">
        <f t="shared" si="138"/>
        <v>6301.9999999999991</v>
      </c>
      <c r="AT974" s="189">
        <f t="shared" si="139"/>
        <v>12603.999999999998</v>
      </c>
      <c r="AU974" s="50">
        <f t="shared" si="140"/>
        <v>13831.52</v>
      </c>
    </row>
    <row r="975" spans="36:47">
      <c r="AJ975" s="50">
        <v>2</v>
      </c>
      <c r="AK975" s="50">
        <v>0</v>
      </c>
      <c r="AL975" s="50">
        <v>1</v>
      </c>
      <c r="AM975" s="15">
        <f>Tabela21[[#This Row],[Att subs]]+Tabela21[[#This Row],[Crit D subs]]</f>
        <v>1.8</v>
      </c>
      <c r="AN975" s="15">
        <v>1</v>
      </c>
      <c r="AO975" s="15">
        <v>0.8</v>
      </c>
      <c r="AP975" s="15">
        <v>0.4</v>
      </c>
      <c r="AQ975" s="189">
        <f t="shared" si="141"/>
        <v>7107.0000000000009</v>
      </c>
      <c r="AR975" s="189">
        <f t="shared" si="142"/>
        <v>7397.9999999999991</v>
      </c>
      <c r="AS975" s="189">
        <f t="shared" si="138"/>
        <v>6301.9999999999991</v>
      </c>
      <c r="AT975" s="189">
        <f t="shared" si="139"/>
        <v>12603.999999999998</v>
      </c>
      <c r="AU975" s="50">
        <f t="shared" si="140"/>
        <v>14795.999999999998</v>
      </c>
    </row>
    <row r="976" spans="36:47">
      <c r="AJ976" s="50">
        <v>2</v>
      </c>
      <c r="AK976" s="50">
        <v>0</v>
      </c>
      <c r="AL976" s="50">
        <v>1</v>
      </c>
      <c r="AM976" s="15">
        <f>Tabela21[[#This Row],[Att subs]]+Tabela21[[#This Row],[Crit D subs]]</f>
        <v>1.8</v>
      </c>
      <c r="AN976" s="15">
        <v>1</v>
      </c>
      <c r="AO976" s="15">
        <v>0.8</v>
      </c>
      <c r="AP976" s="15">
        <v>0.5</v>
      </c>
      <c r="AQ976" s="189">
        <f t="shared" si="141"/>
        <v>7107.0000000000009</v>
      </c>
      <c r="AR976" s="189">
        <f t="shared" si="142"/>
        <v>7397.9999999999991</v>
      </c>
      <c r="AS976" s="189">
        <f t="shared" si="138"/>
        <v>6301.9999999999991</v>
      </c>
      <c r="AT976" s="189">
        <f t="shared" si="139"/>
        <v>12603.999999999998</v>
      </c>
      <c r="AU976" s="50">
        <f t="shared" si="140"/>
        <v>14795.999999999998</v>
      </c>
    </row>
    <row r="977" spans="36:47">
      <c r="AJ977" s="50">
        <v>2</v>
      </c>
      <c r="AK977" s="50">
        <v>0</v>
      </c>
      <c r="AL977" s="50">
        <v>1</v>
      </c>
      <c r="AM977" s="15">
        <f>Tabela21[[#This Row],[Att subs]]+Tabela21[[#This Row],[Crit D subs]]</f>
        <v>1.8</v>
      </c>
      <c r="AN977" s="15">
        <v>1</v>
      </c>
      <c r="AO977" s="15">
        <v>0.8</v>
      </c>
      <c r="AP977" s="15">
        <v>0.6</v>
      </c>
      <c r="AQ977" s="189">
        <f t="shared" si="141"/>
        <v>7107.0000000000009</v>
      </c>
      <c r="AR977" s="189">
        <f t="shared" si="142"/>
        <v>7397.9999999999991</v>
      </c>
      <c r="AS977" s="189">
        <f t="shared" si="138"/>
        <v>6301.9999999999991</v>
      </c>
      <c r="AT977" s="189">
        <f t="shared" si="139"/>
        <v>12603.999999999998</v>
      </c>
      <c r="AU977" s="50">
        <f t="shared" si="140"/>
        <v>14795.999999999998</v>
      </c>
    </row>
    <row r="978" spans="36:47">
      <c r="AJ978" s="50">
        <v>2</v>
      </c>
      <c r="AK978" s="50">
        <v>0</v>
      </c>
      <c r="AL978" s="50">
        <v>1</v>
      </c>
      <c r="AM978" s="15">
        <f>Tabela21[[#This Row],[Att subs]]+Tabela21[[#This Row],[Crit D subs]]</f>
        <v>1.8</v>
      </c>
      <c r="AN978" s="15">
        <v>1</v>
      </c>
      <c r="AO978" s="15">
        <v>0.8</v>
      </c>
      <c r="AP978" s="15">
        <v>0.7</v>
      </c>
      <c r="AQ978" s="189">
        <f t="shared" si="141"/>
        <v>7107.0000000000009</v>
      </c>
      <c r="AR978" s="189">
        <f t="shared" si="142"/>
        <v>7397.9999999999991</v>
      </c>
      <c r="AS978" s="189">
        <f t="shared" si="138"/>
        <v>6301.9999999999991</v>
      </c>
      <c r="AT978" s="189">
        <f t="shared" si="139"/>
        <v>12603.999999999998</v>
      </c>
      <c r="AU978" s="50">
        <f t="shared" si="140"/>
        <v>14795.999999999998</v>
      </c>
    </row>
    <row r="979" spans="36:47">
      <c r="AJ979" s="50">
        <v>2</v>
      </c>
      <c r="AK979" s="50">
        <v>0</v>
      </c>
      <c r="AL979" s="50">
        <v>1</v>
      </c>
      <c r="AM979" s="15">
        <f>Tabela21[[#This Row],[Att subs]]+Tabela21[[#This Row],[Crit D subs]]</f>
        <v>1.8</v>
      </c>
      <c r="AN979" s="15">
        <v>1</v>
      </c>
      <c r="AO979" s="15">
        <v>0.8</v>
      </c>
      <c r="AP979" s="15">
        <v>0.8</v>
      </c>
      <c r="AQ979" s="189">
        <f t="shared" si="141"/>
        <v>7107.0000000000009</v>
      </c>
      <c r="AR979" s="189">
        <f t="shared" si="142"/>
        <v>7397.9999999999991</v>
      </c>
      <c r="AS979" s="189">
        <f t="shared" si="138"/>
        <v>6301.9999999999991</v>
      </c>
      <c r="AT979" s="189">
        <f t="shared" si="139"/>
        <v>12603.999999999998</v>
      </c>
      <c r="AU979" s="50">
        <f t="shared" si="140"/>
        <v>14795.999999999998</v>
      </c>
    </row>
    <row r="980" spans="36:47">
      <c r="AJ980" s="50">
        <v>2</v>
      </c>
      <c r="AK980" s="50">
        <v>0</v>
      </c>
      <c r="AL980" s="50">
        <v>1</v>
      </c>
      <c r="AM980" s="15">
        <f>Tabela21[[#This Row],[Att subs]]+Tabela21[[#This Row],[Crit D subs]]</f>
        <v>1.8</v>
      </c>
      <c r="AN980" s="15">
        <v>1</v>
      </c>
      <c r="AO980" s="15">
        <v>0.8</v>
      </c>
      <c r="AP980" s="15">
        <v>0.9</v>
      </c>
      <c r="AQ980" s="189">
        <f t="shared" si="141"/>
        <v>7107.0000000000009</v>
      </c>
      <c r="AR980" s="189">
        <f t="shared" si="142"/>
        <v>7397.9999999999991</v>
      </c>
      <c r="AS980" s="189">
        <f t="shared" si="138"/>
        <v>6301.9999999999991</v>
      </c>
      <c r="AT980" s="189">
        <f t="shared" si="139"/>
        <v>12603.999999999998</v>
      </c>
      <c r="AU980" s="50">
        <f t="shared" si="140"/>
        <v>14795.999999999998</v>
      </c>
    </row>
    <row r="981" spans="36:47">
      <c r="AJ981" s="50">
        <v>2</v>
      </c>
      <c r="AK981" s="50">
        <v>0</v>
      </c>
      <c r="AL981" s="50">
        <v>1</v>
      </c>
      <c r="AM981" s="15">
        <f>Tabela21[[#This Row],[Att subs]]+Tabela21[[#This Row],[Crit D subs]]</f>
        <v>1.8</v>
      </c>
      <c r="AN981" s="15">
        <v>1</v>
      </c>
      <c r="AO981" s="15">
        <v>0.8</v>
      </c>
      <c r="AP981" s="15">
        <v>1</v>
      </c>
      <c r="AQ981" s="189">
        <f t="shared" si="141"/>
        <v>7107.0000000000009</v>
      </c>
      <c r="AR981" s="189">
        <f t="shared" si="142"/>
        <v>7397.9999999999991</v>
      </c>
      <c r="AS981" s="189">
        <f t="shared" si="138"/>
        <v>6301.9999999999991</v>
      </c>
      <c r="AT981" s="189">
        <f t="shared" si="139"/>
        <v>12603.999999999998</v>
      </c>
      <c r="AU981" s="50">
        <f t="shared" si="140"/>
        <v>14795.999999999998</v>
      </c>
    </row>
    <row r="982" spans="36:47">
      <c r="AJ982" s="50">
        <v>3</v>
      </c>
      <c r="AK982" s="50">
        <v>0</v>
      </c>
      <c r="AL982" s="50">
        <v>0</v>
      </c>
      <c r="AM982" s="15">
        <f>Tabela21[[#This Row],[Att subs]]+Tabela21[[#This Row],[Crit D subs]]</f>
        <v>1.8</v>
      </c>
      <c r="AN982" s="15">
        <v>1</v>
      </c>
      <c r="AO982" s="15">
        <v>0.8</v>
      </c>
      <c r="AP982" s="15">
        <v>0</v>
      </c>
      <c r="AQ982" s="189">
        <f t="shared" si="141"/>
        <v>4674.46</v>
      </c>
      <c r="AR982" s="189">
        <f t="shared" si="142"/>
        <v>4537.49</v>
      </c>
      <c r="AS982" s="189">
        <f t="shared" si="138"/>
        <v>5171.9299999999994</v>
      </c>
      <c r="AT982" s="189">
        <f t="shared" si="139"/>
        <v>8819.9599999999973</v>
      </c>
      <c r="AU982" s="50">
        <f t="shared" si="140"/>
        <v>6804.6799999999994</v>
      </c>
    </row>
    <row r="983" spans="36:47">
      <c r="AJ983" s="50">
        <v>3</v>
      </c>
      <c r="AK983" s="50">
        <v>0</v>
      </c>
      <c r="AL983" s="50">
        <v>0</v>
      </c>
      <c r="AM983" s="15">
        <f>Tabela21[[#This Row],[Att subs]]+Tabela21[[#This Row],[Crit D subs]]</f>
        <v>1.8</v>
      </c>
      <c r="AN983" s="15">
        <v>1</v>
      </c>
      <c r="AO983" s="15">
        <v>0.8</v>
      </c>
      <c r="AP983" s="15">
        <v>0.1</v>
      </c>
      <c r="AQ983" s="189">
        <f t="shared" si="141"/>
        <v>5124.2599999999993</v>
      </c>
      <c r="AR983" s="189">
        <f t="shared" si="142"/>
        <v>5066.1899999999996</v>
      </c>
      <c r="AS983" s="189">
        <f t="shared" si="138"/>
        <v>5576.2299999999987</v>
      </c>
      <c r="AT983" s="189">
        <f t="shared" si="139"/>
        <v>9939.56</v>
      </c>
      <c r="AU983" s="50">
        <f t="shared" si="140"/>
        <v>8173.079999999999</v>
      </c>
    </row>
    <row r="984" spans="36:47">
      <c r="AJ984" s="50">
        <v>3</v>
      </c>
      <c r="AK984" s="50">
        <v>0</v>
      </c>
      <c r="AL984" s="50">
        <v>0</v>
      </c>
      <c r="AM984" s="15">
        <f>Tabela21[[#This Row],[Att subs]]+Tabela21[[#This Row],[Crit D subs]]</f>
        <v>1.8</v>
      </c>
      <c r="AN984" s="15">
        <v>1</v>
      </c>
      <c r="AO984" s="15">
        <v>0.8</v>
      </c>
      <c r="AP984" s="15">
        <v>0.2</v>
      </c>
      <c r="AQ984" s="189">
        <f t="shared" si="141"/>
        <v>5574.0599999999995</v>
      </c>
      <c r="AR984" s="189">
        <f t="shared" si="142"/>
        <v>5594.8899999999994</v>
      </c>
      <c r="AS984" s="189">
        <f t="shared" si="138"/>
        <v>5980.5299999999988</v>
      </c>
      <c r="AT984" s="189">
        <f t="shared" si="139"/>
        <v>11059.159999999998</v>
      </c>
      <c r="AU984" s="50">
        <f t="shared" si="140"/>
        <v>9541.48</v>
      </c>
    </row>
    <row r="985" spans="36:47">
      <c r="AJ985" s="50">
        <v>3</v>
      </c>
      <c r="AK985" s="50">
        <v>0</v>
      </c>
      <c r="AL985" s="50">
        <v>0</v>
      </c>
      <c r="AM985" s="15">
        <f>Tabela21[[#This Row],[Att subs]]+Tabela21[[#This Row],[Crit D subs]]</f>
        <v>1.8</v>
      </c>
      <c r="AN985" s="15">
        <v>1</v>
      </c>
      <c r="AO985" s="15">
        <v>0.8</v>
      </c>
      <c r="AP985" s="15">
        <v>0.3</v>
      </c>
      <c r="AQ985" s="189">
        <f t="shared" si="141"/>
        <v>6023.8599999999988</v>
      </c>
      <c r="AR985" s="189">
        <f t="shared" si="142"/>
        <v>6123.5899999999992</v>
      </c>
      <c r="AS985" s="189">
        <f t="shared" si="138"/>
        <v>6384.83</v>
      </c>
      <c r="AT985" s="189">
        <f t="shared" si="139"/>
        <v>12178.759999999998</v>
      </c>
      <c r="AU985" s="50">
        <f t="shared" si="140"/>
        <v>10909.88</v>
      </c>
    </row>
    <row r="986" spans="36:47">
      <c r="AJ986" s="50">
        <v>3</v>
      </c>
      <c r="AK986" s="50">
        <v>0</v>
      </c>
      <c r="AL986" s="50">
        <v>0</v>
      </c>
      <c r="AM986" s="15">
        <f>Tabela21[[#This Row],[Att subs]]+Tabela21[[#This Row],[Crit D subs]]</f>
        <v>1.8</v>
      </c>
      <c r="AN986" s="15">
        <v>1</v>
      </c>
      <c r="AO986" s="15">
        <v>0.8</v>
      </c>
      <c r="AP986" s="15">
        <v>0.4</v>
      </c>
      <c r="AQ986" s="189">
        <f t="shared" si="141"/>
        <v>6473.66</v>
      </c>
      <c r="AR986" s="189">
        <f t="shared" si="142"/>
        <v>6652.2899999999991</v>
      </c>
      <c r="AS986" s="189">
        <f t="shared" si="138"/>
        <v>6789.1299999999992</v>
      </c>
      <c r="AT986" s="189">
        <f t="shared" si="139"/>
        <v>13298.359999999999</v>
      </c>
      <c r="AU986" s="50">
        <f t="shared" si="140"/>
        <v>12278.28</v>
      </c>
    </row>
    <row r="987" spans="36:47">
      <c r="AJ987" s="50">
        <v>3</v>
      </c>
      <c r="AK987" s="50">
        <v>0</v>
      </c>
      <c r="AL987" s="50">
        <v>0</v>
      </c>
      <c r="AM987" s="15">
        <f>Tabela21[[#This Row],[Att subs]]+Tabela21[[#This Row],[Crit D subs]]</f>
        <v>1.8</v>
      </c>
      <c r="AN987" s="15">
        <v>1</v>
      </c>
      <c r="AO987" s="15">
        <v>0.8</v>
      </c>
      <c r="AP987" s="15">
        <v>0.5</v>
      </c>
      <c r="AQ987" s="189">
        <f t="shared" si="141"/>
        <v>6923.46</v>
      </c>
      <c r="AR987" s="189">
        <f t="shared" si="142"/>
        <v>7180.9899999999989</v>
      </c>
      <c r="AS987" s="189">
        <f t="shared" si="138"/>
        <v>7152.9999999999991</v>
      </c>
      <c r="AT987" s="189">
        <f t="shared" si="139"/>
        <v>14305.999999999998</v>
      </c>
      <c r="AU987" s="50">
        <f t="shared" si="140"/>
        <v>13646.68</v>
      </c>
    </row>
    <row r="988" spans="36:47">
      <c r="AJ988" s="50">
        <v>3</v>
      </c>
      <c r="AK988" s="50">
        <v>0</v>
      </c>
      <c r="AL988" s="50">
        <v>0</v>
      </c>
      <c r="AM988" s="15">
        <f>Tabela21[[#This Row],[Att subs]]+Tabela21[[#This Row],[Crit D subs]]</f>
        <v>1.8</v>
      </c>
      <c r="AN988" s="15">
        <v>1</v>
      </c>
      <c r="AO988" s="15">
        <v>0.8</v>
      </c>
      <c r="AP988" s="15">
        <v>0.6</v>
      </c>
      <c r="AQ988" s="189">
        <f t="shared" si="141"/>
        <v>7373.2599999999993</v>
      </c>
      <c r="AR988" s="189">
        <f t="shared" si="142"/>
        <v>7709.6899999999987</v>
      </c>
      <c r="AS988" s="189">
        <f t="shared" si="138"/>
        <v>7152.9999999999991</v>
      </c>
      <c r="AT988" s="189">
        <f t="shared" si="139"/>
        <v>14305.999999999998</v>
      </c>
      <c r="AU988" s="50">
        <f t="shared" si="140"/>
        <v>15015.079999999998</v>
      </c>
    </row>
    <row r="989" spans="36:47">
      <c r="AJ989" s="50">
        <v>3</v>
      </c>
      <c r="AK989" s="50">
        <v>0</v>
      </c>
      <c r="AL989" s="50">
        <v>0</v>
      </c>
      <c r="AM989" s="15">
        <f>Tabela21[[#This Row],[Att subs]]+Tabela21[[#This Row],[Crit D subs]]</f>
        <v>1.8</v>
      </c>
      <c r="AN989" s="15">
        <v>1</v>
      </c>
      <c r="AO989" s="15">
        <v>0.8</v>
      </c>
      <c r="AP989" s="15">
        <v>0.7</v>
      </c>
      <c r="AQ989" s="189">
        <f t="shared" si="141"/>
        <v>7823.06</v>
      </c>
      <c r="AR989" s="189">
        <f t="shared" si="142"/>
        <v>8238.39</v>
      </c>
      <c r="AS989" s="189">
        <f t="shared" si="138"/>
        <v>7152.9999999999991</v>
      </c>
      <c r="AT989" s="189">
        <f t="shared" si="139"/>
        <v>14305.999999999998</v>
      </c>
      <c r="AU989" s="50">
        <f t="shared" si="140"/>
        <v>16383.48</v>
      </c>
    </row>
    <row r="990" spans="36:47">
      <c r="AJ990" s="50">
        <v>3</v>
      </c>
      <c r="AK990" s="50">
        <v>0</v>
      </c>
      <c r="AL990" s="50">
        <v>0</v>
      </c>
      <c r="AM990" s="15">
        <f>Tabela21[[#This Row],[Att subs]]+Tabela21[[#This Row],[Crit D subs]]</f>
        <v>1.8</v>
      </c>
      <c r="AN990" s="15">
        <v>1</v>
      </c>
      <c r="AO990" s="15">
        <v>0.8</v>
      </c>
      <c r="AP990" s="15">
        <v>0.8</v>
      </c>
      <c r="AQ990" s="189">
        <f t="shared" si="141"/>
        <v>7957.9999999999991</v>
      </c>
      <c r="AR990" s="189">
        <f t="shared" si="142"/>
        <v>8397</v>
      </c>
      <c r="AS990" s="189">
        <f t="shared" si="138"/>
        <v>7152.9999999999991</v>
      </c>
      <c r="AT990" s="189">
        <f t="shared" si="139"/>
        <v>14305.999999999998</v>
      </c>
      <c r="AU990" s="50">
        <f t="shared" si="140"/>
        <v>16794</v>
      </c>
    </row>
    <row r="991" spans="36:47">
      <c r="AJ991" s="50">
        <v>3</v>
      </c>
      <c r="AK991" s="50">
        <v>0</v>
      </c>
      <c r="AL991" s="50">
        <v>0</v>
      </c>
      <c r="AM991" s="15">
        <f>Tabela21[[#This Row],[Att subs]]+Tabela21[[#This Row],[Crit D subs]]</f>
        <v>1.8</v>
      </c>
      <c r="AN991" s="15">
        <v>1</v>
      </c>
      <c r="AO991" s="15">
        <v>0.8</v>
      </c>
      <c r="AP991" s="15">
        <v>0.9</v>
      </c>
      <c r="AQ991" s="189">
        <f t="shared" si="141"/>
        <v>7957.9999999999991</v>
      </c>
      <c r="AR991" s="189">
        <f t="shared" si="142"/>
        <v>8397</v>
      </c>
      <c r="AS991" s="189">
        <f t="shared" si="138"/>
        <v>7152.9999999999991</v>
      </c>
      <c r="AT991" s="189">
        <f t="shared" si="139"/>
        <v>14305.999999999998</v>
      </c>
      <c r="AU991" s="50">
        <f t="shared" si="140"/>
        <v>16794</v>
      </c>
    </row>
    <row r="992" spans="36:47">
      <c r="AJ992" s="50">
        <v>3</v>
      </c>
      <c r="AK992" s="50">
        <v>0</v>
      </c>
      <c r="AL992" s="50">
        <v>0</v>
      </c>
      <c r="AM992" s="15">
        <f>Tabela21[[#This Row],[Att subs]]+Tabela21[[#This Row],[Crit D subs]]</f>
        <v>1.8</v>
      </c>
      <c r="AN992" s="15">
        <v>1</v>
      </c>
      <c r="AO992" s="15">
        <v>0.8</v>
      </c>
      <c r="AP992" s="15">
        <v>1</v>
      </c>
      <c r="AQ992" s="189">
        <f t="shared" si="141"/>
        <v>7957.9999999999991</v>
      </c>
      <c r="AR992" s="189">
        <f t="shared" si="142"/>
        <v>8397</v>
      </c>
      <c r="AS992" s="189">
        <f t="shared" si="138"/>
        <v>7152.9999999999991</v>
      </c>
      <c r="AT992" s="189">
        <f t="shared" si="139"/>
        <v>14305.999999999998</v>
      </c>
      <c r="AU992" s="50">
        <f t="shared" si="140"/>
        <v>16794</v>
      </c>
    </row>
    <row r="993" spans="36:47">
      <c r="AJ993" s="50">
        <v>2</v>
      </c>
      <c r="AK993" s="50">
        <v>1</v>
      </c>
      <c r="AL993" s="50">
        <v>0</v>
      </c>
      <c r="AM993" s="15">
        <f>Tabela21[[#This Row],[Att subs]]+Tabela21[[#This Row],[Crit D subs]]</f>
        <v>1</v>
      </c>
      <c r="AN993" s="15">
        <v>0</v>
      </c>
      <c r="AO993" s="15">
        <v>1</v>
      </c>
      <c r="AP993" s="15">
        <v>0</v>
      </c>
      <c r="AQ993" s="189">
        <f t="shared" si="141"/>
        <v>3201.6709999999998</v>
      </c>
      <c r="AR993" s="189">
        <f t="shared" si="142"/>
        <v>2853.4259999999999</v>
      </c>
      <c r="AS993" s="189">
        <f t="shared" si="138"/>
        <v>3488.1779999999994</v>
      </c>
      <c r="AT993" s="189">
        <f t="shared" si="139"/>
        <v>6123.7560000000003</v>
      </c>
      <c r="AU993" s="50">
        <f t="shared" si="140"/>
        <v>4436.652</v>
      </c>
    </row>
    <row r="994" spans="36:47">
      <c r="AJ994" s="50">
        <v>2</v>
      </c>
      <c r="AK994" s="50">
        <v>1</v>
      </c>
      <c r="AL994" s="50">
        <v>0</v>
      </c>
      <c r="AM994" s="15">
        <f>Tabela21[[#This Row],[Att subs]]+Tabela21[[#This Row],[Crit D subs]]</f>
        <v>1</v>
      </c>
      <c r="AN994" s="15">
        <v>0</v>
      </c>
      <c r="AO994" s="15">
        <v>1</v>
      </c>
      <c r="AP994" s="15">
        <v>0.1</v>
      </c>
      <c r="AQ994" s="189">
        <f t="shared" si="141"/>
        <v>3613.4009999999998</v>
      </c>
      <c r="AR994" s="189">
        <f t="shared" si="142"/>
        <v>3265.806</v>
      </c>
      <c r="AS994" s="189">
        <f t="shared" si="138"/>
        <v>3830.9579999999996</v>
      </c>
      <c r="AT994" s="189">
        <f t="shared" si="139"/>
        <v>6983.3159999999998</v>
      </c>
      <c r="AU994" s="50">
        <f t="shared" si="140"/>
        <v>5435.4119999999994</v>
      </c>
    </row>
    <row r="995" spans="36:47">
      <c r="AJ995" s="50">
        <v>2</v>
      </c>
      <c r="AK995" s="50">
        <v>1</v>
      </c>
      <c r="AL995" s="50">
        <v>0</v>
      </c>
      <c r="AM995" s="15">
        <f>Tabela21[[#This Row],[Att subs]]+Tabela21[[#This Row],[Crit D subs]]</f>
        <v>1</v>
      </c>
      <c r="AN995" s="15">
        <v>0</v>
      </c>
      <c r="AO995" s="15">
        <v>1</v>
      </c>
      <c r="AP995" s="15">
        <v>0.2</v>
      </c>
      <c r="AQ995" s="189">
        <f t="shared" si="141"/>
        <v>4025.1309999999989</v>
      </c>
      <c r="AR995" s="189">
        <f t="shared" si="142"/>
        <v>3678.1859999999992</v>
      </c>
      <c r="AS995" s="189">
        <f t="shared" si="138"/>
        <v>4173.7379999999994</v>
      </c>
      <c r="AT995" s="189">
        <f t="shared" si="139"/>
        <v>7842.8759999999993</v>
      </c>
      <c r="AU995" s="50">
        <f t="shared" si="140"/>
        <v>6434.1719999999987</v>
      </c>
    </row>
    <row r="996" spans="36:47">
      <c r="AJ996" s="50">
        <v>2</v>
      </c>
      <c r="AK996" s="50">
        <v>1</v>
      </c>
      <c r="AL996" s="50">
        <v>0</v>
      </c>
      <c r="AM996" s="15">
        <f>Tabela21[[#This Row],[Att subs]]+Tabela21[[#This Row],[Crit D subs]]</f>
        <v>1</v>
      </c>
      <c r="AN996" s="15">
        <v>0</v>
      </c>
      <c r="AO996" s="15">
        <v>1</v>
      </c>
      <c r="AP996" s="15">
        <v>0.3</v>
      </c>
      <c r="AQ996" s="189">
        <f t="shared" si="141"/>
        <v>4436.860999999999</v>
      </c>
      <c r="AR996" s="189">
        <f t="shared" si="142"/>
        <v>4090.5659999999998</v>
      </c>
      <c r="AS996" s="189">
        <f t="shared" si="138"/>
        <v>4516.5179999999991</v>
      </c>
      <c r="AT996" s="189">
        <f t="shared" si="139"/>
        <v>8702.4359999999997</v>
      </c>
      <c r="AU996" s="50">
        <f t="shared" si="140"/>
        <v>7432.931999999998</v>
      </c>
    </row>
    <row r="997" spans="36:47">
      <c r="AJ997" s="50">
        <v>2</v>
      </c>
      <c r="AK997" s="50">
        <v>1</v>
      </c>
      <c r="AL997" s="50">
        <v>0</v>
      </c>
      <c r="AM997" s="15">
        <f>Tabela21[[#This Row],[Att subs]]+Tabela21[[#This Row],[Crit D subs]]</f>
        <v>1</v>
      </c>
      <c r="AN997" s="15">
        <v>0</v>
      </c>
      <c r="AO997" s="15">
        <v>1</v>
      </c>
      <c r="AP997" s="15">
        <v>0.4</v>
      </c>
      <c r="AQ997" s="189">
        <f t="shared" si="141"/>
        <v>4848.5910000000003</v>
      </c>
      <c r="AR997" s="189">
        <f t="shared" si="142"/>
        <v>4502.9459999999999</v>
      </c>
      <c r="AS997" s="189">
        <f t="shared" si="138"/>
        <v>4859.2979999999989</v>
      </c>
      <c r="AT997" s="189">
        <f t="shared" si="139"/>
        <v>9561.9959999999992</v>
      </c>
      <c r="AU997" s="50">
        <f t="shared" si="140"/>
        <v>8431.6919999999991</v>
      </c>
    </row>
    <row r="998" spans="36:47">
      <c r="AJ998" s="50">
        <v>2</v>
      </c>
      <c r="AK998" s="50">
        <v>1</v>
      </c>
      <c r="AL998" s="50">
        <v>0</v>
      </c>
      <c r="AM998" s="15">
        <f>Tabela21[[#This Row],[Att subs]]+Tabela21[[#This Row],[Crit D subs]]</f>
        <v>1</v>
      </c>
      <c r="AN998" s="15">
        <v>0</v>
      </c>
      <c r="AO998" s="15">
        <v>1</v>
      </c>
      <c r="AP998" s="15">
        <v>0.5</v>
      </c>
      <c r="AQ998" s="189">
        <f t="shared" si="141"/>
        <v>5260.320999999999</v>
      </c>
      <c r="AR998" s="189">
        <f t="shared" si="142"/>
        <v>4915.326</v>
      </c>
      <c r="AS998" s="189">
        <f t="shared" si="138"/>
        <v>5167.7999999999993</v>
      </c>
      <c r="AT998" s="189">
        <f t="shared" si="139"/>
        <v>10335.599999999999</v>
      </c>
      <c r="AU998" s="50">
        <f t="shared" si="140"/>
        <v>9430.4520000000011</v>
      </c>
    </row>
    <row r="999" spans="36:47">
      <c r="AJ999" s="50">
        <v>2</v>
      </c>
      <c r="AK999" s="50">
        <v>1</v>
      </c>
      <c r="AL999" s="50">
        <v>0</v>
      </c>
      <c r="AM999" s="15">
        <f>Tabela21[[#This Row],[Att subs]]+Tabela21[[#This Row],[Crit D subs]]</f>
        <v>1</v>
      </c>
      <c r="AN999" s="15">
        <v>0</v>
      </c>
      <c r="AO999" s="15">
        <v>1</v>
      </c>
      <c r="AP999" s="15">
        <v>0.6</v>
      </c>
      <c r="AQ999" s="189">
        <f t="shared" si="141"/>
        <v>5672.0509999999995</v>
      </c>
      <c r="AR999" s="189">
        <f t="shared" si="142"/>
        <v>5327.7059999999992</v>
      </c>
      <c r="AS999" s="189">
        <f t="shared" si="138"/>
        <v>5167.7999999999993</v>
      </c>
      <c r="AT999" s="189">
        <f t="shared" si="139"/>
        <v>10335.599999999999</v>
      </c>
      <c r="AU999" s="50">
        <f t="shared" si="140"/>
        <v>10429.212</v>
      </c>
    </row>
    <row r="1000" spans="36:47">
      <c r="AJ1000" s="50">
        <v>2</v>
      </c>
      <c r="AK1000" s="50">
        <v>1</v>
      </c>
      <c r="AL1000" s="50">
        <v>0</v>
      </c>
      <c r="AM1000" s="15">
        <f>Tabela21[[#This Row],[Att subs]]+Tabela21[[#This Row],[Crit D subs]]</f>
        <v>1</v>
      </c>
      <c r="AN1000" s="15">
        <v>0</v>
      </c>
      <c r="AO1000" s="15">
        <v>1</v>
      </c>
      <c r="AP1000" s="15">
        <v>0.7</v>
      </c>
      <c r="AQ1000" s="189">
        <f t="shared" si="141"/>
        <v>6083.7809999999999</v>
      </c>
      <c r="AR1000" s="189">
        <f t="shared" si="142"/>
        <v>5740.0859999999993</v>
      </c>
      <c r="AS1000" s="189">
        <f t="shared" si="138"/>
        <v>5167.7999999999993</v>
      </c>
      <c r="AT1000" s="189">
        <f t="shared" si="139"/>
        <v>10335.599999999999</v>
      </c>
      <c r="AU1000" s="50">
        <f t="shared" si="140"/>
        <v>11427.971999999998</v>
      </c>
    </row>
    <row r="1001" spans="36:47">
      <c r="AJ1001" s="50">
        <v>2</v>
      </c>
      <c r="AK1001" s="50">
        <v>1</v>
      </c>
      <c r="AL1001" s="50">
        <v>0</v>
      </c>
      <c r="AM1001" s="15">
        <f>Tabela21[[#This Row],[Att subs]]+Tabela21[[#This Row],[Crit D subs]]</f>
        <v>1</v>
      </c>
      <c r="AN1001" s="15">
        <v>0</v>
      </c>
      <c r="AO1001" s="15">
        <v>1</v>
      </c>
      <c r="AP1001" s="15">
        <v>0.8</v>
      </c>
      <c r="AQ1001" s="189">
        <f t="shared" si="141"/>
        <v>6207.2999999999993</v>
      </c>
      <c r="AR1001" s="189">
        <f t="shared" si="142"/>
        <v>5863.7999999999993</v>
      </c>
      <c r="AS1001" s="189">
        <f t="shared" si="138"/>
        <v>5167.7999999999993</v>
      </c>
      <c r="AT1001" s="189">
        <f t="shared" si="139"/>
        <v>10335.599999999999</v>
      </c>
      <c r="AU1001" s="50">
        <f t="shared" si="140"/>
        <v>11727.599999999999</v>
      </c>
    </row>
    <row r="1002" spans="36:47">
      <c r="AJ1002" s="50">
        <v>2</v>
      </c>
      <c r="AK1002" s="50">
        <v>1</v>
      </c>
      <c r="AL1002" s="50">
        <v>0</v>
      </c>
      <c r="AM1002" s="15">
        <f>Tabela21[[#This Row],[Att subs]]+Tabela21[[#This Row],[Crit D subs]]</f>
        <v>1</v>
      </c>
      <c r="AN1002" s="15">
        <v>0</v>
      </c>
      <c r="AO1002" s="15">
        <v>1</v>
      </c>
      <c r="AP1002" s="15">
        <v>0.9</v>
      </c>
      <c r="AQ1002" s="189">
        <f t="shared" si="141"/>
        <v>6207.2999999999993</v>
      </c>
      <c r="AR1002" s="189">
        <f t="shared" si="142"/>
        <v>5863.7999999999993</v>
      </c>
      <c r="AS1002" s="189">
        <f t="shared" si="138"/>
        <v>5167.7999999999993</v>
      </c>
      <c r="AT1002" s="189">
        <f t="shared" si="139"/>
        <v>10335.599999999999</v>
      </c>
      <c r="AU1002" s="50">
        <f t="shared" si="140"/>
        <v>11727.599999999999</v>
      </c>
    </row>
    <row r="1003" spans="36:47">
      <c r="AJ1003" s="50">
        <v>2</v>
      </c>
      <c r="AK1003" s="50">
        <v>1</v>
      </c>
      <c r="AL1003" s="50">
        <v>0</v>
      </c>
      <c r="AM1003" s="15">
        <f>Tabela21[[#This Row],[Att subs]]+Tabela21[[#This Row],[Crit D subs]]</f>
        <v>1</v>
      </c>
      <c r="AN1003" s="15">
        <v>0</v>
      </c>
      <c r="AO1003" s="15">
        <v>1</v>
      </c>
      <c r="AP1003" s="15">
        <v>1</v>
      </c>
      <c r="AQ1003" s="189">
        <f t="shared" si="141"/>
        <v>6207.2999999999993</v>
      </c>
      <c r="AR1003" s="189">
        <f t="shared" si="142"/>
        <v>5863.7999999999993</v>
      </c>
      <c r="AS1003" s="189">
        <f t="shared" si="138"/>
        <v>5167.7999999999993</v>
      </c>
      <c r="AT1003" s="189">
        <f t="shared" si="139"/>
        <v>10335.599999999999</v>
      </c>
      <c r="AU1003" s="50">
        <f t="shared" si="140"/>
        <v>11727.599999999999</v>
      </c>
    </row>
    <row r="1004" spans="36:47">
      <c r="AJ1004" s="50">
        <v>2</v>
      </c>
      <c r="AK1004" s="50">
        <v>0</v>
      </c>
      <c r="AL1004" s="50">
        <v>1</v>
      </c>
      <c r="AM1004" s="15">
        <f>Tabela21[[#This Row],[Att subs]]+Tabela21[[#This Row],[Crit D subs]]</f>
        <v>1</v>
      </c>
      <c r="AN1004" s="15">
        <v>0</v>
      </c>
      <c r="AO1004" s="15">
        <v>1</v>
      </c>
      <c r="AP1004" s="15">
        <v>0</v>
      </c>
      <c r="AQ1004" s="189">
        <f t="shared" si="141"/>
        <v>4033.7000000000003</v>
      </c>
      <c r="AR1004" s="189">
        <f t="shared" si="142"/>
        <v>3789.72</v>
      </c>
      <c r="AS1004" s="189">
        <f t="shared" si="138"/>
        <v>3984.6</v>
      </c>
      <c r="AT1004" s="189">
        <f t="shared" si="139"/>
        <v>7725.5999999999995</v>
      </c>
      <c r="AU1004" s="50">
        <f t="shared" si="140"/>
        <v>6918.24</v>
      </c>
    </row>
    <row r="1005" spans="36:47">
      <c r="AJ1005" s="50">
        <v>2</v>
      </c>
      <c r="AK1005" s="50">
        <v>0</v>
      </c>
      <c r="AL1005" s="50">
        <v>1</v>
      </c>
      <c r="AM1005" s="15">
        <f>Tabela21[[#This Row],[Att subs]]+Tabela21[[#This Row],[Crit D subs]]</f>
        <v>1</v>
      </c>
      <c r="AN1005" s="15">
        <v>0</v>
      </c>
      <c r="AO1005" s="15">
        <v>1</v>
      </c>
      <c r="AP1005" s="15">
        <v>0.1</v>
      </c>
      <c r="AQ1005" s="189">
        <f t="shared" si="141"/>
        <v>4347.2</v>
      </c>
      <c r="AR1005" s="189">
        <f t="shared" si="142"/>
        <v>4120.3200000000006</v>
      </c>
      <c r="AS1005" s="189">
        <f t="shared" si="138"/>
        <v>4245.5999999999995</v>
      </c>
      <c r="AT1005" s="189">
        <f t="shared" si="139"/>
        <v>8421.6</v>
      </c>
      <c r="AU1005" s="50">
        <f t="shared" si="140"/>
        <v>7753.4400000000005</v>
      </c>
    </row>
    <row r="1006" spans="36:47">
      <c r="AJ1006" s="50">
        <v>2</v>
      </c>
      <c r="AK1006" s="50">
        <v>0</v>
      </c>
      <c r="AL1006" s="50">
        <v>1</v>
      </c>
      <c r="AM1006" s="15">
        <f>Tabela21[[#This Row],[Att subs]]+Tabela21[[#This Row],[Crit D subs]]</f>
        <v>1</v>
      </c>
      <c r="AN1006" s="15">
        <v>0</v>
      </c>
      <c r="AO1006" s="15">
        <v>1</v>
      </c>
      <c r="AP1006" s="15">
        <v>0.2</v>
      </c>
      <c r="AQ1006" s="189">
        <f t="shared" si="141"/>
        <v>4660.7</v>
      </c>
      <c r="AR1006" s="189">
        <f t="shared" si="142"/>
        <v>4450.92</v>
      </c>
      <c r="AS1006" s="189">
        <f t="shared" si="138"/>
        <v>4350</v>
      </c>
      <c r="AT1006" s="189">
        <f t="shared" si="139"/>
        <v>8700</v>
      </c>
      <c r="AU1006" s="50">
        <f t="shared" si="140"/>
        <v>8588.6399999999976</v>
      </c>
    </row>
    <row r="1007" spans="36:47">
      <c r="AJ1007" s="50">
        <v>2</v>
      </c>
      <c r="AK1007" s="50">
        <v>0</v>
      </c>
      <c r="AL1007" s="50">
        <v>1</v>
      </c>
      <c r="AM1007" s="15">
        <f>Tabela21[[#This Row],[Att subs]]+Tabela21[[#This Row],[Crit D subs]]</f>
        <v>1</v>
      </c>
      <c r="AN1007" s="15">
        <v>0</v>
      </c>
      <c r="AO1007" s="15">
        <v>1</v>
      </c>
      <c r="AP1007" s="15">
        <v>0.3</v>
      </c>
      <c r="AQ1007" s="189">
        <f t="shared" si="141"/>
        <v>4974.2000000000007</v>
      </c>
      <c r="AR1007" s="189">
        <f t="shared" si="142"/>
        <v>4781.5200000000004</v>
      </c>
      <c r="AS1007" s="189">
        <f t="shared" si="138"/>
        <v>4350</v>
      </c>
      <c r="AT1007" s="189">
        <f t="shared" si="139"/>
        <v>8700</v>
      </c>
      <c r="AU1007" s="50">
        <f t="shared" si="140"/>
        <v>9423.84</v>
      </c>
    </row>
    <row r="1008" spans="36:47">
      <c r="AJ1008" s="50">
        <v>2</v>
      </c>
      <c r="AK1008" s="50">
        <v>0</v>
      </c>
      <c r="AL1008" s="50">
        <v>1</v>
      </c>
      <c r="AM1008" s="15">
        <f>Tabela21[[#This Row],[Att subs]]+Tabela21[[#This Row],[Crit D subs]]</f>
        <v>1</v>
      </c>
      <c r="AN1008" s="15">
        <v>0</v>
      </c>
      <c r="AO1008" s="15">
        <v>1</v>
      </c>
      <c r="AP1008" s="15">
        <v>0.4</v>
      </c>
      <c r="AQ1008" s="189">
        <f t="shared" si="141"/>
        <v>5225</v>
      </c>
      <c r="AR1008" s="189">
        <f t="shared" si="142"/>
        <v>5046</v>
      </c>
      <c r="AS1008" s="189">
        <f t="shared" si="138"/>
        <v>4350</v>
      </c>
      <c r="AT1008" s="189">
        <f t="shared" si="139"/>
        <v>8700</v>
      </c>
      <c r="AU1008" s="50">
        <f t="shared" si="140"/>
        <v>10092</v>
      </c>
    </row>
    <row r="1009" spans="36:47">
      <c r="AJ1009" s="50">
        <v>2</v>
      </c>
      <c r="AK1009" s="50">
        <v>0</v>
      </c>
      <c r="AL1009" s="50">
        <v>1</v>
      </c>
      <c r="AM1009" s="15">
        <f>Tabela21[[#This Row],[Att subs]]+Tabela21[[#This Row],[Crit D subs]]</f>
        <v>1</v>
      </c>
      <c r="AN1009" s="15">
        <v>0</v>
      </c>
      <c r="AO1009" s="15">
        <v>1</v>
      </c>
      <c r="AP1009" s="15">
        <v>0.5</v>
      </c>
      <c r="AQ1009" s="189">
        <f t="shared" si="141"/>
        <v>5225</v>
      </c>
      <c r="AR1009" s="189">
        <f t="shared" si="142"/>
        <v>5046</v>
      </c>
      <c r="AS1009" s="189">
        <f t="shared" si="138"/>
        <v>4350</v>
      </c>
      <c r="AT1009" s="189">
        <f t="shared" si="139"/>
        <v>8700</v>
      </c>
      <c r="AU1009" s="50">
        <f t="shared" si="140"/>
        <v>10092</v>
      </c>
    </row>
    <row r="1010" spans="36:47">
      <c r="AJ1010" s="50">
        <v>2</v>
      </c>
      <c r="AK1010" s="50">
        <v>0</v>
      </c>
      <c r="AL1010" s="50">
        <v>1</v>
      </c>
      <c r="AM1010" s="15">
        <f>Tabela21[[#This Row],[Att subs]]+Tabela21[[#This Row],[Crit D subs]]</f>
        <v>1</v>
      </c>
      <c r="AN1010" s="15">
        <v>0</v>
      </c>
      <c r="AO1010" s="15">
        <v>1</v>
      </c>
      <c r="AP1010" s="15">
        <v>0.6</v>
      </c>
      <c r="AQ1010" s="189">
        <f t="shared" si="141"/>
        <v>5225</v>
      </c>
      <c r="AR1010" s="189">
        <f t="shared" si="142"/>
        <v>5046</v>
      </c>
      <c r="AS1010" s="189">
        <f t="shared" si="138"/>
        <v>4350</v>
      </c>
      <c r="AT1010" s="189">
        <f t="shared" si="139"/>
        <v>8700</v>
      </c>
      <c r="AU1010" s="50">
        <f t="shared" si="140"/>
        <v>10092</v>
      </c>
    </row>
    <row r="1011" spans="36:47">
      <c r="AJ1011" s="50">
        <v>2</v>
      </c>
      <c r="AK1011" s="50">
        <v>0</v>
      </c>
      <c r="AL1011" s="50">
        <v>1</v>
      </c>
      <c r="AM1011" s="15">
        <f>Tabela21[[#This Row],[Att subs]]+Tabela21[[#This Row],[Crit D subs]]</f>
        <v>1</v>
      </c>
      <c r="AN1011" s="15">
        <v>0</v>
      </c>
      <c r="AO1011" s="15">
        <v>1</v>
      </c>
      <c r="AP1011" s="15">
        <v>0.7</v>
      </c>
      <c r="AQ1011" s="189">
        <f t="shared" si="141"/>
        <v>5225</v>
      </c>
      <c r="AR1011" s="189">
        <f t="shared" si="142"/>
        <v>5046</v>
      </c>
      <c r="AS1011" s="189">
        <f t="shared" si="138"/>
        <v>4350</v>
      </c>
      <c r="AT1011" s="189">
        <f t="shared" si="139"/>
        <v>8700</v>
      </c>
      <c r="AU1011" s="50">
        <f t="shared" si="140"/>
        <v>10092</v>
      </c>
    </row>
    <row r="1012" spans="36:47">
      <c r="AJ1012" s="50">
        <v>2</v>
      </c>
      <c r="AK1012" s="50">
        <v>0</v>
      </c>
      <c r="AL1012" s="50">
        <v>1</v>
      </c>
      <c r="AM1012" s="15">
        <f>Tabela21[[#This Row],[Att subs]]+Tabela21[[#This Row],[Crit D subs]]</f>
        <v>1</v>
      </c>
      <c r="AN1012" s="15">
        <v>0</v>
      </c>
      <c r="AO1012" s="15">
        <v>1</v>
      </c>
      <c r="AP1012" s="15">
        <v>0.8</v>
      </c>
      <c r="AQ1012" s="189">
        <f t="shared" si="141"/>
        <v>5225</v>
      </c>
      <c r="AR1012" s="189">
        <f t="shared" si="142"/>
        <v>5046</v>
      </c>
      <c r="AS1012" s="189">
        <f t="shared" si="138"/>
        <v>4350</v>
      </c>
      <c r="AT1012" s="189">
        <f t="shared" si="139"/>
        <v>8700</v>
      </c>
      <c r="AU1012" s="50">
        <f t="shared" si="140"/>
        <v>10092</v>
      </c>
    </row>
    <row r="1013" spans="36:47">
      <c r="AJ1013" s="50">
        <v>2</v>
      </c>
      <c r="AK1013" s="50">
        <v>0</v>
      </c>
      <c r="AL1013" s="50">
        <v>1</v>
      </c>
      <c r="AM1013" s="15">
        <f>Tabela21[[#This Row],[Att subs]]+Tabela21[[#This Row],[Crit D subs]]</f>
        <v>1</v>
      </c>
      <c r="AN1013" s="15">
        <v>0</v>
      </c>
      <c r="AO1013" s="15">
        <v>1</v>
      </c>
      <c r="AP1013" s="15">
        <v>0.9</v>
      </c>
      <c r="AQ1013" s="189">
        <f t="shared" si="141"/>
        <v>5225</v>
      </c>
      <c r="AR1013" s="189">
        <f t="shared" si="142"/>
        <v>5046</v>
      </c>
      <c r="AS1013" s="189">
        <f t="shared" si="138"/>
        <v>4350</v>
      </c>
      <c r="AT1013" s="189">
        <f t="shared" si="139"/>
        <v>8700</v>
      </c>
      <c r="AU1013" s="50">
        <f t="shared" si="140"/>
        <v>10092</v>
      </c>
    </row>
    <row r="1014" spans="36:47">
      <c r="AJ1014" s="50">
        <v>2</v>
      </c>
      <c r="AK1014" s="50">
        <v>0</v>
      </c>
      <c r="AL1014" s="50">
        <v>1</v>
      </c>
      <c r="AM1014" s="15">
        <f>Tabela21[[#This Row],[Att subs]]+Tabela21[[#This Row],[Crit D subs]]</f>
        <v>1</v>
      </c>
      <c r="AN1014" s="15">
        <v>0</v>
      </c>
      <c r="AO1014" s="15">
        <v>1</v>
      </c>
      <c r="AP1014" s="15">
        <v>1</v>
      </c>
      <c r="AQ1014" s="189">
        <f t="shared" si="141"/>
        <v>5225</v>
      </c>
      <c r="AR1014" s="189">
        <f t="shared" si="142"/>
        <v>5046</v>
      </c>
      <c r="AS1014" s="189">
        <f t="shared" si="138"/>
        <v>4350</v>
      </c>
      <c r="AT1014" s="189">
        <f t="shared" si="139"/>
        <v>8700</v>
      </c>
      <c r="AU1014" s="50">
        <f t="shared" si="140"/>
        <v>10092</v>
      </c>
    </row>
    <row r="1015" spans="36:47">
      <c r="AJ1015" s="50">
        <v>3</v>
      </c>
      <c r="AK1015" s="50">
        <v>0</v>
      </c>
      <c r="AL1015" s="50">
        <v>0</v>
      </c>
      <c r="AM1015" s="15">
        <f>Tabela21[[#This Row],[Att subs]]+Tabela21[[#This Row],[Crit D subs]]</f>
        <v>1</v>
      </c>
      <c r="AN1015" s="15">
        <v>0</v>
      </c>
      <c r="AO1015" s="15">
        <v>1</v>
      </c>
      <c r="AP1015" s="15">
        <v>0</v>
      </c>
      <c r="AQ1015" s="189">
        <f t="shared" si="141"/>
        <v>3456.3</v>
      </c>
      <c r="AR1015" s="189">
        <f t="shared" si="142"/>
        <v>3192.43</v>
      </c>
      <c r="AS1015" s="189">
        <f t="shared" si="138"/>
        <v>3724.1499999999996</v>
      </c>
      <c r="AT1015" s="189">
        <f t="shared" si="139"/>
        <v>6414.4</v>
      </c>
      <c r="AU1015" s="50">
        <f t="shared" si="140"/>
        <v>4844.5600000000004</v>
      </c>
    </row>
    <row r="1016" spans="36:47">
      <c r="AJ1016" s="50">
        <v>3</v>
      </c>
      <c r="AK1016" s="50">
        <v>0</v>
      </c>
      <c r="AL1016" s="50">
        <v>0</v>
      </c>
      <c r="AM1016" s="15">
        <f>Tabela21[[#This Row],[Att subs]]+Tabela21[[#This Row],[Crit D subs]]</f>
        <v>1</v>
      </c>
      <c r="AN1016" s="15">
        <v>0</v>
      </c>
      <c r="AO1016" s="15">
        <v>1</v>
      </c>
      <c r="AP1016" s="15">
        <v>0.1</v>
      </c>
      <c r="AQ1016" s="189">
        <f t="shared" si="141"/>
        <v>3825.3</v>
      </c>
      <c r="AR1016" s="189">
        <f t="shared" si="142"/>
        <v>3593.3299999999995</v>
      </c>
      <c r="AS1016" s="189">
        <f t="shared" si="138"/>
        <v>4040.65</v>
      </c>
      <c r="AT1016" s="189">
        <f t="shared" si="139"/>
        <v>7258.4</v>
      </c>
      <c r="AU1016" s="50">
        <f t="shared" si="140"/>
        <v>5857.36</v>
      </c>
    </row>
    <row r="1017" spans="36:47">
      <c r="AJ1017" s="50">
        <v>3</v>
      </c>
      <c r="AK1017" s="50">
        <v>0</v>
      </c>
      <c r="AL1017" s="50">
        <v>0</v>
      </c>
      <c r="AM1017" s="15">
        <f>Tabela21[[#This Row],[Att subs]]+Tabela21[[#This Row],[Crit D subs]]</f>
        <v>1</v>
      </c>
      <c r="AN1017" s="15">
        <v>0</v>
      </c>
      <c r="AO1017" s="15">
        <v>1</v>
      </c>
      <c r="AP1017" s="15">
        <v>0.2</v>
      </c>
      <c r="AQ1017" s="189">
        <f t="shared" si="141"/>
        <v>4194.2999999999993</v>
      </c>
      <c r="AR1017" s="189">
        <f t="shared" si="142"/>
        <v>3994.2299999999996</v>
      </c>
      <c r="AS1017" s="189">
        <f t="shared" si="138"/>
        <v>4357.1499999999996</v>
      </c>
      <c r="AT1017" s="189">
        <f t="shared" si="139"/>
        <v>8102.4</v>
      </c>
      <c r="AU1017" s="50">
        <f t="shared" si="140"/>
        <v>6870.16</v>
      </c>
    </row>
    <row r="1018" spans="36:47">
      <c r="AJ1018" s="50">
        <v>3</v>
      </c>
      <c r="AK1018" s="50">
        <v>0</v>
      </c>
      <c r="AL1018" s="50">
        <v>0</v>
      </c>
      <c r="AM1018" s="15">
        <f>Tabela21[[#This Row],[Att subs]]+Tabela21[[#This Row],[Crit D subs]]</f>
        <v>1</v>
      </c>
      <c r="AN1018" s="15">
        <v>0</v>
      </c>
      <c r="AO1018" s="15">
        <v>1</v>
      </c>
      <c r="AP1018" s="15">
        <v>0.3</v>
      </c>
      <c r="AQ1018" s="189">
        <f t="shared" si="141"/>
        <v>4563.3</v>
      </c>
      <c r="AR1018" s="189">
        <f t="shared" si="142"/>
        <v>4395.1299999999992</v>
      </c>
      <c r="AS1018" s="189">
        <f t="shared" si="138"/>
        <v>4673.6499999999996</v>
      </c>
      <c r="AT1018" s="189">
        <f t="shared" si="139"/>
        <v>8946.4</v>
      </c>
      <c r="AU1018" s="50">
        <f t="shared" si="140"/>
        <v>7882.9599999999991</v>
      </c>
    </row>
    <row r="1019" spans="36:47">
      <c r="AJ1019" s="50">
        <v>3</v>
      </c>
      <c r="AK1019" s="50">
        <v>0</v>
      </c>
      <c r="AL1019" s="50">
        <v>0</v>
      </c>
      <c r="AM1019" s="15">
        <f>Tabela21[[#This Row],[Att subs]]+Tabela21[[#This Row],[Crit D subs]]</f>
        <v>1</v>
      </c>
      <c r="AN1019" s="15">
        <v>0</v>
      </c>
      <c r="AO1019" s="15">
        <v>1</v>
      </c>
      <c r="AP1019" s="15">
        <v>0.4</v>
      </c>
      <c r="AQ1019" s="189">
        <f t="shared" si="141"/>
        <v>4932.3</v>
      </c>
      <c r="AR1019" s="189">
        <f t="shared" si="142"/>
        <v>4796.0300000000007</v>
      </c>
      <c r="AS1019" s="189">
        <f t="shared" si="138"/>
        <v>4990.1499999999996</v>
      </c>
      <c r="AT1019" s="189">
        <f t="shared" si="139"/>
        <v>9790.4</v>
      </c>
      <c r="AU1019" s="50">
        <f t="shared" si="140"/>
        <v>8895.76</v>
      </c>
    </row>
    <row r="1020" spans="36:47">
      <c r="AJ1020" s="50">
        <v>3</v>
      </c>
      <c r="AK1020" s="50">
        <v>0</v>
      </c>
      <c r="AL1020" s="50">
        <v>0</v>
      </c>
      <c r="AM1020" s="15">
        <f>Tabela21[[#This Row],[Att subs]]+Tabela21[[#This Row],[Crit D subs]]</f>
        <v>1</v>
      </c>
      <c r="AN1020" s="15">
        <v>0</v>
      </c>
      <c r="AO1020" s="15">
        <v>1</v>
      </c>
      <c r="AP1020" s="15">
        <v>0.5</v>
      </c>
      <c r="AQ1020" s="189">
        <f t="shared" si="141"/>
        <v>5301.3</v>
      </c>
      <c r="AR1020" s="189">
        <f t="shared" si="142"/>
        <v>5196.93</v>
      </c>
      <c r="AS1020" s="189">
        <f t="shared" si="138"/>
        <v>5275</v>
      </c>
      <c r="AT1020" s="189">
        <f t="shared" si="139"/>
        <v>10550</v>
      </c>
      <c r="AU1020" s="50">
        <f t="shared" si="140"/>
        <v>9908.56</v>
      </c>
    </row>
    <row r="1021" spans="36:47">
      <c r="AJ1021" s="50">
        <v>3</v>
      </c>
      <c r="AK1021" s="50">
        <v>0</v>
      </c>
      <c r="AL1021" s="50">
        <v>0</v>
      </c>
      <c r="AM1021" s="15">
        <f>Tabela21[[#This Row],[Att subs]]+Tabela21[[#This Row],[Crit D subs]]</f>
        <v>1</v>
      </c>
      <c r="AN1021" s="15">
        <v>0</v>
      </c>
      <c r="AO1021" s="15">
        <v>1</v>
      </c>
      <c r="AP1021" s="15">
        <v>0.6</v>
      </c>
      <c r="AQ1021" s="189">
        <f t="shared" si="141"/>
        <v>5670.2999999999993</v>
      </c>
      <c r="AR1021" s="189">
        <f t="shared" si="142"/>
        <v>5597.83</v>
      </c>
      <c r="AS1021" s="189">
        <f t="shared" si="138"/>
        <v>5275</v>
      </c>
      <c r="AT1021" s="189">
        <f t="shared" si="139"/>
        <v>10550</v>
      </c>
      <c r="AU1021" s="50">
        <f t="shared" si="140"/>
        <v>10921.36</v>
      </c>
    </row>
    <row r="1022" spans="36:47">
      <c r="AJ1022" s="50">
        <v>3</v>
      </c>
      <c r="AK1022" s="50">
        <v>0</v>
      </c>
      <c r="AL1022" s="50">
        <v>0</v>
      </c>
      <c r="AM1022" s="15">
        <f>Tabela21[[#This Row],[Att subs]]+Tabela21[[#This Row],[Crit D subs]]</f>
        <v>1</v>
      </c>
      <c r="AN1022" s="15">
        <v>0</v>
      </c>
      <c r="AO1022" s="15">
        <v>1</v>
      </c>
      <c r="AP1022" s="15">
        <v>0.7</v>
      </c>
      <c r="AQ1022" s="189">
        <f t="shared" si="141"/>
        <v>6039.3</v>
      </c>
      <c r="AR1022" s="189">
        <f t="shared" si="142"/>
        <v>5998.73</v>
      </c>
      <c r="AS1022" s="189">
        <f t="shared" si="138"/>
        <v>5275</v>
      </c>
      <c r="AT1022" s="189">
        <f t="shared" si="139"/>
        <v>10550</v>
      </c>
      <c r="AU1022" s="50">
        <f t="shared" si="140"/>
        <v>11934.16</v>
      </c>
    </row>
    <row r="1023" spans="36:47">
      <c r="AJ1023" s="50">
        <v>3</v>
      </c>
      <c r="AK1023" s="50">
        <v>0</v>
      </c>
      <c r="AL1023" s="50">
        <v>0</v>
      </c>
      <c r="AM1023" s="15">
        <f>Tabela21[[#This Row],[Att subs]]+Tabela21[[#This Row],[Crit D subs]]</f>
        <v>1</v>
      </c>
      <c r="AN1023" s="15">
        <v>0</v>
      </c>
      <c r="AO1023" s="15">
        <v>1</v>
      </c>
      <c r="AP1023" s="15">
        <v>0.8</v>
      </c>
      <c r="AQ1023" s="189">
        <f t="shared" si="141"/>
        <v>6150</v>
      </c>
      <c r="AR1023" s="189">
        <f t="shared" si="142"/>
        <v>6119</v>
      </c>
      <c r="AS1023" s="189">
        <f t="shared" si="138"/>
        <v>5275</v>
      </c>
      <c r="AT1023" s="189">
        <f t="shared" si="139"/>
        <v>10550</v>
      </c>
      <c r="AU1023" s="50">
        <f t="shared" si="140"/>
        <v>12238</v>
      </c>
    </row>
    <row r="1024" spans="36:47">
      <c r="AJ1024" s="50">
        <v>3</v>
      </c>
      <c r="AK1024" s="50">
        <v>0</v>
      </c>
      <c r="AL1024" s="50">
        <v>0</v>
      </c>
      <c r="AM1024" s="15">
        <f>Tabela21[[#This Row],[Att subs]]+Tabela21[[#This Row],[Crit D subs]]</f>
        <v>1</v>
      </c>
      <c r="AN1024" s="15">
        <v>0</v>
      </c>
      <c r="AO1024" s="15">
        <v>1</v>
      </c>
      <c r="AP1024" s="15">
        <v>0.9</v>
      </c>
      <c r="AQ1024" s="189">
        <f t="shared" si="141"/>
        <v>6150</v>
      </c>
      <c r="AR1024" s="189">
        <f t="shared" si="142"/>
        <v>6119</v>
      </c>
      <c r="AS1024" s="189">
        <f t="shared" si="138"/>
        <v>5275</v>
      </c>
      <c r="AT1024" s="189">
        <f t="shared" si="139"/>
        <v>10550</v>
      </c>
      <c r="AU1024" s="50">
        <f t="shared" si="140"/>
        <v>12238</v>
      </c>
    </row>
    <row r="1025" spans="36:47">
      <c r="AJ1025" s="50">
        <v>3</v>
      </c>
      <c r="AK1025" s="50">
        <v>0</v>
      </c>
      <c r="AL1025" s="50">
        <v>0</v>
      </c>
      <c r="AM1025" s="15">
        <f>Tabela21[[#This Row],[Att subs]]+Tabela21[[#This Row],[Crit D subs]]</f>
        <v>1</v>
      </c>
      <c r="AN1025" s="15">
        <v>0</v>
      </c>
      <c r="AO1025" s="15">
        <v>1</v>
      </c>
      <c r="AP1025" s="15">
        <v>1</v>
      </c>
      <c r="AQ1025" s="189">
        <f t="shared" si="141"/>
        <v>6150</v>
      </c>
      <c r="AR1025" s="189">
        <f t="shared" si="142"/>
        <v>6119</v>
      </c>
      <c r="AS1025" s="189">
        <f t="shared" si="138"/>
        <v>5275</v>
      </c>
      <c r="AT1025" s="189">
        <f t="shared" si="139"/>
        <v>10550</v>
      </c>
      <c r="AU1025" s="50">
        <f t="shared" si="140"/>
        <v>12238</v>
      </c>
    </row>
    <row r="1026" spans="36:47">
      <c r="AJ1026" s="50">
        <v>2</v>
      </c>
      <c r="AK1026" s="50">
        <v>1</v>
      </c>
      <c r="AL1026" s="50">
        <v>0</v>
      </c>
      <c r="AM1026" s="15">
        <f>Tabela21[[#This Row],[Att subs]]+Tabela21[[#This Row],[Crit D subs]]</f>
        <v>1.2</v>
      </c>
      <c r="AN1026" s="15">
        <v>0.2</v>
      </c>
      <c r="AO1026" s="15">
        <v>1</v>
      </c>
      <c r="AP1026" s="15">
        <v>0</v>
      </c>
      <c r="AQ1026" s="189">
        <f t="shared" si="141"/>
        <v>3508.0509999999995</v>
      </c>
      <c r="AR1026" s="189">
        <f t="shared" si="142"/>
        <v>3181.4059999999999</v>
      </c>
      <c r="AS1026" s="189">
        <f t="shared" si="138"/>
        <v>3889.1179999999995</v>
      </c>
      <c r="AT1026" s="189">
        <f t="shared" si="139"/>
        <v>6827.6360000000004</v>
      </c>
      <c r="AU1026" s="50">
        <f t="shared" si="140"/>
        <v>4946.6120000000001</v>
      </c>
    </row>
    <row r="1027" spans="36:47">
      <c r="AJ1027" s="50">
        <v>2</v>
      </c>
      <c r="AK1027" s="50">
        <v>1</v>
      </c>
      <c r="AL1027" s="50">
        <v>0</v>
      </c>
      <c r="AM1027" s="15">
        <f>Tabela21[[#This Row],[Att subs]]+Tabela21[[#This Row],[Crit D subs]]</f>
        <v>1.2</v>
      </c>
      <c r="AN1027" s="15">
        <v>0.2</v>
      </c>
      <c r="AO1027" s="15">
        <v>1</v>
      </c>
      <c r="AP1027" s="15">
        <v>0.1</v>
      </c>
      <c r="AQ1027" s="189">
        <f t="shared" si="141"/>
        <v>3959.1809999999996</v>
      </c>
      <c r="AR1027" s="189">
        <f t="shared" si="142"/>
        <v>3641.1860000000001</v>
      </c>
      <c r="AS1027" s="189">
        <f t="shared" ref="AS1027:AS1090" si="143">$AG$3*(1+$AJ1027*$Y$2+$AN1027)*(MAXA(1-$AI$3-$AL1027*$AA$3-$AP1027-0.36,0)+MINA($AI$3+$AL1027*$AA$3+$AP1027+0.36,1)*(1+$AH$3+$AO1027+$AK1027*$Z$4))</f>
        <v>4271.2979999999998</v>
      </c>
      <c r="AT1027" s="189">
        <f t="shared" ref="AT1027:AT1090" si="144">$AG$3*(1+$AJ1027*$Y$2+$AN1027)*(MAXA(1-$AI$3-$AL1027*$AA$3-$AP1027-0.36,0)+2*MINA($AI$3+$AL1027*$AA$3+$AP1027+0.36,1)*(1+$AH$3+$AO1027+$AK1027*$Z$4))</f>
        <v>7785.9960000000001</v>
      </c>
      <c r="AU1027" s="50">
        <f t="shared" ref="AU1027:AU1090" si="145">$AG$3*(1+$AJ1027*$Y$2+$AN1027)*(MAXA(1-$AI$3-$AL1027*$AA$3-$AP1027-0.12,0)+2*MINA($AI$3+$AL1027*$AA$3+$AP1027+0.12,1)*(1+$AH$3+$AO1027+$AK1027*$Z$4+0.4))</f>
        <v>6060.1719999999996</v>
      </c>
    </row>
    <row r="1028" spans="36:47">
      <c r="AJ1028" s="50">
        <v>2</v>
      </c>
      <c r="AK1028" s="50">
        <v>1</v>
      </c>
      <c r="AL1028" s="50">
        <v>0</v>
      </c>
      <c r="AM1028" s="15">
        <f>Tabela21[[#This Row],[Att subs]]+Tabela21[[#This Row],[Crit D subs]]</f>
        <v>1.2</v>
      </c>
      <c r="AN1028" s="15">
        <v>0.2</v>
      </c>
      <c r="AO1028" s="15">
        <v>1</v>
      </c>
      <c r="AP1028" s="15">
        <v>0.2</v>
      </c>
      <c r="AQ1028" s="189">
        <f t="shared" ref="AQ1028:AQ1091" si="146">$AG$3*(1+$AJ1028*$Y$2+$AN1028+0.35)*(MAXA(1-$AI$3-$AL1028*$AA$3-$AP1028-0.12,0)+MINA($AI$3+$AL1028*$AA$3+$AP1028+0.12,1)*(1+$AH$3+$AO1028+$AK1028*$Z$4))</f>
        <v>4410.3109999999988</v>
      </c>
      <c r="AR1028" s="189">
        <f t="shared" ref="AR1028:AR1091" si="147">$AG$3*(1+$AJ1028*$Y$2+$AN1028)*(MAXA(1-$AI$3-$AL1028*$AA$3-$AP1028-0.12,0)+MINA($AI$3+$AL1028*$AA$3+$AP1028+0.12,1)*(1+$AH$3+$AO1028+$AK1028*$Z$4+0.4))</f>
        <v>4100.9659999999994</v>
      </c>
      <c r="AS1028" s="189">
        <f t="shared" si="143"/>
        <v>4653.4780000000001</v>
      </c>
      <c r="AT1028" s="189">
        <f t="shared" si="144"/>
        <v>8744.3559999999998</v>
      </c>
      <c r="AU1028" s="50">
        <f t="shared" si="145"/>
        <v>7173.7319999999982</v>
      </c>
    </row>
    <row r="1029" spans="36:47">
      <c r="AJ1029" s="50">
        <v>2</v>
      </c>
      <c r="AK1029" s="50">
        <v>1</v>
      </c>
      <c r="AL1029" s="50">
        <v>0</v>
      </c>
      <c r="AM1029" s="15">
        <f>Tabela21[[#This Row],[Att subs]]+Tabela21[[#This Row],[Crit D subs]]</f>
        <v>1.2</v>
      </c>
      <c r="AN1029" s="15">
        <v>0.2</v>
      </c>
      <c r="AO1029" s="15">
        <v>1</v>
      </c>
      <c r="AP1029" s="15">
        <v>0.3</v>
      </c>
      <c r="AQ1029" s="189">
        <f t="shared" si="146"/>
        <v>4861.4409999999989</v>
      </c>
      <c r="AR1029" s="189">
        <f t="shared" si="147"/>
        <v>4560.7459999999992</v>
      </c>
      <c r="AS1029" s="189">
        <f t="shared" si="143"/>
        <v>5035.6579999999985</v>
      </c>
      <c r="AT1029" s="189">
        <f t="shared" si="144"/>
        <v>9702.7159999999985</v>
      </c>
      <c r="AU1029" s="50">
        <f t="shared" si="145"/>
        <v>8287.2919999999976</v>
      </c>
    </row>
    <row r="1030" spans="36:47">
      <c r="AJ1030" s="50">
        <v>2</v>
      </c>
      <c r="AK1030" s="50">
        <v>1</v>
      </c>
      <c r="AL1030" s="50">
        <v>0</v>
      </c>
      <c r="AM1030" s="15">
        <f>Tabela21[[#This Row],[Att subs]]+Tabela21[[#This Row],[Crit D subs]]</f>
        <v>1.2</v>
      </c>
      <c r="AN1030" s="15">
        <v>0.2</v>
      </c>
      <c r="AO1030" s="15">
        <v>1</v>
      </c>
      <c r="AP1030" s="15">
        <v>0.4</v>
      </c>
      <c r="AQ1030" s="189">
        <f t="shared" si="146"/>
        <v>5312.5709999999999</v>
      </c>
      <c r="AR1030" s="189">
        <f t="shared" si="147"/>
        <v>5020.5259999999998</v>
      </c>
      <c r="AS1030" s="189">
        <f t="shared" si="143"/>
        <v>5417.8379999999988</v>
      </c>
      <c r="AT1030" s="189">
        <f t="shared" si="144"/>
        <v>10661.075999999999</v>
      </c>
      <c r="AU1030" s="50">
        <f t="shared" si="145"/>
        <v>9400.851999999999</v>
      </c>
    </row>
    <row r="1031" spans="36:47">
      <c r="AJ1031" s="50">
        <v>2</v>
      </c>
      <c r="AK1031" s="50">
        <v>1</v>
      </c>
      <c r="AL1031" s="50">
        <v>0</v>
      </c>
      <c r="AM1031" s="15">
        <f>Tabela21[[#This Row],[Att subs]]+Tabela21[[#This Row],[Crit D subs]]</f>
        <v>1.2</v>
      </c>
      <c r="AN1031" s="15">
        <v>0.2</v>
      </c>
      <c r="AO1031" s="15">
        <v>1</v>
      </c>
      <c r="AP1031" s="15">
        <v>0.5</v>
      </c>
      <c r="AQ1031" s="189">
        <f t="shared" si="146"/>
        <v>5763.7009999999991</v>
      </c>
      <c r="AR1031" s="189">
        <f t="shared" si="147"/>
        <v>5480.3059999999996</v>
      </c>
      <c r="AS1031" s="189">
        <f t="shared" si="143"/>
        <v>5761.7999999999993</v>
      </c>
      <c r="AT1031" s="189">
        <f t="shared" si="144"/>
        <v>11523.599999999999</v>
      </c>
      <c r="AU1031" s="50">
        <f t="shared" si="145"/>
        <v>10514.412</v>
      </c>
    </row>
    <row r="1032" spans="36:47">
      <c r="AJ1032" s="50">
        <v>2</v>
      </c>
      <c r="AK1032" s="50">
        <v>1</v>
      </c>
      <c r="AL1032" s="50">
        <v>0</v>
      </c>
      <c r="AM1032" s="15">
        <f>Tabela21[[#This Row],[Att subs]]+Tabela21[[#This Row],[Crit D subs]]</f>
        <v>1.2</v>
      </c>
      <c r="AN1032" s="15">
        <v>0.2</v>
      </c>
      <c r="AO1032" s="15">
        <v>1</v>
      </c>
      <c r="AP1032" s="15">
        <v>0.6</v>
      </c>
      <c r="AQ1032" s="189">
        <f t="shared" si="146"/>
        <v>6214.8309999999992</v>
      </c>
      <c r="AR1032" s="189">
        <f t="shared" si="147"/>
        <v>5940.0859999999993</v>
      </c>
      <c r="AS1032" s="189">
        <f t="shared" si="143"/>
        <v>5761.7999999999993</v>
      </c>
      <c r="AT1032" s="189">
        <f t="shared" si="144"/>
        <v>11523.599999999999</v>
      </c>
      <c r="AU1032" s="50">
        <f t="shared" si="145"/>
        <v>11627.971999999998</v>
      </c>
    </row>
    <row r="1033" spans="36:47">
      <c r="AJ1033" s="50">
        <v>2</v>
      </c>
      <c r="AK1033" s="50">
        <v>1</v>
      </c>
      <c r="AL1033" s="50">
        <v>0</v>
      </c>
      <c r="AM1033" s="15">
        <f>Tabela21[[#This Row],[Att subs]]+Tabela21[[#This Row],[Crit D subs]]</f>
        <v>1.2</v>
      </c>
      <c r="AN1033" s="15">
        <v>0.2</v>
      </c>
      <c r="AO1033" s="15">
        <v>1</v>
      </c>
      <c r="AP1033" s="15">
        <v>0.7</v>
      </c>
      <c r="AQ1033" s="189">
        <f t="shared" si="146"/>
        <v>6665.9609999999993</v>
      </c>
      <c r="AR1033" s="189">
        <f t="shared" si="147"/>
        <v>6399.8659999999991</v>
      </c>
      <c r="AS1033" s="189">
        <f t="shared" si="143"/>
        <v>5761.7999999999993</v>
      </c>
      <c r="AT1033" s="189">
        <f t="shared" si="144"/>
        <v>11523.599999999999</v>
      </c>
      <c r="AU1033" s="50">
        <f t="shared" si="145"/>
        <v>12741.531999999999</v>
      </c>
    </row>
    <row r="1034" spans="36:47">
      <c r="AJ1034" s="50">
        <v>2</v>
      </c>
      <c r="AK1034" s="50">
        <v>1</v>
      </c>
      <c r="AL1034" s="50">
        <v>0</v>
      </c>
      <c r="AM1034" s="15">
        <f>Tabela21[[#This Row],[Att subs]]+Tabela21[[#This Row],[Crit D subs]]</f>
        <v>1.2</v>
      </c>
      <c r="AN1034" s="15">
        <v>0.2</v>
      </c>
      <c r="AO1034" s="15">
        <v>1</v>
      </c>
      <c r="AP1034" s="15">
        <v>0.8</v>
      </c>
      <c r="AQ1034" s="189">
        <f t="shared" si="146"/>
        <v>6801.2999999999993</v>
      </c>
      <c r="AR1034" s="189">
        <f t="shared" si="147"/>
        <v>6537.7999999999993</v>
      </c>
      <c r="AS1034" s="189">
        <f t="shared" si="143"/>
        <v>5761.7999999999993</v>
      </c>
      <c r="AT1034" s="189">
        <f t="shared" si="144"/>
        <v>11523.599999999999</v>
      </c>
      <c r="AU1034" s="50">
        <f t="shared" si="145"/>
        <v>13075.599999999999</v>
      </c>
    </row>
    <row r="1035" spans="36:47">
      <c r="AJ1035" s="50">
        <v>2</v>
      </c>
      <c r="AK1035" s="50">
        <v>1</v>
      </c>
      <c r="AL1035" s="50">
        <v>0</v>
      </c>
      <c r="AM1035" s="15">
        <f>Tabela21[[#This Row],[Att subs]]+Tabela21[[#This Row],[Crit D subs]]</f>
        <v>1.2</v>
      </c>
      <c r="AN1035" s="15">
        <v>0.2</v>
      </c>
      <c r="AO1035" s="15">
        <v>1</v>
      </c>
      <c r="AP1035" s="15">
        <v>0.9</v>
      </c>
      <c r="AQ1035" s="189">
        <f t="shared" si="146"/>
        <v>6801.2999999999993</v>
      </c>
      <c r="AR1035" s="189">
        <f t="shared" si="147"/>
        <v>6537.7999999999993</v>
      </c>
      <c r="AS1035" s="189">
        <f t="shared" si="143"/>
        <v>5761.7999999999993</v>
      </c>
      <c r="AT1035" s="189">
        <f t="shared" si="144"/>
        <v>11523.599999999999</v>
      </c>
      <c r="AU1035" s="50">
        <f t="shared" si="145"/>
        <v>13075.599999999999</v>
      </c>
    </row>
    <row r="1036" spans="36:47">
      <c r="AJ1036" s="50">
        <v>2</v>
      </c>
      <c r="AK1036" s="50">
        <v>1</v>
      </c>
      <c r="AL1036" s="50">
        <v>0</v>
      </c>
      <c r="AM1036" s="15">
        <f>Tabela21[[#This Row],[Att subs]]+Tabela21[[#This Row],[Crit D subs]]</f>
        <v>1.2</v>
      </c>
      <c r="AN1036" s="15">
        <v>0.2</v>
      </c>
      <c r="AO1036" s="15">
        <v>1</v>
      </c>
      <c r="AP1036" s="15">
        <v>1</v>
      </c>
      <c r="AQ1036" s="189">
        <f t="shared" si="146"/>
        <v>6801.2999999999993</v>
      </c>
      <c r="AR1036" s="189">
        <f t="shared" si="147"/>
        <v>6537.7999999999993</v>
      </c>
      <c r="AS1036" s="189">
        <f t="shared" si="143"/>
        <v>5761.7999999999993</v>
      </c>
      <c r="AT1036" s="189">
        <f t="shared" si="144"/>
        <v>11523.599999999999</v>
      </c>
      <c r="AU1036" s="50">
        <f t="shared" si="145"/>
        <v>13075.599999999999</v>
      </c>
    </row>
    <row r="1037" spans="36:47">
      <c r="AJ1037" s="50">
        <v>2</v>
      </c>
      <c r="AK1037" s="50">
        <v>0</v>
      </c>
      <c r="AL1037" s="50">
        <v>1</v>
      </c>
      <c r="AM1037" s="15">
        <f>Tabela21[[#This Row],[Att subs]]+Tabela21[[#This Row],[Crit D subs]]</f>
        <v>1.2</v>
      </c>
      <c r="AN1037" s="15">
        <v>0.2</v>
      </c>
      <c r="AO1037" s="15">
        <v>1</v>
      </c>
      <c r="AP1037" s="15">
        <v>0</v>
      </c>
      <c r="AQ1037" s="189">
        <f t="shared" si="146"/>
        <v>4419.7000000000007</v>
      </c>
      <c r="AR1037" s="189">
        <f t="shared" si="147"/>
        <v>4225.32</v>
      </c>
      <c r="AS1037" s="189">
        <f t="shared" si="143"/>
        <v>4442.6000000000004</v>
      </c>
      <c r="AT1037" s="189">
        <f t="shared" si="144"/>
        <v>8613.5999999999985</v>
      </c>
      <c r="AU1037" s="50">
        <f t="shared" si="145"/>
        <v>7713.44</v>
      </c>
    </row>
    <row r="1038" spans="36:47">
      <c r="AJ1038" s="50">
        <v>2</v>
      </c>
      <c r="AK1038" s="50">
        <v>0</v>
      </c>
      <c r="AL1038" s="50">
        <v>1</v>
      </c>
      <c r="AM1038" s="15">
        <f>Tabela21[[#This Row],[Att subs]]+Tabela21[[#This Row],[Crit D subs]]</f>
        <v>1.2</v>
      </c>
      <c r="AN1038" s="15">
        <v>0.2</v>
      </c>
      <c r="AO1038" s="15">
        <v>1</v>
      </c>
      <c r="AP1038" s="15">
        <v>0.1</v>
      </c>
      <c r="AQ1038" s="189">
        <f t="shared" si="146"/>
        <v>4763.2</v>
      </c>
      <c r="AR1038" s="189">
        <f t="shared" si="147"/>
        <v>4593.920000000001</v>
      </c>
      <c r="AS1038" s="189">
        <f t="shared" si="143"/>
        <v>4733.5999999999995</v>
      </c>
      <c r="AT1038" s="189">
        <f t="shared" si="144"/>
        <v>9389.6</v>
      </c>
      <c r="AU1038" s="50">
        <f t="shared" si="145"/>
        <v>8644.6400000000012</v>
      </c>
    </row>
    <row r="1039" spans="36:47">
      <c r="AJ1039" s="50">
        <v>2</v>
      </c>
      <c r="AK1039" s="50">
        <v>0</v>
      </c>
      <c r="AL1039" s="50">
        <v>1</v>
      </c>
      <c r="AM1039" s="15">
        <f>Tabela21[[#This Row],[Att subs]]+Tabela21[[#This Row],[Crit D subs]]</f>
        <v>1.2</v>
      </c>
      <c r="AN1039" s="15">
        <v>0.2</v>
      </c>
      <c r="AO1039" s="15">
        <v>1</v>
      </c>
      <c r="AP1039" s="15">
        <v>0.2</v>
      </c>
      <c r="AQ1039" s="189">
        <f t="shared" si="146"/>
        <v>5106.7</v>
      </c>
      <c r="AR1039" s="189">
        <f t="shared" si="147"/>
        <v>4962.5199999999995</v>
      </c>
      <c r="AS1039" s="189">
        <f t="shared" si="143"/>
        <v>4850</v>
      </c>
      <c r="AT1039" s="189">
        <f t="shared" si="144"/>
        <v>9700</v>
      </c>
      <c r="AU1039" s="50">
        <f t="shared" si="145"/>
        <v>9575.8399999999983</v>
      </c>
    </row>
    <row r="1040" spans="36:47">
      <c r="AJ1040" s="50">
        <v>2</v>
      </c>
      <c r="AK1040" s="50">
        <v>0</v>
      </c>
      <c r="AL1040" s="50">
        <v>1</v>
      </c>
      <c r="AM1040" s="15">
        <f>Tabela21[[#This Row],[Att subs]]+Tabela21[[#This Row],[Crit D subs]]</f>
        <v>1.2</v>
      </c>
      <c r="AN1040" s="15">
        <v>0.2</v>
      </c>
      <c r="AO1040" s="15">
        <v>1</v>
      </c>
      <c r="AP1040" s="15">
        <v>0.3</v>
      </c>
      <c r="AQ1040" s="189">
        <f t="shared" si="146"/>
        <v>5450.2000000000007</v>
      </c>
      <c r="AR1040" s="189">
        <f t="shared" si="147"/>
        <v>5331.1200000000008</v>
      </c>
      <c r="AS1040" s="189">
        <f t="shared" si="143"/>
        <v>4850</v>
      </c>
      <c r="AT1040" s="189">
        <f t="shared" si="144"/>
        <v>9700</v>
      </c>
      <c r="AU1040" s="50">
        <f t="shared" si="145"/>
        <v>10507.04</v>
      </c>
    </row>
    <row r="1041" spans="36:47">
      <c r="AJ1041" s="50">
        <v>2</v>
      </c>
      <c r="AK1041" s="50">
        <v>0</v>
      </c>
      <c r="AL1041" s="50">
        <v>1</v>
      </c>
      <c r="AM1041" s="15">
        <f>Tabela21[[#This Row],[Att subs]]+Tabela21[[#This Row],[Crit D subs]]</f>
        <v>1.2</v>
      </c>
      <c r="AN1041" s="15">
        <v>0.2</v>
      </c>
      <c r="AO1041" s="15">
        <v>1</v>
      </c>
      <c r="AP1041" s="15">
        <v>0.4</v>
      </c>
      <c r="AQ1041" s="189">
        <f t="shared" si="146"/>
        <v>5725</v>
      </c>
      <c r="AR1041" s="189">
        <f t="shared" si="147"/>
        <v>5626</v>
      </c>
      <c r="AS1041" s="189">
        <f t="shared" si="143"/>
        <v>4850</v>
      </c>
      <c r="AT1041" s="189">
        <f t="shared" si="144"/>
        <v>9700</v>
      </c>
      <c r="AU1041" s="50">
        <f t="shared" si="145"/>
        <v>11252</v>
      </c>
    </row>
    <row r="1042" spans="36:47">
      <c r="AJ1042" s="50">
        <v>2</v>
      </c>
      <c r="AK1042" s="50">
        <v>0</v>
      </c>
      <c r="AL1042" s="50">
        <v>1</v>
      </c>
      <c r="AM1042" s="15">
        <f>Tabela21[[#This Row],[Att subs]]+Tabela21[[#This Row],[Crit D subs]]</f>
        <v>1.2</v>
      </c>
      <c r="AN1042" s="15">
        <v>0.2</v>
      </c>
      <c r="AO1042" s="15">
        <v>1</v>
      </c>
      <c r="AP1042" s="15">
        <v>0.5</v>
      </c>
      <c r="AQ1042" s="189">
        <f t="shared" si="146"/>
        <v>5725</v>
      </c>
      <c r="AR1042" s="189">
        <f t="shared" si="147"/>
        <v>5626</v>
      </c>
      <c r="AS1042" s="189">
        <f t="shared" si="143"/>
        <v>4850</v>
      </c>
      <c r="AT1042" s="189">
        <f t="shared" si="144"/>
        <v>9700</v>
      </c>
      <c r="AU1042" s="50">
        <f t="shared" si="145"/>
        <v>11252</v>
      </c>
    </row>
    <row r="1043" spans="36:47">
      <c r="AJ1043" s="50">
        <v>2</v>
      </c>
      <c r="AK1043" s="50">
        <v>0</v>
      </c>
      <c r="AL1043" s="50">
        <v>1</v>
      </c>
      <c r="AM1043" s="15">
        <f>Tabela21[[#This Row],[Att subs]]+Tabela21[[#This Row],[Crit D subs]]</f>
        <v>1.2</v>
      </c>
      <c r="AN1043" s="15">
        <v>0.2</v>
      </c>
      <c r="AO1043" s="15">
        <v>1</v>
      </c>
      <c r="AP1043" s="15">
        <v>0.6</v>
      </c>
      <c r="AQ1043" s="189">
        <f t="shared" si="146"/>
        <v>5725</v>
      </c>
      <c r="AR1043" s="189">
        <f t="shared" si="147"/>
        <v>5626</v>
      </c>
      <c r="AS1043" s="189">
        <f t="shared" si="143"/>
        <v>4850</v>
      </c>
      <c r="AT1043" s="189">
        <f t="shared" si="144"/>
        <v>9700</v>
      </c>
      <c r="AU1043" s="50">
        <f t="shared" si="145"/>
        <v>11252</v>
      </c>
    </row>
    <row r="1044" spans="36:47">
      <c r="AJ1044" s="50">
        <v>2</v>
      </c>
      <c r="AK1044" s="50">
        <v>0</v>
      </c>
      <c r="AL1044" s="50">
        <v>1</v>
      </c>
      <c r="AM1044" s="15">
        <f>Tabela21[[#This Row],[Att subs]]+Tabela21[[#This Row],[Crit D subs]]</f>
        <v>1.2</v>
      </c>
      <c r="AN1044" s="15">
        <v>0.2</v>
      </c>
      <c r="AO1044" s="15">
        <v>1</v>
      </c>
      <c r="AP1044" s="15">
        <v>0.7</v>
      </c>
      <c r="AQ1044" s="189">
        <f t="shared" si="146"/>
        <v>5725</v>
      </c>
      <c r="AR1044" s="189">
        <f t="shared" si="147"/>
        <v>5626</v>
      </c>
      <c r="AS1044" s="189">
        <f t="shared" si="143"/>
        <v>4850</v>
      </c>
      <c r="AT1044" s="189">
        <f t="shared" si="144"/>
        <v>9700</v>
      </c>
      <c r="AU1044" s="50">
        <f t="shared" si="145"/>
        <v>11252</v>
      </c>
    </row>
    <row r="1045" spans="36:47">
      <c r="AJ1045" s="50">
        <v>2</v>
      </c>
      <c r="AK1045" s="50">
        <v>0</v>
      </c>
      <c r="AL1045" s="50">
        <v>1</v>
      </c>
      <c r="AM1045" s="15">
        <f>Tabela21[[#This Row],[Att subs]]+Tabela21[[#This Row],[Crit D subs]]</f>
        <v>1.2</v>
      </c>
      <c r="AN1045" s="15">
        <v>0.2</v>
      </c>
      <c r="AO1045" s="15">
        <v>1</v>
      </c>
      <c r="AP1045" s="15">
        <v>0.8</v>
      </c>
      <c r="AQ1045" s="189">
        <f t="shared" si="146"/>
        <v>5725</v>
      </c>
      <c r="AR1045" s="189">
        <f t="shared" si="147"/>
        <v>5626</v>
      </c>
      <c r="AS1045" s="189">
        <f t="shared" si="143"/>
        <v>4850</v>
      </c>
      <c r="AT1045" s="189">
        <f t="shared" si="144"/>
        <v>9700</v>
      </c>
      <c r="AU1045" s="50">
        <f t="shared" si="145"/>
        <v>11252</v>
      </c>
    </row>
    <row r="1046" spans="36:47">
      <c r="AJ1046" s="50">
        <v>2</v>
      </c>
      <c r="AK1046" s="50">
        <v>0</v>
      </c>
      <c r="AL1046" s="50">
        <v>1</v>
      </c>
      <c r="AM1046" s="15">
        <f>Tabela21[[#This Row],[Att subs]]+Tabela21[[#This Row],[Crit D subs]]</f>
        <v>1.2</v>
      </c>
      <c r="AN1046" s="15">
        <v>0.2</v>
      </c>
      <c r="AO1046" s="15">
        <v>1</v>
      </c>
      <c r="AP1046" s="15">
        <v>0.9</v>
      </c>
      <c r="AQ1046" s="189">
        <f t="shared" si="146"/>
        <v>5725</v>
      </c>
      <c r="AR1046" s="189">
        <f t="shared" si="147"/>
        <v>5626</v>
      </c>
      <c r="AS1046" s="189">
        <f t="shared" si="143"/>
        <v>4850</v>
      </c>
      <c r="AT1046" s="189">
        <f t="shared" si="144"/>
        <v>9700</v>
      </c>
      <c r="AU1046" s="50">
        <f t="shared" si="145"/>
        <v>11252</v>
      </c>
    </row>
    <row r="1047" spans="36:47">
      <c r="AJ1047" s="50">
        <v>2</v>
      </c>
      <c r="AK1047" s="50">
        <v>0</v>
      </c>
      <c r="AL1047" s="50">
        <v>1</v>
      </c>
      <c r="AM1047" s="15">
        <f>Tabela21[[#This Row],[Att subs]]+Tabela21[[#This Row],[Crit D subs]]</f>
        <v>1.2</v>
      </c>
      <c r="AN1047" s="15">
        <v>0.2</v>
      </c>
      <c r="AO1047" s="15">
        <v>1</v>
      </c>
      <c r="AP1047" s="15">
        <v>1</v>
      </c>
      <c r="AQ1047" s="189">
        <f t="shared" si="146"/>
        <v>5725</v>
      </c>
      <c r="AR1047" s="189">
        <f t="shared" si="147"/>
        <v>5626</v>
      </c>
      <c r="AS1047" s="189">
        <f t="shared" si="143"/>
        <v>4850</v>
      </c>
      <c r="AT1047" s="189">
        <f t="shared" si="144"/>
        <v>9700</v>
      </c>
      <c r="AU1047" s="50">
        <f t="shared" si="145"/>
        <v>11252</v>
      </c>
    </row>
    <row r="1048" spans="36:47">
      <c r="AJ1048" s="50">
        <v>3</v>
      </c>
      <c r="AK1048" s="50">
        <v>0</v>
      </c>
      <c r="AL1048" s="50">
        <v>0</v>
      </c>
      <c r="AM1048" s="15">
        <f>Tabela21[[#This Row],[Att subs]]+Tabela21[[#This Row],[Crit D subs]]</f>
        <v>1.2</v>
      </c>
      <c r="AN1048" s="15">
        <v>0.2</v>
      </c>
      <c r="AO1048" s="15">
        <v>1</v>
      </c>
      <c r="AP1048" s="15">
        <v>0</v>
      </c>
      <c r="AQ1048" s="189">
        <f t="shared" si="146"/>
        <v>3737.3</v>
      </c>
      <c r="AR1048" s="189">
        <f t="shared" si="147"/>
        <v>3495.0299999999997</v>
      </c>
      <c r="AS1048" s="189">
        <f t="shared" si="143"/>
        <v>4077.1499999999996</v>
      </c>
      <c r="AT1048" s="189">
        <f t="shared" si="144"/>
        <v>7022.4</v>
      </c>
      <c r="AU1048" s="50">
        <f t="shared" si="145"/>
        <v>5303.76</v>
      </c>
    </row>
    <row r="1049" spans="36:47">
      <c r="AJ1049" s="50">
        <v>3</v>
      </c>
      <c r="AK1049" s="50">
        <v>0</v>
      </c>
      <c r="AL1049" s="50">
        <v>0</v>
      </c>
      <c r="AM1049" s="15">
        <f>Tabela21[[#This Row],[Att subs]]+Tabela21[[#This Row],[Crit D subs]]</f>
        <v>1.2</v>
      </c>
      <c r="AN1049" s="15">
        <v>0.2</v>
      </c>
      <c r="AO1049" s="15">
        <v>1</v>
      </c>
      <c r="AP1049" s="15">
        <v>0.1</v>
      </c>
      <c r="AQ1049" s="189">
        <f t="shared" si="146"/>
        <v>4136.3</v>
      </c>
      <c r="AR1049" s="189">
        <f t="shared" si="147"/>
        <v>3933.93</v>
      </c>
      <c r="AS1049" s="189">
        <f t="shared" si="143"/>
        <v>4423.6499999999996</v>
      </c>
      <c r="AT1049" s="189">
        <f t="shared" si="144"/>
        <v>7946.4</v>
      </c>
      <c r="AU1049" s="50">
        <f t="shared" si="145"/>
        <v>6412.5599999999995</v>
      </c>
    </row>
    <row r="1050" spans="36:47">
      <c r="AJ1050" s="50">
        <v>3</v>
      </c>
      <c r="AK1050" s="50">
        <v>0</v>
      </c>
      <c r="AL1050" s="50">
        <v>0</v>
      </c>
      <c r="AM1050" s="15">
        <f>Tabela21[[#This Row],[Att subs]]+Tabela21[[#This Row],[Crit D subs]]</f>
        <v>1.2</v>
      </c>
      <c r="AN1050" s="15">
        <v>0.2</v>
      </c>
      <c r="AO1050" s="15">
        <v>1</v>
      </c>
      <c r="AP1050" s="15">
        <v>0.2</v>
      </c>
      <c r="AQ1050" s="189">
        <f t="shared" si="146"/>
        <v>4535.2999999999993</v>
      </c>
      <c r="AR1050" s="189">
        <f t="shared" si="147"/>
        <v>4372.83</v>
      </c>
      <c r="AS1050" s="189">
        <f t="shared" si="143"/>
        <v>4770.1499999999996</v>
      </c>
      <c r="AT1050" s="189">
        <f t="shared" si="144"/>
        <v>8870.4</v>
      </c>
      <c r="AU1050" s="50">
        <f t="shared" si="145"/>
        <v>7521.36</v>
      </c>
    </row>
    <row r="1051" spans="36:47">
      <c r="AJ1051" s="50">
        <v>3</v>
      </c>
      <c r="AK1051" s="50">
        <v>0</v>
      </c>
      <c r="AL1051" s="50">
        <v>0</v>
      </c>
      <c r="AM1051" s="15">
        <f>Tabela21[[#This Row],[Att subs]]+Tabela21[[#This Row],[Crit D subs]]</f>
        <v>1.2</v>
      </c>
      <c r="AN1051" s="15">
        <v>0.2</v>
      </c>
      <c r="AO1051" s="15">
        <v>1</v>
      </c>
      <c r="AP1051" s="15">
        <v>0.3</v>
      </c>
      <c r="AQ1051" s="189">
        <f t="shared" si="146"/>
        <v>4934.3</v>
      </c>
      <c r="AR1051" s="189">
        <f t="shared" si="147"/>
        <v>4811.7299999999996</v>
      </c>
      <c r="AS1051" s="189">
        <f t="shared" si="143"/>
        <v>5116.6499999999996</v>
      </c>
      <c r="AT1051" s="189">
        <f t="shared" si="144"/>
        <v>9794.4</v>
      </c>
      <c r="AU1051" s="50">
        <f t="shared" si="145"/>
        <v>8630.16</v>
      </c>
    </row>
    <row r="1052" spans="36:47">
      <c r="AJ1052" s="50">
        <v>3</v>
      </c>
      <c r="AK1052" s="50">
        <v>0</v>
      </c>
      <c r="AL1052" s="50">
        <v>0</v>
      </c>
      <c r="AM1052" s="15">
        <f>Tabela21[[#This Row],[Att subs]]+Tabela21[[#This Row],[Crit D subs]]</f>
        <v>1.2</v>
      </c>
      <c r="AN1052" s="15">
        <v>0.2</v>
      </c>
      <c r="AO1052" s="15">
        <v>1</v>
      </c>
      <c r="AP1052" s="15">
        <v>0.4</v>
      </c>
      <c r="AQ1052" s="189">
        <f t="shared" si="146"/>
        <v>5333.2999999999993</v>
      </c>
      <c r="AR1052" s="189">
        <f t="shared" si="147"/>
        <v>5250.63</v>
      </c>
      <c r="AS1052" s="189">
        <f t="shared" si="143"/>
        <v>5463.15</v>
      </c>
      <c r="AT1052" s="189">
        <f t="shared" si="144"/>
        <v>10718.4</v>
      </c>
      <c r="AU1052" s="50">
        <f t="shared" si="145"/>
        <v>9738.9600000000009</v>
      </c>
    </row>
    <row r="1053" spans="36:47">
      <c r="AJ1053" s="50">
        <v>3</v>
      </c>
      <c r="AK1053" s="50">
        <v>0</v>
      </c>
      <c r="AL1053" s="50">
        <v>0</v>
      </c>
      <c r="AM1053" s="15">
        <f>Tabela21[[#This Row],[Att subs]]+Tabela21[[#This Row],[Crit D subs]]</f>
        <v>1.2</v>
      </c>
      <c r="AN1053" s="15">
        <v>0.2</v>
      </c>
      <c r="AO1053" s="15">
        <v>1</v>
      </c>
      <c r="AP1053" s="15">
        <v>0.5</v>
      </c>
      <c r="AQ1053" s="189">
        <f t="shared" si="146"/>
        <v>5732.3000000000011</v>
      </c>
      <c r="AR1053" s="189">
        <f t="shared" si="147"/>
        <v>5689.53</v>
      </c>
      <c r="AS1053" s="189">
        <f t="shared" si="143"/>
        <v>5775</v>
      </c>
      <c r="AT1053" s="189">
        <f t="shared" si="144"/>
        <v>11550</v>
      </c>
      <c r="AU1053" s="50">
        <f t="shared" si="145"/>
        <v>10847.76</v>
      </c>
    </row>
    <row r="1054" spans="36:47">
      <c r="AJ1054" s="50">
        <v>3</v>
      </c>
      <c r="AK1054" s="50">
        <v>0</v>
      </c>
      <c r="AL1054" s="50">
        <v>0</v>
      </c>
      <c r="AM1054" s="15">
        <f>Tabela21[[#This Row],[Att subs]]+Tabela21[[#This Row],[Crit D subs]]</f>
        <v>1.2</v>
      </c>
      <c r="AN1054" s="15">
        <v>0.2</v>
      </c>
      <c r="AO1054" s="15">
        <v>1</v>
      </c>
      <c r="AP1054" s="15">
        <v>0.6</v>
      </c>
      <c r="AQ1054" s="189">
        <f t="shared" si="146"/>
        <v>6131.2999999999993</v>
      </c>
      <c r="AR1054" s="189">
        <f t="shared" si="147"/>
        <v>6128.43</v>
      </c>
      <c r="AS1054" s="189">
        <f t="shared" si="143"/>
        <v>5775</v>
      </c>
      <c r="AT1054" s="189">
        <f t="shared" si="144"/>
        <v>11550</v>
      </c>
      <c r="AU1054" s="50">
        <f t="shared" si="145"/>
        <v>11956.56</v>
      </c>
    </row>
    <row r="1055" spans="36:47">
      <c r="AJ1055" s="50">
        <v>3</v>
      </c>
      <c r="AK1055" s="50">
        <v>0</v>
      </c>
      <c r="AL1055" s="50">
        <v>0</v>
      </c>
      <c r="AM1055" s="15">
        <f>Tabela21[[#This Row],[Att subs]]+Tabela21[[#This Row],[Crit D subs]]</f>
        <v>1.2</v>
      </c>
      <c r="AN1055" s="15">
        <v>0.2</v>
      </c>
      <c r="AO1055" s="15">
        <v>1</v>
      </c>
      <c r="AP1055" s="15">
        <v>0.7</v>
      </c>
      <c r="AQ1055" s="189">
        <f t="shared" si="146"/>
        <v>6530.3</v>
      </c>
      <c r="AR1055" s="189">
        <f t="shared" si="147"/>
        <v>6567.33</v>
      </c>
      <c r="AS1055" s="189">
        <f t="shared" si="143"/>
        <v>5775</v>
      </c>
      <c r="AT1055" s="189">
        <f t="shared" si="144"/>
        <v>11550</v>
      </c>
      <c r="AU1055" s="50">
        <f t="shared" si="145"/>
        <v>13065.359999999999</v>
      </c>
    </row>
    <row r="1056" spans="36:47">
      <c r="AJ1056" s="50">
        <v>3</v>
      </c>
      <c r="AK1056" s="50">
        <v>0</v>
      </c>
      <c r="AL1056" s="50">
        <v>0</v>
      </c>
      <c r="AM1056" s="15">
        <f>Tabela21[[#This Row],[Att subs]]+Tabela21[[#This Row],[Crit D subs]]</f>
        <v>1.2</v>
      </c>
      <c r="AN1056" s="15">
        <v>0.2</v>
      </c>
      <c r="AO1056" s="15">
        <v>1</v>
      </c>
      <c r="AP1056" s="15">
        <v>0.8</v>
      </c>
      <c r="AQ1056" s="189">
        <f t="shared" si="146"/>
        <v>6650</v>
      </c>
      <c r="AR1056" s="189">
        <f t="shared" si="147"/>
        <v>6699</v>
      </c>
      <c r="AS1056" s="189">
        <f t="shared" si="143"/>
        <v>5775</v>
      </c>
      <c r="AT1056" s="189">
        <f t="shared" si="144"/>
        <v>11550</v>
      </c>
      <c r="AU1056" s="50">
        <f t="shared" si="145"/>
        <v>13398</v>
      </c>
    </row>
    <row r="1057" spans="36:47">
      <c r="AJ1057" s="50">
        <v>3</v>
      </c>
      <c r="AK1057" s="50">
        <v>0</v>
      </c>
      <c r="AL1057" s="50">
        <v>0</v>
      </c>
      <c r="AM1057" s="15">
        <f>Tabela21[[#This Row],[Att subs]]+Tabela21[[#This Row],[Crit D subs]]</f>
        <v>1.2</v>
      </c>
      <c r="AN1057" s="15">
        <v>0.2</v>
      </c>
      <c r="AO1057" s="15">
        <v>1</v>
      </c>
      <c r="AP1057" s="15">
        <v>0.9</v>
      </c>
      <c r="AQ1057" s="189">
        <f t="shared" si="146"/>
        <v>6650</v>
      </c>
      <c r="AR1057" s="189">
        <f t="shared" si="147"/>
        <v>6699</v>
      </c>
      <c r="AS1057" s="189">
        <f t="shared" si="143"/>
        <v>5775</v>
      </c>
      <c r="AT1057" s="189">
        <f t="shared" si="144"/>
        <v>11550</v>
      </c>
      <c r="AU1057" s="50">
        <f t="shared" si="145"/>
        <v>13398</v>
      </c>
    </row>
    <row r="1058" spans="36:47">
      <c r="AJ1058" s="50">
        <v>3</v>
      </c>
      <c r="AK1058" s="50">
        <v>0</v>
      </c>
      <c r="AL1058" s="50">
        <v>0</v>
      </c>
      <c r="AM1058" s="15">
        <f>Tabela21[[#This Row],[Att subs]]+Tabela21[[#This Row],[Crit D subs]]</f>
        <v>1.2</v>
      </c>
      <c r="AN1058" s="15">
        <v>0.2</v>
      </c>
      <c r="AO1058" s="15">
        <v>1</v>
      </c>
      <c r="AP1058" s="15">
        <v>1</v>
      </c>
      <c r="AQ1058" s="189">
        <f t="shared" si="146"/>
        <v>6650</v>
      </c>
      <c r="AR1058" s="189">
        <f t="shared" si="147"/>
        <v>6699</v>
      </c>
      <c r="AS1058" s="189">
        <f t="shared" si="143"/>
        <v>5775</v>
      </c>
      <c r="AT1058" s="189">
        <f t="shared" si="144"/>
        <v>11550</v>
      </c>
      <c r="AU1058" s="50">
        <f t="shared" si="145"/>
        <v>13398</v>
      </c>
    </row>
    <row r="1059" spans="36:47">
      <c r="AJ1059" s="50">
        <v>2</v>
      </c>
      <c r="AK1059" s="50">
        <v>1</v>
      </c>
      <c r="AL1059" s="50">
        <v>0</v>
      </c>
      <c r="AM1059" s="15">
        <f>Tabela21[[#This Row],[Att subs]]+Tabela21[[#This Row],[Crit D subs]]</f>
        <v>1.4</v>
      </c>
      <c r="AN1059" s="15">
        <v>0.4</v>
      </c>
      <c r="AO1059" s="15">
        <v>1</v>
      </c>
      <c r="AP1059" s="15">
        <v>0</v>
      </c>
      <c r="AQ1059" s="189">
        <f t="shared" si="146"/>
        <v>3814.4309999999996</v>
      </c>
      <c r="AR1059" s="189">
        <f t="shared" si="147"/>
        <v>3509.386</v>
      </c>
      <c r="AS1059" s="189">
        <f t="shared" si="143"/>
        <v>4290.0579999999991</v>
      </c>
      <c r="AT1059" s="189">
        <f t="shared" si="144"/>
        <v>7531.5160000000005</v>
      </c>
      <c r="AU1059" s="50">
        <f t="shared" si="145"/>
        <v>5456.5720000000001</v>
      </c>
    </row>
    <row r="1060" spans="36:47">
      <c r="AJ1060" s="50">
        <v>2</v>
      </c>
      <c r="AK1060" s="50">
        <v>1</v>
      </c>
      <c r="AL1060" s="50">
        <v>0</v>
      </c>
      <c r="AM1060" s="15">
        <f>Tabela21[[#This Row],[Att subs]]+Tabela21[[#This Row],[Crit D subs]]</f>
        <v>1.4</v>
      </c>
      <c r="AN1060" s="15">
        <v>0.4</v>
      </c>
      <c r="AO1060" s="15">
        <v>1</v>
      </c>
      <c r="AP1060" s="15">
        <v>0.1</v>
      </c>
      <c r="AQ1060" s="189">
        <f t="shared" si="146"/>
        <v>4304.9609999999993</v>
      </c>
      <c r="AR1060" s="189">
        <f t="shared" si="147"/>
        <v>4016.5659999999998</v>
      </c>
      <c r="AS1060" s="189">
        <f t="shared" si="143"/>
        <v>4711.6379999999999</v>
      </c>
      <c r="AT1060" s="189">
        <f t="shared" si="144"/>
        <v>8588.6759999999995</v>
      </c>
      <c r="AU1060" s="50">
        <f t="shared" si="145"/>
        <v>6684.9319999999989</v>
      </c>
    </row>
    <row r="1061" spans="36:47">
      <c r="AJ1061" s="50">
        <v>2</v>
      </c>
      <c r="AK1061" s="50">
        <v>1</v>
      </c>
      <c r="AL1061" s="50">
        <v>0</v>
      </c>
      <c r="AM1061" s="15">
        <f>Tabela21[[#This Row],[Att subs]]+Tabela21[[#This Row],[Crit D subs]]</f>
        <v>1.4</v>
      </c>
      <c r="AN1061" s="15">
        <v>0.4</v>
      </c>
      <c r="AO1061" s="15">
        <v>1</v>
      </c>
      <c r="AP1061" s="15">
        <v>0.2</v>
      </c>
      <c r="AQ1061" s="189">
        <f t="shared" si="146"/>
        <v>4795.4909999999991</v>
      </c>
      <c r="AR1061" s="189">
        <f t="shared" si="147"/>
        <v>4523.7459999999992</v>
      </c>
      <c r="AS1061" s="189">
        <f t="shared" si="143"/>
        <v>5133.2179999999998</v>
      </c>
      <c r="AT1061" s="189">
        <f t="shared" si="144"/>
        <v>9645.8359999999993</v>
      </c>
      <c r="AU1061" s="50">
        <f t="shared" si="145"/>
        <v>7913.2919999999976</v>
      </c>
    </row>
    <row r="1062" spans="36:47">
      <c r="AJ1062" s="50">
        <v>2</v>
      </c>
      <c r="AK1062" s="50">
        <v>1</v>
      </c>
      <c r="AL1062" s="50">
        <v>0</v>
      </c>
      <c r="AM1062" s="15">
        <f>Tabela21[[#This Row],[Att subs]]+Tabela21[[#This Row],[Crit D subs]]</f>
        <v>1.4</v>
      </c>
      <c r="AN1062" s="15">
        <v>0.4</v>
      </c>
      <c r="AO1062" s="15">
        <v>1</v>
      </c>
      <c r="AP1062" s="15">
        <v>0.3</v>
      </c>
      <c r="AQ1062" s="189">
        <f t="shared" si="146"/>
        <v>5286.0209999999988</v>
      </c>
      <c r="AR1062" s="189">
        <f t="shared" si="147"/>
        <v>5030.9259999999995</v>
      </c>
      <c r="AS1062" s="189">
        <f t="shared" si="143"/>
        <v>5554.7979999999989</v>
      </c>
      <c r="AT1062" s="189">
        <f t="shared" si="144"/>
        <v>10702.995999999999</v>
      </c>
      <c r="AU1062" s="50">
        <f t="shared" si="145"/>
        <v>9141.6519999999982</v>
      </c>
    </row>
    <row r="1063" spans="36:47">
      <c r="AJ1063" s="50">
        <v>2</v>
      </c>
      <c r="AK1063" s="50">
        <v>1</v>
      </c>
      <c r="AL1063" s="50">
        <v>0</v>
      </c>
      <c r="AM1063" s="15">
        <f>Tabela21[[#This Row],[Att subs]]+Tabela21[[#This Row],[Crit D subs]]</f>
        <v>1.4</v>
      </c>
      <c r="AN1063" s="15">
        <v>0.4</v>
      </c>
      <c r="AO1063" s="15">
        <v>1</v>
      </c>
      <c r="AP1063" s="15">
        <v>0.4</v>
      </c>
      <c r="AQ1063" s="189">
        <f t="shared" si="146"/>
        <v>5776.5510000000004</v>
      </c>
      <c r="AR1063" s="189">
        <f t="shared" si="147"/>
        <v>5538.1059999999998</v>
      </c>
      <c r="AS1063" s="189">
        <f t="shared" si="143"/>
        <v>5976.3779999999988</v>
      </c>
      <c r="AT1063" s="189">
        <f t="shared" si="144"/>
        <v>11760.155999999999</v>
      </c>
      <c r="AU1063" s="50">
        <f t="shared" si="145"/>
        <v>10370.011999999999</v>
      </c>
    </row>
    <row r="1064" spans="36:47">
      <c r="AJ1064" s="50">
        <v>2</v>
      </c>
      <c r="AK1064" s="50">
        <v>1</v>
      </c>
      <c r="AL1064" s="50">
        <v>0</v>
      </c>
      <c r="AM1064" s="15">
        <f>Tabela21[[#This Row],[Att subs]]+Tabela21[[#This Row],[Crit D subs]]</f>
        <v>1.4</v>
      </c>
      <c r="AN1064" s="15">
        <v>0.4</v>
      </c>
      <c r="AO1064" s="15">
        <v>1</v>
      </c>
      <c r="AP1064" s="15">
        <v>0.5</v>
      </c>
      <c r="AQ1064" s="189">
        <f t="shared" si="146"/>
        <v>6267.0809999999992</v>
      </c>
      <c r="AR1064" s="189">
        <f t="shared" si="147"/>
        <v>6045.2860000000001</v>
      </c>
      <c r="AS1064" s="189">
        <f t="shared" si="143"/>
        <v>6355.7999999999993</v>
      </c>
      <c r="AT1064" s="189">
        <f t="shared" si="144"/>
        <v>12711.599999999999</v>
      </c>
      <c r="AU1064" s="50">
        <f t="shared" si="145"/>
        <v>11598.372000000001</v>
      </c>
    </row>
    <row r="1065" spans="36:47">
      <c r="AJ1065" s="50">
        <v>2</v>
      </c>
      <c r="AK1065" s="50">
        <v>1</v>
      </c>
      <c r="AL1065" s="50">
        <v>0</v>
      </c>
      <c r="AM1065" s="15">
        <f>Tabela21[[#This Row],[Att subs]]+Tabela21[[#This Row],[Crit D subs]]</f>
        <v>1.4</v>
      </c>
      <c r="AN1065" s="15">
        <v>0.4</v>
      </c>
      <c r="AO1065" s="15">
        <v>1</v>
      </c>
      <c r="AP1065" s="15">
        <v>0.6</v>
      </c>
      <c r="AQ1065" s="189">
        <f t="shared" si="146"/>
        <v>6757.610999999999</v>
      </c>
      <c r="AR1065" s="189">
        <f t="shared" si="147"/>
        <v>6552.4659999999994</v>
      </c>
      <c r="AS1065" s="189">
        <f t="shared" si="143"/>
        <v>6355.7999999999993</v>
      </c>
      <c r="AT1065" s="189">
        <f t="shared" si="144"/>
        <v>12711.599999999999</v>
      </c>
      <c r="AU1065" s="50">
        <f t="shared" si="145"/>
        <v>12826.731999999998</v>
      </c>
    </row>
    <row r="1066" spans="36:47">
      <c r="AJ1066" s="50">
        <v>2</v>
      </c>
      <c r="AK1066" s="50">
        <v>1</v>
      </c>
      <c r="AL1066" s="50">
        <v>0</v>
      </c>
      <c r="AM1066" s="15">
        <f>Tabela21[[#This Row],[Att subs]]+Tabela21[[#This Row],[Crit D subs]]</f>
        <v>1.4</v>
      </c>
      <c r="AN1066" s="15">
        <v>0.4</v>
      </c>
      <c r="AO1066" s="15">
        <v>1</v>
      </c>
      <c r="AP1066" s="15">
        <v>0.7</v>
      </c>
      <c r="AQ1066" s="189">
        <f t="shared" si="146"/>
        <v>7248.1409999999996</v>
      </c>
      <c r="AR1066" s="189">
        <f t="shared" si="147"/>
        <v>7059.6459999999997</v>
      </c>
      <c r="AS1066" s="189">
        <f t="shared" si="143"/>
        <v>6355.7999999999993</v>
      </c>
      <c r="AT1066" s="189">
        <f t="shared" si="144"/>
        <v>12711.599999999999</v>
      </c>
      <c r="AU1066" s="50">
        <f t="shared" si="145"/>
        <v>14055.091999999999</v>
      </c>
    </row>
    <row r="1067" spans="36:47">
      <c r="AJ1067" s="50">
        <v>2</v>
      </c>
      <c r="AK1067" s="50">
        <v>1</v>
      </c>
      <c r="AL1067" s="50">
        <v>0</v>
      </c>
      <c r="AM1067" s="15">
        <f>Tabela21[[#This Row],[Att subs]]+Tabela21[[#This Row],[Crit D subs]]</f>
        <v>1.4</v>
      </c>
      <c r="AN1067" s="15">
        <v>0.4</v>
      </c>
      <c r="AO1067" s="15">
        <v>1</v>
      </c>
      <c r="AP1067" s="15">
        <v>0.8</v>
      </c>
      <c r="AQ1067" s="189">
        <f t="shared" si="146"/>
        <v>7395.2999999999993</v>
      </c>
      <c r="AR1067" s="189">
        <f t="shared" si="147"/>
        <v>7211.7999999999993</v>
      </c>
      <c r="AS1067" s="189">
        <f t="shared" si="143"/>
        <v>6355.7999999999993</v>
      </c>
      <c r="AT1067" s="189">
        <f t="shared" si="144"/>
        <v>12711.599999999999</v>
      </c>
      <c r="AU1067" s="50">
        <f t="shared" si="145"/>
        <v>14423.599999999999</v>
      </c>
    </row>
    <row r="1068" spans="36:47">
      <c r="AJ1068" s="50">
        <v>2</v>
      </c>
      <c r="AK1068" s="50">
        <v>1</v>
      </c>
      <c r="AL1068" s="50">
        <v>0</v>
      </c>
      <c r="AM1068" s="15">
        <f>Tabela21[[#This Row],[Att subs]]+Tabela21[[#This Row],[Crit D subs]]</f>
        <v>1.4</v>
      </c>
      <c r="AN1068" s="15">
        <v>0.4</v>
      </c>
      <c r="AO1068" s="15">
        <v>1</v>
      </c>
      <c r="AP1068" s="15">
        <v>0.9</v>
      </c>
      <c r="AQ1068" s="189">
        <f t="shared" si="146"/>
        <v>7395.2999999999993</v>
      </c>
      <c r="AR1068" s="189">
        <f t="shared" si="147"/>
        <v>7211.7999999999993</v>
      </c>
      <c r="AS1068" s="189">
        <f t="shared" si="143"/>
        <v>6355.7999999999993</v>
      </c>
      <c r="AT1068" s="189">
        <f t="shared" si="144"/>
        <v>12711.599999999999</v>
      </c>
      <c r="AU1068" s="50">
        <f t="shared" si="145"/>
        <v>14423.599999999999</v>
      </c>
    </row>
    <row r="1069" spans="36:47">
      <c r="AJ1069" s="50">
        <v>2</v>
      </c>
      <c r="AK1069" s="50">
        <v>1</v>
      </c>
      <c r="AL1069" s="50">
        <v>0</v>
      </c>
      <c r="AM1069" s="15">
        <f>Tabela21[[#This Row],[Att subs]]+Tabela21[[#This Row],[Crit D subs]]</f>
        <v>1.4</v>
      </c>
      <c r="AN1069" s="15">
        <v>0.4</v>
      </c>
      <c r="AO1069" s="15">
        <v>1</v>
      </c>
      <c r="AP1069" s="15">
        <v>1</v>
      </c>
      <c r="AQ1069" s="189">
        <f t="shared" si="146"/>
        <v>7395.2999999999993</v>
      </c>
      <c r="AR1069" s="189">
        <f t="shared" si="147"/>
        <v>7211.7999999999993</v>
      </c>
      <c r="AS1069" s="189">
        <f t="shared" si="143"/>
        <v>6355.7999999999993</v>
      </c>
      <c r="AT1069" s="189">
        <f t="shared" si="144"/>
        <v>12711.599999999999</v>
      </c>
      <c r="AU1069" s="50">
        <f t="shared" si="145"/>
        <v>14423.599999999999</v>
      </c>
    </row>
    <row r="1070" spans="36:47">
      <c r="AJ1070" s="50">
        <v>2</v>
      </c>
      <c r="AK1070" s="50">
        <v>0</v>
      </c>
      <c r="AL1070" s="50">
        <v>1</v>
      </c>
      <c r="AM1070" s="15">
        <f>Tabela21[[#This Row],[Att subs]]+Tabela21[[#This Row],[Crit D subs]]</f>
        <v>1.4</v>
      </c>
      <c r="AN1070" s="15">
        <v>0.4</v>
      </c>
      <c r="AO1070" s="15">
        <v>1</v>
      </c>
      <c r="AP1070" s="15">
        <v>0</v>
      </c>
      <c r="AQ1070" s="189">
        <f t="shared" si="146"/>
        <v>4805.7000000000007</v>
      </c>
      <c r="AR1070" s="189">
        <f t="shared" si="147"/>
        <v>4660.92</v>
      </c>
      <c r="AS1070" s="189">
        <f t="shared" si="143"/>
        <v>4900.6000000000004</v>
      </c>
      <c r="AT1070" s="189">
        <f t="shared" si="144"/>
        <v>9501.5999999999985</v>
      </c>
      <c r="AU1070" s="50">
        <f t="shared" si="145"/>
        <v>8508.64</v>
      </c>
    </row>
    <row r="1071" spans="36:47">
      <c r="AJ1071" s="50">
        <v>2</v>
      </c>
      <c r="AK1071" s="50">
        <v>0</v>
      </c>
      <c r="AL1071" s="50">
        <v>1</v>
      </c>
      <c r="AM1071" s="15">
        <f>Tabela21[[#This Row],[Att subs]]+Tabela21[[#This Row],[Crit D subs]]</f>
        <v>1.4</v>
      </c>
      <c r="AN1071" s="15">
        <v>0.4</v>
      </c>
      <c r="AO1071" s="15">
        <v>1</v>
      </c>
      <c r="AP1071" s="15">
        <v>0.1</v>
      </c>
      <c r="AQ1071" s="189">
        <f t="shared" si="146"/>
        <v>5179.2</v>
      </c>
      <c r="AR1071" s="189">
        <f t="shared" si="147"/>
        <v>5067.5200000000004</v>
      </c>
      <c r="AS1071" s="189">
        <f t="shared" si="143"/>
        <v>5221.5999999999995</v>
      </c>
      <c r="AT1071" s="189">
        <f t="shared" si="144"/>
        <v>10357.6</v>
      </c>
      <c r="AU1071" s="50">
        <f t="shared" si="145"/>
        <v>9535.84</v>
      </c>
    </row>
    <row r="1072" spans="36:47">
      <c r="AJ1072" s="50">
        <v>2</v>
      </c>
      <c r="AK1072" s="50">
        <v>0</v>
      </c>
      <c r="AL1072" s="50">
        <v>1</v>
      </c>
      <c r="AM1072" s="15">
        <f>Tabela21[[#This Row],[Att subs]]+Tabela21[[#This Row],[Crit D subs]]</f>
        <v>1.4</v>
      </c>
      <c r="AN1072" s="15">
        <v>0.4</v>
      </c>
      <c r="AO1072" s="15">
        <v>1</v>
      </c>
      <c r="AP1072" s="15">
        <v>0.2</v>
      </c>
      <c r="AQ1072" s="189">
        <f t="shared" si="146"/>
        <v>5552.7</v>
      </c>
      <c r="AR1072" s="189">
        <f t="shared" si="147"/>
        <v>5474.12</v>
      </c>
      <c r="AS1072" s="189">
        <f t="shared" si="143"/>
        <v>5350</v>
      </c>
      <c r="AT1072" s="189">
        <f t="shared" si="144"/>
        <v>10700</v>
      </c>
      <c r="AU1072" s="50">
        <f t="shared" si="145"/>
        <v>10563.039999999997</v>
      </c>
    </row>
    <row r="1073" spans="36:47">
      <c r="AJ1073" s="50">
        <v>2</v>
      </c>
      <c r="AK1073" s="50">
        <v>0</v>
      </c>
      <c r="AL1073" s="50">
        <v>1</v>
      </c>
      <c r="AM1073" s="15">
        <f>Tabela21[[#This Row],[Att subs]]+Tabela21[[#This Row],[Crit D subs]]</f>
        <v>1.4</v>
      </c>
      <c r="AN1073" s="15">
        <v>0.4</v>
      </c>
      <c r="AO1073" s="15">
        <v>1</v>
      </c>
      <c r="AP1073" s="15">
        <v>0.3</v>
      </c>
      <c r="AQ1073" s="189">
        <f t="shared" si="146"/>
        <v>5926.2000000000007</v>
      </c>
      <c r="AR1073" s="189">
        <f t="shared" si="147"/>
        <v>5880.72</v>
      </c>
      <c r="AS1073" s="189">
        <f t="shared" si="143"/>
        <v>5350</v>
      </c>
      <c r="AT1073" s="189">
        <f t="shared" si="144"/>
        <v>10700</v>
      </c>
      <c r="AU1073" s="50">
        <f t="shared" si="145"/>
        <v>11590.240000000002</v>
      </c>
    </row>
    <row r="1074" spans="36:47">
      <c r="AJ1074" s="50">
        <v>2</v>
      </c>
      <c r="AK1074" s="50">
        <v>0</v>
      </c>
      <c r="AL1074" s="50">
        <v>1</v>
      </c>
      <c r="AM1074" s="15">
        <f>Tabela21[[#This Row],[Att subs]]+Tabela21[[#This Row],[Crit D subs]]</f>
        <v>1.4</v>
      </c>
      <c r="AN1074" s="15">
        <v>0.4</v>
      </c>
      <c r="AO1074" s="15">
        <v>1</v>
      </c>
      <c r="AP1074" s="15">
        <v>0.4</v>
      </c>
      <c r="AQ1074" s="189">
        <f t="shared" si="146"/>
        <v>6225</v>
      </c>
      <c r="AR1074" s="189">
        <f t="shared" si="147"/>
        <v>6206</v>
      </c>
      <c r="AS1074" s="189">
        <f t="shared" si="143"/>
        <v>5350</v>
      </c>
      <c r="AT1074" s="189">
        <f t="shared" si="144"/>
        <v>10700</v>
      </c>
      <c r="AU1074" s="50">
        <f t="shared" si="145"/>
        <v>12412</v>
      </c>
    </row>
    <row r="1075" spans="36:47">
      <c r="AJ1075" s="50">
        <v>2</v>
      </c>
      <c r="AK1075" s="50">
        <v>0</v>
      </c>
      <c r="AL1075" s="50">
        <v>1</v>
      </c>
      <c r="AM1075" s="15">
        <f>Tabela21[[#This Row],[Att subs]]+Tabela21[[#This Row],[Crit D subs]]</f>
        <v>1.4</v>
      </c>
      <c r="AN1075" s="15">
        <v>0.4</v>
      </c>
      <c r="AO1075" s="15">
        <v>1</v>
      </c>
      <c r="AP1075" s="15">
        <v>0.5</v>
      </c>
      <c r="AQ1075" s="189">
        <f t="shared" si="146"/>
        <v>6225</v>
      </c>
      <c r="AR1075" s="189">
        <f t="shared" si="147"/>
        <v>6206</v>
      </c>
      <c r="AS1075" s="189">
        <f t="shared" si="143"/>
        <v>5350</v>
      </c>
      <c r="AT1075" s="189">
        <f t="shared" si="144"/>
        <v>10700</v>
      </c>
      <c r="AU1075" s="50">
        <f t="shared" si="145"/>
        <v>12412</v>
      </c>
    </row>
    <row r="1076" spans="36:47">
      <c r="AJ1076" s="50">
        <v>2</v>
      </c>
      <c r="AK1076" s="50">
        <v>0</v>
      </c>
      <c r="AL1076" s="50">
        <v>1</v>
      </c>
      <c r="AM1076" s="15">
        <f>Tabela21[[#This Row],[Att subs]]+Tabela21[[#This Row],[Crit D subs]]</f>
        <v>1.4</v>
      </c>
      <c r="AN1076" s="15">
        <v>0.4</v>
      </c>
      <c r="AO1076" s="15">
        <v>1</v>
      </c>
      <c r="AP1076" s="15">
        <v>0.6</v>
      </c>
      <c r="AQ1076" s="189">
        <f t="shared" si="146"/>
        <v>6225</v>
      </c>
      <c r="AR1076" s="189">
        <f t="shared" si="147"/>
        <v>6206</v>
      </c>
      <c r="AS1076" s="189">
        <f t="shared" si="143"/>
        <v>5350</v>
      </c>
      <c r="AT1076" s="189">
        <f t="shared" si="144"/>
        <v>10700</v>
      </c>
      <c r="AU1076" s="50">
        <f t="shared" si="145"/>
        <v>12412</v>
      </c>
    </row>
    <row r="1077" spans="36:47">
      <c r="AJ1077" s="50">
        <v>2</v>
      </c>
      <c r="AK1077" s="50">
        <v>0</v>
      </c>
      <c r="AL1077" s="50">
        <v>1</v>
      </c>
      <c r="AM1077" s="15">
        <f>Tabela21[[#This Row],[Att subs]]+Tabela21[[#This Row],[Crit D subs]]</f>
        <v>1.4</v>
      </c>
      <c r="AN1077" s="15">
        <v>0.4</v>
      </c>
      <c r="AO1077" s="15">
        <v>1</v>
      </c>
      <c r="AP1077" s="15">
        <v>0.7</v>
      </c>
      <c r="AQ1077" s="189">
        <f t="shared" si="146"/>
        <v>6225</v>
      </c>
      <c r="AR1077" s="189">
        <f t="shared" si="147"/>
        <v>6206</v>
      </c>
      <c r="AS1077" s="189">
        <f t="shared" si="143"/>
        <v>5350</v>
      </c>
      <c r="AT1077" s="189">
        <f t="shared" si="144"/>
        <v>10700</v>
      </c>
      <c r="AU1077" s="50">
        <f t="shared" si="145"/>
        <v>12412</v>
      </c>
    </row>
    <row r="1078" spans="36:47">
      <c r="AJ1078" s="50">
        <v>2</v>
      </c>
      <c r="AK1078" s="50">
        <v>0</v>
      </c>
      <c r="AL1078" s="50">
        <v>1</v>
      </c>
      <c r="AM1078" s="15">
        <f>Tabela21[[#This Row],[Att subs]]+Tabela21[[#This Row],[Crit D subs]]</f>
        <v>1.4</v>
      </c>
      <c r="AN1078" s="15">
        <v>0.4</v>
      </c>
      <c r="AO1078" s="15">
        <v>1</v>
      </c>
      <c r="AP1078" s="15">
        <v>0.8</v>
      </c>
      <c r="AQ1078" s="189">
        <f t="shared" si="146"/>
        <v>6225</v>
      </c>
      <c r="AR1078" s="189">
        <f t="shared" si="147"/>
        <v>6206</v>
      </c>
      <c r="AS1078" s="189">
        <f t="shared" si="143"/>
        <v>5350</v>
      </c>
      <c r="AT1078" s="189">
        <f t="shared" si="144"/>
        <v>10700</v>
      </c>
      <c r="AU1078" s="50">
        <f t="shared" si="145"/>
        <v>12412</v>
      </c>
    </row>
    <row r="1079" spans="36:47">
      <c r="AJ1079" s="50">
        <v>2</v>
      </c>
      <c r="AK1079" s="50">
        <v>0</v>
      </c>
      <c r="AL1079" s="50">
        <v>1</v>
      </c>
      <c r="AM1079" s="15">
        <f>Tabela21[[#This Row],[Att subs]]+Tabela21[[#This Row],[Crit D subs]]</f>
        <v>1.4</v>
      </c>
      <c r="AN1079" s="15">
        <v>0.4</v>
      </c>
      <c r="AO1079" s="15">
        <v>1</v>
      </c>
      <c r="AP1079" s="15">
        <v>0.9</v>
      </c>
      <c r="AQ1079" s="189">
        <f t="shared" si="146"/>
        <v>6225</v>
      </c>
      <c r="AR1079" s="189">
        <f t="shared" si="147"/>
        <v>6206</v>
      </c>
      <c r="AS1079" s="189">
        <f t="shared" si="143"/>
        <v>5350</v>
      </c>
      <c r="AT1079" s="189">
        <f t="shared" si="144"/>
        <v>10700</v>
      </c>
      <c r="AU1079" s="50">
        <f t="shared" si="145"/>
        <v>12412</v>
      </c>
    </row>
    <row r="1080" spans="36:47">
      <c r="AJ1080" s="50">
        <v>2</v>
      </c>
      <c r="AK1080" s="50">
        <v>0</v>
      </c>
      <c r="AL1080" s="50">
        <v>1</v>
      </c>
      <c r="AM1080" s="15">
        <f>Tabela21[[#This Row],[Att subs]]+Tabela21[[#This Row],[Crit D subs]]</f>
        <v>1.4</v>
      </c>
      <c r="AN1080" s="15">
        <v>0.4</v>
      </c>
      <c r="AO1080" s="15">
        <v>1</v>
      </c>
      <c r="AP1080" s="15">
        <v>1</v>
      </c>
      <c r="AQ1080" s="189">
        <f t="shared" si="146"/>
        <v>6225</v>
      </c>
      <c r="AR1080" s="189">
        <f t="shared" si="147"/>
        <v>6206</v>
      </c>
      <c r="AS1080" s="189">
        <f t="shared" si="143"/>
        <v>5350</v>
      </c>
      <c r="AT1080" s="189">
        <f t="shared" si="144"/>
        <v>10700</v>
      </c>
      <c r="AU1080" s="50">
        <f t="shared" si="145"/>
        <v>12412</v>
      </c>
    </row>
    <row r="1081" spans="36:47">
      <c r="AJ1081" s="50">
        <v>3</v>
      </c>
      <c r="AK1081" s="50">
        <v>0</v>
      </c>
      <c r="AL1081" s="50">
        <v>0</v>
      </c>
      <c r="AM1081" s="15">
        <f>Tabela21[[#This Row],[Att subs]]+Tabela21[[#This Row],[Crit D subs]]</f>
        <v>1.4</v>
      </c>
      <c r="AN1081" s="15">
        <v>0.4</v>
      </c>
      <c r="AO1081" s="15">
        <v>1</v>
      </c>
      <c r="AP1081" s="15">
        <v>0</v>
      </c>
      <c r="AQ1081" s="189">
        <f t="shared" si="146"/>
        <v>4018.3</v>
      </c>
      <c r="AR1081" s="189">
        <f t="shared" si="147"/>
        <v>3797.6299999999997</v>
      </c>
      <c r="AS1081" s="189">
        <f t="shared" si="143"/>
        <v>4430.1499999999996</v>
      </c>
      <c r="AT1081" s="189">
        <f t="shared" si="144"/>
        <v>7630.4</v>
      </c>
      <c r="AU1081" s="50">
        <f t="shared" si="145"/>
        <v>5762.9600000000009</v>
      </c>
    </row>
    <row r="1082" spans="36:47">
      <c r="AJ1082" s="50">
        <v>3</v>
      </c>
      <c r="AK1082" s="50">
        <v>0</v>
      </c>
      <c r="AL1082" s="50">
        <v>0</v>
      </c>
      <c r="AM1082" s="15">
        <f>Tabela21[[#This Row],[Att subs]]+Tabela21[[#This Row],[Crit D subs]]</f>
        <v>1.4</v>
      </c>
      <c r="AN1082" s="15">
        <v>0.4</v>
      </c>
      <c r="AO1082" s="15">
        <v>1</v>
      </c>
      <c r="AP1082" s="15">
        <v>0.1</v>
      </c>
      <c r="AQ1082" s="189">
        <f t="shared" si="146"/>
        <v>4447.3</v>
      </c>
      <c r="AR1082" s="189">
        <f t="shared" si="147"/>
        <v>4274.53</v>
      </c>
      <c r="AS1082" s="189">
        <f t="shared" si="143"/>
        <v>4806.6499999999996</v>
      </c>
      <c r="AT1082" s="189">
        <f t="shared" si="144"/>
        <v>8634.4</v>
      </c>
      <c r="AU1082" s="50">
        <f t="shared" si="145"/>
        <v>6967.7599999999993</v>
      </c>
    </row>
    <row r="1083" spans="36:47">
      <c r="AJ1083" s="50">
        <v>3</v>
      </c>
      <c r="AK1083" s="50">
        <v>0</v>
      </c>
      <c r="AL1083" s="50">
        <v>0</v>
      </c>
      <c r="AM1083" s="15">
        <f>Tabela21[[#This Row],[Att subs]]+Tabela21[[#This Row],[Crit D subs]]</f>
        <v>1.4</v>
      </c>
      <c r="AN1083" s="15">
        <v>0.4</v>
      </c>
      <c r="AO1083" s="15">
        <v>1</v>
      </c>
      <c r="AP1083" s="15">
        <v>0.2</v>
      </c>
      <c r="AQ1083" s="189">
        <f t="shared" si="146"/>
        <v>4876.2999999999993</v>
      </c>
      <c r="AR1083" s="189">
        <f t="shared" si="147"/>
        <v>4751.4299999999994</v>
      </c>
      <c r="AS1083" s="189">
        <f t="shared" si="143"/>
        <v>5183.1499999999996</v>
      </c>
      <c r="AT1083" s="189">
        <f t="shared" si="144"/>
        <v>9638.4</v>
      </c>
      <c r="AU1083" s="50">
        <f t="shared" si="145"/>
        <v>8172.5599999999995</v>
      </c>
    </row>
    <row r="1084" spans="36:47">
      <c r="AJ1084" s="50">
        <v>3</v>
      </c>
      <c r="AK1084" s="50">
        <v>0</v>
      </c>
      <c r="AL1084" s="50">
        <v>0</v>
      </c>
      <c r="AM1084" s="15">
        <f>Tabela21[[#This Row],[Att subs]]+Tabela21[[#This Row],[Crit D subs]]</f>
        <v>1.4</v>
      </c>
      <c r="AN1084" s="15">
        <v>0.4</v>
      </c>
      <c r="AO1084" s="15">
        <v>1</v>
      </c>
      <c r="AP1084" s="15">
        <v>0.3</v>
      </c>
      <c r="AQ1084" s="189">
        <f t="shared" si="146"/>
        <v>5305.3</v>
      </c>
      <c r="AR1084" s="189">
        <f t="shared" si="147"/>
        <v>5228.329999999999</v>
      </c>
      <c r="AS1084" s="189">
        <f t="shared" si="143"/>
        <v>5559.65</v>
      </c>
      <c r="AT1084" s="189">
        <f t="shared" si="144"/>
        <v>10642.4</v>
      </c>
      <c r="AU1084" s="50">
        <f t="shared" si="145"/>
        <v>9377.3599999999988</v>
      </c>
    </row>
    <row r="1085" spans="36:47">
      <c r="AJ1085" s="50">
        <v>3</v>
      </c>
      <c r="AK1085" s="50">
        <v>0</v>
      </c>
      <c r="AL1085" s="50">
        <v>0</v>
      </c>
      <c r="AM1085" s="15">
        <f>Tabela21[[#This Row],[Att subs]]+Tabela21[[#This Row],[Crit D subs]]</f>
        <v>1.4</v>
      </c>
      <c r="AN1085" s="15">
        <v>0.4</v>
      </c>
      <c r="AO1085" s="15">
        <v>1</v>
      </c>
      <c r="AP1085" s="15">
        <v>0.4</v>
      </c>
      <c r="AQ1085" s="189">
        <f t="shared" si="146"/>
        <v>5734.2999999999993</v>
      </c>
      <c r="AR1085" s="189">
        <f t="shared" si="147"/>
        <v>5705.2300000000005</v>
      </c>
      <c r="AS1085" s="189">
        <f t="shared" si="143"/>
        <v>5936.15</v>
      </c>
      <c r="AT1085" s="189">
        <f t="shared" si="144"/>
        <v>11646.4</v>
      </c>
      <c r="AU1085" s="50">
        <f t="shared" si="145"/>
        <v>10582.16</v>
      </c>
    </row>
    <row r="1086" spans="36:47">
      <c r="AJ1086" s="50">
        <v>3</v>
      </c>
      <c r="AK1086" s="50">
        <v>0</v>
      </c>
      <c r="AL1086" s="50">
        <v>0</v>
      </c>
      <c r="AM1086" s="15">
        <f>Tabela21[[#This Row],[Att subs]]+Tabela21[[#This Row],[Crit D subs]]</f>
        <v>1.4</v>
      </c>
      <c r="AN1086" s="15">
        <v>0.4</v>
      </c>
      <c r="AO1086" s="15">
        <v>1</v>
      </c>
      <c r="AP1086" s="15">
        <v>0.5</v>
      </c>
      <c r="AQ1086" s="189">
        <f t="shared" si="146"/>
        <v>6163.3000000000011</v>
      </c>
      <c r="AR1086" s="189">
        <f t="shared" si="147"/>
        <v>6182.13</v>
      </c>
      <c r="AS1086" s="189">
        <f t="shared" si="143"/>
        <v>6275</v>
      </c>
      <c r="AT1086" s="189">
        <f t="shared" si="144"/>
        <v>12550</v>
      </c>
      <c r="AU1086" s="50">
        <f t="shared" si="145"/>
        <v>11786.96</v>
      </c>
    </row>
    <row r="1087" spans="36:47">
      <c r="AJ1087" s="50">
        <v>3</v>
      </c>
      <c r="AK1087" s="50">
        <v>0</v>
      </c>
      <c r="AL1087" s="50">
        <v>0</v>
      </c>
      <c r="AM1087" s="15">
        <f>Tabela21[[#This Row],[Att subs]]+Tabela21[[#This Row],[Crit D subs]]</f>
        <v>1.4</v>
      </c>
      <c r="AN1087" s="15">
        <v>0.4</v>
      </c>
      <c r="AO1087" s="15">
        <v>1</v>
      </c>
      <c r="AP1087" s="15">
        <v>0.6</v>
      </c>
      <c r="AQ1087" s="189">
        <f t="shared" si="146"/>
        <v>6592.2999999999993</v>
      </c>
      <c r="AR1087" s="189">
        <f t="shared" si="147"/>
        <v>6659.03</v>
      </c>
      <c r="AS1087" s="189">
        <f t="shared" si="143"/>
        <v>6275</v>
      </c>
      <c r="AT1087" s="189">
        <f t="shared" si="144"/>
        <v>12550</v>
      </c>
      <c r="AU1087" s="50">
        <f t="shared" si="145"/>
        <v>12991.76</v>
      </c>
    </row>
    <row r="1088" spans="36:47">
      <c r="AJ1088" s="50">
        <v>3</v>
      </c>
      <c r="AK1088" s="50">
        <v>0</v>
      </c>
      <c r="AL1088" s="50">
        <v>0</v>
      </c>
      <c r="AM1088" s="15">
        <f>Tabela21[[#This Row],[Att subs]]+Tabela21[[#This Row],[Crit D subs]]</f>
        <v>1.4</v>
      </c>
      <c r="AN1088" s="15">
        <v>0.4</v>
      </c>
      <c r="AO1088" s="15">
        <v>1</v>
      </c>
      <c r="AP1088" s="15">
        <v>0.7</v>
      </c>
      <c r="AQ1088" s="189">
        <f t="shared" si="146"/>
        <v>7021.3</v>
      </c>
      <c r="AR1088" s="189">
        <f t="shared" si="147"/>
        <v>7135.93</v>
      </c>
      <c r="AS1088" s="189">
        <f t="shared" si="143"/>
        <v>6275</v>
      </c>
      <c r="AT1088" s="189">
        <f t="shared" si="144"/>
        <v>12550</v>
      </c>
      <c r="AU1088" s="50">
        <f t="shared" si="145"/>
        <v>14196.56</v>
      </c>
    </row>
    <row r="1089" spans="36:47">
      <c r="AJ1089" s="50">
        <v>3</v>
      </c>
      <c r="AK1089" s="50">
        <v>0</v>
      </c>
      <c r="AL1089" s="50">
        <v>0</v>
      </c>
      <c r="AM1089" s="15">
        <f>Tabela21[[#This Row],[Att subs]]+Tabela21[[#This Row],[Crit D subs]]</f>
        <v>1.4</v>
      </c>
      <c r="AN1089" s="15">
        <v>0.4</v>
      </c>
      <c r="AO1089" s="15">
        <v>1</v>
      </c>
      <c r="AP1089" s="15">
        <v>0.8</v>
      </c>
      <c r="AQ1089" s="189">
        <f t="shared" si="146"/>
        <v>7150</v>
      </c>
      <c r="AR1089" s="189">
        <f t="shared" si="147"/>
        <v>7279</v>
      </c>
      <c r="AS1089" s="189">
        <f t="shared" si="143"/>
        <v>6275</v>
      </c>
      <c r="AT1089" s="189">
        <f t="shared" si="144"/>
        <v>12550</v>
      </c>
      <c r="AU1089" s="50">
        <f t="shared" si="145"/>
        <v>14558</v>
      </c>
    </row>
    <row r="1090" spans="36:47">
      <c r="AJ1090" s="50">
        <v>3</v>
      </c>
      <c r="AK1090" s="50">
        <v>0</v>
      </c>
      <c r="AL1090" s="50">
        <v>0</v>
      </c>
      <c r="AM1090" s="15">
        <f>Tabela21[[#This Row],[Att subs]]+Tabela21[[#This Row],[Crit D subs]]</f>
        <v>1.4</v>
      </c>
      <c r="AN1090" s="15">
        <v>0.4</v>
      </c>
      <c r="AO1090" s="15">
        <v>1</v>
      </c>
      <c r="AP1090" s="15">
        <v>0.9</v>
      </c>
      <c r="AQ1090" s="189">
        <f t="shared" si="146"/>
        <v>7150</v>
      </c>
      <c r="AR1090" s="189">
        <f t="shared" si="147"/>
        <v>7279</v>
      </c>
      <c r="AS1090" s="189">
        <f t="shared" si="143"/>
        <v>6275</v>
      </c>
      <c r="AT1090" s="189">
        <f t="shared" si="144"/>
        <v>12550</v>
      </c>
      <c r="AU1090" s="50">
        <f t="shared" si="145"/>
        <v>14558</v>
      </c>
    </row>
    <row r="1091" spans="36:47">
      <c r="AJ1091" s="50">
        <v>3</v>
      </c>
      <c r="AK1091" s="50">
        <v>0</v>
      </c>
      <c r="AL1091" s="50">
        <v>0</v>
      </c>
      <c r="AM1091" s="15">
        <f>Tabela21[[#This Row],[Att subs]]+Tabela21[[#This Row],[Crit D subs]]</f>
        <v>1.4</v>
      </c>
      <c r="AN1091" s="15">
        <v>0.4</v>
      </c>
      <c r="AO1091" s="15">
        <v>1</v>
      </c>
      <c r="AP1091" s="15">
        <v>1</v>
      </c>
      <c r="AQ1091" s="189">
        <f t="shared" si="146"/>
        <v>7150</v>
      </c>
      <c r="AR1091" s="189">
        <f t="shared" si="147"/>
        <v>7279</v>
      </c>
      <c r="AS1091" s="189">
        <f t="shared" ref="AS1091:AS1154" si="148">$AG$3*(1+$AJ1091*$Y$2+$AN1091)*(MAXA(1-$AI$3-$AL1091*$AA$3-$AP1091-0.36,0)+MINA($AI$3+$AL1091*$AA$3+$AP1091+0.36,1)*(1+$AH$3+$AO1091+$AK1091*$Z$4))</f>
        <v>6275</v>
      </c>
      <c r="AT1091" s="189">
        <f t="shared" ref="AT1091:AT1154" si="149">$AG$3*(1+$AJ1091*$Y$2+$AN1091)*(MAXA(1-$AI$3-$AL1091*$AA$3-$AP1091-0.36,0)+2*MINA($AI$3+$AL1091*$AA$3+$AP1091+0.36,1)*(1+$AH$3+$AO1091+$AK1091*$Z$4))</f>
        <v>12550</v>
      </c>
      <c r="AU1091" s="50">
        <f t="shared" ref="AU1091:AU1154" si="150">$AG$3*(1+$AJ1091*$Y$2+$AN1091)*(MAXA(1-$AI$3-$AL1091*$AA$3-$AP1091-0.12,0)+2*MINA($AI$3+$AL1091*$AA$3+$AP1091+0.12,1)*(1+$AH$3+$AO1091+$AK1091*$Z$4+0.4))</f>
        <v>14558</v>
      </c>
    </row>
    <row r="1092" spans="36:47">
      <c r="AJ1092" s="50">
        <v>2</v>
      </c>
      <c r="AK1092" s="50">
        <v>1</v>
      </c>
      <c r="AL1092" s="50">
        <v>0</v>
      </c>
      <c r="AM1092" s="15">
        <f>Tabela21[[#This Row],[Att subs]]+Tabela21[[#This Row],[Crit D subs]]</f>
        <v>1.6</v>
      </c>
      <c r="AN1092" s="15">
        <v>0.6</v>
      </c>
      <c r="AO1092" s="15">
        <v>1</v>
      </c>
      <c r="AP1092" s="15">
        <v>0</v>
      </c>
      <c r="AQ1092" s="189">
        <f t="shared" ref="AQ1092:AQ1155" si="151">$AG$3*(1+$AJ1092*$Y$2+$AN1092+0.35)*(MAXA(1-$AI$3-$AL1092*$AA$3-$AP1092-0.12,0)+MINA($AI$3+$AL1092*$AA$3+$AP1092+0.12,1)*(1+$AH$3+$AO1092+$AK1092*$Z$4))</f>
        <v>4120.8109999999997</v>
      </c>
      <c r="AR1092" s="189">
        <f t="shared" ref="AR1092:AR1155" si="152">$AG$3*(1+$AJ1092*$Y$2+$AN1092)*(MAXA(1-$AI$3-$AL1092*$AA$3-$AP1092-0.12,0)+MINA($AI$3+$AL1092*$AA$3+$AP1092+0.12,1)*(1+$AH$3+$AO1092+$AK1092*$Z$4+0.4))</f>
        <v>3837.366</v>
      </c>
      <c r="AS1092" s="189">
        <f t="shared" si="148"/>
        <v>4690.9979999999996</v>
      </c>
      <c r="AT1092" s="189">
        <f t="shared" si="149"/>
        <v>8235.3960000000006</v>
      </c>
      <c r="AU1092" s="50">
        <f t="shared" si="150"/>
        <v>5966.5319999999992</v>
      </c>
    </row>
    <row r="1093" spans="36:47">
      <c r="AJ1093" s="50">
        <v>2</v>
      </c>
      <c r="AK1093" s="50">
        <v>1</v>
      </c>
      <c r="AL1093" s="50">
        <v>0</v>
      </c>
      <c r="AM1093" s="15">
        <f>Tabela21[[#This Row],[Att subs]]+Tabela21[[#This Row],[Crit D subs]]</f>
        <v>1.6</v>
      </c>
      <c r="AN1093" s="15">
        <v>0.6</v>
      </c>
      <c r="AO1093" s="15">
        <v>1</v>
      </c>
      <c r="AP1093" s="15">
        <v>0.1</v>
      </c>
      <c r="AQ1093" s="189">
        <f t="shared" si="151"/>
        <v>4650.741</v>
      </c>
      <c r="AR1093" s="189">
        <f t="shared" si="152"/>
        <v>4391.9459999999999</v>
      </c>
      <c r="AS1093" s="189">
        <f t="shared" si="148"/>
        <v>5151.9779999999992</v>
      </c>
      <c r="AT1093" s="189">
        <f t="shared" si="149"/>
        <v>9391.3559999999998</v>
      </c>
      <c r="AU1093" s="50">
        <f t="shared" si="150"/>
        <v>7309.6919999999991</v>
      </c>
    </row>
    <row r="1094" spans="36:47">
      <c r="AJ1094" s="50">
        <v>2</v>
      </c>
      <c r="AK1094" s="50">
        <v>1</v>
      </c>
      <c r="AL1094" s="50">
        <v>0</v>
      </c>
      <c r="AM1094" s="15">
        <f>Tabela21[[#This Row],[Att subs]]+Tabela21[[#This Row],[Crit D subs]]</f>
        <v>1.6</v>
      </c>
      <c r="AN1094" s="15">
        <v>0.6</v>
      </c>
      <c r="AO1094" s="15">
        <v>1</v>
      </c>
      <c r="AP1094" s="15">
        <v>0.2</v>
      </c>
      <c r="AQ1094" s="189">
        <f t="shared" si="151"/>
        <v>5180.6709999999985</v>
      </c>
      <c r="AR1094" s="189">
        <f t="shared" si="152"/>
        <v>4946.5259999999989</v>
      </c>
      <c r="AS1094" s="189">
        <f t="shared" si="148"/>
        <v>5612.9579999999996</v>
      </c>
      <c r="AT1094" s="189">
        <f t="shared" si="149"/>
        <v>10547.315999999999</v>
      </c>
      <c r="AU1094" s="50">
        <f t="shared" si="150"/>
        <v>8652.8519999999971</v>
      </c>
    </row>
    <row r="1095" spans="36:47">
      <c r="AJ1095" s="50">
        <v>2</v>
      </c>
      <c r="AK1095" s="50">
        <v>1</v>
      </c>
      <c r="AL1095" s="50">
        <v>0</v>
      </c>
      <c r="AM1095" s="15">
        <f>Tabela21[[#This Row],[Att subs]]+Tabela21[[#This Row],[Crit D subs]]</f>
        <v>1.6</v>
      </c>
      <c r="AN1095" s="15">
        <v>0.6</v>
      </c>
      <c r="AO1095" s="15">
        <v>1</v>
      </c>
      <c r="AP1095" s="15">
        <v>0.3</v>
      </c>
      <c r="AQ1095" s="189">
        <f t="shared" si="151"/>
        <v>5710.6009999999987</v>
      </c>
      <c r="AR1095" s="189">
        <f t="shared" si="152"/>
        <v>5501.1059999999998</v>
      </c>
      <c r="AS1095" s="189">
        <f t="shared" si="148"/>
        <v>6073.9379999999983</v>
      </c>
      <c r="AT1095" s="189">
        <f t="shared" si="149"/>
        <v>11703.275999999998</v>
      </c>
      <c r="AU1095" s="50">
        <f t="shared" si="150"/>
        <v>9996.011999999997</v>
      </c>
    </row>
    <row r="1096" spans="36:47">
      <c r="AJ1096" s="50">
        <v>2</v>
      </c>
      <c r="AK1096" s="50">
        <v>1</v>
      </c>
      <c r="AL1096" s="50">
        <v>0</v>
      </c>
      <c r="AM1096" s="15">
        <f>Tabela21[[#This Row],[Att subs]]+Tabela21[[#This Row],[Crit D subs]]</f>
        <v>1.6</v>
      </c>
      <c r="AN1096" s="15">
        <v>0.6</v>
      </c>
      <c r="AO1096" s="15">
        <v>1</v>
      </c>
      <c r="AP1096" s="15">
        <v>0.4</v>
      </c>
      <c r="AQ1096" s="189">
        <f t="shared" si="151"/>
        <v>6240.5309999999999</v>
      </c>
      <c r="AR1096" s="189">
        <f t="shared" si="152"/>
        <v>6055.6859999999997</v>
      </c>
      <c r="AS1096" s="189">
        <f t="shared" si="148"/>
        <v>6534.9179999999988</v>
      </c>
      <c r="AT1096" s="189">
        <f t="shared" si="149"/>
        <v>12859.235999999999</v>
      </c>
      <c r="AU1096" s="50">
        <f t="shared" si="150"/>
        <v>11339.171999999999</v>
      </c>
    </row>
    <row r="1097" spans="36:47">
      <c r="AJ1097" s="50">
        <v>2</v>
      </c>
      <c r="AK1097" s="50">
        <v>1</v>
      </c>
      <c r="AL1097" s="50">
        <v>0</v>
      </c>
      <c r="AM1097" s="15">
        <f>Tabela21[[#This Row],[Att subs]]+Tabela21[[#This Row],[Crit D subs]]</f>
        <v>1.6</v>
      </c>
      <c r="AN1097" s="15">
        <v>0.6</v>
      </c>
      <c r="AO1097" s="15">
        <v>1</v>
      </c>
      <c r="AP1097" s="15">
        <v>0.5</v>
      </c>
      <c r="AQ1097" s="189">
        <f t="shared" si="151"/>
        <v>6770.4609999999993</v>
      </c>
      <c r="AR1097" s="189">
        <f t="shared" si="152"/>
        <v>6610.2659999999996</v>
      </c>
      <c r="AS1097" s="189">
        <f t="shared" si="148"/>
        <v>6949.7999999999993</v>
      </c>
      <c r="AT1097" s="189">
        <f t="shared" si="149"/>
        <v>13899.599999999999</v>
      </c>
      <c r="AU1097" s="50">
        <f t="shared" si="150"/>
        <v>12682.332</v>
      </c>
    </row>
    <row r="1098" spans="36:47">
      <c r="AJ1098" s="50">
        <v>2</v>
      </c>
      <c r="AK1098" s="50">
        <v>1</v>
      </c>
      <c r="AL1098" s="50">
        <v>0</v>
      </c>
      <c r="AM1098" s="15">
        <f>Tabela21[[#This Row],[Att subs]]+Tabela21[[#This Row],[Crit D subs]]</f>
        <v>1.6</v>
      </c>
      <c r="AN1098" s="15">
        <v>0.6</v>
      </c>
      <c r="AO1098" s="15">
        <v>1</v>
      </c>
      <c r="AP1098" s="15">
        <v>0.6</v>
      </c>
      <c r="AQ1098" s="189">
        <f t="shared" si="151"/>
        <v>7300.3909999999996</v>
      </c>
      <c r="AR1098" s="189">
        <f t="shared" si="152"/>
        <v>7164.8459999999995</v>
      </c>
      <c r="AS1098" s="189">
        <f t="shared" si="148"/>
        <v>6949.7999999999993</v>
      </c>
      <c r="AT1098" s="189">
        <f t="shared" si="149"/>
        <v>13899.599999999999</v>
      </c>
      <c r="AU1098" s="50">
        <f t="shared" si="150"/>
        <v>14025.491999999998</v>
      </c>
    </row>
    <row r="1099" spans="36:47">
      <c r="AJ1099" s="50">
        <v>2</v>
      </c>
      <c r="AK1099" s="50">
        <v>1</v>
      </c>
      <c r="AL1099" s="50">
        <v>0</v>
      </c>
      <c r="AM1099" s="15">
        <f>Tabela21[[#This Row],[Att subs]]+Tabela21[[#This Row],[Crit D subs]]</f>
        <v>1.6</v>
      </c>
      <c r="AN1099" s="15">
        <v>0.6</v>
      </c>
      <c r="AO1099" s="15">
        <v>1</v>
      </c>
      <c r="AP1099" s="15">
        <v>0.7</v>
      </c>
      <c r="AQ1099" s="189">
        <f t="shared" si="151"/>
        <v>7830.3209999999999</v>
      </c>
      <c r="AR1099" s="189">
        <f t="shared" si="152"/>
        <v>7719.4259999999995</v>
      </c>
      <c r="AS1099" s="189">
        <f t="shared" si="148"/>
        <v>6949.7999999999993</v>
      </c>
      <c r="AT1099" s="189">
        <f t="shared" si="149"/>
        <v>13899.599999999999</v>
      </c>
      <c r="AU1099" s="50">
        <f t="shared" si="150"/>
        <v>15368.651999999998</v>
      </c>
    </row>
    <row r="1100" spans="36:47">
      <c r="AJ1100" s="50">
        <v>2</v>
      </c>
      <c r="AK1100" s="50">
        <v>1</v>
      </c>
      <c r="AL1100" s="50">
        <v>0</v>
      </c>
      <c r="AM1100" s="15">
        <f>Tabela21[[#This Row],[Att subs]]+Tabela21[[#This Row],[Crit D subs]]</f>
        <v>1.6</v>
      </c>
      <c r="AN1100" s="15">
        <v>0.6</v>
      </c>
      <c r="AO1100" s="15">
        <v>1</v>
      </c>
      <c r="AP1100" s="15">
        <v>0.8</v>
      </c>
      <c r="AQ1100" s="189">
        <f t="shared" si="151"/>
        <v>7989.2999999999993</v>
      </c>
      <c r="AR1100" s="189">
        <f t="shared" si="152"/>
        <v>7885.7999999999993</v>
      </c>
      <c r="AS1100" s="189">
        <f t="shared" si="148"/>
        <v>6949.7999999999993</v>
      </c>
      <c r="AT1100" s="189">
        <f t="shared" si="149"/>
        <v>13899.599999999999</v>
      </c>
      <c r="AU1100" s="50">
        <f t="shared" si="150"/>
        <v>15771.599999999999</v>
      </c>
    </row>
    <row r="1101" spans="36:47">
      <c r="AJ1101" s="50">
        <v>2</v>
      </c>
      <c r="AK1101" s="50">
        <v>1</v>
      </c>
      <c r="AL1101" s="50">
        <v>0</v>
      </c>
      <c r="AM1101" s="15">
        <f>Tabela21[[#This Row],[Att subs]]+Tabela21[[#This Row],[Crit D subs]]</f>
        <v>1.6</v>
      </c>
      <c r="AN1101" s="15">
        <v>0.6</v>
      </c>
      <c r="AO1101" s="15">
        <v>1</v>
      </c>
      <c r="AP1101" s="15">
        <v>0.9</v>
      </c>
      <c r="AQ1101" s="189">
        <f t="shared" si="151"/>
        <v>7989.2999999999993</v>
      </c>
      <c r="AR1101" s="189">
        <f t="shared" si="152"/>
        <v>7885.7999999999993</v>
      </c>
      <c r="AS1101" s="189">
        <f t="shared" si="148"/>
        <v>6949.7999999999993</v>
      </c>
      <c r="AT1101" s="189">
        <f t="shared" si="149"/>
        <v>13899.599999999999</v>
      </c>
      <c r="AU1101" s="50">
        <f t="shared" si="150"/>
        <v>15771.599999999999</v>
      </c>
    </row>
    <row r="1102" spans="36:47">
      <c r="AJ1102" s="50">
        <v>2</v>
      </c>
      <c r="AK1102" s="50">
        <v>1</v>
      </c>
      <c r="AL1102" s="50">
        <v>0</v>
      </c>
      <c r="AM1102" s="15">
        <f>Tabela21[[#This Row],[Att subs]]+Tabela21[[#This Row],[Crit D subs]]</f>
        <v>1.6</v>
      </c>
      <c r="AN1102" s="15">
        <v>0.6</v>
      </c>
      <c r="AO1102" s="15">
        <v>1</v>
      </c>
      <c r="AP1102" s="15">
        <v>1</v>
      </c>
      <c r="AQ1102" s="189">
        <f t="shared" si="151"/>
        <v>7989.2999999999993</v>
      </c>
      <c r="AR1102" s="189">
        <f t="shared" si="152"/>
        <v>7885.7999999999993</v>
      </c>
      <c r="AS1102" s="189">
        <f t="shared" si="148"/>
        <v>6949.7999999999993</v>
      </c>
      <c r="AT1102" s="189">
        <f t="shared" si="149"/>
        <v>13899.599999999999</v>
      </c>
      <c r="AU1102" s="50">
        <f t="shared" si="150"/>
        <v>15771.599999999999</v>
      </c>
    </row>
    <row r="1103" spans="36:47">
      <c r="AJ1103" s="50">
        <v>2</v>
      </c>
      <c r="AK1103" s="50">
        <v>0</v>
      </c>
      <c r="AL1103" s="50">
        <v>1</v>
      </c>
      <c r="AM1103" s="15">
        <f>Tabela21[[#This Row],[Att subs]]+Tabela21[[#This Row],[Crit D subs]]</f>
        <v>1.6</v>
      </c>
      <c r="AN1103" s="15">
        <v>0.6</v>
      </c>
      <c r="AO1103" s="15">
        <v>1</v>
      </c>
      <c r="AP1103" s="15">
        <v>0</v>
      </c>
      <c r="AQ1103" s="189">
        <f t="shared" si="151"/>
        <v>5191.7000000000007</v>
      </c>
      <c r="AR1103" s="189">
        <f t="shared" si="152"/>
        <v>5096.5199999999995</v>
      </c>
      <c r="AS1103" s="189">
        <f t="shared" si="148"/>
        <v>5358.6</v>
      </c>
      <c r="AT1103" s="189">
        <f t="shared" si="149"/>
        <v>10389.599999999999</v>
      </c>
      <c r="AU1103" s="50">
        <f t="shared" si="150"/>
        <v>9303.84</v>
      </c>
    </row>
    <row r="1104" spans="36:47">
      <c r="AJ1104" s="50">
        <v>2</v>
      </c>
      <c r="AK1104" s="50">
        <v>0</v>
      </c>
      <c r="AL1104" s="50">
        <v>1</v>
      </c>
      <c r="AM1104" s="15">
        <f>Tabela21[[#This Row],[Att subs]]+Tabela21[[#This Row],[Crit D subs]]</f>
        <v>1.6</v>
      </c>
      <c r="AN1104" s="15">
        <v>0.6</v>
      </c>
      <c r="AO1104" s="15">
        <v>1</v>
      </c>
      <c r="AP1104" s="15">
        <v>0.1</v>
      </c>
      <c r="AQ1104" s="189">
        <f t="shared" si="151"/>
        <v>5595.2</v>
      </c>
      <c r="AR1104" s="189">
        <f t="shared" si="152"/>
        <v>5541.1200000000008</v>
      </c>
      <c r="AS1104" s="189">
        <f t="shared" si="148"/>
        <v>5709.5999999999995</v>
      </c>
      <c r="AT1104" s="189">
        <f t="shared" si="149"/>
        <v>11325.6</v>
      </c>
      <c r="AU1104" s="50">
        <f t="shared" si="150"/>
        <v>10427.040000000001</v>
      </c>
    </row>
    <row r="1105" spans="36:47">
      <c r="AJ1105" s="50">
        <v>2</v>
      </c>
      <c r="AK1105" s="50">
        <v>0</v>
      </c>
      <c r="AL1105" s="50">
        <v>1</v>
      </c>
      <c r="AM1105" s="15">
        <f>Tabela21[[#This Row],[Att subs]]+Tabela21[[#This Row],[Crit D subs]]</f>
        <v>1.6</v>
      </c>
      <c r="AN1105" s="15">
        <v>0.6</v>
      </c>
      <c r="AO1105" s="15">
        <v>1</v>
      </c>
      <c r="AP1105" s="15">
        <v>0.2</v>
      </c>
      <c r="AQ1105" s="189">
        <f t="shared" si="151"/>
        <v>5998.7</v>
      </c>
      <c r="AR1105" s="189">
        <f t="shared" si="152"/>
        <v>5985.7199999999993</v>
      </c>
      <c r="AS1105" s="189">
        <f t="shared" si="148"/>
        <v>5850</v>
      </c>
      <c r="AT1105" s="189">
        <f t="shared" si="149"/>
        <v>11700</v>
      </c>
      <c r="AU1105" s="50">
        <f t="shared" si="150"/>
        <v>11550.239999999998</v>
      </c>
    </row>
    <row r="1106" spans="36:47">
      <c r="AJ1106" s="50">
        <v>2</v>
      </c>
      <c r="AK1106" s="50">
        <v>0</v>
      </c>
      <c r="AL1106" s="50">
        <v>1</v>
      </c>
      <c r="AM1106" s="15">
        <f>Tabela21[[#This Row],[Att subs]]+Tabela21[[#This Row],[Crit D subs]]</f>
        <v>1.6</v>
      </c>
      <c r="AN1106" s="15">
        <v>0.6</v>
      </c>
      <c r="AO1106" s="15">
        <v>1</v>
      </c>
      <c r="AP1106" s="15">
        <v>0.3</v>
      </c>
      <c r="AQ1106" s="189">
        <f t="shared" si="151"/>
        <v>6402.2000000000007</v>
      </c>
      <c r="AR1106" s="189">
        <f t="shared" si="152"/>
        <v>6430.3200000000006</v>
      </c>
      <c r="AS1106" s="189">
        <f t="shared" si="148"/>
        <v>5850</v>
      </c>
      <c r="AT1106" s="189">
        <f t="shared" si="149"/>
        <v>11700</v>
      </c>
      <c r="AU1106" s="50">
        <f t="shared" si="150"/>
        <v>12673.44</v>
      </c>
    </row>
    <row r="1107" spans="36:47">
      <c r="AJ1107" s="50">
        <v>2</v>
      </c>
      <c r="AK1107" s="50">
        <v>0</v>
      </c>
      <c r="AL1107" s="50">
        <v>1</v>
      </c>
      <c r="AM1107" s="15">
        <f>Tabela21[[#This Row],[Att subs]]+Tabela21[[#This Row],[Crit D subs]]</f>
        <v>1.6</v>
      </c>
      <c r="AN1107" s="15">
        <v>0.6</v>
      </c>
      <c r="AO1107" s="15">
        <v>1</v>
      </c>
      <c r="AP1107" s="15">
        <v>0.4</v>
      </c>
      <c r="AQ1107" s="189">
        <f t="shared" si="151"/>
        <v>6725</v>
      </c>
      <c r="AR1107" s="189">
        <f t="shared" si="152"/>
        <v>6786</v>
      </c>
      <c r="AS1107" s="189">
        <f t="shared" si="148"/>
        <v>5850</v>
      </c>
      <c r="AT1107" s="189">
        <f t="shared" si="149"/>
        <v>11700</v>
      </c>
      <c r="AU1107" s="50">
        <f t="shared" si="150"/>
        <v>13572</v>
      </c>
    </row>
    <row r="1108" spans="36:47">
      <c r="AJ1108" s="50">
        <v>2</v>
      </c>
      <c r="AK1108" s="50">
        <v>0</v>
      </c>
      <c r="AL1108" s="50">
        <v>1</v>
      </c>
      <c r="AM1108" s="15">
        <f>Tabela21[[#This Row],[Att subs]]+Tabela21[[#This Row],[Crit D subs]]</f>
        <v>1.6</v>
      </c>
      <c r="AN1108" s="15">
        <v>0.6</v>
      </c>
      <c r="AO1108" s="15">
        <v>1</v>
      </c>
      <c r="AP1108" s="15">
        <v>0.5</v>
      </c>
      <c r="AQ1108" s="189">
        <f t="shared" si="151"/>
        <v>6725</v>
      </c>
      <c r="AR1108" s="189">
        <f t="shared" si="152"/>
        <v>6786</v>
      </c>
      <c r="AS1108" s="189">
        <f t="shared" si="148"/>
        <v>5850</v>
      </c>
      <c r="AT1108" s="189">
        <f t="shared" si="149"/>
        <v>11700</v>
      </c>
      <c r="AU1108" s="50">
        <f t="shared" si="150"/>
        <v>13572</v>
      </c>
    </row>
    <row r="1109" spans="36:47">
      <c r="AJ1109" s="50">
        <v>2</v>
      </c>
      <c r="AK1109" s="50">
        <v>0</v>
      </c>
      <c r="AL1109" s="50">
        <v>1</v>
      </c>
      <c r="AM1109" s="15">
        <f>Tabela21[[#This Row],[Att subs]]+Tabela21[[#This Row],[Crit D subs]]</f>
        <v>1.6</v>
      </c>
      <c r="AN1109" s="15">
        <v>0.6</v>
      </c>
      <c r="AO1109" s="15">
        <v>1</v>
      </c>
      <c r="AP1109" s="15">
        <v>0.6</v>
      </c>
      <c r="AQ1109" s="189">
        <f t="shared" si="151"/>
        <v>6725</v>
      </c>
      <c r="AR1109" s="189">
        <f t="shared" si="152"/>
        <v>6786</v>
      </c>
      <c r="AS1109" s="189">
        <f t="shared" si="148"/>
        <v>5850</v>
      </c>
      <c r="AT1109" s="189">
        <f t="shared" si="149"/>
        <v>11700</v>
      </c>
      <c r="AU1109" s="50">
        <f t="shared" si="150"/>
        <v>13572</v>
      </c>
    </row>
    <row r="1110" spans="36:47">
      <c r="AJ1110" s="50">
        <v>2</v>
      </c>
      <c r="AK1110" s="50">
        <v>0</v>
      </c>
      <c r="AL1110" s="50">
        <v>1</v>
      </c>
      <c r="AM1110" s="15">
        <f>Tabela21[[#This Row],[Att subs]]+Tabela21[[#This Row],[Crit D subs]]</f>
        <v>1.6</v>
      </c>
      <c r="AN1110" s="15">
        <v>0.6</v>
      </c>
      <c r="AO1110" s="15">
        <v>1</v>
      </c>
      <c r="AP1110" s="15">
        <v>0.7</v>
      </c>
      <c r="AQ1110" s="189">
        <f t="shared" si="151"/>
        <v>6725</v>
      </c>
      <c r="AR1110" s="189">
        <f t="shared" si="152"/>
        <v>6786</v>
      </c>
      <c r="AS1110" s="189">
        <f t="shared" si="148"/>
        <v>5850</v>
      </c>
      <c r="AT1110" s="189">
        <f t="shared" si="149"/>
        <v>11700</v>
      </c>
      <c r="AU1110" s="50">
        <f t="shared" si="150"/>
        <v>13572</v>
      </c>
    </row>
    <row r="1111" spans="36:47">
      <c r="AJ1111" s="50">
        <v>2</v>
      </c>
      <c r="AK1111" s="50">
        <v>0</v>
      </c>
      <c r="AL1111" s="50">
        <v>1</v>
      </c>
      <c r="AM1111" s="15">
        <f>Tabela21[[#This Row],[Att subs]]+Tabela21[[#This Row],[Crit D subs]]</f>
        <v>1.6</v>
      </c>
      <c r="AN1111" s="15">
        <v>0.6</v>
      </c>
      <c r="AO1111" s="15">
        <v>1</v>
      </c>
      <c r="AP1111" s="15">
        <v>0.8</v>
      </c>
      <c r="AQ1111" s="189">
        <f t="shared" si="151"/>
        <v>6725</v>
      </c>
      <c r="AR1111" s="189">
        <f t="shared" si="152"/>
        <v>6786</v>
      </c>
      <c r="AS1111" s="189">
        <f t="shared" si="148"/>
        <v>5850</v>
      </c>
      <c r="AT1111" s="189">
        <f t="shared" si="149"/>
        <v>11700</v>
      </c>
      <c r="AU1111" s="50">
        <f t="shared" si="150"/>
        <v>13572</v>
      </c>
    </row>
    <row r="1112" spans="36:47">
      <c r="AJ1112" s="50">
        <v>2</v>
      </c>
      <c r="AK1112" s="50">
        <v>0</v>
      </c>
      <c r="AL1112" s="50">
        <v>1</v>
      </c>
      <c r="AM1112" s="15">
        <f>Tabela21[[#This Row],[Att subs]]+Tabela21[[#This Row],[Crit D subs]]</f>
        <v>1.6</v>
      </c>
      <c r="AN1112" s="15">
        <v>0.6</v>
      </c>
      <c r="AO1112" s="15">
        <v>1</v>
      </c>
      <c r="AP1112" s="15">
        <v>0.9</v>
      </c>
      <c r="AQ1112" s="189">
        <f t="shared" si="151"/>
        <v>6725</v>
      </c>
      <c r="AR1112" s="189">
        <f t="shared" si="152"/>
        <v>6786</v>
      </c>
      <c r="AS1112" s="189">
        <f t="shared" si="148"/>
        <v>5850</v>
      </c>
      <c r="AT1112" s="189">
        <f t="shared" si="149"/>
        <v>11700</v>
      </c>
      <c r="AU1112" s="50">
        <f t="shared" si="150"/>
        <v>13572</v>
      </c>
    </row>
    <row r="1113" spans="36:47">
      <c r="AJ1113" s="50">
        <v>2</v>
      </c>
      <c r="AK1113" s="50">
        <v>0</v>
      </c>
      <c r="AL1113" s="50">
        <v>1</v>
      </c>
      <c r="AM1113" s="15">
        <f>Tabela21[[#This Row],[Att subs]]+Tabela21[[#This Row],[Crit D subs]]</f>
        <v>1.6</v>
      </c>
      <c r="AN1113" s="15">
        <v>0.6</v>
      </c>
      <c r="AO1113" s="15">
        <v>1</v>
      </c>
      <c r="AP1113" s="15">
        <v>1</v>
      </c>
      <c r="AQ1113" s="189">
        <f t="shared" si="151"/>
        <v>6725</v>
      </c>
      <c r="AR1113" s="189">
        <f t="shared" si="152"/>
        <v>6786</v>
      </c>
      <c r="AS1113" s="189">
        <f t="shared" si="148"/>
        <v>5850</v>
      </c>
      <c r="AT1113" s="189">
        <f t="shared" si="149"/>
        <v>11700</v>
      </c>
      <c r="AU1113" s="50">
        <f t="shared" si="150"/>
        <v>13572</v>
      </c>
    </row>
    <row r="1114" spans="36:47">
      <c r="AJ1114" s="50">
        <v>3</v>
      </c>
      <c r="AK1114" s="50">
        <v>0</v>
      </c>
      <c r="AL1114" s="50">
        <v>0</v>
      </c>
      <c r="AM1114" s="15">
        <f>Tabela21[[#This Row],[Att subs]]+Tabela21[[#This Row],[Crit D subs]]</f>
        <v>1.6</v>
      </c>
      <c r="AN1114" s="15">
        <v>0.6</v>
      </c>
      <c r="AO1114" s="15">
        <v>1</v>
      </c>
      <c r="AP1114" s="15">
        <v>0</v>
      </c>
      <c r="AQ1114" s="189">
        <f t="shared" si="151"/>
        <v>4299.3</v>
      </c>
      <c r="AR1114" s="189">
        <f t="shared" si="152"/>
        <v>4100.2299999999996</v>
      </c>
      <c r="AS1114" s="189">
        <f t="shared" si="148"/>
        <v>4783.1499999999996</v>
      </c>
      <c r="AT1114" s="189">
        <f t="shared" si="149"/>
        <v>8238.4</v>
      </c>
      <c r="AU1114" s="50">
        <f t="shared" si="150"/>
        <v>6222.1600000000008</v>
      </c>
    </row>
    <row r="1115" spans="36:47">
      <c r="AJ1115" s="50">
        <v>3</v>
      </c>
      <c r="AK1115" s="50">
        <v>0</v>
      </c>
      <c r="AL1115" s="50">
        <v>0</v>
      </c>
      <c r="AM1115" s="15">
        <f>Tabela21[[#This Row],[Att subs]]+Tabela21[[#This Row],[Crit D subs]]</f>
        <v>1.6</v>
      </c>
      <c r="AN1115" s="15">
        <v>0.6</v>
      </c>
      <c r="AO1115" s="15">
        <v>1</v>
      </c>
      <c r="AP1115" s="15">
        <v>0.1</v>
      </c>
      <c r="AQ1115" s="189">
        <f t="shared" si="151"/>
        <v>4758.3</v>
      </c>
      <c r="AR1115" s="189">
        <f t="shared" si="152"/>
        <v>4615.1299999999992</v>
      </c>
      <c r="AS1115" s="189">
        <f t="shared" si="148"/>
        <v>5189.6500000000005</v>
      </c>
      <c r="AT1115" s="189">
        <f t="shared" si="149"/>
        <v>9322.4</v>
      </c>
      <c r="AU1115" s="50">
        <f t="shared" si="150"/>
        <v>7522.9599999999991</v>
      </c>
    </row>
    <row r="1116" spans="36:47">
      <c r="AJ1116" s="50">
        <v>3</v>
      </c>
      <c r="AK1116" s="50">
        <v>0</v>
      </c>
      <c r="AL1116" s="50">
        <v>0</v>
      </c>
      <c r="AM1116" s="15">
        <f>Tabela21[[#This Row],[Att subs]]+Tabela21[[#This Row],[Crit D subs]]</f>
        <v>1.6</v>
      </c>
      <c r="AN1116" s="15">
        <v>0.6</v>
      </c>
      <c r="AO1116" s="15">
        <v>1</v>
      </c>
      <c r="AP1116" s="15">
        <v>0.2</v>
      </c>
      <c r="AQ1116" s="189">
        <f t="shared" si="151"/>
        <v>5217.2999999999993</v>
      </c>
      <c r="AR1116" s="189">
        <f t="shared" si="152"/>
        <v>5130.03</v>
      </c>
      <c r="AS1116" s="189">
        <f t="shared" si="148"/>
        <v>5596.15</v>
      </c>
      <c r="AT1116" s="189">
        <f t="shared" si="149"/>
        <v>10406.4</v>
      </c>
      <c r="AU1116" s="50">
        <f t="shared" si="150"/>
        <v>8823.76</v>
      </c>
    </row>
    <row r="1117" spans="36:47">
      <c r="AJ1117" s="50">
        <v>3</v>
      </c>
      <c r="AK1117" s="50">
        <v>0</v>
      </c>
      <c r="AL1117" s="50">
        <v>0</v>
      </c>
      <c r="AM1117" s="15">
        <f>Tabela21[[#This Row],[Att subs]]+Tabela21[[#This Row],[Crit D subs]]</f>
        <v>1.6</v>
      </c>
      <c r="AN1117" s="15">
        <v>0.6</v>
      </c>
      <c r="AO1117" s="15">
        <v>1</v>
      </c>
      <c r="AP1117" s="15">
        <v>0.3</v>
      </c>
      <c r="AQ1117" s="189">
        <f t="shared" si="151"/>
        <v>5676.3</v>
      </c>
      <c r="AR1117" s="189">
        <f t="shared" si="152"/>
        <v>5644.9299999999994</v>
      </c>
      <c r="AS1117" s="189">
        <f t="shared" si="148"/>
        <v>6002.65</v>
      </c>
      <c r="AT1117" s="189">
        <f t="shared" si="149"/>
        <v>11490.400000000001</v>
      </c>
      <c r="AU1117" s="50">
        <f t="shared" si="150"/>
        <v>10124.56</v>
      </c>
    </row>
    <row r="1118" spans="36:47">
      <c r="AJ1118" s="50">
        <v>3</v>
      </c>
      <c r="AK1118" s="50">
        <v>0</v>
      </c>
      <c r="AL1118" s="50">
        <v>0</v>
      </c>
      <c r="AM1118" s="15">
        <f>Tabela21[[#This Row],[Att subs]]+Tabela21[[#This Row],[Crit D subs]]</f>
        <v>1.6</v>
      </c>
      <c r="AN1118" s="15">
        <v>0.6</v>
      </c>
      <c r="AO1118" s="15">
        <v>1</v>
      </c>
      <c r="AP1118" s="15">
        <v>0.4</v>
      </c>
      <c r="AQ1118" s="189">
        <f t="shared" si="151"/>
        <v>6135.2999999999993</v>
      </c>
      <c r="AR1118" s="189">
        <f t="shared" si="152"/>
        <v>6159.83</v>
      </c>
      <c r="AS1118" s="189">
        <f t="shared" si="148"/>
        <v>6409.15</v>
      </c>
      <c r="AT1118" s="189">
        <f t="shared" si="149"/>
        <v>12574.4</v>
      </c>
      <c r="AU1118" s="50">
        <f t="shared" si="150"/>
        <v>11425.36</v>
      </c>
    </row>
    <row r="1119" spans="36:47">
      <c r="AJ1119" s="50">
        <v>3</v>
      </c>
      <c r="AK1119" s="50">
        <v>0</v>
      </c>
      <c r="AL1119" s="50">
        <v>0</v>
      </c>
      <c r="AM1119" s="15">
        <f>Tabela21[[#This Row],[Att subs]]+Tabela21[[#This Row],[Crit D subs]]</f>
        <v>1.6</v>
      </c>
      <c r="AN1119" s="15">
        <v>0.6</v>
      </c>
      <c r="AO1119" s="15">
        <v>1</v>
      </c>
      <c r="AP1119" s="15">
        <v>0.5</v>
      </c>
      <c r="AQ1119" s="189">
        <f t="shared" si="151"/>
        <v>6594.3000000000011</v>
      </c>
      <c r="AR1119" s="189">
        <f t="shared" si="152"/>
        <v>6674.7300000000005</v>
      </c>
      <c r="AS1119" s="189">
        <f t="shared" si="148"/>
        <v>6775</v>
      </c>
      <c r="AT1119" s="189">
        <f t="shared" si="149"/>
        <v>13550</v>
      </c>
      <c r="AU1119" s="50">
        <f t="shared" si="150"/>
        <v>12726.16</v>
      </c>
    </row>
    <row r="1120" spans="36:47">
      <c r="AJ1120" s="50">
        <v>3</v>
      </c>
      <c r="AK1120" s="50">
        <v>0</v>
      </c>
      <c r="AL1120" s="50">
        <v>0</v>
      </c>
      <c r="AM1120" s="15">
        <f>Tabela21[[#This Row],[Att subs]]+Tabela21[[#This Row],[Crit D subs]]</f>
        <v>1.6</v>
      </c>
      <c r="AN1120" s="15">
        <v>0.6</v>
      </c>
      <c r="AO1120" s="15">
        <v>1</v>
      </c>
      <c r="AP1120" s="15">
        <v>0.6</v>
      </c>
      <c r="AQ1120" s="189">
        <f t="shared" si="151"/>
        <v>7053.2999999999993</v>
      </c>
      <c r="AR1120" s="189">
        <f t="shared" si="152"/>
        <v>7189.63</v>
      </c>
      <c r="AS1120" s="189">
        <f t="shared" si="148"/>
        <v>6775</v>
      </c>
      <c r="AT1120" s="189">
        <f t="shared" si="149"/>
        <v>13550</v>
      </c>
      <c r="AU1120" s="50">
        <f t="shared" si="150"/>
        <v>14026.960000000001</v>
      </c>
    </row>
    <row r="1121" spans="36:47">
      <c r="AJ1121" s="50">
        <v>3</v>
      </c>
      <c r="AK1121" s="50">
        <v>0</v>
      </c>
      <c r="AL1121" s="50">
        <v>0</v>
      </c>
      <c r="AM1121" s="15">
        <f>Tabela21[[#This Row],[Att subs]]+Tabela21[[#This Row],[Crit D subs]]</f>
        <v>1.6</v>
      </c>
      <c r="AN1121" s="15">
        <v>0.6</v>
      </c>
      <c r="AO1121" s="15">
        <v>1</v>
      </c>
      <c r="AP1121" s="15">
        <v>0.7</v>
      </c>
      <c r="AQ1121" s="189">
        <f t="shared" si="151"/>
        <v>7512.3</v>
      </c>
      <c r="AR1121" s="189">
        <f t="shared" si="152"/>
        <v>7704.53</v>
      </c>
      <c r="AS1121" s="189">
        <f t="shared" si="148"/>
        <v>6775</v>
      </c>
      <c r="AT1121" s="189">
        <f t="shared" si="149"/>
        <v>13550</v>
      </c>
      <c r="AU1121" s="50">
        <f t="shared" si="150"/>
        <v>15327.759999999998</v>
      </c>
    </row>
    <row r="1122" spans="36:47">
      <c r="AJ1122" s="50">
        <v>3</v>
      </c>
      <c r="AK1122" s="50">
        <v>0</v>
      </c>
      <c r="AL1122" s="50">
        <v>0</v>
      </c>
      <c r="AM1122" s="15">
        <f>Tabela21[[#This Row],[Att subs]]+Tabela21[[#This Row],[Crit D subs]]</f>
        <v>1.6</v>
      </c>
      <c r="AN1122" s="15">
        <v>0.6</v>
      </c>
      <c r="AO1122" s="15">
        <v>1</v>
      </c>
      <c r="AP1122" s="15">
        <v>0.8</v>
      </c>
      <c r="AQ1122" s="189">
        <f t="shared" si="151"/>
        <v>7650</v>
      </c>
      <c r="AR1122" s="189">
        <f t="shared" si="152"/>
        <v>7859</v>
      </c>
      <c r="AS1122" s="189">
        <f t="shared" si="148"/>
        <v>6775</v>
      </c>
      <c r="AT1122" s="189">
        <f t="shared" si="149"/>
        <v>13550</v>
      </c>
      <c r="AU1122" s="50">
        <f t="shared" si="150"/>
        <v>15718</v>
      </c>
    </row>
    <row r="1123" spans="36:47">
      <c r="AJ1123" s="50">
        <v>3</v>
      </c>
      <c r="AK1123" s="50">
        <v>0</v>
      </c>
      <c r="AL1123" s="50">
        <v>0</v>
      </c>
      <c r="AM1123" s="15">
        <f>Tabela21[[#This Row],[Att subs]]+Tabela21[[#This Row],[Crit D subs]]</f>
        <v>1.6</v>
      </c>
      <c r="AN1123" s="15">
        <v>0.6</v>
      </c>
      <c r="AO1123" s="15">
        <v>1</v>
      </c>
      <c r="AP1123" s="15">
        <v>0.9</v>
      </c>
      <c r="AQ1123" s="189">
        <f t="shared" si="151"/>
        <v>7650</v>
      </c>
      <c r="AR1123" s="189">
        <f t="shared" si="152"/>
        <v>7859</v>
      </c>
      <c r="AS1123" s="189">
        <f t="shared" si="148"/>
        <v>6775</v>
      </c>
      <c r="AT1123" s="189">
        <f t="shared" si="149"/>
        <v>13550</v>
      </c>
      <c r="AU1123" s="50">
        <f t="shared" si="150"/>
        <v>15718</v>
      </c>
    </row>
    <row r="1124" spans="36:47">
      <c r="AJ1124" s="50">
        <v>3</v>
      </c>
      <c r="AK1124" s="50">
        <v>0</v>
      </c>
      <c r="AL1124" s="50">
        <v>0</v>
      </c>
      <c r="AM1124" s="15">
        <f>Tabela21[[#This Row],[Att subs]]+Tabela21[[#This Row],[Crit D subs]]</f>
        <v>1.6</v>
      </c>
      <c r="AN1124" s="15">
        <v>0.6</v>
      </c>
      <c r="AO1124" s="15">
        <v>1</v>
      </c>
      <c r="AP1124" s="15">
        <v>1</v>
      </c>
      <c r="AQ1124" s="189">
        <f t="shared" si="151"/>
        <v>7650</v>
      </c>
      <c r="AR1124" s="189">
        <f t="shared" si="152"/>
        <v>7859</v>
      </c>
      <c r="AS1124" s="189">
        <f t="shared" si="148"/>
        <v>6775</v>
      </c>
      <c r="AT1124" s="189">
        <f t="shared" si="149"/>
        <v>13550</v>
      </c>
      <c r="AU1124" s="50">
        <f t="shared" si="150"/>
        <v>15718</v>
      </c>
    </row>
    <row r="1125" spans="36:47">
      <c r="AJ1125" s="50">
        <v>2</v>
      </c>
      <c r="AK1125" s="50">
        <v>1</v>
      </c>
      <c r="AL1125" s="50">
        <v>0</v>
      </c>
      <c r="AM1125" s="15">
        <f>Tabela21[[#This Row],[Att subs]]+Tabela21[[#This Row],[Crit D subs]]</f>
        <v>1.8</v>
      </c>
      <c r="AN1125" s="15">
        <v>0.8</v>
      </c>
      <c r="AO1125" s="15">
        <v>1</v>
      </c>
      <c r="AP1125" s="15">
        <v>0</v>
      </c>
      <c r="AQ1125" s="189">
        <f t="shared" si="151"/>
        <v>4427.1909999999998</v>
      </c>
      <c r="AR1125" s="189">
        <f t="shared" si="152"/>
        <v>4165.3459999999995</v>
      </c>
      <c r="AS1125" s="189">
        <f t="shared" si="148"/>
        <v>5091.9379999999992</v>
      </c>
      <c r="AT1125" s="189">
        <f t="shared" si="149"/>
        <v>8939.2759999999998</v>
      </c>
      <c r="AU1125" s="50">
        <f t="shared" si="150"/>
        <v>6476.4919999999993</v>
      </c>
    </row>
    <row r="1126" spans="36:47">
      <c r="AJ1126" s="50">
        <v>2</v>
      </c>
      <c r="AK1126" s="50">
        <v>1</v>
      </c>
      <c r="AL1126" s="50">
        <v>0</v>
      </c>
      <c r="AM1126" s="15">
        <f>Tabela21[[#This Row],[Att subs]]+Tabela21[[#This Row],[Crit D subs]]</f>
        <v>1.8</v>
      </c>
      <c r="AN1126" s="15">
        <v>0.8</v>
      </c>
      <c r="AO1126" s="15">
        <v>1</v>
      </c>
      <c r="AP1126" s="15">
        <v>0.1</v>
      </c>
      <c r="AQ1126" s="189">
        <f t="shared" si="151"/>
        <v>4996.5209999999997</v>
      </c>
      <c r="AR1126" s="189">
        <f t="shared" si="152"/>
        <v>4767.326</v>
      </c>
      <c r="AS1126" s="189">
        <f t="shared" si="148"/>
        <v>5592.3179999999993</v>
      </c>
      <c r="AT1126" s="189">
        <f t="shared" si="149"/>
        <v>10194.036</v>
      </c>
      <c r="AU1126" s="50">
        <f t="shared" si="150"/>
        <v>7934.4519999999993</v>
      </c>
    </row>
    <row r="1127" spans="36:47">
      <c r="AJ1127" s="50">
        <v>2</v>
      </c>
      <c r="AK1127" s="50">
        <v>1</v>
      </c>
      <c r="AL1127" s="50">
        <v>0</v>
      </c>
      <c r="AM1127" s="15">
        <f>Tabela21[[#This Row],[Att subs]]+Tabela21[[#This Row],[Crit D subs]]</f>
        <v>1.8</v>
      </c>
      <c r="AN1127" s="15">
        <v>0.8</v>
      </c>
      <c r="AO1127" s="15">
        <v>1</v>
      </c>
      <c r="AP1127" s="15">
        <v>0.2</v>
      </c>
      <c r="AQ1127" s="189">
        <f t="shared" si="151"/>
        <v>5565.8509999999987</v>
      </c>
      <c r="AR1127" s="189">
        <f t="shared" si="152"/>
        <v>5369.3059999999996</v>
      </c>
      <c r="AS1127" s="189">
        <f t="shared" si="148"/>
        <v>6092.6979999999994</v>
      </c>
      <c r="AT1127" s="189">
        <f t="shared" si="149"/>
        <v>11448.795999999998</v>
      </c>
      <c r="AU1127" s="50">
        <f t="shared" si="150"/>
        <v>9392.4119999999984</v>
      </c>
    </row>
    <row r="1128" spans="36:47">
      <c r="AJ1128" s="50">
        <v>2</v>
      </c>
      <c r="AK1128" s="50">
        <v>1</v>
      </c>
      <c r="AL1128" s="50">
        <v>0</v>
      </c>
      <c r="AM1128" s="15">
        <f>Tabela21[[#This Row],[Att subs]]+Tabela21[[#This Row],[Crit D subs]]</f>
        <v>1.8</v>
      </c>
      <c r="AN1128" s="15">
        <v>0.8</v>
      </c>
      <c r="AO1128" s="15">
        <v>1</v>
      </c>
      <c r="AP1128" s="15">
        <v>0.3</v>
      </c>
      <c r="AQ1128" s="189">
        <f t="shared" si="151"/>
        <v>6135.1809999999987</v>
      </c>
      <c r="AR1128" s="189">
        <f t="shared" si="152"/>
        <v>5971.2859999999991</v>
      </c>
      <c r="AS1128" s="189">
        <f t="shared" si="148"/>
        <v>6593.0779999999986</v>
      </c>
      <c r="AT1128" s="189">
        <f t="shared" si="149"/>
        <v>12703.555999999999</v>
      </c>
      <c r="AU1128" s="50">
        <f t="shared" si="150"/>
        <v>10850.371999999998</v>
      </c>
    </row>
    <row r="1129" spans="36:47">
      <c r="AJ1129" s="50">
        <v>2</v>
      </c>
      <c r="AK1129" s="50">
        <v>1</v>
      </c>
      <c r="AL1129" s="50">
        <v>0</v>
      </c>
      <c r="AM1129" s="15">
        <f>Tabela21[[#This Row],[Att subs]]+Tabela21[[#This Row],[Crit D subs]]</f>
        <v>1.8</v>
      </c>
      <c r="AN1129" s="15">
        <v>0.8</v>
      </c>
      <c r="AO1129" s="15">
        <v>1</v>
      </c>
      <c r="AP1129" s="15">
        <v>0.4</v>
      </c>
      <c r="AQ1129" s="189">
        <f t="shared" si="151"/>
        <v>6704.5110000000004</v>
      </c>
      <c r="AR1129" s="189">
        <f t="shared" si="152"/>
        <v>6573.2659999999996</v>
      </c>
      <c r="AS1129" s="189">
        <f t="shared" si="148"/>
        <v>7093.4579999999987</v>
      </c>
      <c r="AT1129" s="189">
        <f t="shared" si="149"/>
        <v>13958.315999999997</v>
      </c>
      <c r="AU1129" s="50">
        <f t="shared" si="150"/>
        <v>12308.331999999999</v>
      </c>
    </row>
    <row r="1130" spans="36:47">
      <c r="AJ1130" s="50">
        <v>2</v>
      </c>
      <c r="AK1130" s="50">
        <v>1</v>
      </c>
      <c r="AL1130" s="50">
        <v>0</v>
      </c>
      <c r="AM1130" s="15">
        <f>Tabela21[[#This Row],[Att subs]]+Tabela21[[#This Row],[Crit D subs]]</f>
        <v>1.8</v>
      </c>
      <c r="AN1130" s="15">
        <v>0.8</v>
      </c>
      <c r="AO1130" s="15">
        <v>1</v>
      </c>
      <c r="AP1130" s="15">
        <v>0.5</v>
      </c>
      <c r="AQ1130" s="189">
        <f t="shared" si="151"/>
        <v>7273.8409999999994</v>
      </c>
      <c r="AR1130" s="189">
        <f t="shared" si="152"/>
        <v>7175.2460000000001</v>
      </c>
      <c r="AS1130" s="189">
        <f t="shared" si="148"/>
        <v>7543.7999999999993</v>
      </c>
      <c r="AT1130" s="189">
        <f t="shared" si="149"/>
        <v>15087.599999999999</v>
      </c>
      <c r="AU1130" s="50">
        <f t="shared" si="150"/>
        <v>13766.292000000001</v>
      </c>
    </row>
    <row r="1131" spans="36:47">
      <c r="AJ1131" s="50">
        <v>2</v>
      </c>
      <c r="AK1131" s="50">
        <v>1</v>
      </c>
      <c r="AL1131" s="50">
        <v>0</v>
      </c>
      <c r="AM1131" s="15">
        <f>Tabela21[[#This Row],[Att subs]]+Tabela21[[#This Row],[Crit D subs]]</f>
        <v>1.8</v>
      </c>
      <c r="AN1131" s="15">
        <v>0.8</v>
      </c>
      <c r="AO1131" s="15">
        <v>1</v>
      </c>
      <c r="AP1131" s="15">
        <v>0.6</v>
      </c>
      <c r="AQ1131" s="189">
        <f t="shared" si="151"/>
        <v>7843.1709999999994</v>
      </c>
      <c r="AR1131" s="189">
        <f t="shared" si="152"/>
        <v>7777.2259999999987</v>
      </c>
      <c r="AS1131" s="189">
        <f t="shared" si="148"/>
        <v>7543.7999999999993</v>
      </c>
      <c r="AT1131" s="189">
        <f t="shared" si="149"/>
        <v>15087.599999999999</v>
      </c>
      <c r="AU1131" s="50">
        <f t="shared" si="150"/>
        <v>15224.251999999999</v>
      </c>
    </row>
    <row r="1132" spans="36:47">
      <c r="AJ1132" s="50">
        <v>2</v>
      </c>
      <c r="AK1132" s="50">
        <v>1</v>
      </c>
      <c r="AL1132" s="50">
        <v>0</v>
      </c>
      <c r="AM1132" s="15">
        <f>Tabela21[[#This Row],[Att subs]]+Tabela21[[#This Row],[Crit D subs]]</f>
        <v>1.8</v>
      </c>
      <c r="AN1132" s="15">
        <v>0.8</v>
      </c>
      <c r="AO1132" s="15">
        <v>1</v>
      </c>
      <c r="AP1132" s="15">
        <v>0.7</v>
      </c>
      <c r="AQ1132" s="189">
        <f t="shared" si="151"/>
        <v>8412.5010000000002</v>
      </c>
      <c r="AR1132" s="189">
        <f t="shared" si="152"/>
        <v>8379.2060000000001</v>
      </c>
      <c r="AS1132" s="189">
        <f t="shared" si="148"/>
        <v>7543.7999999999993</v>
      </c>
      <c r="AT1132" s="189">
        <f t="shared" si="149"/>
        <v>15087.599999999999</v>
      </c>
      <c r="AU1132" s="50">
        <f t="shared" si="150"/>
        <v>16682.212</v>
      </c>
    </row>
    <row r="1133" spans="36:47">
      <c r="AJ1133" s="50">
        <v>2</v>
      </c>
      <c r="AK1133" s="50">
        <v>1</v>
      </c>
      <c r="AL1133" s="50">
        <v>0</v>
      </c>
      <c r="AM1133" s="15">
        <f>Tabela21[[#This Row],[Att subs]]+Tabela21[[#This Row],[Crit D subs]]</f>
        <v>1.8</v>
      </c>
      <c r="AN1133" s="15">
        <v>0.8</v>
      </c>
      <c r="AO1133" s="15">
        <v>1</v>
      </c>
      <c r="AP1133" s="15">
        <v>0.8</v>
      </c>
      <c r="AQ1133" s="189">
        <f t="shared" si="151"/>
        <v>8583.2999999999993</v>
      </c>
      <c r="AR1133" s="189">
        <f t="shared" si="152"/>
        <v>8559.7999999999993</v>
      </c>
      <c r="AS1133" s="189">
        <f t="shared" si="148"/>
        <v>7543.7999999999993</v>
      </c>
      <c r="AT1133" s="189">
        <f t="shared" si="149"/>
        <v>15087.599999999999</v>
      </c>
      <c r="AU1133" s="50">
        <f t="shared" si="150"/>
        <v>17119.599999999999</v>
      </c>
    </row>
    <row r="1134" spans="36:47">
      <c r="AJ1134" s="50">
        <v>2</v>
      </c>
      <c r="AK1134" s="50">
        <v>1</v>
      </c>
      <c r="AL1134" s="50">
        <v>0</v>
      </c>
      <c r="AM1134" s="15">
        <f>Tabela21[[#This Row],[Att subs]]+Tabela21[[#This Row],[Crit D subs]]</f>
        <v>1.8</v>
      </c>
      <c r="AN1134" s="15">
        <v>0.8</v>
      </c>
      <c r="AO1134" s="15">
        <v>1</v>
      </c>
      <c r="AP1134" s="15">
        <v>0.9</v>
      </c>
      <c r="AQ1134" s="189">
        <f t="shared" si="151"/>
        <v>8583.2999999999993</v>
      </c>
      <c r="AR1134" s="189">
        <f t="shared" si="152"/>
        <v>8559.7999999999993</v>
      </c>
      <c r="AS1134" s="189">
        <f t="shared" si="148"/>
        <v>7543.7999999999993</v>
      </c>
      <c r="AT1134" s="189">
        <f t="shared" si="149"/>
        <v>15087.599999999999</v>
      </c>
      <c r="AU1134" s="50">
        <f t="shared" si="150"/>
        <v>17119.599999999999</v>
      </c>
    </row>
    <row r="1135" spans="36:47">
      <c r="AJ1135" s="50">
        <v>2</v>
      </c>
      <c r="AK1135" s="50">
        <v>1</v>
      </c>
      <c r="AL1135" s="50">
        <v>0</v>
      </c>
      <c r="AM1135" s="15">
        <f>Tabela21[[#This Row],[Att subs]]+Tabela21[[#This Row],[Crit D subs]]</f>
        <v>1.8</v>
      </c>
      <c r="AN1135" s="15">
        <v>0.8</v>
      </c>
      <c r="AO1135" s="15">
        <v>1</v>
      </c>
      <c r="AP1135" s="15">
        <v>1</v>
      </c>
      <c r="AQ1135" s="189">
        <f t="shared" si="151"/>
        <v>8583.2999999999993</v>
      </c>
      <c r="AR1135" s="189">
        <f t="shared" si="152"/>
        <v>8559.7999999999993</v>
      </c>
      <c r="AS1135" s="189">
        <f t="shared" si="148"/>
        <v>7543.7999999999993</v>
      </c>
      <c r="AT1135" s="189">
        <f t="shared" si="149"/>
        <v>15087.599999999999</v>
      </c>
      <c r="AU1135" s="50">
        <f t="shared" si="150"/>
        <v>17119.599999999999</v>
      </c>
    </row>
    <row r="1136" spans="36:47">
      <c r="AJ1136" s="50">
        <v>2</v>
      </c>
      <c r="AK1136" s="50">
        <v>0</v>
      </c>
      <c r="AL1136" s="50">
        <v>1</v>
      </c>
      <c r="AM1136" s="15">
        <f>Tabela21[[#This Row],[Att subs]]+Tabela21[[#This Row],[Crit D subs]]</f>
        <v>1.8</v>
      </c>
      <c r="AN1136" s="15">
        <v>0.8</v>
      </c>
      <c r="AO1136" s="15">
        <v>1</v>
      </c>
      <c r="AP1136" s="15">
        <v>0</v>
      </c>
      <c r="AQ1136" s="189">
        <f t="shared" si="151"/>
        <v>5577.7000000000007</v>
      </c>
      <c r="AR1136" s="189">
        <f t="shared" si="152"/>
        <v>5532.12</v>
      </c>
      <c r="AS1136" s="189">
        <f t="shared" si="148"/>
        <v>5816.6</v>
      </c>
      <c r="AT1136" s="189">
        <f t="shared" si="149"/>
        <v>11277.599999999999</v>
      </c>
      <c r="AU1136" s="50">
        <f t="shared" si="150"/>
        <v>10099.039999999999</v>
      </c>
    </row>
    <row r="1137" spans="36:47">
      <c r="AJ1137" s="50">
        <v>2</v>
      </c>
      <c r="AK1137" s="50">
        <v>0</v>
      </c>
      <c r="AL1137" s="50">
        <v>1</v>
      </c>
      <c r="AM1137" s="15">
        <f>Tabela21[[#This Row],[Att subs]]+Tabela21[[#This Row],[Crit D subs]]</f>
        <v>1.8</v>
      </c>
      <c r="AN1137" s="15">
        <v>0.8</v>
      </c>
      <c r="AO1137" s="15">
        <v>1</v>
      </c>
      <c r="AP1137" s="15">
        <v>0.1</v>
      </c>
      <c r="AQ1137" s="189">
        <f t="shared" si="151"/>
        <v>6011.2</v>
      </c>
      <c r="AR1137" s="189">
        <f t="shared" si="152"/>
        <v>6014.7200000000012</v>
      </c>
      <c r="AS1137" s="189">
        <f t="shared" si="148"/>
        <v>6197.5999999999995</v>
      </c>
      <c r="AT1137" s="189">
        <f t="shared" si="149"/>
        <v>12293.6</v>
      </c>
      <c r="AU1137" s="50">
        <f t="shared" si="150"/>
        <v>11318.240000000002</v>
      </c>
    </row>
    <row r="1138" spans="36:47">
      <c r="AJ1138" s="50">
        <v>2</v>
      </c>
      <c r="AK1138" s="50">
        <v>0</v>
      </c>
      <c r="AL1138" s="50">
        <v>1</v>
      </c>
      <c r="AM1138" s="15">
        <f>Tabela21[[#This Row],[Att subs]]+Tabela21[[#This Row],[Crit D subs]]</f>
        <v>1.8</v>
      </c>
      <c r="AN1138" s="15">
        <v>0.8</v>
      </c>
      <c r="AO1138" s="15">
        <v>1</v>
      </c>
      <c r="AP1138" s="15">
        <v>0.2</v>
      </c>
      <c r="AQ1138" s="189">
        <f t="shared" si="151"/>
        <v>6444.7</v>
      </c>
      <c r="AR1138" s="189">
        <f t="shared" si="152"/>
        <v>6497.32</v>
      </c>
      <c r="AS1138" s="189">
        <f t="shared" si="148"/>
        <v>6350</v>
      </c>
      <c r="AT1138" s="189">
        <f t="shared" si="149"/>
        <v>12700</v>
      </c>
      <c r="AU1138" s="50">
        <f t="shared" si="150"/>
        <v>12537.439999999997</v>
      </c>
    </row>
    <row r="1139" spans="36:47">
      <c r="AJ1139" s="50">
        <v>2</v>
      </c>
      <c r="AK1139" s="50">
        <v>0</v>
      </c>
      <c r="AL1139" s="50">
        <v>1</v>
      </c>
      <c r="AM1139" s="15">
        <f>Tabela21[[#This Row],[Att subs]]+Tabela21[[#This Row],[Crit D subs]]</f>
        <v>1.8</v>
      </c>
      <c r="AN1139" s="15">
        <v>0.8</v>
      </c>
      <c r="AO1139" s="15">
        <v>1</v>
      </c>
      <c r="AP1139" s="15">
        <v>0.3</v>
      </c>
      <c r="AQ1139" s="189">
        <f t="shared" si="151"/>
        <v>6878.2000000000007</v>
      </c>
      <c r="AR1139" s="189">
        <f t="shared" si="152"/>
        <v>6979.920000000001</v>
      </c>
      <c r="AS1139" s="189">
        <f t="shared" si="148"/>
        <v>6350</v>
      </c>
      <c r="AT1139" s="189">
        <f t="shared" si="149"/>
        <v>12700</v>
      </c>
      <c r="AU1139" s="50">
        <f t="shared" si="150"/>
        <v>13756.640000000001</v>
      </c>
    </row>
    <row r="1140" spans="36:47">
      <c r="AJ1140" s="50">
        <v>2</v>
      </c>
      <c r="AK1140" s="50">
        <v>0</v>
      </c>
      <c r="AL1140" s="50">
        <v>1</v>
      </c>
      <c r="AM1140" s="15">
        <f>Tabela21[[#This Row],[Att subs]]+Tabela21[[#This Row],[Crit D subs]]</f>
        <v>1.8</v>
      </c>
      <c r="AN1140" s="15">
        <v>0.8</v>
      </c>
      <c r="AO1140" s="15">
        <v>1</v>
      </c>
      <c r="AP1140" s="15">
        <v>0.4</v>
      </c>
      <c r="AQ1140" s="189">
        <f t="shared" si="151"/>
        <v>7225</v>
      </c>
      <c r="AR1140" s="189">
        <f t="shared" si="152"/>
        <v>7366</v>
      </c>
      <c r="AS1140" s="189">
        <f t="shared" si="148"/>
        <v>6350</v>
      </c>
      <c r="AT1140" s="189">
        <f t="shared" si="149"/>
        <v>12700</v>
      </c>
      <c r="AU1140" s="50">
        <f t="shared" si="150"/>
        <v>14732</v>
      </c>
    </row>
    <row r="1141" spans="36:47">
      <c r="AJ1141" s="50">
        <v>2</v>
      </c>
      <c r="AK1141" s="50">
        <v>0</v>
      </c>
      <c r="AL1141" s="50">
        <v>1</v>
      </c>
      <c r="AM1141" s="15">
        <f>Tabela21[[#This Row],[Att subs]]+Tabela21[[#This Row],[Crit D subs]]</f>
        <v>1.8</v>
      </c>
      <c r="AN1141" s="15">
        <v>0.8</v>
      </c>
      <c r="AO1141" s="15">
        <v>1</v>
      </c>
      <c r="AP1141" s="15">
        <v>0.5</v>
      </c>
      <c r="AQ1141" s="189">
        <f t="shared" si="151"/>
        <v>7225</v>
      </c>
      <c r="AR1141" s="189">
        <f t="shared" si="152"/>
        <v>7366</v>
      </c>
      <c r="AS1141" s="189">
        <f t="shared" si="148"/>
        <v>6350</v>
      </c>
      <c r="AT1141" s="189">
        <f t="shared" si="149"/>
        <v>12700</v>
      </c>
      <c r="AU1141" s="50">
        <f t="shared" si="150"/>
        <v>14732</v>
      </c>
    </row>
    <row r="1142" spans="36:47">
      <c r="AJ1142" s="50">
        <v>2</v>
      </c>
      <c r="AK1142" s="50">
        <v>0</v>
      </c>
      <c r="AL1142" s="50">
        <v>1</v>
      </c>
      <c r="AM1142" s="15">
        <f>Tabela21[[#This Row],[Att subs]]+Tabela21[[#This Row],[Crit D subs]]</f>
        <v>1.8</v>
      </c>
      <c r="AN1142" s="15">
        <v>0.8</v>
      </c>
      <c r="AO1142" s="15">
        <v>1</v>
      </c>
      <c r="AP1142" s="15">
        <v>0.6</v>
      </c>
      <c r="AQ1142" s="189">
        <f t="shared" si="151"/>
        <v>7225</v>
      </c>
      <c r="AR1142" s="189">
        <f t="shared" si="152"/>
        <v>7366</v>
      </c>
      <c r="AS1142" s="189">
        <f t="shared" si="148"/>
        <v>6350</v>
      </c>
      <c r="AT1142" s="189">
        <f t="shared" si="149"/>
        <v>12700</v>
      </c>
      <c r="AU1142" s="50">
        <f t="shared" si="150"/>
        <v>14732</v>
      </c>
    </row>
    <row r="1143" spans="36:47">
      <c r="AJ1143" s="50">
        <v>2</v>
      </c>
      <c r="AK1143" s="50">
        <v>0</v>
      </c>
      <c r="AL1143" s="50">
        <v>1</v>
      </c>
      <c r="AM1143" s="15">
        <f>Tabela21[[#This Row],[Att subs]]+Tabela21[[#This Row],[Crit D subs]]</f>
        <v>1.8</v>
      </c>
      <c r="AN1143" s="15">
        <v>0.8</v>
      </c>
      <c r="AO1143" s="15">
        <v>1</v>
      </c>
      <c r="AP1143" s="15">
        <v>0.7</v>
      </c>
      <c r="AQ1143" s="189">
        <f t="shared" si="151"/>
        <v>7225</v>
      </c>
      <c r="AR1143" s="189">
        <f t="shared" si="152"/>
        <v>7366</v>
      </c>
      <c r="AS1143" s="189">
        <f t="shared" si="148"/>
        <v>6350</v>
      </c>
      <c r="AT1143" s="189">
        <f t="shared" si="149"/>
        <v>12700</v>
      </c>
      <c r="AU1143" s="50">
        <f t="shared" si="150"/>
        <v>14732</v>
      </c>
    </row>
    <row r="1144" spans="36:47">
      <c r="AJ1144" s="50">
        <v>2</v>
      </c>
      <c r="AK1144" s="50">
        <v>0</v>
      </c>
      <c r="AL1144" s="50">
        <v>1</v>
      </c>
      <c r="AM1144" s="15">
        <f>Tabela21[[#This Row],[Att subs]]+Tabela21[[#This Row],[Crit D subs]]</f>
        <v>1.8</v>
      </c>
      <c r="AN1144" s="15">
        <v>0.8</v>
      </c>
      <c r="AO1144" s="15">
        <v>1</v>
      </c>
      <c r="AP1144" s="15">
        <v>0.8</v>
      </c>
      <c r="AQ1144" s="189">
        <f t="shared" si="151"/>
        <v>7225</v>
      </c>
      <c r="AR1144" s="189">
        <f t="shared" si="152"/>
        <v>7366</v>
      </c>
      <c r="AS1144" s="189">
        <f t="shared" si="148"/>
        <v>6350</v>
      </c>
      <c r="AT1144" s="189">
        <f t="shared" si="149"/>
        <v>12700</v>
      </c>
      <c r="AU1144" s="50">
        <f t="shared" si="150"/>
        <v>14732</v>
      </c>
    </row>
    <row r="1145" spans="36:47">
      <c r="AJ1145" s="50">
        <v>2</v>
      </c>
      <c r="AK1145" s="50">
        <v>0</v>
      </c>
      <c r="AL1145" s="50">
        <v>1</v>
      </c>
      <c r="AM1145" s="15">
        <f>Tabela21[[#This Row],[Att subs]]+Tabela21[[#This Row],[Crit D subs]]</f>
        <v>1.8</v>
      </c>
      <c r="AN1145" s="15">
        <v>0.8</v>
      </c>
      <c r="AO1145" s="15">
        <v>1</v>
      </c>
      <c r="AP1145" s="15">
        <v>0.9</v>
      </c>
      <c r="AQ1145" s="189">
        <f t="shared" si="151"/>
        <v>7225</v>
      </c>
      <c r="AR1145" s="189">
        <f t="shared" si="152"/>
        <v>7366</v>
      </c>
      <c r="AS1145" s="189">
        <f t="shared" si="148"/>
        <v>6350</v>
      </c>
      <c r="AT1145" s="189">
        <f t="shared" si="149"/>
        <v>12700</v>
      </c>
      <c r="AU1145" s="50">
        <f t="shared" si="150"/>
        <v>14732</v>
      </c>
    </row>
    <row r="1146" spans="36:47">
      <c r="AJ1146" s="50">
        <v>2</v>
      </c>
      <c r="AK1146" s="50">
        <v>0</v>
      </c>
      <c r="AL1146" s="50">
        <v>1</v>
      </c>
      <c r="AM1146" s="15">
        <f>Tabela21[[#This Row],[Att subs]]+Tabela21[[#This Row],[Crit D subs]]</f>
        <v>1.8</v>
      </c>
      <c r="AN1146" s="15">
        <v>0.8</v>
      </c>
      <c r="AO1146" s="15">
        <v>1</v>
      </c>
      <c r="AP1146" s="15">
        <v>1</v>
      </c>
      <c r="AQ1146" s="189">
        <f t="shared" si="151"/>
        <v>7225</v>
      </c>
      <c r="AR1146" s="189">
        <f t="shared" si="152"/>
        <v>7366</v>
      </c>
      <c r="AS1146" s="189">
        <f t="shared" si="148"/>
        <v>6350</v>
      </c>
      <c r="AT1146" s="189">
        <f t="shared" si="149"/>
        <v>12700</v>
      </c>
      <c r="AU1146" s="50">
        <f t="shared" si="150"/>
        <v>14732</v>
      </c>
    </row>
    <row r="1147" spans="36:47">
      <c r="AJ1147" s="50">
        <v>3</v>
      </c>
      <c r="AK1147" s="50">
        <v>0</v>
      </c>
      <c r="AL1147" s="50">
        <v>0</v>
      </c>
      <c r="AM1147" s="15">
        <f>Tabela21[[#This Row],[Att subs]]+Tabela21[[#This Row],[Crit D subs]]</f>
        <v>1.8</v>
      </c>
      <c r="AN1147" s="15">
        <v>0.8</v>
      </c>
      <c r="AO1147" s="15">
        <v>1</v>
      </c>
      <c r="AP1147" s="15">
        <v>0</v>
      </c>
      <c r="AQ1147" s="189">
        <f t="shared" si="151"/>
        <v>4580.3000000000011</v>
      </c>
      <c r="AR1147" s="189">
        <f t="shared" si="152"/>
        <v>4402.83</v>
      </c>
      <c r="AS1147" s="189">
        <f t="shared" si="148"/>
        <v>5136.1499999999996</v>
      </c>
      <c r="AT1147" s="189">
        <f t="shared" si="149"/>
        <v>8846.4</v>
      </c>
      <c r="AU1147" s="50">
        <f t="shared" si="150"/>
        <v>6681.3600000000006</v>
      </c>
    </row>
    <row r="1148" spans="36:47">
      <c r="AJ1148" s="50">
        <v>3</v>
      </c>
      <c r="AK1148" s="50">
        <v>0</v>
      </c>
      <c r="AL1148" s="50">
        <v>0</v>
      </c>
      <c r="AM1148" s="15">
        <f>Tabela21[[#This Row],[Att subs]]+Tabela21[[#This Row],[Crit D subs]]</f>
        <v>1.8</v>
      </c>
      <c r="AN1148" s="15">
        <v>0.8</v>
      </c>
      <c r="AO1148" s="15">
        <v>1</v>
      </c>
      <c r="AP1148" s="15">
        <v>0.1</v>
      </c>
      <c r="AQ1148" s="189">
        <f t="shared" si="151"/>
        <v>5069.3000000000011</v>
      </c>
      <c r="AR1148" s="189">
        <f t="shared" si="152"/>
        <v>4955.7299999999996</v>
      </c>
      <c r="AS1148" s="189">
        <f t="shared" si="148"/>
        <v>5572.6500000000005</v>
      </c>
      <c r="AT1148" s="189">
        <f t="shared" si="149"/>
        <v>10010.4</v>
      </c>
      <c r="AU1148" s="50">
        <f t="shared" si="150"/>
        <v>8078.16</v>
      </c>
    </row>
    <row r="1149" spans="36:47">
      <c r="AJ1149" s="50">
        <v>3</v>
      </c>
      <c r="AK1149" s="50">
        <v>0</v>
      </c>
      <c r="AL1149" s="50">
        <v>0</v>
      </c>
      <c r="AM1149" s="15">
        <f>Tabela21[[#This Row],[Att subs]]+Tabela21[[#This Row],[Crit D subs]]</f>
        <v>1.8</v>
      </c>
      <c r="AN1149" s="15">
        <v>0.8</v>
      </c>
      <c r="AO1149" s="15">
        <v>1</v>
      </c>
      <c r="AP1149" s="15">
        <v>0.2</v>
      </c>
      <c r="AQ1149" s="189">
        <f t="shared" si="151"/>
        <v>5558.2999999999993</v>
      </c>
      <c r="AR1149" s="189">
        <f t="shared" si="152"/>
        <v>5508.6299999999992</v>
      </c>
      <c r="AS1149" s="189">
        <f t="shared" si="148"/>
        <v>6009.15</v>
      </c>
      <c r="AT1149" s="189">
        <f t="shared" si="149"/>
        <v>11174.4</v>
      </c>
      <c r="AU1149" s="50">
        <f t="shared" si="150"/>
        <v>9474.9599999999991</v>
      </c>
    </row>
    <row r="1150" spans="36:47">
      <c r="AJ1150" s="50">
        <v>3</v>
      </c>
      <c r="AK1150" s="50">
        <v>0</v>
      </c>
      <c r="AL1150" s="50">
        <v>0</v>
      </c>
      <c r="AM1150" s="15">
        <f>Tabela21[[#This Row],[Att subs]]+Tabela21[[#This Row],[Crit D subs]]</f>
        <v>1.8</v>
      </c>
      <c r="AN1150" s="15">
        <v>0.8</v>
      </c>
      <c r="AO1150" s="15">
        <v>1</v>
      </c>
      <c r="AP1150" s="15">
        <v>0.3</v>
      </c>
      <c r="AQ1150" s="189">
        <f t="shared" si="151"/>
        <v>6047.3000000000011</v>
      </c>
      <c r="AR1150" s="189">
        <f t="shared" si="152"/>
        <v>6061.5299999999988</v>
      </c>
      <c r="AS1150" s="189">
        <f t="shared" si="148"/>
        <v>6445.65</v>
      </c>
      <c r="AT1150" s="189">
        <f t="shared" si="149"/>
        <v>12338.400000000001</v>
      </c>
      <c r="AU1150" s="50">
        <f t="shared" si="150"/>
        <v>10871.76</v>
      </c>
    </row>
    <row r="1151" spans="36:47">
      <c r="AJ1151" s="50">
        <v>3</v>
      </c>
      <c r="AK1151" s="50">
        <v>0</v>
      </c>
      <c r="AL1151" s="50">
        <v>0</v>
      </c>
      <c r="AM1151" s="15">
        <f>Tabela21[[#This Row],[Att subs]]+Tabela21[[#This Row],[Crit D subs]]</f>
        <v>1.8</v>
      </c>
      <c r="AN1151" s="15">
        <v>0.8</v>
      </c>
      <c r="AO1151" s="15">
        <v>1</v>
      </c>
      <c r="AP1151" s="15">
        <v>0.4</v>
      </c>
      <c r="AQ1151" s="189">
        <f t="shared" si="151"/>
        <v>6536.3</v>
      </c>
      <c r="AR1151" s="189">
        <f t="shared" si="152"/>
        <v>6614.43</v>
      </c>
      <c r="AS1151" s="189">
        <f t="shared" si="148"/>
        <v>6882.15</v>
      </c>
      <c r="AT1151" s="189">
        <f t="shared" si="149"/>
        <v>13502.4</v>
      </c>
      <c r="AU1151" s="50">
        <f t="shared" si="150"/>
        <v>12268.560000000001</v>
      </c>
    </row>
    <row r="1152" spans="36:47">
      <c r="AJ1152" s="50">
        <v>3</v>
      </c>
      <c r="AK1152" s="50">
        <v>0</v>
      </c>
      <c r="AL1152" s="50">
        <v>0</v>
      </c>
      <c r="AM1152" s="15">
        <f>Tabela21[[#This Row],[Att subs]]+Tabela21[[#This Row],[Crit D subs]]</f>
        <v>1.8</v>
      </c>
      <c r="AN1152" s="15">
        <v>0.8</v>
      </c>
      <c r="AO1152" s="15">
        <v>1</v>
      </c>
      <c r="AP1152" s="15">
        <v>0.5</v>
      </c>
      <c r="AQ1152" s="189">
        <f t="shared" si="151"/>
        <v>7025.300000000002</v>
      </c>
      <c r="AR1152" s="189">
        <f t="shared" si="152"/>
        <v>7167.33</v>
      </c>
      <c r="AS1152" s="189">
        <f t="shared" si="148"/>
        <v>7275</v>
      </c>
      <c r="AT1152" s="189">
        <f t="shared" si="149"/>
        <v>14550</v>
      </c>
      <c r="AU1152" s="50">
        <f t="shared" si="150"/>
        <v>13665.359999999999</v>
      </c>
    </row>
    <row r="1153" spans="36:47">
      <c r="AJ1153" s="50">
        <v>3</v>
      </c>
      <c r="AK1153" s="50">
        <v>0</v>
      </c>
      <c r="AL1153" s="50">
        <v>0</v>
      </c>
      <c r="AM1153" s="15">
        <f>Tabela21[[#This Row],[Att subs]]+Tabela21[[#This Row],[Crit D subs]]</f>
        <v>1.8</v>
      </c>
      <c r="AN1153" s="15">
        <v>0.8</v>
      </c>
      <c r="AO1153" s="15">
        <v>1</v>
      </c>
      <c r="AP1153" s="15">
        <v>0.6</v>
      </c>
      <c r="AQ1153" s="189">
        <f t="shared" si="151"/>
        <v>7514.3</v>
      </c>
      <c r="AR1153" s="189">
        <f t="shared" si="152"/>
        <v>7720.2300000000005</v>
      </c>
      <c r="AS1153" s="189">
        <f t="shared" si="148"/>
        <v>7275</v>
      </c>
      <c r="AT1153" s="189">
        <f t="shared" si="149"/>
        <v>14550</v>
      </c>
      <c r="AU1153" s="50">
        <f t="shared" si="150"/>
        <v>15062.16</v>
      </c>
    </row>
    <row r="1154" spans="36:47">
      <c r="AJ1154" s="50">
        <v>3</v>
      </c>
      <c r="AK1154" s="50">
        <v>0</v>
      </c>
      <c r="AL1154" s="50">
        <v>0</v>
      </c>
      <c r="AM1154" s="15">
        <f>Tabela21[[#This Row],[Att subs]]+Tabela21[[#This Row],[Crit D subs]]</f>
        <v>1.8</v>
      </c>
      <c r="AN1154" s="15">
        <v>0.8</v>
      </c>
      <c r="AO1154" s="15">
        <v>1</v>
      </c>
      <c r="AP1154" s="15">
        <v>0.7</v>
      </c>
      <c r="AQ1154" s="189">
        <f t="shared" si="151"/>
        <v>8003.3000000000011</v>
      </c>
      <c r="AR1154" s="189">
        <f t="shared" si="152"/>
        <v>8273.1299999999992</v>
      </c>
      <c r="AS1154" s="189">
        <f t="shared" si="148"/>
        <v>7275</v>
      </c>
      <c r="AT1154" s="189">
        <f t="shared" si="149"/>
        <v>14550</v>
      </c>
      <c r="AU1154" s="50">
        <f t="shared" si="150"/>
        <v>16458.96</v>
      </c>
    </row>
    <row r="1155" spans="36:47">
      <c r="AJ1155" s="50">
        <v>3</v>
      </c>
      <c r="AK1155" s="50">
        <v>0</v>
      </c>
      <c r="AL1155" s="50">
        <v>0</v>
      </c>
      <c r="AM1155" s="15">
        <f>Tabela21[[#This Row],[Att subs]]+Tabela21[[#This Row],[Crit D subs]]</f>
        <v>1.8</v>
      </c>
      <c r="AN1155" s="15">
        <v>0.8</v>
      </c>
      <c r="AO1155" s="15">
        <v>1</v>
      </c>
      <c r="AP1155" s="15">
        <v>0.8</v>
      </c>
      <c r="AQ1155" s="189">
        <f t="shared" si="151"/>
        <v>8150.0000000000009</v>
      </c>
      <c r="AR1155" s="189">
        <f t="shared" si="152"/>
        <v>8439</v>
      </c>
      <c r="AS1155" s="189">
        <f t="shared" ref="AS1155:AS1190" si="153">$AG$3*(1+$AJ1155*$Y$2+$AN1155)*(MAXA(1-$AI$3-$AL1155*$AA$3-$AP1155-0.36,0)+MINA($AI$3+$AL1155*$AA$3+$AP1155+0.36,1)*(1+$AH$3+$AO1155+$AK1155*$Z$4))</f>
        <v>7275</v>
      </c>
      <c r="AT1155" s="189">
        <f t="shared" ref="AT1155:AT1190" si="154">$AG$3*(1+$AJ1155*$Y$2+$AN1155)*(MAXA(1-$AI$3-$AL1155*$AA$3-$AP1155-0.36,0)+2*MINA($AI$3+$AL1155*$AA$3+$AP1155+0.36,1)*(1+$AH$3+$AO1155+$AK1155*$Z$4))</f>
        <v>14550</v>
      </c>
      <c r="AU1155" s="50">
        <f t="shared" ref="AU1155:AU1190" si="155">$AG$3*(1+$AJ1155*$Y$2+$AN1155)*(MAXA(1-$AI$3-$AL1155*$AA$3-$AP1155-0.12,0)+2*MINA($AI$3+$AL1155*$AA$3+$AP1155+0.12,1)*(1+$AH$3+$AO1155+$AK1155*$Z$4+0.4))</f>
        <v>16878</v>
      </c>
    </row>
    <row r="1156" spans="36:47">
      <c r="AJ1156" s="50">
        <v>3</v>
      </c>
      <c r="AK1156" s="50">
        <v>0</v>
      </c>
      <c r="AL1156" s="50">
        <v>0</v>
      </c>
      <c r="AM1156" s="15">
        <f>Tabela21[[#This Row],[Att subs]]+Tabela21[[#This Row],[Crit D subs]]</f>
        <v>1.8</v>
      </c>
      <c r="AN1156" s="15">
        <v>0.8</v>
      </c>
      <c r="AO1156" s="15">
        <v>1</v>
      </c>
      <c r="AP1156" s="15">
        <v>0.9</v>
      </c>
      <c r="AQ1156" s="189">
        <f t="shared" ref="AQ1156:AQ1190" si="156">$AG$3*(1+$AJ1156*$Y$2+$AN1156+0.35)*(MAXA(1-$AI$3-$AL1156*$AA$3-$AP1156-0.12,0)+MINA($AI$3+$AL1156*$AA$3+$AP1156+0.12,1)*(1+$AH$3+$AO1156+$AK1156*$Z$4))</f>
        <v>8150.0000000000009</v>
      </c>
      <c r="AR1156" s="189">
        <f t="shared" ref="AR1156:AR1190" si="157">$AG$3*(1+$AJ1156*$Y$2+$AN1156)*(MAXA(1-$AI$3-$AL1156*$AA$3-$AP1156-0.12,0)+MINA($AI$3+$AL1156*$AA$3+$AP1156+0.12,1)*(1+$AH$3+$AO1156+$AK1156*$Z$4+0.4))</f>
        <v>8439</v>
      </c>
      <c r="AS1156" s="189">
        <f t="shared" si="153"/>
        <v>7275</v>
      </c>
      <c r="AT1156" s="189">
        <f t="shared" si="154"/>
        <v>14550</v>
      </c>
      <c r="AU1156" s="50">
        <f t="shared" si="155"/>
        <v>16878</v>
      </c>
    </row>
    <row r="1157" spans="36:47">
      <c r="AJ1157" s="50">
        <v>3</v>
      </c>
      <c r="AK1157" s="50">
        <v>0</v>
      </c>
      <c r="AL1157" s="50">
        <v>0</v>
      </c>
      <c r="AM1157" s="15">
        <f>Tabela21[[#This Row],[Att subs]]+Tabela21[[#This Row],[Crit D subs]]</f>
        <v>1.8</v>
      </c>
      <c r="AN1157" s="15">
        <v>0.8</v>
      </c>
      <c r="AO1157" s="15">
        <v>1</v>
      </c>
      <c r="AP1157" s="15">
        <v>1</v>
      </c>
      <c r="AQ1157" s="189">
        <f t="shared" si="156"/>
        <v>8150.0000000000009</v>
      </c>
      <c r="AR1157" s="189">
        <f t="shared" si="157"/>
        <v>8439</v>
      </c>
      <c r="AS1157" s="189">
        <f t="shared" si="153"/>
        <v>7275</v>
      </c>
      <c r="AT1157" s="189">
        <f t="shared" si="154"/>
        <v>14550</v>
      </c>
      <c r="AU1157" s="50">
        <f t="shared" si="155"/>
        <v>16878</v>
      </c>
    </row>
    <row r="1158" spans="36:47">
      <c r="AJ1158" s="50">
        <v>2</v>
      </c>
      <c r="AK1158" s="50">
        <v>1</v>
      </c>
      <c r="AL1158" s="50">
        <v>0</v>
      </c>
      <c r="AM1158" s="15">
        <f>Tabela21[[#This Row],[Att subs]]+Tabela21[[#This Row],[Crit D subs]]</f>
        <v>2</v>
      </c>
      <c r="AN1158" s="15">
        <v>1</v>
      </c>
      <c r="AO1158" s="15">
        <v>1</v>
      </c>
      <c r="AP1158" s="15">
        <v>0</v>
      </c>
      <c r="AQ1158" s="189">
        <f t="shared" si="156"/>
        <v>4733.5709999999999</v>
      </c>
      <c r="AR1158" s="189">
        <f t="shared" si="157"/>
        <v>4493.326</v>
      </c>
      <c r="AS1158" s="189">
        <f t="shared" si="153"/>
        <v>5492.8779999999988</v>
      </c>
      <c r="AT1158" s="189">
        <f t="shared" si="154"/>
        <v>9643.1560000000009</v>
      </c>
      <c r="AU1158" s="50">
        <f t="shared" si="155"/>
        <v>6986.4519999999993</v>
      </c>
    </row>
    <row r="1159" spans="36:47">
      <c r="AJ1159" s="50">
        <v>2</v>
      </c>
      <c r="AK1159" s="50">
        <v>1</v>
      </c>
      <c r="AL1159" s="50">
        <v>0</v>
      </c>
      <c r="AM1159" s="15">
        <f>Tabela21[[#This Row],[Att subs]]+Tabela21[[#This Row],[Crit D subs]]</f>
        <v>2</v>
      </c>
      <c r="AN1159" s="15">
        <v>1</v>
      </c>
      <c r="AO1159" s="15">
        <v>1</v>
      </c>
      <c r="AP1159" s="15">
        <v>0.1</v>
      </c>
      <c r="AQ1159" s="189">
        <f t="shared" si="156"/>
        <v>5342.3010000000004</v>
      </c>
      <c r="AR1159" s="189">
        <f t="shared" si="157"/>
        <v>5142.7060000000001</v>
      </c>
      <c r="AS1159" s="189">
        <f t="shared" si="153"/>
        <v>6032.6579999999994</v>
      </c>
      <c r="AT1159" s="189">
        <f t="shared" si="154"/>
        <v>10996.716</v>
      </c>
      <c r="AU1159" s="50">
        <f t="shared" si="155"/>
        <v>8559.2119999999995</v>
      </c>
    </row>
    <row r="1160" spans="36:47">
      <c r="AJ1160" s="50">
        <v>2</v>
      </c>
      <c r="AK1160" s="50">
        <v>1</v>
      </c>
      <c r="AL1160" s="50">
        <v>0</v>
      </c>
      <c r="AM1160" s="15">
        <f>Tabela21[[#This Row],[Att subs]]+Tabela21[[#This Row],[Crit D subs]]</f>
        <v>2</v>
      </c>
      <c r="AN1160" s="15">
        <v>1</v>
      </c>
      <c r="AO1160" s="15">
        <v>1</v>
      </c>
      <c r="AP1160" s="15">
        <v>0.2</v>
      </c>
      <c r="AQ1160" s="189">
        <f t="shared" si="156"/>
        <v>5951.030999999999</v>
      </c>
      <c r="AR1160" s="189">
        <f t="shared" si="157"/>
        <v>5792.0859999999993</v>
      </c>
      <c r="AS1160" s="189">
        <f t="shared" si="153"/>
        <v>6572.4379999999992</v>
      </c>
      <c r="AT1160" s="189">
        <f t="shared" si="154"/>
        <v>12350.276</v>
      </c>
      <c r="AU1160" s="50">
        <f t="shared" si="155"/>
        <v>10131.971999999998</v>
      </c>
    </row>
    <row r="1161" spans="36:47">
      <c r="AJ1161" s="50">
        <v>2</v>
      </c>
      <c r="AK1161" s="50">
        <v>1</v>
      </c>
      <c r="AL1161" s="50">
        <v>0</v>
      </c>
      <c r="AM1161" s="15">
        <f>Tabela21[[#This Row],[Att subs]]+Tabela21[[#This Row],[Crit D subs]]</f>
        <v>2</v>
      </c>
      <c r="AN1161" s="15">
        <v>1</v>
      </c>
      <c r="AO1161" s="15">
        <v>1</v>
      </c>
      <c r="AP1161" s="15">
        <v>0.3</v>
      </c>
      <c r="AQ1161" s="189">
        <f t="shared" si="156"/>
        <v>6559.7609999999995</v>
      </c>
      <c r="AR1161" s="189">
        <f t="shared" si="157"/>
        <v>6441.4659999999994</v>
      </c>
      <c r="AS1161" s="189">
        <f t="shared" si="153"/>
        <v>7112.2179999999989</v>
      </c>
      <c r="AT1161" s="189">
        <f t="shared" si="154"/>
        <v>13703.835999999998</v>
      </c>
      <c r="AU1161" s="50">
        <f t="shared" si="155"/>
        <v>11704.731999999996</v>
      </c>
    </row>
    <row r="1162" spans="36:47">
      <c r="AJ1162" s="50">
        <v>2</v>
      </c>
      <c r="AK1162" s="50">
        <v>1</v>
      </c>
      <c r="AL1162" s="50">
        <v>0</v>
      </c>
      <c r="AM1162" s="15">
        <f>Tabela21[[#This Row],[Att subs]]+Tabela21[[#This Row],[Crit D subs]]</f>
        <v>2</v>
      </c>
      <c r="AN1162" s="15">
        <v>1</v>
      </c>
      <c r="AO1162" s="15">
        <v>1</v>
      </c>
      <c r="AP1162" s="15">
        <v>0.4</v>
      </c>
      <c r="AQ1162" s="189">
        <f t="shared" si="156"/>
        <v>7168.4910000000009</v>
      </c>
      <c r="AR1162" s="189">
        <f t="shared" si="157"/>
        <v>7090.8459999999995</v>
      </c>
      <c r="AS1162" s="189">
        <f t="shared" si="153"/>
        <v>7651.9979999999987</v>
      </c>
      <c r="AT1162" s="189">
        <f t="shared" si="154"/>
        <v>15057.395999999997</v>
      </c>
      <c r="AU1162" s="50">
        <f t="shared" si="155"/>
        <v>13277.491999999998</v>
      </c>
    </row>
    <row r="1163" spans="36:47">
      <c r="AJ1163" s="50">
        <v>2</v>
      </c>
      <c r="AK1163" s="50">
        <v>1</v>
      </c>
      <c r="AL1163" s="50">
        <v>0</v>
      </c>
      <c r="AM1163" s="15">
        <f>Tabela21[[#This Row],[Att subs]]+Tabela21[[#This Row],[Crit D subs]]</f>
        <v>2</v>
      </c>
      <c r="AN1163" s="15">
        <v>1</v>
      </c>
      <c r="AO1163" s="15">
        <v>1</v>
      </c>
      <c r="AP1163" s="15">
        <v>0.5</v>
      </c>
      <c r="AQ1163" s="189">
        <f t="shared" si="156"/>
        <v>7777.2210000000005</v>
      </c>
      <c r="AR1163" s="189">
        <f t="shared" si="157"/>
        <v>7740.2259999999997</v>
      </c>
      <c r="AS1163" s="189">
        <f t="shared" si="153"/>
        <v>8137.7999999999993</v>
      </c>
      <c r="AT1163" s="189">
        <f t="shared" si="154"/>
        <v>16275.599999999999</v>
      </c>
      <c r="AU1163" s="50">
        <f t="shared" si="155"/>
        <v>14850.252</v>
      </c>
    </row>
    <row r="1164" spans="36:47">
      <c r="AJ1164" s="50">
        <v>2</v>
      </c>
      <c r="AK1164" s="50">
        <v>1</v>
      </c>
      <c r="AL1164" s="50">
        <v>0</v>
      </c>
      <c r="AM1164" s="15">
        <f>Tabela21[[#This Row],[Att subs]]+Tabela21[[#This Row],[Crit D subs]]</f>
        <v>2</v>
      </c>
      <c r="AN1164" s="15">
        <v>1</v>
      </c>
      <c r="AO1164" s="15">
        <v>1</v>
      </c>
      <c r="AP1164" s="15">
        <v>0.6</v>
      </c>
      <c r="AQ1164" s="189">
        <f t="shared" si="156"/>
        <v>8385.9510000000009</v>
      </c>
      <c r="AR1164" s="189">
        <f t="shared" si="157"/>
        <v>8389.6059999999998</v>
      </c>
      <c r="AS1164" s="189">
        <f t="shared" si="153"/>
        <v>8137.7999999999993</v>
      </c>
      <c r="AT1164" s="189">
        <f t="shared" si="154"/>
        <v>16275.599999999999</v>
      </c>
      <c r="AU1164" s="50">
        <f t="shared" si="155"/>
        <v>16423.011999999999</v>
      </c>
    </row>
    <row r="1165" spans="36:47">
      <c r="AJ1165" s="50">
        <v>2</v>
      </c>
      <c r="AK1165" s="50">
        <v>1</v>
      </c>
      <c r="AL1165" s="50">
        <v>0</v>
      </c>
      <c r="AM1165" s="15">
        <f>Tabela21[[#This Row],[Att subs]]+Tabela21[[#This Row],[Crit D subs]]</f>
        <v>2</v>
      </c>
      <c r="AN1165" s="15">
        <v>1</v>
      </c>
      <c r="AO1165" s="15">
        <v>1</v>
      </c>
      <c r="AP1165" s="15">
        <v>0.7</v>
      </c>
      <c r="AQ1165" s="189">
        <f t="shared" si="156"/>
        <v>8994.6810000000005</v>
      </c>
      <c r="AR1165" s="189">
        <f t="shared" si="157"/>
        <v>9038.985999999999</v>
      </c>
      <c r="AS1165" s="189">
        <f t="shared" si="153"/>
        <v>8137.7999999999993</v>
      </c>
      <c r="AT1165" s="189">
        <f t="shared" si="154"/>
        <v>16275.599999999999</v>
      </c>
      <c r="AU1165" s="50">
        <f t="shared" si="155"/>
        <v>17995.771999999997</v>
      </c>
    </row>
    <row r="1166" spans="36:47">
      <c r="AJ1166" s="50">
        <v>2</v>
      </c>
      <c r="AK1166" s="50">
        <v>1</v>
      </c>
      <c r="AL1166" s="50">
        <v>0</v>
      </c>
      <c r="AM1166" s="15">
        <f>Tabela21[[#This Row],[Att subs]]+Tabela21[[#This Row],[Crit D subs]]</f>
        <v>2</v>
      </c>
      <c r="AN1166" s="15">
        <v>1</v>
      </c>
      <c r="AO1166" s="15">
        <v>1</v>
      </c>
      <c r="AP1166" s="15">
        <v>0.8</v>
      </c>
      <c r="AQ1166" s="189">
        <f t="shared" si="156"/>
        <v>9177.3000000000011</v>
      </c>
      <c r="AR1166" s="189">
        <f t="shared" si="157"/>
        <v>9233.7999999999993</v>
      </c>
      <c r="AS1166" s="189">
        <f t="shared" si="153"/>
        <v>8137.7999999999993</v>
      </c>
      <c r="AT1166" s="189">
        <f t="shared" si="154"/>
        <v>16275.599999999999</v>
      </c>
      <c r="AU1166" s="50">
        <f t="shared" si="155"/>
        <v>18467.599999999999</v>
      </c>
    </row>
    <row r="1167" spans="36:47">
      <c r="AJ1167" s="50">
        <v>2</v>
      </c>
      <c r="AK1167" s="50">
        <v>1</v>
      </c>
      <c r="AL1167" s="50">
        <v>0</v>
      </c>
      <c r="AM1167" s="15">
        <f>Tabela21[[#This Row],[Att subs]]+Tabela21[[#This Row],[Crit D subs]]</f>
        <v>2</v>
      </c>
      <c r="AN1167" s="15">
        <v>1</v>
      </c>
      <c r="AO1167" s="15">
        <v>1</v>
      </c>
      <c r="AP1167" s="15">
        <v>0.9</v>
      </c>
      <c r="AQ1167" s="189">
        <f t="shared" si="156"/>
        <v>9177.3000000000011</v>
      </c>
      <c r="AR1167" s="189">
        <f t="shared" si="157"/>
        <v>9233.7999999999993</v>
      </c>
      <c r="AS1167" s="189">
        <f t="shared" si="153"/>
        <v>8137.7999999999993</v>
      </c>
      <c r="AT1167" s="189">
        <f t="shared" si="154"/>
        <v>16275.599999999999</v>
      </c>
      <c r="AU1167" s="50">
        <f t="shared" si="155"/>
        <v>18467.599999999999</v>
      </c>
    </row>
    <row r="1168" spans="36:47">
      <c r="AJ1168" s="50">
        <v>2</v>
      </c>
      <c r="AK1168" s="50">
        <v>1</v>
      </c>
      <c r="AL1168" s="50">
        <v>0</v>
      </c>
      <c r="AM1168" s="15">
        <f>Tabela21[[#This Row],[Att subs]]+Tabela21[[#This Row],[Crit D subs]]</f>
        <v>2</v>
      </c>
      <c r="AN1168" s="15">
        <v>1</v>
      </c>
      <c r="AO1168" s="15">
        <v>1</v>
      </c>
      <c r="AP1168" s="15">
        <v>1</v>
      </c>
      <c r="AQ1168" s="189">
        <f t="shared" si="156"/>
        <v>9177.3000000000011</v>
      </c>
      <c r="AR1168" s="189">
        <f t="shared" si="157"/>
        <v>9233.7999999999993</v>
      </c>
      <c r="AS1168" s="189">
        <f t="shared" si="153"/>
        <v>8137.7999999999993</v>
      </c>
      <c r="AT1168" s="189">
        <f t="shared" si="154"/>
        <v>16275.599999999999</v>
      </c>
      <c r="AU1168" s="50">
        <f t="shared" si="155"/>
        <v>18467.599999999999</v>
      </c>
    </row>
    <row r="1169" spans="36:47">
      <c r="AJ1169" s="50">
        <v>2</v>
      </c>
      <c r="AK1169" s="50">
        <v>0</v>
      </c>
      <c r="AL1169" s="50">
        <v>1</v>
      </c>
      <c r="AM1169" s="15">
        <f>Tabela21[[#This Row],[Att subs]]+Tabela21[[#This Row],[Crit D subs]]</f>
        <v>2</v>
      </c>
      <c r="AN1169" s="15">
        <v>1</v>
      </c>
      <c r="AO1169" s="15">
        <v>1</v>
      </c>
      <c r="AP1169" s="15">
        <v>0</v>
      </c>
      <c r="AQ1169" s="189">
        <f t="shared" si="156"/>
        <v>5963.7000000000016</v>
      </c>
      <c r="AR1169" s="189">
        <f t="shared" si="157"/>
        <v>5967.72</v>
      </c>
      <c r="AS1169" s="189">
        <f t="shared" si="153"/>
        <v>6274.6</v>
      </c>
      <c r="AT1169" s="189">
        <f t="shared" si="154"/>
        <v>12165.599999999999</v>
      </c>
      <c r="AU1169" s="50">
        <f t="shared" si="155"/>
        <v>10894.24</v>
      </c>
    </row>
    <row r="1170" spans="36:47">
      <c r="AJ1170" s="50">
        <v>2</v>
      </c>
      <c r="AK1170" s="50">
        <v>0</v>
      </c>
      <c r="AL1170" s="50">
        <v>1</v>
      </c>
      <c r="AM1170" s="15">
        <f>Tabela21[[#This Row],[Att subs]]+Tabela21[[#This Row],[Crit D subs]]</f>
        <v>2</v>
      </c>
      <c r="AN1170" s="15">
        <v>1</v>
      </c>
      <c r="AO1170" s="15">
        <v>1</v>
      </c>
      <c r="AP1170" s="15">
        <v>0.1</v>
      </c>
      <c r="AQ1170" s="189">
        <f t="shared" si="156"/>
        <v>6427.2000000000007</v>
      </c>
      <c r="AR1170" s="189">
        <f t="shared" si="157"/>
        <v>6488.3200000000006</v>
      </c>
      <c r="AS1170" s="189">
        <f t="shared" si="153"/>
        <v>6685.5999999999995</v>
      </c>
      <c r="AT1170" s="189">
        <f t="shared" si="154"/>
        <v>13261.6</v>
      </c>
      <c r="AU1170" s="50">
        <f t="shared" si="155"/>
        <v>12209.44</v>
      </c>
    </row>
    <row r="1171" spans="36:47">
      <c r="AJ1171" s="50">
        <v>2</v>
      </c>
      <c r="AK1171" s="50">
        <v>0</v>
      </c>
      <c r="AL1171" s="50">
        <v>1</v>
      </c>
      <c r="AM1171" s="15">
        <f>Tabela21[[#This Row],[Att subs]]+Tabela21[[#This Row],[Crit D subs]]</f>
        <v>2</v>
      </c>
      <c r="AN1171" s="15">
        <v>1</v>
      </c>
      <c r="AO1171" s="15">
        <v>1</v>
      </c>
      <c r="AP1171" s="15">
        <v>0.2</v>
      </c>
      <c r="AQ1171" s="189">
        <f t="shared" si="156"/>
        <v>6890.7000000000007</v>
      </c>
      <c r="AR1171" s="189">
        <f t="shared" si="157"/>
        <v>7008.9199999999992</v>
      </c>
      <c r="AS1171" s="189">
        <f t="shared" si="153"/>
        <v>6850</v>
      </c>
      <c r="AT1171" s="189">
        <f t="shared" si="154"/>
        <v>13700</v>
      </c>
      <c r="AU1171" s="50">
        <f t="shared" si="155"/>
        <v>13524.639999999998</v>
      </c>
    </row>
    <row r="1172" spans="36:47">
      <c r="AJ1172" s="50">
        <v>2</v>
      </c>
      <c r="AK1172" s="50">
        <v>0</v>
      </c>
      <c r="AL1172" s="50">
        <v>1</v>
      </c>
      <c r="AM1172" s="15">
        <f>Tabela21[[#This Row],[Att subs]]+Tabela21[[#This Row],[Crit D subs]]</f>
        <v>2</v>
      </c>
      <c r="AN1172" s="15">
        <v>1</v>
      </c>
      <c r="AO1172" s="15">
        <v>1</v>
      </c>
      <c r="AP1172" s="15">
        <v>0.3</v>
      </c>
      <c r="AQ1172" s="189">
        <f t="shared" si="156"/>
        <v>7354.2000000000025</v>
      </c>
      <c r="AR1172" s="189">
        <f t="shared" si="157"/>
        <v>7529.52</v>
      </c>
      <c r="AS1172" s="189">
        <f t="shared" si="153"/>
        <v>6850</v>
      </c>
      <c r="AT1172" s="189">
        <f t="shared" si="154"/>
        <v>13700</v>
      </c>
      <c r="AU1172" s="50">
        <f t="shared" si="155"/>
        <v>14839.84</v>
      </c>
    </row>
    <row r="1173" spans="36:47">
      <c r="AJ1173" s="50">
        <v>2</v>
      </c>
      <c r="AK1173" s="50">
        <v>0</v>
      </c>
      <c r="AL1173" s="50">
        <v>1</v>
      </c>
      <c r="AM1173" s="15">
        <f>Tabela21[[#This Row],[Att subs]]+Tabela21[[#This Row],[Crit D subs]]</f>
        <v>2</v>
      </c>
      <c r="AN1173" s="15">
        <v>1</v>
      </c>
      <c r="AO1173" s="15">
        <v>1</v>
      </c>
      <c r="AP1173" s="15">
        <v>0.4</v>
      </c>
      <c r="AQ1173" s="189">
        <f t="shared" si="156"/>
        <v>7725.0000000000009</v>
      </c>
      <c r="AR1173" s="189">
        <f t="shared" si="157"/>
        <v>7946</v>
      </c>
      <c r="AS1173" s="189">
        <f t="shared" si="153"/>
        <v>6850</v>
      </c>
      <c r="AT1173" s="189">
        <f t="shared" si="154"/>
        <v>13700</v>
      </c>
      <c r="AU1173" s="50">
        <f t="shared" si="155"/>
        <v>15892</v>
      </c>
    </row>
    <row r="1174" spans="36:47">
      <c r="AJ1174" s="50">
        <v>2</v>
      </c>
      <c r="AK1174" s="50">
        <v>0</v>
      </c>
      <c r="AL1174" s="50">
        <v>1</v>
      </c>
      <c r="AM1174" s="15">
        <f>Tabela21[[#This Row],[Att subs]]+Tabela21[[#This Row],[Crit D subs]]</f>
        <v>2</v>
      </c>
      <c r="AN1174" s="15">
        <v>1</v>
      </c>
      <c r="AO1174" s="15">
        <v>1</v>
      </c>
      <c r="AP1174" s="15">
        <v>0.5</v>
      </c>
      <c r="AQ1174" s="189">
        <f t="shared" si="156"/>
        <v>7725.0000000000009</v>
      </c>
      <c r="AR1174" s="189">
        <f t="shared" si="157"/>
        <v>7946</v>
      </c>
      <c r="AS1174" s="189">
        <f t="shared" si="153"/>
        <v>6850</v>
      </c>
      <c r="AT1174" s="189">
        <f t="shared" si="154"/>
        <v>13700</v>
      </c>
      <c r="AU1174" s="50">
        <f t="shared" si="155"/>
        <v>15892</v>
      </c>
    </row>
    <row r="1175" spans="36:47">
      <c r="AJ1175" s="50">
        <v>2</v>
      </c>
      <c r="AK1175" s="50">
        <v>0</v>
      </c>
      <c r="AL1175" s="50">
        <v>1</v>
      </c>
      <c r="AM1175" s="15">
        <f>Tabela21[[#This Row],[Att subs]]+Tabela21[[#This Row],[Crit D subs]]</f>
        <v>2</v>
      </c>
      <c r="AN1175" s="15">
        <v>1</v>
      </c>
      <c r="AO1175" s="15">
        <v>1</v>
      </c>
      <c r="AP1175" s="15">
        <v>0.6</v>
      </c>
      <c r="AQ1175" s="189">
        <f t="shared" si="156"/>
        <v>7725.0000000000009</v>
      </c>
      <c r="AR1175" s="189">
        <f t="shared" si="157"/>
        <v>7946</v>
      </c>
      <c r="AS1175" s="189">
        <f t="shared" si="153"/>
        <v>6850</v>
      </c>
      <c r="AT1175" s="189">
        <f t="shared" si="154"/>
        <v>13700</v>
      </c>
      <c r="AU1175" s="50">
        <f t="shared" si="155"/>
        <v>15892</v>
      </c>
    </row>
    <row r="1176" spans="36:47">
      <c r="AJ1176" s="50">
        <v>2</v>
      </c>
      <c r="AK1176" s="50">
        <v>0</v>
      </c>
      <c r="AL1176" s="50">
        <v>1</v>
      </c>
      <c r="AM1176" s="15">
        <f>Tabela21[[#This Row],[Att subs]]+Tabela21[[#This Row],[Crit D subs]]</f>
        <v>2</v>
      </c>
      <c r="AN1176" s="15">
        <v>1</v>
      </c>
      <c r="AO1176" s="15">
        <v>1</v>
      </c>
      <c r="AP1176" s="15">
        <v>0.7</v>
      </c>
      <c r="AQ1176" s="189">
        <f t="shared" si="156"/>
        <v>7725.0000000000009</v>
      </c>
      <c r="AR1176" s="189">
        <f t="shared" si="157"/>
        <v>7946</v>
      </c>
      <c r="AS1176" s="189">
        <f t="shared" si="153"/>
        <v>6850</v>
      </c>
      <c r="AT1176" s="189">
        <f t="shared" si="154"/>
        <v>13700</v>
      </c>
      <c r="AU1176" s="50">
        <f t="shared" si="155"/>
        <v>15892</v>
      </c>
    </row>
    <row r="1177" spans="36:47">
      <c r="AJ1177" s="50">
        <v>2</v>
      </c>
      <c r="AK1177" s="50">
        <v>0</v>
      </c>
      <c r="AL1177" s="50">
        <v>1</v>
      </c>
      <c r="AM1177" s="15">
        <f>Tabela21[[#This Row],[Att subs]]+Tabela21[[#This Row],[Crit D subs]]</f>
        <v>2</v>
      </c>
      <c r="AN1177" s="15">
        <v>1</v>
      </c>
      <c r="AO1177" s="15">
        <v>1</v>
      </c>
      <c r="AP1177" s="15">
        <v>0.8</v>
      </c>
      <c r="AQ1177" s="189">
        <f t="shared" si="156"/>
        <v>7725.0000000000009</v>
      </c>
      <c r="AR1177" s="189">
        <f t="shared" si="157"/>
        <v>7946</v>
      </c>
      <c r="AS1177" s="189">
        <f t="shared" si="153"/>
        <v>6850</v>
      </c>
      <c r="AT1177" s="189">
        <f t="shared" si="154"/>
        <v>13700</v>
      </c>
      <c r="AU1177" s="50">
        <f t="shared" si="155"/>
        <v>15892</v>
      </c>
    </row>
    <row r="1178" spans="36:47">
      <c r="AJ1178" s="50">
        <v>2</v>
      </c>
      <c r="AK1178" s="50">
        <v>0</v>
      </c>
      <c r="AL1178" s="50">
        <v>1</v>
      </c>
      <c r="AM1178" s="15">
        <f>Tabela21[[#This Row],[Att subs]]+Tabela21[[#This Row],[Crit D subs]]</f>
        <v>2</v>
      </c>
      <c r="AN1178" s="15">
        <v>1</v>
      </c>
      <c r="AO1178" s="15">
        <v>1</v>
      </c>
      <c r="AP1178" s="15">
        <v>0.9</v>
      </c>
      <c r="AQ1178" s="189">
        <f t="shared" si="156"/>
        <v>7725.0000000000009</v>
      </c>
      <c r="AR1178" s="189">
        <f t="shared" si="157"/>
        <v>7946</v>
      </c>
      <c r="AS1178" s="189">
        <f t="shared" si="153"/>
        <v>6850</v>
      </c>
      <c r="AT1178" s="189">
        <f t="shared" si="154"/>
        <v>13700</v>
      </c>
      <c r="AU1178" s="50">
        <f t="shared" si="155"/>
        <v>15892</v>
      </c>
    </row>
    <row r="1179" spans="36:47">
      <c r="AJ1179" s="50">
        <v>2</v>
      </c>
      <c r="AK1179" s="50">
        <v>0</v>
      </c>
      <c r="AL1179" s="50">
        <v>1</v>
      </c>
      <c r="AM1179" s="15">
        <f>Tabela21[[#This Row],[Att subs]]+Tabela21[[#This Row],[Crit D subs]]</f>
        <v>2</v>
      </c>
      <c r="AN1179" s="15">
        <v>1</v>
      </c>
      <c r="AO1179" s="15">
        <v>1</v>
      </c>
      <c r="AP1179" s="15">
        <v>1</v>
      </c>
      <c r="AQ1179" s="189">
        <f t="shared" si="156"/>
        <v>7725.0000000000009</v>
      </c>
      <c r="AR1179" s="189">
        <f t="shared" si="157"/>
        <v>7946</v>
      </c>
      <c r="AS1179" s="189">
        <f t="shared" si="153"/>
        <v>6850</v>
      </c>
      <c r="AT1179" s="189">
        <f t="shared" si="154"/>
        <v>13700</v>
      </c>
      <c r="AU1179" s="50">
        <f t="shared" si="155"/>
        <v>15892</v>
      </c>
    </row>
    <row r="1180" spans="36:47">
      <c r="AJ1180" s="50">
        <v>3</v>
      </c>
      <c r="AK1180" s="50">
        <v>0</v>
      </c>
      <c r="AL1180" s="50">
        <v>0</v>
      </c>
      <c r="AM1180" s="15">
        <f>Tabela21[[#This Row],[Att subs]]+Tabela21[[#This Row],[Crit D subs]]</f>
        <v>2</v>
      </c>
      <c r="AN1180" s="15">
        <v>1</v>
      </c>
      <c r="AO1180" s="15">
        <v>1</v>
      </c>
      <c r="AP1180" s="15">
        <v>0</v>
      </c>
      <c r="AQ1180" s="189">
        <f t="shared" si="156"/>
        <v>4861.3</v>
      </c>
      <c r="AR1180" s="189">
        <f t="shared" si="157"/>
        <v>4705.4299999999994</v>
      </c>
      <c r="AS1180" s="189">
        <f t="shared" si="153"/>
        <v>5489.15</v>
      </c>
      <c r="AT1180" s="189">
        <f t="shared" si="154"/>
        <v>9454.4</v>
      </c>
      <c r="AU1180" s="50">
        <f t="shared" si="155"/>
        <v>7140.56</v>
      </c>
    </row>
    <row r="1181" spans="36:47">
      <c r="AJ1181" s="50">
        <v>3</v>
      </c>
      <c r="AK1181" s="50">
        <v>0</v>
      </c>
      <c r="AL1181" s="50">
        <v>0</v>
      </c>
      <c r="AM1181" s="15">
        <f>Tabela21[[#This Row],[Att subs]]+Tabela21[[#This Row],[Crit D subs]]</f>
        <v>2</v>
      </c>
      <c r="AN1181" s="15">
        <v>1</v>
      </c>
      <c r="AO1181" s="15">
        <v>1</v>
      </c>
      <c r="AP1181" s="15">
        <v>0.1</v>
      </c>
      <c r="AQ1181" s="189">
        <f t="shared" si="156"/>
        <v>5380.3</v>
      </c>
      <c r="AR1181" s="189">
        <f t="shared" si="157"/>
        <v>5296.33</v>
      </c>
      <c r="AS1181" s="189">
        <f t="shared" si="153"/>
        <v>5955.6500000000005</v>
      </c>
      <c r="AT1181" s="189">
        <f t="shared" si="154"/>
        <v>10698.4</v>
      </c>
      <c r="AU1181" s="50">
        <f t="shared" si="155"/>
        <v>8633.3599999999988</v>
      </c>
    </row>
    <row r="1182" spans="36:47">
      <c r="AJ1182" s="50">
        <v>3</v>
      </c>
      <c r="AK1182" s="50">
        <v>0</v>
      </c>
      <c r="AL1182" s="50">
        <v>0</v>
      </c>
      <c r="AM1182" s="15">
        <f>Tabela21[[#This Row],[Att subs]]+Tabela21[[#This Row],[Crit D subs]]</f>
        <v>2</v>
      </c>
      <c r="AN1182" s="15">
        <v>1</v>
      </c>
      <c r="AO1182" s="15">
        <v>1</v>
      </c>
      <c r="AP1182" s="15">
        <v>0.2</v>
      </c>
      <c r="AQ1182" s="189">
        <f t="shared" si="156"/>
        <v>5899.2999999999984</v>
      </c>
      <c r="AR1182" s="189">
        <f t="shared" si="157"/>
        <v>5887.23</v>
      </c>
      <c r="AS1182" s="189">
        <f t="shared" si="153"/>
        <v>6422.15</v>
      </c>
      <c r="AT1182" s="189">
        <f t="shared" si="154"/>
        <v>11942.4</v>
      </c>
      <c r="AU1182" s="50">
        <f t="shared" si="155"/>
        <v>10126.16</v>
      </c>
    </row>
    <row r="1183" spans="36:47">
      <c r="AJ1183" s="50">
        <v>3</v>
      </c>
      <c r="AK1183" s="50">
        <v>0</v>
      </c>
      <c r="AL1183" s="50">
        <v>0</v>
      </c>
      <c r="AM1183" s="15">
        <f>Tabela21[[#This Row],[Att subs]]+Tabela21[[#This Row],[Crit D subs]]</f>
        <v>2</v>
      </c>
      <c r="AN1183" s="15">
        <v>1</v>
      </c>
      <c r="AO1183" s="15">
        <v>1</v>
      </c>
      <c r="AP1183" s="15">
        <v>0.3</v>
      </c>
      <c r="AQ1183" s="189">
        <f t="shared" si="156"/>
        <v>6418.3</v>
      </c>
      <c r="AR1183" s="189">
        <f t="shared" si="157"/>
        <v>6478.1299999999992</v>
      </c>
      <c r="AS1183" s="189">
        <f t="shared" si="153"/>
        <v>6888.65</v>
      </c>
      <c r="AT1183" s="189">
        <f t="shared" si="154"/>
        <v>13186.400000000001</v>
      </c>
      <c r="AU1183" s="50">
        <f t="shared" si="155"/>
        <v>11618.96</v>
      </c>
    </row>
    <row r="1184" spans="36:47">
      <c r="AJ1184" s="50">
        <v>3</v>
      </c>
      <c r="AK1184" s="50">
        <v>0</v>
      </c>
      <c r="AL1184" s="50">
        <v>0</v>
      </c>
      <c r="AM1184" s="15">
        <f>Tabela21[[#This Row],[Att subs]]+Tabela21[[#This Row],[Crit D subs]]</f>
        <v>2</v>
      </c>
      <c r="AN1184" s="15">
        <v>1</v>
      </c>
      <c r="AO1184" s="15">
        <v>1</v>
      </c>
      <c r="AP1184" s="15">
        <v>0.4</v>
      </c>
      <c r="AQ1184" s="189">
        <f t="shared" si="156"/>
        <v>6937.2999999999993</v>
      </c>
      <c r="AR1184" s="189">
        <f t="shared" si="157"/>
        <v>7069.0300000000007</v>
      </c>
      <c r="AS1184" s="189">
        <f t="shared" si="153"/>
        <v>7355.15</v>
      </c>
      <c r="AT1184" s="189">
        <f t="shared" si="154"/>
        <v>14430.4</v>
      </c>
      <c r="AU1184" s="50">
        <f t="shared" si="155"/>
        <v>13111.76</v>
      </c>
    </row>
    <row r="1185" spans="36:47">
      <c r="AJ1185" s="50">
        <v>3</v>
      </c>
      <c r="AK1185" s="50">
        <v>0</v>
      </c>
      <c r="AL1185" s="50">
        <v>0</v>
      </c>
      <c r="AM1185" s="15">
        <f>Tabela21[[#This Row],[Att subs]]+Tabela21[[#This Row],[Crit D subs]]</f>
        <v>2</v>
      </c>
      <c r="AN1185" s="15">
        <v>1</v>
      </c>
      <c r="AO1185" s="15">
        <v>1</v>
      </c>
      <c r="AP1185" s="15">
        <v>0.5</v>
      </c>
      <c r="AQ1185" s="189">
        <f t="shared" si="156"/>
        <v>7456.3000000000011</v>
      </c>
      <c r="AR1185" s="189">
        <f t="shared" si="157"/>
        <v>7659.93</v>
      </c>
      <c r="AS1185" s="189">
        <f t="shared" si="153"/>
        <v>7775</v>
      </c>
      <c r="AT1185" s="189">
        <f t="shared" si="154"/>
        <v>15550</v>
      </c>
      <c r="AU1185" s="50">
        <f t="shared" si="155"/>
        <v>14604.56</v>
      </c>
    </row>
    <row r="1186" spans="36:47">
      <c r="AJ1186" s="50">
        <v>3</v>
      </c>
      <c r="AK1186" s="50">
        <v>0</v>
      </c>
      <c r="AL1186" s="50">
        <v>0</v>
      </c>
      <c r="AM1186" s="15">
        <f>Tabela21[[#This Row],[Att subs]]+Tabela21[[#This Row],[Crit D subs]]</f>
        <v>2</v>
      </c>
      <c r="AN1186" s="15">
        <v>1</v>
      </c>
      <c r="AO1186" s="15">
        <v>1</v>
      </c>
      <c r="AP1186" s="15">
        <v>0.6</v>
      </c>
      <c r="AQ1186" s="189">
        <f t="shared" si="156"/>
        <v>7975.2999999999993</v>
      </c>
      <c r="AR1186" s="189">
        <f t="shared" si="157"/>
        <v>8250.83</v>
      </c>
      <c r="AS1186" s="189">
        <f t="shared" si="153"/>
        <v>7775</v>
      </c>
      <c r="AT1186" s="189">
        <f t="shared" si="154"/>
        <v>15550</v>
      </c>
      <c r="AU1186" s="50">
        <f t="shared" si="155"/>
        <v>16097.36</v>
      </c>
    </row>
    <row r="1187" spans="36:47">
      <c r="AJ1187" s="50">
        <v>3</v>
      </c>
      <c r="AK1187" s="50">
        <v>0</v>
      </c>
      <c r="AL1187" s="50">
        <v>0</v>
      </c>
      <c r="AM1187" s="15">
        <f>Tabela21[[#This Row],[Att subs]]+Tabela21[[#This Row],[Crit D subs]]</f>
        <v>2</v>
      </c>
      <c r="AN1187" s="15">
        <v>1</v>
      </c>
      <c r="AO1187" s="15">
        <v>1</v>
      </c>
      <c r="AP1187" s="15">
        <v>0.7</v>
      </c>
      <c r="AQ1187" s="189">
        <f t="shared" si="156"/>
        <v>8494.3000000000011</v>
      </c>
      <c r="AR1187" s="189">
        <f t="shared" si="157"/>
        <v>8841.73</v>
      </c>
      <c r="AS1187" s="189">
        <f t="shared" si="153"/>
        <v>7775</v>
      </c>
      <c r="AT1187" s="189">
        <f t="shared" si="154"/>
        <v>15550</v>
      </c>
      <c r="AU1187" s="50">
        <f t="shared" si="155"/>
        <v>17590.16</v>
      </c>
    </row>
    <row r="1188" spans="36:47">
      <c r="AJ1188" s="50">
        <v>3</v>
      </c>
      <c r="AK1188" s="50">
        <v>0</v>
      </c>
      <c r="AL1188" s="50">
        <v>0</v>
      </c>
      <c r="AM1188" s="15">
        <f>Tabela21[[#This Row],[Att subs]]+Tabela21[[#This Row],[Crit D subs]]</f>
        <v>2</v>
      </c>
      <c r="AN1188" s="15">
        <v>1</v>
      </c>
      <c r="AO1188" s="15">
        <v>1</v>
      </c>
      <c r="AP1188" s="15">
        <v>0.8</v>
      </c>
      <c r="AQ1188" s="189">
        <f t="shared" si="156"/>
        <v>8650</v>
      </c>
      <c r="AR1188" s="189">
        <f t="shared" si="157"/>
        <v>9019</v>
      </c>
      <c r="AS1188" s="189">
        <f t="shared" si="153"/>
        <v>7775</v>
      </c>
      <c r="AT1188" s="189">
        <f t="shared" si="154"/>
        <v>15550</v>
      </c>
      <c r="AU1188" s="50">
        <f t="shared" si="155"/>
        <v>18038</v>
      </c>
    </row>
    <row r="1189" spans="36:47">
      <c r="AJ1189" s="50">
        <v>3</v>
      </c>
      <c r="AK1189" s="50">
        <v>0</v>
      </c>
      <c r="AL1189" s="50">
        <v>0</v>
      </c>
      <c r="AM1189" s="15">
        <f>Tabela21[[#This Row],[Att subs]]+Tabela21[[#This Row],[Crit D subs]]</f>
        <v>2</v>
      </c>
      <c r="AN1189" s="15">
        <v>1</v>
      </c>
      <c r="AO1189" s="15">
        <v>1</v>
      </c>
      <c r="AP1189" s="15">
        <v>0.9</v>
      </c>
      <c r="AQ1189" s="189">
        <f t="shared" si="156"/>
        <v>8650</v>
      </c>
      <c r="AR1189" s="189">
        <f t="shared" si="157"/>
        <v>9019</v>
      </c>
      <c r="AS1189" s="189">
        <f t="shared" si="153"/>
        <v>7775</v>
      </c>
      <c r="AT1189" s="189">
        <f t="shared" si="154"/>
        <v>15550</v>
      </c>
      <c r="AU1189" s="50">
        <f t="shared" si="155"/>
        <v>18038</v>
      </c>
    </row>
    <row r="1190" spans="36:47">
      <c r="AJ1190" s="50">
        <v>3</v>
      </c>
      <c r="AK1190" s="50">
        <v>0</v>
      </c>
      <c r="AL1190" s="50">
        <v>0</v>
      </c>
      <c r="AM1190" s="15">
        <f>Tabela21[[#This Row],[Att subs]]+Tabela21[[#This Row],[Crit D subs]]</f>
        <v>2</v>
      </c>
      <c r="AN1190" s="15">
        <v>1</v>
      </c>
      <c r="AO1190" s="15">
        <v>1</v>
      </c>
      <c r="AP1190" s="15">
        <v>1</v>
      </c>
      <c r="AQ1190" s="189">
        <f t="shared" si="156"/>
        <v>8650</v>
      </c>
      <c r="AR1190" s="189">
        <f t="shared" si="157"/>
        <v>9019</v>
      </c>
      <c r="AS1190" s="189">
        <f t="shared" si="153"/>
        <v>7775</v>
      </c>
      <c r="AT1190" s="189">
        <f t="shared" si="154"/>
        <v>15550</v>
      </c>
      <c r="AU1190" s="50">
        <f t="shared" si="155"/>
        <v>18038</v>
      </c>
    </row>
  </sheetData>
  <mergeCells count="1">
    <mergeCell ref="W19:AF19"/>
  </mergeCells>
  <pageMargins left="0.7" right="0.7" top="0.75" bottom="0.75" header="0.3" footer="0.3"/>
  <pageSetup paperSize="9" orientation="portrait" r:id="rId1"/>
  <ignoredErrors>
    <ignoredError sqref="AT36" calculatedColumn="1"/>
  </ignoredErrors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selection activeCell="F20" sqref="F20"/>
    </sheetView>
  </sheetViews>
  <sheetFormatPr defaultRowHeight="14.25"/>
  <cols>
    <col min="6" max="6" width="9.625" customWidth="1"/>
  </cols>
  <sheetData>
    <row r="1" spans="1:12">
      <c r="A1" t="s">
        <v>202</v>
      </c>
      <c r="B1" t="s">
        <v>193</v>
      </c>
      <c r="C1" t="s">
        <v>340</v>
      </c>
      <c r="D1" t="s">
        <v>336</v>
      </c>
      <c r="E1" t="s">
        <v>337</v>
      </c>
      <c r="F1" t="s">
        <v>338</v>
      </c>
      <c r="G1" t="s">
        <v>339</v>
      </c>
      <c r="H1" t="s">
        <v>341</v>
      </c>
      <c r="I1" t="s">
        <v>159</v>
      </c>
      <c r="J1" t="s">
        <v>196</v>
      </c>
      <c r="K1" t="s">
        <v>304</v>
      </c>
      <c r="L1" t="s">
        <v>331</v>
      </c>
    </row>
    <row r="2" spans="1:12">
      <c r="A2" t="s">
        <v>26</v>
      </c>
      <c r="B2" t="s">
        <v>298</v>
      </c>
      <c r="C2" s="50">
        <v>4</v>
      </c>
      <c r="D2" s="50">
        <v>4</v>
      </c>
      <c r="E2" s="50">
        <v>3</v>
      </c>
      <c r="F2">
        <v>4</v>
      </c>
      <c r="G2" s="50">
        <v>4</v>
      </c>
      <c r="H2" s="50">
        <v>4</v>
      </c>
      <c r="I2" s="50">
        <v>3</v>
      </c>
      <c r="J2" s="43">
        <v>100</v>
      </c>
      <c r="K2" s="43">
        <v>3</v>
      </c>
      <c r="L2" s="43">
        <v>3</v>
      </c>
    </row>
    <row r="3" spans="1:12">
      <c r="A3" t="s">
        <v>26</v>
      </c>
      <c r="B3" t="s">
        <v>299</v>
      </c>
      <c r="C3" s="50">
        <v>2</v>
      </c>
      <c r="D3" s="1">
        <v>2.25</v>
      </c>
      <c r="E3" s="50">
        <v>2</v>
      </c>
      <c r="F3">
        <v>2</v>
      </c>
      <c r="G3" s="50">
        <v>2</v>
      </c>
      <c r="H3" s="50">
        <v>2</v>
      </c>
      <c r="I3" s="1">
        <v>1.33</v>
      </c>
      <c r="J3" s="43">
        <v>75</v>
      </c>
      <c r="K3" s="43">
        <v>3</v>
      </c>
      <c r="L3" s="43">
        <v>3</v>
      </c>
    </row>
    <row r="4" spans="1:12">
      <c r="A4" t="s">
        <v>26</v>
      </c>
      <c r="B4">
        <v>9</v>
      </c>
      <c r="C4">
        <f>FLOOR(C$2+C$3*Tabela1318[[#This Row],[Type]],1)</f>
        <v>22</v>
      </c>
      <c r="D4">
        <f>FLOOR(D$2+D$3*Tabela1318[[#This Row],[Type]],1)</f>
        <v>24</v>
      </c>
      <c r="E4">
        <f>FLOOR(E$2+E$3*Tabela1318[[#This Row],[Type]],1)</f>
        <v>21</v>
      </c>
      <c r="F4">
        <f>FLOOR(F$2+F$3*Tabela1318[[#This Row],[Type]],1)</f>
        <v>22</v>
      </c>
      <c r="G4">
        <f>FLOOR(G$2+G$3*Tabela1318[[#This Row],[Type]],1)</f>
        <v>22</v>
      </c>
      <c r="H4">
        <f>FLOOR(H$2+H$3*Tabela1318[[#This Row],[Type]],1)</f>
        <v>22</v>
      </c>
      <c r="I4">
        <f>FLOOR(I$2+I$3*Tabela1318[[#This Row],[Type]],1)</f>
        <v>14</v>
      </c>
      <c r="J4">
        <f>FLOOR(J$2+J$3*Tabela1318[[#This Row],[Type]],1)</f>
        <v>775</v>
      </c>
      <c r="K4">
        <f>FLOOR(K$2+K$3*Tabela1318[[#This Row],[Type]],1)</f>
        <v>30</v>
      </c>
      <c r="L4">
        <f>FLOOR(L$2+L$3*Tabela1318[[#This Row],[Type]],1)</f>
        <v>30</v>
      </c>
    </row>
    <row r="5" spans="1:12">
      <c r="A5" t="s">
        <v>26</v>
      </c>
      <c r="B5">
        <v>12</v>
      </c>
      <c r="C5">
        <f>FLOOR(C$2+C$3*Tabela1318[[#This Row],[Type]],1)</f>
        <v>28</v>
      </c>
      <c r="D5">
        <f>FLOOR(D$2+D$3*Tabela1318[[#This Row],[Type]],1)</f>
        <v>31</v>
      </c>
      <c r="E5">
        <f>FLOOR(E$2+E$3*Tabela1318[[#This Row],[Type]],1)</f>
        <v>27</v>
      </c>
      <c r="F5">
        <f>FLOOR(F$2+F$3*Tabela1318[[#This Row],[Type]],1)</f>
        <v>28</v>
      </c>
      <c r="G5">
        <f>FLOOR(G$2+G$3*Tabela1318[[#This Row],[Type]],1)</f>
        <v>28</v>
      </c>
      <c r="H5">
        <f>FLOOR(H$2+H$3*Tabela1318[[#This Row],[Type]],1)</f>
        <v>28</v>
      </c>
      <c r="I5">
        <f>FLOOR(I$2+I$3*Tabela1318[[#This Row],[Type]],1)</f>
        <v>18</v>
      </c>
      <c r="J5">
        <f>FLOOR(J$2+J$3*Tabela1318[[#This Row],[Type]],1)</f>
        <v>1000</v>
      </c>
      <c r="K5">
        <f>FLOOR(K$2+K$3*Tabela1318[[#This Row],[Type]],1)</f>
        <v>39</v>
      </c>
      <c r="L5">
        <f>FLOOR(L$2+L$3*Tabela1318[[#This Row],[Type]],1)</f>
        <v>39</v>
      </c>
    </row>
    <row r="6" spans="1:12">
      <c r="A6" t="s">
        <v>26</v>
      </c>
      <c r="B6">
        <v>15</v>
      </c>
      <c r="C6">
        <f>FLOOR(C$2+C$3*Tabela1318[[#This Row],[Type]]+IF(Tabela1318[[#This Row],[Type]]=15,2*C$3,0),1)</f>
        <v>38</v>
      </c>
      <c r="D6">
        <v>43</v>
      </c>
      <c r="E6">
        <f>FLOOR(E$2+E$3*Tabela1318[[#This Row],[Type]]+IF(Tabela1318[[#This Row],[Type]]=15,2*E$3,0),1)</f>
        <v>37</v>
      </c>
      <c r="F6">
        <f>FLOOR(F$2+F$3*Tabela1318[[#This Row],[Type]]+IF(Tabela1318[[#This Row],[Type]]=15,2*F$3,0),1)</f>
        <v>38</v>
      </c>
      <c r="G6">
        <f>FLOOR(G$2+G$3*Tabela1318[[#This Row],[Type]]+IF(Tabela1318[[#This Row],[Type]]=15,2*G$3,0),1)</f>
        <v>38</v>
      </c>
      <c r="H6">
        <f>FLOOR(H$2+H$3*Tabela1318[[#This Row],[Type]]+IF(Tabela1318[[#This Row],[Type]]=15,2*H$3,0),1)</f>
        <v>38</v>
      </c>
      <c r="I6">
        <f>FLOOR(I$2+I$3*Tabela1318[[#This Row],[Type]]+IF(Tabela1318[[#This Row],[Type]]=15,2*I$3,0),1)</f>
        <v>25</v>
      </c>
      <c r="J6">
        <f>FLOOR((J$2+J$3*(Tabela1318[[#This Row],[Type]]-1))*1.2,1)</f>
        <v>1380</v>
      </c>
      <c r="K6">
        <f>FLOOR((K$2+K$3*(Tabela1318[[#This Row],[Type]]-1))*1.2,1)</f>
        <v>54</v>
      </c>
      <c r="L6">
        <f>FLOOR((L$2+L$3*(Tabela1318[[#This Row],[Type]]-1))*1.2,1)</f>
        <v>54</v>
      </c>
    </row>
    <row r="7" spans="1:12">
      <c r="A7" t="s">
        <v>27</v>
      </c>
      <c r="B7" t="s">
        <v>298</v>
      </c>
      <c r="C7">
        <v>5</v>
      </c>
      <c r="D7">
        <v>6</v>
      </c>
      <c r="E7">
        <v>4</v>
      </c>
      <c r="F7">
        <v>5</v>
      </c>
      <c r="G7">
        <v>5</v>
      </c>
      <c r="H7">
        <v>6</v>
      </c>
      <c r="I7">
        <v>4</v>
      </c>
      <c r="J7" s="43">
        <v>160</v>
      </c>
      <c r="K7" s="43">
        <v>5</v>
      </c>
      <c r="L7" s="43">
        <v>5</v>
      </c>
    </row>
    <row r="8" spans="1:12">
      <c r="A8" t="s">
        <v>27</v>
      </c>
      <c r="B8" t="s">
        <v>299</v>
      </c>
      <c r="C8">
        <v>2.25</v>
      </c>
      <c r="D8">
        <v>3</v>
      </c>
      <c r="E8">
        <v>2.25</v>
      </c>
      <c r="F8">
        <v>2.25</v>
      </c>
      <c r="G8">
        <v>2.25</v>
      </c>
      <c r="H8">
        <v>2.25</v>
      </c>
      <c r="I8">
        <v>1.5</v>
      </c>
      <c r="J8" s="43">
        <v>90</v>
      </c>
      <c r="K8" s="43">
        <v>4</v>
      </c>
      <c r="L8" s="43">
        <v>4</v>
      </c>
    </row>
    <row r="9" spans="1:12">
      <c r="A9" t="s">
        <v>27</v>
      </c>
      <c r="B9">
        <v>9</v>
      </c>
      <c r="C9">
        <f>FLOOR(C$7+C$8*Tabela1318[[#This Row],[Type]],1)</f>
        <v>25</v>
      </c>
      <c r="D9">
        <f>FLOOR(D$7+D$8*Tabela1318[[#This Row],[Type]],1)</f>
        <v>33</v>
      </c>
      <c r="E9">
        <f>FLOOR(E$7+E$8*Tabela1318[[#This Row],[Type]],1)</f>
        <v>24</v>
      </c>
      <c r="F9">
        <f>FLOOR(F$7+F$8*Tabela1318[[#This Row],[Type]],1)</f>
        <v>25</v>
      </c>
      <c r="G9">
        <f>FLOOR(G$7+G$8*Tabela1318[[#This Row],[Type]],1)</f>
        <v>25</v>
      </c>
      <c r="H9">
        <f>FLOOR(H$7+H$8*Tabela1318[[#This Row],[Type]],1)</f>
        <v>26</v>
      </c>
      <c r="I9">
        <f>FLOOR(I$7+I$8*Tabela1318[[#This Row],[Type]],1)</f>
        <v>17</v>
      </c>
      <c r="J9">
        <f>FLOOR(J$7+J$8*Tabela1318[[#This Row],[Type]],1)</f>
        <v>970</v>
      </c>
      <c r="K9">
        <f>FLOOR(K$7+K$8*Tabela1318[[#This Row],[Type]],1)</f>
        <v>41</v>
      </c>
      <c r="L9">
        <f>FLOOR(L$7+L$8*Tabela1318[[#This Row],[Type]],1)</f>
        <v>41</v>
      </c>
    </row>
    <row r="10" spans="1:12">
      <c r="A10" t="s">
        <v>27</v>
      </c>
      <c r="B10">
        <v>12</v>
      </c>
      <c r="C10">
        <f>FLOOR(C$7+C$8*Tabela1318[[#This Row],[Type]],1)</f>
        <v>32</v>
      </c>
      <c r="D10">
        <f>FLOOR(D$7+D$8*Tabela1318[[#This Row],[Type]],1)</f>
        <v>42</v>
      </c>
      <c r="E10">
        <f>FLOOR(E$7+E$8*Tabela1318[[#This Row],[Type]],1)</f>
        <v>31</v>
      </c>
      <c r="F10">
        <f>FLOOR(F$7+F$8*Tabela1318[[#This Row],[Type]],1)</f>
        <v>32</v>
      </c>
      <c r="G10">
        <f>FLOOR(G$7+G$8*Tabela1318[[#This Row],[Type]],1)</f>
        <v>32</v>
      </c>
      <c r="H10">
        <f>FLOOR(H$7+H$8*Tabela1318[[#This Row],[Type]],1)</f>
        <v>33</v>
      </c>
      <c r="I10">
        <f>FLOOR(I$7+I$8*Tabela1318[[#This Row],[Type]],1)</f>
        <v>22</v>
      </c>
      <c r="J10">
        <f>FLOOR(J$7+J$8*Tabela1318[[#This Row],[Type]],1)</f>
        <v>1240</v>
      </c>
      <c r="K10">
        <f>FLOOR(K$7+K$8*Tabela1318[[#This Row],[Type]],1)</f>
        <v>53</v>
      </c>
      <c r="L10">
        <f>FLOOR(L$7+L$8*Tabela1318[[#This Row],[Type]],1)</f>
        <v>53</v>
      </c>
    </row>
    <row r="11" spans="1:12">
      <c r="A11" t="s">
        <v>27</v>
      </c>
      <c r="B11">
        <v>15</v>
      </c>
      <c r="C11">
        <f>FLOOR((C$7+C$8*(Tabela1318[[#This Row],[Type]]-1))*1.2,1)</f>
        <v>43</v>
      </c>
      <c r="D11">
        <v>58</v>
      </c>
      <c r="E11">
        <v>41</v>
      </c>
      <c r="F11">
        <f>FLOOR((F$7+F$8*(Tabela1318[[#This Row],[Type]]-1))*1.2,1)</f>
        <v>43</v>
      </c>
      <c r="G11">
        <f>FLOOR((G$7+G$8*(Tabela1318[[#This Row],[Type]]-1))*1.2,1)</f>
        <v>43</v>
      </c>
      <c r="H11">
        <f>FLOOR(H$7+H$8*Tabela1318[[#This Row],[Type]]+IF(Tabela1318[[#This Row],[Type]]=15,2*H$8,0),1)</f>
        <v>44</v>
      </c>
      <c r="I11">
        <f>FLOOR((I$7+I$8*(Tabela1318[[#This Row],[Type]]-1))*1.2,1)</f>
        <v>30</v>
      </c>
      <c r="J11">
        <f>FLOOR((J$7+J$8*(Tabela1318[[#This Row],[Type]]-1))*1.2,1)</f>
        <v>1704</v>
      </c>
      <c r="K11">
        <v>74</v>
      </c>
      <c r="L11">
        <v>74</v>
      </c>
    </row>
    <row r="12" spans="1:12">
      <c r="A12" t="s">
        <v>28</v>
      </c>
      <c r="B12" t="s">
        <v>298</v>
      </c>
      <c r="C12">
        <v>8</v>
      </c>
      <c r="D12">
        <v>8</v>
      </c>
      <c r="E12">
        <v>5</v>
      </c>
      <c r="F12">
        <v>8</v>
      </c>
      <c r="G12">
        <v>8</v>
      </c>
      <c r="H12">
        <v>9</v>
      </c>
      <c r="I12">
        <v>5</v>
      </c>
      <c r="J12" s="43">
        <v>270</v>
      </c>
      <c r="K12" s="43">
        <v>10</v>
      </c>
      <c r="L12" s="43">
        <v>10</v>
      </c>
    </row>
    <row r="13" spans="1:12">
      <c r="A13" t="s">
        <v>28</v>
      </c>
      <c r="B13" t="s">
        <v>299</v>
      </c>
      <c r="C13">
        <v>2.5</v>
      </c>
      <c r="D13">
        <v>3.33</v>
      </c>
      <c r="E13">
        <v>2.5</v>
      </c>
      <c r="F13">
        <v>2.5</v>
      </c>
      <c r="G13">
        <v>2.5</v>
      </c>
      <c r="H13">
        <v>2.5</v>
      </c>
      <c r="I13">
        <v>2</v>
      </c>
      <c r="J13" s="43">
        <v>105</v>
      </c>
      <c r="K13" s="43">
        <v>6</v>
      </c>
      <c r="L13" s="43">
        <v>6</v>
      </c>
    </row>
    <row r="14" spans="1:12">
      <c r="A14" t="s">
        <v>28</v>
      </c>
      <c r="B14">
        <v>9</v>
      </c>
      <c r="C14">
        <f>FLOOR(C$12+C$13*Tabela1318[[#This Row],[Type]],1)</f>
        <v>30</v>
      </c>
      <c r="D14">
        <f>FLOOR(D$12+D$13*Tabela1318[[#This Row],[Type]],1)</f>
        <v>37</v>
      </c>
      <c r="E14">
        <f>FLOOR(E$12+E$13*Tabela1318[[#This Row],[Type]],1)</f>
        <v>27</v>
      </c>
      <c r="F14">
        <f>FLOOR(F$12+F$13*Tabela1318[[#This Row],[Type]],1)</f>
        <v>30</v>
      </c>
      <c r="G14">
        <f>FLOOR(G$12+G$13*Tabela1318[[#This Row],[Type]],1)</f>
        <v>30</v>
      </c>
      <c r="H14">
        <f>FLOOR(H$12+H$13*Tabela1318[[#This Row],[Type]],1)</f>
        <v>31</v>
      </c>
      <c r="I14">
        <f>FLOOR(I$12+I$13*Tabela1318[[#This Row],[Type]],1)</f>
        <v>23</v>
      </c>
      <c r="J14">
        <f>FLOOR(J$12+J$13*Tabela1318[[#This Row],[Type]],1)</f>
        <v>1215</v>
      </c>
      <c r="K14">
        <f>FLOOR(K$12+K$13*Tabela1318[[#This Row],[Type]],1)</f>
        <v>64</v>
      </c>
      <c r="L14">
        <f>FLOOR(L$12+L$13*Tabela1318[[#This Row],[Type]],1)</f>
        <v>64</v>
      </c>
    </row>
    <row r="15" spans="1:12">
      <c r="A15" t="s">
        <v>28</v>
      </c>
      <c r="B15">
        <v>12</v>
      </c>
      <c r="C15">
        <f>FLOOR(C$12+C$13*Tabela1318[[#This Row],[Type]],1)</f>
        <v>38</v>
      </c>
      <c r="D15">
        <f>FLOOR(D$12+D$13*Tabela1318[[#This Row],[Type]],1)</f>
        <v>47</v>
      </c>
      <c r="E15">
        <f>FLOOR(E$12+E$13*Tabela1318[[#This Row],[Type]],1)</f>
        <v>35</v>
      </c>
      <c r="F15">
        <f>FLOOR(F$12+F$13*Tabela1318[[#This Row],[Type]],1)</f>
        <v>38</v>
      </c>
      <c r="G15">
        <f>FLOOR(G$12+G$13*Tabela1318[[#This Row],[Type]],1)</f>
        <v>38</v>
      </c>
      <c r="H15">
        <f>FLOOR(H$12+H$13*Tabela1318[[#This Row],[Type]],1)</f>
        <v>39</v>
      </c>
      <c r="I15">
        <f>FLOOR(I$12+I$13*Tabela1318[[#This Row],[Type]],1)</f>
        <v>29</v>
      </c>
      <c r="J15">
        <f>FLOOR(J$12+J$13*Tabela1318[[#This Row],[Type]],1)</f>
        <v>1530</v>
      </c>
      <c r="K15">
        <f>FLOOR(K$12+K$13*Tabela1318[[#This Row],[Type]],1)</f>
        <v>82</v>
      </c>
      <c r="L15">
        <f>FLOOR(L$12+L$13*Tabela1318[[#This Row],[Type]],1)</f>
        <v>82</v>
      </c>
    </row>
    <row r="16" spans="1:12">
      <c r="A16" t="s">
        <v>28</v>
      </c>
      <c r="B16">
        <v>15</v>
      </c>
      <c r="C16">
        <f>FLOOR((C$12+C$13*(Tabela1318[[#This Row],[Type]]-1))*1.2,1)</f>
        <v>51</v>
      </c>
      <c r="D16">
        <f>FLOOR((D$12+D$13*(Tabela1318[[#This Row],[Type]]-1))*1.2,1)</f>
        <v>65</v>
      </c>
      <c r="E16">
        <f>FLOOR((E$12+E$13*(Tabela1318[[#This Row],[Type]]-1))*1.2,1)</f>
        <v>48</v>
      </c>
      <c r="F16">
        <f>FLOOR((F$12+F$13*(Tabela1318[[#This Row],[Type]]-1))*1.2,1)</f>
        <v>51</v>
      </c>
      <c r="G16">
        <f>FLOOR((G$12+G$13*(Tabela1318[[#This Row],[Type]]-1))*1.2,1)</f>
        <v>51</v>
      </c>
      <c r="H16">
        <f>FLOOR((H$12+H$13*(Tabela1318[[#This Row],[Type]]-1))*1.2,1)</f>
        <v>52</v>
      </c>
      <c r="I16">
        <f>FLOOR((I$12+I$13*(Tabela1318[[#This Row],[Type]]-1))*1.2,1)</f>
        <v>39</v>
      </c>
      <c r="J16">
        <f>FLOOR((J$12+J$13*(Tabela1318[[#This Row],[Type]]-1))*1.2,1)</f>
        <v>2088</v>
      </c>
      <c r="K16">
        <v>113</v>
      </c>
      <c r="L16">
        <v>113</v>
      </c>
    </row>
    <row r="17" spans="1:12">
      <c r="A17" t="s">
        <v>29</v>
      </c>
      <c r="B17" t="s">
        <v>298</v>
      </c>
      <c r="C17">
        <v>11</v>
      </c>
      <c r="D17">
        <v>11</v>
      </c>
      <c r="E17">
        <v>7</v>
      </c>
      <c r="F17">
        <v>11</v>
      </c>
      <c r="G17">
        <v>11</v>
      </c>
      <c r="H17">
        <v>12</v>
      </c>
      <c r="I17">
        <v>7</v>
      </c>
      <c r="J17" s="43">
        <v>360</v>
      </c>
      <c r="K17" s="43">
        <v>22</v>
      </c>
      <c r="L17" s="43">
        <v>22</v>
      </c>
    </row>
    <row r="18" spans="1:12">
      <c r="A18" t="s">
        <v>29</v>
      </c>
      <c r="B18" t="s">
        <v>299</v>
      </c>
      <c r="C18">
        <v>3</v>
      </c>
      <c r="D18">
        <v>4</v>
      </c>
      <c r="E18">
        <v>3</v>
      </c>
      <c r="F18">
        <v>3</v>
      </c>
      <c r="G18">
        <v>3</v>
      </c>
      <c r="H18">
        <v>3</v>
      </c>
      <c r="I18">
        <v>2</v>
      </c>
      <c r="J18" s="43">
        <v>120</v>
      </c>
      <c r="K18" s="43">
        <v>8</v>
      </c>
      <c r="L18" s="43">
        <v>8</v>
      </c>
    </row>
    <row r="19" spans="1:12">
      <c r="A19" t="s">
        <v>29</v>
      </c>
      <c r="B19">
        <v>9</v>
      </c>
      <c r="C19">
        <f>FLOOR(C$17+C$18*Tabela1318[[#This Row],[Type]],1)</f>
        <v>38</v>
      </c>
      <c r="D19">
        <f>FLOOR(D$17+D$18*Tabela1318[[#This Row],[Type]],1)</f>
        <v>47</v>
      </c>
      <c r="E19">
        <f>FLOOR(E$17+E$18*Tabela1318[[#This Row],[Type]],1)</f>
        <v>34</v>
      </c>
      <c r="F19">
        <f>FLOOR(F$17+F$18*Tabela1318[[#This Row],[Type]],1)</f>
        <v>38</v>
      </c>
      <c r="G19">
        <f>FLOOR(G$17+G$18*Tabela1318[[#This Row],[Type]],1)</f>
        <v>38</v>
      </c>
      <c r="H19">
        <f>FLOOR(H$17+H$18*Tabela1318[[#This Row],[Type]],1)</f>
        <v>39</v>
      </c>
      <c r="I19">
        <f>FLOOR(I$17+I$18*Tabela1318[[#This Row],[Type]],1)</f>
        <v>25</v>
      </c>
      <c r="J19" s="43">
        <f>FLOOR((J$17+J$18*(Tabela1318[[#This Row],[Type]]-1))*1.2,1)</f>
        <v>1584</v>
      </c>
      <c r="K19" s="43">
        <f>FLOOR((K$17+K$18*(Tabela1318[[#This Row],[Type]]-1))*1.2,1)</f>
        <v>103</v>
      </c>
      <c r="L19" s="43">
        <f>FLOOR((L$17+L$18*(Tabela1318[[#This Row],[Type]]-1))*1.2,1)</f>
        <v>103</v>
      </c>
    </row>
    <row r="20" spans="1:12">
      <c r="A20" t="s">
        <v>29</v>
      </c>
      <c r="B20">
        <v>12</v>
      </c>
      <c r="C20">
        <f>FLOOR(C$17+C$18*Tabela1318[[#This Row],[Type]],1)</f>
        <v>47</v>
      </c>
      <c r="D20">
        <f>FLOOR(D$17+D$18*Tabela1318[[#This Row],[Type]],1)</f>
        <v>59</v>
      </c>
      <c r="E20">
        <f>FLOOR(E$17+E$18*Tabela1318[[#This Row],[Type]],1)</f>
        <v>43</v>
      </c>
      <c r="F20">
        <f>FLOOR(F$17+F$18*Tabela1318[[#This Row],[Type]],1)</f>
        <v>47</v>
      </c>
      <c r="G20">
        <f>FLOOR(G$17+G$18*Tabela1318[[#This Row],[Type]],1)</f>
        <v>47</v>
      </c>
      <c r="H20">
        <f>FLOOR(H$17+H$18*Tabela1318[[#This Row],[Type]],1)</f>
        <v>48</v>
      </c>
      <c r="I20">
        <f>FLOOR(I$17+I$18*Tabela1318[[#This Row],[Type]],1)</f>
        <v>31</v>
      </c>
      <c r="J20" s="43">
        <f>FLOOR((J$17+J$18*(Tabela1318[[#This Row],[Type]]-1))*1.2,1)</f>
        <v>2016</v>
      </c>
      <c r="K20" s="43">
        <f>FLOOR((K$17+K$18*(Tabela1318[[#This Row],[Type]]-1))*1.2,1)</f>
        <v>132</v>
      </c>
      <c r="L20" s="43">
        <f>FLOOR((L$17+L$18*(Tabela1318[[#This Row],[Type]]-1))*1.2,1)</f>
        <v>132</v>
      </c>
    </row>
    <row r="21" spans="1:12">
      <c r="A21" t="s">
        <v>29</v>
      </c>
      <c r="B21" s="6">
        <v>15</v>
      </c>
      <c r="C21">
        <f>FLOOR((C$17+C$18*(Tabela1318[[#This Row],[Type]]-1))*1.2,1)</f>
        <v>63</v>
      </c>
      <c r="D21">
        <f>FLOOR((D$17+D$18*(Tabela1318[[#This Row],[Type]]-1))*1.2,1)</f>
        <v>80</v>
      </c>
      <c r="E21">
        <f>FLOOR((E$17+E$18*(Tabela1318[[#This Row],[Type]]-1))*1.2,1)</f>
        <v>58</v>
      </c>
      <c r="F21">
        <f>FLOOR((F$17+F$18*(Tabela1318[[#This Row],[Type]]-1))*1.2,1)</f>
        <v>63</v>
      </c>
      <c r="G21">
        <f>FLOOR((G$17+G$18*(Tabela1318[[#This Row],[Type]]-1))*1.2,1)</f>
        <v>63</v>
      </c>
      <c r="H21">
        <f>FLOOR((H$17+H$18*(Tabela1318[[#This Row],[Type]]-1))*1.2,1)</f>
        <v>64</v>
      </c>
      <c r="I21">
        <f>FLOOR((I$17+I$18*(Tabela1318[[#This Row],[Type]]-1))*1.2,1)</f>
        <v>42</v>
      </c>
      <c r="J21" s="43">
        <f>FLOOR((J$17+J$18*(Tabela1318[[#This Row],[Type]]-1))*1.2,1)</f>
        <v>2448</v>
      </c>
      <c r="K21" s="43">
        <f>FLOOR((K$17+K$18*(Tabela1318[[#This Row],[Type]]-1))*1.2,1)</f>
        <v>160</v>
      </c>
      <c r="L21" s="43">
        <f>FLOOR((L$17+L$18*(Tabela1318[[#This Row],[Type]]-1))*1.2,1)</f>
        <v>160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292"/>
  <sheetViews>
    <sheetView workbookViewId="0">
      <pane ySplit="1" topLeftCell="A2" activePane="bottomLeft" state="frozen"/>
      <selection pane="bottomLeft" activeCell="O159" sqref="O159"/>
    </sheetView>
  </sheetViews>
  <sheetFormatPr defaultRowHeight="14.25"/>
  <cols>
    <col min="1" max="1" width="12.75" bestFit="1" customWidth="1"/>
    <col min="2" max="2" width="12.75" customWidth="1"/>
    <col min="7" max="7" width="9.25" bestFit="1" customWidth="1"/>
    <col min="11" max="11" width="11.625" customWidth="1"/>
    <col min="12" max="12" width="11.875" customWidth="1"/>
    <col min="18" max="18" width="7.5" bestFit="1" customWidth="1"/>
  </cols>
  <sheetData>
    <row r="1" spans="1:19">
      <c r="A1" t="s">
        <v>332</v>
      </c>
      <c r="B1" t="s">
        <v>362</v>
      </c>
      <c r="C1" t="s">
        <v>193</v>
      </c>
      <c r="D1" t="s">
        <v>194</v>
      </c>
      <c r="E1" t="s">
        <v>334</v>
      </c>
      <c r="F1" t="s">
        <v>202</v>
      </c>
      <c r="G1" t="s">
        <v>195</v>
      </c>
      <c r="H1" t="s">
        <v>196</v>
      </c>
      <c r="I1" t="s">
        <v>197</v>
      </c>
      <c r="J1" t="s">
        <v>159</v>
      </c>
      <c r="K1" t="s">
        <v>198</v>
      </c>
      <c r="L1" t="s">
        <v>199</v>
      </c>
      <c r="M1" t="s">
        <v>200</v>
      </c>
      <c r="N1" t="s">
        <v>304</v>
      </c>
      <c r="O1" t="s">
        <v>201</v>
      </c>
      <c r="P1" t="s">
        <v>331</v>
      </c>
      <c r="Q1" t="s">
        <v>203</v>
      </c>
      <c r="R1" t="s">
        <v>360</v>
      </c>
      <c r="S1" t="s">
        <v>361</v>
      </c>
    </row>
    <row r="2" spans="1:19" hidden="1">
      <c r="A2" t="s">
        <v>335</v>
      </c>
      <c r="B2" t="s">
        <v>335</v>
      </c>
      <c r="C2" t="s">
        <v>333</v>
      </c>
      <c r="D2">
        <v>1</v>
      </c>
      <c r="E2">
        <v>9</v>
      </c>
      <c r="F2" t="s">
        <v>26</v>
      </c>
      <c r="G2" s="15"/>
      <c r="H2">
        <v>119</v>
      </c>
      <c r="I2" s="15"/>
      <c r="J2">
        <v>3</v>
      </c>
      <c r="K2" s="15">
        <v>0.05</v>
      </c>
      <c r="L2" s="15"/>
      <c r="M2" s="15">
        <v>0.1</v>
      </c>
      <c r="N2">
        <v>52</v>
      </c>
      <c r="O2" s="15"/>
      <c r="Q2" s="15"/>
    </row>
    <row r="3" spans="1:19" hidden="1">
      <c r="A3" t="s">
        <v>335</v>
      </c>
      <c r="B3" t="s">
        <v>335</v>
      </c>
      <c r="C3" t="s">
        <v>184</v>
      </c>
      <c r="D3">
        <v>2</v>
      </c>
      <c r="E3">
        <v>12</v>
      </c>
      <c r="F3" t="s">
        <v>27</v>
      </c>
      <c r="G3" s="15">
        <v>0.03</v>
      </c>
      <c r="I3" s="15"/>
      <c r="J3">
        <v>22</v>
      </c>
      <c r="K3" s="15">
        <v>0.04</v>
      </c>
      <c r="L3" s="15">
        <v>0.03</v>
      </c>
      <c r="M3" s="15">
        <v>0.03</v>
      </c>
      <c r="O3" s="15">
        <v>0.09</v>
      </c>
      <c r="Q3" s="15"/>
    </row>
    <row r="4" spans="1:19" hidden="1">
      <c r="A4" t="s">
        <v>335</v>
      </c>
      <c r="B4" t="s">
        <v>335</v>
      </c>
      <c r="C4" t="s">
        <v>184</v>
      </c>
      <c r="D4">
        <v>3</v>
      </c>
      <c r="E4">
        <v>12</v>
      </c>
      <c r="F4" t="s">
        <v>27</v>
      </c>
      <c r="G4" s="15">
        <v>0.05</v>
      </c>
      <c r="H4">
        <v>416</v>
      </c>
      <c r="I4" s="15">
        <v>0.03</v>
      </c>
      <c r="J4">
        <v>8</v>
      </c>
      <c r="K4" s="15"/>
      <c r="L4" s="15"/>
      <c r="M4" s="15"/>
      <c r="O4" s="15">
        <v>0.1</v>
      </c>
      <c r="P4">
        <v>64</v>
      </c>
      <c r="Q4" s="15"/>
    </row>
    <row r="5" spans="1:19" hidden="1">
      <c r="A5" t="s">
        <v>335</v>
      </c>
      <c r="B5" t="s">
        <v>335</v>
      </c>
      <c r="C5" t="s">
        <v>184</v>
      </c>
      <c r="D5">
        <v>4</v>
      </c>
      <c r="E5">
        <v>12</v>
      </c>
      <c r="F5" t="s">
        <v>27</v>
      </c>
      <c r="G5" s="15"/>
      <c r="I5" s="15"/>
      <c r="J5">
        <v>6</v>
      </c>
      <c r="K5" s="15">
        <v>0.06</v>
      </c>
      <c r="L5" s="15"/>
      <c r="M5" s="15">
        <v>0.31</v>
      </c>
      <c r="N5">
        <v>10</v>
      </c>
      <c r="O5" s="15"/>
      <c r="Q5" s="15">
        <v>0.03</v>
      </c>
    </row>
    <row r="6" spans="1:19" hidden="1">
      <c r="A6" t="s">
        <v>335</v>
      </c>
      <c r="B6" t="s">
        <v>335</v>
      </c>
      <c r="C6" t="s">
        <v>333</v>
      </c>
      <c r="D6">
        <v>5</v>
      </c>
      <c r="E6">
        <v>12</v>
      </c>
      <c r="F6" t="s">
        <v>27</v>
      </c>
      <c r="G6" s="15">
        <v>0.1</v>
      </c>
      <c r="H6">
        <v>970</v>
      </c>
      <c r="I6" s="15"/>
      <c r="J6">
        <v>3</v>
      </c>
      <c r="K6" s="15"/>
      <c r="L6" s="15"/>
      <c r="M6" s="15">
        <v>0.03</v>
      </c>
      <c r="O6" s="15">
        <v>0.08</v>
      </c>
      <c r="Q6" s="15"/>
    </row>
    <row r="7" spans="1:19" hidden="1">
      <c r="A7" t="s">
        <v>335</v>
      </c>
      <c r="B7" t="s">
        <v>335</v>
      </c>
      <c r="C7" t="s">
        <v>184</v>
      </c>
      <c r="D7">
        <v>6</v>
      </c>
      <c r="E7">
        <v>9</v>
      </c>
      <c r="F7" t="s">
        <v>26</v>
      </c>
      <c r="G7" s="15">
        <v>0.04</v>
      </c>
      <c r="I7" s="15"/>
      <c r="K7" s="15">
        <v>0.08</v>
      </c>
      <c r="L7" s="15"/>
      <c r="M7" s="15">
        <v>0.22</v>
      </c>
      <c r="O7" s="15">
        <v>7.0000000000000007E-2</v>
      </c>
      <c r="P7">
        <v>8</v>
      </c>
      <c r="Q7" s="15"/>
    </row>
    <row r="8" spans="1:19" hidden="1">
      <c r="A8" t="s">
        <v>343</v>
      </c>
      <c r="B8" t="s">
        <v>343</v>
      </c>
      <c r="C8" t="s">
        <v>153</v>
      </c>
      <c r="D8">
        <v>1</v>
      </c>
      <c r="E8">
        <v>12</v>
      </c>
      <c r="F8" t="s">
        <v>27</v>
      </c>
      <c r="G8" s="15">
        <v>0.13</v>
      </c>
      <c r="I8" s="15">
        <v>7.0000000000000007E-2</v>
      </c>
      <c r="J8">
        <v>3</v>
      </c>
      <c r="K8" s="15">
        <v>0.03</v>
      </c>
      <c r="L8" s="15"/>
      <c r="M8" s="15"/>
      <c r="N8">
        <v>82</v>
      </c>
      <c r="O8" s="15"/>
      <c r="Q8" s="15">
        <v>0.1</v>
      </c>
    </row>
    <row r="9" spans="1:19" hidden="1">
      <c r="A9" t="s">
        <v>343</v>
      </c>
      <c r="B9" t="s">
        <v>343</v>
      </c>
      <c r="C9" t="s">
        <v>190</v>
      </c>
      <c r="D9">
        <v>2</v>
      </c>
      <c r="E9">
        <v>15</v>
      </c>
      <c r="F9" t="s">
        <v>28</v>
      </c>
      <c r="G9" s="15">
        <v>7.0000000000000007E-2</v>
      </c>
      <c r="I9" s="15"/>
      <c r="J9">
        <v>39</v>
      </c>
      <c r="K9" s="15"/>
      <c r="L9" s="15">
        <v>0.04</v>
      </c>
      <c r="M9" s="15">
        <v>0.11</v>
      </c>
      <c r="N9">
        <v>11</v>
      </c>
      <c r="O9" s="15"/>
      <c r="Q9" s="15"/>
    </row>
    <row r="10" spans="1:19" hidden="1">
      <c r="A10" t="s">
        <v>343</v>
      </c>
      <c r="B10" t="s">
        <v>343</v>
      </c>
      <c r="C10" t="s">
        <v>153</v>
      </c>
      <c r="D10">
        <v>3</v>
      </c>
      <c r="E10">
        <v>12</v>
      </c>
      <c r="F10" t="s">
        <v>28</v>
      </c>
      <c r="G10" s="15"/>
      <c r="I10" s="15">
        <v>0.15</v>
      </c>
      <c r="J10">
        <v>4</v>
      </c>
      <c r="K10" s="15"/>
      <c r="L10" s="15"/>
      <c r="M10" s="15"/>
      <c r="O10" s="15">
        <v>0.06</v>
      </c>
      <c r="P10">
        <v>99</v>
      </c>
      <c r="Q10" s="15">
        <v>0.04</v>
      </c>
    </row>
    <row r="11" spans="1:19" hidden="1">
      <c r="A11" t="s">
        <v>343</v>
      </c>
      <c r="B11" t="s">
        <v>343</v>
      </c>
      <c r="C11" t="s">
        <v>153</v>
      </c>
      <c r="D11">
        <v>4</v>
      </c>
      <c r="E11">
        <v>12</v>
      </c>
      <c r="F11" t="s">
        <v>27</v>
      </c>
      <c r="G11" s="15">
        <v>0.31</v>
      </c>
      <c r="I11" s="15">
        <v>0.06</v>
      </c>
      <c r="K11" s="15">
        <v>0.04</v>
      </c>
      <c r="L11" s="15"/>
      <c r="M11" s="15"/>
      <c r="N11">
        <v>17</v>
      </c>
      <c r="O11" s="15"/>
      <c r="Q11" s="15">
        <v>0.1</v>
      </c>
    </row>
    <row r="12" spans="1:19" hidden="1">
      <c r="A12" s="142" t="s">
        <v>343</v>
      </c>
      <c r="B12" s="142" t="s">
        <v>343</v>
      </c>
      <c r="C12" s="142" t="s">
        <v>190</v>
      </c>
      <c r="D12" s="142">
        <v>5</v>
      </c>
      <c r="E12" s="142">
        <v>9</v>
      </c>
      <c r="F12" s="142" t="s">
        <v>27</v>
      </c>
      <c r="G12" s="143">
        <v>0.1</v>
      </c>
      <c r="H12" s="142">
        <v>970</v>
      </c>
      <c r="I12" s="143"/>
      <c r="J12" s="142">
        <v>8</v>
      </c>
      <c r="K12" s="143"/>
      <c r="L12" s="143">
        <v>0.02</v>
      </c>
      <c r="M12" s="143"/>
      <c r="N12" s="142">
        <v>5</v>
      </c>
      <c r="O12" s="143"/>
      <c r="P12" s="142"/>
      <c r="Q12" s="143"/>
      <c r="R12" s="142"/>
    </row>
    <row r="13" spans="1:19" hidden="1">
      <c r="A13" t="s">
        <v>343</v>
      </c>
      <c r="B13" t="s">
        <v>343</v>
      </c>
      <c r="C13" t="s">
        <v>153</v>
      </c>
      <c r="D13">
        <v>6</v>
      </c>
      <c r="E13">
        <v>12</v>
      </c>
      <c r="F13" t="s">
        <v>27</v>
      </c>
      <c r="G13" s="15"/>
      <c r="I13" s="15">
        <v>0.32</v>
      </c>
      <c r="J13">
        <v>2</v>
      </c>
      <c r="K13" s="15"/>
      <c r="L13" s="15"/>
      <c r="M13" s="15">
        <v>0.09</v>
      </c>
      <c r="N13">
        <v>19</v>
      </c>
      <c r="O13" s="15"/>
      <c r="P13">
        <v>10</v>
      </c>
      <c r="Q13" s="15"/>
    </row>
    <row r="14" spans="1:19" hidden="1">
      <c r="A14" t="s">
        <v>344</v>
      </c>
      <c r="B14" t="s">
        <v>344</v>
      </c>
      <c r="C14" t="s">
        <v>86</v>
      </c>
      <c r="D14">
        <v>1</v>
      </c>
      <c r="E14">
        <v>9</v>
      </c>
      <c r="F14" t="s">
        <v>27</v>
      </c>
      <c r="G14" s="15"/>
      <c r="I14" s="15">
        <v>0.03</v>
      </c>
      <c r="K14" s="15"/>
      <c r="L14" s="15"/>
      <c r="M14" s="15">
        <v>0.12</v>
      </c>
      <c r="N14">
        <v>64</v>
      </c>
      <c r="O14" s="15"/>
      <c r="Q14" s="15">
        <v>0.03</v>
      </c>
    </row>
    <row r="15" spans="1:19" hidden="1">
      <c r="A15" t="s">
        <v>344</v>
      </c>
      <c r="B15" t="s">
        <v>344</v>
      </c>
      <c r="C15" t="s">
        <v>86</v>
      </c>
      <c r="D15">
        <v>2</v>
      </c>
      <c r="E15">
        <v>9</v>
      </c>
      <c r="F15" t="s">
        <v>27</v>
      </c>
      <c r="G15" s="15"/>
      <c r="I15" s="15"/>
      <c r="J15">
        <v>5</v>
      </c>
      <c r="K15" s="15">
        <v>0.09</v>
      </c>
      <c r="L15" s="15">
        <v>0.03</v>
      </c>
      <c r="M15" s="15">
        <v>0.24</v>
      </c>
      <c r="O15" s="15"/>
      <c r="Q15" s="15">
        <v>0.05</v>
      </c>
    </row>
    <row r="16" spans="1:19" hidden="1">
      <c r="A16" t="s">
        <v>344</v>
      </c>
      <c r="B16" t="s">
        <v>344</v>
      </c>
      <c r="C16" t="s">
        <v>86</v>
      </c>
      <c r="D16">
        <v>3</v>
      </c>
      <c r="E16">
        <v>9</v>
      </c>
      <c r="F16" t="s">
        <v>27</v>
      </c>
      <c r="G16" s="15"/>
      <c r="I16" s="15">
        <v>0.05</v>
      </c>
      <c r="K16" s="15"/>
      <c r="L16" s="15">
        <v>0.02</v>
      </c>
      <c r="M16" s="15"/>
      <c r="O16" s="15">
        <v>0.16</v>
      </c>
      <c r="P16">
        <v>64</v>
      </c>
      <c r="Q16" s="15">
        <v>0.02</v>
      </c>
    </row>
    <row r="17" spans="1:19" hidden="1">
      <c r="A17" t="s">
        <v>344</v>
      </c>
      <c r="B17" t="s">
        <v>344</v>
      </c>
      <c r="C17" t="s">
        <v>86</v>
      </c>
      <c r="D17">
        <v>4</v>
      </c>
      <c r="E17">
        <v>14</v>
      </c>
      <c r="F17" t="s">
        <v>27</v>
      </c>
      <c r="G17" s="15"/>
      <c r="I17" s="15"/>
      <c r="J17">
        <v>2</v>
      </c>
      <c r="K17" s="15">
        <v>0.04</v>
      </c>
      <c r="L17" s="15">
        <v>0.05</v>
      </c>
      <c r="M17" s="15">
        <v>0.32</v>
      </c>
      <c r="N17">
        <v>3</v>
      </c>
      <c r="O17" s="15"/>
      <c r="Q17" s="15"/>
    </row>
    <row r="18" spans="1:19" hidden="1">
      <c r="A18" t="s">
        <v>344</v>
      </c>
      <c r="B18" t="s">
        <v>344</v>
      </c>
      <c r="C18" t="s">
        <v>84</v>
      </c>
      <c r="D18">
        <v>5</v>
      </c>
      <c r="E18">
        <v>9</v>
      </c>
      <c r="F18" t="s">
        <v>27</v>
      </c>
      <c r="G18" s="15">
        <v>0.05</v>
      </c>
      <c r="H18">
        <v>970</v>
      </c>
      <c r="I18" s="15">
        <v>0.03</v>
      </c>
      <c r="K18" s="15"/>
      <c r="L18" s="15"/>
      <c r="M18" s="15">
        <v>0.12</v>
      </c>
      <c r="O18" s="15">
        <v>0.09</v>
      </c>
      <c r="Q18" s="15"/>
    </row>
    <row r="19" spans="1:19" hidden="1">
      <c r="A19" t="s">
        <v>344</v>
      </c>
      <c r="B19" t="s">
        <v>344</v>
      </c>
      <c r="C19" t="s">
        <v>84</v>
      </c>
      <c r="D19">
        <v>6</v>
      </c>
      <c r="E19">
        <v>9</v>
      </c>
      <c r="F19" t="s">
        <v>28</v>
      </c>
      <c r="G19" s="15"/>
      <c r="H19">
        <v>260</v>
      </c>
      <c r="I19" s="15">
        <v>0.06</v>
      </c>
      <c r="K19" s="15"/>
      <c r="L19" s="15">
        <v>0.03</v>
      </c>
      <c r="M19" s="15">
        <v>0.28999999999999998</v>
      </c>
      <c r="O19" s="15"/>
      <c r="P19">
        <v>40</v>
      </c>
      <c r="Q19" s="15"/>
    </row>
    <row r="20" spans="1:19" hidden="1">
      <c r="A20" t="s">
        <v>150</v>
      </c>
      <c r="B20" t="s">
        <v>150</v>
      </c>
      <c r="C20" t="s">
        <v>151</v>
      </c>
      <c r="D20">
        <v>1</v>
      </c>
      <c r="E20">
        <v>12</v>
      </c>
      <c r="F20" t="s">
        <v>28</v>
      </c>
      <c r="G20" s="15"/>
      <c r="I20" s="15"/>
      <c r="J20">
        <v>13</v>
      </c>
      <c r="K20" s="15"/>
      <c r="L20" s="15">
        <v>0.04</v>
      </c>
      <c r="M20" s="15">
        <v>0.05</v>
      </c>
      <c r="N20">
        <v>99</v>
      </c>
      <c r="O20" s="15">
        <v>7.0000000000000007E-2</v>
      </c>
      <c r="Q20" s="15"/>
    </row>
    <row r="21" spans="1:19" hidden="1">
      <c r="A21" t="s">
        <v>150</v>
      </c>
      <c r="B21" t="s">
        <v>150</v>
      </c>
      <c r="C21" t="s">
        <v>190</v>
      </c>
      <c r="D21">
        <v>2</v>
      </c>
      <c r="E21">
        <v>12</v>
      </c>
      <c r="F21" t="s">
        <v>28</v>
      </c>
      <c r="G21" s="15">
        <v>0.37</v>
      </c>
      <c r="H21">
        <v>279</v>
      </c>
      <c r="I21" s="15">
        <v>0.05</v>
      </c>
      <c r="K21" s="15">
        <v>0.09</v>
      </c>
      <c r="L21" s="15"/>
      <c r="M21" s="15"/>
      <c r="N21">
        <v>15</v>
      </c>
      <c r="O21" s="15"/>
      <c r="Q21" s="15"/>
    </row>
    <row r="22" spans="1:19" hidden="1">
      <c r="A22" t="s">
        <v>150</v>
      </c>
      <c r="B22" t="s">
        <v>150</v>
      </c>
      <c r="C22" t="s">
        <v>151</v>
      </c>
      <c r="D22">
        <v>3</v>
      </c>
      <c r="E22">
        <v>12</v>
      </c>
      <c r="F22" t="s">
        <v>27</v>
      </c>
      <c r="G22" s="15">
        <v>0.06</v>
      </c>
      <c r="I22" s="15">
        <v>0.06</v>
      </c>
      <c r="J22">
        <v>7</v>
      </c>
      <c r="K22" s="15"/>
      <c r="L22" s="15">
        <v>0.04</v>
      </c>
      <c r="M22" s="15"/>
      <c r="O22" s="15"/>
      <c r="P22">
        <v>82</v>
      </c>
      <c r="Q22" s="15"/>
    </row>
    <row r="23" spans="1:19" hidden="1">
      <c r="A23" t="s">
        <v>150</v>
      </c>
      <c r="B23" t="s">
        <v>150</v>
      </c>
      <c r="C23" t="s">
        <v>190</v>
      </c>
      <c r="D23">
        <v>4</v>
      </c>
      <c r="E23">
        <v>12</v>
      </c>
      <c r="F23" t="s">
        <v>27</v>
      </c>
      <c r="G23" s="15">
        <v>0.31</v>
      </c>
      <c r="I23" s="15">
        <v>0.05</v>
      </c>
      <c r="K23" s="15"/>
      <c r="L23" s="15"/>
      <c r="M23" s="15">
        <v>0.06</v>
      </c>
      <c r="N23">
        <v>6</v>
      </c>
      <c r="O23" s="15"/>
      <c r="P23">
        <v>7</v>
      </c>
      <c r="Q23" s="15">
        <v>0.11</v>
      </c>
    </row>
    <row r="24" spans="1:19" hidden="1">
      <c r="A24" t="s">
        <v>150</v>
      </c>
      <c r="B24" t="s">
        <v>150</v>
      </c>
      <c r="C24" t="s">
        <v>151</v>
      </c>
      <c r="D24">
        <v>5</v>
      </c>
      <c r="E24">
        <v>12</v>
      </c>
      <c r="F24" t="s">
        <v>27</v>
      </c>
      <c r="G24" s="15">
        <v>0.05</v>
      </c>
      <c r="H24">
        <v>1240</v>
      </c>
      <c r="I24" s="15">
        <v>7.0000000000000007E-2</v>
      </c>
      <c r="J24">
        <v>2</v>
      </c>
      <c r="K24" s="15">
        <v>0.06</v>
      </c>
      <c r="L24" s="15">
        <v>0.05</v>
      </c>
      <c r="M24" s="15"/>
      <c r="O24" s="15"/>
      <c r="Q24" s="15"/>
    </row>
    <row r="25" spans="1:19" hidden="1">
      <c r="A25" t="s">
        <v>150</v>
      </c>
      <c r="B25" t="s">
        <v>150</v>
      </c>
      <c r="C25" t="s">
        <v>151</v>
      </c>
      <c r="D25">
        <v>6</v>
      </c>
      <c r="E25">
        <v>12</v>
      </c>
      <c r="F25" t="s">
        <v>28</v>
      </c>
      <c r="G25" s="15">
        <v>0.37</v>
      </c>
      <c r="H25">
        <v>181</v>
      </c>
      <c r="I25" s="15">
        <v>0.13</v>
      </c>
      <c r="J25">
        <v>4</v>
      </c>
      <c r="K25" s="15"/>
      <c r="L25" s="15"/>
      <c r="M25" s="15">
        <v>0.06</v>
      </c>
      <c r="O25" s="15"/>
      <c r="P25">
        <v>11</v>
      </c>
      <c r="Q25" s="15"/>
    </row>
    <row r="26" spans="1:19" hidden="1">
      <c r="A26" t="s">
        <v>186</v>
      </c>
      <c r="C26" t="s">
        <v>84</v>
      </c>
      <c r="D26">
        <v>1</v>
      </c>
      <c r="E26">
        <v>12</v>
      </c>
      <c r="F26" t="s">
        <v>28</v>
      </c>
      <c r="G26" s="15">
        <v>0.09</v>
      </c>
      <c r="H26">
        <v>110</v>
      </c>
      <c r="I26" s="15">
        <v>0.06</v>
      </c>
      <c r="K26" s="15">
        <v>0.1</v>
      </c>
      <c r="L26" s="15">
        <v>0.04</v>
      </c>
      <c r="M26" s="15"/>
      <c r="N26">
        <v>99</v>
      </c>
      <c r="O26" s="15"/>
      <c r="Q26" s="15"/>
      <c r="S26" t="s">
        <v>363</v>
      </c>
    </row>
    <row r="27" spans="1:19" hidden="1">
      <c r="A27" t="s">
        <v>186</v>
      </c>
      <c r="B27" t="s">
        <v>186</v>
      </c>
      <c r="C27" t="s">
        <v>147</v>
      </c>
      <c r="D27">
        <v>2</v>
      </c>
      <c r="E27">
        <v>15</v>
      </c>
      <c r="F27" t="s">
        <v>29</v>
      </c>
      <c r="G27" s="15">
        <v>0.63</v>
      </c>
      <c r="H27">
        <v>135</v>
      </c>
      <c r="I27" s="15"/>
      <c r="J27">
        <v>11</v>
      </c>
      <c r="K27" s="15">
        <v>0.06</v>
      </c>
      <c r="L27" s="15"/>
      <c r="M27" s="15"/>
      <c r="N27">
        <v>10</v>
      </c>
      <c r="O27" s="15"/>
      <c r="Q27" s="15"/>
      <c r="S27" t="s">
        <v>186</v>
      </c>
    </row>
    <row r="28" spans="1:19" hidden="1">
      <c r="A28" t="s">
        <v>186</v>
      </c>
      <c r="B28" t="s">
        <v>186</v>
      </c>
      <c r="C28" t="s">
        <v>151</v>
      </c>
      <c r="D28">
        <v>3</v>
      </c>
      <c r="E28">
        <v>12</v>
      </c>
      <c r="F28" t="s">
        <v>27</v>
      </c>
      <c r="G28" s="15">
        <v>0.15</v>
      </c>
      <c r="I28" s="15"/>
      <c r="K28" s="15"/>
      <c r="L28" s="15">
        <v>0.02</v>
      </c>
      <c r="M28" s="15"/>
      <c r="O28" s="15">
        <v>0.04</v>
      </c>
      <c r="P28">
        <v>82</v>
      </c>
      <c r="Q28" s="15">
        <v>7.0000000000000007E-2</v>
      </c>
      <c r="S28" t="s">
        <v>186</v>
      </c>
    </row>
    <row r="29" spans="1:19" hidden="1">
      <c r="A29" t="s">
        <v>186</v>
      </c>
      <c r="B29" t="s">
        <v>186</v>
      </c>
      <c r="C29" t="s">
        <v>190</v>
      </c>
      <c r="D29">
        <v>4</v>
      </c>
      <c r="E29">
        <v>15</v>
      </c>
      <c r="F29" t="s">
        <v>29</v>
      </c>
      <c r="G29" s="15">
        <v>0.08</v>
      </c>
      <c r="H29">
        <v>334</v>
      </c>
      <c r="I29" s="15"/>
      <c r="K29" s="15">
        <v>0.57999999999999996</v>
      </c>
      <c r="L29" s="15"/>
      <c r="M29" s="15">
        <v>7.0000000000000007E-2</v>
      </c>
      <c r="O29" s="15">
        <v>0.06</v>
      </c>
      <c r="Q29" s="15"/>
      <c r="S29" t="s">
        <v>186</v>
      </c>
    </row>
    <row r="30" spans="1:19" hidden="1">
      <c r="A30" t="s">
        <v>186</v>
      </c>
      <c r="B30" t="s">
        <v>186</v>
      </c>
      <c r="C30" t="s">
        <v>84</v>
      </c>
      <c r="D30">
        <v>5</v>
      </c>
      <c r="E30">
        <v>12</v>
      </c>
      <c r="F30" t="s">
        <v>29</v>
      </c>
      <c r="G30" s="15"/>
      <c r="H30">
        <v>1800</v>
      </c>
      <c r="I30" s="15">
        <v>0.06</v>
      </c>
      <c r="K30" s="15">
        <v>0.1</v>
      </c>
      <c r="L30" s="15"/>
      <c r="M30" s="15"/>
      <c r="O30" s="15">
        <v>0.12</v>
      </c>
      <c r="P30">
        <v>42</v>
      </c>
      <c r="Q30" s="15"/>
      <c r="S30" t="s">
        <v>186</v>
      </c>
    </row>
    <row r="31" spans="1:19" hidden="1">
      <c r="A31" s="142" t="s">
        <v>186</v>
      </c>
      <c r="B31" s="142"/>
      <c r="C31" s="142" t="s">
        <v>147</v>
      </c>
      <c r="D31" s="142">
        <v>6</v>
      </c>
      <c r="E31" s="142">
        <v>9</v>
      </c>
      <c r="F31" s="142" t="s">
        <v>26</v>
      </c>
      <c r="G31" s="143">
        <v>0.22</v>
      </c>
      <c r="H31" s="142"/>
      <c r="I31" s="143">
        <v>7.0000000000000007E-2</v>
      </c>
      <c r="J31" s="142">
        <v>1</v>
      </c>
      <c r="K31" s="143">
        <v>0.01</v>
      </c>
      <c r="L31" s="143"/>
      <c r="M31" s="143"/>
      <c r="N31" s="142"/>
      <c r="O31" s="143"/>
      <c r="P31" s="142"/>
      <c r="Q31" s="143"/>
      <c r="R31" s="142"/>
      <c r="S31" s="142" t="s">
        <v>186</v>
      </c>
    </row>
    <row r="32" spans="1:19" hidden="1">
      <c r="A32" t="s">
        <v>144</v>
      </c>
      <c r="B32" t="s">
        <v>144</v>
      </c>
      <c r="C32" t="s">
        <v>148</v>
      </c>
      <c r="D32">
        <v>1</v>
      </c>
      <c r="E32">
        <v>12</v>
      </c>
      <c r="F32" t="s">
        <v>27</v>
      </c>
      <c r="G32" s="15">
        <v>0.06</v>
      </c>
      <c r="I32" s="15">
        <v>0.15</v>
      </c>
      <c r="J32">
        <v>3</v>
      </c>
      <c r="K32" s="15"/>
      <c r="L32" s="15"/>
      <c r="M32" s="15"/>
      <c r="N32">
        <v>82</v>
      </c>
      <c r="O32" s="15"/>
      <c r="Q32" s="15">
        <v>7.0000000000000007E-2</v>
      </c>
    </row>
    <row r="33" spans="1:19" hidden="1">
      <c r="A33" t="s">
        <v>144</v>
      </c>
      <c r="B33" t="s">
        <v>144</v>
      </c>
      <c r="C33" t="s">
        <v>190</v>
      </c>
      <c r="D33">
        <v>2</v>
      </c>
      <c r="E33">
        <v>15</v>
      </c>
      <c r="F33" t="s">
        <v>28</v>
      </c>
      <c r="G33" s="15">
        <v>0.05</v>
      </c>
      <c r="I33" s="15"/>
      <c r="J33">
        <v>39</v>
      </c>
      <c r="K33" s="15">
        <v>0.04</v>
      </c>
      <c r="L33" s="15"/>
      <c r="M33" s="15">
        <v>0.1</v>
      </c>
      <c r="O33" s="15">
        <v>0.06</v>
      </c>
      <c r="Q33" s="15">
        <v>0.06</v>
      </c>
    </row>
    <row r="34" spans="1:19">
      <c r="A34" t="s">
        <v>144</v>
      </c>
      <c r="B34" t="s">
        <v>144</v>
      </c>
      <c r="C34" t="s">
        <v>190</v>
      </c>
      <c r="D34">
        <v>3</v>
      </c>
      <c r="E34">
        <v>12</v>
      </c>
      <c r="F34" t="s">
        <v>27</v>
      </c>
      <c r="G34" s="15">
        <v>0.04</v>
      </c>
      <c r="I34" s="15">
        <v>0.03</v>
      </c>
      <c r="K34" s="15"/>
      <c r="L34" s="15">
        <v>0.03</v>
      </c>
      <c r="M34" s="15"/>
      <c r="O34" s="15">
        <v>0.1</v>
      </c>
      <c r="P34">
        <v>64</v>
      </c>
      <c r="Q34" s="15"/>
    </row>
    <row r="35" spans="1:19" hidden="1">
      <c r="A35" t="s">
        <v>144</v>
      </c>
      <c r="B35" t="s">
        <v>144</v>
      </c>
      <c r="C35" t="s">
        <v>148</v>
      </c>
      <c r="D35">
        <v>4</v>
      </c>
      <c r="E35">
        <v>12</v>
      </c>
      <c r="F35" t="s">
        <v>27</v>
      </c>
      <c r="G35" s="15">
        <v>0.31</v>
      </c>
      <c r="I35" s="15">
        <v>7.0000000000000007E-2</v>
      </c>
      <c r="K35" s="15">
        <v>0.11</v>
      </c>
      <c r="L35" s="15"/>
      <c r="M35" s="15"/>
      <c r="O35" s="15">
        <v>0.05</v>
      </c>
      <c r="P35">
        <v>5</v>
      </c>
      <c r="Q35" s="15"/>
    </row>
    <row r="36" spans="1:19" hidden="1">
      <c r="A36" t="s">
        <v>144</v>
      </c>
      <c r="B36" t="s">
        <v>144</v>
      </c>
      <c r="C36" t="s">
        <v>148</v>
      </c>
      <c r="D36" s="6">
        <v>5</v>
      </c>
      <c r="E36" s="6">
        <v>12</v>
      </c>
      <c r="F36" s="6" t="s">
        <v>29</v>
      </c>
      <c r="G36" s="28"/>
      <c r="H36" s="6">
        <v>1800</v>
      </c>
      <c r="I36" s="15">
        <v>0.08</v>
      </c>
      <c r="J36" s="6">
        <v>8</v>
      </c>
      <c r="K36" s="28">
        <v>0.06</v>
      </c>
      <c r="L36" s="28"/>
      <c r="M36" s="28"/>
      <c r="N36" s="6"/>
      <c r="O36" s="28">
        <v>0.14000000000000001</v>
      </c>
      <c r="P36" s="6"/>
      <c r="Q36" s="28"/>
      <c r="R36" s="6"/>
    </row>
    <row r="37" spans="1:19" hidden="1">
      <c r="A37" t="s">
        <v>144</v>
      </c>
      <c r="B37" t="s">
        <v>144</v>
      </c>
      <c r="C37" t="s">
        <v>148</v>
      </c>
      <c r="D37">
        <v>6</v>
      </c>
      <c r="E37">
        <v>9</v>
      </c>
      <c r="F37" t="s">
        <v>26</v>
      </c>
      <c r="G37" s="15">
        <v>0.12</v>
      </c>
      <c r="I37" s="141">
        <v>0.22</v>
      </c>
      <c r="J37">
        <v>1</v>
      </c>
      <c r="K37" s="15">
        <v>0.01</v>
      </c>
      <c r="L37" s="15"/>
      <c r="M37" s="15"/>
      <c r="N37">
        <v>8</v>
      </c>
      <c r="O37" s="15"/>
      <c r="Q37" s="15"/>
      <c r="R37" s="6"/>
    </row>
    <row r="38" spans="1:19" hidden="1">
      <c r="A38" s="146" t="s">
        <v>345</v>
      </c>
      <c r="B38" s="146" t="s">
        <v>345</v>
      </c>
      <c r="C38" s="146" t="s">
        <v>148</v>
      </c>
      <c r="D38" s="146">
        <v>1</v>
      </c>
      <c r="E38" s="146">
        <v>12</v>
      </c>
      <c r="F38" s="146" t="s">
        <v>27</v>
      </c>
      <c r="G38" s="147">
        <v>0.06</v>
      </c>
      <c r="H38" s="146"/>
      <c r="I38" s="148"/>
      <c r="J38" s="146">
        <v>7</v>
      </c>
      <c r="K38" s="147">
        <v>0.02</v>
      </c>
      <c r="L38" s="147"/>
      <c r="M38" s="147">
        <v>0.06</v>
      </c>
      <c r="N38" s="146">
        <v>64</v>
      </c>
      <c r="O38" s="147"/>
      <c r="P38" s="146"/>
      <c r="Q38" s="147"/>
      <c r="R38" s="57"/>
    </row>
    <row r="39" spans="1:19" hidden="1">
      <c r="A39" t="s">
        <v>345</v>
      </c>
      <c r="B39" t="s">
        <v>345</v>
      </c>
      <c r="C39" t="s">
        <v>148</v>
      </c>
      <c r="D39">
        <v>2</v>
      </c>
      <c r="E39">
        <v>9</v>
      </c>
      <c r="F39" t="s">
        <v>26</v>
      </c>
      <c r="G39" s="15">
        <v>0.22</v>
      </c>
      <c r="H39">
        <v>160</v>
      </c>
      <c r="I39" s="141">
        <v>0.04</v>
      </c>
      <c r="J39">
        <v>4</v>
      </c>
      <c r="K39" s="15"/>
      <c r="L39" s="15"/>
      <c r="M39" s="15"/>
      <c r="O39" s="15">
        <v>0.09</v>
      </c>
      <c r="Q39" s="15"/>
      <c r="R39" s="6"/>
    </row>
    <row r="40" spans="1:19">
      <c r="A40" t="s">
        <v>345</v>
      </c>
      <c r="B40" t="s">
        <v>345</v>
      </c>
      <c r="C40" t="s">
        <v>148</v>
      </c>
      <c r="D40">
        <v>3</v>
      </c>
      <c r="E40">
        <v>12</v>
      </c>
      <c r="F40" t="s">
        <v>27</v>
      </c>
      <c r="G40" s="15">
        <v>0.1</v>
      </c>
      <c r="I40" s="141">
        <v>0.05</v>
      </c>
      <c r="J40">
        <v>8</v>
      </c>
      <c r="K40" s="15">
        <v>0.03</v>
      </c>
      <c r="L40" s="15">
        <v>0.02</v>
      </c>
      <c r="M40" s="15"/>
      <c r="O40" s="15"/>
      <c r="P40">
        <v>82</v>
      </c>
      <c r="Q40" s="15"/>
      <c r="R40" s="6"/>
    </row>
    <row r="41" spans="1:19" hidden="1">
      <c r="A41" t="s">
        <v>345</v>
      </c>
      <c r="B41" t="s">
        <v>345</v>
      </c>
      <c r="C41" t="s">
        <v>147</v>
      </c>
      <c r="D41">
        <v>4</v>
      </c>
      <c r="E41">
        <v>12</v>
      </c>
      <c r="F41" t="s">
        <v>27</v>
      </c>
      <c r="G41" s="15">
        <v>0.31</v>
      </c>
      <c r="I41" s="141"/>
      <c r="J41">
        <v>8</v>
      </c>
      <c r="K41" s="15">
        <v>0.06</v>
      </c>
      <c r="L41" s="15"/>
      <c r="M41" s="15"/>
      <c r="O41" s="15"/>
      <c r="P41">
        <v>11</v>
      </c>
      <c r="Q41" s="15">
        <v>0.05</v>
      </c>
      <c r="R41" s="6"/>
    </row>
    <row r="42" spans="1:19" hidden="1">
      <c r="A42" t="s">
        <v>345</v>
      </c>
      <c r="B42" t="s">
        <v>345</v>
      </c>
      <c r="C42" t="s">
        <v>148</v>
      </c>
      <c r="D42">
        <v>5</v>
      </c>
      <c r="E42">
        <v>12</v>
      </c>
      <c r="F42" t="s">
        <v>28</v>
      </c>
      <c r="G42" s="15"/>
      <c r="H42">
        <v>1215</v>
      </c>
      <c r="I42" s="141">
        <v>0.05</v>
      </c>
      <c r="K42" s="15"/>
      <c r="L42" s="15">
        <v>0.05</v>
      </c>
      <c r="M42" s="15"/>
      <c r="O42" s="15">
        <v>0.06</v>
      </c>
      <c r="P42">
        <v>39</v>
      </c>
      <c r="Q42" s="15"/>
      <c r="R42" s="6"/>
    </row>
    <row r="43" spans="1:19" hidden="1">
      <c r="A43" t="s">
        <v>345</v>
      </c>
      <c r="B43" t="s">
        <v>186</v>
      </c>
      <c r="C43" t="s">
        <v>147</v>
      </c>
      <c r="D43">
        <v>6</v>
      </c>
      <c r="E43">
        <v>12</v>
      </c>
      <c r="F43" t="s">
        <v>28</v>
      </c>
      <c r="G43" s="15">
        <v>0.37</v>
      </c>
      <c r="I43" s="141">
        <v>0.04</v>
      </c>
      <c r="J43">
        <v>12</v>
      </c>
      <c r="K43" s="15"/>
      <c r="L43" s="15">
        <v>0.04</v>
      </c>
      <c r="M43" s="15">
        <v>7.0000000000000007E-2</v>
      </c>
      <c r="O43" s="15"/>
      <c r="Q43" s="15">
        <v>0.13</v>
      </c>
      <c r="R43" s="6"/>
      <c r="S43" t="s">
        <v>364</v>
      </c>
    </row>
    <row r="44" spans="1:19" hidden="1">
      <c r="A44" t="s">
        <v>346</v>
      </c>
      <c r="B44" t="s">
        <v>346</v>
      </c>
      <c r="C44" t="s">
        <v>153</v>
      </c>
      <c r="D44">
        <v>1</v>
      </c>
      <c r="E44">
        <v>12</v>
      </c>
      <c r="F44" t="s">
        <v>27</v>
      </c>
      <c r="G44" s="15">
        <v>0.11</v>
      </c>
      <c r="I44" s="141"/>
      <c r="J44">
        <v>4</v>
      </c>
      <c r="K44" s="15">
        <v>0.04</v>
      </c>
      <c r="L44" s="15"/>
      <c r="M44" s="15"/>
      <c r="N44">
        <v>64</v>
      </c>
      <c r="O44" s="15"/>
      <c r="Q44" s="15"/>
      <c r="R44" s="6"/>
    </row>
    <row r="45" spans="1:19" hidden="1">
      <c r="A45" t="s">
        <v>346</v>
      </c>
      <c r="B45" t="s">
        <v>346</v>
      </c>
      <c r="C45" t="s">
        <v>153</v>
      </c>
      <c r="D45">
        <v>2</v>
      </c>
      <c r="E45">
        <v>9</v>
      </c>
      <c r="F45" t="s">
        <v>27</v>
      </c>
      <c r="G45" s="15">
        <v>0.24</v>
      </c>
      <c r="I45" s="141"/>
      <c r="K45" s="15">
        <v>0.03</v>
      </c>
      <c r="L45" s="15"/>
      <c r="M45" s="15"/>
      <c r="O45" s="15">
        <v>0.09</v>
      </c>
      <c r="Q45" s="15">
        <v>0.04</v>
      </c>
      <c r="R45" s="6"/>
    </row>
    <row r="46" spans="1:19" hidden="1">
      <c r="A46" t="s">
        <v>346</v>
      </c>
      <c r="B46" t="s">
        <v>346</v>
      </c>
      <c r="C46" t="s">
        <v>153</v>
      </c>
      <c r="D46">
        <v>3</v>
      </c>
      <c r="E46">
        <v>9</v>
      </c>
      <c r="F46" t="s">
        <v>27</v>
      </c>
      <c r="G46" s="15">
        <v>0.05</v>
      </c>
      <c r="I46" s="141">
        <v>0.11</v>
      </c>
      <c r="K46" s="15"/>
      <c r="L46" s="15"/>
      <c r="M46" s="15"/>
      <c r="O46" s="15"/>
      <c r="P46">
        <v>64</v>
      </c>
      <c r="Q46" s="15">
        <v>0.03</v>
      </c>
      <c r="R46" s="6"/>
    </row>
    <row r="47" spans="1:19" hidden="1">
      <c r="A47" s="2" t="s">
        <v>346</v>
      </c>
      <c r="B47" s="2" t="s">
        <v>346</v>
      </c>
      <c r="C47" s="2" t="s">
        <v>147</v>
      </c>
      <c r="D47" s="2">
        <v>4</v>
      </c>
      <c r="E47" s="2">
        <v>9</v>
      </c>
      <c r="F47" s="2" t="s">
        <v>28</v>
      </c>
      <c r="G47" s="144">
        <v>0.28999999999999998</v>
      </c>
      <c r="H47" s="2"/>
      <c r="I47" s="145"/>
      <c r="J47" s="2">
        <v>5</v>
      </c>
      <c r="K47" s="144">
        <v>0.03</v>
      </c>
      <c r="L47" s="144"/>
      <c r="M47" s="144"/>
      <c r="N47" s="2"/>
      <c r="O47" s="144">
        <v>0.18</v>
      </c>
      <c r="P47" s="2"/>
      <c r="Q47" s="144">
        <v>7.0000000000000007E-2</v>
      </c>
      <c r="R47" s="55" t="s">
        <v>204</v>
      </c>
    </row>
    <row r="48" spans="1:19" hidden="1">
      <c r="A48" t="s">
        <v>346</v>
      </c>
      <c r="B48" t="s">
        <v>346</v>
      </c>
      <c r="C48" t="s">
        <v>153</v>
      </c>
      <c r="D48">
        <v>5</v>
      </c>
      <c r="E48">
        <v>9</v>
      </c>
      <c r="F48" t="s">
        <v>28</v>
      </c>
      <c r="G48" s="15"/>
      <c r="H48">
        <v>1215</v>
      </c>
      <c r="I48" s="141"/>
      <c r="K48" s="15"/>
      <c r="L48" s="15">
        <v>0.05</v>
      </c>
      <c r="M48" s="15"/>
      <c r="N48">
        <v>11</v>
      </c>
      <c r="O48" s="15">
        <v>0.16</v>
      </c>
      <c r="Q48" s="15"/>
      <c r="R48" s="6"/>
    </row>
    <row r="49" spans="1:19" hidden="1">
      <c r="A49" s="2" t="s">
        <v>346</v>
      </c>
      <c r="B49" s="2" t="s">
        <v>346</v>
      </c>
      <c r="C49" s="2" t="s">
        <v>147</v>
      </c>
      <c r="D49" s="2">
        <v>6</v>
      </c>
      <c r="E49" s="2">
        <v>12</v>
      </c>
      <c r="F49" s="2" t="s">
        <v>28</v>
      </c>
      <c r="G49" s="144">
        <v>0.37</v>
      </c>
      <c r="H49" s="2">
        <v>207</v>
      </c>
      <c r="I49" s="145"/>
      <c r="J49" s="2">
        <v>8</v>
      </c>
      <c r="K49" s="144"/>
      <c r="L49" s="144"/>
      <c r="M49" s="144">
        <v>0.11</v>
      </c>
      <c r="N49" s="2"/>
      <c r="O49" s="144"/>
      <c r="P49" s="2"/>
      <c r="Q49" s="144">
        <v>7.0000000000000007E-2</v>
      </c>
      <c r="R49" s="55" t="s">
        <v>204</v>
      </c>
    </row>
    <row r="50" spans="1:19" hidden="1">
      <c r="A50" t="s">
        <v>134</v>
      </c>
      <c r="B50" t="s">
        <v>134</v>
      </c>
      <c r="C50" t="s">
        <v>147</v>
      </c>
      <c r="D50">
        <v>1</v>
      </c>
      <c r="E50">
        <v>9</v>
      </c>
      <c r="F50" t="s">
        <v>27</v>
      </c>
      <c r="G50" s="15">
        <v>0.11</v>
      </c>
      <c r="I50" s="141">
        <v>0.09</v>
      </c>
      <c r="J50">
        <v>3</v>
      </c>
      <c r="K50" s="15">
        <v>0.03</v>
      </c>
      <c r="L50" s="15"/>
      <c r="M50" s="15"/>
      <c r="N50">
        <v>64</v>
      </c>
      <c r="O50" s="15"/>
      <c r="Q50" s="15"/>
      <c r="R50" s="6"/>
    </row>
    <row r="51" spans="1:19" hidden="1">
      <c r="A51" t="s">
        <v>134</v>
      </c>
      <c r="B51" t="s">
        <v>134</v>
      </c>
      <c r="C51" t="s">
        <v>147</v>
      </c>
      <c r="D51">
        <v>2</v>
      </c>
      <c r="E51">
        <v>9</v>
      </c>
      <c r="F51" t="s">
        <v>27</v>
      </c>
      <c r="G51" s="15">
        <v>0.18</v>
      </c>
      <c r="I51" s="141"/>
      <c r="K51" s="15"/>
      <c r="L51" s="15">
        <v>0.04</v>
      </c>
      <c r="M51" s="15">
        <v>0.24</v>
      </c>
      <c r="O51" s="15"/>
      <c r="Q51" s="15">
        <v>0.05</v>
      </c>
      <c r="R51" s="6"/>
    </row>
    <row r="52" spans="1:19" hidden="1">
      <c r="A52" t="s">
        <v>134</v>
      </c>
      <c r="B52" t="s">
        <v>134</v>
      </c>
      <c r="C52" t="s">
        <v>147</v>
      </c>
      <c r="D52">
        <v>3</v>
      </c>
      <c r="E52">
        <v>9</v>
      </c>
      <c r="F52" t="s">
        <v>27</v>
      </c>
      <c r="G52" s="15">
        <v>0.04</v>
      </c>
      <c r="H52">
        <v>125</v>
      </c>
      <c r="I52" s="141">
        <v>0.08</v>
      </c>
      <c r="K52" s="15"/>
      <c r="L52" s="15"/>
      <c r="M52" s="15"/>
      <c r="O52" s="15">
        <v>0.08</v>
      </c>
      <c r="P52">
        <v>64</v>
      </c>
      <c r="Q52" s="15"/>
      <c r="R52" s="6"/>
    </row>
    <row r="53" spans="1:19" hidden="1">
      <c r="A53" s="149" t="s">
        <v>134</v>
      </c>
      <c r="B53" s="149" t="s">
        <v>134</v>
      </c>
      <c r="C53" s="149" t="s">
        <v>151</v>
      </c>
      <c r="D53" s="149">
        <v>4</v>
      </c>
      <c r="E53" s="149">
        <v>9</v>
      </c>
      <c r="F53" s="149" t="s">
        <v>27</v>
      </c>
      <c r="G53" s="150">
        <v>0.24</v>
      </c>
      <c r="H53" s="149"/>
      <c r="I53" s="151"/>
      <c r="J53" s="149"/>
      <c r="K53" s="150"/>
      <c r="L53" s="150">
        <v>0.02</v>
      </c>
      <c r="M53" s="150">
        <v>0.04</v>
      </c>
      <c r="N53" s="149"/>
      <c r="O53" s="150"/>
      <c r="P53" s="149">
        <v>26</v>
      </c>
      <c r="Q53" s="150">
        <v>0.02</v>
      </c>
      <c r="R53" s="152"/>
    </row>
    <row r="54" spans="1:19" hidden="1">
      <c r="A54" t="s">
        <v>134</v>
      </c>
      <c r="B54" t="s">
        <v>134</v>
      </c>
      <c r="C54" t="s">
        <v>147</v>
      </c>
      <c r="D54">
        <v>5</v>
      </c>
      <c r="E54">
        <v>9</v>
      </c>
      <c r="F54" t="s">
        <v>26</v>
      </c>
      <c r="G54" s="15">
        <v>0.13</v>
      </c>
      <c r="H54">
        <v>774</v>
      </c>
      <c r="I54" s="141"/>
      <c r="K54" s="15">
        <v>0.02</v>
      </c>
      <c r="L54" s="15"/>
      <c r="M54" s="15"/>
      <c r="O54" s="15"/>
      <c r="P54">
        <v>3</v>
      </c>
      <c r="Q54" s="15"/>
      <c r="R54" s="6"/>
    </row>
    <row r="55" spans="1:19" hidden="1">
      <c r="A55" s="149" t="s">
        <v>134</v>
      </c>
      <c r="B55" s="149" t="s">
        <v>134</v>
      </c>
      <c r="C55" s="149" t="s">
        <v>190</v>
      </c>
      <c r="D55" s="149">
        <v>6</v>
      </c>
      <c r="E55" s="149">
        <v>9</v>
      </c>
      <c r="F55" s="149" t="s">
        <v>27</v>
      </c>
      <c r="G55" s="150">
        <v>0.12</v>
      </c>
      <c r="H55" s="149"/>
      <c r="I55" s="151">
        <v>0.03</v>
      </c>
      <c r="J55" s="149"/>
      <c r="K55" s="150">
        <v>0.03</v>
      </c>
      <c r="L55" s="150">
        <v>0.04</v>
      </c>
      <c r="M55" s="150"/>
      <c r="N55" s="149"/>
      <c r="O55" s="150">
        <v>0.24</v>
      </c>
      <c r="P55" s="149"/>
      <c r="Q55" s="150"/>
      <c r="R55" s="152"/>
    </row>
    <row r="56" spans="1:19" hidden="1">
      <c r="A56" t="s">
        <v>149</v>
      </c>
      <c r="B56" t="s">
        <v>149</v>
      </c>
      <c r="C56" t="s">
        <v>148</v>
      </c>
      <c r="D56">
        <v>1</v>
      </c>
      <c r="E56">
        <v>12</v>
      </c>
      <c r="F56" t="s">
        <v>28</v>
      </c>
      <c r="G56" s="15"/>
      <c r="I56" s="141">
        <v>0.03</v>
      </c>
      <c r="J56">
        <v>11</v>
      </c>
      <c r="K56" s="15">
        <v>0.03</v>
      </c>
      <c r="L56" s="15"/>
      <c r="M56" s="15">
        <v>0.05</v>
      </c>
      <c r="N56">
        <v>99</v>
      </c>
      <c r="O56" s="15"/>
      <c r="Q56" s="15">
        <v>7.0000000000000007E-2</v>
      </c>
      <c r="R56" s="6"/>
    </row>
    <row r="57" spans="1:19" hidden="1">
      <c r="A57" t="s">
        <v>149</v>
      </c>
      <c r="B57" t="s">
        <v>149</v>
      </c>
      <c r="C57" t="s">
        <v>148</v>
      </c>
      <c r="D57">
        <v>2</v>
      </c>
      <c r="E57">
        <v>15</v>
      </c>
      <c r="F57" t="s">
        <v>28</v>
      </c>
      <c r="G57" s="15"/>
      <c r="I57" s="141"/>
      <c r="J57">
        <v>39</v>
      </c>
      <c r="K57" s="15">
        <v>0.05</v>
      </c>
      <c r="L57" s="15">
        <v>0.05</v>
      </c>
      <c r="M57" s="15">
        <v>0.13</v>
      </c>
      <c r="O57" s="15">
        <v>0.06</v>
      </c>
      <c r="P57">
        <v>30</v>
      </c>
      <c r="Q57" s="15"/>
      <c r="R57" s="6"/>
    </row>
    <row r="58" spans="1:19">
      <c r="A58" t="s">
        <v>149</v>
      </c>
      <c r="B58" t="s">
        <v>149</v>
      </c>
      <c r="C58" t="s">
        <v>190</v>
      </c>
      <c r="D58">
        <v>3</v>
      </c>
      <c r="E58">
        <v>12</v>
      </c>
      <c r="F58" t="s">
        <v>28</v>
      </c>
      <c r="G58" s="15"/>
      <c r="H58">
        <v>194</v>
      </c>
      <c r="I58" s="141">
        <v>0.11</v>
      </c>
      <c r="J58">
        <v>4</v>
      </c>
      <c r="K58" s="15"/>
      <c r="L58" s="15">
        <v>0.03</v>
      </c>
      <c r="M58" s="15"/>
      <c r="O58" s="15"/>
      <c r="P58">
        <v>99</v>
      </c>
      <c r="Q58" s="15"/>
      <c r="R58" s="6"/>
    </row>
    <row r="59" spans="1:19" hidden="1">
      <c r="A59" t="s">
        <v>149</v>
      </c>
      <c r="B59" t="s">
        <v>149</v>
      </c>
      <c r="C59" t="s">
        <v>148</v>
      </c>
      <c r="D59">
        <v>4</v>
      </c>
      <c r="E59">
        <v>15</v>
      </c>
      <c r="F59" t="s">
        <v>29</v>
      </c>
      <c r="G59" s="15">
        <v>0.63</v>
      </c>
      <c r="I59" s="141"/>
      <c r="K59" s="15"/>
      <c r="L59" s="15">
        <v>0.04</v>
      </c>
      <c r="M59" s="15">
        <v>0.2</v>
      </c>
      <c r="N59">
        <v>17</v>
      </c>
      <c r="O59" s="15">
        <v>0.15</v>
      </c>
      <c r="P59">
        <v>12</v>
      </c>
      <c r="Q59" s="15"/>
      <c r="R59" s="6"/>
    </row>
    <row r="60" spans="1:19" hidden="1">
      <c r="A60" t="s">
        <v>149</v>
      </c>
      <c r="B60" t="s">
        <v>149</v>
      </c>
      <c r="C60" t="s">
        <v>148</v>
      </c>
      <c r="D60">
        <v>5</v>
      </c>
      <c r="E60">
        <v>9</v>
      </c>
      <c r="F60" t="s">
        <v>28</v>
      </c>
      <c r="G60" s="15"/>
      <c r="H60">
        <v>1215</v>
      </c>
      <c r="I60" s="141"/>
      <c r="K60" s="15"/>
      <c r="L60" s="15">
        <v>0.11</v>
      </c>
      <c r="M60" s="15"/>
      <c r="O60" s="15">
        <v>0.06</v>
      </c>
      <c r="Q60" s="15">
        <v>7.0000000000000007E-2</v>
      </c>
      <c r="R60" s="6"/>
    </row>
    <row r="61" spans="1:19" hidden="1">
      <c r="A61" s="142" t="s">
        <v>149</v>
      </c>
      <c r="B61" s="142" t="s">
        <v>149</v>
      </c>
      <c r="C61" s="142" t="s">
        <v>190</v>
      </c>
      <c r="D61" s="142">
        <v>6</v>
      </c>
      <c r="E61" s="142">
        <v>9</v>
      </c>
      <c r="F61" s="142" t="s">
        <v>26</v>
      </c>
      <c r="G61" s="143"/>
      <c r="H61" s="142"/>
      <c r="I61" s="153">
        <v>0.22</v>
      </c>
      <c r="J61" s="142">
        <v>6</v>
      </c>
      <c r="K61" s="143"/>
      <c r="L61" s="143"/>
      <c r="M61" s="143"/>
      <c r="N61" s="142"/>
      <c r="O61" s="143">
        <v>0.02</v>
      </c>
      <c r="P61" s="142"/>
      <c r="Q61" s="143">
        <v>0.05</v>
      </c>
      <c r="R61" s="154"/>
      <c r="S61" s="142"/>
    </row>
    <row r="62" spans="1:19" hidden="1">
      <c r="A62" t="s">
        <v>145</v>
      </c>
      <c r="B62" t="s">
        <v>145</v>
      </c>
      <c r="C62" t="s">
        <v>84</v>
      </c>
      <c r="D62">
        <v>1</v>
      </c>
      <c r="E62">
        <v>12</v>
      </c>
      <c r="F62" t="s">
        <v>28</v>
      </c>
      <c r="G62" s="15">
        <v>0.05</v>
      </c>
      <c r="I62" s="141">
        <v>0.12</v>
      </c>
      <c r="J62">
        <v>5</v>
      </c>
      <c r="K62" s="15"/>
      <c r="L62" s="15">
        <v>0.03</v>
      </c>
      <c r="M62" s="15"/>
      <c r="N62">
        <v>99</v>
      </c>
      <c r="O62" s="15"/>
      <c r="Q62" s="15">
        <v>0.14000000000000001</v>
      </c>
      <c r="R62" s="6"/>
      <c r="S62" t="s">
        <v>145</v>
      </c>
    </row>
    <row r="63" spans="1:19" hidden="1">
      <c r="A63" s="10"/>
      <c r="B63" s="10"/>
      <c r="C63" s="10" t="s">
        <v>147</v>
      </c>
      <c r="D63" s="10">
        <v>1</v>
      </c>
      <c r="E63" s="10">
        <v>9</v>
      </c>
      <c r="F63" s="10" t="s">
        <v>28</v>
      </c>
      <c r="G63" s="155">
        <v>0.09</v>
      </c>
      <c r="H63" s="10"/>
      <c r="I63" s="156"/>
      <c r="J63" s="10"/>
      <c r="K63" s="155">
        <v>7.0000000000000007E-2</v>
      </c>
      <c r="L63" s="155">
        <v>0.04</v>
      </c>
      <c r="M63" s="155"/>
      <c r="N63" s="10">
        <v>78</v>
      </c>
      <c r="O63" s="155"/>
      <c r="P63" s="10"/>
      <c r="Q63" s="155">
        <v>0.13</v>
      </c>
      <c r="R63" s="54"/>
      <c r="S63" s="10" t="s">
        <v>363</v>
      </c>
    </row>
    <row r="64" spans="1:19" hidden="1">
      <c r="C64" t="s">
        <v>84</v>
      </c>
      <c r="D64">
        <v>1</v>
      </c>
      <c r="E64">
        <v>6</v>
      </c>
      <c r="F64" t="s">
        <v>28</v>
      </c>
      <c r="G64" s="15">
        <v>0.04</v>
      </c>
      <c r="I64" s="141"/>
      <c r="J64">
        <v>9</v>
      </c>
      <c r="K64" s="15"/>
      <c r="L64" s="15"/>
      <c r="M64" s="15"/>
      <c r="N64">
        <v>57</v>
      </c>
      <c r="O64" s="15"/>
      <c r="Q64" s="15">
        <v>7.0000000000000007E-2</v>
      </c>
      <c r="R64" s="6"/>
      <c r="S64" s="2" t="s">
        <v>363</v>
      </c>
    </row>
    <row r="65" spans="1:19" hidden="1">
      <c r="C65" t="s">
        <v>84</v>
      </c>
      <c r="D65">
        <v>1</v>
      </c>
      <c r="E65">
        <v>6</v>
      </c>
      <c r="F65" t="s">
        <v>28</v>
      </c>
      <c r="G65" s="15">
        <v>0.04</v>
      </c>
      <c r="I65" s="141"/>
      <c r="J65">
        <v>11</v>
      </c>
      <c r="K65" s="15"/>
      <c r="L65" s="15"/>
      <c r="M65" s="15">
        <v>0.04</v>
      </c>
      <c r="N65">
        <v>57</v>
      </c>
      <c r="O65" s="15"/>
      <c r="Q65" s="15"/>
      <c r="R65" s="6"/>
      <c r="S65" s="2" t="s">
        <v>363</v>
      </c>
    </row>
    <row r="66" spans="1:19" hidden="1">
      <c r="C66" t="s">
        <v>190</v>
      </c>
      <c r="D66">
        <v>1</v>
      </c>
      <c r="E66">
        <v>6</v>
      </c>
      <c r="F66" t="s">
        <v>28</v>
      </c>
      <c r="G66" s="15"/>
      <c r="I66" s="15">
        <v>0.04</v>
      </c>
      <c r="K66" s="15">
        <v>0.03</v>
      </c>
      <c r="L66" s="15">
        <v>0.12</v>
      </c>
      <c r="M66" s="15"/>
      <c r="N66">
        <v>57</v>
      </c>
      <c r="O66" s="15"/>
      <c r="Q66" s="15"/>
      <c r="R66" s="6"/>
      <c r="S66" s="2" t="s">
        <v>363</v>
      </c>
    </row>
    <row r="67" spans="1:19" hidden="1">
      <c r="A67" t="s">
        <v>145</v>
      </c>
      <c r="B67" t="s">
        <v>145</v>
      </c>
      <c r="C67" t="s">
        <v>84</v>
      </c>
      <c r="D67">
        <v>6</v>
      </c>
      <c r="E67">
        <v>15</v>
      </c>
      <c r="F67" t="s">
        <v>29</v>
      </c>
      <c r="G67" s="15">
        <v>0.63</v>
      </c>
      <c r="I67" s="141"/>
      <c r="J67">
        <v>6</v>
      </c>
      <c r="K67" s="15"/>
      <c r="L67" s="15"/>
      <c r="M67" s="15">
        <v>0.28000000000000003</v>
      </c>
      <c r="N67">
        <v>26</v>
      </c>
      <c r="O67" s="15"/>
      <c r="P67">
        <v>18</v>
      </c>
      <c r="Q67" s="15"/>
      <c r="R67" s="6"/>
      <c r="S67" t="s">
        <v>145</v>
      </c>
    </row>
    <row r="68" spans="1:19" hidden="1">
      <c r="A68" t="s">
        <v>356</v>
      </c>
      <c r="B68" t="s">
        <v>356</v>
      </c>
      <c r="C68" t="s">
        <v>84</v>
      </c>
      <c r="D68">
        <v>1</v>
      </c>
      <c r="E68">
        <v>9</v>
      </c>
      <c r="F68" t="s">
        <v>27</v>
      </c>
      <c r="G68" s="15"/>
      <c r="H68">
        <v>126</v>
      </c>
      <c r="I68" s="141">
        <v>0.09</v>
      </c>
      <c r="J68">
        <v>3</v>
      </c>
      <c r="K68" s="15"/>
      <c r="L68" s="15"/>
      <c r="M68" s="15"/>
      <c r="N68">
        <v>64</v>
      </c>
      <c r="O68" s="15"/>
      <c r="Q68" s="15">
        <v>0.1</v>
      </c>
      <c r="R68" s="6"/>
    </row>
    <row r="69" spans="1:19" hidden="1">
      <c r="A69" t="s">
        <v>356</v>
      </c>
      <c r="B69" t="s">
        <v>356</v>
      </c>
      <c r="C69" t="s">
        <v>84</v>
      </c>
      <c r="D69">
        <v>2</v>
      </c>
      <c r="E69">
        <v>9</v>
      </c>
      <c r="F69" t="s">
        <v>26</v>
      </c>
      <c r="G69" s="15"/>
      <c r="I69" s="141">
        <v>0.06</v>
      </c>
      <c r="J69">
        <v>1</v>
      </c>
      <c r="K69" s="15">
        <v>0.03</v>
      </c>
      <c r="L69" s="15"/>
      <c r="M69" s="15">
        <v>0.22</v>
      </c>
      <c r="O69" s="15"/>
      <c r="P69">
        <v>7</v>
      </c>
      <c r="Q69" s="15"/>
      <c r="R69" s="6"/>
    </row>
    <row r="70" spans="1:19" hidden="1">
      <c r="A70" t="s">
        <v>356</v>
      </c>
      <c r="B70" t="s">
        <v>356</v>
      </c>
      <c r="C70" t="s">
        <v>84</v>
      </c>
      <c r="D70">
        <v>3</v>
      </c>
      <c r="E70">
        <v>9</v>
      </c>
      <c r="F70" t="s">
        <v>26</v>
      </c>
      <c r="G70" s="15">
        <v>0.03</v>
      </c>
      <c r="I70" s="141">
        <v>0.1</v>
      </c>
      <c r="K70" s="15">
        <v>0.03</v>
      </c>
      <c r="L70" s="15">
        <v>0.04</v>
      </c>
      <c r="M70" s="15"/>
      <c r="O70" s="15"/>
      <c r="P70">
        <v>52</v>
      </c>
      <c r="Q70" s="15"/>
      <c r="R70" s="6"/>
    </row>
    <row r="71" spans="1:19" hidden="1">
      <c r="A71" t="s">
        <v>356</v>
      </c>
      <c r="B71" t="s">
        <v>356</v>
      </c>
      <c r="C71" t="s">
        <v>84</v>
      </c>
      <c r="D71">
        <v>4</v>
      </c>
      <c r="E71">
        <v>9</v>
      </c>
      <c r="F71" t="s">
        <v>27</v>
      </c>
      <c r="G71" s="15">
        <v>0.05</v>
      </c>
      <c r="I71" s="141">
        <v>0.13</v>
      </c>
      <c r="K71" s="15">
        <v>0.24</v>
      </c>
      <c r="L71" s="15"/>
      <c r="M71" s="15"/>
      <c r="N71">
        <v>9</v>
      </c>
      <c r="O71" s="15"/>
      <c r="Q71" s="15"/>
      <c r="R71" s="6"/>
    </row>
    <row r="72" spans="1:19" hidden="1">
      <c r="A72" t="s">
        <v>356</v>
      </c>
      <c r="B72" t="s">
        <v>356</v>
      </c>
      <c r="C72" t="s">
        <v>84</v>
      </c>
      <c r="D72">
        <v>5</v>
      </c>
      <c r="E72">
        <v>9</v>
      </c>
      <c r="F72" t="s">
        <v>27</v>
      </c>
      <c r="G72" s="15"/>
      <c r="H72">
        <v>970</v>
      </c>
      <c r="I72" s="141"/>
      <c r="J72">
        <v>5</v>
      </c>
      <c r="K72" s="15">
        <v>0.04</v>
      </c>
      <c r="L72" s="15"/>
      <c r="M72" s="15">
        <v>0.09</v>
      </c>
      <c r="N72">
        <v>6</v>
      </c>
      <c r="O72" s="15"/>
      <c r="Q72" s="15"/>
      <c r="R72" s="6"/>
    </row>
    <row r="73" spans="1:19" hidden="1">
      <c r="A73" t="s">
        <v>356</v>
      </c>
      <c r="B73" t="s">
        <v>356</v>
      </c>
      <c r="C73" t="s">
        <v>84</v>
      </c>
      <c r="D73">
        <v>6</v>
      </c>
      <c r="E73">
        <v>6</v>
      </c>
      <c r="F73" t="s">
        <v>28</v>
      </c>
      <c r="G73" s="15"/>
      <c r="I73" s="141"/>
      <c r="K73" s="15"/>
      <c r="L73" s="15"/>
      <c r="M73" s="15">
        <v>0.22</v>
      </c>
      <c r="N73">
        <v>31</v>
      </c>
      <c r="O73" s="15"/>
      <c r="Q73" s="15">
        <v>7.0000000000000007E-2</v>
      </c>
      <c r="R73" s="6"/>
    </row>
    <row r="74" spans="1:19" hidden="1">
      <c r="A74" t="s">
        <v>357</v>
      </c>
      <c r="B74" t="s">
        <v>357</v>
      </c>
      <c r="C74" t="s">
        <v>147</v>
      </c>
      <c r="D74">
        <v>1</v>
      </c>
      <c r="E74">
        <v>9</v>
      </c>
      <c r="F74" t="s">
        <v>27</v>
      </c>
      <c r="G74" s="15">
        <v>0.12</v>
      </c>
      <c r="H74">
        <v>84</v>
      </c>
      <c r="I74" s="141"/>
      <c r="J74">
        <v>4</v>
      </c>
      <c r="K74" s="15"/>
      <c r="L74" s="15">
        <v>0.02</v>
      </c>
      <c r="M74" s="15"/>
      <c r="N74">
        <v>64</v>
      </c>
      <c r="O74" s="15"/>
      <c r="Q74" s="15"/>
      <c r="R74" s="6"/>
    </row>
    <row r="75" spans="1:19" hidden="1">
      <c r="A75" t="s">
        <v>357</v>
      </c>
      <c r="B75" t="s">
        <v>357</v>
      </c>
      <c r="C75" t="s">
        <v>147</v>
      </c>
      <c r="D75">
        <v>2</v>
      </c>
      <c r="E75">
        <v>9</v>
      </c>
      <c r="F75" t="s">
        <v>27</v>
      </c>
      <c r="G75" s="15">
        <v>0.24</v>
      </c>
      <c r="H75">
        <v>221</v>
      </c>
      <c r="I75" s="141"/>
      <c r="K75" s="15"/>
      <c r="L75" s="15"/>
      <c r="M75" s="15"/>
      <c r="N75">
        <v>7</v>
      </c>
      <c r="O75" s="15">
        <v>0.05</v>
      </c>
      <c r="Q75" s="15"/>
      <c r="R75" s="6"/>
    </row>
    <row r="76" spans="1:19" hidden="1">
      <c r="A76" t="s">
        <v>357</v>
      </c>
      <c r="B76" t="s">
        <v>357</v>
      </c>
      <c r="C76" t="s">
        <v>147</v>
      </c>
      <c r="D76">
        <v>3</v>
      </c>
      <c r="E76">
        <v>9</v>
      </c>
      <c r="F76" t="s">
        <v>27</v>
      </c>
      <c r="G76" s="15"/>
      <c r="H76">
        <v>302</v>
      </c>
      <c r="I76" s="141"/>
      <c r="J76">
        <v>2</v>
      </c>
      <c r="K76" s="15">
        <v>0.08</v>
      </c>
      <c r="L76" s="15"/>
      <c r="M76" s="15"/>
      <c r="O76" s="15">
        <v>0.06</v>
      </c>
      <c r="P76">
        <v>64</v>
      </c>
      <c r="Q76" s="15"/>
      <c r="R76" s="6"/>
    </row>
    <row r="77" spans="1:19" hidden="1">
      <c r="A77" t="s">
        <v>357</v>
      </c>
      <c r="B77" t="s">
        <v>357</v>
      </c>
      <c r="C77" t="s">
        <v>147</v>
      </c>
      <c r="D77">
        <v>4</v>
      </c>
      <c r="E77">
        <v>9</v>
      </c>
      <c r="F77" t="s">
        <v>27</v>
      </c>
      <c r="G77" s="15">
        <v>0.04</v>
      </c>
      <c r="I77" s="141">
        <v>0.04</v>
      </c>
      <c r="J77">
        <v>12</v>
      </c>
      <c r="K77" s="15">
        <v>0.04</v>
      </c>
      <c r="L77" s="15"/>
      <c r="M77" s="15"/>
      <c r="O77" s="15">
        <v>0.24</v>
      </c>
      <c r="Q77" s="15"/>
      <c r="R77" s="6"/>
    </row>
    <row r="78" spans="1:19" hidden="1">
      <c r="A78" t="s">
        <v>357</v>
      </c>
      <c r="B78" t="s">
        <v>357</v>
      </c>
      <c r="C78" t="s">
        <v>147</v>
      </c>
      <c r="D78">
        <v>5</v>
      </c>
      <c r="E78">
        <v>12</v>
      </c>
      <c r="F78" t="s">
        <v>27</v>
      </c>
      <c r="G78" s="15">
        <v>0.12</v>
      </c>
      <c r="H78">
        <v>970</v>
      </c>
      <c r="I78" s="141"/>
      <c r="J78">
        <v>3</v>
      </c>
      <c r="K78" s="15">
        <v>7.0000000000000007E-2</v>
      </c>
      <c r="L78" s="15"/>
      <c r="M78" s="15"/>
      <c r="O78" s="15"/>
      <c r="Q78" s="15"/>
      <c r="R78" s="6"/>
    </row>
    <row r="79" spans="1:19" hidden="1">
      <c r="A79" t="s">
        <v>357</v>
      </c>
      <c r="B79" t="s">
        <v>357</v>
      </c>
      <c r="C79" t="s">
        <v>147</v>
      </c>
      <c r="D79">
        <v>6</v>
      </c>
      <c r="E79">
        <v>12</v>
      </c>
      <c r="F79" t="s">
        <v>28</v>
      </c>
      <c r="G79" s="15">
        <v>0.37</v>
      </c>
      <c r="I79" s="141">
        <v>0.12</v>
      </c>
      <c r="K79" s="15"/>
      <c r="L79" s="15">
        <v>0.09</v>
      </c>
      <c r="M79" s="15"/>
      <c r="N79">
        <v>8</v>
      </c>
      <c r="O79" s="15"/>
      <c r="P79">
        <v>25</v>
      </c>
      <c r="Q79" s="15"/>
      <c r="R79" s="6"/>
    </row>
    <row r="80" spans="1:19" hidden="1">
      <c r="A80" t="s">
        <v>358</v>
      </c>
      <c r="B80" t="s">
        <v>358</v>
      </c>
      <c r="C80" t="s">
        <v>86</v>
      </c>
      <c r="D80">
        <v>1</v>
      </c>
      <c r="E80">
        <v>6</v>
      </c>
      <c r="F80" t="s">
        <v>28</v>
      </c>
      <c r="G80" s="15"/>
      <c r="I80" s="141">
        <v>0.1</v>
      </c>
      <c r="K80" s="15">
        <v>0.04</v>
      </c>
      <c r="L80" s="15"/>
      <c r="M80" s="15">
        <v>0.05</v>
      </c>
      <c r="O80" s="15"/>
      <c r="Q80" s="15"/>
      <c r="R80" s="6"/>
    </row>
    <row r="81" spans="1:19" hidden="1">
      <c r="A81" t="s">
        <v>358</v>
      </c>
      <c r="B81" t="s">
        <v>358</v>
      </c>
      <c r="C81" t="s">
        <v>86</v>
      </c>
      <c r="D81">
        <v>2</v>
      </c>
      <c r="E81">
        <v>0</v>
      </c>
      <c r="F81" t="s">
        <v>27</v>
      </c>
      <c r="G81" s="15">
        <v>0.04</v>
      </c>
      <c r="I81" s="141"/>
      <c r="K81" s="15"/>
      <c r="L81" s="15">
        <v>0.04</v>
      </c>
      <c r="M81" s="15">
        <v>0.05</v>
      </c>
      <c r="O81" s="15"/>
      <c r="Q81" s="15"/>
      <c r="R81" s="6"/>
    </row>
    <row r="82" spans="1:19" hidden="1">
      <c r="A82" t="s">
        <v>358</v>
      </c>
      <c r="B82" t="s">
        <v>358</v>
      </c>
      <c r="C82" t="s">
        <v>86</v>
      </c>
      <c r="D82">
        <v>3</v>
      </c>
      <c r="E82">
        <v>6</v>
      </c>
      <c r="F82" t="s">
        <v>26</v>
      </c>
      <c r="G82" s="15"/>
      <c r="I82" s="141">
        <v>0.03</v>
      </c>
      <c r="J82">
        <v>4</v>
      </c>
      <c r="K82" s="15">
        <v>0.04</v>
      </c>
      <c r="L82" s="15"/>
      <c r="M82" s="15"/>
      <c r="O82" s="15"/>
      <c r="P82">
        <v>37</v>
      </c>
      <c r="Q82" s="15"/>
      <c r="R82" s="6"/>
    </row>
    <row r="83" spans="1:19" hidden="1">
      <c r="A83" t="s">
        <v>358</v>
      </c>
      <c r="B83" t="s">
        <v>358</v>
      </c>
      <c r="C83" t="s">
        <v>84</v>
      </c>
      <c r="D83">
        <v>4</v>
      </c>
      <c r="E83">
        <v>9</v>
      </c>
      <c r="F83" t="s">
        <v>27</v>
      </c>
      <c r="G83" s="15"/>
      <c r="I83" s="141">
        <v>0.03</v>
      </c>
      <c r="J83">
        <v>2</v>
      </c>
      <c r="K83" s="15">
        <v>0.08</v>
      </c>
      <c r="L83" s="15"/>
      <c r="M83" s="15">
        <v>0.24</v>
      </c>
      <c r="O83" s="15"/>
      <c r="Q83" s="15"/>
      <c r="R83" s="6"/>
    </row>
    <row r="84" spans="1:19" hidden="1">
      <c r="A84" t="s">
        <v>358</v>
      </c>
      <c r="B84" t="s">
        <v>358</v>
      </c>
      <c r="C84" t="s">
        <v>84</v>
      </c>
      <c r="D84">
        <v>5</v>
      </c>
      <c r="E84">
        <v>12</v>
      </c>
      <c r="F84" t="s">
        <v>27</v>
      </c>
      <c r="G84" s="15"/>
      <c r="H84">
        <v>970</v>
      </c>
      <c r="I84" s="141"/>
      <c r="K84" s="15"/>
      <c r="L84" s="15"/>
      <c r="M84" s="15">
        <v>0.16</v>
      </c>
      <c r="O84" s="15"/>
      <c r="P84">
        <v>12</v>
      </c>
      <c r="Q84" s="15">
        <v>0.03</v>
      </c>
      <c r="R84" s="6"/>
    </row>
    <row r="85" spans="1:19" hidden="1">
      <c r="A85" t="s">
        <v>358</v>
      </c>
      <c r="B85" t="s">
        <v>358</v>
      </c>
      <c r="C85" t="s">
        <v>86</v>
      </c>
      <c r="D85">
        <v>6</v>
      </c>
      <c r="E85">
        <v>0</v>
      </c>
      <c r="F85" t="s">
        <v>27</v>
      </c>
      <c r="G85" s="15"/>
      <c r="I85" s="141">
        <v>0.06</v>
      </c>
      <c r="K85" s="15"/>
      <c r="L85" s="15"/>
      <c r="M85" s="15">
        <v>0.06</v>
      </c>
      <c r="O85" s="15">
        <v>0.06</v>
      </c>
      <c r="P85">
        <v>5</v>
      </c>
      <c r="Q85" s="15"/>
      <c r="R85" s="6"/>
    </row>
    <row r="86" spans="1:19" hidden="1">
      <c r="C86" t="s">
        <v>147</v>
      </c>
      <c r="D86">
        <v>6</v>
      </c>
      <c r="E86">
        <v>9</v>
      </c>
      <c r="F86" t="s">
        <v>26</v>
      </c>
      <c r="G86" s="15">
        <v>0.04</v>
      </c>
      <c r="H86">
        <v>141</v>
      </c>
      <c r="I86" s="141">
        <v>0.22</v>
      </c>
      <c r="K86" s="15">
        <v>0.01</v>
      </c>
      <c r="L86" s="15"/>
      <c r="M86" s="15"/>
      <c r="O86" s="15">
        <v>0.1</v>
      </c>
      <c r="Q86" s="15"/>
      <c r="R86" s="6"/>
    </row>
    <row r="87" spans="1:19" hidden="1">
      <c r="C87" t="s">
        <v>147</v>
      </c>
      <c r="D87">
        <v>1</v>
      </c>
      <c r="E87">
        <v>0</v>
      </c>
      <c r="F87" t="s">
        <v>27</v>
      </c>
      <c r="G87" s="15"/>
      <c r="H87">
        <v>97</v>
      </c>
      <c r="I87" s="141"/>
      <c r="J87">
        <v>2</v>
      </c>
      <c r="K87" s="15"/>
      <c r="L87" s="15">
        <v>0.04</v>
      </c>
      <c r="M87" s="15">
        <v>0.03</v>
      </c>
      <c r="N87">
        <v>10</v>
      </c>
      <c r="O87" s="15"/>
      <c r="Q87" s="15"/>
      <c r="R87" s="6"/>
    </row>
    <row r="88" spans="1:19" hidden="1">
      <c r="C88" t="s">
        <v>147</v>
      </c>
      <c r="D88">
        <v>1</v>
      </c>
      <c r="E88">
        <v>0</v>
      </c>
      <c r="F88" t="s">
        <v>27</v>
      </c>
      <c r="G88" s="15">
        <v>0.05</v>
      </c>
      <c r="I88" s="141">
        <v>0.04</v>
      </c>
      <c r="J88">
        <v>6</v>
      </c>
      <c r="K88" s="15"/>
      <c r="L88" s="15"/>
      <c r="M88" s="15">
        <v>0.05</v>
      </c>
      <c r="N88">
        <v>10</v>
      </c>
      <c r="O88" s="15"/>
      <c r="Q88" s="15">
        <v>0.03</v>
      </c>
      <c r="R88" s="6"/>
    </row>
    <row r="89" spans="1:19" hidden="1">
      <c r="C89" t="s">
        <v>147</v>
      </c>
      <c r="D89">
        <v>1</v>
      </c>
      <c r="E89">
        <v>6</v>
      </c>
      <c r="F89" t="s">
        <v>27</v>
      </c>
      <c r="G89" s="15"/>
      <c r="I89" s="141"/>
      <c r="K89" s="15"/>
      <c r="L89" s="15"/>
      <c r="M89" s="15"/>
      <c r="N89">
        <v>46</v>
      </c>
      <c r="O89" s="15"/>
      <c r="Q89" s="15"/>
      <c r="R89" s="6"/>
    </row>
    <row r="90" spans="1:19" hidden="1">
      <c r="C90" t="s">
        <v>147</v>
      </c>
      <c r="D90">
        <v>1</v>
      </c>
      <c r="E90">
        <v>0</v>
      </c>
      <c r="F90" t="s">
        <v>27</v>
      </c>
      <c r="G90" s="15">
        <v>0.06</v>
      </c>
      <c r="I90" s="141"/>
      <c r="K90" s="15"/>
      <c r="L90" s="15">
        <v>0.02</v>
      </c>
      <c r="M90" s="15">
        <v>0.05</v>
      </c>
      <c r="N90">
        <v>10</v>
      </c>
      <c r="O90" s="15"/>
      <c r="Q90" s="15"/>
      <c r="R90" s="6"/>
    </row>
    <row r="91" spans="1:19" hidden="1">
      <c r="A91" s="2"/>
      <c r="B91" s="2" t="s">
        <v>186</v>
      </c>
      <c r="C91" s="2" t="s">
        <v>147</v>
      </c>
      <c r="D91" s="2">
        <v>1</v>
      </c>
      <c r="E91" s="2">
        <v>9</v>
      </c>
      <c r="F91" s="2" t="s">
        <v>28</v>
      </c>
      <c r="G91" s="144">
        <v>0.06</v>
      </c>
      <c r="H91" s="2">
        <v>105</v>
      </c>
      <c r="I91" s="145">
        <v>0.06</v>
      </c>
      <c r="J91" s="2">
        <v>4</v>
      </c>
      <c r="K91" s="144">
        <v>0.14000000000000001</v>
      </c>
      <c r="L91" s="144"/>
      <c r="M91" s="144"/>
      <c r="N91" s="2">
        <v>78</v>
      </c>
      <c r="O91" s="144"/>
      <c r="P91" s="2"/>
      <c r="Q91" s="144"/>
      <c r="R91" s="55" t="s">
        <v>204</v>
      </c>
      <c r="S91" s="2" t="s">
        <v>364</v>
      </c>
    </row>
    <row r="92" spans="1:19" hidden="1">
      <c r="C92" t="s">
        <v>147</v>
      </c>
      <c r="D92">
        <v>1</v>
      </c>
      <c r="E92">
        <v>0</v>
      </c>
      <c r="F92" t="s">
        <v>28</v>
      </c>
      <c r="G92" s="15">
        <v>0.05</v>
      </c>
      <c r="I92" s="141"/>
      <c r="K92" s="15"/>
      <c r="L92" s="15"/>
      <c r="M92" s="15">
        <v>0.05</v>
      </c>
      <c r="N92">
        <v>15</v>
      </c>
      <c r="O92" s="15"/>
      <c r="Q92" s="15">
        <v>0.05</v>
      </c>
      <c r="R92" s="6"/>
    </row>
    <row r="93" spans="1:19" hidden="1">
      <c r="C93" t="s">
        <v>190</v>
      </c>
      <c r="D93">
        <v>1</v>
      </c>
      <c r="E93">
        <v>12</v>
      </c>
      <c r="F93" t="s">
        <v>28</v>
      </c>
      <c r="G93" s="15">
        <v>7.0000000000000007E-2</v>
      </c>
      <c r="H93">
        <v>292</v>
      </c>
      <c r="I93" s="15">
        <v>0.05</v>
      </c>
      <c r="K93" s="15">
        <v>0.11</v>
      </c>
      <c r="L93" s="15"/>
      <c r="M93" s="15"/>
      <c r="N93">
        <v>78</v>
      </c>
      <c r="O93" s="15"/>
      <c r="Q93" s="15"/>
      <c r="R93" s="6"/>
      <c r="S93" s="2" t="s">
        <v>363</v>
      </c>
    </row>
    <row r="94" spans="1:19" hidden="1">
      <c r="C94" t="s">
        <v>147</v>
      </c>
      <c r="D94">
        <v>1</v>
      </c>
      <c r="E94">
        <v>0</v>
      </c>
      <c r="F94" t="s">
        <v>27</v>
      </c>
      <c r="G94" s="15">
        <v>0.05</v>
      </c>
      <c r="I94" s="141"/>
      <c r="K94" s="15"/>
      <c r="L94" s="15"/>
      <c r="M94" s="15">
        <v>0.05</v>
      </c>
      <c r="N94">
        <v>10</v>
      </c>
      <c r="O94" s="15"/>
      <c r="Q94" s="15"/>
      <c r="R94" s="6"/>
    </row>
    <row r="95" spans="1:19" hidden="1">
      <c r="C95" t="s">
        <v>147</v>
      </c>
      <c r="D95">
        <v>1</v>
      </c>
      <c r="E95">
        <v>9</v>
      </c>
      <c r="F95" t="s">
        <v>28</v>
      </c>
      <c r="G95" s="15">
        <v>0.05</v>
      </c>
      <c r="I95" s="141"/>
      <c r="K95" s="15"/>
      <c r="L95" s="15">
        <v>0.12</v>
      </c>
      <c r="M95" s="15">
        <v>0.1</v>
      </c>
      <c r="N95">
        <v>15</v>
      </c>
      <c r="O95" s="15"/>
      <c r="Q95" s="15"/>
      <c r="R95" s="6"/>
    </row>
    <row r="96" spans="1:19" hidden="1">
      <c r="C96" t="s">
        <v>147</v>
      </c>
      <c r="D96">
        <v>1</v>
      </c>
      <c r="E96">
        <v>0</v>
      </c>
      <c r="F96" t="s">
        <v>28</v>
      </c>
      <c r="G96" s="15"/>
      <c r="I96" s="141"/>
      <c r="J96">
        <v>3</v>
      </c>
      <c r="K96" s="15">
        <v>0.04</v>
      </c>
      <c r="L96" s="15"/>
      <c r="M96" s="15"/>
      <c r="N96">
        <v>15</v>
      </c>
      <c r="O96" s="15"/>
      <c r="Q96" s="15"/>
      <c r="R96" s="6"/>
    </row>
    <row r="97" spans="1:19" hidden="1">
      <c r="C97" t="s">
        <v>147</v>
      </c>
      <c r="D97">
        <v>1</v>
      </c>
      <c r="E97">
        <v>0</v>
      </c>
      <c r="F97" t="s">
        <v>27</v>
      </c>
      <c r="G97" s="15"/>
      <c r="I97" s="141"/>
      <c r="J97">
        <v>3</v>
      </c>
      <c r="K97" s="15"/>
      <c r="L97" s="15">
        <v>0.03</v>
      </c>
      <c r="M97" s="15">
        <v>0.06</v>
      </c>
      <c r="N97">
        <v>10</v>
      </c>
      <c r="O97" s="15"/>
      <c r="Q97" s="15">
        <v>0.05</v>
      </c>
      <c r="R97" s="6"/>
    </row>
    <row r="98" spans="1:19" hidden="1">
      <c r="C98" t="s">
        <v>147</v>
      </c>
      <c r="D98">
        <v>2</v>
      </c>
      <c r="E98">
        <v>0</v>
      </c>
      <c r="F98" t="s">
        <v>27</v>
      </c>
      <c r="G98" s="15"/>
      <c r="I98" s="141">
        <v>0.05</v>
      </c>
      <c r="K98" s="15"/>
      <c r="L98" s="15">
        <v>0.03</v>
      </c>
      <c r="M98" s="15">
        <v>0.05</v>
      </c>
      <c r="O98" s="15">
        <v>0.03</v>
      </c>
      <c r="Q98" s="15"/>
      <c r="R98" s="6"/>
    </row>
    <row r="99" spans="1:19" hidden="1">
      <c r="A99" t="s">
        <v>145</v>
      </c>
      <c r="C99" t="s">
        <v>147</v>
      </c>
      <c r="D99">
        <v>2</v>
      </c>
      <c r="E99">
        <v>12</v>
      </c>
      <c r="F99" t="s">
        <v>27</v>
      </c>
      <c r="G99" s="15">
        <v>0.31</v>
      </c>
      <c r="I99" s="141"/>
      <c r="K99" s="15"/>
      <c r="L99" s="15"/>
      <c r="M99" s="15"/>
      <c r="N99">
        <v>10</v>
      </c>
      <c r="O99" s="15">
        <v>0.1</v>
      </c>
      <c r="P99">
        <v>18</v>
      </c>
      <c r="Q99" s="15">
        <v>0.05</v>
      </c>
      <c r="R99" s="6"/>
      <c r="S99" t="s">
        <v>145</v>
      </c>
    </row>
    <row r="100" spans="1:19" hidden="1">
      <c r="C100" t="s">
        <v>147</v>
      </c>
      <c r="D100">
        <v>2</v>
      </c>
      <c r="E100">
        <v>9</v>
      </c>
      <c r="F100" t="s">
        <v>26</v>
      </c>
      <c r="G100" s="15">
        <v>0.22</v>
      </c>
      <c r="I100" s="141">
        <v>0.06</v>
      </c>
      <c r="K100" s="15"/>
      <c r="L100" s="15">
        <v>0.06</v>
      </c>
      <c r="M100" s="15"/>
      <c r="N100">
        <v>7</v>
      </c>
      <c r="O100" s="15"/>
      <c r="Q100" s="15">
        <v>0.04</v>
      </c>
      <c r="R100" s="6"/>
    </row>
    <row r="101" spans="1:19" hidden="1">
      <c r="C101" t="s">
        <v>147</v>
      </c>
      <c r="D101">
        <v>2</v>
      </c>
      <c r="E101">
        <v>0</v>
      </c>
      <c r="F101" t="s">
        <v>27</v>
      </c>
      <c r="G101" s="15">
        <v>0.05</v>
      </c>
      <c r="H101">
        <v>221</v>
      </c>
      <c r="I101" s="141"/>
      <c r="K101" s="15"/>
      <c r="L101" s="15">
        <v>0.02</v>
      </c>
      <c r="M101" s="15">
        <v>0.05</v>
      </c>
      <c r="N101">
        <v>6</v>
      </c>
      <c r="O101" s="15"/>
      <c r="Q101" s="15"/>
      <c r="R101" s="6"/>
    </row>
    <row r="102" spans="1:19" hidden="1">
      <c r="C102" t="s">
        <v>147</v>
      </c>
      <c r="D102">
        <v>2</v>
      </c>
      <c r="E102">
        <v>0</v>
      </c>
      <c r="F102" t="s">
        <v>27</v>
      </c>
      <c r="G102" s="15">
        <v>0.04</v>
      </c>
      <c r="H102">
        <v>107</v>
      </c>
      <c r="I102" s="141"/>
      <c r="K102" s="15"/>
      <c r="L102" s="15"/>
      <c r="M102" s="15"/>
      <c r="O102" s="15">
        <v>0.05</v>
      </c>
      <c r="Q102" s="15">
        <v>0.03</v>
      </c>
      <c r="R102" s="6"/>
    </row>
    <row r="103" spans="1:19" hidden="1">
      <c r="C103" t="s">
        <v>147</v>
      </c>
      <c r="D103">
        <v>3</v>
      </c>
      <c r="E103">
        <v>0</v>
      </c>
      <c r="F103" t="s">
        <v>27</v>
      </c>
      <c r="G103" s="15"/>
      <c r="I103" s="141">
        <v>0.04</v>
      </c>
      <c r="K103" s="15"/>
      <c r="L103" s="15">
        <v>0.03</v>
      </c>
      <c r="M103" s="15"/>
      <c r="O103" s="15"/>
      <c r="P103">
        <v>10</v>
      </c>
      <c r="Q103" s="15">
        <v>0.02</v>
      </c>
      <c r="R103" s="6"/>
    </row>
    <row r="104" spans="1:19" hidden="1">
      <c r="C104" t="s">
        <v>147</v>
      </c>
      <c r="D104">
        <v>3</v>
      </c>
      <c r="E104">
        <v>3</v>
      </c>
      <c r="F104" t="s">
        <v>27</v>
      </c>
      <c r="G104" s="15">
        <v>0.03</v>
      </c>
      <c r="H104">
        <v>300</v>
      </c>
      <c r="I104" s="141"/>
      <c r="K104" s="15"/>
      <c r="L104" s="15"/>
      <c r="M104" s="15"/>
      <c r="O104" s="15"/>
      <c r="P104">
        <v>28</v>
      </c>
      <c r="Q104" s="15">
        <v>0.03</v>
      </c>
      <c r="R104" s="6"/>
    </row>
    <row r="105" spans="1:19" hidden="1">
      <c r="C105" t="s">
        <v>147</v>
      </c>
      <c r="D105">
        <v>3</v>
      </c>
      <c r="E105">
        <v>3</v>
      </c>
      <c r="F105" t="s">
        <v>27</v>
      </c>
      <c r="G105" s="15">
        <v>0.06</v>
      </c>
      <c r="I105" s="141"/>
      <c r="K105" s="15"/>
      <c r="L105" s="15">
        <v>0.09</v>
      </c>
      <c r="M105" s="15"/>
      <c r="O105" s="15"/>
      <c r="P105">
        <v>28</v>
      </c>
      <c r="Q105" s="15">
        <v>0.04</v>
      </c>
      <c r="R105" s="6"/>
    </row>
    <row r="106" spans="1:19" hidden="1">
      <c r="C106" t="s">
        <v>147</v>
      </c>
      <c r="D106">
        <v>3</v>
      </c>
      <c r="E106">
        <v>0</v>
      </c>
      <c r="F106" t="s">
        <v>27</v>
      </c>
      <c r="G106" s="15"/>
      <c r="H106">
        <v>194</v>
      </c>
      <c r="I106" s="141"/>
      <c r="J106">
        <v>3</v>
      </c>
      <c r="K106" s="15"/>
      <c r="L106" s="15"/>
      <c r="M106" s="15"/>
      <c r="O106" s="15">
        <v>0.05</v>
      </c>
      <c r="Q106" s="15"/>
      <c r="R106" s="6"/>
    </row>
    <row r="107" spans="1:19" hidden="1">
      <c r="C107" t="s">
        <v>147</v>
      </c>
      <c r="D107">
        <v>4</v>
      </c>
      <c r="E107">
        <v>0</v>
      </c>
      <c r="F107" t="s">
        <v>27</v>
      </c>
      <c r="G107" s="15"/>
      <c r="I107" s="141"/>
      <c r="K107" s="15"/>
      <c r="L107" s="15">
        <v>0.05</v>
      </c>
      <c r="M107" s="15">
        <v>0.06</v>
      </c>
      <c r="O107" s="15">
        <v>0.05</v>
      </c>
      <c r="Q107" s="15"/>
      <c r="R107" s="6"/>
    </row>
    <row r="108" spans="1:19" hidden="1">
      <c r="C108" t="s">
        <v>147</v>
      </c>
      <c r="D108">
        <v>4</v>
      </c>
      <c r="E108">
        <v>0</v>
      </c>
      <c r="F108" t="s">
        <v>27</v>
      </c>
      <c r="G108" s="15"/>
      <c r="I108" s="141">
        <v>0.04</v>
      </c>
      <c r="K108" s="15"/>
      <c r="L108" s="15">
        <v>0.04</v>
      </c>
      <c r="M108" s="15"/>
      <c r="N108">
        <v>5</v>
      </c>
      <c r="O108" s="15">
        <v>0.05</v>
      </c>
      <c r="P108">
        <v>4</v>
      </c>
      <c r="Q108" s="15"/>
      <c r="R108" s="6"/>
    </row>
    <row r="109" spans="1:19" hidden="1">
      <c r="C109" t="s">
        <v>147</v>
      </c>
      <c r="D109">
        <v>4</v>
      </c>
      <c r="E109">
        <v>9</v>
      </c>
      <c r="F109" t="s">
        <v>27</v>
      </c>
      <c r="G109" s="15"/>
      <c r="I109" s="141">
        <v>0.04</v>
      </c>
      <c r="J109">
        <v>7</v>
      </c>
      <c r="K109" s="15">
        <v>0.02</v>
      </c>
      <c r="L109" s="15"/>
      <c r="M109" s="15"/>
      <c r="O109" s="15">
        <v>0.24</v>
      </c>
      <c r="Q109" s="15">
        <v>0.03</v>
      </c>
      <c r="R109" s="6"/>
    </row>
    <row r="110" spans="1:19" hidden="1">
      <c r="C110" t="s">
        <v>147</v>
      </c>
      <c r="D110">
        <v>4</v>
      </c>
      <c r="E110">
        <v>0</v>
      </c>
      <c r="F110" t="s">
        <v>27</v>
      </c>
      <c r="G110" s="15">
        <v>0.05</v>
      </c>
      <c r="I110" s="141"/>
      <c r="K110" s="15"/>
      <c r="L110" s="15">
        <v>0.05</v>
      </c>
      <c r="M110" s="15"/>
      <c r="N110">
        <v>8</v>
      </c>
      <c r="O110" s="15">
        <v>0.06</v>
      </c>
      <c r="Q110" s="15"/>
      <c r="R110" s="6"/>
    </row>
    <row r="111" spans="1:19" hidden="1">
      <c r="C111" t="s">
        <v>147</v>
      </c>
      <c r="D111">
        <v>5</v>
      </c>
      <c r="E111">
        <v>6</v>
      </c>
      <c r="F111" t="s">
        <v>27</v>
      </c>
      <c r="G111" s="15">
        <v>0.05</v>
      </c>
      <c r="H111">
        <v>700</v>
      </c>
      <c r="I111" s="141"/>
      <c r="J111">
        <v>9</v>
      </c>
      <c r="K111" s="15"/>
      <c r="L111" s="15"/>
      <c r="M111" s="15"/>
      <c r="N111">
        <v>6</v>
      </c>
      <c r="O111" s="15"/>
      <c r="Q111" s="15"/>
      <c r="R111" s="6"/>
    </row>
    <row r="112" spans="1:19" hidden="1">
      <c r="C112" t="s">
        <v>147</v>
      </c>
      <c r="D112">
        <v>5</v>
      </c>
      <c r="E112">
        <v>9</v>
      </c>
      <c r="F112" t="s">
        <v>28</v>
      </c>
      <c r="G112" s="15"/>
      <c r="H112">
        <v>1215</v>
      </c>
      <c r="I112" s="141">
        <v>0.09</v>
      </c>
      <c r="K112" s="15"/>
      <c r="L112" s="15"/>
      <c r="M112" s="15">
        <v>7.0000000000000007E-2</v>
      </c>
      <c r="N112">
        <v>38</v>
      </c>
      <c r="O112" s="15"/>
      <c r="P112">
        <v>14</v>
      </c>
      <c r="Q112" s="15"/>
      <c r="R112" s="6"/>
    </row>
    <row r="113" spans="1:19" hidden="1">
      <c r="C113" t="s">
        <v>147</v>
      </c>
      <c r="D113">
        <v>5</v>
      </c>
      <c r="E113">
        <v>0</v>
      </c>
      <c r="F113" t="s">
        <v>28</v>
      </c>
      <c r="G113" s="15"/>
      <c r="H113">
        <v>270</v>
      </c>
      <c r="I113" s="141">
        <v>0.05</v>
      </c>
      <c r="K113" s="15">
        <v>0.05</v>
      </c>
      <c r="L113" s="15"/>
      <c r="M113" s="15"/>
      <c r="O113" s="15"/>
      <c r="Q113" s="15"/>
      <c r="R113" s="6"/>
    </row>
    <row r="114" spans="1:19" hidden="1">
      <c r="C114" t="s">
        <v>147</v>
      </c>
      <c r="D114">
        <v>5</v>
      </c>
      <c r="E114">
        <v>6</v>
      </c>
      <c r="F114" t="s">
        <v>27</v>
      </c>
      <c r="G114" s="15"/>
      <c r="H114">
        <v>160</v>
      </c>
      <c r="I114" s="141"/>
      <c r="J114">
        <v>10</v>
      </c>
      <c r="K114" s="15"/>
      <c r="L114" s="15"/>
      <c r="M114" s="15"/>
      <c r="O114" s="15">
        <v>0.03</v>
      </c>
      <c r="Q114" s="15"/>
      <c r="R114" s="6"/>
    </row>
    <row r="115" spans="1:19" hidden="1">
      <c r="C115" t="s">
        <v>147</v>
      </c>
      <c r="D115">
        <v>5</v>
      </c>
      <c r="E115">
        <v>0</v>
      </c>
      <c r="F115" t="s">
        <v>27</v>
      </c>
      <c r="G115" s="15">
        <v>0.06</v>
      </c>
      <c r="H115">
        <v>160</v>
      </c>
      <c r="I115" s="141"/>
      <c r="K115" s="15">
        <v>0.02</v>
      </c>
      <c r="L115" s="15"/>
      <c r="M115" s="15"/>
      <c r="O115" s="15"/>
      <c r="Q115" s="15"/>
      <c r="R115" s="6"/>
    </row>
    <row r="116" spans="1:19" hidden="1">
      <c r="C116" t="s">
        <v>147</v>
      </c>
      <c r="D116">
        <v>5</v>
      </c>
      <c r="E116">
        <v>0</v>
      </c>
      <c r="F116" t="s">
        <v>27</v>
      </c>
      <c r="G116" s="15"/>
      <c r="H116">
        <v>160</v>
      </c>
      <c r="I116" s="141">
        <v>0.02</v>
      </c>
      <c r="J116">
        <v>2</v>
      </c>
      <c r="K116" s="15">
        <v>0.04</v>
      </c>
      <c r="L116" s="15"/>
      <c r="M116" s="15"/>
      <c r="O116" s="15"/>
      <c r="P116">
        <v>4</v>
      </c>
      <c r="Q116" s="15"/>
      <c r="R116" s="6"/>
    </row>
    <row r="117" spans="1:19" hidden="1">
      <c r="C117" t="s">
        <v>147</v>
      </c>
      <c r="D117">
        <v>5</v>
      </c>
      <c r="E117">
        <v>0</v>
      </c>
      <c r="F117" t="s">
        <v>28</v>
      </c>
      <c r="G117" s="15"/>
      <c r="H117">
        <v>270</v>
      </c>
      <c r="I117" s="141"/>
      <c r="K117" s="15">
        <v>0.03</v>
      </c>
      <c r="L117" s="15">
        <v>0.03</v>
      </c>
      <c r="M117" s="15"/>
      <c r="O117" s="15">
        <v>0.04</v>
      </c>
      <c r="Q117" s="15"/>
      <c r="R117" s="6"/>
    </row>
    <row r="118" spans="1:19" hidden="1">
      <c r="C118" t="s">
        <v>147</v>
      </c>
      <c r="D118">
        <v>5</v>
      </c>
      <c r="E118">
        <v>0</v>
      </c>
      <c r="F118" t="s">
        <v>28</v>
      </c>
      <c r="G118" s="15"/>
      <c r="H118">
        <v>270</v>
      </c>
      <c r="I118" s="141">
        <v>0.03</v>
      </c>
      <c r="K118" s="15">
        <v>0.03</v>
      </c>
      <c r="L118" s="15"/>
      <c r="M118" s="15"/>
      <c r="O118" s="15"/>
      <c r="Q118" s="15"/>
      <c r="R118" s="6"/>
    </row>
    <row r="119" spans="1:19" hidden="1">
      <c r="C119" t="s">
        <v>147</v>
      </c>
      <c r="D119">
        <v>5</v>
      </c>
      <c r="E119">
        <v>0</v>
      </c>
      <c r="F119" t="s">
        <v>27</v>
      </c>
      <c r="G119" s="15"/>
      <c r="I119" s="141"/>
      <c r="J119">
        <v>4</v>
      </c>
      <c r="K119" s="15"/>
      <c r="L119" s="15"/>
      <c r="M119" s="15">
        <v>0.05</v>
      </c>
      <c r="O119" s="15">
        <v>0.03</v>
      </c>
      <c r="Q119" s="15">
        <v>0.02</v>
      </c>
      <c r="R119" s="6"/>
    </row>
    <row r="120" spans="1:19" hidden="1">
      <c r="C120" t="s">
        <v>84</v>
      </c>
      <c r="D120">
        <v>6</v>
      </c>
      <c r="E120">
        <v>0</v>
      </c>
      <c r="F120" t="s">
        <v>28</v>
      </c>
      <c r="G120" s="15"/>
      <c r="I120" s="141"/>
      <c r="J120">
        <v>4</v>
      </c>
      <c r="K120" s="15">
        <v>0.03</v>
      </c>
      <c r="L120" s="15"/>
      <c r="M120" s="15"/>
      <c r="O120" s="15">
        <v>0.08</v>
      </c>
      <c r="Q120" s="15"/>
      <c r="R120" s="6"/>
    </row>
    <row r="121" spans="1:19" hidden="1">
      <c r="C121" t="s">
        <v>84</v>
      </c>
      <c r="D121">
        <v>6</v>
      </c>
      <c r="E121">
        <v>0</v>
      </c>
      <c r="F121" t="s">
        <v>28</v>
      </c>
      <c r="G121" s="15"/>
      <c r="I121" s="141">
        <v>7.0000000000000007E-2</v>
      </c>
      <c r="K121" s="15"/>
      <c r="L121" s="15">
        <v>0.05</v>
      </c>
      <c r="M121" s="15"/>
      <c r="N121">
        <v>7</v>
      </c>
      <c r="O121" s="15">
        <v>0.08</v>
      </c>
      <c r="Q121" s="15">
        <v>7.0000000000000007E-2</v>
      </c>
      <c r="R121" s="6"/>
    </row>
    <row r="122" spans="1:19" hidden="1">
      <c r="A122" s="2"/>
      <c r="B122" s="2" t="s">
        <v>145</v>
      </c>
      <c r="C122" s="2" t="s">
        <v>147</v>
      </c>
      <c r="D122" s="2">
        <v>2</v>
      </c>
      <c r="E122" s="2">
        <v>12</v>
      </c>
      <c r="F122" s="2" t="s">
        <v>28</v>
      </c>
      <c r="G122" s="144">
        <v>0.37</v>
      </c>
      <c r="H122" s="2"/>
      <c r="I122" s="145"/>
      <c r="J122" s="2">
        <v>4</v>
      </c>
      <c r="K122" s="144">
        <v>0.04</v>
      </c>
      <c r="L122" s="144">
        <v>0.08</v>
      </c>
      <c r="M122" s="144">
        <v>0.04</v>
      </c>
      <c r="N122" s="2"/>
      <c r="O122" s="144"/>
      <c r="P122" s="2"/>
      <c r="Q122" s="144">
        <v>0.08</v>
      </c>
      <c r="R122" s="55" t="s">
        <v>204</v>
      </c>
      <c r="S122" s="2" t="s">
        <v>363</v>
      </c>
    </row>
    <row r="123" spans="1:19" hidden="1">
      <c r="C123" t="s">
        <v>84</v>
      </c>
      <c r="D123">
        <v>2</v>
      </c>
      <c r="E123">
        <v>9</v>
      </c>
      <c r="F123" t="s">
        <v>27</v>
      </c>
      <c r="G123" s="15">
        <v>0.24</v>
      </c>
      <c r="I123" s="141"/>
      <c r="K123" s="15"/>
      <c r="L123" s="15"/>
      <c r="M123" s="15">
        <v>7.0000000000000007E-2</v>
      </c>
      <c r="N123">
        <v>9</v>
      </c>
      <c r="O123" s="15">
        <v>0.11</v>
      </c>
      <c r="Q123" s="15"/>
      <c r="R123" s="6"/>
      <c r="S123" t="s">
        <v>363</v>
      </c>
    </row>
    <row r="124" spans="1:19" hidden="1">
      <c r="C124" t="s">
        <v>84</v>
      </c>
      <c r="D124">
        <v>2</v>
      </c>
      <c r="E124">
        <v>0</v>
      </c>
      <c r="F124" t="s">
        <v>27</v>
      </c>
      <c r="G124" s="15">
        <v>0.06</v>
      </c>
      <c r="K124" s="15"/>
      <c r="L124" s="15"/>
      <c r="M124" s="15">
        <v>0.05</v>
      </c>
      <c r="O124" s="15"/>
      <c r="P124">
        <v>5</v>
      </c>
      <c r="Q124" s="15">
        <v>0.03</v>
      </c>
      <c r="R124" s="6"/>
    </row>
    <row r="125" spans="1:19">
      <c r="A125" t="s">
        <v>145</v>
      </c>
      <c r="B125" t="s">
        <v>145</v>
      </c>
      <c r="C125" t="s">
        <v>190</v>
      </c>
      <c r="D125">
        <v>3</v>
      </c>
      <c r="E125">
        <v>12</v>
      </c>
      <c r="F125" t="s">
        <v>28</v>
      </c>
      <c r="G125" s="15">
        <v>0.05</v>
      </c>
      <c r="H125">
        <v>623</v>
      </c>
      <c r="I125" s="141">
        <v>0.05</v>
      </c>
      <c r="K125" s="15"/>
      <c r="L125" s="15"/>
      <c r="M125" s="15"/>
      <c r="O125" s="15">
        <v>0.06</v>
      </c>
      <c r="P125">
        <v>99</v>
      </c>
      <c r="Q125" s="15"/>
      <c r="R125" s="6"/>
      <c r="S125" t="s">
        <v>145</v>
      </c>
    </row>
    <row r="126" spans="1:19" hidden="1">
      <c r="C126" t="s">
        <v>84</v>
      </c>
      <c r="D126">
        <v>3</v>
      </c>
      <c r="E126">
        <v>6</v>
      </c>
      <c r="F126" t="s">
        <v>27</v>
      </c>
      <c r="G126" s="15">
        <v>0.09</v>
      </c>
      <c r="I126" s="141"/>
      <c r="K126" s="15">
        <v>0.03</v>
      </c>
      <c r="L126" s="15"/>
      <c r="M126" s="15"/>
      <c r="O126" s="15"/>
      <c r="Q126" s="15">
        <v>0.06</v>
      </c>
      <c r="R126" s="6"/>
    </row>
    <row r="127" spans="1:19" hidden="1">
      <c r="C127" t="s">
        <v>84</v>
      </c>
      <c r="D127">
        <v>3</v>
      </c>
      <c r="E127">
        <v>9</v>
      </c>
      <c r="F127" t="s">
        <v>27</v>
      </c>
      <c r="G127" s="15">
        <v>0.17</v>
      </c>
      <c r="I127" s="141"/>
      <c r="K127" s="15">
        <v>0.02</v>
      </c>
      <c r="L127" s="15">
        <v>0.05</v>
      </c>
      <c r="M127" s="15"/>
      <c r="O127" s="15">
        <v>0.06</v>
      </c>
      <c r="P127">
        <v>64</v>
      </c>
      <c r="Q127" s="15"/>
      <c r="R127" s="6"/>
      <c r="S127" t="s">
        <v>363</v>
      </c>
    </row>
    <row r="128" spans="1:19" hidden="1">
      <c r="C128" t="s">
        <v>84</v>
      </c>
      <c r="D128">
        <v>3</v>
      </c>
      <c r="E128">
        <v>6</v>
      </c>
      <c r="F128" t="s">
        <v>28</v>
      </c>
      <c r="G128" s="15"/>
      <c r="H128">
        <v>204</v>
      </c>
      <c r="I128" s="141">
        <v>0.09</v>
      </c>
      <c r="K128" s="15"/>
      <c r="L128" s="15"/>
      <c r="M128" s="15"/>
      <c r="O128" s="15">
        <v>0.13</v>
      </c>
      <c r="P128">
        <v>57</v>
      </c>
      <c r="Q128" s="15"/>
      <c r="R128" s="6"/>
    </row>
    <row r="129" spans="1:19" hidden="1">
      <c r="C129" t="s">
        <v>84</v>
      </c>
      <c r="D129">
        <v>3</v>
      </c>
      <c r="E129">
        <v>6</v>
      </c>
      <c r="F129" t="s">
        <v>28</v>
      </c>
      <c r="G129" s="15"/>
      <c r="I129" s="141"/>
      <c r="J129">
        <v>3</v>
      </c>
      <c r="K129" s="15">
        <v>0.14000000000000001</v>
      </c>
      <c r="L129" s="15"/>
      <c r="M129" s="15"/>
      <c r="O129" s="15"/>
      <c r="P129">
        <v>57</v>
      </c>
      <c r="Q129" s="15"/>
      <c r="R129" s="6"/>
    </row>
    <row r="130" spans="1:19" hidden="1">
      <c r="C130" t="s">
        <v>84</v>
      </c>
      <c r="D130">
        <v>3</v>
      </c>
      <c r="E130">
        <v>6</v>
      </c>
      <c r="F130" t="s">
        <v>27</v>
      </c>
      <c r="G130" s="15">
        <v>0.06</v>
      </c>
      <c r="I130" s="141"/>
      <c r="J130">
        <v>2</v>
      </c>
      <c r="K130" s="15">
        <v>0.04</v>
      </c>
      <c r="L130" s="15"/>
      <c r="M130" s="15"/>
      <c r="O130" s="15"/>
      <c r="P130">
        <v>46</v>
      </c>
      <c r="Q130" s="15">
        <v>0.09</v>
      </c>
      <c r="R130" s="6"/>
    </row>
    <row r="131" spans="1:19" hidden="1">
      <c r="A131" t="s">
        <v>145</v>
      </c>
      <c r="B131" t="s">
        <v>145</v>
      </c>
      <c r="C131" t="s">
        <v>190</v>
      </c>
      <c r="D131">
        <v>4</v>
      </c>
      <c r="E131">
        <v>12</v>
      </c>
      <c r="F131" t="s">
        <v>27</v>
      </c>
      <c r="G131" s="15">
        <v>0.31</v>
      </c>
      <c r="I131" s="141">
        <v>0.04</v>
      </c>
      <c r="K131" s="15"/>
      <c r="L131" s="15"/>
      <c r="M131" s="15"/>
      <c r="N131">
        <v>4</v>
      </c>
      <c r="O131" s="15">
        <v>0.05</v>
      </c>
      <c r="Q131" s="15">
        <v>0.12</v>
      </c>
      <c r="R131" s="6"/>
      <c r="S131" t="s">
        <v>145</v>
      </c>
    </row>
    <row r="132" spans="1:19" hidden="1">
      <c r="C132" t="s">
        <v>84</v>
      </c>
      <c r="D132">
        <v>4</v>
      </c>
      <c r="E132">
        <v>6</v>
      </c>
      <c r="F132" t="s">
        <v>28</v>
      </c>
      <c r="G132" s="15">
        <v>0.24</v>
      </c>
      <c r="I132" s="141"/>
      <c r="J132">
        <v>3</v>
      </c>
      <c r="K132" s="15">
        <v>0.05</v>
      </c>
      <c r="L132" s="15">
        <v>0.06</v>
      </c>
      <c r="M132" s="15"/>
      <c r="O132" s="15"/>
      <c r="Q132" s="15">
        <v>0.08</v>
      </c>
      <c r="R132" s="6"/>
      <c r="S132" t="s">
        <v>363</v>
      </c>
    </row>
    <row r="133" spans="1:19" hidden="1">
      <c r="C133" t="s">
        <v>84</v>
      </c>
      <c r="D133">
        <v>4</v>
      </c>
      <c r="E133">
        <v>0</v>
      </c>
      <c r="F133" t="s">
        <v>29</v>
      </c>
      <c r="G133" s="15"/>
      <c r="H133">
        <v>200</v>
      </c>
      <c r="I133" s="141"/>
      <c r="J133">
        <v>5</v>
      </c>
      <c r="K133" s="15"/>
      <c r="L133" s="15"/>
      <c r="M133" s="15"/>
      <c r="O133" s="15">
        <v>0.11</v>
      </c>
      <c r="P133">
        <v>17</v>
      </c>
      <c r="Q133" s="15"/>
      <c r="R133" s="6"/>
    </row>
    <row r="134" spans="1:19" hidden="1">
      <c r="C134" t="s">
        <v>84</v>
      </c>
      <c r="D134">
        <v>5</v>
      </c>
      <c r="E134">
        <v>6</v>
      </c>
      <c r="F134" t="s">
        <v>27</v>
      </c>
      <c r="G134" s="15"/>
      <c r="H134">
        <v>700</v>
      </c>
      <c r="I134" s="141"/>
      <c r="J134">
        <v>9</v>
      </c>
      <c r="K134" s="15">
        <v>0.04</v>
      </c>
      <c r="L134" s="15"/>
      <c r="M134" s="15"/>
      <c r="O134" s="15"/>
      <c r="Q134" s="15"/>
      <c r="R134" s="6"/>
    </row>
    <row r="135" spans="1:19" hidden="1">
      <c r="C135" t="s">
        <v>84</v>
      </c>
      <c r="D135">
        <v>5</v>
      </c>
      <c r="E135">
        <v>6</v>
      </c>
      <c r="F135" t="s">
        <v>27</v>
      </c>
      <c r="G135" s="15">
        <v>0.09</v>
      </c>
      <c r="H135">
        <v>700</v>
      </c>
      <c r="I135" s="141">
        <v>0.08</v>
      </c>
      <c r="K135" s="15"/>
      <c r="L135" s="15"/>
      <c r="M135" s="15"/>
      <c r="O135" s="15">
        <v>0.04</v>
      </c>
      <c r="Q135" s="15"/>
      <c r="R135" s="6"/>
    </row>
    <row r="136" spans="1:19" hidden="1">
      <c r="C136" t="s">
        <v>84</v>
      </c>
      <c r="D136">
        <v>5</v>
      </c>
      <c r="E136">
        <v>0</v>
      </c>
      <c r="F136" t="s">
        <v>28</v>
      </c>
      <c r="G136" s="15">
        <v>7.0000000000000007E-2</v>
      </c>
      <c r="I136" s="141"/>
      <c r="K136" s="15"/>
      <c r="L136" s="15">
        <v>0.05</v>
      </c>
      <c r="M136" s="15"/>
      <c r="N136">
        <v>12</v>
      </c>
      <c r="O136" s="15"/>
      <c r="P136">
        <v>9</v>
      </c>
      <c r="Q136" s="15"/>
      <c r="R136" s="6"/>
    </row>
    <row r="137" spans="1:19" hidden="1">
      <c r="C137" t="s">
        <v>84</v>
      </c>
      <c r="D137">
        <v>4</v>
      </c>
      <c r="E137">
        <v>6</v>
      </c>
      <c r="F137" t="s">
        <v>28</v>
      </c>
      <c r="G137" s="15">
        <v>0.24</v>
      </c>
      <c r="I137" s="141">
        <v>0.03</v>
      </c>
      <c r="K137" s="15">
        <v>0.03</v>
      </c>
      <c r="L137" s="15"/>
      <c r="M137" s="15"/>
      <c r="O137" s="15">
        <v>0.11</v>
      </c>
      <c r="Q137" s="15"/>
      <c r="R137" s="6"/>
      <c r="S137" t="s">
        <v>363</v>
      </c>
    </row>
    <row r="138" spans="1:19" hidden="1">
      <c r="C138" t="s">
        <v>84</v>
      </c>
      <c r="D138">
        <v>5</v>
      </c>
      <c r="E138">
        <v>0</v>
      </c>
      <c r="F138" t="s">
        <v>28</v>
      </c>
      <c r="G138" s="15">
        <v>7.0000000000000007E-2</v>
      </c>
      <c r="I138" s="141"/>
      <c r="K138" s="15"/>
      <c r="L138" s="15"/>
      <c r="M138" s="15"/>
      <c r="N138">
        <v>12</v>
      </c>
      <c r="O138" s="15"/>
      <c r="Q138" s="15"/>
      <c r="R138" s="6"/>
    </row>
    <row r="139" spans="1:19" hidden="1">
      <c r="C139" t="s">
        <v>148</v>
      </c>
      <c r="D139">
        <v>6</v>
      </c>
      <c r="E139">
        <v>0</v>
      </c>
      <c r="F139" t="s">
        <v>28</v>
      </c>
      <c r="G139" s="15">
        <v>7.0000000000000007E-2</v>
      </c>
      <c r="I139" s="141"/>
      <c r="K139" s="15"/>
      <c r="L139" s="15">
        <v>0.05</v>
      </c>
      <c r="M139" s="15">
        <v>0.08</v>
      </c>
      <c r="N139">
        <v>11</v>
      </c>
      <c r="O139" s="15"/>
      <c r="P139">
        <v>13</v>
      </c>
      <c r="Q139" s="15"/>
      <c r="R139" s="6"/>
    </row>
    <row r="140" spans="1:19" hidden="1">
      <c r="C140" t="s">
        <v>148</v>
      </c>
      <c r="D140">
        <v>6</v>
      </c>
      <c r="E140">
        <v>0</v>
      </c>
      <c r="F140" t="s">
        <v>27</v>
      </c>
      <c r="G140" s="15"/>
      <c r="H140">
        <v>93</v>
      </c>
      <c r="I140" s="141"/>
      <c r="K140" s="15">
        <v>0.04</v>
      </c>
      <c r="L140" s="15">
        <v>0.02</v>
      </c>
      <c r="M140" s="15">
        <v>0.05</v>
      </c>
      <c r="O140" s="15"/>
      <c r="Q140" s="15">
        <v>0.05</v>
      </c>
      <c r="R140" s="6"/>
    </row>
    <row r="141" spans="1:19" hidden="1">
      <c r="C141" t="s">
        <v>148</v>
      </c>
      <c r="D141">
        <v>1</v>
      </c>
      <c r="E141">
        <v>0</v>
      </c>
      <c r="F141" t="s">
        <v>27</v>
      </c>
      <c r="G141" s="15"/>
      <c r="I141" s="141">
        <v>0.02</v>
      </c>
      <c r="J141">
        <v>4</v>
      </c>
      <c r="K141" s="15">
        <v>0.02</v>
      </c>
      <c r="L141" s="15"/>
      <c r="M141" s="15">
        <v>0.05</v>
      </c>
      <c r="O141" s="15"/>
      <c r="Q141" s="15">
        <v>0.05</v>
      </c>
      <c r="R141" s="6"/>
    </row>
    <row r="142" spans="1:19" ht="15" hidden="1" customHeight="1">
      <c r="C142" t="s">
        <v>148</v>
      </c>
      <c r="D142">
        <v>1</v>
      </c>
      <c r="E142">
        <v>9</v>
      </c>
      <c r="F142" t="s">
        <v>27</v>
      </c>
      <c r="G142" s="15">
        <v>0.12</v>
      </c>
      <c r="H142">
        <v>159</v>
      </c>
      <c r="I142" s="141"/>
      <c r="J142">
        <v>2</v>
      </c>
      <c r="K142" s="15"/>
      <c r="L142" s="15"/>
      <c r="M142" s="15"/>
      <c r="N142">
        <v>64</v>
      </c>
      <c r="O142" s="15"/>
      <c r="Q142" s="15">
        <v>0.03</v>
      </c>
      <c r="R142" s="6"/>
    </row>
    <row r="143" spans="1:19" hidden="1">
      <c r="A143" s="2"/>
      <c r="B143" s="2"/>
      <c r="C143" s="2" t="s">
        <v>148</v>
      </c>
      <c r="D143" s="2">
        <v>1</v>
      </c>
      <c r="E143" s="2">
        <v>6</v>
      </c>
      <c r="F143" s="2" t="s">
        <v>28</v>
      </c>
      <c r="G143" s="144"/>
      <c r="H143" s="2"/>
      <c r="I143" s="145">
        <v>0.14000000000000001</v>
      </c>
      <c r="J143" s="2">
        <v>4</v>
      </c>
      <c r="K143" s="144">
        <v>0.08</v>
      </c>
      <c r="L143" s="144"/>
      <c r="M143" s="144"/>
      <c r="N143" s="2"/>
      <c r="O143" s="144"/>
      <c r="P143" s="2"/>
      <c r="Q143" s="144"/>
      <c r="R143" s="55" t="s">
        <v>204</v>
      </c>
      <c r="S143" t="s">
        <v>149</v>
      </c>
    </row>
    <row r="144" spans="1:19" hidden="1">
      <c r="C144" t="s">
        <v>148</v>
      </c>
      <c r="D144">
        <v>1</v>
      </c>
      <c r="E144">
        <v>0</v>
      </c>
      <c r="F144" t="s">
        <v>27</v>
      </c>
      <c r="G144" s="15"/>
      <c r="I144" s="141">
        <v>0.03</v>
      </c>
      <c r="J144">
        <v>2</v>
      </c>
      <c r="K144" s="15">
        <v>0.03</v>
      </c>
      <c r="L144" s="15"/>
      <c r="M144" s="15"/>
      <c r="O144" s="15"/>
      <c r="Q144" s="15"/>
      <c r="R144" s="6"/>
    </row>
    <row r="145" spans="1:18" hidden="1">
      <c r="A145" s="2"/>
      <c r="B145" s="2"/>
      <c r="C145" s="2" t="s">
        <v>148</v>
      </c>
      <c r="D145" s="2">
        <v>1</v>
      </c>
      <c r="E145" s="2">
        <v>6</v>
      </c>
      <c r="F145" s="2" t="s">
        <v>28</v>
      </c>
      <c r="G145" s="144"/>
      <c r="H145" s="2"/>
      <c r="I145" s="145">
        <v>0.11</v>
      </c>
      <c r="J145" s="2"/>
      <c r="K145" s="144">
        <v>0.03</v>
      </c>
      <c r="L145" s="144">
        <v>0.06</v>
      </c>
      <c r="M145" s="144"/>
      <c r="N145" s="2"/>
      <c r="O145" s="144"/>
      <c r="P145" s="2"/>
      <c r="Q145" s="144"/>
      <c r="R145" s="55" t="s">
        <v>204</v>
      </c>
    </row>
    <row r="146" spans="1:18" hidden="1">
      <c r="C146" t="s">
        <v>148</v>
      </c>
      <c r="D146">
        <v>1</v>
      </c>
      <c r="E146">
        <v>6</v>
      </c>
      <c r="F146" t="s">
        <v>27</v>
      </c>
      <c r="G146" s="15">
        <v>0.14000000000000001</v>
      </c>
      <c r="I146" s="141"/>
      <c r="J146">
        <v>4</v>
      </c>
      <c r="K146" s="15"/>
      <c r="L146" s="15">
        <v>0.04</v>
      </c>
      <c r="M146" s="15"/>
      <c r="O146" s="15"/>
      <c r="Q146" s="15"/>
      <c r="R146" s="6"/>
    </row>
    <row r="147" spans="1:18" hidden="1">
      <c r="C147" t="s">
        <v>148</v>
      </c>
      <c r="D147">
        <v>2</v>
      </c>
      <c r="E147">
        <v>6</v>
      </c>
      <c r="F147" t="s">
        <v>27</v>
      </c>
      <c r="G147" s="15"/>
      <c r="J147">
        <v>4</v>
      </c>
      <c r="K147" s="15"/>
      <c r="L147" s="15">
        <v>0.03</v>
      </c>
      <c r="M147" s="15">
        <v>0.05</v>
      </c>
      <c r="O147" s="15"/>
      <c r="Q147" s="15"/>
      <c r="R147" s="6"/>
    </row>
    <row r="148" spans="1:18" hidden="1">
      <c r="C148" t="s">
        <v>148</v>
      </c>
      <c r="D148">
        <v>2</v>
      </c>
      <c r="E148">
        <v>6</v>
      </c>
      <c r="F148" t="s">
        <v>27</v>
      </c>
      <c r="G148" s="15">
        <v>0.05</v>
      </c>
      <c r="J148">
        <v>2</v>
      </c>
      <c r="K148" s="15"/>
      <c r="L148" s="15"/>
      <c r="M148" s="15"/>
      <c r="O148" s="15">
        <v>0.04</v>
      </c>
      <c r="Q148" s="15"/>
      <c r="R148" s="6"/>
    </row>
    <row r="149" spans="1:18">
      <c r="C149" t="s">
        <v>148</v>
      </c>
      <c r="D149">
        <v>3</v>
      </c>
      <c r="E149">
        <v>0</v>
      </c>
      <c r="F149" t="s">
        <v>28</v>
      </c>
      <c r="G149" s="15">
        <v>0.04</v>
      </c>
      <c r="J149">
        <v>5</v>
      </c>
      <c r="K149" s="15"/>
      <c r="L149" s="15"/>
      <c r="M149" s="15"/>
      <c r="O149" s="15"/>
      <c r="Q149" s="15"/>
      <c r="R149" s="6"/>
    </row>
    <row r="150" spans="1:18">
      <c r="C150" t="s">
        <v>148</v>
      </c>
      <c r="D150">
        <v>3</v>
      </c>
      <c r="E150">
        <v>0</v>
      </c>
      <c r="F150" t="s">
        <v>28</v>
      </c>
      <c r="G150" s="15"/>
      <c r="K150" s="15">
        <v>0.04</v>
      </c>
      <c r="L150" s="15">
        <v>0.05</v>
      </c>
      <c r="M150" s="15"/>
      <c r="O150" s="15"/>
      <c r="Q150" s="15"/>
      <c r="R150" s="6"/>
    </row>
    <row r="151" spans="1:18">
      <c r="C151" t="s">
        <v>148</v>
      </c>
      <c r="D151">
        <v>3</v>
      </c>
      <c r="E151">
        <v>9</v>
      </c>
      <c r="F151" t="s">
        <v>27</v>
      </c>
      <c r="G151" s="15"/>
      <c r="H151">
        <v>225</v>
      </c>
      <c r="I151">
        <v>12</v>
      </c>
      <c r="K151" s="15"/>
      <c r="L151" s="15">
        <v>0.03</v>
      </c>
      <c r="M151" s="15"/>
      <c r="O151" s="15"/>
      <c r="Q151" s="15"/>
      <c r="R151" s="6"/>
    </row>
    <row r="152" spans="1:18">
      <c r="C152" t="s">
        <v>148</v>
      </c>
      <c r="D152">
        <v>3</v>
      </c>
      <c r="E152">
        <v>6</v>
      </c>
      <c r="F152" t="s">
        <v>27</v>
      </c>
      <c r="G152" s="15">
        <v>0.14000000000000001</v>
      </c>
      <c r="H152">
        <v>92</v>
      </c>
      <c r="K152" s="15"/>
      <c r="L152" s="15">
        <v>0.05</v>
      </c>
      <c r="M152" s="15"/>
      <c r="O152" s="15"/>
      <c r="Q152" s="15"/>
      <c r="R152" s="6"/>
    </row>
    <row r="153" spans="1:18">
      <c r="C153" t="s">
        <v>148</v>
      </c>
      <c r="D153">
        <v>3</v>
      </c>
      <c r="E153">
        <v>0</v>
      </c>
      <c r="F153" t="s">
        <v>27</v>
      </c>
      <c r="G153" s="15"/>
      <c r="J153">
        <v>3</v>
      </c>
      <c r="K153" s="15">
        <v>0.03</v>
      </c>
      <c r="L153" s="15"/>
      <c r="M153" s="15"/>
      <c r="O153" s="15">
        <v>0.03</v>
      </c>
      <c r="Q153" s="15">
        <v>0.05</v>
      </c>
      <c r="R153" s="6"/>
    </row>
    <row r="154" spans="1:18">
      <c r="C154" t="s">
        <v>148</v>
      </c>
      <c r="D154">
        <v>3</v>
      </c>
      <c r="E154">
        <v>0</v>
      </c>
      <c r="F154" t="s">
        <v>27</v>
      </c>
      <c r="G154" s="15"/>
      <c r="I154">
        <v>5</v>
      </c>
      <c r="J154">
        <v>2</v>
      </c>
      <c r="K154" s="15"/>
      <c r="L154" s="15">
        <v>0.05</v>
      </c>
      <c r="M154" s="15"/>
      <c r="O154" s="15"/>
      <c r="Q154" s="15">
        <v>0.02</v>
      </c>
      <c r="R154" s="6"/>
    </row>
    <row r="155" spans="1:18">
      <c r="C155" t="s">
        <v>148</v>
      </c>
      <c r="D155">
        <v>3</v>
      </c>
      <c r="E155">
        <v>0</v>
      </c>
      <c r="F155" t="s">
        <v>28</v>
      </c>
      <c r="G155" s="15">
        <v>7.0000000000000007E-2</v>
      </c>
      <c r="K155" s="15">
        <v>0.03</v>
      </c>
      <c r="L155" s="15"/>
      <c r="M155" s="15"/>
      <c r="O155" s="15"/>
      <c r="Q155" s="15">
        <v>0.04</v>
      </c>
      <c r="R155" s="6"/>
    </row>
    <row r="156" spans="1:18">
      <c r="C156" t="s">
        <v>148</v>
      </c>
      <c r="D156">
        <v>3</v>
      </c>
      <c r="E156">
        <v>0</v>
      </c>
      <c r="F156" t="s">
        <v>27</v>
      </c>
      <c r="G156" s="15"/>
      <c r="I156">
        <v>4</v>
      </c>
      <c r="J156">
        <v>4</v>
      </c>
      <c r="K156" s="15"/>
      <c r="L156" s="15">
        <v>0.03</v>
      </c>
      <c r="M156" s="15"/>
      <c r="O156" s="15"/>
      <c r="Q156" s="15">
        <v>0.05</v>
      </c>
      <c r="R156" s="6"/>
    </row>
    <row r="157" spans="1:18" hidden="1">
      <c r="C157" t="s">
        <v>148</v>
      </c>
      <c r="D157">
        <v>4</v>
      </c>
      <c r="E157">
        <v>0</v>
      </c>
      <c r="F157" t="s">
        <v>28</v>
      </c>
      <c r="G157" s="15"/>
      <c r="K157" s="15">
        <v>0.04</v>
      </c>
      <c r="L157" s="15"/>
      <c r="M157" s="15">
        <v>0.08</v>
      </c>
      <c r="O157" s="15">
        <v>0.05</v>
      </c>
      <c r="Q157" s="15"/>
      <c r="R157" s="6"/>
    </row>
    <row r="158" spans="1:18" hidden="1">
      <c r="C158" t="s">
        <v>148</v>
      </c>
      <c r="D158">
        <v>4</v>
      </c>
      <c r="E158">
        <v>0</v>
      </c>
      <c r="F158" t="s">
        <v>28</v>
      </c>
      <c r="G158" s="15"/>
      <c r="J158">
        <v>4</v>
      </c>
      <c r="K158" s="15"/>
      <c r="L158" s="15"/>
      <c r="M158" s="15">
        <v>0.08</v>
      </c>
      <c r="O158" s="15"/>
      <c r="P158">
        <v>10</v>
      </c>
      <c r="Q158" s="15"/>
      <c r="R158" s="6"/>
    </row>
    <row r="159" spans="1:18" hidden="1">
      <c r="C159" t="s">
        <v>148</v>
      </c>
      <c r="D159">
        <v>4</v>
      </c>
      <c r="E159">
        <v>0</v>
      </c>
      <c r="F159" t="s">
        <v>29</v>
      </c>
      <c r="G159" s="15"/>
      <c r="H159">
        <v>140</v>
      </c>
      <c r="K159" s="15"/>
      <c r="L159" s="15"/>
      <c r="M159" s="15">
        <v>7.0000000000000007E-2</v>
      </c>
      <c r="O159" s="15">
        <v>0.11</v>
      </c>
      <c r="Q159" s="15"/>
      <c r="R159" s="6"/>
    </row>
    <row r="160" spans="1:18" hidden="1">
      <c r="C160" t="s">
        <v>148</v>
      </c>
      <c r="D160">
        <v>5</v>
      </c>
      <c r="E160">
        <v>6</v>
      </c>
      <c r="F160" t="s">
        <v>27</v>
      </c>
      <c r="G160" s="15"/>
      <c r="H160">
        <v>700</v>
      </c>
      <c r="I160">
        <v>3</v>
      </c>
      <c r="K160" s="15">
        <v>0.05</v>
      </c>
      <c r="L160" s="15">
        <v>0.1</v>
      </c>
      <c r="M160" s="15"/>
      <c r="O160" s="15"/>
      <c r="Q160" s="15"/>
      <c r="R160" s="6"/>
    </row>
    <row r="161" spans="1:19" hidden="1">
      <c r="C161" t="s">
        <v>148</v>
      </c>
      <c r="D161">
        <v>5</v>
      </c>
      <c r="E161">
        <v>9</v>
      </c>
      <c r="F161" t="s">
        <v>27</v>
      </c>
      <c r="G161" s="15"/>
      <c r="H161">
        <v>970</v>
      </c>
      <c r="J161">
        <v>4</v>
      </c>
      <c r="K161" s="15">
        <v>7.0000000000000007E-2</v>
      </c>
      <c r="L161" s="15"/>
      <c r="M161" s="15">
        <v>0.04</v>
      </c>
      <c r="O161" s="15"/>
      <c r="Q161" s="15"/>
      <c r="R161" s="6"/>
    </row>
    <row r="162" spans="1:19" hidden="1">
      <c r="C162" t="s">
        <v>148</v>
      </c>
      <c r="D162">
        <v>5</v>
      </c>
      <c r="E162">
        <v>0</v>
      </c>
      <c r="F162" t="s">
        <v>28</v>
      </c>
      <c r="G162" s="15"/>
      <c r="H162">
        <v>270</v>
      </c>
      <c r="J162">
        <v>4</v>
      </c>
      <c r="K162" s="15"/>
      <c r="L162" s="15"/>
      <c r="M162" s="15"/>
      <c r="O162" s="15"/>
      <c r="P162">
        <v>8</v>
      </c>
      <c r="Q162" s="15"/>
      <c r="R162" s="6"/>
    </row>
    <row r="163" spans="1:19" hidden="1">
      <c r="C163" t="s">
        <v>148</v>
      </c>
      <c r="D163">
        <v>5</v>
      </c>
      <c r="E163">
        <v>6</v>
      </c>
      <c r="F163" t="s">
        <v>28</v>
      </c>
      <c r="G163" s="15"/>
      <c r="H163">
        <v>270</v>
      </c>
      <c r="J163">
        <v>8</v>
      </c>
      <c r="K163" s="15"/>
      <c r="L163" s="15"/>
      <c r="M163" s="15"/>
      <c r="O163" s="15">
        <v>0.1</v>
      </c>
      <c r="Q163" s="15"/>
      <c r="R163" s="6"/>
    </row>
    <row r="164" spans="1:19" hidden="1">
      <c r="C164" t="s">
        <v>148</v>
      </c>
      <c r="D164">
        <v>5</v>
      </c>
      <c r="E164">
        <v>0</v>
      </c>
      <c r="F164" t="s">
        <v>28</v>
      </c>
      <c r="G164" s="15">
        <v>0.05</v>
      </c>
      <c r="H164">
        <v>270</v>
      </c>
      <c r="K164" s="15"/>
      <c r="L164" s="15"/>
      <c r="M164" s="15">
        <v>7.0000000000000007E-2</v>
      </c>
      <c r="O164" s="15"/>
      <c r="P164">
        <v>9</v>
      </c>
      <c r="Q164" s="15">
        <v>0.06</v>
      </c>
      <c r="R164" s="6"/>
    </row>
    <row r="165" spans="1:19" hidden="1">
      <c r="C165" t="s">
        <v>148</v>
      </c>
      <c r="D165">
        <v>5</v>
      </c>
      <c r="E165">
        <v>0</v>
      </c>
      <c r="F165" t="s">
        <v>27</v>
      </c>
      <c r="G165" s="15"/>
      <c r="H165">
        <v>160</v>
      </c>
      <c r="K165" s="15">
        <v>0.04</v>
      </c>
      <c r="L165" s="15"/>
      <c r="M165" s="15">
        <v>0.04</v>
      </c>
      <c r="O165" s="15"/>
      <c r="Q165" s="15">
        <v>0.04</v>
      </c>
      <c r="R165" s="6"/>
    </row>
    <row r="166" spans="1:19" hidden="1">
      <c r="C166" t="s">
        <v>148</v>
      </c>
      <c r="D166">
        <v>5</v>
      </c>
      <c r="E166">
        <v>12</v>
      </c>
      <c r="F166" t="s">
        <v>29</v>
      </c>
      <c r="G166" s="15"/>
      <c r="H166">
        <v>1800</v>
      </c>
      <c r="K166" s="15">
        <v>0.15</v>
      </c>
      <c r="L166" s="15">
        <v>0.1</v>
      </c>
      <c r="M166" s="15"/>
      <c r="N166">
        <v>15</v>
      </c>
      <c r="O166" s="15">
        <v>0.12</v>
      </c>
      <c r="Q166" s="15">
        <v>0.11</v>
      </c>
      <c r="R166" s="6"/>
    </row>
    <row r="167" spans="1:19" hidden="1">
      <c r="C167" t="s">
        <v>190</v>
      </c>
      <c r="D167">
        <v>6</v>
      </c>
      <c r="E167">
        <v>6</v>
      </c>
      <c r="F167" t="s">
        <v>27</v>
      </c>
      <c r="G167" s="15"/>
      <c r="K167" s="15">
        <v>7.0000000000000007E-2</v>
      </c>
      <c r="L167" s="15"/>
      <c r="M167" s="15">
        <v>0.05</v>
      </c>
      <c r="O167" s="15">
        <v>0.18</v>
      </c>
      <c r="P167">
        <v>15</v>
      </c>
      <c r="Q167" s="15"/>
      <c r="R167" s="6"/>
    </row>
    <row r="168" spans="1:19" hidden="1">
      <c r="C168" t="s">
        <v>190</v>
      </c>
      <c r="D168">
        <v>6</v>
      </c>
      <c r="E168">
        <v>0</v>
      </c>
      <c r="F168" t="s">
        <v>27</v>
      </c>
      <c r="G168" s="15">
        <v>0.05</v>
      </c>
      <c r="J168">
        <v>4</v>
      </c>
      <c r="K168" s="15"/>
      <c r="L168" s="15"/>
      <c r="M168" s="15"/>
      <c r="N168">
        <v>10</v>
      </c>
      <c r="O168" s="15"/>
      <c r="Q168" s="15"/>
      <c r="R168" s="6"/>
    </row>
    <row r="169" spans="1:19" hidden="1">
      <c r="C169" t="s">
        <v>190</v>
      </c>
      <c r="D169">
        <v>4</v>
      </c>
      <c r="E169">
        <v>9</v>
      </c>
      <c r="F169" t="s">
        <v>28</v>
      </c>
      <c r="G169" s="15">
        <v>0.28999999999999998</v>
      </c>
      <c r="H169">
        <v>237</v>
      </c>
      <c r="K169" s="15">
        <v>0.05</v>
      </c>
      <c r="L169" s="15"/>
      <c r="M169" s="15"/>
      <c r="N169">
        <v>18</v>
      </c>
      <c r="O169" s="15"/>
      <c r="P169">
        <v>40</v>
      </c>
      <c r="Q169" s="15"/>
      <c r="R169" s="6"/>
      <c r="S169" t="s">
        <v>363</v>
      </c>
    </row>
    <row r="170" spans="1:19" hidden="1">
      <c r="A170" t="s">
        <v>145</v>
      </c>
      <c r="B170" t="s">
        <v>145</v>
      </c>
      <c r="C170" t="s">
        <v>147</v>
      </c>
      <c r="D170">
        <v>5</v>
      </c>
      <c r="E170">
        <v>12</v>
      </c>
      <c r="F170" t="s">
        <v>29</v>
      </c>
      <c r="G170" s="15"/>
      <c r="H170">
        <v>1800</v>
      </c>
      <c r="I170" s="141">
        <v>0.16</v>
      </c>
      <c r="K170" s="15">
        <v>0.04</v>
      </c>
      <c r="L170" s="15">
        <v>0.18</v>
      </c>
      <c r="M170" s="15">
        <v>0.05</v>
      </c>
      <c r="O170" s="15"/>
      <c r="Q170" s="15"/>
      <c r="R170" s="6"/>
      <c r="S170" t="s">
        <v>145</v>
      </c>
    </row>
    <row r="171" spans="1:19" hidden="1">
      <c r="C171" t="s">
        <v>190</v>
      </c>
      <c r="D171">
        <v>1</v>
      </c>
      <c r="E171">
        <v>9</v>
      </c>
      <c r="F171" t="s">
        <v>28</v>
      </c>
      <c r="G171" s="15"/>
      <c r="H171">
        <v>194</v>
      </c>
      <c r="J171">
        <v>10</v>
      </c>
      <c r="K171" s="15">
        <v>0.04</v>
      </c>
      <c r="L171" s="15">
        <v>0.09</v>
      </c>
      <c r="M171" s="15"/>
      <c r="N171">
        <v>78</v>
      </c>
      <c r="O171" s="15"/>
      <c r="Q171" s="15"/>
      <c r="R171" s="6"/>
    </row>
    <row r="172" spans="1:19" hidden="1">
      <c r="A172" s="10"/>
      <c r="B172" s="10"/>
      <c r="C172" s="10" t="s">
        <v>84</v>
      </c>
      <c r="D172" s="10">
        <v>5</v>
      </c>
      <c r="E172" s="10">
        <v>6</v>
      </c>
      <c r="F172" s="10" t="s">
        <v>28</v>
      </c>
      <c r="G172" s="155">
        <v>0.17</v>
      </c>
      <c r="H172" s="10">
        <v>1800</v>
      </c>
      <c r="I172" s="156"/>
      <c r="J172" s="10"/>
      <c r="K172" s="155">
        <v>0.05</v>
      </c>
      <c r="L172" s="155">
        <v>0.04</v>
      </c>
      <c r="M172" s="155"/>
      <c r="N172" s="10">
        <v>13</v>
      </c>
      <c r="O172" s="155"/>
      <c r="P172" s="10"/>
      <c r="Q172" s="155"/>
      <c r="R172" s="54"/>
      <c r="S172" s="10" t="s">
        <v>363</v>
      </c>
    </row>
    <row r="173" spans="1:19" hidden="1">
      <c r="C173" t="s">
        <v>190</v>
      </c>
      <c r="D173">
        <v>5</v>
      </c>
      <c r="E173">
        <v>0</v>
      </c>
      <c r="F173" t="s">
        <v>28</v>
      </c>
      <c r="G173" s="15"/>
      <c r="H173">
        <v>270</v>
      </c>
      <c r="K173" s="15"/>
      <c r="L173" s="15">
        <v>0.05</v>
      </c>
      <c r="M173" s="15">
        <v>0.06</v>
      </c>
      <c r="O173" s="15"/>
      <c r="Q173" s="15">
        <v>7.0000000000000007E-2</v>
      </c>
      <c r="R173" s="6"/>
    </row>
    <row r="174" spans="1:19" hidden="1">
      <c r="C174" t="s">
        <v>190</v>
      </c>
      <c r="D174">
        <v>5</v>
      </c>
      <c r="E174">
        <v>9</v>
      </c>
      <c r="F174" t="s">
        <v>27</v>
      </c>
      <c r="G174" s="15">
        <v>0.03</v>
      </c>
      <c r="J174">
        <v>3</v>
      </c>
      <c r="K174" s="15">
        <v>0.08</v>
      </c>
      <c r="L174" s="15"/>
      <c r="M174" s="15"/>
      <c r="N174">
        <v>5</v>
      </c>
      <c r="O174" s="15"/>
      <c r="Q174" s="15"/>
      <c r="R174" s="6"/>
    </row>
    <row r="175" spans="1:19" hidden="1">
      <c r="G175" s="15"/>
      <c r="K175" s="15"/>
      <c r="L175" s="15"/>
      <c r="M175" s="15"/>
      <c r="O175" s="15"/>
      <c r="Q175" s="15"/>
      <c r="R175" s="6"/>
    </row>
    <row r="176" spans="1:19" hidden="1">
      <c r="G176" s="15"/>
      <c r="K176" s="15"/>
      <c r="L176" s="15"/>
      <c r="M176" s="15"/>
      <c r="O176" s="15"/>
      <c r="Q176" s="15"/>
      <c r="R176" s="6"/>
    </row>
    <row r="177" spans="7:18" hidden="1">
      <c r="G177" s="15"/>
      <c r="K177" s="15"/>
      <c r="L177" s="15"/>
      <c r="M177" s="15"/>
      <c r="O177" s="15"/>
      <c r="Q177" s="15"/>
      <c r="R177" s="6"/>
    </row>
    <row r="178" spans="7:18" hidden="1">
      <c r="G178" s="15"/>
      <c r="K178" s="15"/>
      <c r="L178" s="15"/>
      <c r="M178" s="15"/>
      <c r="O178" s="15"/>
      <c r="Q178" s="15"/>
      <c r="R178" s="6"/>
    </row>
    <row r="179" spans="7:18" hidden="1">
      <c r="G179" s="15"/>
      <c r="K179" s="15"/>
      <c r="L179" s="15"/>
      <c r="M179" s="15"/>
      <c r="O179" s="15"/>
      <c r="Q179" s="15"/>
      <c r="R179" s="6"/>
    </row>
    <row r="180" spans="7:18" hidden="1">
      <c r="G180" s="15"/>
      <c r="K180" s="15"/>
      <c r="L180" s="15"/>
      <c r="M180" s="15"/>
      <c r="O180" s="15"/>
      <c r="Q180" s="15"/>
      <c r="R180" s="6"/>
    </row>
    <row r="181" spans="7:18" hidden="1">
      <c r="G181" s="15"/>
      <c r="K181" s="15"/>
      <c r="L181" s="15"/>
      <c r="M181" s="15"/>
      <c r="O181" s="15"/>
      <c r="Q181" s="15"/>
      <c r="R181" s="6"/>
    </row>
    <row r="182" spans="7:18" hidden="1">
      <c r="G182" s="15"/>
      <c r="K182" s="15"/>
      <c r="L182" s="15"/>
      <c r="M182" s="15"/>
      <c r="O182" s="15"/>
      <c r="Q182" s="15"/>
      <c r="R182" s="6"/>
    </row>
    <row r="183" spans="7:18" hidden="1">
      <c r="G183" s="15"/>
      <c r="K183" s="15"/>
      <c r="L183" s="15"/>
      <c r="M183" s="15"/>
      <c r="O183" s="15"/>
      <c r="Q183" s="15"/>
      <c r="R183" s="6"/>
    </row>
    <row r="184" spans="7:18" hidden="1">
      <c r="G184" s="15"/>
      <c r="K184" s="15"/>
      <c r="L184" s="15"/>
      <c r="M184" s="15"/>
      <c r="O184" s="15"/>
      <c r="Q184" s="15"/>
      <c r="R184" s="6"/>
    </row>
    <row r="185" spans="7:18" hidden="1">
      <c r="G185" s="15"/>
      <c r="K185" s="15"/>
      <c r="L185" s="15"/>
      <c r="M185" s="15"/>
      <c r="O185" s="15"/>
      <c r="Q185" s="15"/>
      <c r="R185" s="6"/>
    </row>
    <row r="186" spans="7:18" hidden="1">
      <c r="G186" s="15"/>
      <c r="K186" s="15"/>
      <c r="L186" s="15"/>
      <c r="M186" s="15"/>
      <c r="O186" s="15"/>
      <c r="Q186" s="15"/>
      <c r="R186" s="6"/>
    </row>
    <row r="187" spans="7:18" hidden="1">
      <c r="G187" s="15"/>
      <c r="K187" s="15"/>
      <c r="L187" s="15"/>
      <c r="M187" s="15"/>
      <c r="O187" s="15"/>
      <c r="Q187" s="15"/>
      <c r="R187" s="6"/>
    </row>
    <row r="188" spans="7:18" hidden="1">
      <c r="G188" s="15"/>
      <c r="K188" s="15"/>
      <c r="L188" s="15"/>
      <c r="M188" s="15"/>
      <c r="O188" s="15"/>
      <c r="Q188" s="15"/>
      <c r="R188" s="6"/>
    </row>
    <row r="189" spans="7:18" hidden="1">
      <c r="G189" s="15"/>
      <c r="K189" s="15"/>
      <c r="L189" s="15"/>
      <c r="M189" s="15"/>
      <c r="O189" s="15"/>
      <c r="Q189" s="15"/>
      <c r="R189" s="6"/>
    </row>
    <row r="190" spans="7:18" hidden="1">
      <c r="G190" s="15"/>
      <c r="K190" s="15"/>
      <c r="L190" s="15"/>
      <c r="M190" s="15"/>
      <c r="O190" s="15"/>
      <c r="Q190" s="15"/>
      <c r="R190" s="6"/>
    </row>
    <row r="191" spans="7:18" hidden="1">
      <c r="G191" s="15"/>
      <c r="K191" s="15"/>
      <c r="L191" s="15"/>
      <c r="M191" s="15"/>
      <c r="O191" s="15"/>
      <c r="Q191" s="15"/>
      <c r="R191" s="6"/>
    </row>
    <row r="192" spans="7:18" hidden="1">
      <c r="G192" s="15"/>
      <c r="K192" s="15"/>
      <c r="L192" s="15"/>
      <c r="M192" s="15"/>
      <c r="O192" s="15"/>
      <c r="Q192" s="15"/>
      <c r="R192" s="6"/>
    </row>
    <row r="193" spans="7:18" hidden="1">
      <c r="G193" s="15"/>
      <c r="K193" s="15"/>
      <c r="L193" s="15"/>
      <c r="M193" s="15"/>
      <c r="O193" s="15"/>
      <c r="Q193" s="15"/>
      <c r="R193" s="6"/>
    </row>
    <row r="194" spans="7:18" hidden="1">
      <c r="G194" s="15"/>
      <c r="K194" s="15"/>
      <c r="L194" s="15"/>
      <c r="M194" s="15"/>
      <c r="O194" s="15"/>
      <c r="Q194" s="15"/>
      <c r="R194" s="6"/>
    </row>
    <row r="195" spans="7:18" hidden="1">
      <c r="G195" s="15"/>
      <c r="K195" s="15"/>
      <c r="L195" s="15"/>
      <c r="M195" s="15"/>
      <c r="O195" s="15"/>
      <c r="Q195" s="15"/>
      <c r="R195" s="6"/>
    </row>
    <row r="196" spans="7:18" hidden="1">
      <c r="G196" s="15"/>
      <c r="K196" s="15"/>
      <c r="L196" s="15"/>
      <c r="M196" s="15"/>
      <c r="O196" s="15"/>
      <c r="Q196" s="15"/>
      <c r="R196" s="6"/>
    </row>
    <row r="197" spans="7:18" hidden="1">
      <c r="G197" s="15"/>
      <c r="K197" s="15"/>
      <c r="L197" s="15"/>
      <c r="M197" s="15"/>
      <c r="O197" s="15"/>
      <c r="Q197" s="15"/>
      <c r="R197" s="6"/>
    </row>
    <row r="198" spans="7:18" hidden="1">
      <c r="G198" s="15"/>
      <c r="K198" s="15"/>
      <c r="L198" s="15"/>
      <c r="M198" s="15"/>
      <c r="O198" s="15"/>
      <c r="Q198" s="15"/>
      <c r="R198" s="6"/>
    </row>
    <row r="199" spans="7:18" hidden="1">
      <c r="G199" s="15"/>
      <c r="K199" s="15"/>
      <c r="L199" s="15"/>
      <c r="M199" s="15"/>
      <c r="O199" s="15"/>
      <c r="Q199" s="15"/>
      <c r="R199" s="6"/>
    </row>
    <row r="200" spans="7:18" hidden="1">
      <c r="G200" s="15"/>
      <c r="K200" s="15"/>
      <c r="L200" s="15"/>
      <c r="M200" s="15"/>
      <c r="O200" s="15"/>
      <c r="Q200" s="15"/>
      <c r="R200" s="6"/>
    </row>
    <row r="201" spans="7:18" hidden="1">
      <c r="G201" s="15"/>
      <c r="K201" s="15"/>
      <c r="L201" s="15"/>
      <c r="M201" s="15"/>
      <c r="O201" s="15"/>
      <c r="Q201" s="15"/>
      <c r="R201" s="6"/>
    </row>
    <row r="202" spans="7:18" hidden="1">
      <c r="G202" s="15"/>
      <c r="K202" s="15"/>
      <c r="L202" s="15"/>
      <c r="M202" s="15"/>
      <c r="O202" s="15"/>
      <c r="Q202" s="15"/>
      <c r="R202" s="6"/>
    </row>
    <row r="203" spans="7:18" hidden="1">
      <c r="G203" s="15"/>
      <c r="K203" s="15"/>
      <c r="L203" s="15"/>
      <c r="M203" s="15"/>
      <c r="O203" s="15"/>
      <c r="Q203" s="15"/>
      <c r="R203" s="6"/>
    </row>
    <row r="204" spans="7:18" hidden="1">
      <c r="G204" s="15"/>
      <c r="K204" s="15"/>
      <c r="L204" s="15"/>
      <c r="M204" s="15"/>
      <c r="O204" s="15"/>
      <c r="Q204" s="15"/>
      <c r="R204" s="6"/>
    </row>
    <row r="205" spans="7:18" hidden="1">
      <c r="G205" s="15"/>
      <c r="K205" s="15"/>
      <c r="L205" s="15"/>
      <c r="M205" s="15"/>
      <c r="O205" s="15"/>
      <c r="Q205" s="15"/>
      <c r="R205" s="6"/>
    </row>
    <row r="206" spans="7:18" hidden="1">
      <c r="G206" s="15"/>
      <c r="K206" s="15"/>
      <c r="L206" s="15"/>
      <c r="M206" s="15"/>
      <c r="O206" s="15"/>
      <c r="Q206" s="15"/>
      <c r="R206" s="6"/>
    </row>
    <row r="207" spans="7:18" hidden="1">
      <c r="G207" s="15"/>
      <c r="K207" s="15"/>
      <c r="L207" s="15"/>
      <c r="M207" s="15"/>
      <c r="O207" s="15"/>
      <c r="Q207" s="15"/>
      <c r="R207" s="6"/>
    </row>
    <row r="208" spans="7:18" hidden="1">
      <c r="G208" s="15"/>
      <c r="K208" s="15"/>
      <c r="L208" s="15"/>
      <c r="M208" s="15"/>
      <c r="O208" s="15"/>
      <c r="Q208" s="15"/>
      <c r="R208" s="6"/>
    </row>
    <row r="209" spans="7:18" hidden="1">
      <c r="G209" s="15"/>
      <c r="K209" s="15"/>
      <c r="L209" s="15"/>
      <c r="M209" s="15"/>
      <c r="O209" s="15"/>
      <c r="Q209" s="15"/>
      <c r="R209" s="6"/>
    </row>
    <row r="210" spans="7:18" hidden="1">
      <c r="G210" s="15"/>
      <c r="K210" s="15"/>
      <c r="L210" s="15"/>
      <c r="M210" s="15"/>
      <c r="O210" s="15"/>
      <c r="Q210" s="15"/>
      <c r="R210" s="6"/>
    </row>
    <row r="211" spans="7:18" hidden="1">
      <c r="G211" s="15"/>
      <c r="K211" s="15"/>
      <c r="L211" s="15"/>
      <c r="M211" s="15"/>
      <c r="O211" s="15"/>
      <c r="Q211" s="15"/>
      <c r="R211" s="6"/>
    </row>
    <row r="212" spans="7:18" hidden="1">
      <c r="G212" s="15"/>
      <c r="K212" s="15"/>
      <c r="L212" s="15"/>
      <c r="M212" s="15"/>
      <c r="O212" s="15"/>
      <c r="Q212" s="15"/>
      <c r="R212" s="6"/>
    </row>
    <row r="213" spans="7:18" hidden="1">
      <c r="G213" s="15"/>
      <c r="K213" s="15"/>
      <c r="L213" s="15"/>
      <c r="M213" s="15"/>
      <c r="O213" s="15"/>
      <c r="Q213" s="15"/>
      <c r="R213" s="6"/>
    </row>
    <row r="214" spans="7:18" hidden="1">
      <c r="G214" s="15"/>
      <c r="K214" s="15"/>
      <c r="L214" s="15"/>
      <c r="M214" s="15"/>
      <c r="O214" s="15"/>
      <c r="Q214" s="15"/>
      <c r="R214" s="6"/>
    </row>
    <row r="215" spans="7:18" hidden="1">
      <c r="G215" s="15"/>
      <c r="K215" s="15"/>
      <c r="L215" s="15"/>
      <c r="M215" s="15"/>
      <c r="O215" s="15"/>
      <c r="Q215" s="15"/>
      <c r="R215" s="6"/>
    </row>
    <row r="216" spans="7:18" hidden="1">
      <c r="G216" s="15"/>
      <c r="K216" s="15"/>
      <c r="L216" s="15"/>
      <c r="M216" s="15"/>
      <c r="O216" s="15"/>
      <c r="Q216" s="15"/>
      <c r="R216" s="6"/>
    </row>
    <row r="217" spans="7:18" hidden="1">
      <c r="G217" s="15"/>
      <c r="K217" s="15"/>
      <c r="L217" s="15"/>
      <c r="M217" s="15"/>
      <c r="O217" s="15"/>
      <c r="Q217" s="15"/>
      <c r="R217" s="6"/>
    </row>
    <row r="218" spans="7:18" hidden="1">
      <c r="G218" s="15"/>
      <c r="K218" s="15"/>
      <c r="L218" s="15"/>
      <c r="M218" s="15"/>
      <c r="O218" s="15"/>
      <c r="Q218" s="15"/>
      <c r="R218" s="6"/>
    </row>
    <row r="219" spans="7:18" hidden="1">
      <c r="G219" s="15"/>
      <c r="K219" s="15"/>
      <c r="L219" s="15"/>
      <c r="M219" s="15"/>
      <c r="O219" s="15"/>
      <c r="Q219" s="15"/>
      <c r="R219" s="6"/>
    </row>
    <row r="220" spans="7:18" hidden="1">
      <c r="G220" s="15"/>
      <c r="K220" s="15"/>
      <c r="L220" s="15"/>
      <c r="M220" s="15"/>
      <c r="O220" s="15"/>
      <c r="Q220" s="15"/>
      <c r="R220" s="6"/>
    </row>
    <row r="221" spans="7:18" hidden="1">
      <c r="G221" s="15"/>
      <c r="K221" s="15"/>
      <c r="L221" s="15"/>
      <c r="M221" s="15"/>
      <c r="O221" s="15"/>
      <c r="Q221" s="15"/>
      <c r="R221" s="6"/>
    </row>
    <row r="222" spans="7:18" hidden="1">
      <c r="G222" s="15"/>
      <c r="K222" s="15"/>
      <c r="L222" s="15"/>
      <c r="M222" s="15"/>
      <c r="O222" s="15"/>
      <c r="Q222" s="15"/>
      <c r="R222" s="6"/>
    </row>
    <row r="223" spans="7:18" hidden="1">
      <c r="G223" s="15"/>
      <c r="K223" s="15"/>
      <c r="L223" s="15"/>
      <c r="M223" s="15"/>
      <c r="O223" s="15"/>
      <c r="Q223" s="15"/>
      <c r="R223" s="6"/>
    </row>
    <row r="224" spans="7:18" hidden="1">
      <c r="G224" s="15"/>
      <c r="K224" s="15"/>
      <c r="L224" s="15"/>
      <c r="M224" s="15"/>
      <c r="O224" s="15"/>
      <c r="Q224" s="15"/>
      <c r="R224" s="6"/>
    </row>
    <row r="225" spans="7:18" hidden="1">
      <c r="G225" s="15"/>
      <c r="K225" s="15"/>
      <c r="L225" s="15"/>
      <c r="M225" s="15"/>
      <c r="O225" s="15"/>
      <c r="Q225" s="15"/>
      <c r="R225" s="6"/>
    </row>
    <row r="226" spans="7:18" hidden="1">
      <c r="G226" s="15"/>
      <c r="K226" s="15"/>
      <c r="L226" s="15"/>
      <c r="M226" s="15"/>
      <c r="O226" s="15"/>
      <c r="Q226" s="15"/>
      <c r="R226" s="6"/>
    </row>
    <row r="227" spans="7:18" hidden="1">
      <c r="G227" s="15"/>
      <c r="K227" s="15"/>
      <c r="L227" s="15"/>
      <c r="M227" s="15"/>
      <c r="O227" s="15"/>
      <c r="Q227" s="15"/>
      <c r="R227" s="6"/>
    </row>
    <row r="228" spans="7:18" hidden="1">
      <c r="G228" s="15"/>
      <c r="K228" s="15"/>
      <c r="L228" s="15"/>
      <c r="M228" s="15"/>
      <c r="O228" s="15"/>
      <c r="Q228" s="15"/>
      <c r="R228" s="6"/>
    </row>
    <row r="229" spans="7:18" hidden="1">
      <c r="G229" s="15"/>
      <c r="K229" s="15"/>
      <c r="L229" s="15"/>
      <c r="M229" s="15"/>
      <c r="O229" s="15"/>
      <c r="Q229" s="15"/>
      <c r="R229" s="6"/>
    </row>
    <row r="230" spans="7:18" hidden="1">
      <c r="G230" s="15"/>
      <c r="K230" s="15"/>
      <c r="L230" s="15"/>
      <c r="M230" s="15"/>
      <c r="O230" s="15"/>
      <c r="Q230" s="15"/>
      <c r="R230" s="6"/>
    </row>
    <row r="231" spans="7:18" hidden="1">
      <c r="G231" s="15"/>
      <c r="K231" s="15"/>
      <c r="L231" s="15"/>
      <c r="M231" s="15"/>
      <c r="O231" s="15"/>
      <c r="Q231" s="15"/>
      <c r="R231" s="6"/>
    </row>
    <row r="232" spans="7:18" hidden="1">
      <c r="G232" s="15"/>
      <c r="K232" s="15"/>
      <c r="L232" s="15"/>
      <c r="M232" s="15"/>
      <c r="O232" s="15"/>
      <c r="Q232" s="15"/>
      <c r="R232" s="6"/>
    </row>
    <row r="233" spans="7:18" hidden="1">
      <c r="G233" s="15"/>
      <c r="K233" s="15"/>
      <c r="L233" s="15"/>
      <c r="M233" s="15"/>
      <c r="O233" s="15"/>
      <c r="Q233" s="15"/>
      <c r="R233" s="6"/>
    </row>
    <row r="234" spans="7:18" hidden="1">
      <c r="G234" s="15"/>
      <c r="K234" s="15"/>
      <c r="L234" s="15"/>
      <c r="M234" s="15"/>
      <c r="O234" s="15"/>
      <c r="Q234" s="15"/>
      <c r="R234" s="6"/>
    </row>
    <row r="235" spans="7:18" hidden="1">
      <c r="G235" s="15"/>
      <c r="K235" s="15"/>
      <c r="L235" s="15"/>
      <c r="M235" s="15"/>
      <c r="O235" s="15"/>
      <c r="Q235" s="15"/>
      <c r="R235" s="6"/>
    </row>
    <row r="236" spans="7:18" hidden="1">
      <c r="G236" s="15"/>
      <c r="K236" s="15"/>
      <c r="L236" s="15"/>
      <c r="M236" s="15"/>
      <c r="O236" s="15"/>
      <c r="Q236" s="15"/>
      <c r="R236" s="6"/>
    </row>
    <row r="237" spans="7:18" hidden="1">
      <c r="G237" s="15"/>
      <c r="K237" s="15"/>
      <c r="L237" s="15"/>
      <c r="M237" s="15"/>
      <c r="O237" s="15"/>
      <c r="Q237" s="15"/>
      <c r="R237" s="6"/>
    </row>
    <row r="238" spans="7:18" hidden="1">
      <c r="G238" s="15"/>
      <c r="K238" s="15"/>
      <c r="L238" s="15"/>
      <c r="M238" s="15"/>
      <c r="O238" s="15"/>
      <c r="Q238" s="15"/>
      <c r="R238" s="6"/>
    </row>
    <row r="239" spans="7:18" hidden="1">
      <c r="G239" s="15"/>
      <c r="K239" s="15"/>
      <c r="L239" s="15"/>
      <c r="M239" s="15"/>
      <c r="O239" s="15"/>
      <c r="Q239" s="15"/>
      <c r="R239" s="6"/>
    </row>
    <row r="240" spans="7:18" hidden="1">
      <c r="G240" s="15"/>
      <c r="K240" s="15"/>
      <c r="L240" s="15"/>
      <c r="M240" s="15"/>
      <c r="O240" s="15"/>
      <c r="Q240" s="15"/>
      <c r="R240" s="6"/>
    </row>
    <row r="241" spans="7:18" hidden="1">
      <c r="G241" s="15"/>
      <c r="K241" s="15"/>
      <c r="L241" s="15"/>
      <c r="M241" s="15"/>
      <c r="O241" s="15"/>
      <c r="Q241" s="15"/>
      <c r="R241" s="6"/>
    </row>
    <row r="242" spans="7:18" hidden="1">
      <c r="G242" s="15"/>
      <c r="K242" s="15"/>
      <c r="L242" s="15"/>
      <c r="M242" s="15"/>
      <c r="O242" s="15"/>
      <c r="Q242" s="15"/>
      <c r="R242" s="6"/>
    </row>
    <row r="243" spans="7:18" hidden="1">
      <c r="G243" s="15"/>
      <c r="K243" s="15"/>
      <c r="L243" s="15"/>
      <c r="M243" s="15"/>
      <c r="O243" s="15"/>
      <c r="Q243" s="15"/>
      <c r="R243" s="6"/>
    </row>
    <row r="244" spans="7:18" hidden="1">
      <c r="G244" s="15"/>
      <c r="K244" s="15"/>
      <c r="L244" s="15"/>
      <c r="M244" s="15"/>
      <c r="O244" s="15"/>
      <c r="Q244" s="15"/>
      <c r="R244" s="6"/>
    </row>
    <row r="245" spans="7:18" hidden="1">
      <c r="G245" s="15"/>
      <c r="K245" s="15"/>
      <c r="L245" s="15"/>
      <c r="M245" s="15"/>
      <c r="O245" s="15"/>
      <c r="Q245" s="15"/>
      <c r="R245" s="6"/>
    </row>
    <row r="246" spans="7:18" hidden="1">
      <c r="G246" s="15"/>
      <c r="K246" s="15"/>
      <c r="L246" s="15"/>
      <c r="M246" s="15"/>
      <c r="O246" s="15"/>
      <c r="Q246" s="15"/>
      <c r="R246" s="6"/>
    </row>
    <row r="247" spans="7:18" hidden="1">
      <c r="G247" s="15"/>
      <c r="K247" s="15"/>
      <c r="L247" s="15"/>
      <c r="M247" s="15"/>
      <c r="O247" s="15"/>
      <c r="Q247" s="15"/>
      <c r="R247" s="6"/>
    </row>
    <row r="248" spans="7:18" hidden="1">
      <c r="G248" s="15"/>
      <c r="K248" s="15"/>
      <c r="L248" s="15"/>
      <c r="M248" s="15"/>
      <c r="O248" s="15"/>
      <c r="Q248" s="15"/>
      <c r="R248" s="6"/>
    </row>
    <row r="249" spans="7:18" hidden="1">
      <c r="G249" s="15"/>
      <c r="K249" s="15"/>
      <c r="L249" s="15"/>
      <c r="M249" s="15"/>
      <c r="O249" s="15"/>
      <c r="Q249" s="15"/>
      <c r="R249" s="6"/>
    </row>
    <row r="250" spans="7:18" hidden="1">
      <c r="G250" s="15"/>
      <c r="K250" s="15"/>
      <c r="L250" s="15"/>
      <c r="M250" s="15"/>
      <c r="O250" s="15"/>
      <c r="Q250" s="15"/>
      <c r="R250" s="6"/>
    </row>
    <row r="251" spans="7:18" hidden="1">
      <c r="G251" s="15"/>
      <c r="K251" s="15"/>
      <c r="L251" s="15"/>
      <c r="M251" s="15"/>
      <c r="O251" s="15"/>
      <c r="Q251" s="15"/>
      <c r="R251" s="6"/>
    </row>
    <row r="252" spans="7:18" hidden="1">
      <c r="G252" s="15"/>
      <c r="K252" s="15"/>
      <c r="L252" s="15"/>
      <c r="M252" s="15"/>
      <c r="O252" s="15"/>
      <c r="Q252" s="15"/>
      <c r="R252" s="6"/>
    </row>
    <row r="253" spans="7:18" hidden="1">
      <c r="G253" s="15"/>
      <c r="K253" s="15"/>
      <c r="L253" s="15"/>
      <c r="M253" s="15"/>
      <c r="O253" s="15"/>
      <c r="Q253" s="15"/>
      <c r="R253" s="6"/>
    </row>
    <row r="254" spans="7:18" hidden="1">
      <c r="G254" s="15"/>
      <c r="K254" s="15"/>
      <c r="L254" s="15"/>
      <c r="M254" s="15"/>
      <c r="O254" s="15"/>
      <c r="Q254" s="15"/>
      <c r="R254" s="6"/>
    </row>
    <row r="255" spans="7:18" hidden="1">
      <c r="G255" s="15"/>
      <c r="K255" s="15"/>
      <c r="L255" s="15"/>
      <c r="M255" s="15"/>
      <c r="O255" s="15"/>
      <c r="Q255" s="15"/>
      <c r="R255" s="6"/>
    </row>
    <row r="256" spans="7:18" hidden="1">
      <c r="G256" s="15"/>
      <c r="K256" s="15"/>
      <c r="L256" s="15"/>
      <c r="M256" s="15"/>
      <c r="O256" s="15"/>
      <c r="Q256" s="15"/>
      <c r="R256" s="6"/>
    </row>
    <row r="257" spans="7:18" hidden="1">
      <c r="G257" s="15"/>
      <c r="K257" s="15"/>
      <c r="L257" s="15"/>
      <c r="M257" s="15"/>
      <c r="O257" s="15"/>
      <c r="Q257" s="15"/>
      <c r="R257" s="6"/>
    </row>
    <row r="258" spans="7:18" hidden="1">
      <c r="G258" s="15"/>
      <c r="K258" s="15"/>
      <c r="L258" s="15"/>
      <c r="M258" s="15"/>
      <c r="O258" s="15"/>
      <c r="Q258" s="15"/>
      <c r="R258" s="6"/>
    </row>
    <row r="259" spans="7:18" hidden="1">
      <c r="G259" s="15"/>
      <c r="K259" s="15"/>
      <c r="L259" s="15"/>
      <c r="M259" s="15"/>
      <c r="O259" s="15"/>
      <c r="Q259" s="15"/>
      <c r="R259" s="6"/>
    </row>
    <row r="260" spans="7:18" hidden="1">
      <c r="G260" s="15"/>
      <c r="K260" s="15"/>
      <c r="L260" s="15"/>
      <c r="M260" s="15"/>
      <c r="O260" s="15"/>
      <c r="Q260" s="15"/>
      <c r="R260" s="6"/>
    </row>
    <row r="261" spans="7:18" hidden="1">
      <c r="G261" s="15"/>
      <c r="K261" s="15"/>
      <c r="L261" s="15"/>
      <c r="M261" s="15"/>
      <c r="O261" s="15"/>
      <c r="Q261" s="15"/>
      <c r="R261" s="6"/>
    </row>
    <row r="262" spans="7:18" hidden="1">
      <c r="G262" s="15"/>
      <c r="K262" s="15"/>
      <c r="L262" s="15"/>
      <c r="M262" s="15"/>
      <c r="O262" s="15"/>
      <c r="Q262" s="15"/>
      <c r="R262" s="6"/>
    </row>
    <row r="263" spans="7:18" hidden="1">
      <c r="G263" s="15"/>
      <c r="K263" s="15"/>
      <c r="L263" s="15"/>
      <c r="M263" s="15"/>
      <c r="O263" s="15"/>
      <c r="Q263" s="15"/>
      <c r="R263" s="6"/>
    </row>
    <row r="264" spans="7:18" hidden="1">
      <c r="G264" s="15"/>
      <c r="K264" s="15"/>
      <c r="L264" s="15"/>
      <c r="M264" s="15"/>
      <c r="O264" s="15"/>
      <c r="Q264" s="15"/>
      <c r="R264" s="6"/>
    </row>
    <row r="265" spans="7:18" hidden="1">
      <c r="G265" s="15"/>
      <c r="K265" s="15"/>
      <c r="L265" s="15"/>
      <c r="M265" s="15"/>
      <c r="O265" s="15"/>
      <c r="Q265" s="15"/>
      <c r="R265" s="6"/>
    </row>
    <row r="266" spans="7:18" hidden="1">
      <c r="G266" s="15"/>
      <c r="K266" s="15"/>
      <c r="L266" s="15"/>
      <c r="M266" s="15"/>
      <c r="O266" s="15"/>
      <c r="Q266" s="15"/>
      <c r="R266" s="6"/>
    </row>
    <row r="267" spans="7:18" hidden="1">
      <c r="G267" s="15"/>
      <c r="K267" s="15"/>
      <c r="L267" s="15"/>
      <c r="M267" s="15"/>
      <c r="O267" s="15"/>
      <c r="Q267" s="15"/>
      <c r="R267" s="6"/>
    </row>
    <row r="268" spans="7:18" hidden="1">
      <c r="G268" s="15"/>
      <c r="K268" s="15"/>
      <c r="L268" s="15"/>
      <c r="M268" s="15"/>
      <c r="O268" s="15"/>
      <c r="Q268" s="15"/>
      <c r="R268" s="6"/>
    </row>
    <row r="269" spans="7:18" hidden="1">
      <c r="G269" s="15"/>
      <c r="K269" s="15"/>
      <c r="L269" s="15"/>
      <c r="M269" s="15"/>
      <c r="O269" s="15"/>
      <c r="Q269" s="15"/>
      <c r="R269" s="6"/>
    </row>
    <row r="270" spans="7:18" hidden="1">
      <c r="G270" s="15"/>
      <c r="K270" s="15"/>
      <c r="L270" s="15"/>
      <c r="M270" s="15"/>
      <c r="O270" s="15"/>
      <c r="Q270" s="15"/>
      <c r="R270" s="6"/>
    </row>
    <row r="271" spans="7:18" hidden="1">
      <c r="G271" s="15"/>
      <c r="K271" s="15"/>
      <c r="L271" s="15"/>
      <c r="M271" s="15"/>
      <c r="O271" s="15"/>
      <c r="Q271" s="15"/>
      <c r="R271" s="6"/>
    </row>
    <row r="272" spans="7:18" hidden="1">
      <c r="G272" s="15"/>
      <c r="K272" s="15"/>
      <c r="L272" s="15"/>
      <c r="M272" s="15"/>
      <c r="O272" s="15"/>
      <c r="Q272" s="15"/>
      <c r="R272" s="6"/>
    </row>
    <row r="273" spans="7:18" hidden="1">
      <c r="G273" s="15"/>
      <c r="K273" s="15"/>
      <c r="L273" s="15"/>
      <c r="M273" s="15"/>
      <c r="O273" s="15"/>
      <c r="Q273" s="15"/>
      <c r="R273" s="6"/>
    </row>
    <row r="274" spans="7:18" hidden="1">
      <c r="G274" s="15"/>
      <c r="K274" s="15"/>
      <c r="L274" s="15"/>
      <c r="M274" s="15"/>
      <c r="O274" s="15"/>
      <c r="Q274" s="15"/>
      <c r="R274" s="6"/>
    </row>
    <row r="275" spans="7:18" hidden="1">
      <c r="G275" s="15"/>
      <c r="K275" s="15"/>
      <c r="L275" s="15"/>
      <c r="M275" s="15"/>
      <c r="O275" s="15"/>
      <c r="Q275" s="15"/>
      <c r="R275" s="6"/>
    </row>
    <row r="276" spans="7:18" hidden="1">
      <c r="G276" s="15"/>
      <c r="K276" s="15"/>
      <c r="L276" s="15"/>
      <c r="M276" s="15"/>
      <c r="O276" s="15"/>
      <c r="Q276" s="15"/>
      <c r="R276" s="6"/>
    </row>
    <row r="277" spans="7:18" hidden="1">
      <c r="G277" s="15"/>
      <c r="K277" s="15"/>
      <c r="L277" s="15"/>
      <c r="M277" s="15"/>
      <c r="O277" s="15"/>
      <c r="Q277" s="15"/>
      <c r="R277" s="6"/>
    </row>
    <row r="278" spans="7:18" hidden="1">
      <c r="G278" s="15"/>
      <c r="K278" s="15"/>
      <c r="L278" s="15"/>
      <c r="M278" s="15"/>
      <c r="O278" s="15"/>
      <c r="Q278" s="15"/>
      <c r="R278" s="6"/>
    </row>
    <row r="279" spans="7:18" hidden="1">
      <c r="G279" s="15"/>
      <c r="K279" s="15"/>
      <c r="L279" s="15"/>
      <c r="M279" s="15"/>
      <c r="O279" s="15"/>
      <c r="Q279" s="15"/>
      <c r="R279" s="6"/>
    </row>
    <row r="280" spans="7:18" hidden="1">
      <c r="G280" s="15"/>
      <c r="K280" s="15"/>
      <c r="L280" s="15"/>
      <c r="M280" s="15"/>
      <c r="O280" s="15"/>
      <c r="Q280" s="15"/>
      <c r="R280" s="6"/>
    </row>
    <row r="281" spans="7:18" hidden="1">
      <c r="G281" s="15"/>
      <c r="K281" s="15"/>
      <c r="L281" s="15"/>
      <c r="M281" s="15"/>
      <c r="O281" s="15"/>
      <c r="Q281" s="15"/>
      <c r="R281" s="6"/>
    </row>
    <row r="282" spans="7:18" hidden="1">
      <c r="G282" s="15"/>
      <c r="K282" s="15"/>
      <c r="L282" s="15"/>
      <c r="M282" s="15"/>
      <c r="O282" s="15"/>
      <c r="Q282" s="15"/>
      <c r="R282" s="6"/>
    </row>
    <row r="283" spans="7:18" hidden="1">
      <c r="G283" s="15"/>
      <c r="K283" s="15"/>
      <c r="L283" s="15"/>
      <c r="M283" s="15"/>
      <c r="O283" s="15"/>
      <c r="Q283" s="15"/>
      <c r="R283" s="6"/>
    </row>
    <row r="284" spans="7:18" hidden="1">
      <c r="G284" s="15"/>
      <c r="K284" s="15"/>
      <c r="L284" s="15"/>
      <c r="M284" s="15"/>
      <c r="O284" s="15"/>
      <c r="Q284" s="15"/>
      <c r="R284" s="6"/>
    </row>
    <row r="285" spans="7:18" hidden="1">
      <c r="G285" s="15"/>
      <c r="K285" s="15"/>
      <c r="L285" s="15"/>
      <c r="M285" s="15"/>
      <c r="O285" s="15"/>
      <c r="Q285" s="15"/>
      <c r="R285" s="6"/>
    </row>
    <row r="286" spans="7:18" hidden="1">
      <c r="G286" s="15"/>
      <c r="K286" s="15"/>
      <c r="L286" s="15"/>
      <c r="M286" s="15"/>
      <c r="O286" s="15"/>
      <c r="Q286" s="15"/>
      <c r="R286" s="6"/>
    </row>
    <row r="287" spans="7:18" hidden="1">
      <c r="G287" s="15"/>
      <c r="K287" s="15"/>
      <c r="L287" s="15"/>
      <c r="M287" s="15"/>
      <c r="O287" s="15"/>
      <c r="Q287" s="15"/>
      <c r="R287" s="6"/>
    </row>
    <row r="288" spans="7:18" hidden="1">
      <c r="G288" s="15"/>
      <c r="K288" s="15"/>
      <c r="L288" s="15"/>
      <c r="M288" s="15"/>
      <c r="O288" s="15"/>
      <c r="Q288" s="15"/>
      <c r="R288" s="6"/>
    </row>
    <row r="289" spans="7:18" hidden="1">
      <c r="G289" s="15"/>
      <c r="K289" s="15"/>
      <c r="L289" s="15"/>
      <c r="M289" s="15"/>
      <c r="O289" s="15"/>
      <c r="Q289" s="15"/>
      <c r="R289" s="6"/>
    </row>
    <row r="290" spans="7:18" hidden="1">
      <c r="G290" s="15"/>
      <c r="K290" s="15"/>
      <c r="L290" s="15"/>
      <c r="M290" s="15"/>
      <c r="O290" s="15"/>
      <c r="Q290" s="15"/>
      <c r="R290" s="6"/>
    </row>
    <row r="291" spans="7:18" hidden="1">
      <c r="G291" s="15"/>
      <c r="K291" s="15"/>
      <c r="L291" s="15"/>
      <c r="M291" s="15"/>
      <c r="O291" s="15"/>
      <c r="Q291" s="15"/>
      <c r="R291" s="6"/>
    </row>
    <row r="292" spans="7:18" hidden="1">
      <c r="G292" s="15"/>
      <c r="K292" s="15"/>
      <c r="L292" s="15"/>
      <c r="M292" s="15"/>
      <c r="O292" s="15"/>
      <c r="Q292" s="15"/>
      <c r="R29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3:J38"/>
  <sheetViews>
    <sheetView zoomScale="85" zoomScaleNormal="85" workbookViewId="0">
      <selection activeCell="F15" sqref="F15"/>
    </sheetView>
  </sheetViews>
  <sheetFormatPr defaultRowHeight="14.25"/>
  <cols>
    <col min="1" max="1" width="17.125" bestFit="1" customWidth="1"/>
    <col min="2" max="2" width="12.125" customWidth="1"/>
    <col min="3" max="3" width="12.625" customWidth="1"/>
    <col min="4" max="4" width="11.75" customWidth="1"/>
    <col min="5" max="5" width="17.5" customWidth="1"/>
    <col min="6" max="6" width="17.875" customWidth="1"/>
    <col min="7" max="7" width="11.875" customWidth="1"/>
    <col min="8" max="8" width="12.625" customWidth="1"/>
    <col min="9" max="9" width="10.875" customWidth="1"/>
    <col min="10" max="10" width="13" customWidth="1"/>
    <col min="11" max="11" width="13.625" customWidth="1"/>
    <col min="12" max="12" width="12.625" customWidth="1"/>
    <col min="13" max="13" width="7.75" customWidth="1"/>
    <col min="14" max="14" width="7.125" customWidth="1"/>
    <col min="15" max="15" width="5.125" customWidth="1"/>
    <col min="16" max="16" width="6.25" customWidth="1"/>
    <col min="17" max="17" width="9" customWidth="1"/>
    <col min="18" max="18" width="6.75" customWidth="1"/>
    <col min="19" max="19" width="8.125" customWidth="1"/>
    <col min="20" max="20" width="7" customWidth="1"/>
    <col min="21" max="21" width="7.125" customWidth="1"/>
    <col min="22" max="22" width="11.75" customWidth="1"/>
    <col min="23" max="23" width="7.75" customWidth="1"/>
    <col min="24" max="24" width="7.125" customWidth="1"/>
    <col min="25" max="25" width="5.125" customWidth="1"/>
    <col min="26" max="26" width="6.25" customWidth="1"/>
    <col min="28" max="28" width="5.25" customWidth="1"/>
    <col min="29" max="29" width="8.125" customWidth="1"/>
    <col min="30" max="30" width="7" customWidth="1"/>
    <col min="31" max="31" width="7.125" customWidth="1"/>
    <col min="32" max="32" width="17.5" bestFit="1" customWidth="1"/>
    <col min="33" max="33" width="7.75" customWidth="1"/>
    <col min="34" max="34" width="7.125" customWidth="1"/>
    <col min="35" max="35" width="5.125" customWidth="1"/>
    <col min="36" max="36" width="6.25" customWidth="1"/>
    <col min="38" max="38" width="5.25" customWidth="1"/>
    <col min="39" max="39" width="8.125" customWidth="1"/>
    <col min="40" max="40" width="7" customWidth="1"/>
    <col min="41" max="41" width="7.125" customWidth="1"/>
    <col min="42" max="42" width="17.875" bestFit="1" customWidth="1"/>
    <col min="43" max="43" width="7.75" customWidth="1"/>
    <col min="44" max="44" width="7.125" customWidth="1"/>
    <col min="45" max="45" width="5.125" customWidth="1"/>
    <col min="46" max="46" width="6.25" customWidth="1"/>
    <col min="48" max="48" width="5.25" customWidth="1"/>
    <col min="49" max="49" width="8.125" customWidth="1"/>
    <col min="50" max="50" width="7" customWidth="1"/>
    <col min="51" max="51" width="7.125" customWidth="1"/>
    <col min="52" max="52" width="11.875" bestFit="1" customWidth="1"/>
    <col min="53" max="53" width="7.75" customWidth="1"/>
    <col min="54" max="54" width="7.125" customWidth="1"/>
    <col min="55" max="55" width="5.125" customWidth="1"/>
    <col min="56" max="56" width="6.25" customWidth="1"/>
    <col min="58" max="58" width="5.5" customWidth="1"/>
    <col min="59" max="59" width="8.125" customWidth="1"/>
    <col min="60" max="60" width="7" customWidth="1"/>
    <col min="61" max="61" width="7.125" customWidth="1"/>
    <col min="62" max="62" width="12.625" bestFit="1" customWidth="1"/>
    <col min="63" max="63" width="7.75" customWidth="1"/>
    <col min="64" max="64" width="7.125" customWidth="1"/>
    <col min="65" max="65" width="5.125" customWidth="1"/>
    <col min="66" max="66" width="6.25" customWidth="1"/>
    <col min="68" max="68" width="5.5" customWidth="1"/>
    <col min="69" max="69" width="8.125" customWidth="1"/>
    <col min="70" max="70" width="7" customWidth="1"/>
    <col min="71" max="71" width="7.125" customWidth="1"/>
    <col min="72" max="72" width="10.875" bestFit="1" customWidth="1"/>
    <col min="73" max="73" width="7.75" customWidth="1"/>
    <col min="74" max="74" width="7.125" customWidth="1"/>
    <col min="75" max="75" width="5.125" customWidth="1"/>
    <col min="76" max="76" width="6.25" customWidth="1"/>
    <col min="78" max="78" width="5.25" customWidth="1"/>
    <col min="79" max="79" width="8.125" customWidth="1"/>
    <col min="80" max="80" width="7" customWidth="1"/>
    <col min="81" max="81" width="7.125" customWidth="1"/>
    <col min="82" max="82" width="13" bestFit="1" customWidth="1"/>
    <col min="83" max="83" width="7.75" customWidth="1"/>
    <col min="84" max="84" width="7.125" customWidth="1"/>
    <col min="85" max="85" width="5.125" customWidth="1"/>
    <col min="86" max="86" width="6.25" customWidth="1"/>
    <col min="88" max="88" width="5.25" customWidth="1"/>
    <col min="89" max="89" width="8.125" customWidth="1"/>
    <col min="90" max="90" width="7" customWidth="1"/>
    <col min="91" max="91" width="7.125" customWidth="1"/>
    <col min="92" max="92" width="13.625" bestFit="1" customWidth="1"/>
    <col min="93" max="93" width="7.75" customWidth="1"/>
    <col min="94" max="94" width="7.125" customWidth="1"/>
    <col min="95" max="95" width="5.125" customWidth="1"/>
    <col min="96" max="96" width="6.25" customWidth="1"/>
    <col min="98" max="98" width="5.25" customWidth="1"/>
    <col min="99" max="99" width="8.125" customWidth="1"/>
    <col min="100" max="100" width="7" customWidth="1"/>
    <col min="101" max="101" width="7.125" customWidth="1"/>
    <col min="102" max="102" width="19.375" bestFit="1" customWidth="1"/>
    <col min="103" max="103" width="19.875" bestFit="1" customWidth="1"/>
    <col min="104" max="104" width="19" bestFit="1" customWidth="1"/>
    <col min="105" max="105" width="24.75" bestFit="1" customWidth="1"/>
    <col min="106" max="106" width="25.125" bestFit="1" customWidth="1"/>
    <col min="107" max="107" width="19.125" bestFit="1" customWidth="1"/>
    <col min="108" max="108" width="19.875" bestFit="1" customWidth="1"/>
    <col min="109" max="109" width="18.125" bestFit="1" customWidth="1"/>
    <col min="110" max="110" width="20.25" bestFit="1" customWidth="1"/>
    <col min="111" max="111" width="20.875" bestFit="1" customWidth="1"/>
  </cols>
  <sheetData>
    <row r="3" spans="1:10">
      <c r="B3" s="11" t="s">
        <v>68</v>
      </c>
    </row>
    <row r="4" spans="1:10">
      <c r="A4" s="11" t="s">
        <v>64</v>
      </c>
      <c r="B4" t="s">
        <v>347</v>
      </c>
      <c r="C4" t="s">
        <v>348</v>
      </c>
      <c r="D4" t="s">
        <v>349</v>
      </c>
      <c r="E4" t="s">
        <v>350</v>
      </c>
      <c r="F4" t="s">
        <v>351</v>
      </c>
      <c r="G4" t="s">
        <v>352</v>
      </c>
      <c r="H4" t="s">
        <v>353</v>
      </c>
      <c r="I4" t="s">
        <v>354</v>
      </c>
      <c r="J4" t="s">
        <v>355</v>
      </c>
    </row>
    <row r="5" spans="1:10">
      <c r="A5" s="12" t="s">
        <v>186</v>
      </c>
      <c r="B5" s="15">
        <v>1.17</v>
      </c>
      <c r="C5" s="15">
        <v>0.19</v>
      </c>
      <c r="D5" s="43">
        <v>12</v>
      </c>
      <c r="E5" s="15">
        <v>0.85</v>
      </c>
      <c r="F5" s="15">
        <v>0.06</v>
      </c>
      <c r="G5" s="15">
        <v>7.0000000000000007E-2</v>
      </c>
      <c r="H5" s="15">
        <v>0.22</v>
      </c>
      <c r="I5" s="43">
        <v>124</v>
      </c>
      <c r="J5" s="15">
        <v>7.0000000000000007E-2</v>
      </c>
    </row>
    <row r="6" spans="1:10">
      <c r="A6" s="12" t="s">
        <v>343</v>
      </c>
      <c r="B6" s="15">
        <v>0.61</v>
      </c>
      <c r="C6" s="15">
        <v>0.60000000000000009</v>
      </c>
      <c r="D6" s="43">
        <v>56</v>
      </c>
      <c r="E6" s="15">
        <v>7.0000000000000007E-2</v>
      </c>
      <c r="F6" s="15">
        <v>0.06</v>
      </c>
      <c r="G6" s="15">
        <v>0.2</v>
      </c>
      <c r="H6" s="15">
        <v>0.06</v>
      </c>
      <c r="I6" s="43">
        <v>109</v>
      </c>
      <c r="J6" s="15">
        <v>0.24000000000000002</v>
      </c>
    </row>
    <row r="7" spans="1:10">
      <c r="A7" s="12" t="s">
        <v>144</v>
      </c>
      <c r="B7" s="15">
        <v>0.57999999999999996</v>
      </c>
      <c r="C7" s="15">
        <v>0.55000000000000004</v>
      </c>
      <c r="D7" s="43">
        <v>51</v>
      </c>
      <c r="E7" s="15">
        <v>0.22</v>
      </c>
      <c r="F7" s="15">
        <v>0.03</v>
      </c>
      <c r="G7" s="15">
        <v>0.1</v>
      </c>
      <c r="H7" s="15">
        <v>0.35000000000000003</v>
      </c>
      <c r="I7" s="43">
        <v>69</v>
      </c>
      <c r="J7" s="15">
        <v>0.13</v>
      </c>
    </row>
    <row r="8" spans="1:10">
      <c r="A8" s="12" t="s">
        <v>345</v>
      </c>
      <c r="B8" s="15">
        <v>1.06</v>
      </c>
      <c r="C8" s="15">
        <v>0.18000000000000002</v>
      </c>
      <c r="D8" s="43">
        <v>39</v>
      </c>
      <c r="E8" s="15">
        <v>0.11</v>
      </c>
      <c r="F8" s="15">
        <v>0.11000000000000001</v>
      </c>
      <c r="G8" s="15">
        <v>0.13</v>
      </c>
      <c r="H8" s="15">
        <v>0.15</v>
      </c>
      <c r="I8" s="43">
        <v>132</v>
      </c>
      <c r="J8" s="15">
        <v>0.18</v>
      </c>
    </row>
    <row r="9" spans="1:10">
      <c r="A9" s="12" t="s">
        <v>346</v>
      </c>
      <c r="B9" s="15">
        <v>1.06</v>
      </c>
      <c r="C9" s="15">
        <v>0.11</v>
      </c>
      <c r="D9" s="43">
        <v>12</v>
      </c>
      <c r="E9" s="15">
        <v>0.1</v>
      </c>
      <c r="F9" s="15">
        <v>0.05</v>
      </c>
      <c r="G9" s="15">
        <v>0.11</v>
      </c>
      <c r="H9" s="15">
        <v>0.43000000000000005</v>
      </c>
      <c r="I9" s="43">
        <v>64</v>
      </c>
      <c r="J9" s="15">
        <v>0.21000000000000002</v>
      </c>
    </row>
    <row r="10" spans="1:10">
      <c r="A10" s="12" t="s">
        <v>335</v>
      </c>
      <c r="B10" s="15">
        <v>0.22</v>
      </c>
      <c r="C10" s="15">
        <v>0.03</v>
      </c>
      <c r="D10" s="43">
        <v>42</v>
      </c>
      <c r="E10" s="15">
        <v>0.22999999999999998</v>
      </c>
      <c r="F10" s="15">
        <v>0.03</v>
      </c>
      <c r="G10" s="15">
        <v>0.69</v>
      </c>
      <c r="H10" s="15">
        <v>0.34</v>
      </c>
      <c r="I10" s="43">
        <v>72</v>
      </c>
      <c r="J10" s="15">
        <v>0.03</v>
      </c>
    </row>
    <row r="11" spans="1:10">
      <c r="A11" s="12" t="s">
        <v>344</v>
      </c>
      <c r="B11" s="15">
        <v>0.05</v>
      </c>
      <c r="C11" s="15">
        <v>0.16999999999999998</v>
      </c>
      <c r="D11" s="43">
        <v>7</v>
      </c>
      <c r="E11" s="15">
        <v>0.13</v>
      </c>
      <c r="F11" s="15">
        <v>0.13</v>
      </c>
      <c r="G11" s="15">
        <v>1.0899999999999999</v>
      </c>
      <c r="H11" s="15">
        <v>0.25</v>
      </c>
      <c r="I11" s="43">
        <v>104</v>
      </c>
      <c r="J11" s="15">
        <v>0.1</v>
      </c>
    </row>
    <row r="12" spans="1:10">
      <c r="A12" s="12" t="s">
        <v>134</v>
      </c>
      <c r="B12" s="15">
        <v>0.82</v>
      </c>
      <c r="C12" s="15">
        <v>0.19999999999999998</v>
      </c>
      <c r="D12" s="43">
        <v>3</v>
      </c>
      <c r="E12" s="15">
        <v>0.08</v>
      </c>
      <c r="F12" s="15">
        <v>0.1</v>
      </c>
      <c r="G12" s="15">
        <v>0.27999999999999997</v>
      </c>
      <c r="H12" s="15">
        <v>0.32</v>
      </c>
      <c r="I12" s="43">
        <v>93</v>
      </c>
      <c r="J12" s="15">
        <v>7.0000000000000007E-2</v>
      </c>
    </row>
    <row r="13" spans="1:10">
      <c r="A13" s="12" t="s">
        <v>150</v>
      </c>
      <c r="B13" s="15">
        <v>1.1600000000000001</v>
      </c>
      <c r="C13" s="15">
        <v>0.36</v>
      </c>
      <c r="D13" s="43">
        <v>26</v>
      </c>
      <c r="E13" s="15">
        <v>0.15</v>
      </c>
      <c r="F13" s="15">
        <v>0.13</v>
      </c>
      <c r="G13" s="15">
        <v>0.16999999999999998</v>
      </c>
      <c r="H13" s="15">
        <v>7.0000000000000007E-2</v>
      </c>
      <c r="I13" s="43">
        <v>100</v>
      </c>
      <c r="J13" s="15">
        <v>0.11</v>
      </c>
    </row>
    <row r="14" spans="1:10">
      <c r="A14" s="12" t="s">
        <v>149</v>
      </c>
      <c r="B14" s="15">
        <v>0.63</v>
      </c>
      <c r="C14" s="15">
        <v>0.36</v>
      </c>
      <c r="D14" s="43">
        <v>60</v>
      </c>
      <c r="E14" s="15">
        <v>0.08</v>
      </c>
      <c r="F14" s="15">
        <v>0.22999999999999998</v>
      </c>
      <c r="G14" s="15">
        <v>0.38</v>
      </c>
      <c r="H14" s="15">
        <v>0.29000000000000004</v>
      </c>
      <c r="I14" s="43">
        <v>141</v>
      </c>
      <c r="J14" s="15">
        <v>0.19</v>
      </c>
    </row>
    <row r="15" spans="1:10">
      <c r="A15" s="12" t="s">
        <v>145</v>
      </c>
      <c r="B15" s="15">
        <v>1.35</v>
      </c>
      <c r="C15" s="15">
        <v>0.37</v>
      </c>
      <c r="D15" s="43">
        <v>11</v>
      </c>
      <c r="E15" s="15">
        <v>0.04</v>
      </c>
      <c r="F15" s="15">
        <v>0.21</v>
      </c>
      <c r="G15" s="15">
        <v>0.33</v>
      </c>
      <c r="H15" s="15">
        <v>0.21000000000000002</v>
      </c>
      <c r="I15" s="43">
        <v>135</v>
      </c>
      <c r="J15" s="15">
        <v>0.31</v>
      </c>
    </row>
    <row r="16" spans="1:10">
      <c r="A16" s="12" t="s">
        <v>356</v>
      </c>
      <c r="B16" s="15">
        <v>0.08</v>
      </c>
      <c r="C16" s="15">
        <v>0.38</v>
      </c>
      <c r="D16" s="43">
        <v>9</v>
      </c>
      <c r="E16" s="15">
        <v>0.33999999999999997</v>
      </c>
      <c r="F16" s="15">
        <v>0.04</v>
      </c>
      <c r="G16" s="15">
        <v>0.53</v>
      </c>
      <c r="H16" s="15"/>
      <c r="I16" s="43">
        <v>59</v>
      </c>
      <c r="J16" s="15">
        <v>0.17</v>
      </c>
    </row>
    <row r="17" spans="1:10">
      <c r="A17" s="12" t="s">
        <v>357</v>
      </c>
      <c r="B17" s="15">
        <v>0.89</v>
      </c>
      <c r="C17" s="15">
        <v>0.16</v>
      </c>
      <c r="D17" s="43">
        <v>21</v>
      </c>
      <c r="E17" s="15">
        <v>0.19</v>
      </c>
      <c r="F17" s="15">
        <v>0.11</v>
      </c>
      <c r="G17" s="15"/>
      <c r="H17" s="15">
        <v>0.35</v>
      </c>
      <c r="I17" s="43">
        <v>89</v>
      </c>
      <c r="J17" s="15"/>
    </row>
    <row r="18" spans="1:10">
      <c r="A18" s="12" t="s">
        <v>358</v>
      </c>
      <c r="B18" s="15">
        <v>0.04</v>
      </c>
      <c r="C18" s="15">
        <v>0.22</v>
      </c>
      <c r="D18" s="43">
        <v>6</v>
      </c>
      <c r="E18" s="15">
        <v>0.16</v>
      </c>
      <c r="F18" s="15">
        <v>0.04</v>
      </c>
      <c r="G18" s="15">
        <v>0.56000000000000005</v>
      </c>
      <c r="H18" s="15">
        <v>0.06</v>
      </c>
      <c r="I18" s="43">
        <v>54</v>
      </c>
      <c r="J18" s="15">
        <v>0.03</v>
      </c>
    </row>
    <row r="19" spans="1:10">
      <c r="A19" s="12" t="s">
        <v>66</v>
      </c>
      <c r="B19" s="43">
        <v>9.7200000000000006</v>
      </c>
      <c r="C19" s="43">
        <v>3.8800000000000003</v>
      </c>
      <c r="D19" s="43">
        <v>355</v>
      </c>
      <c r="E19" s="43">
        <v>2.75</v>
      </c>
      <c r="F19" s="43">
        <v>1.33</v>
      </c>
      <c r="G19" s="43">
        <v>4.6399999999999988</v>
      </c>
      <c r="H19" s="43">
        <v>3.1</v>
      </c>
      <c r="I19" s="43">
        <v>1345</v>
      </c>
      <c r="J19" s="43">
        <v>1.84</v>
      </c>
    </row>
    <row r="21" spans="1:10">
      <c r="B21" s="11" t="s">
        <v>68</v>
      </c>
    </row>
    <row r="22" spans="1:10">
      <c r="A22" s="11" t="s">
        <v>64</v>
      </c>
      <c r="B22" t="s">
        <v>347</v>
      </c>
      <c r="C22" t="s">
        <v>348</v>
      </c>
      <c r="D22" t="s">
        <v>349</v>
      </c>
      <c r="E22" t="s">
        <v>350</v>
      </c>
      <c r="F22" t="s">
        <v>351</v>
      </c>
      <c r="G22" t="s">
        <v>352</v>
      </c>
      <c r="H22" t="s">
        <v>353</v>
      </c>
      <c r="I22" t="s">
        <v>354</v>
      </c>
      <c r="J22" t="s">
        <v>355</v>
      </c>
    </row>
    <row r="23" spans="1:10">
      <c r="A23" s="12" t="s">
        <v>186</v>
      </c>
      <c r="B23" s="15">
        <v>1.29</v>
      </c>
      <c r="C23" s="15">
        <v>0.1</v>
      </c>
      <c r="D23" s="43">
        <v>27</v>
      </c>
      <c r="E23" s="15">
        <v>0.87999999999999989</v>
      </c>
      <c r="F23" s="15">
        <v>0.06</v>
      </c>
      <c r="G23" s="15">
        <v>0.14000000000000001</v>
      </c>
      <c r="H23" s="15">
        <v>0.22</v>
      </c>
      <c r="I23" s="43">
        <v>124</v>
      </c>
      <c r="J23" s="15">
        <v>0.2</v>
      </c>
    </row>
    <row r="24" spans="1:10">
      <c r="A24" s="12" t="s">
        <v>343</v>
      </c>
      <c r="B24" s="15">
        <v>0.61</v>
      </c>
      <c r="C24" s="15">
        <v>0.60000000000000009</v>
      </c>
      <c r="D24" s="43">
        <v>56</v>
      </c>
      <c r="E24" s="15">
        <v>7.0000000000000007E-2</v>
      </c>
      <c r="F24" s="15">
        <v>0.06</v>
      </c>
      <c r="G24" s="15">
        <v>0.2</v>
      </c>
      <c r="H24" s="15">
        <v>0.06</v>
      </c>
      <c r="I24" s="43">
        <v>109</v>
      </c>
      <c r="J24" s="15">
        <v>0.24000000000000002</v>
      </c>
    </row>
    <row r="25" spans="1:10">
      <c r="A25" s="12" t="s">
        <v>144</v>
      </c>
      <c r="B25" s="15">
        <v>0.57999999999999996</v>
      </c>
      <c r="C25" s="15">
        <v>0.55000000000000004</v>
      </c>
      <c r="D25" s="43">
        <v>51</v>
      </c>
      <c r="E25" s="15">
        <v>0.22</v>
      </c>
      <c r="F25" s="15">
        <v>0.03</v>
      </c>
      <c r="G25" s="15">
        <v>0.1</v>
      </c>
      <c r="H25" s="15">
        <v>0.35000000000000003</v>
      </c>
      <c r="I25" s="43">
        <v>69</v>
      </c>
      <c r="J25" s="15">
        <v>0.13</v>
      </c>
    </row>
    <row r="26" spans="1:10">
      <c r="A26" s="12" t="s">
        <v>149</v>
      </c>
      <c r="B26" s="15">
        <v>0.63</v>
      </c>
      <c r="C26" s="15">
        <v>0.36</v>
      </c>
      <c r="D26" s="43">
        <v>60</v>
      </c>
      <c r="E26" s="15">
        <v>0.08</v>
      </c>
      <c r="F26" s="15">
        <v>0.22999999999999998</v>
      </c>
      <c r="G26" s="15">
        <v>0.38</v>
      </c>
      <c r="H26" s="15">
        <v>0.29000000000000004</v>
      </c>
      <c r="I26" s="43">
        <v>141</v>
      </c>
      <c r="J26" s="15">
        <v>0.19</v>
      </c>
    </row>
    <row r="27" spans="1:10">
      <c r="A27" s="12" t="s">
        <v>145</v>
      </c>
      <c r="B27" s="15">
        <v>1.35</v>
      </c>
      <c r="C27" s="15">
        <v>0.37</v>
      </c>
      <c r="D27" s="43">
        <v>11</v>
      </c>
      <c r="E27" s="15">
        <v>0.04</v>
      </c>
      <c r="F27" s="15">
        <v>0.21</v>
      </c>
      <c r="G27" s="15">
        <v>0.33</v>
      </c>
      <c r="H27" s="15">
        <v>0.21000000000000002</v>
      </c>
      <c r="I27" s="43">
        <v>135</v>
      </c>
      <c r="J27" s="15">
        <v>0.31</v>
      </c>
    </row>
    <row r="28" spans="1:10">
      <c r="A28" s="12" t="s">
        <v>357</v>
      </c>
      <c r="B28" s="15">
        <v>0.89</v>
      </c>
      <c r="C28" s="15">
        <v>0.16</v>
      </c>
      <c r="D28" s="43">
        <v>21</v>
      </c>
      <c r="E28" s="15">
        <v>0.19</v>
      </c>
      <c r="F28" s="15">
        <v>0.11</v>
      </c>
      <c r="G28" s="15"/>
      <c r="H28" s="15">
        <v>0.35</v>
      </c>
      <c r="I28" s="43">
        <v>89</v>
      </c>
      <c r="J28" s="15"/>
    </row>
    <row r="29" spans="1:10">
      <c r="A29" s="12" t="s">
        <v>358</v>
      </c>
      <c r="B29" s="15">
        <v>0.04</v>
      </c>
      <c r="C29" s="15">
        <v>0.22</v>
      </c>
      <c r="D29" s="43">
        <v>6</v>
      </c>
      <c r="E29" s="15">
        <v>0.16</v>
      </c>
      <c r="F29" s="15">
        <v>0.04</v>
      </c>
      <c r="G29" s="15">
        <v>0.56000000000000005</v>
      </c>
      <c r="H29" s="15">
        <v>0.06</v>
      </c>
      <c r="I29" s="43">
        <v>54</v>
      </c>
      <c r="J29" s="15">
        <v>0.03</v>
      </c>
    </row>
    <row r="30" spans="1:10">
      <c r="A30" s="12" t="s">
        <v>345</v>
      </c>
      <c r="B30" s="15">
        <v>0.69</v>
      </c>
      <c r="C30" s="15">
        <v>0.14000000000000001</v>
      </c>
      <c r="D30" s="43">
        <v>27</v>
      </c>
      <c r="E30" s="15">
        <v>0.11</v>
      </c>
      <c r="F30" s="15">
        <v>7.0000000000000007E-2</v>
      </c>
      <c r="G30" s="15">
        <v>0.06</v>
      </c>
      <c r="H30" s="15">
        <v>0.15</v>
      </c>
      <c r="I30" s="43">
        <v>132</v>
      </c>
      <c r="J30" s="15">
        <v>0.05</v>
      </c>
    </row>
    <row r="31" spans="1:10">
      <c r="A31" s="12" t="s">
        <v>346</v>
      </c>
      <c r="B31" s="15">
        <v>0.69</v>
      </c>
      <c r="C31" s="15">
        <v>0.11</v>
      </c>
      <c r="D31" s="43">
        <v>4</v>
      </c>
      <c r="E31" s="15">
        <v>0.1</v>
      </c>
      <c r="F31" s="15">
        <v>0.05</v>
      </c>
      <c r="G31" s="15"/>
      <c r="H31" s="15">
        <v>0.43000000000000005</v>
      </c>
      <c r="I31" s="43">
        <v>64</v>
      </c>
      <c r="J31" s="15">
        <v>0.14000000000000001</v>
      </c>
    </row>
    <row r="32" spans="1:10">
      <c r="A32" s="12" t="s">
        <v>335</v>
      </c>
      <c r="B32" s="15">
        <v>0.22</v>
      </c>
      <c r="C32" s="15">
        <v>0.03</v>
      </c>
      <c r="D32" s="43">
        <v>42</v>
      </c>
      <c r="E32" s="15">
        <v>0.22999999999999998</v>
      </c>
      <c r="F32" s="15">
        <v>0.03</v>
      </c>
      <c r="G32" s="15">
        <v>0.69</v>
      </c>
      <c r="H32" s="15">
        <v>0.34</v>
      </c>
      <c r="I32" s="43">
        <v>72</v>
      </c>
      <c r="J32" s="15">
        <v>0.03</v>
      </c>
    </row>
    <row r="33" spans="1:10">
      <c r="A33" s="12" t="s">
        <v>356</v>
      </c>
      <c r="B33" s="15">
        <v>0.08</v>
      </c>
      <c r="C33" s="15">
        <v>0.38</v>
      </c>
      <c r="D33" s="43">
        <v>9</v>
      </c>
      <c r="E33" s="15">
        <v>0.33999999999999997</v>
      </c>
      <c r="F33" s="15">
        <v>0.04</v>
      </c>
      <c r="G33" s="15">
        <v>0.53</v>
      </c>
      <c r="H33" s="15"/>
      <c r="I33" s="43">
        <v>59</v>
      </c>
      <c r="J33" s="15">
        <v>0.17</v>
      </c>
    </row>
    <row r="34" spans="1:10">
      <c r="A34" s="12" t="s">
        <v>344</v>
      </c>
      <c r="B34" s="15">
        <v>0.05</v>
      </c>
      <c r="C34" s="15">
        <v>0.16999999999999998</v>
      </c>
      <c r="D34" s="43">
        <v>7</v>
      </c>
      <c r="E34" s="15">
        <v>0.13</v>
      </c>
      <c r="F34" s="15">
        <v>0.13</v>
      </c>
      <c r="G34" s="15">
        <v>1.0899999999999999</v>
      </c>
      <c r="H34" s="15">
        <v>0.25</v>
      </c>
      <c r="I34" s="43">
        <v>104</v>
      </c>
      <c r="J34" s="15">
        <v>0.1</v>
      </c>
    </row>
    <row r="35" spans="1:10">
      <c r="A35" s="12" t="s">
        <v>134</v>
      </c>
      <c r="B35" s="15">
        <v>0.82</v>
      </c>
      <c r="C35" s="15">
        <v>0.19999999999999998</v>
      </c>
      <c r="D35" s="43">
        <v>3</v>
      </c>
      <c r="E35" s="15">
        <v>0.08</v>
      </c>
      <c r="F35" s="15">
        <v>0.1</v>
      </c>
      <c r="G35" s="15">
        <v>0.27999999999999997</v>
      </c>
      <c r="H35" s="15">
        <v>0.32</v>
      </c>
      <c r="I35" s="43">
        <v>93</v>
      </c>
      <c r="J35" s="15">
        <v>7.0000000000000007E-2</v>
      </c>
    </row>
    <row r="36" spans="1:10">
      <c r="A36" s="12" t="s">
        <v>150</v>
      </c>
      <c r="B36" s="15">
        <v>1.1600000000000001</v>
      </c>
      <c r="C36" s="15">
        <v>0.36</v>
      </c>
      <c r="D36" s="43">
        <v>26</v>
      </c>
      <c r="E36" s="15">
        <v>0.15</v>
      </c>
      <c r="F36" s="15">
        <v>0.13</v>
      </c>
      <c r="G36" s="15">
        <v>0.16999999999999998</v>
      </c>
      <c r="H36" s="15">
        <v>7.0000000000000007E-2</v>
      </c>
      <c r="I36" s="43">
        <v>100</v>
      </c>
      <c r="J36" s="15">
        <v>0.11</v>
      </c>
    </row>
    <row r="37" spans="1:10">
      <c r="A37" s="12" t="s">
        <v>65</v>
      </c>
      <c r="B37" s="15">
        <v>4.41</v>
      </c>
      <c r="C37" s="15">
        <v>34.380000000000003</v>
      </c>
      <c r="D37" s="43">
        <v>177</v>
      </c>
      <c r="E37" s="15">
        <v>1.920000000000001</v>
      </c>
      <c r="F37" s="15">
        <v>1.8600000000000012</v>
      </c>
      <c r="G37" s="15">
        <v>1.6600000000000008</v>
      </c>
      <c r="H37" s="15">
        <v>2.0800000000000005</v>
      </c>
      <c r="I37" s="43">
        <v>438</v>
      </c>
      <c r="J37" s="15">
        <v>1.5500000000000007</v>
      </c>
    </row>
    <row r="38" spans="1:10">
      <c r="A38" s="12" t="s">
        <v>66</v>
      </c>
      <c r="B38" s="15">
        <v>13.51</v>
      </c>
      <c r="C38" s="15">
        <v>38.130000000000003</v>
      </c>
      <c r="D38" s="43">
        <v>527</v>
      </c>
      <c r="E38" s="15">
        <v>4.7000000000000011</v>
      </c>
      <c r="F38" s="15">
        <v>3.1500000000000012</v>
      </c>
      <c r="G38" s="15">
        <v>6.1900000000000013</v>
      </c>
      <c r="H38" s="15">
        <v>5.18</v>
      </c>
      <c r="I38" s="43">
        <v>1783</v>
      </c>
      <c r="J38" s="15">
        <v>3.3200000000000012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43"/>
  <sheetViews>
    <sheetView topLeftCell="A6" zoomScale="85" zoomScaleNormal="85" workbookViewId="0">
      <selection activeCell="E34" sqref="E34"/>
    </sheetView>
  </sheetViews>
  <sheetFormatPr defaultRowHeight="14.25"/>
  <cols>
    <col min="1" max="1" width="17.375" customWidth="1"/>
    <col min="2" max="2" width="11.375" bestFit="1" customWidth="1"/>
    <col min="3" max="3" width="14.625" bestFit="1" customWidth="1"/>
    <col min="4" max="4" width="14.375" customWidth="1"/>
    <col min="5" max="5" width="15.625" customWidth="1"/>
    <col min="6" max="6" width="11.375" customWidth="1"/>
    <col min="7" max="7" width="11.375" bestFit="1" customWidth="1"/>
    <col min="8" max="8" width="11.875" bestFit="1" customWidth="1"/>
    <col min="9" max="9" width="12.375" customWidth="1"/>
    <col min="10" max="10" width="13.5" customWidth="1"/>
    <col min="11" max="11" width="12.25" customWidth="1"/>
    <col min="12" max="12" width="10" customWidth="1"/>
    <col min="15" max="15" width="9.25" customWidth="1"/>
    <col min="16" max="16" width="11.5" customWidth="1"/>
    <col min="17" max="17" width="12.625" customWidth="1"/>
    <col min="18" max="18" width="12.75" customWidth="1"/>
  </cols>
  <sheetData>
    <row r="1" spans="1:24">
      <c r="A1" s="40"/>
      <c r="B1" s="41" t="s">
        <v>123</v>
      </c>
      <c r="C1" s="41" t="s">
        <v>124</v>
      </c>
      <c r="D1" s="42" t="s">
        <v>125</v>
      </c>
    </row>
    <row r="2" spans="1:24">
      <c r="A2" s="5"/>
      <c r="B2" s="6">
        <v>237</v>
      </c>
      <c r="C2" s="6"/>
    </row>
    <row r="3" spans="1:24">
      <c r="A3" s="5">
        <f>16*3600</f>
        <v>57600</v>
      </c>
      <c r="B3" s="6">
        <f>$A3/B2+$I$7</f>
        <v>318.03797468354429</v>
      </c>
      <c r="C3" s="6">
        <f>(B3)*'Location features'!$P$4</f>
        <v>255702.5316455696</v>
      </c>
      <c r="D3">
        <f>'EXP lvls'!P10/Grind.Summary!C3</f>
        <v>0</v>
      </c>
    </row>
    <row r="4" spans="1:24" ht="15" thickBot="1">
      <c r="A4" s="7"/>
      <c r="B4" s="8"/>
      <c r="C4" s="8"/>
      <c r="D4" s="9"/>
    </row>
    <row r="6" spans="1:24" ht="15.75" thickBot="1">
      <c r="A6" t="s">
        <v>326</v>
      </c>
      <c r="B6" t="s">
        <v>3</v>
      </c>
      <c r="C6" t="s">
        <v>2</v>
      </c>
      <c r="D6" t="s">
        <v>323</v>
      </c>
      <c r="E6" t="s">
        <v>322</v>
      </c>
      <c r="F6" t="s">
        <v>324</v>
      </c>
      <c r="G6" t="s">
        <v>325</v>
      </c>
      <c r="H6" t="s">
        <v>38</v>
      </c>
      <c r="I6" t="s">
        <v>37</v>
      </c>
      <c r="J6" t="s">
        <v>51</v>
      </c>
      <c r="K6" t="s">
        <v>52</v>
      </c>
      <c r="L6" s="3" t="s">
        <v>7</v>
      </c>
      <c r="M6" s="3" t="s">
        <v>5</v>
      </c>
      <c r="N6" s="3" t="s">
        <v>6</v>
      </c>
      <c r="O6" s="4" t="s">
        <v>14</v>
      </c>
      <c r="P6" s="4" t="s">
        <v>39</v>
      </c>
      <c r="Q6" s="4" t="s">
        <v>40</v>
      </c>
      <c r="R6" s="4" t="s">
        <v>41</v>
      </c>
      <c r="S6" s="4" t="s">
        <v>131</v>
      </c>
      <c r="T6" s="4" t="s">
        <v>135</v>
      </c>
      <c r="U6" s="4" t="s">
        <v>136</v>
      </c>
      <c r="V6" s="4" t="s">
        <v>137</v>
      </c>
      <c r="W6" s="4" t="s">
        <v>138</v>
      </c>
      <c r="X6" s="4" t="s">
        <v>136</v>
      </c>
    </row>
    <row r="7" spans="1:24" ht="15" thickTop="1">
      <c r="A7" t="s">
        <v>4</v>
      </c>
      <c r="B7" s="1">
        <f t="shared" ref="B7:B14" si="0">(2*$J7+$K7)/($R7-$Q7)*O7</f>
        <v>1051698.7951807228</v>
      </c>
      <c r="C7" s="1">
        <f t="shared" ref="C7:C14" si="1">($J7+$K7)/($R7-$Q7)*P7</f>
        <v>662177.71084337356</v>
      </c>
      <c r="D7">
        <v>200</v>
      </c>
      <c r="E7">
        <v>0</v>
      </c>
      <c r="F7">
        <v>0</v>
      </c>
      <c r="H7">
        <v>0</v>
      </c>
      <c r="I7">
        <v>75</v>
      </c>
      <c r="J7" s="48">
        <f>Tabela16[[#This Row],[Ene refill to XP]]/30*Tabela16[[#This Row],[Energy pool]]+Tabela16[[#This Row],[Ene to XP]]</f>
        <v>500</v>
      </c>
      <c r="K7" s="48">
        <f>Tabela16[[#This Row],[Ener refill no XP]]/30*Tabela16[[#This Row],[Energy pool]]+Tabela16[[#This Row],[Ene no XP]]</f>
        <v>0</v>
      </c>
      <c r="L7" s="44" t="s">
        <v>8</v>
      </c>
      <c r="M7" s="44" t="s">
        <v>30</v>
      </c>
      <c r="N7" s="44">
        <v>3</v>
      </c>
      <c r="O7">
        <f>SUMIFS(LocFeatures[[#All],[XP Train Gain]],LocFeatures[[#All],[Location]],Grind.Summary!$L7,LocFeatures[[#All],[LVL]],Grind.Summary!$M7,LocFeatures[[#All],[Stage]],Grind.Summary!$N7)</f>
        <v>3294</v>
      </c>
      <c r="P7">
        <f>SUMIFS(LocFeatures[[#All],[Drop worth gain]],LocFeatures[[#All],[Location]],Grind.Summary!$L7,LocFeatures[[#All],[LVL]],Grind.Summary!$M7,LocFeatures[[#All],[Stage]],Grind.Summary!$N7)</f>
        <v>4147.9811320754716</v>
      </c>
      <c r="Q7">
        <f>SUMIFS(LocFeatures[[#All],[Energy gain]],LocFeatures[[#All],[Location]],Grind.Summary!$L7,LocFeatures[[#All],[LVL]],Grind.Summary!$M7,LocFeatures[[#All],[Stage]],Grind.Summary!$N7)</f>
        <v>0.86792452830188682</v>
      </c>
      <c r="R7">
        <f>SUMIFS(LocFeatures[[#All],[E. Cost]],LocFeatures[[#All],[Location]],Grind.Summary!$L7,LocFeatures[[#All],[LVL]],Grind.Summary!$M7,LocFeatures[[#All],[Stage]],Grind.Summary!$N7)</f>
        <v>4</v>
      </c>
    </row>
    <row r="8" spans="1:24">
      <c r="A8" t="s">
        <v>53</v>
      </c>
      <c r="B8" s="1">
        <f t="shared" si="0"/>
        <v>1051698.7951807228</v>
      </c>
      <c r="C8" s="1">
        <f t="shared" si="1"/>
        <v>662177.71084337356</v>
      </c>
      <c r="D8">
        <v>200</v>
      </c>
      <c r="E8">
        <v>0</v>
      </c>
      <c r="F8">
        <v>0</v>
      </c>
      <c r="H8">
        <v>0</v>
      </c>
      <c r="I8">
        <f>I7</f>
        <v>75</v>
      </c>
      <c r="J8" s="48">
        <f>Tabela16[[#This Row],[Ene refill to XP]]/30*Tabela16[[#This Row],[Energy pool]]+Tabela16[[#This Row],[Ene to XP]]</f>
        <v>500</v>
      </c>
      <c r="K8" s="48">
        <f>Tabela16[[#This Row],[Ener refill no XP]]/30*Tabela16[[#This Row],[Energy pool]]+Tabela16[[#This Row],[Ene no XP]]</f>
        <v>0</v>
      </c>
      <c r="L8" s="44" t="s">
        <v>8</v>
      </c>
      <c r="M8" s="44" t="s">
        <v>30</v>
      </c>
      <c r="N8" s="44">
        <v>3</v>
      </c>
      <c r="O8">
        <f>SUMIFS(LocFeatures[[#All],[XP Train Gain]],LocFeatures[[#All],[Location]],Grind.Summary!$L8,LocFeatures[[#All],[LVL]],Grind.Summary!$M8,LocFeatures[[#All],[Stage]],Grind.Summary!$N8)</f>
        <v>3294</v>
      </c>
      <c r="P8">
        <f>SUMIFS(LocFeatures[[#All],[Drop worth gain]],LocFeatures[[#All],[Location]],Grind.Summary!$L8,LocFeatures[[#All],[LVL]],Grind.Summary!$M8,LocFeatures[[#All],[Stage]],Grind.Summary!$N8)</f>
        <v>4147.9811320754716</v>
      </c>
      <c r="Q8">
        <f>SUMIFS(LocFeatures[[#All],[Energy gain]],LocFeatures[[#All],[Location]],Grind.Summary!$L8,LocFeatures[[#All],[LVL]],Grind.Summary!$M8,LocFeatures[[#All],[Stage]],Grind.Summary!$N8)</f>
        <v>0.86792452830188682</v>
      </c>
      <c r="R8">
        <f>SUMIFS(LocFeatures[[#All],[E. Cost]],LocFeatures[[#All],[Location]],Grind.Summary!$L8,LocFeatures[[#All],[LVL]],Grind.Summary!$M8,LocFeatures[[#All],[Stage]],Grind.Summary!$N8)</f>
        <v>4</v>
      </c>
    </row>
    <row r="9" spans="1:24">
      <c r="A9" t="s">
        <v>49</v>
      </c>
      <c r="B9" s="1">
        <f t="shared" si="0"/>
        <v>0</v>
      </c>
      <c r="C9" s="1">
        <f t="shared" si="1"/>
        <v>0</v>
      </c>
      <c r="D9">
        <v>0</v>
      </c>
      <c r="E9">
        <v>0</v>
      </c>
      <c r="F9">
        <v>0</v>
      </c>
      <c r="H9">
        <v>0</v>
      </c>
      <c r="I9">
        <f t="shared" ref="I9:I38" si="2">I8</f>
        <v>75</v>
      </c>
      <c r="J9" s="48">
        <f>Tabela16[[#This Row],[Ene refill to XP]]/30*Tabela16[[#This Row],[Energy pool]]+Tabela16[[#This Row],[Ene to XP]]</f>
        <v>0</v>
      </c>
      <c r="K9" s="48">
        <f>Tabela16[[#This Row],[Ener refill no XP]]/30*Tabela16[[#This Row],[Energy pool]]+Tabela16[[#This Row],[Ene no XP]]</f>
        <v>0</v>
      </c>
      <c r="L9" s="44" t="s">
        <v>8</v>
      </c>
      <c r="M9" s="44" t="s">
        <v>30</v>
      </c>
      <c r="N9" s="44">
        <v>3</v>
      </c>
      <c r="O9">
        <f>SUMIFS(LocFeatures[[#All],[XP Train Gain]],LocFeatures[[#All],[Location]],Grind.Summary!$L9,LocFeatures[[#All],[LVL]],Grind.Summary!$M9,LocFeatures[[#All],[Stage]],Grind.Summary!$N9)</f>
        <v>3294</v>
      </c>
      <c r="P9">
        <f>SUMIFS(LocFeatures[[#All],[Drop worth gain]],LocFeatures[[#All],[Location]],Grind.Summary!$L9,LocFeatures[[#All],[LVL]],Grind.Summary!$M9,LocFeatures[[#All],[Stage]],Grind.Summary!$N9)</f>
        <v>4147.9811320754716</v>
      </c>
      <c r="Q9">
        <f>SUMIFS(LocFeatures[[#All],[Energy gain]],LocFeatures[[#All],[Location]],Grind.Summary!$L9,LocFeatures[[#All],[LVL]],Grind.Summary!$M9,LocFeatures[[#All],[Stage]],Grind.Summary!$N9)</f>
        <v>0.86792452830188682</v>
      </c>
      <c r="R9">
        <f>SUMIFS(LocFeatures[[#All],[E. Cost]],LocFeatures[[#All],[Location]],Grind.Summary!$L9,LocFeatures[[#All],[LVL]],Grind.Summary!$M9,LocFeatures[[#All],[Stage]],Grind.Summary!$N9)</f>
        <v>4</v>
      </c>
    </row>
    <row r="10" spans="1:24">
      <c r="A10" t="s">
        <v>50</v>
      </c>
      <c r="B10" s="1">
        <f t="shared" si="0"/>
        <v>0</v>
      </c>
      <c r="C10" s="1">
        <f t="shared" si="1"/>
        <v>0</v>
      </c>
      <c r="D10">
        <v>0</v>
      </c>
      <c r="E10">
        <v>0</v>
      </c>
      <c r="F10">
        <v>0</v>
      </c>
      <c r="H10">
        <v>0</v>
      </c>
      <c r="I10">
        <f t="shared" si="2"/>
        <v>75</v>
      </c>
      <c r="J10" s="48">
        <f>Tabela16[[#This Row],[Ene refill to XP]]/30*Tabela16[[#This Row],[Energy pool]]+Tabela16[[#This Row],[Ene to XP]]</f>
        <v>0</v>
      </c>
      <c r="K10" s="48">
        <f>Tabela16[[#This Row],[Ener refill no XP]]/30*Tabela16[[#This Row],[Energy pool]]+Tabela16[[#This Row],[Ene no XP]]</f>
        <v>0</v>
      </c>
      <c r="L10" s="44" t="s">
        <v>8</v>
      </c>
      <c r="M10" s="44" t="s">
        <v>30</v>
      </c>
      <c r="N10" s="44">
        <v>3</v>
      </c>
      <c r="O10">
        <f>SUMIFS(LocFeatures[[#All],[XP Train Gain]],LocFeatures[[#All],[Location]],Grind.Summary!$L10,LocFeatures[[#All],[LVL]],Grind.Summary!$M10,LocFeatures[[#All],[Stage]],Grind.Summary!$N10)</f>
        <v>3294</v>
      </c>
      <c r="P10">
        <f>SUMIFS(LocFeatures[[#All],[Drop worth gain]],LocFeatures[[#All],[Location]],Grind.Summary!$L10,LocFeatures[[#All],[LVL]],Grind.Summary!$M10,LocFeatures[[#All],[Stage]],Grind.Summary!$N10)</f>
        <v>4147.9811320754716</v>
      </c>
      <c r="Q10">
        <f>SUMIFS(LocFeatures[[#All],[Energy gain]],LocFeatures[[#All],[Location]],Grind.Summary!$L10,LocFeatures[[#All],[LVL]],Grind.Summary!$M10,LocFeatures[[#All],[Stage]],Grind.Summary!$N10)</f>
        <v>0.86792452830188682</v>
      </c>
      <c r="R10">
        <f>SUMIFS(LocFeatures[[#All],[E. Cost]],LocFeatures[[#All],[Location]],Grind.Summary!$L10,LocFeatures[[#All],[LVL]],Grind.Summary!$M10,LocFeatures[[#All],[Stage]],Grind.Summary!$N10)</f>
        <v>4</v>
      </c>
    </row>
    <row r="11" spans="1:24">
      <c r="A11" t="s">
        <v>4</v>
      </c>
      <c r="B11" s="1">
        <f t="shared" si="0"/>
        <v>1068069.7674418604</v>
      </c>
      <c r="C11" s="1">
        <f t="shared" si="1"/>
        <v>759223.83720930223</v>
      </c>
      <c r="D11">
        <v>200</v>
      </c>
      <c r="E11">
        <v>0</v>
      </c>
      <c r="F11">
        <v>0</v>
      </c>
      <c r="H11">
        <v>0</v>
      </c>
      <c r="I11">
        <f t="shared" si="2"/>
        <v>75</v>
      </c>
      <c r="J11" s="48">
        <f>Tabela16[[#This Row],[Ene refill to XP]]/30*Tabela16[[#This Row],[Energy pool]]+Tabela16[[#This Row],[Ene to XP]]</f>
        <v>500</v>
      </c>
      <c r="K11" s="48">
        <f>Tabela16[[#This Row],[Ener refill no XP]]/30*Tabela16[[#This Row],[Energy pool]]+Tabela16[[#This Row],[Ene no XP]]</f>
        <v>0</v>
      </c>
      <c r="L11" s="44" t="s">
        <v>31</v>
      </c>
      <c r="M11" s="44" t="s">
        <v>9</v>
      </c>
      <c r="N11" s="44">
        <v>1</v>
      </c>
      <c r="O11">
        <f>SUMIFS(LocFeatures[[#All],[XP Train Gain]],LocFeatures[[#All],[Location]],Grind.Summary!$L11,LocFeatures[[#All],[LVL]],Grind.Summary!$M11,LocFeatures[[#All],[Stage]],Grind.Summary!$N11)</f>
        <v>2268</v>
      </c>
      <c r="P11">
        <f>SUMIFS(LocFeatures[[#All],[Drop worth gain]],LocFeatures[[#All],[Location]],Grind.Summary!$L11,LocFeatures[[#All],[LVL]],Grind.Summary!$M11,LocFeatures[[#All],[Stage]],Grind.Summary!$N11)</f>
        <v>3224.358024691358</v>
      </c>
      <c r="Q11">
        <f>SUMIFS(LocFeatures[[#All],[Energy gain]],LocFeatures[[#All],[Location]],Grind.Summary!$L11,LocFeatures[[#All],[LVL]],Grind.Summary!$M11,LocFeatures[[#All],[Stage]],Grind.Summary!$N11)</f>
        <v>0.87654320987654322</v>
      </c>
      <c r="R11">
        <f>SUMIFS(LocFeatures[[#All],[E. Cost]],LocFeatures[[#All],[Location]],Grind.Summary!$L11,LocFeatures[[#All],[LVL]],Grind.Summary!$M11,LocFeatures[[#All],[Stage]],Grind.Summary!$N11)</f>
        <v>3</v>
      </c>
    </row>
    <row r="12" spans="1:24">
      <c r="A12" t="s">
        <v>53</v>
      </c>
      <c r="B12" s="1">
        <f t="shared" si="0"/>
        <v>1068069.7674418604</v>
      </c>
      <c r="C12" s="1">
        <f t="shared" si="1"/>
        <v>759223.83720930223</v>
      </c>
      <c r="D12">
        <v>200</v>
      </c>
      <c r="E12">
        <v>0</v>
      </c>
      <c r="F12">
        <v>0</v>
      </c>
      <c r="H12">
        <v>0</v>
      </c>
      <c r="I12">
        <f t="shared" si="2"/>
        <v>75</v>
      </c>
      <c r="J12" s="48">
        <f>Tabela16[[#This Row],[Ene refill to XP]]/30*Tabela16[[#This Row],[Energy pool]]+Tabela16[[#This Row],[Ene to XP]]</f>
        <v>500</v>
      </c>
      <c r="K12" s="48">
        <f>Tabela16[[#This Row],[Ener refill no XP]]/30*Tabela16[[#This Row],[Energy pool]]+Tabela16[[#This Row],[Ene no XP]]</f>
        <v>0</v>
      </c>
      <c r="L12" s="44" t="s">
        <v>31</v>
      </c>
      <c r="M12" s="44" t="s">
        <v>9</v>
      </c>
      <c r="N12" s="44">
        <v>1</v>
      </c>
      <c r="O12">
        <f>SUMIFS(LocFeatures[[#All],[XP Train Gain]],LocFeatures[[#All],[Location]],Grind.Summary!$L12,LocFeatures[[#All],[LVL]],Grind.Summary!$M12,LocFeatures[[#All],[Stage]],Grind.Summary!$N12)</f>
        <v>2268</v>
      </c>
      <c r="P12">
        <f>SUMIFS(LocFeatures[[#All],[Drop worth gain]],LocFeatures[[#All],[Location]],Grind.Summary!$L12,LocFeatures[[#All],[LVL]],Grind.Summary!$M12,LocFeatures[[#All],[Stage]],Grind.Summary!$N12)</f>
        <v>3224.358024691358</v>
      </c>
      <c r="Q12">
        <f>SUMIFS(LocFeatures[[#All],[Energy gain]],LocFeatures[[#All],[Location]],Grind.Summary!$L12,LocFeatures[[#All],[LVL]],Grind.Summary!$M12,LocFeatures[[#All],[Stage]],Grind.Summary!$N12)</f>
        <v>0.87654320987654322</v>
      </c>
      <c r="R12">
        <f>SUMIFS(LocFeatures[[#All],[E. Cost]],LocFeatures[[#All],[Location]],Grind.Summary!$L12,LocFeatures[[#All],[LVL]],Grind.Summary!$M12,LocFeatures[[#All],[Stage]],Grind.Summary!$N12)</f>
        <v>3</v>
      </c>
    </row>
    <row r="13" spans="1:24">
      <c r="A13" t="s">
        <v>49</v>
      </c>
      <c r="B13" s="1">
        <f t="shared" si="0"/>
        <v>0</v>
      </c>
      <c r="C13" s="1">
        <f t="shared" si="1"/>
        <v>0</v>
      </c>
      <c r="D13">
        <v>0</v>
      </c>
      <c r="E13">
        <v>0</v>
      </c>
      <c r="F13">
        <v>0</v>
      </c>
      <c r="H13">
        <v>0</v>
      </c>
      <c r="I13">
        <f t="shared" si="2"/>
        <v>75</v>
      </c>
      <c r="J13" s="48">
        <f>Tabela16[[#This Row],[Ene refill to XP]]/30*Tabela16[[#This Row],[Energy pool]]+Tabela16[[#This Row],[Ene to XP]]</f>
        <v>0</v>
      </c>
      <c r="K13" s="48">
        <f>Tabela16[[#This Row],[Ener refill no XP]]/30*Tabela16[[#This Row],[Energy pool]]+Tabela16[[#This Row],[Ene no XP]]</f>
        <v>0</v>
      </c>
      <c r="L13" s="44" t="s">
        <v>31</v>
      </c>
      <c r="M13" s="44" t="s">
        <v>9</v>
      </c>
      <c r="N13" s="44">
        <v>1</v>
      </c>
      <c r="O13">
        <f>SUMIFS(LocFeatures[[#All],[XP Train Gain]],LocFeatures[[#All],[Location]],Grind.Summary!$L13,LocFeatures[[#All],[LVL]],Grind.Summary!$M13,LocFeatures[[#All],[Stage]],Grind.Summary!$N13)</f>
        <v>2268</v>
      </c>
      <c r="P13">
        <f>SUMIFS(LocFeatures[[#All],[Drop worth gain]],LocFeatures[[#All],[Location]],Grind.Summary!$L13,LocFeatures[[#All],[LVL]],Grind.Summary!$M13,LocFeatures[[#All],[Stage]],Grind.Summary!$N13)</f>
        <v>3224.358024691358</v>
      </c>
      <c r="Q13">
        <f>SUMIFS(LocFeatures[[#All],[Energy gain]],LocFeatures[[#All],[Location]],Grind.Summary!$L13,LocFeatures[[#All],[LVL]],Grind.Summary!$M13,LocFeatures[[#All],[Stage]],Grind.Summary!$N13)</f>
        <v>0.87654320987654322</v>
      </c>
      <c r="R13">
        <f>SUMIFS(LocFeatures[[#All],[E. Cost]],LocFeatures[[#All],[Location]],Grind.Summary!$L13,LocFeatures[[#All],[LVL]],Grind.Summary!$M13,LocFeatures[[#All],[Stage]],Grind.Summary!$N13)</f>
        <v>3</v>
      </c>
    </row>
    <row r="14" spans="1:24">
      <c r="A14" t="s">
        <v>50</v>
      </c>
      <c r="B14" s="1">
        <f t="shared" si="0"/>
        <v>0</v>
      </c>
      <c r="C14" s="1">
        <f t="shared" si="1"/>
        <v>0</v>
      </c>
      <c r="D14">
        <v>0</v>
      </c>
      <c r="E14">
        <v>0</v>
      </c>
      <c r="F14">
        <v>0</v>
      </c>
      <c r="H14">
        <v>0</v>
      </c>
      <c r="I14">
        <f t="shared" si="2"/>
        <v>75</v>
      </c>
      <c r="J14" s="48">
        <f>Tabela16[[#This Row],[Ene refill to XP]]/30*Tabela16[[#This Row],[Energy pool]]+Tabela16[[#This Row],[Ene to XP]]</f>
        <v>0</v>
      </c>
      <c r="K14" s="48">
        <f>Tabela16[[#This Row],[Ener refill no XP]]/30*Tabela16[[#This Row],[Energy pool]]+Tabela16[[#This Row],[Ene no XP]]</f>
        <v>0</v>
      </c>
      <c r="L14" s="44" t="s">
        <v>31</v>
      </c>
      <c r="M14" s="44" t="s">
        <v>9</v>
      </c>
      <c r="N14" s="44">
        <v>1</v>
      </c>
      <c r="O14">
        <f>SUMIFS(LocFeatures[[#All],[XP Train Gain]],LocFeatures[[#All],[Location]],Grind.Summary!$L14,LocFeatures[[#All],[LVL]],Grind.Summary!$M14,LocFeatures[[#All],[Stage]],Grind.Summary!$N14)</f>
        <v>2268</v>
      </c>
      <c r="P14">
        <f>SUMIFS(LocFeatures[[#All],[Drop worth gain]],LocFeatures[[#All],[Location]],Grind.Summary!$L14,LocFeatures[[#All],[LVL]],Grind.Summary!$M14,LocFeatures[[#All],[Stage]],Grind.Summary!$N14)</f>
        <v>3224.358024691358</v>
      </c>
      <c r="Q14">
        <f>SUMIFS(LocFeatures[[#All],[Energy gain]],LocFeatures[[#All],[Location]],Grind.Summary!$L14,LocFeatures[[#All],[LVL]],Grind.Summary!$M14,LocFeatures[[#All],[Stage]],Grind.Summary!$N14)</f>
        <v>0.87654320987654322</v>
      </c>
      <c r="R14">
        <f>SUMIFS(LocFeatures[[#All],[E. Cost]],LocFeatures[[#All],[Location]],Grind.Summary!$L14,LocFeatures[[#All],[LVL]],Grind.Summary!$M14,LocFeatures[[#All],[Stage]],Grind.Summary!$N14)</f>
        <v>3</v>
      </c>
    </row>
    <row r="15" spans="1:24">
      <c r="A15" t="s">
        <v>4</v>
      </c>
      <c r="B15" s="1">
        <f t="shared" ref="B15:B18" si="3">(2*$J15+$K15)/($R15-$Q15)*O15</f>
        <v>1343540.6698564594</v>
      </c>
      <c r="C15" s="1">
        <f t="shared" ref="C15:C18" si="4">($J15+$K15)/($R15-$Q15)*P15</f>
        <v>548927.43221690587</v>
      </c>
      <c r="D15">
        <v>200</v>
      </c>
      <c r="E15">
        <v>0</v>
      </c>
      <c r="F15">
        <v>0</v>
      </c>
      <c r="H15">
        <v>0</v>
      </c>
      <c r="I15">
        <f t="shared" si="2"/>
        <v>75</v>
      </c>
      <c r="J15" s="48">
        <f>Tabela16[[#This Row],[Ene refill to XP]]/30*Tabela16[[#This Row],[Energy pool]]+Tabela16[[#This Row],[Ene to XP]]</f>
        <v>500</v>
      </c>
      <c r="K15" s="48">
        <f>Tabela16[[#This Row],[Ener refill no XP]]/30*Tabela16[[#This Row],[Energy pool]]+Tabela16[[#This Row],[Ene no XP]]</f>
        <v>0</v>
      </c>
      <c r="L15" s="44" t="s">
        <v>8</v>
      </c>
      <c r="M15" s="45" t="s">
        <v>32</v>
      </c>
      <c r="N15" s="44">
        <v>3</v>
      </c>
      <c r="O15">
        <f>SUMIFS(LocFeatures[[#All],[XP Train Gain]],LocFeatures[[#All],[Location]],Grind.Summary!$L15,LocFeatures[[#All],[LVL]],Grind.Summary!$M15,LocFeatures[[#All],[Stage]],Grind.Summary!$N15)</f>
        <v>5400</v>
      </c>
      <c r="P15">
        <f>SUMIFS(LocFeatures[[#All],[Drop worth gain]],LocFeatures[[#All],[Location]],Grind.Summary!$L15,LocFeatures[[#All],[LVL]],Grind.Summary!$M15,LocFeatures[[#All],[Stage]],Grind.Summary!$N15)</f>
        <v>4412.5320512820508</v>
      </c>
      <c r="Q15">
        <f>SUMIFS(LocFeatures[[#All],[Energy gain]],LocFeatures[[#All],[Location]],Grind.Summary!$L15,LocFeatures[[#All],[LVL]],Grind.Summary!$M15,LocFeatures[[#All],[Stage]],Grind.Summary!$N15)</f>
        <v>0.98076923076923073</v>
      </c>
      <c r="R15">
        <f>SUMIFS(LocFeatures[[#All],[E. Cost]],LocFeatures[[#All],[Location]],Grind.Summary!$L15,LocFeatures[[#All],[LVL]],Grind.Summary!$M15,LocFeatures[[#All],[Stage]],Grind.Summary!$N15)</f>
        <v>5</v>
      </c>
    </row>
    <row r="16" spans="1:24">
      <c r="A16" t="s">
        <v>53</v>
      </c>
      <c r="B16" s="1">
        <f t="shared" si="3"/>
        <v>1343540.6698564594</v>
      </c>
      <c r="C16" s="1">
        <f t="shared" si="4"/>
        <v>548927.43221690587</v>
      </c>
      <c r="D16">
        <v>200</v>
      </c>
      <c r="E16">
        <v>0</v>
      </c>
      <c r="F16">
        <v>0</v>
      </c>
      <c r="H16">
        <v>0</v>
      </c>
      <c r="I16">
        <f t="shared" si="2"/>
        <v>75</v>
      </c>
      <c r="J16" s="48">
        <f>Tabela16[[#This Row],[Ene refill to XP]]/30*Tabela16[[#This Row],[Energy pool]]+Tabela16[[#This Row],[Ene to XP]]</f>
        <v>500</v>
      </c>
      <c r="K16" s="48">
        <f>Tabela16[[#This Row],[Ener refill no XP]]/30*Tabela16[[#This Row],[Energy pool]]+Tabela16[[#This Row],[Ene no XP]]</f>
        <v>0</v>
      </c>
      <c r="L16" s="44" t="s">
        <v>8</v>
      </c>
      <c r="M16" s="45" t="s">
        <v>32</v>
      </c>
      <c r="N16" s="44">
        <v>3</v>
      </c>
      <c r="O16">
        <f>SUMIFS(LocFeatures[[#All],[XP Train Gain]],LocFeatures[[#All],[Location]],Grind.Summary!$L16,LocFeatures[[#All],[LVL]],Grind.Summary!$M16,LocFeatures[[#All],[Stage]],Grind.Summary!$N16)</f>
        <v>5400</v>
      </c>
      <c r="P16">
        <f>SUMIFS(LocFeatures[[#All],[Drop worth gain]],LocFeatures[[#All],[Location]],Grind.Summary!$L16,LocFeatures[[#All],[LVL]],Grind.Summary!$M16,LocFeatures[[#All],[Stage]],Grind.Summary!$N16)</f>
        <v>4412.5320512820508</v>
      </c>
      <c r="Q16">
        <f>SUMIFS(LocFeatures[[#All],[Energy gain]],LocFeatures[[#All],[Location]],Grind.Summary!$L16,LocFeatures[[#All],[LVL]],Grind.Summary!$M16,LocFeatures[[#All],[Stage]],Grind.Summary!$N16)</f>
        <v>0.98076923076923073</v>
      </c>
      <c r="R16">
        <f>SUMIFS(LocFeatures[[#All],[E. Cost]],LocFeatures[[#All],[Location]],Grind.Summary!$L16,LocFeatures[[#All],[LVL]],Grind.Summary!$M16,LocFeatures[[#All],[Stage]],Grind.Summary!$N16)</f>
        <v>5</v>
      </c>
    </row>
    <row r="17" spans="1:24">
      <c r="A17" t="s">
        <v>49</v>
      </c>
      <c r="B17" s="1">
        <f t="shared" si="3"/>
        <v>0</v>
      </c>
      <c r="C17" s="1">
        <f t="shared" si="4"/>
        <v>0</v>
      </c>
      <c r="D17">
        <v>0</v>
      </c>
      <c r="E17">
        <v>0</v>
      </c>
      <c r="F17">
        <v>0</v>
      </c>
      <c r="H17">
        <v>0</v>
      </c>
      <c r="I17">
        <f t="shared" si="2"/>
        <v>75</v>
      </c>
      <c r="J17" s="48">
        <f>Tabela16[[#This Row],[Ene refill to XP]]/30*Tabela16[[#This Row],[Energy pool]]+Tabela16[[#This Row],[Ene to XP]]</f>
        <v>0</v>
      </c>
      <c r="K17" s="48">
        <f>Tabela16[[#This Row],[Ener refill no XP]]/30*Tabela16[[#This Row],[Energy pool]]+Tabela16[[#This Row],[Ene no XP]]</f>
        <v>0</v>
      </c>
      <c r="L17" s="44" t="s">
        <v>8</v>
      </c>
      <c r="M17" s="45" t="s">
        <v>32</v>
      </c>
      <c r="N17" s="44">
        <v>3</v>
      </c>
      <c r="O17">
        <f>SUMIFS(LocFeatures[[#All],[XP Train Gain]],LocFeatures[[#All],[Location]],Grind.Summary!$L17,LocFeatures[[#All],[LVL]],Grind.Summary!$M17,LocFeatures[[#All],[Stage]],Grind.Summary!$N17)</f>
        <v>5400</v>
      </c>
      <c r="P17">
        <f>SUMIFS(LocFeatures[[#All],[Drop worth gain]],LocFeatures[[#All],[Location]],Grind.Summary!$L17,LocFeatures[[#All],[LVL]],Grind.Summary!$M17,LocFeatures[[#All],[Stage]],Grind.Summary!$N17)</f>
        <v>4412.5320512820508</v>
      </c>
      <c r="Q17">
        <f>SUMIFS(LocFeatures[[#All],[Energy gain]],LocFeatures[[#All],[Location]],Grind.Summary!$L17,LocFeatures[[#All],[LVL]],Grind.Summary!$M17,LocFeatures[[#All],[Stage]],Grind.Summary!$N17)</f>
        <v>0.98076923076923073</v>
      </c>
      <c r="R17">
        <f>SUMIFS(LocFeatures[[#All],[E. Cost]],LocFeatures[[#All],[Location]],Grind.Summary!$L17,LocFeatures[[#All],[LVL]],Grind.Summary!$M17,LocFeatures[[#All],[Stage]],Grind.Summary!$N17)</f>
        <v>5</v>
      </c>
    </row>
    <row r="18" spans="1:24">
      <c r="A18" t="s">
        <v>50</v>
      </c>
      <c r="B18" s="1">
        <f t="shared" si="3"/>
        <v>0</v>
      </c>
      <c r="C18" s="1">
        <f t="shared" si="4"/>
        <v>0</v>
      </c>
      <c r="D18">
        <v>0</v>
      </c>
      <c r="E18">
        <v>0</v>
      </c>
      <c r="F18">
        <v>0</v>
      </c>
      <c r="H18">
        <v>0</v>
      </c>
      <c r="I18">
        <f t="shared" si="2"/>
        <v>75</v>
      </c>
      <c r="J18" s="48">
        <f>Tabela16[[#This Row],[Ene refill to XP]]/30*Tabela16[[#This Row],[Energy pool]]+Tabela16[[#This Row],[Ene to XP]]</f>
        <v>0</v>
      </c>
      <c r="K18" s="48">
        <f>Tabela16[[#This Row],[Ener refill no XP]]/30*Tabela16[[#This Row],[Energy pool]]+Tabela16[[#This Row],[Ene no XP]]</f>
        <v>0</v>
      </c>
      <c r="L18" s="44" t="s">
        <v>8</v>
      </c>
      <c r="M18" s="45" t="s">
        <v>32</v>
      </c>
      <c r="N18" s="44">
        <v>3</v>
      </c>
      <c r="O18">
        <f>SUMIFS(LocFeatures[[#All],[XP Train Gain]],LocFeatures[[#All],[Location]],Grind.Summary!$L18,LocFeatures[[#All],[LVL]],Grind.Summary!$M18,LocFeatures[[#All],[Stage]],Grind.Summary!$N18)</f>
        <v>5400</v>
      </c>
      <c r="P18">
        <f>SUMIFS(LocFeatures[[#All],[Drop worth gain]],LocFeatures[[#All],[Location]],Grind.Summary!$L18,LocFeatures[[#All],[LVL]],Grind.Summary!$M18,LocFeatures[[#All],[Stage]],Grind.Summary!$N18)</f>
        <v>4412.5320512820508</v>
      </c>
      <c r="Q18">
        <f>SUMIFS(LocFeatures[[#All],[Energy gain]],LocFeatures[[#All],[Location]],Grind.Summary!$L18,LocFeatures[[#All],[LVL]],Grind.Summary!$M18,LocFeatures[[#All],[Stage]],Grind.Summary!$N18)</f>
        <v>0.98076923076923073</v>
      </c>
      <c r="R18">
        <f>SUMIFS(LocFeatures[[#All],[E. Cost]],LocFeatures[[#All],[Location]],Grind.Summary!$L18,LocFeatures[[#All],[LVL]],Grind.Summary!$M18,LocFeatures[[#All],[Stage]],Grind.Summary!$N18)</f>
        <v>5</v>
      </c>
    </row>
    <row r="19" spans="1:24">
      <c r="A19" t="s">
        <v>62</v>
      </c>
      <c r="B19" s="1">
        <f t="shared" ref="B19" si="5">(2*$J19+$K19)/($R19-$Q19)*O19</f>
        <v>0</v>
      </c>
      <c r="C19" s="1">
        <f t="shared" ref="C19" si="6">($J19+$K19)/($R19-$Q19)*P19</f>
        <v>0</v>
      </c>
      <c r="D19">
        <v>0</v>
      </c>
      <c r="E19">
        <v>0</v>
      </c>
      <c r="F19">
        <v>0</v>
      </c>
      <c r="H19">
        <v>0</v>
      </c>
      <c r="I19">
        <f t="shared" si="2"/>
        <v>75</v>
      </c>
      <c r="J19" s="48">
        <f>Tabela16[[#This Row],[Ene refill to XP]]/30*Tabela16[[#This Row],[Energy pool]]+Tabela16[[#This Row],[Ene to XP]]</f>
        <v>0</v>
      </c>
      <c r="K19" s="48">
        <f>Tabela16[[#This Row],[Ener refill no XP]]/30*Tabela16[[#This Row],[Energy pool]]+Tabela16[[#This Row],[Ene no XP]]</f>
        <v>0</v>
      </c>
      <c r="L19" s="44" t="s">
        <v>8</v>
      </c>
      <c r="M19" s="45" t="s">
        <v>32</v>
      </c>
      <c r="N19" s="44">
        <v>3</v>
      </c>
      <c r="O19">
        <f>SUMIFS(LocFeatures[[#All],[XP Train Gain]],LocFeatures[[#All],[Location]],Grind.Summary!$L19,LocFeatures[[#All],[LVL]],Grind.Summary!$M19,LocFeatures[[#All],[Stage]],Grind.Summary!$N19)</f>
        <v>5400</v>
      </c>
      <c r="P19">
        <f>SUMIFS(LocFeatures[[#All],[Drop worth gain]],LocFeatures[[#All],[Location]],Grind.Summary!$L19,LocFeatures[[#All],[LVL]],Grind.Summary!$M19,LocFeatures[[#All],[Stage]],Grind.Summary!$N19)</f>
        <v>4412.5320512820508</v>
      </c>
      <c r="Q19">
        <f>SUMIFS(LocFeatures[[#All],[Energy gain]],LocFeatures[[#All],[Location]],Grind.Summary!$L19,LocFeatures[[#All],[LVL]],Grind.Summary!$M19,LocFeatures[[#All],[Stage]],Grind.Summary!$N19)</f>
        <v>0.98076923076923073</v>
      </c>
      <c r="R19">
        <f>SUMIFS(LocFeatures[[#All],[E. Cost]],LocFeatures[[#All],[Location]],Grind.Summary!$L19,LocFeatures[[#All],[LVL]],Grind.Summary!$M19,LocFeatures[[#All],[Stage]],Grind.Summary!$N19)</f>
        <v>5</v>
      </c>
    </row>
    <row r="20" spans="1:24">
      <c r="A20" t="s">
        <v>61</v>
      </c>
      <c r="B20" s="1">
        <f t="shared" ref="B20" si="7">(2*$J20+$K20)/($R20-$Q20)*O20</f>
        <v>0</v>
      </c>
      <c r="C20" s="1">
        <f t="shared" ref="C20" si="8">($J20+$K20)/($R20-$Q20)*P20</f>
        <v>0</v>
      </c>
      <c r="D20">
        <v>0</v>
      </c>
      <c r="E20">
        <v>0</v>
      </c>
      <c r="F20">
        <v>0</v>
      </c>
      <c r="H20">
        <v>0</v>
      </c>
      <c r="I20">
        <f t="shared" si="2"/>
        <v>75</v>
      </c>
      <c r="J20" s="48">
        <f>Tabela16[[#This Row],[Ene refill to XP]]/30*Tabela16[[#This Row],[Energy pool]]+Tabela16[[#This Row],[Ene to XP]]</f>
        <v>0</v>
      </c>
      <c r="K20" s="48">
        <f>Tabela16[[#This Row],[Ener refill no XP]]/30*Tabela16[[#This Row],[Energy pool]]+Tabela16[[#This Row],[Ene no XP]]</f>
        <v>0</v>
      </c>
      <c r="L20" s="44" t="s">
        <v>8</v>
      </c>
      <c r="M20" s="45" t="s">
        <v>32</v>
      </c>
      <c r="N20" s="44">
        <v>3</v>
      </c>
      <c r="O20">
        <f>SUMIFS(LocFeatures[[#All],[XP Train Gain]],LocFeatures[[#All],[Location]],Grind.Summary!$L20,LocFeatures[[#All],[LVL]],Grind.Summary!$M20,LocFeatures[[#All],[Stage]],Grind.Summary!$N20)</f>
        <v>5400</v>
      </c>
      <c r="P20">
        <f>SUMIFS(LocFeatures[[#All],[Drop worth gain]],LocFeatures[[#All],[Location]],Grind.Summary!$L20,LocFeatures[[#All],[LVL]],Grind.Summary!$M20,LocFeatures[[#All],[Stage]],Grind.Summary!$N20)</f>
        <v>4412.5320512820508</v>
      </c>
      <c r="Q20">
        <f>SUMIFS(LocFeatures[[#All],[Energy gain]],LocFeatures[[#All],[Location]],Grind.Summary!$L20,LocFeatures[[#All],[LVL]],Grind.Summary!$M20,LocFeatures[[#All],[Stage]],Grind.Summary!$N20)</f>
        <v>0.98076923076923073</v>
      </c>
      <c r="R20">
        <f>SUMIFS(LocFeatures[[#All],[E. Cost]],LocFeatures[[#All],[Location]],Grind.Summary!$L20,LocFeatures[[#All],[LVL]],Grind.Summary!$M20,LocFeatures[[#All],[Stage]],Grind.Summary!$N20)</f>
        <v>5</v>
      </c>
    </row>
    <row r="21" spans="1:24">
      <c r="A21" t="s">
        <v>63</v>
      </c>
      <c r="B21" s="1">
        <f t="shared" ref="B21:B23" si="9">(2*$J21+$K21)/($R21-$Q21)*O21</f>
        <v>0</v>
      </c>
      <c r="C21" s="1">
        <f t="shared" ref="C21:C23" si="10">($J21+$K21)/($R21-$Q21)*P21</f>
        <v>0</v>
      </c>
      <c r="D21">
        <v>0</v>
      </c>
      <c r="E21">
        <v>0</v>
      </c>
      <c r="F21">
        <v>0</v>
      </c>
      <c r="H21">
        <v>0</v>
      </c>
      <c r="I21">
        <f t="shared" si="2"/>
        <v>75</v>
      </c>
      <c r="J21" s="48">
        <f>Tabela16[[#This Row],[Ene refill to XP]]/30*Tabela16[[#This Row],[Energy pool]]+Tabela16[[#This Row],[Ene to XP]]</f>
        <v>0</v>
      </c>
      <c r="K21" s="48">
        <f>Tabela16[[#This Row],[Ener refill no XP]]/30*Tabela16[[#This Row],[Energy pool]]+Tabela16[[#This Row],[Ene no XP]]</f>
        <v>0</v>
      </c>
      <c r="L21" s="44" t="s">
        <v>8</v>
      </c>
      <c r="M21" s="45" t="s">
        <v>32</v>
      </c>
      <c r="N21" s="44">
        <v>3</v>
      </c>
      <c r="O21">
        <f>SUMIFS(LocFeatures[[#All],[XP Train Gain]],LocFeatures[[#All],[Location]],Grind.Summary!$L21,LocFeatures[[#All],[LVL]],Grind.Summary!$M21,LocFeatures[[#All],[Stage]],Grind.Summary!$N21)</f>
        <v>5400</v>
      </c>
      <c r="P21">
        <f>SUMIFS(LocFeatures[[#All],[Drop worth gain]],LocFeatures[[#All],[Location]],Grind.Summary!$L21,LocFeatures[[#All],[LVL]],Grind.Summary!$M21,LocFeatures[[#All],[Stage]],Grind.Summary!$N21)</f>
        <v>4412.5320512820508</v>
      </c>
      <c r="Q21">
        <f>SUMIFS(LocFeatures[[#All],[Energy gain]],LocFeatures[[#All],[Location]],Grind.Summary!$L21,LocFeatures[[#All],[LVL]],Grind.Summary!$M21,LocFeatures[[#All],[Stage]],Grind.Summary!$N21)</f>
        <v>0.98076923076923073</v>
      </c>
      <c r="R21">
        <f>SUMIFS(LocFeatures[[#All],[E. Cost]],LocFeatures[[#All],[Location]],Grind.Summary!$L21,LocFeatures[[#All],[LVL]],Grind.Summary!$M21,LocFeatures[[#All],[Stage]],Grind.Summary!$N21)</f>
        <v>5</v>
      </c>
    </row>
    <row r="22" spans="1:24">
      <c r="A22" t="s">
        <v>62</v>
      </c>
      <c r="B22" s="1">
        <f t="shared" si="9"/>
        <v>0</v>
      </c>
      <c r="C22" s="1">
        <f t="shared" si="10"/>
        <v>0</v>
      </c>
      <c r="D22">
        <v>0</v>
      </c>
      <c r="E22">
        <v>0</v>
      </c>
      <c r="F22">
        <v>0</v>
      </c>
      <c r="H22">
        <v>0</v>
      </c>
      <c r="I22">
        <f t="shared" si="2"/>
        <v>75</v>
      </c>
      <c r="J22" s="48">
        <f>Tabela16[[#This Row],[Ene refill to XP]]/30*Tabela16[[#This Row],[Energy pool]]+Tabela16[[#This Row],[Ene to XP]]</f>
        <v>0</v>
      </c>
      <c r="K22" s="48">
        <f>Tabela16[[#This Row],[Ener refill no XP]]/30*Tabela16[[#This Row],[Energy pool]]+Tabela16[[#This Row],[Ene no XP]]</f>
        <v>0</v>
      </c>
      <c r="L22" s="44" t="s">
        <v>60</v>
      </c>
      <c r="M22" s="44" t="s">
        <v>9</v>
      </c>
      <c r="N22" s="44">
        <v>1</v>
      </c>
      <c r="O22">
        <f>SUMIFS(LocFeatures[[#All],[XP Train Gain]],LocFeatures[[#All],[Location]],Grind.Summary!$L22,LocFeatures[[#All],[LVL]],Grind.Summary!$M22,LocFeatures[[#All],[Stage]],Grind.Summary!$N22)</f>
        <v>2397</v>
      </c>
      <c r="P22">
        <f>SUMIFS(LocFeatures[[#All],[Drop worth gain]],LocFeatures[[#All],[Location]],Grind.Summary!$L22,LocFeatures[[#All],[LVL]],Grind.Summary!$M22,LocFeatures[[#All],[Stage]],Grind.Summary!$N22)</f>
        <v>3789.9479166666665</v>
      </c>
      <c r="Q22">
        <f>SUMIFS(LocFeatures[[#All],[Energy gain]],LocFeatures[[#All],[Location]],Grind.Summary!$L22,LocFeatures[[#All],[LVL]],Grind.Summary!$M22,LocFeatures[[#All],[Stage]],Grind.Summary!$N22)</f>
        <v>0.88541666666666663</v>
      </c>
      <c r="R22">
        <f>SUMIFS(LocFeatures[[#All],[E. Cost]],LocFeatures[[#All],[Location]],Grind.Summary!$L22,LocFeatures[[#All],[LVL]],Grind.Summary!$M22,LocFeatures[[#All],[Stage]],Grind.Summary!$N22)</f>
        <v>3</v>
      </c>
    </row>
    <row r="23" spans="1:24">
      <c r="A23" t="s">
        <v>61</v>
      </c>
      <c r="B23" s="1">
        <f t="shared" si="9"/>
        <v>0</v>
      </c>
      <c r="C23" s="1">
        <f t="shared" si="10"/>
        <v>0</v>
      </c>
      <c r="D23">
        <v>0</v>
      </c>
      <c r="E23">
        <v>0</v>
      </c>
      <c r="F23">
        <v>0</v>
      </c>
      <c r="H23">
        <v>0</v>
      </c>
      <c r="I23">
        <f t="shared" si="2"/>
        <v>75</v>
      </c>
      <c r="J23" s="48">
        <f>Tabela16[[#This Row],[Ene refill to XP]]/30*Tabela16[[#This Row],[Energy pool]]+Tabela16[[#This Row],[Ene to XP]]</f>
        <v>0</v>
      </c>
      <c r="K23" s="48">
        <f>Tabela16[[#This Row],[Ener refill no XP]]/30*Tabela16[[#This Row],[Energy pool]]+Tabela16[[#This Row],[Ene no XP]]</f>
        <v>0</v>
      </c>
      <c r="L23" s="44" t="s">
        <v>60</v>
      </c>
      <c r="M23" s="44" t="s">
        <v>9</v>
      </c>
      <c r="N23" s="44">
        <v>1</v>
      </c>
      <c r="O23">
        <f>SUMIFS(LocFeatures[[#All],[XP Train Gain]],LocFeatures[[#All],[Location]],Grind.Summary!$L23,LocFeatures[[#All],[LVL]],Grind.Summary!$M23,LocFeatures[[#All],[Stage]],Grind.Summary!$N23)</f>
        <v>2397</v>
      </c>
      <c r="P23">
        <f>SUMIFS(LocFeatures[[#All],[Drop worth gain]],LocFeatures[[#All],[Location]],Grind.Summary!$L23,LocFeatures[[#All],[LVL]],Grind.Summary!$M23,LocFeatures[[#All],[Stage]],Grind.Summary!$N23)</f>
        <v>3789.9479166666665</v>
      </c>
      <c r="Q23">
        <f>SUMIFS(LocFeatures[[#All],[Energy gain]],LocFeatures[[#All],[Location]],Grind.Summary!$L23,LocFeatures[[#All],[LVL]],Grind.Summary!$M23,LocFeatures[[#All],[Stage]],Grind.Summary!$N23)</f>
        <v>0.88541666666666663</v>
      </c>
      <c r="R23">
        <f>SUMIFS(LocFeatures[[#All],[E. Cost]],LocFeatures[[#All],[Location]],Grind.Summary!$L23,LocFeatures[[#All],[LVL]],Grind.Summary!$M23,LocFeatures[[#All],[Stage]],Grind.Summary!$N23)</f>
        <v>3</v>
      </c>
    </row>
    <row r="24" spans="1:24">
      <c r="A24" t="s">
        <v>63</v>
      </c>
      <c r="B24" s="1">
        <f t="shared" ref="B24:B26" si="11">(2*$J24+$K24)/($R24-$Q24)*O24</f>
        <v>0</v>
      </c>
      <c r="C24" s="1">
        <f t="shared" ref="C24:C26" si="12">($J24+$K24)/($R24-$Q24)*P24</f>
        <v>0</v>
      </c>
      <c r="D24">
        <v>0</v>
      </c>
      <c r="E24">
        <v>0</v>
      </c>
      <c r="F24">
        <v>0</v>
      </c>
      <c r="H24">
        <v>0</v>
      </c>
      <c r="I24">
        <f t="shared" si="2"/>
        <v>75</v>
      </c>
      <c r="J24" s="48">
        <f>Tabela16[[#This Row],[Ene refill to XP]]/30*Tabela16[[#This Row],[Energy pool]]+Tabela16[[#This Row],[Ene to XP]]</f>
        <v>0</v>
      </c>
      <c r="K24" s="48">
        <f>Tabela16[[#This Row],[Ener refill no XP]]/30*Tabela16[[#This Row],[Energy pool]]+Tabela16[[#This Row],[Ene no XP]]</f>
        <v>0</v>
      </c>
      <c r="L24" s="44" t="s">
        <v>60</v>
      </c>
      <c r="M24" s="44" t="s">
        <v>9</v>
      </c>
      <c r="N24" s="44">
        <v>1</v>
      </c>
      <c r="O24">
        <f>SUMIFS(LocFeatures[[#All],[XP Train Gain]],LocFeatures[[#All],[Location]],Grind.Summary!$L24,LocFeatures[[#All],[LVL]],Grind.Summary!$M24,LocFeatures[[#All],[Stage]],Grind.Summary!$N24)</f>
        <v>2397</v>
      </c>
      <c r="P24">
        <f>SUMIFS(LocFeatures[[#All],[Drop worth gain]],LocFeatures[[#All],[Location]],Grind.Summary!$L24,LocFeatures[[#All],[LVL]],Grind.Summary!$M24,LocFeatures[[#All],[Stage]],Grind.Summary!$N24)</f>
        <v>3789.9479166666665</v>
      </c>
      <c r="Q24">
        <f>SUMIFS(LocFeatures[[#All],[Energy gain]],LocFeatures[[#All],[Location]],Grind.Summary!$L24,LocFeatures[[#All],[LVL]],Grind.Summary!$M24,LocFeatures[[#All],[Stage]],Grind.Summary!$N24)</f>
        <v>0.88541666666666663</v>
      </c>
      <c r="R24">
        <f>SUMIFS(LocFeatures[[#All],[E. Cost]],LocFeatures[[#All],[Location]],Grind.Summary!$L24,LocFeatures[[#All],[LVL]],Grind.Summary!$M24,LocFeatures[[#All],[Stage]],Grind.Summary!$N24)</f>
        <v>3</v>
      </c>
    </row>
    <row r="25" spans="1:24">
      <c r="A25" t="s">
        <v>62</v>
      </c>
      <c r="B25" s="1">
        <f t="shared" si="11"/>
        <v>0</v>
      </c>
      <c r="C25" s="1">
        <f t="shared" si="12"/>
        <v>0</v>
      </c>
      <c r="D25">
        <v>0</v>
      </c>
      <c r="E25">
        <v>0</v>
      </c>
      <c r="F25">
        <v>0</v>
      </c>
      <c r="H25">
        <v>0</v>
      </c>
      <c r="I25">
        <f t="shared" si="2"/>
        <v>75</v>
      </c>
      <c r="J25" s="48">
        <f>Tabela16[[#This Row],[Ene refill to XP]]/30*Tabela16[[#This Row],[Energy pool]]+Tabela16[[#This Row],[Ene to XP]]</f>
        <v>0</v>
      </c>
      <c r="K25" s="48">
        <f>Tabela16[[#This Row],[Ener refill no XP]]/30*Tabela16[[#This Row],[Energy pool]]+Tabela16[[#This Row],[Ene no XP]]</f>
        <v>0</v>
      </c>
      <c r="L25" s="44" t="s">
        <v>31</v>
      </c>
      <c r="M25" s="44" t="s">
        <v>9</v>
      </c>
      <c r="N25" s="44">
        <v>1</v>
      </c>
      <c r="O25">
        <f>SUMIFS(LocFeatures[[#All],[XP Train Gain]],LocFeatures[[#All],[Location]],Grind.Summary!$L25,LocFeatures[[#All],[LVL]],Grind.Summary!$M25,LocFeatures[[#All],[Stage]],Grind.Summary!$N25)</f>
        <v>2268</v>
      </c>
      <c r="P25">
        <f>SUMIFS(LocFeatures[[#All],[Drop worth gain]],LocFeatures[[#All],[Location]],Grind.Summary!$L25,LocFeatures[[#All],[LVL]],Grind.Summary!$M25,LocFeatures[[#All],[Stage]],Grind.Summary!$N25)</f>
        <v>3224.358024691358</v>
      </c>
      <c r="Q25">
        <f>SUMIFS(LocFeatures[[#All],[Energy gain]],LocFeatures[[#All],[Location]],Grind.Summary!$L25,LocFeatures[[#All],[LVL]],Grind.Summary!$M25,LocFeatures[[#All],[Stage]],Grind.Summary!$N25)</f>
        <v>0.87654320987654322</v>
      </c>
      <c r="R25">
        <f>SUMIFS(LocFeatures[[#All],[E. Cost]],LocFeatures[[#All],[Location]],Grind.Summary!$L25,LocFeatures[[#All],[LVL]],Grind.Summary!$M25,LocFeatures[[#All],[Stage]],Grind.Summary!$N25)</f>
        <v>3</v>
      </c>
    </row>
    <row r="26" spans="1:24">
      <c r="A26" t="s">
        <v>61</v>
      </c>
      <c r="B26" s="1">
        <f t="shared" si="11"/>
        <v>0</v>
      </c>
      <c r="C26" s="1">
        <f t="shared" si="12"/>
        <v>0</v>
      </c>
      <c r="D26">
        <v>0</v>
      </c>
      <c r="E26">
        <v>0</v>
      </c>
      <c r="F26">
        <v>0</v>
      </c>
      <c r="H26">
        <v>0</v>
      </c>
      <c r="I26">
        <f t="shared" si="2"/>
        <v>75</v>
      </c>
      <c r="J26" s="48">
        <f>Tabela16[[#This Row],[Ene refill to XP]]/30*Tabela16[[#This Row],[Energy pool]]+Tabela16[[#This Row],[Ene to XP]]</f>
        <v>0</v>
      </c>
      <c r="K26" s="48">
        <f>Tabela16[[#This Row],[Ener refill no XP]]/30*Tabela16[[#This Row],[Energy pool]]+Tabela16[[#This Row],[Ene no XP]]</f>
        <v>0</v>
      </c>
      <c r="L26" s="44" t="s">
        <v>31</v>
      </c>
      <c r="M26" s="44" t="s">
        <v>9</v>
      </c>
      <c r="N26" s="44">
        <v>1</v>
      </c>
      <c r="O26">
        <f>SUMIFS(LocFeatures[[#All],[XP Train Gain]],LocFeatures[[#All],[Location]],Grind.Summary!$L26,LocFeatures[[#All],[LVL]],Grind.Summary!$M26,LocFeatures[[#All],[Stage]],Grind.Summary!$N26)</f>
        <v>2268</v>
      </c>
      <c r="P26">
        <f>SUMIFS(LocFeatures[[#All],[Drop worth gain]],LocFeatures[[#All],[Location]],Grind.Summary!$L26,LocFeatures[[#All],[LVL]],Grind.Summary!$M26,LocFeatures[[#All],[Stage]],Grind.Summary!$N26)</f>
        <v>3224.358024691358</v>
      </c>
      <c r="Q26">
        <f>SUMIFS(LocFeatures[[#All],[Energy gain]],LocFeatures[[#All],[Location]],Grind.Summary!$L26,LocFeatures[[#All],[LVL]],Grind.Summary!$M26,LocFeatures[[#All],[Stage]],Grind.Summary!$N26)</f>
        <v>0.87654320987654322</v>
      </c>
      <c r="R26">
        <f>SUMIFS(LocFeatures[[#All],[E. Cost]],LocFeatures[[#All],[Location]],Grind.Summary!$L26,LocFeatures[[#All],[LVL]],Grind.Summary!$M26,LocFeatures[[#All],[Stage]],Grind.Summary!$N26)</f>
        <v>3</v>
      </c>
    </row>
    <row r="27" spans="1:24">
      <c r="A27" t="s">
        <v>63</v>
      </c>
      <c r="B27" s="1">
        <f t="shared" ref="B27" si="13">(2*$J27+$K27)/($R27-$Q27)*O27</f>
        <v>0</v>
      </c>
      <c r="C27" s="1">
        <f t="shared" ref="C27" si="14">($J27+$K27)/($R27-$Q27)*P27</f>
        <v>0</v>
      </c>
      <c r="D27">
        <v>0</v>
      </c>
      <c r="E27">
        <v>0</v>
      </c>
      <c r="F27">
        <v>0</v>
      </c>
      <c r="H27">
        <v>0</v>
      </c>
      <c r="I27">
        <f t="shared" si="2"/>
        <v>75</v>
      </c>
      <c r="J27" s="48">
        <f>Tabela16[[#This Row],[Ene refill to XP]]/30*Tabela16[[#This Row],[Energy pool]]+Tabela16[[#This Row],[Ene to XP]]</f>
        <v>0</v>
      </c>
      <c r="K27" s="48">
        <f>Tabela16[[#This Row],[Ener refill no XP]]/30*Tabela16[[#This Row],[Energy pool]]+Tabela16[[#This Row],[Ene no XP]]</f>
        <v>0</v>
      </c>
      <c r="L27" s="44" t="s">
        <v>31</v>
      </c>
      <c r="M27" s="44" t="s">
        <v>9</v>
      </c>
      <c r="N27" s="44">
        <v>1</v>
      </c>
      <c r="O27">
        <f>SUMIFS(LocFeatures[[#All],[XP Train Gain]],LocFeatures[[#All],[Location]],Grind.Summary!$L27,LocFeatures[[#All],[LVL]],Grind.Summary!$M27,LocFeatures[[#All],[Stage]],Grind.Summary!$N27)</f>
        <v>2268</v>
      </c>
      <c r="P27">
        <f>SUMIFS(LocFeatures[[#All],[Drop worth gain]],LocFeatures[[#All],[Location]],Grind.Summary!$L27,LocFeatures[[#All],[LVL]],Grind.Summary!$M27,LocFeatures[[#All],[Stage]],Grind.Summary!$N27)</f>
        <v>3224.358024691358</v>
      </c>
      <c r="Q27">
        <f>SUMIFS(LocFeatures[[#All],[Energy gain]],LocFeatures[[#All],[Location]],Grind.Summary!$L27,LocFeatures[[#All],[LVL]],Grind.Summary!$M27,LocFeatures[[#All],[Stage]],Grind.Summary!$N27)</f>
        <v>0.87654320987654322</v>
      </c>
      <c r="R27">
        <f>SUMIFS(LocFeatures[[#All],[E. Cost]],LocFeatures[[#All],[Location]],Grind.Summary!$L27,LocFeatures[[#All],[LVL]],Grind.Summary!$M27,LocFeatures[[#All],[Stage]],Grind.Summary!$N27)</f>
        <v>3</v>
      </c>
    </row>
    <row r="28" spans="1:24">
      <c r="A28" t="s">
        <v>127</v>
      </c>
      <c r="B28" s="1">
        <f t="shared" ref="B28" si="15">(2*$J28+$K28)/($R28-$Q28)*O28</f>
        <v>0</v>
      </c>
      <c r="C28" s="1">
        <f t="shared" ref="C28" si="16">($J28+$K28)/($R28-$Q28)*P28</f>
        <v>0</v>
      </c>
      <c r="D28">
        <v>0</v>
      </c>
      <c r="E28">
        <v>0</v>
      </c>
      <c r="F28">
        <v>0</v>
      </c>
      <c r="H28">
        <v>0</v>
      </c>
      <c r="I28">
        <f t="shared" si="2"/>
        <v>75</v>
      </c>
      <c r="J28" s="48">
        <f>Tabela16[[#This Row],[Ene refill to XP]]/30*Tabela16[[#This Row],[Energy pool]]+Tabela16[[#This Row],[Ene to XP]]</f>
        <v>0</v>
      </c>
      <c r="K28" s="48">
        <f>Tabela16[[#This Row],[Ener refill no XP]]/30*Tabela16[[#This Row],[Energy pool]]+Tabela16[[#This Row],[Ene no XP]]</f>
        <v>0</v>
      </c>
      <c r="L28" s="44" t="s">
        <v>31</v>
      </c>
      <c r="M28" s="44" t="s">
        <v>9</v>
      </c>
      <c r="N28" s="44">
        <v>1</v>
      </c>
      <c r="O28">
        <f>SUMIFS(LocFeatures[[#All],[XP Train Gain]],LocFeatures[[#All],[Location]],Grind.Summary!$L28,LocFeatures[[#All],[LVL]],Grind.Summary!$M28,LocFeatures[[#All],[Stage]],Grind.Summary!$N28)</f>
        <v>2268</v>
      </c>
      <c r="P28">
        <f>SUMIFS(LocFeatures[[#All],[Drop worth gain]],LocFeatures[[#All],[Location]],Grind.Summary!$L28,LocFeatures[[#All],[LVL]],Grind.Summary!$M28,LocFeatures[[#All],[Stage]],Grind.Summary!$N28)</f>
        <v>3224.358024691358</v>
      </c>
      <c r="Q28">
        <f>SUMIFS(LocFeatures[[#All],[Energy gain]],LocFeatures[[#All],[Location]],Grind.Summary!$L28,LocFeatures[[#All],[LVL]],Grind.Summary!$M28,LocFeatures[[#All],[Stage]],Grind.Summary!$N28)</f>
        <v>0.87654320987654322</v>
      </c>
      <c r="R28">
        <f>SUMIFS(LocFeatures[[#All],[E. Cost]],LocFeatures[[#All],[Location]],Grind.Summary!$L28,LocFeatures[[#All],[LVL]],Grind.Summary!$M28,LocFeatures[[#All],[Stage]],Grind.Summary!$N28)</f>
        <v>3</v>
      </c>
    </row>
    <row r="29" spans="1:24">
      <c r="A29" t="s">
        <v>4</v>
      </c>
      <c r="B29" s="1">
        <f t="shared" ref="B29:B31" si="17">(2*$J29+$K29)/($R29-$Q29)*O29</f>
        <v>480631.39534883719</v>
      </c>
      <c r="C29" s="1">
        <f t="shared" ref="C29:C31" si="18">($J29+$K29)/($R29-$Q29)*P29</f>
        <v>341650.72674418602</v>
      </c>
      <c r="D29">
        <v>90</v>
      </c>
      <c r="E29">
        <v>0</v>
      </c>
      <c r="F29">
        <v>0</v>
      </c>
      <c r="H29">
        <v>0</v>
      </c>
      <c r="I29">
        <f t="shared" si="2"/>
        <v>75</v>
      </c>
      <c r="J29" s="48">
        <f>Tabela16[[#This Row],[Ene refill to XP]]/30*Tabela16[[#This Row],[Energy pool]]+Tabela16[[#This Row],[Ene to XP]]</f>
        <v>225</v>
      </c>
      <c r="K29" s="48">
        <f>Tabela16[[#This Row],[Ener refill no XP]]/30*Tabela16[[#This Row],[Energy pool]]+Tabela16[[#This Row],[Ene no XP]]</f>
        <v>0</v>
      </c>
      <c r="L29" s="44" t="s">
        <v>31</v>
      </c>
      <c r="M29" s="44" t="s">
        <v>9</v>
      </c>
      <c r="N29" s="44">
        <v>1</v>
      </c>
      <c r="O29">
        <f>SUMIFS(LocFeatures[[#All],[XP Train Gain]],LocFeatures[[#All],[Location]],Grind.Summary!$L29,LocFeatures[[#All],[LVL]],Grind.Summary!$M29,LocFeatures[[#All],[Stage]],Grind.Summary!$N29)</f>
        <v>2268</v>
      </c>
      <c r="P29">
        <f>SUMIFS(LocFeatures[[#All],[Drop worth gain]],LocFeatures[[#All],[Location]],Grind.Summary!$L29,LocFeatures[[#All],[LVL]],Grind.Summary!$M29,LocFeatures[[#All],[Stage]],Grind.Summary!$N29)</f>
        <v>3224.358024691358</v>
      </c>
      <c r="Q29">
        <f>SUMIFS(LocFeatures[[#All],[Energy gain]],LocFeatures[[#All],[Location]],Grind.Summary!$L29,LocFeatures[[#All],[LVL]],Grind.Summary!$M29,LocFeatures[[#All],[Stage]],Grind.Summary!$N29)</f>
        <v>0.87654320987654322</v>
      </c>
      <c r="R29">
        <f>SUMIFS(LocFeatures[[#All],[E. Cost]],LocFeatures[[#All],[Location]],Grind.Summary!$L29,LocFeatures[[#All],[LVL]],Grind.Summary!$M29,LocFeatures[[#All],[Stage]],Grind.Summary!$N29)</f>
        <v>3</v>
      </c>
    </row>
    <row r="30" spans="1:24">
      <c r="A30" t="s">
        <v>128</v>
      </c>
      <c r="B30" s="1">
        <f t="shared" ref="B30" si="19">(2*$J30+$K30)/($R30-$Q30)*O30</f>
        <v>640841.86046511622</v>
      </c>
      <c r="C30" s="1">
        <f t="shared" ref="C30" si="20">($J30+$K30)/($R30-$Q30)*P30</f>
        <v>341650.72674418602</v>
      </c>
      <c r="D30">
        <v>90</v>
      </c>
      <c r="E30">
        <v>0</v>
      </c>
      <c r="F30">
        <v>0</v>
      </c>
      <c r="H30">
        <v>0</v>
      </c>
      <c r="I30">
        <f t="shared" si="2"/>
        <v>75</v>
      </c>
      <c r="J30" s="48">
        <f>Tabela16[[#This Row],[Ene refill to XP]]/30*Tabela16[[#This Row],[Energy pool]]+Tabela16[[#This Row],[Ene to XP]]</f>
        <v>225</v>
      </c>
      <c r="K30" s="48">
        <f>Tabela16[[#This Row],[Ener refill no XP]]/30*Tabela16[[#This Row],[Energy pool]]+Tabela16[[#This Row],[Ene no XP]]</f>
        <v>0</v>
      </c>
      <c r="L30" s="44" t="s">
        <v>31</v>
      </c>
      <c r="M30" s="44" t="s">
        <v>9</v>
      </c>
      <c r="N30" s="44">
        <v>1</v>
      </c>
      <c r="O30">
        <f>2/3*2*SUMIFS(LocFeatures[[#All],[XP Train Gain]],LocFeatures[[#All],[Location]],Grind.Summary!$L30,LocFeatures[[#All],[LVL]],Grind.Summary!$M30,LocFeatures[[#All],[Stage]],Grind.Summary!$N30)</f>
        <v>3024</v>
      </c>
      <c r="P30">
        <f>SUMIFS(LocFeatures[[#All],[Drop worth gain]],LocFeatures[[#All],[Location]],Grind.Summary!$L30,LocFeatures[[#All],[LVL]],Grind.Summary!$M30,LocFeatures[[#All],[Stage]],Grind.Summary!$N30)</f>
        <v>3224.358024691358</v>
      </c>
      <c r="Q30">
        <f>SUMIFS(LocFeatures[[#All],[Energy gain]],LocFeatures[[#All],[Location]],Grind.Summary!$L30,LocFeatures[[#All],[LVL]],Grind.Summary!$M30,LocFeatures[[#All],[Stage]],Grind.Summary!$N30)</f>
        <v>0.87654320987654322</v>
      </c>
      <c r="R30">
        <f>SUMIFS(LocFeatures[[#All],[E. Cost]],LocFeatures[[#All],[Location]],Grind.Summary!$L30,LocFeatures[[#All],[LVL]],Grind.Summary!$M30,LocFeatures[[#All],[Stage]],Grind.Summary!$N30)</f>
        <v>3</v>
      </c>
      <c r="V30" s="2"/>
      <c r="W30" s="2"/>
      <c r="X30" s="2"/>
    </row>
    <row r="31" spans="1:24">
      <c r="A31" t="s">
        <v>127</v>
      </c>
      <c r="B31" s="1">
        <f t="shared" si="17"/>
        <v>0</v>
      </c>
      <c r="C31" s="1">
        <f t="shared" si="18"/>
        <v>0</v>
      </c>
      <c r="D31">
        <v>0</v>
      </c>
      <c r="E31">
        <v>0</v>
      </c>
      <c r="F31">
        <v>0</v>
      </c>
      <c r="H31">
        <v>0</v>
      </c>
      <c r="I31">
        <f t="shared" si="2"/>
        <v>75</v>
      </c>
      <c r="J31" s="48">
        <f>Tabela16[[#This Row],[Ene refill to XP]]/30*Tabela16[[#This Row],[Energy pool]]+Tabela16[[#This Row],[Ene to XP]]</f>
        <v>0</v>
      </c>
      <c r="K31" s="48">
        <f>Tabela16[[#This Row],[Ener refill no XP]]/30*Tabela16[[#This Row],[Energy pool]]+Tabela16[[#This Row],[Ene no XP]]</f>
        <v>0</v>
      </c>
      <c r="L31" s="44" t="s">
        <v>8</v>
      </c>
      <c r="M31" s="45" t="s">
        <v>32</v>
      </c>
      <c r="N31" s="44">
        <v>3</v>
      </c>
      <c r="O31">
        <f>SUMIFS(LocFeatures[[#All],[XP Train Gain]],LocFeatures[[#All],[Location]],Grind.Summary!$L31,LocFeatures[[#All],[LVL]],Grind.Summary!$M31,LocFeatures[[#All],[Stage]],Grind.Summary!$N31)</f>
        <v>5400</v>
      </c>
      <c r="P31">
        <f>SUMIFS(LocFeatures[[#All],[Drop worth gain]],LocFeatures[[#All],[Location]],Grind.Summary!$L31,LocFeatures[[#All],[LVL]],Grind.Summary!$M31,LocFeatures[[#All],[Stage]],Grind.Summary!$N31)</f>
        <v>4412.5320512820508</v>
      </c>
      <c r="Q31">
        <f>SUMIFS(LocFeatures[[#All],[Energy gain]],LocFeatures[[#All],[Location]],Grind.Summary!$L31,LocFeatures[[#All],[LVL]],Grind.Summary!$M31,LocFeatures[[#All],[Stage]],Grind.Summary!$N31)</f>
        <v>0.98076923076923073</v>
      </c>
      <c r="R31">
        <f>SUMIFS(LocFeatures[[#All],[E. Cost]],LocFeatures[[#All],[Location]],Grind.Summary!$L31,LocFeatures[[#All],[LVL]],Grind.Summary!$M31,LocFeatures[[#All],[Stage]],Grind.Summary!$N31)</f>
        <v>5</v>
      </c>
    </row>
    <row r="32" spans="1:24">
      <c r="A32" t="s">
        <v>4</v>
      </c>
      <c r="B32" s="1">
        <f t="shared" ref="B32:B38" si="21">(2*$J32+$K32)/($R32-$Q32)*O32</f>
        <v>604593.30143540667</v>
      </c>
      <c r="C32" s="1">
        <f t="shared" ref="C32:C38" si="22">($J32+$K32)/($R32-$Q32)*P32</f>
        <v>247017.34449760761</v>
      </c>
      <c r="D32">
        <v>90</v>
      </c>
      <c r="E32">
        <v>0</v>
      </c>
      <c r="F32">
        <v>0</v>
      </c>
      <c r="H32">
        <v>0</v>
      </c>
      <c r="I32">
        <f t="shared" si="2"/>
        <v>75</v>
      </c>
      <c r="J32" s="48">
        <f>Tabela16[[#This Row],[Ene refill to XP]]/30*Tabela16[[#This Row],[Energy pool]]+Tabela16[[#This Row],[Ene to XP]]</f>
        <v>225</v>
      </c>
      <c r="K32" s="48">
        <f>Tabela16[[#This Row],[Ener refill no XP]]/30*Tabela16[[#This Row],[Energy pool]]+Tabela16[[#This Row],[Ene no XP]]</f>
        <v>0</v>
      </c>
      <c r="L32" s="44" t="s">
        <v>8</v>
      </c>
      <c r="M32" s="45" t="s">
        <v>32</v>
      </c>
      <c r="N32" s="44">
        <v>3</v>
      </c>
      <c r="O32">
        <f>SUMIFS(LocFeatures[[#All],[XP Train Gain]],LocFeatures[[#All],[Location]],Grind.Summary!$L32,LocFeatures[[#All],[LVL]],Grind.Summary!$M32,LocFeatures[[#All],[Stage]],Grind.Summary!$N32)</f>
        <v>5400</v>
      </c>
      <c r="P32">
        <f>SUMIFS(LocFeatures[[#All],[Drop worth gain]],LocFeatures[[#All],[Location]],Grind.Summary!$L32,LocFeatures[[#All],[LVL]],Grind.Summary!$M32,LocFeatures[[#All],[Stage]],Grind.Summary!$N32)</f>
        <v>4412.5320512820508</v>
      </c>
      <c r="Q32">
        <f>SUMIFS(LocFeatures[[#All],[Energy gain]],LocFeatures[[#All],[Location]],Grind.Summary!$L32,LocFeatures[[#All],[LVL]],Grind.Summary!$M32,LocFeatures[[#All],[Stage]],Grind.Summary!$N32)</f>
        <v>0.98076923076923073</v>
      </c>
      <c r="R32">
        <f>SUMIFS(LocFeatures[[#All],[E. Cost]],LocFeatures[[#All],[Location]],Grind.Summary!$L32,LocFeatures[[#All],[LVL]],Grind.Summary!$M32,LocFeatures[[#All],[Stage]],Grind.Summary!$N32)</f>
        <v>5</v>
      </c>
    </row>
    <row r="33" spans="1:18">
      <c r="A33" t="s">
        <v>127</v>
      </c>
      <c r="B33" s="1">
        <f t="shared" si="21"/>
        <v>0</v>
      </c>
      <c r="C33" s="1">
        <f t="shared" si="22"/>
        <v>0</v>
      </c>
      <c r="D33">
        <v>0</v>
      </c>
      <c r="E33">
        <v>0</v>
      </c>
      <c r="F33">
        <v>0</v>
      </c>
      <c r="H33">
        <v>0</v>
      </c>
      <c r="I33">
        <f t="shared" si="2"/>
        <v>75</v>
      </c>
      <c r="J33" s="48">
        <f>Tabela16[[#This Row],[Ene refill to XP]]/30*Tabela16[[#This Row],[Energy pool]]+Tabela16[[#This Row],[Ene to XP]]</f>
        <v>0</v>
      </c>
      <c r="K33" s="48">
        <f>Tabela16[[#This Row],[Ener refill no XP]]/30*Tabela16[[#This Row],[Energy pool]]+Tabela16[[#This Row],[Ene no XP]]</f>
        <v>0</v>
      </c>
      <c r="L33" s="44" t="s">
        <v>31</v>
      </c>
      <c r="M33" s="45" t="s">
        <v>30</v>
      </c>
      <c r="N33" s="44">
        <v>11</v>
      </c>
      <c r="O33">
        <f>SUMIFS(LocFeatures[[#All],[XP Train Gain]],LocFeatures[[#All],[Location]],Grind.Summary!$L33,LocFeatures[[#All],[LVL]],Grind.Summary!$M33,LocFeatures[[#All],[Stage]],Grind.Summary!$N33)</f>
        <v>3828</v>
      </c>
      <c r="P33">
        <f>SUMIFS(LocFeatures[[#All],[Drop worth gain]],LocFeatures[[#All],[Location]],Grind.Summary!$L33,LocFeatures[[#All],[LVL]],Grind.Summary!$M33,LocFeatures[[#All],[Stage]],Grind.Summary!$N33)</f>
        <v>4964.7241379310344</v>
      </c>
      <c r="Q33">
        <f>SUMIFS(LocFeatures[[#All],[Energy gain]],LocFeatures[[#All],[Location]],Grind.Summary!$L33,LocFeatures[[#All],[LVL]],Grind.Summary!$M33,LocFeatures[[#All],[Stage]],Grind.Summary!$N33)</f>
        <v>0.94252873563218387</v>
      </c>
      <c r="R33">
        <f>SUMIFS(LocFeatures[[#All],[E. Cost]],LocFeatures[[#All],[Location]],Grind.Summary!$L33,LocFeatures[[#All],[LVL]],Grind.Summary!$M33,LocFeatures[[#All],[Stage]],Grind.Summary!$N33)</f>
        <v>4</v>
      </c>
    </row>
    <row r="34" spans="1:18">
      <c r="A34" t="s">
        <v>4</v>
      </c>
      <c r="B34" s="1">
        <f t="shared" si="21"/>
        <v>563406.76691729319</v>
      </c>
      <c r="C34" s="1">
        <f t="shared" si="22"/>
        <v>365355.16917293228</v>
      </c>
      <c r="D34">
        <v>90</v>
      </c>
      <c r="E34">
        <v>0</v>
      </c>
      <c r="F34">
        <v>0</v>
      </c>
      <c r="H34">
        <v>0</v>
      </c>
      <c r="I34">
        <f t="shared" si="2"/>
        <v>75</v>
      </c>
      <c r="J34" s="48">
        <f>Tabela16[[#This Row],[Ene refill to XP]]/30*Tabela16[[#This Row],[Energy pool]]+Tabela16[[#This Row],[Ene to XP]]</f>
        <v>225</v>
      </c>
      <c r="K34" s="48">
        <f>Tabela16[[#This Row],[Ener refill no XP]]/30*Tabela16[[#This Row],[Energy pool]]+Tabela16[[#This Row],[Ene no XP]]</f>
        <v>0</v>
      </c>
      <c r="L34" s="44" t="s">
        <v>31</v>
      </c>
      <c r="M34" s="45" t="s">
        <v>30</v>
      </c>
      <c r="N34" s="44">
        <v>11</v>
      </c>
      <c r="O34">
        <f>SUMIFS(LocFeatures[[#All],[XP Train Gain]],LocFeatures[[#All],[Location]],Grind.Summary!$L34,LocFeatures[[#All],[LVL]],Grind.Summary!$M34,LocFeatures[[#All],[Stage]],Grind.Summary!$N34)</f>
        <v>3828</v>
      </c>
      <c r="P34">
        <f>SUMIFS(LocFeatures[[#All],[Drop worth gain]],LocFeatures[[#All],[Location]],Grind.Summary!$L34,LocFeatures[[#All],[LVL]],Grind.Summary!$M34,LocFeatures[[#All],[Stage]],Grind.Summary!$N34)</f>
        <v>4964.7241379310344</v>
      </c>
      <c r="Q34">
        <f>SUMIFS(LocFeatures[[#All],[Energy gain]],LocFeatures[[#All],[Location]],Grind.Summary!$L34,LocFeatures[[#All],[LVL]],Grind.Summary!$M34,LocFeatures[[#All],[Stage]],Grind.Summary!$N34)</f>
        <v>0.94252873563218387</v>
      </c>
      <c r="R34">
        <f>SUMIFS(LocFeatures[[#All],[E. Cost]],LocFeatures[[#All],[Location]],Grind.Summary!$L34,LocFeatures[[#All],[LVL]],Grind.Summary!$M34,LocFeatures[[#All],[Stage]],Grind.Summary!$N34)</f>
        <v>4</v>
      </c>
    </row>
    <row r="35" spans="1:18">
      <c r="A35" t="s">
        <v>321</v>
      </c>
      <c r="B35" s="1">
        <f t="shared" ref="B35" si="23">(2*$J35+$K35)/($R35-$Q35)*O35</f>
        <v>6929903.2330827061</v>
      </c>
      <c r="C35" s="1">
        <f t="shared" ref="C35" si="24">($J35+$K35)/($R35-$Q35)*P35</f>
        <v>5392642.2969924808</v>
      </c>
      <c r="D35">
        <v>600</v>
      </c>
      <c r="E35">
        <v>300</v>
      </c>
      <c r="F35">
        <v>714</v>
      </c>
      <c r="G35">
        <v>357</v>
      </c>
      <c r="H35">
        <v>200</v>
      </c>
      <c r="I35">
        <f t="shared" ref="I35" si="25">I34</f>
        <v>75</v>
      </c>
      <c r="J35" s="48">
        <f>Tabela16[[#This Row],[Ene refill to XP]]/30*Tabela16[[#This Row],[Energy pool]]+Tabela16[[#This Row],[Ene to XP]]</f>
        <v>2214</v>
      </c>
      <c r="K35" s="48">
        <f>Tabela16[[#This Row],[Ener refill no XP]]/30*Tabela16[[#This Row],[Energy pool]]+Tabela16[[#This Row],[Ene no XP]]</f>
        <v>1107</v>
      </c>
      <c r="L35" s="44" t="s">
        <v>31</v>
      </c>
      <c r="M35" s="45" t="s">
        <v>30</v>
      </c>
      <c r="N35" s="44">
        <v>11</v>
      </c>
      <c r="O35">
        <f>SUMIFS(LocFeatures[[#All],[XP Train Gain]],LocFeatures[[#All],[Location]],Grind.Summary!$L35,LocFeatures[[#All],[LVL]],Grind.Summary!$M35,LocFeatures[[#All],[Stage]],Grind.Summary!$N35)</f>
        <v>3828</v>
      </c>
      <c r="P35">
        <f>SUMIFS(LocFeatures[[#All],[Drop worth gain]],LocFeatures[[#All],[Location]],Grind.Summary!$L35,LocFeatures[[#All],[LVL]],Grind.Summary!$M35,LocFeatures[[#All],[Stage]],Grind.Summary!$N35)</f>
        <v>4964.7241379310344</v>
      </c>
      <c r="Q35">
        <f>SUMIFS(LocFeatures[[#All],[Energy gain]],LocFeatures[[#All],[Location]],Grind.Summary!$L35,LocFeatures[[#All],[LVL]],Grind.Summary!$M35,LocFeatures[[#All],[Stage]],Grind.Summary!$N35)</f>
        <v>0.94252873563218387</v>
      </c>
      <c r="R35">
        <f>SUMIFS(LocFeatures[[#All],[E. Cost]],LocFeatures[[#All],[Location]],Grind.Summary!$L35,LocFeatures[[#All],[LVL]],Grind.Summary!$M35,LocFeatures[[#All],[Stage]],Grind.Summary!$N35)</f>
        <v>4</v>
      </c>
    </row>
    <row r="36" spans="1:18">
      <c r="A36" t="s">
        <v>321</v>
      </c>
      <c r="B36" s="1">
        <f t="shared" si="21"/>
        <v>5856926.345864661</v>
      </c>
      <c r="C36" s="1">
        <f t="shared" si="22"/>
        <v>5798592.4849624056</v>
      </c>
      <c r="D36">
        <v>300</v>
      </c>
      <c r="E36">
        <v>700</v>
      </c>
      <c r="F36">
        <v>357</v>
      </c>
      <c r="G36">
        <f>2*357</f>
        <v>714</v>
      </c>
      <c r="H36">
        <v>100</v>
      </c>
      <c r="I36">
        <f t="shared" si="2"/>
        <v>75</v>
      </c>
      <c r="J36" s="48">
        <f>Tabela16[[#This Row],[Ene refill to XP]]/30*Tabela16[[#This Row],[Energy pool]]+Tabela16[[#This Row],[Ene to XP]]</f>
        <v>1107</v>
      </c>
      <c r="K36" s="48">
        <f>Tabela16[[#This Row],[Ener refill no XP]]/30*Tabela16[[#This Row],[Energy pool]]+Tabela16[[#This Row],[Ene no XP]]</f>
        <v>2464</v>
      </c>
      <c r="L36" s="44" t="s">
        <v>31</v>
      </c>
      <c r="M36" s="45" t="s">
        <v>30</v>
      </c>
      <c r="N36" s="44">
        <v>11</v>
      </c>
      <c r="O36">
        <f>SUMIFS(LocFeatures[[#All],[XP Train Gain]],LocFeatures[[#All],[Location]],Grind.Summary!$L36,LocFeatures[[#All],[LVL]],Grind.Summary!$M36,LocFeatures[[#All],[Stage]],Grind.Summary!$N36)</f>
        <v>3828</v>
      </c>
      <c r="P36">
        <f>SUMIFS(LocFeatures[[#All],[Drop worth gain]],LocFeatures[[#All],[Location]],Grind.Summary!$L36,LocFeatures[[#All],[LVL]],Grind.Summary!$M36,LocFeatures[[#All],[Stage]],Grind.Summary!$N36)</f>
        <v>4964.7241379310344</v>
      </c>
      <c r="Q36">
        <f>SUMIFS(LocFeatures[[#All],[Energy gain]],LocFeatures[[#All],[Location]],Grind.Summary!$L36,LocFeatures[[#All],[LVL]],Grind.Summary!$M36,LocFeatures[[#All],[Stage]],Grind.Summary!$N36)</f>
        <v>0.94252873563218387</v>
      </c>
      <c r="R36">
        <f>SUMIFS(LocFeatures[[#All],[E. Cost]],LocFeatures[[#All],[Location]],Grind.Summary!$L36,LocFeatures[[#All],[LVL]],Grind.Summary!$M36,LocFeatures[[#All],[Stage]],Grind.Summary!$N36)</f>
        <v>4</v>
      </c>
    </row>
    <row r="37" spans="1:18">
      <c r="A37" t="s">
        <v>320</v>
      </c>
      <c r="B37" s="1">
        <f t="shared" ref="B37" si="26">(2*$J37+$K37)/($R37-$Q37)*O37</f>
        <v>8315883.8796992479</v>
      </c>
      <c r="C37" s="1">
        <f t="shared" ref="C37" si="27">($J37+$K37)/($R37-$Q37)*P37</f>
        <v>5392642.2969924808</v>
      </c>
      <c r="D37">
        <v>900</v>
      </c>
      <c r="E37">
        <v>0</v>
      </c>
      <c r="F37">
        <f>3*357</f>
        <v>1071</v>
      </c>
      <c r="G37">
        <v>0</v>
      </c>
      <c r="H37">
        <v>200</v>
      </c>
      <c r="I37">
        <f t="shared" si="2"/>
        <v>75</v>
      </c>
      <c r="J37" s="48">
        <f>Tabela16[[#This Row],[Ene refill to XP]]/30*Tabela16[[#This Row],[Energy pool]]+Tabela16[[#This Row],[Ene to XP]]</f>
        <v>3321</v>
      </c>
      <c r="K37" s="48">
        <f>Tabela16[[#This Row],[Ener refill no XP]]/30*Tabela16[[#This Row],[Energy pool]]+Tabela16[[#This Row],[Ene no XP]]</f>
        <v>0</v>
      </c>
      <c r="L37" s="44" t="s">
        <v>31</v>
      </c>
      <c r="M37" s="45" t="s">
        <v>30</v>
      </c>
      <c r="N37" s="44">
        <v>11</v>
      </c>
      <c r="O37">
        <f>SUMIFS(LocFeatures[[#All],[XP Train Gain]],LocFeatures[[#All],[Location]],Grind.Summary!$L37,LocFeatures[[#All],[LVL]],Grind.Summary!$M37,LocFeatures[[#All],[Stage]],Grind.Summary!$N37)</f>
        <v>3828</v>
      </c>
      <c r="P37">
        <f>SUMIFS(LocFeatures[[#All],[Drop worth gain]],LocFeatures[[#All],[Location]],Grind.Summary!$L37,LocFeatures[[#All],[LVL]],Grind.Summary!$M37,LocFeatures[[#All],[Stage]],Grind.Summary!$N37)</f>
        <v>4964.7241379310344</v>
      </c>
      <c r="Q37">
        <f>SUMIFS(LocFeatures[[#All],[Energy gain]],LocFeatures[[#All],[Location]],Grind.Summary!$L37,LocFeatures[[#All],[LVL]],Grind.Summary!$M37,LocFeatures[[#All],[Stage]],Grind.Summary!$N37)</f>
        <v>0.94252873563218387</v>
      </c>
      <c r="R37">
        <f>SUMIFS(LocFeatures[[#All],[E. Cost]],LocFeatures[[#All],[Location]],Grind.Summary!$L37,LocFeatures[[#All],[LVL]],Grind.Summary!$M37,LocFeatures[[#All],[Stage]],Grind.Summary!$N37)</f>
        <v>4</v>
      </c>
    </row>
    <row r="38" spans="1:18">
      <c r="A38" t="s">
        <v>4</v>
      </c>
      <c r="B38" s="1">
        <f t="shared" si="21"/>
        <v>4783949.458646616</v>
      </c>
      <c r="C38" s="1">
        <f t="shared" si="22"/>
        <v>6204542.6729323305</v>
      </c>
      <c r="D38">
        <v>0</v>
      </c>
      <c r="E38">
        <v>1100</v>
      </c>
      <c r="F38">
        <v>0</v>
      </c>
      <c r="G38">
        <f>3*357</f>
        <v>1071</v>
      </c>
      <c r="H38">
        <v>0</v>
      </c>
      <c r="I38">
        <f t="shared" si="2"/>
        <v>75</v>
      </c>
      <c r="J38" s="48">
        <f>Tabela16[[#This Row],[Ene refill to XP]]/30*Tabela16[[#This Row],[Energy pool]]+Tabela16[[#This Row],[Ene to XP]]</f>
        <v>0</v>
      </c>
      <c r="K38" s="48">
        <f>Tabela16[[#This Row],[Ener refill no XP]]/30*Tabela16[[#This Row],[Energy pool]]+Tabela16[[#This Row],[Ene no XP]]</f>
        <v>3821</v>
      </c>
      <c r="L38" s="44" t="s">
        <v>31</v>
      </c>
      <c r="M38" s="45" t="s">
        <v>30</v>
      </c>
      <c r="N38" s="44">
        <v>11</v>
      </c>
      <c r="O38">
        <f>SUMIFS(LocFeatures[[#All],[XP Train Gain]],LocFeatures[[#All],[Location]],Grind.Summary!$L38,LocFeatures[[#All],[LVL]],Grind.Summary!$M38,LocFeatures[[#All],[Stage]],Grind.Summary!$N38)</f>
        <v>3828</v>
      </c>
      <c r="P38">
        <f>SUMIFS(LocFeatures[[#All],[Drop worth gain]],LocFeatures[[#All],[Location]],Grind.Summary!$L38,LocFeatures[[#All],[LVL]],Grind.Summary!$M38,LocFeatures[[#All],[Stage]],Grind.Summary!$N38)</f>
        <v>4964.7241379310344</v>
      </c>
      <c r="Q38">
        <f>SUMIFS(LocFeatures[[#All],[Energy gain]],LocFeatures[[#All],[Location]],Grind.Summary!$L38,LocFeatures[[#All],[LVL]],Grind.Summary!$M38,LocFeatures[[#All],[Stage]],Grind.Summary!$N38)</f>
        <v>0.94252873563218387</v>
      </c>
      <c r="R38">
        <f>SUMIFS(LocFeatures[[#All],[E. Cost]],LocFeatures[[#All],[Location]],Grind.Summary!$L38,LocFeatures[[#All],[LVL]],Grind.Summary!$M38,LocFeatures[[#All],[Stage]],Grind.Summary!$N38)</f>
        <v>4</v>
      </c>
    </row>
    <row r="41" spans="1:18">
      <c r="B41" t="s">
        <v>43</v>
      </c>
      <c r="C41" t="s">
        <v>44</v>
      </c>
      <c r="D41" t="s">
        <v>45</v>
      </c>
      <c r="E41" t="s">
        <v>46</v>
      </c>
      <c r="F41" t="s">
        <v>47</v>
      </c>
    </row>
    <row r="42" spans="1:18">
      <c r="A42" t="s">
        <v>42</v>
      </c>
      <c r="B42">
        <f>6*40</f>
        <v>240</v>
      </c>
      <c r="C42">
        <f>6*80</f>
        <v>480</v>
      </c>
      <c r="D42">
        <v>360</v>
      </c>
      <c r="E42">
        <f>B3</f>
        <v>318.03797468354429</v>
      </c>
      <c r="F42">
        <f>(E42+D42+120)*2</f>
        <v>1596.0759493670885</v>
      </c>
    </row>
    <row r="43" spans="1:18">
      <c r="A43" t="s">
        <v>48</v>
      </c>
      <c r="B43">
        <f>6*40</f>
        <v>240</v>
      </c>
      <c r="C43">
        <f>6*80</f>
        <v>480</v>
      </c>
      <c r="D43">
        <v>360</v>
      </c>
      <c r="E43">
        <f>E42</f>
        <v>318.03797468354429</v>
      </c>
      <c r="F43">
        <f>3*(E43+120)+D43</f>
        <v>1674.1139240506329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D33" sqref="D33"/>
    </sheetView>
  </sheetViews>
  <sheetFormatPr defaultRowHeight="14.25"/>
  <cols>
    <col min="2" max="2" width="10.75" bestFit="1" customWidth="1"/>
    <col min="3" max="3" width="14.5" bestFit="1" customWidth="1"/>
    <col min="4" max="4" width="17.625" bestFit="1" customWidth="1"/>
    <col min="5" max="5" width="11.375" bestFit="1" customWidth="1"/>
    <col min="6" max="6" width="20.875" bestFit="1" customWidth="1"/>
  </cols>
  <sheetData>
    <row r="1" spans="1:6">
      <c r="A1" t="s">
        <v>154</v>
      </c>
      <c r="B1" t="s">
        <v>155</v>
      </c>
      <c r="C1" t="s">
        <v>156</v>
      </c>
      <c r="D1" t="s">
        <v>160</v>
      </c>
      <c r="E1" t="s">
        <v>157</v>
      </c>
      <c r="F1" t="s">
        <v>10</v>
      </c>
    </row>
    <row r="2" spans="1:6">
      <c r="A2" t="s">
        <v>144</v>
      </c>
      <c r="B2" t="s">
        <v>188</v>
      </c>
      <c r="C2" t="s">
        <v>164</v>
      </c>
      <c r="D2" t="s">
        <v>169</v>
      </c>
      <c r="E2" t="s">
        <v>170</v>
      </c>
      <c r="F2" t="s">
        <v>191</v>
      </c>
    </row>
    <row r="3" spans="1:6">
      <c r="A3" t="s">
        <v>145</v>
      </c>
      <c r="B3" t="s">
        <v>188</v>
      </c>
      <c r="C3" t="s">
        <v>168</v>
      </c>
      <c r="D3" t="s">
        <v>166</v>
      </c>
      <c r="E3" t="s">
        <v>167</v>
      </c>
      <c r="F3" t="s">
        <v>191</v>
      </c>
    </row>
    <row r="4" spans="1:6">
      <c r="A4" t="s">
        <v>146</v>
      </c>
      <c r="B4" t="s">
        <v>188</v>
      </c>
      <c r="C4" t="s">
        <v>147</v>
      </c>
      <c r="D4" t="s">
        <v>169</v>
      </c>
      <c r="E4" t="s">
        <v>171</v>
      </c>
      <c r="F4" t="s">
        <v>359</v>
      </c>
    </row>
    <row r="5" spans="1:6">
      <c r="A5" t="s">
        <v>149</v>
      </c>
      <c r="B5" t="s">
        <v>148</v>
      </c>
      <c r="C5" t="s">
        <v>164</v>
      </c>
      <c r="D5" t="s">
        <v>183</v>
      </c>
      <c r="E5" t="s">
        <v>165</v>
      </c>
      <c r="F5" t="s">
        <v>192</v>
      </c>
    </row>
    <row r="6" spans="1:6">
      <c r="A6" t="s">
        <v>150</v>
      </c>
      <c r="B6" t="s">
        <v>151</v>
      </c>
      <c r="C6" t="s">
        <v>152</v>
      </c>
      <c r="D6" t="s">
        <v>163</v>
      </c>
      <c r="E6" t="s">
        <v>158</v>
      </c>
      <c r="F6" t="s">
        <v>192</v>
      </c>
    </row>
    <row r="7" spans="1:6">
      <c r="A7" t="s">
        <v>134</v>
      </c>
      <c r="B7" t="s">
        <v>184</v>
      </c>
      <c r="C7" t="s">
        <v>185</v>
      </c>
    </row>
    <row r="8" spans="1:6">
      <c r="A8" t="s">
        <v>186</v>
      </c>
      <c r="B8" t="s">
        <v>153</v>
      </c>
      <c r="C8" t="s">
        <v>84</v>
      </c>
      <c r="D8" t="s">
        <v>187</v>
      </c>
      <c r="F8" t="s">
        <v>359</v>
      </c>
    </row>
    <row r="9" spans="1:6">
      <c r="A9" t="s">
        <v>189</v>
      </c>
      <c r="B9" t="s">
        <v>151</v>
      </c>
      <c r="C9" t="s">
        <v>190</v>
      </c>
      <c r="D9" t="s">
        <v>169</v>
      </c>
      <c r="F9" t="s">
        <v>359</v>
      </c>
    </row>
    <row r="10" spans="1:6">
      <c r="A10" t="s">
        <v>208</v>
      </c>
      <c r="B10" t="s">
        <v>153</v>
      </c>
      <c r="C10" t="s">
        <v>84</v>
      </c>
    </row>
    <row r="11" spans="1:6">
      <c r="A11" t="s">
        <v>209</v>
      </c>
      <c r="B11" t="s">
        <v>148</v>
      </c>
      <c r="C11" t="s">
        <v>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T327"/>
  <sheetViews>
    <sheetView workbookViewId="0">
      <pane ySplit="1" topLeftCell="A2" activePane="bottomLeft" state="frozen"/>
      <selection pane="bottomLeft" activeCell="J12" sqref="J12"/>
    </sheetView>
  </sheetViews>
  <sheetFormatPr defaultRowHeight="15"/>
  <cols>
    <col min="1" max="2" width="11" style="169" customWidth="1"/>
    <col min="3" max="3" width="9" style="169"/>
    <col min="4" max="4" width="6.625" style="169" bestFit="1" customWidth="1"/>
    <col min="5" max="5" width="10" style="169" bestFit="1" customWidth="1"/>
    <col min="6" max="7" width="4" style="169" bestFit="1" customWidth="1"/>
    <col min="8" max="8" width="4.125" style="169" bestFit="1" customWidth="1"/>
    <col min="9" max="9" width="5.25" style="169" bestFit="1" customWidth="1"/>
    <col min="10" max="10" width="5.125" style="169" bestFit="1" customWidth="1"/>
    <col min="11" max="11" width="5.5" style="169" bestFit="1" customWidth="1"/>
    <col min="12" max="12" width="7" style="169" customWidth="1"/>
    <col min="13" max="13" width="6.875" style="169" customWidth="1"/>
    <col min="14" max="15" width="9" style="169"/>
    <col min="16" max="17" width="10.5" style="169" bestFit="1" customWidth="1"/>
    <col min="18" max="18" width="10.625" style="169" bestFit="1" customWidth="1"/>
    <col min="19" max="19" width="10.5" style="169" bestFit="1" customWidth="1"/>
    <col min="20" max="16384" width="9" style="169"/>
  </cols>
  <sheetData>
    <row r="1" spans="1:20">
      <c r="A1" s="170" t="s">
        <v>777</v>
      </c>
      <c r="B1" s="170" t="s">
        <v>778</v>
      </c>
      <c r="C1" s="170" t="s">
        <v>154</v>
      </c>
      <c r="D1" s="170" t="s">
        <v>774</v>
      </c>
      <c r="E1" s="170" t="s">
        <v>773</v>
      </c>
      <c r="F1" s="170" t="s">
        <v>772</v>
      </c>
      <c r="G1" s="170" t="s">
        <v>365</v>
      </c>
      <c r="H1" s="170" t="s">
        <v>771</v>
      </c>
      <c r="I1" s="170" t="s">
        <v>770</v>
      </c>
      <c r="J1" s="170" t="s">
        <v>769</v>
      </c>
      <c r="K1" s="170" t="s">
        <v>768</v>
      </c>
      <c r="L1" s="170" t="s">
        <v>767</v>
      </c>
      <c r="M1" s="170" t="s">
        <v>766</v>
      </c>
      <c r="N1" s="170" t="s">
        <v>765</v>
      </c>
      <c r="O1" s="170" t="s">
        <v>776</v>
      </c>
      <c r="P1" s="194" t="s">
        <v>853</v>
      </c>
      <c r="Q1" s="170" t="s">
        <v>780</v>
      </c>
      <c r="R1" s="170" t="s">
        <v>781</v>
      </c>
      <c r="S1" s="170" t="s">
        <v>782</v>
      </c>
      <c r="T1" s="170" t="s">
        <v>779</v>
      </c>
    </row>
    <row r="2" spans="1:20">
      <c r="A2" s="183">
        <v>188</v>
      </c>
      <c r="B2" s="170" t="s">
        <v>144</v>
      </c>
      <c r="C2" s="170" t="s">
        <v>358</v>
      </c>
      <c r="D2" s="170">
        <v>3</v>
      </c>
      <c r="E2" s="170" t="s">
        <v>272</v>
      </c>
      <c r="F2" s="170">
        <v>5</v>
      </c>
      <c r="G2" s="170">
        <v>5</v>
      </c>
      <c r="H2" s="170">
        <v>4</v>
      </c>
      <c r="I2" s="170">
        <v>3</v>
      </c>
      <c r="J2" s="170">
        <v>5</v>
      </c>
      <c r="K2" s="170">
        <v>4</v>
      </c>
      <c r="L2" s="170">
        <v>5</v>
      </c>
      <c r="M2" s="170">
        <v>4</v>
      </c>
      <c r="N2" s="170"/>
      <c r="O2" s="170" t="s">
        <v>204</v>
      </c>
      <c r="P2" s="170"/>
      <c r="Q2" s="180">
        <f>SUM(Tabela2[[#This Row],[G]]+Tabela2[[#This Row],[D]]+Tabela2[[#This Row],[N]]+Tabela2[[#This Row],[HM]])</f>
        <v>18</v>
      </c>
      <c r="R2" s="180">
        <f>SUM(Tabela2[[#This Row],[AO]]+Tabela2[[#This Row],[AD]]+Tabela2[[#This Row],[GWO]]+Tabela2[[#This Row],[GWD]])</f>
        <v>17</v>
      </c>
      <c r="S2" s="180">
        <f>Tabela2[[#This Row],[GWO]]+Tabela2[[#This Row],[GWD]]</f>
        <v>9</v>
      </c>
      <c r="T2" s="180">
        <f>SUM(Tabela2[[#This Row],[G]:[GWD]])</f>
        <v>35</v>
      </c>
    </row>
    <row r="3" spans="1:20" ht="30">
      <c r="A3" s="183">
        <v>271</v>
      </c>
      <c r="B3" s="172" t="s">
        <v>452</v>
      </c>
      <c r="C3" s="172" t="s">
        <v>451</v>
      </c>
      <c r="D3" s="172">
        <v>4</v>
      </c>
      <c r="E3" s="172" t="s">
        <v>250</v>
      </c>
      <c r="F3" s="172">
        <v>5</v>
      </c>
      <c r="G3" s="172">
        <v>3</v>
      </c>
      <c r="H3" s="172">
        <v>3</v>
      </c>
      <c r="I3" s="172">
        <v>4</v>
      </c>
      <c r="J3" s="172">
        <v>5</v>
      </c>
      <c r="K3" s="172">
        <v>5</v>
      </c>
      <c r="L3" s="172">
        <v>5</v>
      </c>
      <c r="M3" s="172">
        <v>5</v>
      </c>
      <c r="N3" s="170"/>
      <c r="O3" s="170"/>
      <c r="P3" s="170"/>
      <c r="Q3" s="180">
        <f>SUM(Tabela2[[#This Row],[G]]+Tabela2[[#This Row],[D]]+Tabela2[[#This Row],[N]]+Tabela2[[#This Row],[HM]])</f>
        <v>16</v>
      </c>
      <c r="R3" s="180">
        <f>SUM(Tabela2[[#This Row],[AO]]+Tabela2[[#This Row],[AD]]+Tabela2[[#This Row],[GWO]]+Tabela2[[#This Row],[GWD]])</f>
        <v>19</v>
      </c>
      <c r="S3" s="180">
        <f>Tabela2[[#This Row],[GWO]]+Tabela2[[#This Row],[GWD]]</f>
        <v>10</v>
      </c>
      <c r="T3" s="180">
        <f>SUM(Tabela2[[#This Row],[G]:[GWD]])</f>
        <v>35</v>
      </c>
    </row>
    <row r="4" spans="1:20">
      <c r="A4" s="183">
        <v>225</v>
      </c>
      <c r="B4" s="175" t="s">
        <v>496</v>
      </c>
      <c r="C4" s="175" t="s">
        <v>184</v>
      </c>
      <c r="D4" s="175">
        <v>4</v>
      </c>
      <c r="E4" s="175" t="s">
        <v>18</v>
      </c>
      <c r="F4" s="175">
        <v>3</v>
      </c>
      <c r="G4" s="175">
        <v>5</v>
      </c>
      <c r="H4" s="175">
        <v>3</v>
      </c>
      <c r="I4" s="175">
        <v>5</v>
      </c>
      <c r="J4" s="175">
        <v>5</v>
      </c>
      <c r="K4" s="175">
        <v>5</v>
      </c>
      <c r="L4" s="175">
        <v>4</v>
      </c>
      <c r="M4" s="175">
        <v>5</v>
      </c>
      <c r="N4" s="170"/>
      <c r="O4" s="170"/>
      <c r="P4" s="170"/>
      <c r="Q4" s="180">
        <f>SUM(Tabela2[[#This Row],[G]]+Tabela2[[#This Row],[D]]+Tabela2[[#This Row],[N]]+Tabela2[[#This Row],[HM]])</f>
        <v>16</v>
      </c>
      <c r="R4" s="180">
        <f>SUM(Tabela2[[#This Row],[AO]]+Tabela2[[#This Row],[AD]]+Tabela2[[#This Row],[GWO]]+Tabela2[[#This Row],[GWD]])</f>
        <v>19</v>
      </c>
      <c r="S4" s="180">
        <f>Tabela2[[#This Row],[GWO]]+Tabela2[[#This Row],[GWD]]</f>
        <v>9</v>
      </c>
      <c r="T4" s="180">
        <f>SUM(Tabela2[[#This Row],[G]:[GWD]])</f>
        <v>35</v>
      </c>
    </row>
    <row r="5" spans="1:20">
      <c r="A5" s="183">
        <v>118</v>
      </c>
      <c r="B5" s="172" t="s">
        <v>149</v>
      </c>
      <c r="C5" s="172" t="s">
        <v>552</v>
      </c>
      <c r="D5" s="172">
        <v>3</v>
      </c>
      <c r="E5" s="172" t="s">
        <v>250</v>
      </c>
      <c r="F5" s="172">
        <v>5</v>
      </c>
      <c r="G5" s="172">
        <v>4</v>
      </c>
      <c r="H5" s="172">
        <v>3</v>
      </c>
      <c r="I5" s="172">
        <v>5</v>
      </c>
      <c r="J5" s="172">
        <v>5</v>
      </c>
      <c r="K5" s="172">
        <v>5</v>
      </c>
      <c r="L5" s="172">
        <v>4</v>
      </c>
      <c r="M5" s="172">
        <v>3</v>
      </c>
      <c r="N5" s="170"/>
      <c r="O5" s="170" t="s">
        <v>204</v>
      </c>
      <c r="P5" s="170"/>
      <c r="Q5" s="180">
        <f>SUM(Tabela2[[#This Row],[G]]+Tabela2[[#This Row],[D]]+Tabela2[[#This Row],[N]]+Tabela2[[#This Row],[HM]])</f>
        <v>17</v>
      </c>
      <c r="R5" s="180">
        <f>SUM(Tabela2[[#This Row],[AO]]+Tabela2[[#This Row],[AD]]+Tabela2[[#This Row],[GWO]]+Tabela2[[#This Row],[GWD]])</f>
        <v>17</v>
      </c>
      <c r="S5" s="180">
        <f>Tabela2[[#This Row],[GWO]]+Tabela2[[#This Row],[GWD]]</f>
        <v>7</v>
      </c>
      <c r="T5" s="180">
        <f>SUM(Tabela2[[#This Row],[G]:[GWD]])</f>
        <v>34</v>
      </c>
    </row>
    <row r="6" spans="1:20">
      <c r="A6" s="183">
        <v>325</v>
      </c>
      <c r="B6" s="170" t="s">
        <v>377</v>
      </c>
      <c r="C6" s="170" t="s">
        <v>376</v>
      </c>
      <c r="D6" s="170">
        <v>4</v>
      </c>
      <c r="E6" s="170" t="s">
        <v>272</v>
      </c>
      <c r="F6" s="170">
        <v>3</v>
      </c>
      <c r="G6" s="170">
        <v>3</v>
      </c>
      <c r="H6" s="170">
        <v>3</v>
      </c>
      <c r="I6" s="170">
        <v>5</v>
      </c>
      <c r="J6" s="170">
        <v>5</v>
      </c>
      <c r="K6" s="170">
        <v>5</v>
      </c>
      <c r="L6" s="170">
        <v>5</v>
      </c>
      <c r="M6" s="170">
        <v>4</v>
      </c>
      <c r="N6" s="170"/>
      <c r="O6" s="170"/>
      <c r="P6" s="170"/>
      <c r="Q6" s="180">
        <f>SUM(Tabela2[[#This Row],[G]]+Tabela2[[#This Row],[D]]+Tabela2[[#This Row],[N]]+Tabela2[[#This Row],[HM]])</f>
        <v>14</v>
      </c>
      <c r="R6" s="180">
        <f>SUM(Tabela2[[#This Row],[AO]]+Tabela2[[#This Row],[AD]]+Tabela2[[#This Row],[GWO]]+Tabela2[[#This Row],[GWD]])</f>
        <v>19</v>
      </c>
      <c r="S6" s="180">
        <f>Tabela2[[#This Row],[GWO]]+Tabela2[[#This Row],[GWD]]</f>
        <v>9</v>
      </c>
      <c r="T6" s="180">
        <f>SUM(Tabela2[[#This Row],[G]:[GWD]])</f>
        <v>33</v>
      </c>
    </row>
    <row r="7" spans="1:20" ht="30">
      <c r="A7" s="183">
        <v>242</v>
      </c>
      <c r="B7" s="174" t="s">
        <v>480</v>
      </c>
      <c r="C7" s="174" t="s">
        <v>386</v>
      </c>
      <c r="D7" s="174">
        <v>4</v>
      </c>
      <c r="E7" s="174" t="s">
        <v>249</v>
      </c>
      <c r="F7" s="174">
        <v>5</v>
      </c>
      <c r="G7" s="174">
        <v>5</v>
      </c>
      <c r="H7" s="174">
        <v>1</v>
      </c>
      <c r="I7" s="174">
        <v>5</v>
      </c>
      <c r="J7" s="174">
        <v>2</v>
      </c>
      <c r="K7" s="174">
        <v>1</v>
      </c>
      <c r="L7" s="174">
        <v>5</v>
      </c>
      <c r="M7" s="174">
        <v>5</v>
      </c>
      <c r="N7" s="170"/>
      <c r="O7" s="170"/>
      <c r="P7" s="170"/>
      <c r="Q7" s="180">
        <f>SUM(Tabela2[[#This Row],[G]]+Tabela2[[#This Row],[D]]+Tabela2[[#This Row],[N]]+Tabela2[[#This Row],[HM]])</f>
        <v>12</v>
      </c>
      <c r="R7" s="180">
        <f>SUM(Tabela2[[#This Row],[AO]]+Tabela2[[#This Row],[AD]]+Tabela2[[#This Row],[GWO]]+Tabela2[[#This Row],[GWD]])</f>
        <v>17</v>
      </c>
      <c r="S7" s="180">
        <f>Tabela2[[#This Row],[GWO]]+Tabela2[[#This Row],[GWD]]</f>
        <v>10</v>
      </c>
      <c r="T7" s="180">
        <f>SUM(Tabela2[[#This Row],[G]:[GWD]])</f>
        <v>29</v>
      </c>
    </row>
    <row r="8" spans="1:20" ht="30">
      <c r="A8" s="183">
        <v>228</v>
      </c>
      <c r="B8" s="174" t="s">
        <v>493</v>
      </c>
      <c r="C8" s="174" t="s">
        <v>415</v>
      </c>
      <c r="D8" s="174">
        <v>4</v>
      </c>
      <c r="E8" s="174" t="s">
        <v>249</v>
      </c>
      <c r="F8" s="174">
        <v>2</v>
      </c>
      <c r="G8" s="174">
        <v>3</v>
      </c>
      <c r="H8" s="174">
        <v>1</v>
      </c>
      <c r="I8" s="174">
        <v>4</v>
      </c>
      <c r="J8" s="174">
        <v>5</v>
      </c>
      <c r="K8" s="174">
        <v>1</v>
      </c>
      <c r="L8" s="174">
        <v>5</v>
      </c>
      <c r="M8" s="174">
        <v>5</v>
      </c>
      <c r="N8" s="170"/>
      <c r="O8" s="170" t="s">
        <v>204</v>
      </c>
      <c r="P8" s="170"/>
      <c r="Q8" s="180">
        <f>SUM(Tabela2[[#This Row],[G]]+Tabela2[[#This Row],[D]]+Tabela2[[#This Row],[N]]+Tabela2[[#This Row],[HM]])</f>
        <v>7</v>
      </c>
      <c r="R8" s="180">
        <f>SUM(Tabela2[[#This Row],[AO]]+Tabela2[[#This Row],[AD]]+Tabela2[[#This Row],[GWO]]+Tabela2[[#This Row],[GWD]])</f>
        <v>19</v>
      </c>
      <c r="S8" s="180">
        <f>Tabela2[[#This Row],[GWO]]+Tabela2[[#This Row],[GWD]]</f>
        <v>10</v>
      </c>
      <c r="T8" s="180">
        <f>SUM(Tabela2[[#This Row],[G]:[GWD]])</f>
        <v>26</v>
      </c>
    </row>
    <row r="9" spans="1:20" ht="30">
      <c r="A9" s="183">
        <v>284</v>
      </c>
      <c r="B9" s="171" t="s">
        <v>436</v>
      </c>
      <c r="C9" s="171" t="s">
        <v>407</v>
      </c>
      <c r="D9" s="171">
        <v>4</v>
      </c>
      <c r="E9" s="171" t="s">
        <v>251</v>
      </c>
      <c r="F9" s="171">
        <v>2</v>
      </c>
      <c r="G9" s="171">
        <v>2</v>
      </c>
      <c r="H9" s="171">
        <v>4</v>
      </c>
      <c r="I9" s="171">
        <v>4</v>
      </c>
      <c r="J9" s="171">
        <v>4</v>
      </c>
      <c r="K9" s="171">
        <v>1</v>
      </c>
      <c r="L9" s="171">
        <v>5</v>
      </c>
      <c r="M9" s="171">
        <v>4</v>
      </c>
      <c r="N9" s="170"/>
      <c r="O9" s="170"/>
      <c r="P9" s="170"/>
      <c r="Q9" s="180">
        <f>SUM(Tabela2[[#This Row],[G]]+Tabela2[[#This Row],[D]]+Tabela2[[#This Row],[N]]+Tabela2[[#This Row],[HM]])</f>
        <v>9</v>
      </c>
      <c r="R9" s="180">
        <f>SUM(Tabela2[[#This Row],[AO]]+Tabela2[[#This Row],[AD]]+Tabela2[[#This Row],[GWO]]+Tabela2[[#This Row],[GWD]])</f>
        <v>17</v>
      </c>
      <c r="S9" s="180">
        <f>Tabela2[[#This Row],[GWO]]+Tabela2[[#This Row],[GWD]]</f>
        <v>9</v>
      </c>
      <c r="T9" s="180">
        <f>SUM(Tabela2[[#This Row],[G]:[GWD]])</f>
        <v>26</v>
      </c>
    </row>
    <row r="10" spans="1:20">
      <c r="A10" s="183">
        <v>197</v>
      </c>
      <c r="B10" s="170" t="s">
        <v>145</v>
      </c>
      <c r="C10" s="170" t="s">
        <v>267</v>
      </c>
      <c r="D10" s="170">
        <v>3</v>
      </c>
      <c r="E10" s="170" t="s">
        <v>272</v>
      </c>
      <c r="F10" s="170">
        <v>4</v>
      </c>
      <c r="G10" s="170">
        <v>2</v>
      </c>
      <c r="H10" s="170">
        <v>1</v>
      </c>
      <c r="I10" s="170">
        <v>3</v>
      </c>
      <c r="J10" s="170">
        <v>4</v>
      </c>
      <c r="K10" s="170">
        <v>3</v>
      </c>
      <c r="L10" s="170">
        <v>4</v>
      </c>
      <c r="M10" s="170">
        <v>4</v>
      </c>
      <c r="N10" s="170"/>
      <c r="O10" s="170" t="s">
        <v>204</v>
      </c>
      <c r="P10" s="170"/>
      <c r="Q10" s="180">
        <f>SUM(Tabela2[[#This Row],[G]]+Tabela2[[#This Row],[D]]+Tabela2[[#This Row],[N]]+Tabela2[[#This Row],[HM]])</f>
        <v>10</v>
      </c>
      <c r="R10" s="180">
        <f>SUM(Tabela2[[#This Row],[AO]]+Tabela2[[#This Row],[AD]]+Tabela2[[#This Row],[GWO]]+Tabela2[[#This Row],[GWD]])</f>
        <v>15</v>
      </c>
      <c r="S10" s="180">
        <f>Tabela2[[#This Row],[GWO]]+Tabela2[[#This Row],[GWD]]</f>
        <v>8</v>
      </c>
      <c r="T10" s="180">
        <f>SUM(Tabela2[[#This Row],[G]:[GWD]])</f>
        <v>25</v>
      </c>
    </row>
    <row r="11" spans="1:20">
      <c r="A11" s="183">
        <v>324</v>
      </c>
      <c r="B11" s="170" t="s">
        <v>379</v>
      </c>
      <c r="C11" s="170" t="s">
        <v>378</v>
      </c>
      <c r="D11" s="170">
        <v>4</v>
      </c>
      <c r="E11" s="170" t="s">
        <v>272</v>
      </c>
      <c r="F11" s="170">
        <v>3</v>
      </c>
      <c r="G11" s="170">
        <v>4</v>
      </c>
      <c r="H11" s="170">
        <v>1</v>
      </c>
      <c r="I11" s="170">
        <v>2</v>
      </c>
      <c r="J11" s="170">
        <v>4</v>
      </c>
      <c r="K11" s="170">
        <v>2</v>
      </c>
      <c r="L11" s="170">
        <v>5</v>
      </c>
      <c r="M11" s="170">
        <v>4</v>
      </c>
      <c r="N11" s="170"/>
      <c r="O11" s="170"/>
      <c r="P11" s="170"/>
      <c r="Q11" s="180">
        <f>SUM(Tabela2[[#This Row],[G]]+Tabela2[[#This Row],[D]]+Tabela2[[#This Row],[N]]+Tabela2[[#This Row],[HM]])</f>
        <v>10</v>
      </c>
      <c r="R11" s="180">
        <f>SUM(Tabela2[[#This Row],[AO]]+Tabela2[[#This Row],[AD]]+Tabela2[[#This Row],[GWO]]+Tabela2[[#This Row],[GWD]])</f>
        <v>15</v>
      </c>
      <c r="S11" s="180">
        <f>Tabela2[[#This Row],[GWO]]+Tabela2[[#This Row],[GWD]]</f>
        <v>9</v>
      </c>
      <c r="T11" s="180">
        <f>SUM(Tabela2[[#This Row],[G]:[GWD]])</f>
        <v>25</v>
      </c>
    </row>
    <row r="12" spans="1:20" ht="30">
      <c r="A12" s="183">
        <v>304</v>
      </c>
      <c r="B12" s="170" t="s">
        <v>413</v>
      </c>
      <c r="C12" s="170" t="s">
        <v>412</v>
      </c>
      <c r="D12" s="170">
        <v>4</v>
      </c>
      <c r="E12" s="170" t="s">
        <v>272</v>
      </c>
      <c r="F12" s="170">
        <v>1</v>
      </c>
      <c r="G12" s="170">
        <v>2</v>
      </c>
      <c r="H12" s="170">
        <v>1</v>
      </c>
      <c r="I12" s="170">
        <v>2</v>
      </c>
      <c r="J12" s="170">
        <v>4</v>
      </c>
      <c r="K12" s="170">
        <v>4</v>
      </c>
      <c r="L12" s="170">
        <v>5</v>
      </c>
      <c r="M12" s="170">
        <v>5</v>
      </c>
      <c r="N12" s="170"/>
      <c r="O12" s="170"/>
      <c r="P12" s="170"/>
      <c r="Q12" s="180">
        <f>SUM(Tabela2[[#This Row],[G]]+Tabela2[[#This Row],[D]]+Tabela2[[#This Row],[N]]+Tabela2[[#This Row],[HM]])</f>
        <v>8</v>
      </c>
      <c r="R12" s="180">
        <f>SUM(Tabela2[[#This Row],[AO]]+Tabela2[[#This Row],[AD]]+Tabela2[[#This Row],[GWO]]+Tabela2[[#This Row],[GWD]])</f>
        <v>16</v>
      </c>
      <c r="S12" s="180">
        <f>Tabela2[[#This Row],[GWO]]+Tabela2[[#This Row],[GWD]]</f>
        <v>10</v>
      </c>
      <c r="T12" s="180">
        <f>SUM(Tabela2[[#This Row],[G]:[GWD]])</f>
        <v>24</v>
      </c>
    </row>
    <row r="13" spans="1:20">
      <c r="A13" s="183">
        <v>218</v>
      </c>
      <c r="B13" s="175" t="s">
        <v>502</v>
      </c>
      <c r="C13" s="175" t="s">
        <v>384</v>
      </c>
      <c r="D13" s="175">
        <v>4</v>
      </c>
      <c r="E13" s="175" t="s">
        <v>18</v>
      </c>
      <c r="F13" s="175">
        <v>2</v>
      </c>
      <c r="G13" s="175">
        <v>5</v>
      </c>
      <c r="H13" s="175">
        <v>2</v>
      </c>
      <c r="I13" s="175">
        <v>3</v>
      </c>
      <c r="J13" s="175">
        <v>2</v>
      </c>
      <c r="K13" s="175">
        <v>4</v>
      </c>
      <c r="L13" s="175">
        <v>4</v>
      </c>
      <c r="M13" s="175">
        <v>2</v>
      </c>
      <c r="N13" s="170"/>
      <c r="O13" s="170"/>
      <c r="P13" s="170"/>
      <c r="Q13" s="180">
        <f>SUM(Tabela2[[#This Row],[G]]+Tabela2[[#This Row],[D]]+Tabela2[[#This Row],[N]]+Tabela2[[#This Row],[HM]])</f>
        <v>13</v>
      </c>
      <c r="R13" s="180">
        <f>SUM(Tabela2[[#This Row],[AO]]+Tabela2[[#This Row],[AD]]+Tabela2[[#This Row],[GWO]]+Tabela2[[#This Row],[GWD]])</f>
        <v>11</v>
      </c>
      <c r="S13" s="180">
        <f>Tabela2[[#This Row],[GWO]]+Tabela2[[#This Row],[GWD]]</f>
        <v>6</v>
      </c>
      <c r="T13" s="180">
        <f>SUM(Tabela2[[#This Row],[G]:[GWD]])</f>
        <v>24</v>
      </c>
    </row>
    <row r="14" spans="1:20">
      <c r="A14" s="183">
        <v>247</v>
      </c>
      <c r="B14" s="174" t="s">
        <v>475</v>
      </c>
      <c r="C14" s="174" t="s">
        <v>225</v>
      </c>
      <c r="D14" s="174">
        <v>4</v>
      </c>
      <c r="E14" s="174" t="s">
        <v>249</v>
      </c>
      <c r="F14" s="174">
        <v>1</v>
      </c>
      <c r="G14" s="174">
        <v>2</v>
      </c>
      <c r="H14" s="174">
        <v>1</v>
      </c>
      <c r="I14" s="174">
        <v>4</v>
      </c>
      <c r="J14" s="174">
        <v>5</v>
      </c>
      <c r="K14" s="174">
        <v>5</v>
      </c>
      <c r="L14" s="174">
        <v>3</v>
      </c>
      <c r="M14" s="174">
        <v>3</v>
      </c>
      <c r="N14" s="170"/>
      <c r="O14" s="170"/>
      <c r="P14" s="170"/>
      <c r="Q14" s="180">
        <f>SUM(Tabela2[[#This Row],[G]]+Tabela2[[#This Row],[D]]+Tabela2[[#This Row],[N]]+Tabela2[[#This Row],[HM]])</f>
        <v>9</v>
      </c>
      <c r="R14" s="180">
        <f>SUM(Tabela2[[#This Row],[AO]]+Tabela2[[#This Row],[AD]]+Tabela2[[#This Row],[GWO]]+Tabela2[[#This Row],[GWD]])</f>
        <v>15</v>
      </c>
      <c r="S14" s="180">
        <f>Tabela2[[#This Row],[GWO]]+Tabela2[[#This Row],[GWD]]</f>
        <v>6</v>
      </c>
      <c r="T14" s="180">
        <f>SUM(Tabela2[[#This Row],[G]:[GWD]])</f>
        <v>24</v>
      </c>
    </row>
    <row r="15" spans="1:20">
      <c r="A15" s="183">
        <v>19</v>
      </c>
      <c r="B15" s="174" t="s">
        <v>146</v>
      </c>
      <c r="C15" s="174" t="s">
        <v>725</v>
      </c>
      <c r="D15" s="174">
        <v>2</v>
      </c>
      <c r="E15" s="174" t="s">
        <v>249</v>
      </c>
      <c r="F15" s="174">
        <v>3</v>
      </c>
      <c r="G15" s="174">
        <v>4</v>
      </c>
      <c r="H15" s="174">
        <v>1</v>
      </c>
      <c r="I15" s="174">
        <v>3</v>
      </c>
      <c r="J15" s="174">
        <v>3</v>
      </c>
      <c r="K15" s="174">
        <v>3</v>
      </c>
      <c r="L15" s="174">
        <v>3</v>
      </c>
      <c r="M15" s="174">
        <v>3</v>
      </c>
      <c r="N15" s="174" t="s">
        <v>445</v>
      </c>
      <c r="O15" s="174" t="s">
        <v>204</v>
      </c>
      <c r="P15" s="174"/>
      <c r="Q15" s="185">
        <f>SUM(Tabela2[[#This Row],[G]]+Tabela2[[#This Row],[D]]+Tabela2[[#This Row],[N]]+Tabela2[[#This Row],[HM]])</f>
        <v>11</v>
      </c>
      <c r="R15" s="185">
        <f>SUM(Tabela2[[#This Row],[AO]]+Tabela2[[#This Row],[AD]]+Tabela2[[#This Row],[GWO]]+Tabela2[[#This Row],[GWD]])</f>
        <v>12</v>
      </c>
      <c r="S15" s="185">
        <f>Tabela2[[#This Row],[GWO]]+Tabela2[[#This Row],[GWD]]</f>
        <v>6</v>
      </c>
      <c r="T15" s="180">
        <f>SUM(Tabela2[[#This Row],[G]:[GWD]])</f>
        <v>23</v>
      </c>
    </row>
    <row r="16" spans="1:20" ht="30">
      <c r="A16" s="183">
        <v>52</v>
      </c>
      <c r="B16" s="175" t="s">
        <v>699</v>
      </c>
      <c r="C16" s="175" t="s">
        <v>568</v>
      </c>
      <c r="D16" s="175">
        <v>3</v>
      </c>
      <c r="E16" s="175" t="s">
        <v>18</v>
      </c>
      <c r="F16" s="175">
        <v>1</v>
      </c>
      <c r="G16" s="175">
        <v>3</v>
      </c>
      <c r="H16" s="175">
        <v>5</v>
      </c>
      <c r="I16" s="175">
        <v>4</v>
      </c>
      <c r="J16" s="175">
        <v>2</v>
      </c>
      <c r="K16" s="175">
        <v>1</v>
      </c>
      <c r="L16" s="175">
        <v>5</v>
      </c>
      <c r="M16" s="175">
        <v>2</v>
      </c>
      <c r="N16" s="170"/>
      <c r="O16" s="170" t="s">
        <v>783</v>
      </c>
      <c r="P16" s="194" t="s">
        <v>204</v>
      </c>
      <c r="Q16" s="180">
        <f>SUM(Tabela2[[#This Row],[G]]+Tabela2[[#This Row],[D]]+Tabela2[[#This Row],[N]]+Tabela2[[#This Row],[HM]])</f>
        <v>10</v>
      </c>
      <c r="R16" s="180">
        <f>SUM(Tabela2[[#This Row],[AO]]+Tabela2[[#This Row],[AD]]+Tabela2[[#This Row],[GWO]]+Tabela2[[#This Row],[GWD]])</f>
        <v>13</v>
      </c>
      <c r="S16" s="180">
        <f>Tabela2[[#This Row],[GWO]]+Tabela2[[#This Row],[GWD]]</f>
        <v>7</v>
      </c>
      <c r="T16" s="180">
        <f>SUM(Tabela2[[#This Row],[G]:[GWD]])</f>
        <v>23</v>
      </c>
    </row>
    <row r="17" spans="1:20" ht="30">
      <c r="A17" s="183">
        <v>255</v>
      </c>
      <c r="B17" s="172" t="s">
        <v>467</v>
      </c>
      <c r="C17" s="172" t="s">
        <v>357</v>
      </c>
      <c r="D17" s="172">
        <v>4</v>
      </c>
      <c r="E17" s="172" t="s">
        <v>250</v>
      </c>
      <c r="F17" s="172">
        <v>3</v>
      </c>
      <c r="G17" s="172">
        <v>3</v>
      </c>
      <c r="H17" s="172">
        <v>1</v>
      </c>
      <c r="I17" s="172">
        <v>1</v>
      </c>
      <c r="J17" s="172">
        <v>3</v>
      </c>
      <c r="K17" s="172">
        <v>5</v>
      </c>
      <c r="L17" s="172">
        <v>4</v>
      </c>
      <c r="M17" s="172">
        <v>3</v>
      </c>
      <c r="N17" s="170"/>
      <c r="O17" s="170"/>
      <c r="P17" s="170"/>
      <c r="Q17" s="180">
        <f>SUM(Tabela2[[#This Row],[G]]+Tabela2[[#This Row],[D]]+Tabela2[[#This Row],[N]]+Tabela2[[#This Row],[HM]])</f>
        <v>12</v>
      </c>
      <c r="R17" s="180">
        <f>SUM(Tabela2[[#This Row],[AO]]+Tabela2[[#This Row],[AD]]+Tabela2[[#This Row],[GWO]]+Tabela2[[#This Row],[GWD]])</f>
        <v>11</v>
      </c>
      <c r="S17" s="180">
        <f>Tabela2[[#This Row],[GWO]]+Tabela2[[#This Row],[GWD]]</f>
        <v>7</v>
      </c>
      <c r="T17" s="180">
        <f>SUM(Tabela2[[#This Row],[G]:[GWD]])</f>
        <v>23</v>
      </c>
    </row>
    <row r="18" spans="1:20" ht="30">
      <c r="A18" s="183">
        <v>103</v>
      </c>
      <c r="B18" s="174" t="s">
        <v>641</v>
      </c>
      <c r="C18" s="174" t="s">
        <v>528</v>
      </c>
      <c r="D18" s="174">
        <v>3</v>
      </c>
      <c r="E18" s="174" t="s">
        <v>249</v>
      </c>
      <c r="F18" s="174">
        <v>3</v>
      </c>
      <c r="G18" s="174">
        <v>4</v>
      </c>
      <c r="H18" s="174">
        <v>1</v>
      </c>
      <c r="I18" s="174">
        <v>4</v>
      </c>
      <c r="J18" s="174">
        <v>2</v>
      </c>
      <c r="K18" s="174">
        <v>2</v>
      </c>
      <c r="L18" s="174">
        <v>4</v>
      </c>
      <c r="M18" s="174">
        <v>2</v>
      </c>
      <c r="N18" s="170"/>
      <c r="O18" s="170" t="s">
        <v>204</v>
      </c>
      <c r="P18" s="170"/>
      <c r="Q18" s="180">
        <f>SUM(Tabela2[[#This Row],[G]]+Tabela2[[#This Row],[D]]+Tabela2[[#This Row],[N]]+Tabela2[[#This Row],[HM]])</f>
        <v>10</v>
      </c>
      <c r="R18" s="180">
        <f>SUM(Tabela2[[#This Row],[AO]]+Tabela2[[#This Row],[AD]]+Tabela2[[#This Row],[GWO]]+Tabela2[[#This Row],[GWD]])</f>
        <v>12</v>
      </c>
      <c r="S18" s="180">
        <f>Tabela2[[#This Row],[GWO]]+Tabela2[[#This Row],[GWD]]</f>
        <v>6</v>
      </c>
      <c r="T18" s="180">
        <f>SUM(Tabela2[[#This Row],[G]:[GWD]])</f>
        <v>22</v>
      </c>
    </row>
    <row r="19" spans="1:20">
      <c r="A19" s="183">
        <v>107</v>
      </c>
      <c r="B19" s="174" t="s">
        <v>637</v>
      </c>
      <c r="C19" s="174" t="s">
        <v>521</v>
      </c>
      <c r="D19" s="174">
        <v>3</v>
      </c>
      <c r="E19" s="174" t="s">
        <v>249</v>
      </c>
      <c r="F19" s="174">
        <v>2</v>
      </c>
      <c r="G19" s="174">
        <v>3</v>
      </c>
      <c r="H19" s="174">
        <v>3</v>
      </c>
      <c r="I19" s="174">
        <v>3</v>
      </c>
      <c r="J19" s="174">
        <v>3</v>
      </c>
      <c r="K19" s="174">
        <v>1</v>
      </c>
      <c r="L19" s="174">
        <v>4</v>
      </c>
      <c r="M19" s="174">
        <v>3</v>
      </c>
      <c r="N19" s="170"/>
      <c r="O19" s="170"/>
      <c r="P19" s="194" t="s">
        <v>204</v>
      </c>
      <c r="Q19" s="180">
        <f>SUM(Tabela2[[#This Row],[G]]+Tabela2[[#This Row],[D]]+Tabela2[[#This Row],[N]]+Tabela2[[#This Row],[HM]])</f>
        <v>9</v>
      </c>
      <c r="R19" s="180">
        <f>SUM(Tabela2[[#This Row],[AO]]+Tabela2[[#This Row],[AD]]+Tabela2[[#This Row],[GWO]]+Tabela2[[#This Row],[GWD]])</f>
        <v>13</v>
      </c>
      <c r="S19" s="180">
        <f>Tabela2[[#This Row],[GWO]]+Tabela2[[#This Row],[GWD]]</f>
        <v>7</v>
      </c>
      <c r="T19" s="180">
        <f>SUM(Tabela2[[#This Row],[G]:[GWD]])</f>
        <v>22</v>
      </c>
    </row>
    <row r="20" spans="1:20">
      <c r="A20" s="183">
        <v>199</v>
      </c>
      <c r="B20" s="170" t="s">
        <v>522</v>
      </c>
      <c r="C20" s="170" t="s">
        <v>521</v>
      </c>
      <c r="D20" s="170">
        <v>3</v>
      </c>
      <c r="E20" s="170" t="s">
        <v>272</v>
      </c>
      <c r="F20" s="170">
        <v>1</v>
      </c>
      <c r="G20" s="170">
        <v>2</v>
      </c>
      <c r="H20" s="170">
        <v>4</v>
      </c>
      <c r="I20" s="170">
        <v>3</v>
      </c>
      <c r="J20" s="170">
        <v>4</v>
      </c>
      <c r="K20" s="170">
        <v>1</v>
      </c>
      <c r="L20" s="170">
        <v>4</v>
      </c>
      <c r="M20" s="170">
        <v>3</v>
      </c>
      <c r="N20" s="170"/>
      <c r="O20" s="170"/>
      <c r="P20" s="194" t="s">
        <v>204</v>
      </c>
      <c r="Q20" s="180">
        <f>SUM(Tabela2[[#This Row],[G]]+Tabela2[[#This Row],[D]]+Tabela2[[#This Row],[N]]+Tabela2[[#This Row],[HM]])</f>
        <v>8</v>
      </c>
      <c r="R20" s="180">
        <f>SUM(Tabela2[[#This Row],[AO]]+Tabela2[[#This Row],[AD]]+Tabela2[[#This Row],[GWO]]+Tabela2[[#This Row],[GWD]])</f>
        <v>14</v>
      </c>
      <c r="S20" s="180">
        <f>Tabela2[[#This Row],[GWO]]+Tabela2[[#This Row],[GWD]]</f>
        <v>7</v>
      </c>
      <c r="T20" s="180">
        <f>SUM(Tabela2[[#This Row],[G]:[GWD]])</f>
        <v>22</v>
      </c>
    </row>
    <row r="21" spans="1:20" ht="30">
      <c r="A21" s="183">
        <v>204</v>
      </c>
      <c r="B21" s="175" t="s">
        <v>516</v>
      </c>
      <c r="C21" s="175" t="s">
        <v>412</v>
      </c>
      <c r="D21" s="175">
        <v>4</v>
      </c>
      <c r="E21" s="175" t="s">
        <v>18</v>
      </c>
      <c r="F21" s="175">
        <v>1</v>
      </c>
      <c r="G21" s="175">
        <v>1</v>
      </c>
      <c r="H21" s="175">
        <v>1</v>
      </c>
      <c r="I21" s="175">
        <v>3</v>
      </c>
      <c r="J21" s="175">
        <v>5</v>
      </c>
      <c r="K21" s="175">
        <v>3</v>
      </c>
      <c r="L21" s="175">
        <v>4</v>
      </c>
      <c r="M21" s="175">
        <v>4</v>
      </c>
      <c r="N21" s="170"/>
      <c r="O21" s="170"/>
      <c r="P21" s="170"/>
      <c r="Q21" s="180">
        <f>SUM(Tabela2[[#This Row],[G]]+Tabela2[[#This Row],[D]]+Tabela2[[#This Row],[N]]+Tabela2[[#This Row],[HM]])</f>
        <v>6</v>
      </c>
      <c r="R21" s="180">
        <f>SUM(Tabela2[[#This Row],[AO]]+Tabela2[[#This Row],[AD]]+Tabela2[[#This Row],[GWO]]+Tabela2[[#This Row],[GWD]])</f>
        <v>16</v>
      </c>
      <c r="S21" s="180">
        <f>Tabela2[[#This Row],[GWO]]+Tabela2[[#This Row],[GWD]]</f>
        <v>8</v>
      </c>
      <c r="T21" s="180">
        <f>SUM(Tabela2[[#This Row],[G]:[GWD]])</f>
        <v>22</v>
      </c>
    </row>
    <row r="22" spans="1:20" ht="30">
      <c r="A22" s="183">
        <v>240</v>
      </c>
      <c r="B22" s="174" t="s">
        <v>482</v>
      </c>
      <c r="C22" s="174" t="s">
        <v>344</v>
      </c>
      <c r="D22" s="174">
        <v>4</v>
      </c>
      <c r="E22" s="174" t="s">
        <v>249</v>
      </c>
      <c r="F22" s="174">
        <v>1</v>
      </c>
      <c r="G22" s="174">
        <v>2</v>
      </c>
      <c r="H22" s="174">
        <v>1</v>
      </c>
      <c r="I22" s="174">
        <v>5</v>
      </c>
      <c r="J22" s="174">
        <v>3</v>
      </c>
      <c r="K22" s="174">
        <v>3</v>
      </c>
      <c r="L22" s="174">
        <v>5</v>
      </c>
      <c r="M22" s="174">
        <v>2</v>
      </c>
      <c r="N22" s="170"/>
      <c r="O22" s="170"/>
      <c r="P22" s="170"/>
      <c r="Q22" s="180">
        <f>SUM(Tabela2[[#This Row],[G]]+Tabela2[[#This Row],[D]]+Tabela2[[#This Row],[N]]+Tabela2[[#This Row],[HM]])</f>
        <v>7</v>
      </c>
      <c r="R22" s="180">
        <f>SUM(Tabela2[[#This Row],[AO]]+Tabela2[[#This Row],[AD]]+Tabela2[[#This Row],[GWO]]+Tabela2[[#This Row],[GWD]])</f>
        <v>15</v>
      </c>
      <c r="S22" s="180">
        <f>Tabela2[[#This Row],[GWO]]+Tabela2[[#This Row],[GWD]]</f>
        <v>7</v>
      </c>
      <c r="T22" s="180">
        <f>SUM(Tabela2[[#This Row],[G]:[GWD]])</f>
        <v>22</v>
      </c>
    </row>
    <row r="23" spans="1:20" ht="30">
      <c r="A23" s="183">
        <v>80</v>
      </c>
      <c r="B23" s="174" t="s">
        <v>664</v>
      </c>
      <c r="C23" s="174" t="s">
        <v>572</v>
      </c>
      <c r="D23" s="174">
        <v>3</v>
      </c>
      <c r="E23" s="174" t="s">
        <v>249</v>
      </c>
      <c r="F23" s="174">
        <v>3</v>
      </c>
      <c r="G23" s="174">
        <v>3</v>
      </c>
      <c r="H23" s="174">
        <v>1</v>
      </c>
      <c r="I23" s="174">
        <v>1</v>
      </c>
      <c r="J23" s="174">
        <v>3</v>
      </c>
      <c r="K23" s="174">
        <v>4</v>
      </c>
      <c r="L23" s="174">
        <v>4</v>
      </c>
      <c r="M23" s="174">
        <v>2</v>
      </c>
      <c r="N23" s="170"/>
      <c r="O23" s="170"/>
      <c r="P23" s="194" t="s">
        <v>204</v>
      </c>
      <c r="Q23" s="180">
        <f>SUM(Tabela2[[#This Row],[G]]+Tabela2[[#This Row],[D]]+Tabela2[[#This Row],[N]]+Tabela2[[#This Row],[HM]])</f>
        <v>11</v>
      </c>
      <c r="R23" s="180">
        <f>SUM(Tabela2[[#This Row],[AO]]+Tabela2[[#This Row],[AD]]+Tabela2[[#This Row],[GWO]]+Tabela2[[#This Row],[GWD]])</f>
        <v>10</v>
      </c>
      <c r="S23" s="180">
        <f>Tabela2[[#This Row],[GWO]]+Tabela2[[#This Row],[GWD]]</f>
        <v>6</v>
      </c>
      <c r="T23" s="180">
        <f>SUM(Tabela2[[#This Row],[G]:[GWD]])</f>
        <v>21</v>
      </c>
    </row>
    <row r="24" spans="1:20">
      <c r="A24" s="183">
        <v>58</v>
      </c>
      <c r="B24" s="175" t="s">
        <v>691</v>
      </c>
      <c r="C24" s="175" t="s">
        <v>690</v>
      </c>
      <c r="D24" s="175">
        <v>3</v>
      </c>
      <c r="E24" s="175" t="s">
        <v>18</v>
      </c>
      <c r="F24" s="175">
        <v>3</v>
      </c>
      <c r="G24" s="175">
        <v>5</v>
      </c>
      <c r="H24" s="175">
        <v>1</v>
      </c>
      <c r="I24" s="175">
        <v>2</v>
      </c>
      <c r="J24" s="175">
        <v>2</v>
      </c>
      <c r="K24" s="175">
        <v>4</v>
      </c>
      <c r="L24" s="175">
        <v>2</v>
      </c>
      <c r="M24" s="175">
        <v>2</v>
      </c>
      <c r="N24" s="170"/>
      <c r="O24" s="170" t="s">
        <v>204</v>
      </c>
      <c r="P24" s="170"/>
      <c r="Q24" s="180">
        <f>SUM(Tabela2[[#This Row],[G]]+Tabela2[[#This Row],[D]]+Tabela2[[#This Row],[N]]+Tabela2[[#This Row],[HM]])</f>
        <v>13</v>
      </c>
      <c r="R24" s="180">
        <f>SUM(Tabela2[[#This Row],[AO]]+Tabela2[[#This Row],[AD]]+Tabela2[[#This Row],[GWO]]+Tabela2[[#This Row],[GWD]])</f>
        <v>8</v>
      </c>
      <c r="S24" s="180">
        <f>Tabela2[[#This Row],[GWO]]+Tabela2[[#This Row],[GWD]]</f>
        <v>4</v>
      </c>
      <c r="T24" s="180">
        <f>SUM(Tabela2[[#This Row],[G]:[GWD]])</f>
        <v>21</v>
      </c>
    </row>
    <row r="25" spans="1:20">
      <c r="A25" s="183">
        <v>256</v>
      </c>
      <c r="B25" s="172" t="s">
        <v>466</v>
      </c>
      <c r="C25" s="172" t="s">
        <v>210</v>
      </c>
      <c r="D25" s="172">
        <v>4</v>
      </c>
      <c r="E25" s="172" t="s">
        <v>250</v>
      </c>
      <c r="F25" s="172">
        <v>5</v>
      </c>
      <c r="G25" s="172">
        <v>1</v>
      </c>
      <c r="H25" s="172">
        <v>2</v>
      </c>
      <c r="I25" s="172">
        <v>5</v>
      </c>
      <c r="J25" s="172">
        <v>1</v>
      </c>
      <c r="K25" s="172">
        <v>1</v>
      </c>
      <c r="L25" s="172">
        <v>5</v>
      </c>
      <c r="M25" s="172">
        <v>1</v>
      </c>
      <c r="N25" s="170"/>
      <c r="O25" s="170"/>
      <c r="P25" s="170"/>
      <c r="Q25" s="180">
        <f>SUM(Tabela2[[#This Row],[G]]+Tabela2[[#This Row],[D]]+Tabela2[[#This Row],[N]]+Tabela2[[#This Row],[HM]])</f>
        <v>9</v>
      </c>
      <c r="R25" s="180">
        <f>SUM(Tabela2[[#This Row],[AO]]+Tabela2[[#This Row],[AD]]+Tabela2[[#This Row],[GWO]]+Tabela2[[#This Row],[GWD]])</f>
        <v>12</v>
      </c>
      <c r="S25" s="180">
        <f>Tabela2[[#This Row],[GWO]]+Tabela2[[#This Row],[GWD]]</f>
        <v>6</v>
      </c>
      <c r="T25" s="180">
        <f>SUM(Tabela2[[#This Row],[G]:[GWD]])</f>
        <v>21</v>
      </c>
    </row>
    <row r="26" spans="1:20" ht="30">
      <c r="A26" s="183">
        <v>286</v>
      </c>
      <c r="B26" s="171" t="s">
        <v>434</v>
      </c>
      <c r="C26" s="171" t="s">
        <v>403</v>
      </c>
      <c r="D26" s="171">
        <v>4</v>
      </c>
      <c r="E26" s="171" t="s">
        <v>251</v>
      </c>
      <c r="F26" s="171">
        <v>3</v>
      </c>
      <c r="G26" s="171">
        <v>3</v>
      </c>
      <c r="H26" s="171">
        <v>4</v>
      </c>
      <c r="I26" s="171">
        <v>2</v>
      </c>
      <c r="J26" s="171">
        <v>2</v>
      </c>
      <c r="K26" s="171">
        <v>2</v>
      </c>
      <c r="L26" s="171">
        <v>3</v>
      </c>
      <c r="M26" s="171">
        <v>2</v>
      </c>
      <c r="N26" s="170"/>
      <c r="O26" s="194" t="s">
        <v>204</v>
      </c>
      <c r="P26" s="170"/>
      <c r="Q26" s="180">
        <f>SUM(Tabela2[[#This Row],[G]]+Tabela2[[#This Row],[D]]+Tabela2[[#This Row],[N]]+Tabela2[[#This Row],[HM]])</f>
        <v>12</v>
      </c>
      <c r="R26" s="180">
        <f>SUM(Tabela2[[#This Row],[AO]]+Tabela2[[#This Row],[AD]]+Tabela2[[#This Row],[GWO]]+Tabela2[[#This Row],[GWD]])</f>
        <v>9</v>
      </c>
      <c r="S26" s="180">
        <f>Tabela2[[#This Row],[GWO]]+Tabela2[[#This Row],[GWD]]</f>
        <v>5</v>
      </c>
      <c r="T26" s="180">
        <f>SUM(Tabela2[[#This Row],[G]:[GWD]])</f>
        <v>21</v>
      </c>
    </row>
    <row r="27" spans="1:20">
      <c r="A27" s="183">
        <v>322</v>
      </c>
      <c r="B27" s="170" t="s">
        <v>381</v>
      </c>
      <c r="C27" s="170" t="s">
        <v>227</v>
      </c>
      <c r="D27" s="170">
        <v>4</v>
      </c>
      <c r="E27" s="170" t="s">
        <v>272</v>
      </c>
      <c r="F27" s="170">
        <v>2</v>
      </c>
      <c r="G27" s="170">
        <v>1</v>
      </c>
      <c r="H27" s="170">
        <v>1</v>
      </c>
      <c r="I27" s="170">
        <v>3</v>
      </c>
      <c r="J27" s="170">
        <v>3</v>
      </c>
      <c r="K27" s="170">
        <v>5</v>
      </c>
      <c r="L27" s="170">
        <v>3</v>
      </c>
      <c r="M27" s="170">
        <v>2</v>
      </c>
      <c r="N27" s="170"/>
      <c r="O27" s="170"/>
      <c r="P27" s="170"/>
      <c r="Q27" s="180">
        <f>SUM(Tabela2[[#This Row],[G]]+Tabela2[[#This Row],[D]]+Tabela2[[#This Row],[N]]+Tabela2[[#This Row],[HM]])</f>
        <v>9</v>
      </c>
      <c r="R27" s="180">
        <f>SUM(Tabela2[[#This Row],[AO]]+Tabela2[[#This Row],[AD]]+Tabela2[[#This Row],[GWO]]+Tabela2[[#This Row],[GWD]])</f>
        <v>11</v>
      </c>
      <c r="S27" s="180">
        <f>Tabela2[[#This Row],[GWO]]+Tabela2[[#This Row],[GWD]]</f>
        <v>5</v>
      </c>
      <c r="T27" s="180">
        <f>SUM(Tabela2[[#This Row],[G]:[GWD]])</f>
        <v>20</v>
      </c>
    </row>
    <row r="28" spans="1:20">
      <c r="A28" s="183">
        <v>275</v>
      </c>
      <c r="B28" s="172" t="s">
        <v>447</v>
      </c>
      <c r="C28" s="172" t="s">
        <v>226</v>
      </c>
      <c r="D28" s="172">
        <v>4</v>
      </c>
      <c r="E28" s="172" t="s">
        <v>250</v>
      </c>
      <c r="F28" s="172">
        <v>4</v>
      </c>
      <c r="G28" s="172">
        <v>1</v>
      </c>
      <c r="H28" s="172">
        <v>1</v>
      </c>
      <c r="I28" s="172">
        <v>3</v>
      </c>
      <c r="J28" s="172">
        <v>3</v>
      </c>
      <c r="K28" s="172">
        <v>2</v>
      </c>
      <c r="L28" s="172">
        <v>4</v>
      </c>
      <c r="M28" s="172">
        <v>2</v>
      </c>
      <c r="N28" s="170"/>
      <c r="O28" s="170"/>
      <c r="P28" s="170"/>
      <c r="Q28" s="180">
        <f>SUM(Tabela2[[#This Row],[G]]+Tabela2[[#This Row],[D]]+Tabela2[[#This Row],[N]]+Tabela2[[#This Row],[HM]])</f>
        <v>8</v>
      </c>
      <c r="R28" s="180">
        <f>SUM(Tabela2[[#This Row],[AO]]+Tabela2[[#This Row],[AD]]+Tabela2[[#This Row],[GWO]]+Tabela2[[#This Row],[GWD]])</f>
        <v>12</v>
      </c>
      <c r="S28" s="180">
        <f>Tabela2[[#This Row],[GWO]]+Tabela2[[#This Row],[GWD]]</f>
        <v>6</v>
      </c>
      <c r="T28" s="180">
        <f>SUM(Tabela2[[#This Row],[G]:[GWD]])</f>
        <v>20</v>
      </c>
    </row>
    <row r="29" spans="1:20">
      <c r="A29" s="183">
        <v>33</v>
      </c>
      <c r="B29" s="172" t="s">
        <v>134</v>
      </c>
      <c r="C29" s="172" t="s">
        <v>721</v>
      </c>
      <c r="D29" s="172">
        <v>2</v>
      </c>
      <c r="E29" s="172" t="s">
        <v>250</v>
      </c>
      <c r="F29" s="172">
        <v>2</v>
      </c>
      <c r="G29" s="172">
        <v>1</v>
      </c>
      <c r="H29" s="172">
        <v>1</v>
      </c>
      <c r="I29" s="172">
        <v>3</v>
      </c>
      <c r="J29" s="172">
        <v>3</v>
      </c>
      <c r="K29" s="172">
        <v>1</v>
      </c>
      <c r="L29" s="172">
        <v>5</v>
      </c>
      <c r="M29" s="172">
        <v>3</v>
      </c>
      <c r="N29" s="170"/>
      <c r="O29" s="170" t="s">
        <v>204</v>
      </c>
      <c r="P29" s="170"/>
      <c r="Q29" s="180">
        <f>SUM(Tabela2[[#This Row],[G]]+Tabela2[[#This Row],[D]]+Tabela2[[#This Row],[N]]+Tabela2[[#This Row],[HM]])</f>
        <v>5</v>
      </c>
      <c r="R29" s="180">
        <f>SUM(Tabela2[[#This Row],[AO]]+Tabela2[[#This Row],[AD]]+Tabela2[[#This Row],[GWO]]+Tabela2[[#This Row],[GWD]])</f>
        <v>14</v>
      </c>
      <c r="S29" s="180">
        <f>Tabela2[[#This Row],[GWO]]+Tabela2[[#This Row],[GWD]]</f>
        <v>8</v>
      </c>
      <c r="T29" s="180">
        <f>SUM(Tabela2[[#This Row],[G]:[GWD]])</f>
        <v>19</v>
      </c>
    </row>
    <row r="30" spans="1:20" ht="30">
      <c r="A30" s="183">
        <v>280</v>
      </c>
      <c r="B30" s="171" t="s">
        <v>440</v>
      </c>
      <c r="C30" s="171" t="s">
        <v>415</v>
      </c>
      <c r="D30" s="171">
        <v>4</v>
      </c>
      <c r="E30" s="171" t="s">
        <v>251</v>
      </c>
      <c r="F30" s="171">
        <v>1</v>
      </c>
      <c r="G30" s="171">
        <v>1</v>
      </c>
      <c r="H30" s="171">
        <v>1</v>
      </c>
      <c r="I30" s="171">
        <v>4</v>
      </c>
      <c r="J30" s="171">
        <v>3</v>
      </c>
      <c r="K30" s="171">
        <v>3</v>
      </c>
      <c r="L30" s="171">
        <v>3</v>
      </c>
      <c r="M30" s="171">
        <v>3</v>
      </c>
      <c r="N30" s="170"/>
      <c r="O30" s="170"/>
      <c r="P30" s="170"/>
      <c r="Q30" s="180">
        <f>SUM(Tabela2[[#This Row],[G]]+Tabela2[[#This Row],[D]]+Tabela2[[#This Row],[N]]+Tabela2[[#This Row],[HM]])</f>
        <v>6</v>
      </c>
      <c r="R30" s="180">
        <f>SUM(Tabela2[[#This Row],[AO]]+Tabela2[[#This Row],[AD]]+Tabela2[[#This Row],[GWO]]+Tabela2[[#This Row],[GWD]])</f>
        <v>13</v>
      </c>
      <c r="S30" s="180">
        <f>Tabela2[[#This Row],[GWO]]+Tabela2[[#This Row],[GWD]]</f>
        <v>6</v>
      </c>
      <c r="T30" s="180">
        <f>SUM(Tabela2[[#This Row],[G]:[GWD]])</f>
        <v>19</v>
      </c>
    </row>
    <row r="31" spans="1:20">
      <c r="A31" s="183">
        <v>288</v>
      </c>
      <c r="B31" s="171" t="s">
        <v>432</v>
      </c>
      <c r="C31" s="171" t="s">
        <v>398</v>
      </c>
      <c r="D31" s="171">
        <v>4</v>
      </c>
      <c r="E31" s="171" t="s">
        <v>251</v>
      </c>
      <c r="F31" s="171">
        <v>3</v>
      </c>
      <c r="G31" s="171">
        <v>2</v>
      </c>
      <c r="H31" s="171">
        <v>1</v>
      </c>
      <c r="I31" s="171">
        <v>1</v>
      </c>
      <c r="J31" s="171">
        <v>3</v>
      </c>
      <c r="K31" s="171">
        <v>1</v>
      </c>
      <c r="L31" s="171">
        <v>3</v>
      </c>
      <c r="M31" s="171">
        <v>5</v>
      </c>
      <c r="N31" s="170"/>
      <c r="O31" s="170"/>
      <c r="P31" s="170"/>
      <c r="Q31" s="180">
        <f>SUM(Tabela2[[#This Row],[G]]+Tabela2[[#This Row],[D]]+Tabela2[[#This Row],[N]]+Tabela2[[#This Row],[HM]])</f>
        <v>7</v>
      </c>
      <c r="R31" s="180">
        <f>SUM(Tabela2[[#This Row],[AO]]+Tabela2[[#This Row],[AD]]+Tabela2[[#This Row],[GWO]]+Tabela2[[#This Row],[GWD]])</f>
        <v>12</v>
      </c>
      <c r="S31" s="180">
        <f>Tabela2[[#This Row],[GWO]]+Tabela2[[#This Row],[GWD]]</f>
        <v>8</v>
      </c>
      <c r="T31" s="180">
        <f>SUM(Tabela2[[#This Row],[G]:[GWD]])</f>
        <v>19</v>
      </c>
    </row>
    <row r="32" spans="1:20" ht="30">
      <c r="A32" s="183">
        <v>211</v>
      </c>
      <c r="B32" s="175" t="s">
        <v>509</v>
      </c>
      <c r="C32" s="175" t="s">
        <v>396</v>
      </c>
      <c r="D32" s="175">
        <v>4</v>
      </c>
      <c r="E32" s="175" t="s">
        <v>18</v>
      </c>
      <c r="F32" s="175">
        <v>1</v>
      </c>
      <c r="G32" s="175">
        <v>4</v>
      </c>
      <c r="H32" s="175">
        <v>3</v>
      </c>
      <c r="I32" s="175">
        <v>3</v>
      </c>
      <c r="J32" s="175">
        <v>2</v>
      </c>
      <c r="K32" s="175">
        <v>1</v>
      </c>
      <c r="L32" s="175">
        <v>3</v>
      </c>
      <c r="M32" s="175">
        <v>2</v>
      </c>
      <c r="N32" s="170"/>
      <c r="O32" s="170"/>
      <c r="P32" s="170"/>
      <c r="Q32" s="180">
        <f>SUM(Tabela2[[#This Row],[G]]+Tabela2[[#This Row],[D]]+Tabela2[[#This Row],[N]]+Tabela2[[#This Row],[HM]])</f>
        <v>9</v>
      </c>
      <c r="R32" s="180">
        <f>SUM(Tabela2[[#This Row],[AO]]+Tabela2[[#This Row],[AD]]+Tabela2[[#This Row],[GWO]]+Tabela2[[#This Row],[GWD]])</f>
        <v>10</v>
      </c>
      <c r="S32" s="180">
        <f>Tabela2[[#This Row],[GWO]]+Tabela2[[#This Row],[GWD]]</f>
        <v>5</v>
      </c>
      <c r="T32" s="180">
        <f>SUM(Tabela2[[#This Row],[G]:[GWD]])</f>
        <v>19</v>
      </c>
    </row>
    <row r="33" spans="1:20">
      <c r="A33" s="183">
        <v>320</v>
      </c>
      <c r="B33" s="170" t="s">
        <v>385</v>
      </c>
      <c r="C33" s="170" t="s">
        <v>384</v>
      </c>
      <c r="D33" s="170">
        <v>4</v>
      </c>
      <c r="E33" s="170" t="s">
        <v>272</v>
      </c>
      <c r="F33" s="170">
        <v>3</v>
      </c>
      <c r="G33" s="170">
        <v>1</v>
      </c>
      <c r="H33" s="170">
        <v>5</v>
      </c>
      <c r="I33" s="170">
        <v>3</v>
      </c>
      <c r="J33" s="170">
        <v>1</v>
      </c>
      <c r="K33" s="170">
        <v>1</v>
      </c>
      <c r="L33" s="170">
        <v>4</v>
      </c>
      <c r="M33" s="170">
        <v>1</v>
      </c>
      <c r="N33" s="170"/>
      <c r="O33" s="170"/>
      <c r="P33" s="170"/>
      <c r="Q33" s="180">
        <f>SUM(Tabela2[[#This Row],[G]]+Tabela2[[#This Row],[D]]+Tabela2[[#This Row],[N]]+Tabela2[[#This Row],[HM]])</f>
        <v>10</v>
      </c>
      <c r="R33" s="180">
        <f>SUM(Tabela2[[#This Row],[AO]]+Tabela2[[#This Row],[AD]]+Tabela2[[#This Row],[GWO]]+Tabela2[[#This Row],[GWD]])</f>
        <v>9</v>
      </c>
      <c r="S33" s="180">
        <f>Tabela2[[#This Row],[GWO]]+Tabela2[[#This Row],[GWD]]</f>
        <v>5</v>
      </c>
      <c r="T33" s="180">
        <f>SUM(Tabela2[[#This Row],[G]:[GWD]])</f>
        <v>19</v>
      </c>
    </row>
    <row r="34" spans="1:20">
      <c r="A34" s="183">
        <v>222</v>
      </c>
      <c r="B34" s="175" t="s">
        <v>343</v>
      </c>
      <c r="C34" s="175" t="s">
        <v>225</v>
      </c>
      <c r="D34" s="175">
        <v>4</v>
      </c>
      <c r="E34" s="175" t="s">
        <v>18</v>
      </c>
      <c r="F34" s="175">
        <v>1</v>
      </c>
      <c r="G34" s="175">
        <v>4</v>
      </c>
      <c r="H34" s="175">
        <v>1</v>
      </c>
      <c r="I34" s="175">
        <v>3</v>
      </c>
      <c r="J34" s="175">
        <v>1</v>
      </c>
      <c r="K34" s="175">
        <v>5</v>
      </c>
      <c r="L34" s="175">
        <v>3</v>
      </c>
      <c r="M34" s="175">
        <v>1</v>
      </c>
      <c r="N34" s="175" t="s">
        <v>445</v>
      </c>
      <c r="O34" s="175" t="s">
        <v>204</v>
      </c>
      <c r="P34" s="175"/>
      <c r="Q34" s="184">
        <f>SUM(Tabela2[[#This Row],[G]]+Tabela2[[#This Row],[D]]+Tabela2[[#This Row],[N]]+Tabela2[[#This Row],[HM]])</f>
        <v>11</v>
      </c>
      <c r="R34" s="184">
        <f>SUM(Tabela2[[#This Row],[AO]]+Tabela2[[#This Row],[AD]]+Tabela2[[#This Row],[GWO]]+Tabela2[[#This Row],[GWD]])</f>
        <v>8</v>
      </c>
      <c r="S34" s="184">
        <f>Tabela2[[#This Row],[GWO]]+Tabela2[[#This Row],[GWD]]</f>
        <v>4</v>
      </c>
      <c r="T34" s="180">
        <f>SUM(Tabela2[[#This Row],[G]:[GWD]])</f>
        <v>19</v>
      </c>
    </row>
    <row r="35" spans="1:20">
      <c r="A35" s="183">
        <v>4</v>
      </c>
      <c r="B35" s="175" t="s">
        <v>209</v>
      </c>
      <c r="C35" s="175" t="s">
        <v>760</v>
      </c>
      <c r="D35" s="175">
        <v>2</v>
      </c>
      <c r="E35" s="175" t="s">
        <v>18</v>
      </c>
      <c r="F35" s="175">
        <v>1</v>
      </c>
      <c r="G35" s="175">
        <v>4</v>
      </c>
      <c r="H35" s="175">
        <v>1</v>
      </c>
      <c r="I35" s="175">
        <v>5</v>
      </c>
      <c r="J35" s="175">
        <v>1</v>
      </c>
      <c r="K35" s="175">
        <v>1</v>
      </c>
      <c r="L35" s="175">
        <v>4</v>
      </c>
      <c r="M35" s="175">
        <v>1</v>
      </c>
      <c r="N35" s="170"/>
      <c r="O35" s="170" t="s">
        <v>204</v>
      </c>
      <c r="P35" s="170"/>
      <c r="Q35" s="180">
        <f>SUM(Tabela2[[#This Row],[G]]+Tabela2[[#This Row],[D]]+Tabela2[[#This Row],[N]]+Tabela2[[#This Row],[HM]])</f>
        <v>7</v>
      </c>
      <c r="R35" s="180">
        <f>SUM(Tabela2[[#This Row],[AO]]+Tabela2[[#This Row],[AD]]+Tabela2[[#This Row],[GWO]]+Tabela2[[#This Row],[GWD]])</f>
        <v>11</v>
      </c>
      <c r="S35" s="180">
        <f>Tabela2[[#This Row],[GWO]]+Tabela2[[#This Row],[GWD]]</f>
        <v>5</v>
      </c>
      <c r="T35" s="180">
        <f>SUM(Tabela2[[#This Row],[G]:[GWD]])</f>
        <v>18</v>
      </c>
    </row>
    <row r="36" spans="1:20" ht="30">
      <c r="A36" s="183">
        <v>136</v>
      </c>
      <c r="B36" s="171" t="s">
        <v>609</v>
      </c>
      <c r="C36" s="171" t="s">
        <v>572</v>
      </c>
      <c r="D36" s="171">
        <v>3</v>
      </c>
      <c r="E36" s="171" t="s">
        <v>251</v>
      </c>
      <c r="F36" s="171">
        <v>2</v>
      </c>
      <c r="G36" s="171">
        <v>2</v>
      </c>
      <c r="H36" s="171">
        <v>1</v>
      </c>
      <c r="I36" s="171">
        <v>3</v>
      </c>
      <c r="J36" s="171">
        <v>1</v>
      </c>
      <c r="K36" s="171">
        <v>4</v>
      </c>
      <c r="L36" s="171">
        <v>3</v>
      </c>
      <c r="M36" s="171">
        <v>2</v>
      </c>
      <c r="N36" s="170"/>
      <c r="O36" s="170"/>
      <c r="P36" s="194" t="s">
        <v>204</v>
      </c>
      <c r="Q36" s="180">
        <f>SUM(Tabela2[[#This Row],[G]]+Tabela2[[#This Row],[D]]+Tabela2[[#This Row],[N]]+Tabela2[[#This Row],[HM]])</f>
        <v>9</v>
      </c>
      <c r="R36" s="180">
        <f>SUM(Tabela2[[#This Row],[AO]]+Tabela2[[#This Row],[AD]]+Tabela2[[#This Row],[GWO]]+Tabela2[[#This Row],[GWD]])</f>
        <v>9</v>
      </c>
      <c r="S36" s="180">
        <f>Tabela2[[#This Row],[GWO]]+Tabela2[[#This Row],[GWD]]</f>
        <v>5</v>
      </c>
      <c r="T36" s="180">
        <f>SUM(Tabela2[[#This Row],[G]:[GWD]])</f>
        <v>18</v>
      </c>
    </row>
    <row r="37" spans="1:20">
      <c r="A37" s="183">
        <v>170</v>
      </c>
      <c r="B37" s="170" t="s">
        <v>186</v>
      </c>
      <c r="C37" s="170" t="s">
        <v>290</v>
      </c>
      <c r="D37" s="170">
        <v>3</v>
      </c>
      <c r="E37" s="170" t="s">
        <v>272</v>
      </c>
      <c r="F37" s="170">
        <v>3</v>
      </c>
      <c r="G37" s="170">
        <v>3</v>
      </c>
      <c r="H37" s="170">
        <v>1</v>
      </c>
      <c r="I37" s="170">
        <v>2</v>
      </c>
      <c r="J37" s="170">
        <v>2</v>
      </c>
      <c r="K37" s="170">
        <v>3</v>
      </c>
      <c r="L37" s="170">
        <v>2</v>
      </c>
      <c r="M37" s="170">
        <v>2</v>
      </c>
      <c r="N37" s="170"/>
      <c r="O37" s="170" t="s">
        <v>204</v>
      </c>
      <c r="P37" s="170"/>
      <c r="Q37" s="180">
        <f>SUM(Tabela2[[#This Row],[G]]+Tabela2[[#This Row],[D]]+Tabela2[[#This Row],[N]]+Tabela2[[#This Row],[HM]])</f>
        <v>10</v>
      </c>
      <c r="R37" s="180">
        <f>SUM(Tabela2[[#This Row],[AO]]+Tabela2[[#This Row],[AD]]+Tabela2[[#This Row],[GWO]]+Tabela2[[#This Row],[GWD]])</f>
        <v>8</v>
      </c>
      <c r="S37" s="180">
        <f>Tabela2[[#This Row],[GWO]]+Tabela2[[#This Row],[GWD]]</f>
        <v>4</v>
      </c>
      <c r="T37" s="180">
        <f>SUM(Tabela2[[#This Row],[G]:[GWD]])</f>
        <v>18</v>
      </c>
    </row>
    <row r="38" spans="1:20">
      <c r="A38" s="183">
        <v>64</v>
      </c>
      <c r="B38" s="175" t="s">
        <v>208</v>
      </c>
      <c r="C38" s="175" t="s">
        <v>358</v>
      </c>
      <c r="D38" s="175">
        <v>3</v>
      </c>
      <c r="E38" s="175" t="s">
        <v>18</v>
      </c>
      <c r="F38" s="175">
        <v>1</v>
      </c>
      <c r="G38" s="175">
        <v>1</v>
      </c>
      <c r="H38" s="175">
        <v>4</v>
      </c>
      <c r="I38" s="175">
        <v>3</v>
      </c>
      <c r="J38" s="175">
        <v>2</v>
      </c>
      <c r="K38" s="175">
        <v>1</v>
      </c>
      <c r="L38" s="175">
        <v>4</v>
      </c>
      <c r="M38" s="175">
        <v>2</v>
      </c>
      <c r="N38" s="170"/>
      <c r="O38" s="170" t="s">
        <v>204</v>
      </c>
      <c r="P38" s="170"/>
      <c r="Q38" s="180">
        <f>SUM(Tabela2[[#This Row],[G]]+Tabela2[[#This Row],[D]]+Tabela2[[#This Row],[N]]+Tabela2[[#This Row],[HM]])</f>
        <v>7</v>
      </c>
      <c r="R38" s="180">
        <f>SUM(Tabela2[[#This Row],[AO]]+Tabela2[[#This Row],[AD]]+Tabela2[[#This Row],[GWO]]+Tabela2[[#This Row],[GWD]])</f>
        <v>11</v>
      </c>
      <c r="S38" s="180">
        <f>Tabela2[[#This Row],[GWO]]+Tabela2[[#This Row],[GWD]]</f>
        <v>6</v>
      </c>
      <c r="T38" s="180">
        <f>SUM(Tabela2[[#This Row],[G]:[GWD]])</f>
        <v>18</v>
      </c>
    </row>
    <row r="39" spans="1:20" ht="30">
      <c r="A39" s="183">
        <v>254</v>
      </c>
      <c r="B39" s="172" t="s">
        <v>468</v>
      </c>
      <c r="C39" s="172" t="s">
        <v>415</v>
      </c>
      <c r="D39" s="172">
        <v>4</v>
      </c>
      <c r="E39" s="172" t="s">
        <v>250</v>
      </c>
      <c r="F39" s="172">
        <v>3</v>
      </c>
      <c r="G39" s="172">
        <v>1</v>
      </c>
      <c r="H39" s="172">
        <v>1</v>
      </c>
      <c r="I39" s="172">
        <v>4</v>
      </c>
      <c r="J39" s="172">
        <v>3</v>
      </c>
      <c r="K39" s="172">
        <v>1</v>
      </c>
      <c r="L39" s="172">
        <v>4</v>
      </c>
      <c r="M39" s="172">
        <v>1</v>
      </c>
      <c r="N39" s="170"/>
      <c r="O39" s="170"/>
      <c r="P39" s="170"/>
      <c r="Q39" s="180">
        <f>SUM(Tabela2[[#This Row],[G]]+Tabela2[[#This Row],[D]]+Tabela2[[#This Row],[N]]+Tabela2[[#This Row],[HM]])</f>
        <v>6</v>
      </c>
      <c r="R39" s="180">
        <f>SUM(Tabela2[[#This Row],[AO]]+Tabela2[[#This Row],[AD]]+Tabela2[[#This Row],[GWO]]+Tabela2[[#This Row],[GWD]])</f>
        <v>12</v>
      </c>
      <c r="S39" s="180">
        <f>Tabela2[[#This Row],[GWO]]+Tabela2[[#This Row],[GWD]]</f>
        <v>5</v>
      </c>
      <c r="T39" s="180">
        <f>SUM(Tabela2[[#This Row],[G]:[GWD]])</f>
        <v>18</v>
      </c>
    </row>
    <row r="40" spans="1:20">
      <c r="A40" s="183">
        <v>282</v>
      </c>
      <c r="B40" s="171" t="s">
        <v>438</v>
      </c>
      <c r="C40" s="171" t="s">
        <v>210</v>
      </c>
      <c r="D40" s="171">
        <v>4</v>
      </c>
      <c r="E40" s="171" t="s">
        <v>251</v>
      </c>
      <c r="F40" s="171">
        <v>1</v>
      </c>
      <c r="G40" s="171">
        <v>1</v>
      </c>
      <c r="H40" s="171">
        <v>1</v>
      </c>
      <c r="I40" s="171">
        <v>4</v>
      </c>
      <c r="J40" s="171">
        <v>1</v>
      </c>
      <c r="K40" s="171">
        <v>3</v>
      </c>
      <c r="L40" s="171">
        <v>4</v>
      </c>
      <c r="M40" s="171">
        <v>3</v>
      </c>
      <c r="N40" s="170"/>
      <c r="O40" s="170"/>
      <c r="P40" s="170"/>
      <c r="Q40" s="180">
        <f>SUM(Tabela2[[#This Row],[G]]+Tabela2[[#This Row],[D]]+Tabela2[[#This Row],[N]]+Tabela2[[#This Row],[HM]])</f>
        <v>6</v>
      </c>
      <c r="R40" s="180">
        <f>SUM(Tabela2[[#This Row],[AO]]+Tabela2[[#This Row],[AD]]+Tabela2[[#This Row],[GWO]]+Tabela2[[#This Row],[GWD]])</f>
        <v>12</v>
      </c>
      <c r="S40" s="180">
        <f>Tabela2[[#This Row],[GWO]]+Tabela2[[#This Row],[GWD]]</f>
        <v>7</v>
      </c>
      <c r="T40" s="180">
        <f>SUM(Tabela2[[#This Row],[G]:[GWD]])</f>
        <v>18</v>
      </c>
    </row>
    <row r="41" spans="1:20">
      <c r="A41" s="183">
        <v>210</v>
      </c>
      <c r="B41" s="175" t="s">
        <v>510</v>
      </c>
      <c r="C41" s="175" t="s">
        <v>398</v>
      </c>
      <c r="D41" s="175">
        <v>4</v>
      </c>
      <c r="E41" s="175" t="s">
        <v>18</v>
      </c>
      <c r="F41" s="175">
        <v>1</v>
      </c>
      <c r="G41" s="175">
        <v>3</v>
      </c>
      <c r="H41" s="175">
        <v>1</v>
      </c>
      <c r="I41" s="175">
        <v>3</v>
      </c>
      <c r="J41" s="175">
        <v>3</v>
      </c>
      <c r="K41" s="175">
        <v>2</v>
      </c>
      <c r="L41" s="175">
        <v>3</v>
      </c>
      <c r="M41" s="175">
        <v>2</v>
      </c>
      <c r="N41" s="170"/>
      <c r="O41" s="170"/>
      <c r="P41" s="170"/>
      <c r="Q41" s="180">
        <f>SUM(Tabela2[[#This Row],[G]]+Tabela2[[#This Row],[D]]+Tabela2[[#This Row],[N]]+Tabela2[[#This Row],[HM]])</f>
        <v>7</v>
      </c>
      <c r="R41" s="180">
        <f>SUM(Tabela2[[#This Row],[AO]]+Tabela2[[#This Row],[AD]]+Tabela2[[#This Row],[GWO]]+Tabela2[[#This Row],[GWD]])</f>
        <v>11</v>
      </c>
      <c r="S41" s="180">
        <f>Tabela2[[#This Row],[GWO]]+Tabela2[[#This Row],[GWD]]</f>
        <v>5</v>
      </c>
      <c r="T41" s="180">
        <f>SUM(Tabela2[[#This Row],[G]:[GWD]])</f>
        <v>18</v>
      </c>
    </row>
    <row r="42" spans="1:20">
      <c r="A42" s="183">
        <v>265</v>
      </c>
      <c r="B42" s="172" t="s">
        <v>356</v>
      </c>
      <c r="C42" s="172" t="s">
        <v>215</v>
      </c>
      <c r="D42" s="172">
        <v>4</v>
      </c>
      <c r="E42" s="172" t="s">
        <v>250</v>
      </c>
      <c r="F42" s="172">
        <v>5</v>
      </c>
      <c r="G42" s="172">
        <v>1</v>
      </c>
      <c r="H42" s="172">
        <v>5</v>
      </c>
      <c r="I42" s="172">
        <v>1</v>
      </c>
      <c r="J42" s="172">
        <v>1</v>
      </c>
      <c r="K42" s="172">
        <v>1</v>
      </c>
      <c r="L42" s="172">
        <v>3</v>
      </c>
      <c r="M42" s="172">
        <v>1</v>
      </c>
      <c r="N42" s="173"/>
      <c r="O42" s="173" t="s">
        <v>204</v>
      </c>
      <c r="P42" s="173"/>
      <c r="Q42" s="181">
        <f>SUM(Tabela2[[#This Row],[G]]+Tabela2[[#This Row],[D]]+Tabela2[[#This Row],[N]]+Tabela2[[#This Row],[HM]])</f>
        <v>12</v>
      </c>
      <c r="R42" s="181">
        <f>SUM(Tabela2[[#This Row],[AO]]+Tabela2[[#This Row],[AD]]+Tabela2[[#This Row],[GWO]]+Tabela2[[#This Row],[GWD]])</f>
        <v>6</v>
      </c>
      <c r="S42" s="181">
        <f>Tabela2[[#This Row],[GWO]]+Tabela2[[#This Row],[GWD]]</f>
        <v>4</v>
      </c>
      <c r="T42" s="181">
        <f>SUM(Tabela2[[#This Row],[G]:[GWD]])</f>
        <v>18</v>
      </c>
    </row>
    <row r="43" spans="1:20" ht="30">
      <c r="A43" s="183">
        <v>116</v>
      </c>
      <c r="B43" s="172" t="s">
        <v>628</v>
      </c>
      <c r="C43" s="172" t="s">
        <v>412</v>
      </c>
      <c r="D43" s="172">
        <v>3</v>
      </c>
      <c r="E43" s="172" t="s">
        <v>250</v>
      </c>
      <c r="F43" s="172">
        <v>3</v>
      </c>
      <c r="G43" s="172">
        <v>2</v>
      </c>
      <c r="H43" s="172">
        <v>1</v>
      </c>
      <c r="I43" s="172">
        <v>1</v>
      </c>
      <c r="J43" s="172">
        <v>3</v>
      </c>
      <c r="K43" s="172">
        <v>2</v>
      </c>
      <c r="L43" s="172">
        <v>3</v>
      </c>
      <c r="M43" s="172">
        <v>2</v>
      </c>
      <c r="N43" s="173"/>
      <c r="O43" s="173" t="s">
        <v>204</v>
      </c>
      <c r="P43" s="173"/>
      <c r="Q43" s="181">
        <f>SUM(Tabela2[[#This Row],[G]]+Tabela2[[#This Row],[D]]+Tabela2[[#This Row],[N]]+Tabela2[[#This Row],[HM]])</f>
        <v>8</v>
      </c>
      <c r="R43" s="181">
        <f>SUM(Tabela2[[#This Row],[AO]]+Tabela2[[#This Row],[AD]]+Tabela2[[#This Row],[GWO]]+Tabela2[[#This Row],[GWD]])</f>
        <v>9</v>
      </c>
      <c r="S43" s="181">
        <f>Tabela2[[#This Row],[GWO]]+Tabela2[[#This Row],[GWD]]</f>
        <v>5</v>
      </c>
      <c r="T43" s="181">
        <f>SUM(Tabela2[[#This Row],[G]:[GWD]])</f>
        <v>17</v>
      </c>
    </row>
    <row r="44" spans="1:20" ht="30">
      <c r="A44" s="183">
        <v>202</v>
      </c>
      <c r="B44" s="175" t="s">
        <v>518</v>
      </c>
      <c r="C44" s="175" t="s">
        <v>415</v>
      </c>
      <c r="D44" s="175">
        <v>4</v>
      </c>
      <c r="E44" s="175" t="s">
        <v>18</v>
      </c>
      <c r="F44" s="175">
        <v>1</v>
      </c>
      <c r="G44" s="175">
        <v>1</v>
      </c>
      <c r="H44" s="175">
        <v>1</v>
      </c>
      <c r="I44" s="175">
        <v>2</v>
      </c>
      <c r="J44" s="175">
        <v>3</v>
      </c>
      <c r="K44" s="175">
        <v>3</v>
      </c>
      <c r="L44" s="175">
        <v>3</v>
      </c>
      <c r="M44" s="175">
        <v>3</v>
      </c>
      <c r="N44" s="170"/>
      <c r="O44" s="170"/>
      <c r="P44" s="170"/>
      <c r="Q44" s="180">
        <f>SUM(Tabela2[[#This Row],[G]]+Tabela2[[#This Row],[D]]+Tabela2[[#This Row],[N]]+Tabela2[[#This Row],[HM]])</f>
        <v>6</v>
      </c>
      <c r="R44" s="180">
        <f>SUM(Tabela2[[#This Row],[AO]]+Tabela2[[#This Row],[AD]]+Tabela2[[#This Row],[GWO]]+Tabela2[[#This Row],[GWD]])</f>
        <v>11</v>
      </c>
      <c r="S44" s="180">
        <f>Tabela2[[#This Row],[GWO]]+Tabela2[[#This Row],[GWD]]</f>
        <v>6</v>
      </c>
      <c r="T44" s="180">
        <f>SUM(Tabela2[[#This Row],[G]:[GWD]])</f>
        <v>17</v>
      </c>
    </row>
    <row r="45" spans="1:20" ht="30">
      <c r="A45" s="183">
        <v>231</v>
      </c>
      <c r="B45" s="174" t="s">
        <v>490</v>
      </c>
      <c r="C45" s="174" t="s">
        <v>409</v>
      </c>
      <c r="D45" s="174">
        <v>4</v>
      </c>
      <c r="E45" s="174" t="s">
        <v>249</v>
      </c>
      <c r="F45" s="174">
        <v>1</v>
      </c>
      <c r="G45" s="174">
        <v>1</v>
      </c>
      <c r="H45" s="174">
        <v>3</v>
      </c>
      <c r="I45" s="174">
        <v>4</v>
      </c>
      <c r="J45" s="174">
        <v>1</v>
      </c>
      <c r="K45" s="174">
        <v>3</v>
      </c>
      <c r="L45" s="174">
        <v>3</v>
      </c>
      <c r="M45" s="174">
        <v>1</v>
      </c>
      <c r="N45" s="170"/>
      <c r="O45" s="170"/>
      <c r="P45" s="170"/>
      <c r="Q45" s="180">
        <f>SUM(Tabela2[[#This Row],[G]]+Tabela2[[#This Row],[D]]+Tabela2[[#This Row],[N]]+Tabela2[[#This Row],[HM]])</f>
        <v>8</v>
      </c>
      <c r="R45" s="180">
        <f>SUM(Tabela2[[#This Row],[AO]]+Tabela2[[#This Row],[AD]]+Tabela2[[#This Row],[GWO]]+Tabela2[[#This Row],[GWD]])</f>
        <v>9</v>
      </c>
      <c r="S45" s="180">
        <f>Tabela2[[#This Row],[GWO]]+Tabela2[[#This Row],[GWD]]</f>
        <v>4</v>
      </c>
      <c r="T45" s="180">
        <f>SUM(Tabela2[[#This Row],[G]:[GWD]])</f>
        <v>17</v>
      </c>
    </row>
    <row r="46" spans="1:20" ht="30">
      <c r="A46" s="183">
        <v>257</v>
      </c>
      <c r="B46" s="172" t="s">
        <v>465</v>
      </c>
      <c r="C46" s="172" t="s">
        <v>409</v>
      </c>
      <c r="D46" s="172">
        <v>4</v>
      </c>
      <c r="E46" s="172" t="s">
        <v>250</v>
      </c>
      <c r="F46" s="172">
        <v>3</v>
      </c>
      <c r="G46" s="172">
        <v>1</v>
      </c>
      <c r="H46" s="172">
        <v>2</v>
      </c>
      <c r="I46" s="172">
        <v>4</v>
      </c>
      <c r="J46" s="172">
        <v>1</v>
      </c>
      <c r="K46" s="172">
        <v>1</v>
      </c>
      <c r="L46" s="172">
        <v>4</v>
      </c>
      <c r="M46" s="172">
        <v>1</v>
      </c>
      <c r="N46" s="170"/>
      <c r="O46" s="170"/>
      <c r="P46" s="170"/>
      <c r="Q46" s="180">
        <f>SUM(Tabela2[[#This Row],[G]]+Tabela2[[#This Row],[D]]+Tabela2[[#This Row],[N]]+Tabela2[[#This Row],[HM]])</f>
        <v>7</v>
      </c>
      <c r="R46" s="180">
        <f>SUM(Tabela2[[#This Row],[AO]]+Tabela2[[#This Row],[AD]]+Tabela2[[#This Row],[GWO]]+Tabela2[[#This Row],[GWD]])</f>
        <v>10</v>
      </c>
      <c r="S46" s="180">
        <f>Tabela2[[#This Row],[GWO]]+Tabela2[[#This Row],[GWD]]</f>
        <v>5</v>
      </c>
      <c r="T46" s="180">
        <f>SUM(Tabela2[[#This Row],[G]:[GWD]])</f>
        <v>17</v>
      </c>
    </row>
    <row r="47" spans="1:20">
      <c r="A47" s="183">
        <v>295</v>
      </c>
      <c r="B47" s="171" t="s">
        <v>425</v>
      </c>
      <c r="C47" s="171" t="s">
        <v>382</v>
      </c>
      <c r="D47" s="171">
        <v>4</v>
      </c>
      <c r="E47" s="171" t="s">
        <v>251</v>
      </c>
      <c r="F47" s="171">
        <v>2</v>
      </c>
      <c r="G47" s="171">
        <v>1</v>
      </c>
      <c r="H47" s="171">
        <v>2</v>
      </c>
      <c r="I47" s="171">
        <v>5</v>
      </c>
      <c r="J47" s="171">
        <v>1</v>
      </c>
      <c r="K47" s="171">
        <v>1</v>
      </c>
      <c r="L47" s="171">
        <v>4</v>
      </c>
      <c r="M47" s="171">
        <v>1</v>
      </c>
      <c r="N47" s="170"/>
      <c r="O47" s="170"/>
      <c r="P47" s="170"/>
      <c r="Q47" s="180">
        <f>SUM(Tabela2[[#This Row],[G]]+Tabela2[[#This Row],[D]]+Tabela2[[#This Row],[N]]+Tabela2[[#This Row],[HM]])</f>
        <v>6</v>
      </c>
      <c r="R47" s="180">
        <f>SUM(Tabela2[[#This Row],[AO]]+Tabela2[[#This Row],[AD]]+Tabela2[[#This Row],[GWO]]+Tabela2[[#This Row],[GWD]])</f>
        <v>11</v>
      </c>
      <c r="S47" s="180">
        <f>Tabela2[[#This Row],[GWO]]+Tabela2[[#This Row],[GWD]]</f>
        <v>5</v>
      </c>
      <c r="T47" s="180">
        <f>SUM(Tabela2[[#This Row],[G]:[GWD]])</f>
        <v>17</v>
      </c>
    </row>
    <row r="48" spans="1:20">
      <c r="A48" s="183">
        <v>321</v>
      </c>
      <c r="B48" s="170" t="s">
        <v>383</v>
      </c>
      <c r="C48" s="170" t="s">
        <v>382</v>
      </c>
      <c r="D48" s="170">
        <v>4</v>
      </c>
      <c r="E48" s="170" t="s">
        <v>272</v>
      </c>
      <c r="F48" s="170">
        <v>2</v>
      </c>
      <c r="G48" s="170">
        <v>2</v>
      </c>
      <c r="H48" s="170">
        <v>1</v>
      </c>
      <c r="I48" s="170">
        <v>5</v>
      </c>
      <c r="J48" s="170">
        <v>1</v>
      </c>
      <c r="K48" s="170">
        <v>1</v>
      </c>
      <c r="L48" s="170">
        <v>4</v>
      </c>
      <c r="M48" s="170">
        <v>1</v>
      </c>
      <c r="N48" s="170"/>
      <c r="O48" s="170"/>
      <c r="P48" s="170"/>
      <c r="Q48" s="180">
        <f>SUM(Tabela2[[#This Row],[G]]+Tabela2[[#This Row],[D]]+Tabela2[[#This Row],[N]]+Tabela2[[#This Row],[HM]])</f>
        <v>6</v>
      </c>
      <c r="R48" s="180">
        <f>SUM(Tabela2[[#This Row],[AO]]+Tabela2[[#This Row],[AD]]+Tabela2[[#This Row],[GWO]]+Tabela2[[#This Row],[GWD]])</f>
        <v>11</v>
      </c>
      <c r="S48" s="180">
        <f>Tabela2[[#This Row],[GWO]]+Tabela2[[#This Row],[GWD]]</f>
        <v>5</v>
      </c>
      <c r="T48" s="180">
        <f>SUM(Tabela2[[#This Row],[G]:[GWD]])</f>
        <v>17</v>
      </c>
    </row>
    <row r="49" spans="1:20">
      <c r="A49" s="183">
        <v>274</v>
      </c>
      <c r="B49" s="172" t="s">
        <v>448</v>
      </c>
      <c r="C49" s="172" t="s">
        <v>378</v>
      </c>
      <c r="D49" s="172">
        <v>4</v>
      </c>
      <c r="E49" s="172" t="s">
        <v>250</v>
      </c>
      <c r="F49" s="172">
        <v>5</v>
      </c>
      <c r="G49" s="172">
        <v>1</v>
      </c>
      <c r="H49" s="172">
        <v>1</v>
      </c>
      <c r="I49" s="172">
        <v>1</v>
      </c>
      <c r="J49" s="172">
        <v>1</v>
      </c>
      <c r="K49" s="172">
        <v>3</v>
      </c>
      <c r="L49" s="172">
        <v>3</v>
      </c>
      <c r="M49" s="172">
        <v>2</v>
      </c>
      <c r="N49" s="170"/>
      <c r="O49" s="170"/>
      <c r="P49" s="170"/>
      <c r="Q49" s="180">
        <f>SUM(Tabela2[[#This Row],[G]]+Tabela2[[#This Row],[D]]+Tabela2[[#This Row],[N]]+Tabela2[[#This Row],[HM]])</f>
        <v>10</v>
      </c>
      <c r="R49" s="180">
        <f>SUM(Tabela2[[#This Row],[AO]]+Tabela2[[#This Row],[AD]]+Tabela2[[#This Row],[GWO]]+Tabela2[[#This Row],[GWD]])</f>
        <v>7</v>
      </c>
      <c r="S49" s="180">
        <f>Tabela2[[#This Row],[GWO]]+Tabela2[[#This Row],[GWD]]</f>
        <v>5</v>
      </c>
      <c r="T49" s="180">
        <f>SUM(Tabela2[[#This Row],[G]:[GWD]])</f>
        <v>17</v>
      </c>
    </row>
    <row r="50" spans="1:20">
      <c r="A50" s="183">
        <v>79</v>
      </c>
      <c r="B50" s="174" t="s">
        <v>665</v>
      </c>
      <c r="C50" s="174" t="s">
        <v>574</v>
      </c>
      <c r="D50" s="174">
        <v>3</v>
      </c>
      <c r="E50" s="174" t="s">
        <v>249</v>
      </c>
      <c r="F50" s="174">
        <v>2</v>
      </c>
      <c r="G50" s="174">
        <v>2</v>
      </c>
      <c r="H50" s="174">
        <v>3</v>
      </c>
      <c r="I50" s="174">
        <v>3</v>
      </c>
      <c r="J50" s="174">
        <v>1</v>
      </c>
      <c r="K50" s="174">
        <v>2</v>
      </c>
      <c r="L50" s="174">
        <v>2</v>
      </c>
      <c r="M50" s="174">
        <v>1</v>
      </c>
      <c r="N50" s="170"/>
      <c r="O50" s="170"/>
      <c r="P50" s="170"/>
      <c r="Q50" s="180">
        <f>SUM(Tabela2[[#This Row],[G]]+Tabela2[[#This Row],[D]]+Tabela2[[#This Row],[N]]+Tabela2[[#This Row],[HM]])</f>
        <v>9</v>
      </c>
      <c r="R50" s="180">
        <f>SUM(Tabela2[[#This Row],[AO]]+Tabela2[[#This Row],[AD]]+Tabela2[[#This Row],[GWO]]+Tabela2[[#This Row],[GWD]])</f>
        <v>7</v>
      </c>
      <c r="S50" s="180">
        <f>Tabela2[[#This Row],[GWO]]+Tabela2[[#This Row],[GWD]]</f>
        <v>3</v>
      </c>
      <c r="T50" s="180">
        <f>SUM(Tabela2[[#This Row],[G]:[GWD]])</f>
        <v>16</v>
      </c>
    </row>
    <row r="51" spans="1:20" ht="30">
      <c r="A51" s="183">
        <v>147</v>
      </c>
      <c r="B51" s="171" t="s">
        <v>598</v>
      </c>
      <c r="C51" s="171" t="s">
        <v>550</v>
      </c>
      <c r="D51" s="171">
        <v>3</v>
      </c>
      <c r="E51" s="171" t="s">
        <v>251</v>
      </c>
      <c r="F51" s="171">
        <v>1</v>
      </c>
      <c r="G51" s="171">
        <v>1</v>
      </c>
      <c r="H51" s="171">
        <v>3</v>
      </c>
      <c r="I51" s="171">
        <v>2</v>
      </c>
      <c r="J51" s="171">
        <v>1</v>
      </c>
      <c r="K51" s="171">
        <v>5</v>
      </c>
      <c r="L51" s="171">
        <v>2</v>
      </c>
      <c r="M51" s="171">
        <v>1</v>
      </c>
      <c r="N51" s="170"/>
      <c r="O51" s="170"/>
      <c r="P51" s="194" t="s">
        <v>204</v>
      </c>
      <c r="Q51" s="180">
        <f>SUM(Tabela2[[#This Row],[G]]+Tabela2[[#This Row],[D]]+Tabela2[[#This Row],[N]]+Tabela2[[#This Row],[HM]])</f>
        <v>10</v>
      </c>
      <c r="R51" s="180">
        <f>SUM(Tabela2[[#This Row],[AO]]+Tabela2[[#This Row],[AD]]+Tabela2[[#This Row],[GWO]]+Tabela2[[#This Row],[GWD]])</f>
        <v>6</v>
      </c>
      <c r="S51" s="180">
        <f>Tabela2[[#This Row],[GWO]]+Tabela2[[#This Row],[GWD]]</f>
        <v>3</v>
      </c>
      <c r="T51" s="180">
        <f>SUM(Tabela2[[#This Row],[G]:[GWD]])</f>
        <v>16</v>
      </c>
    </row>
    <row r="52" spans="1:20" ht="30">
      <c r="A52" s="183">
        <v>125</v>
      </c>
      <c r="B52" s="172" t="s">
        <v>620</v>
      </c>
      <c r="C52" s="172" t="s">
        <v>538</v>
      </c>
      <c r="D52" s="172">
        <v>3</v>
      </c>
      <c r="E52" s="172" t="s">
        <v>250</v>
      </c>
      <c r="F52" s="172">
        <v>3</v>
      </c>
      <c r="G52" s="172">
        <v>1</v>
      </c>
      <c r="H52" s="172">
        <v>1</v>
      </c>
      <c r="I52" s="172">
        <v>3</v>
      </c>
      <c r="J52" s="172">
        <v>1</v>
      </c>
      <c r="K52" s="172">
        <v>1</v>
      </c>
      <c r="L52" s="172">
        <v>5</v>
      </c>
      <c r="M52" s="172">
        <v>1</v>
      </c>
      <c r="N52" s="170"/>
      <c r="O52" s="170" t="s">
        <v>204</v>
      </c>
      <c r="P52" s="170"/>
      <c r="Q52" s="180">
        <f>SUM(Tabela2[[#This Row],[G]]+Tabela2[[#This Row],[D]]+Tabela2[[#This Row],[N]]+Tabela2[[#This Row],[HM]])</f>
        <v>6</v>
      </c>
      <c r="R52" s="180">
        <f>SUM(Tabela2[[#This Row],[AO]]+Tabela2[[#This Row],[AD]]+Tabela2[[#This Row],[GWO]]+Tabela2[[#This Row],[GWD]])</f>
        <v>10</v>
      </c>
      <c r="S52" s="180">
        <f>Tabela2[[#This Row],[GWO]]+Tabela2[[#This Row],[GWD]]</f>
        <v>6</v>
      </c>
      <c r="T52" s="180">
        <f>SUM(Tabela2[[#This Row],[G]:[GWD]])</f>
        <v>16</v>
      </c>
    </row>
    <row r="53" spans="1:20">
      <c r="A53" s="183">
        <v>164</v>
      </c>
      <c r="B53" s="171" t="s">
        <v>580</v>
      </c>
      <c r="C53" s="171" t="s">
        <v>267</v>
      </c>
      <c r="D53" s="171">
        <v>3</v>
      </c>
      <c r="E53" s="171" t="s">
        <v>251</v>
      </c>
      <c r="F53" s="171">
        <v>1</v>
      </c>
      <c r="G53" s="171">
        <v>1</v>
      </c>
      <c r="H53" s="171">
        <v>1</v>
      </c>
      <c r="I53" s="171">
        <v>2</v>
      </c>
      <c r="J53" s="171">
        <v>3</v>
      </c>
      <c r="K53" s="171">
        <v>2</v>
      </c>
      <c r="L53" s="171">
        <v>3</v>
      </c>
      <c r="M53" s="171">
        <v>3</v>
      </c>
      <c r="N53" s="170"/>
      <c r="O53" s="170"/>
      <c r="P53" s="170"/>
      <c r="Q53" s="180">
        <f>SUM(Tabela2[[#This Row],[G]]+Tabela2[[#This Row],[D]]+Tabela2[[#This Row],[N]]+Tabela2[[#This Row],[HM]])</f>
        <v>5</v>
      </c>
      <c r="R53" s="180">
        <f>SUM(Tabela2[[#This Row],[AO]]+Tabela2[[#This Row],[AD]]+Tabela2[[#This Row],[GWO]]+Tabela2[[#This Row],[GWD]])</f>
        <v>11</v>
      </c>
      <c r="S53" s="180">
        <f>Tabela2[[#This Row],[GWO]]+Tabela2[[#This Row],[GWD]]</f>
        <v>6</v>
      </c>
      <c r="T53" s="180">
        <f>SUM(Tabela2[[#This Row],[G]:[GWD]])</f>
        <v>16</v>
      </c>
    </row>
    <row r="54" spans="1:20">
      <c r="A54" s="183">
        <v>200</v>
      </c>
      <c r="B54" s="176" t="s">
        <v>520</v>
      </c>
      <c r="C54" s="175" t="s">
        <v>419</v>
      </c>
      <c r="D54" s="175">
        <v>4</v>
      </c>
      <c r="E54" s="175" t="s">
        <v>18</v>
      </c>
      <c r="F54" s="175">
        <v>1</v>
      </c>
      <c r="G54" s="175">
        <v>3</v>
      </c>
      <c r="H54" s="175">
        <v>3</v>
      </c>
      <c r="I54" s="175">
        <v>3</v>
      </c>
      <c r="J54" s="175">
        <v>1</v>
      </c>
      <c r="K54" s="175">
        <v>1</v>
      </c>
      <c r="L54" s="175">
        <v>3</v>
      </c>
      <c r="M54" s="175">
        <v>1</v>
      </c>
      <c r="N54" s="170"/>
      <c r="O54" s="170"/>
      <c r="P54" s="170"/>
      <c r="Q54" s="180">
        <f>SUM(Tabela2[[#This Row],[G]]+Tabela2[[#This Row],[D]]+Tabela2[[#This Row],[N]]+Tabela2[[#This Row],[HM]])</f>
        <v>8</v>
      </c>
      <c r="R54" s="180">
        <f>SUM(Tabela2[[#This Row],[AO]]+Tabela2[[#This Row],[AD]]+Tabela2[[#This Row],[GWO]]+Tabela2[[#This Row],[GWD]])</f>
        <v>8</v>
      </c>
      <c r="S54" s="180">
        <f>Tabela2[[#This Row],[GWO]]+Tabela2[[#This Row],[GWD]]</f>
        <v>4</v>
      </c>
      <c r="T54" s="180">
        <f>SUM(Tabela2[[#This Row],[G]:[GWD]])</f>
        <v>16</v>
      </c>
    </row>
    <row r="55" spans="1:20" ht="30">
      <c r="A55" s="183">
        <v>279</v>
      </c>
      <c r="B55" s="171" t="s">
        <v>442</v>
      </c>
      <c r="C55" s="171" t="s">
        <v>441</v>
      </c>
      <c r="D55" s="171">
        <v>4</v>
      </c>
      <c r="E55" s="171" t="s">
        <v>251</v>
      </c>
      <c r="F55" s="171">
        <v>2</v>
      </c>
      <c r="G55" s="171">
        <v>2</v>
      </c>
      <c r="H55" s="171">
        <v>2</v>
      </c>
      <c r="I55" s="171">
        <v>3</v>
      </c>
      <c r="J55" s="171">
        <v>1</v>
      </c>
      <c r="K55" s="171">
        <v>1</v>
      </c>
      <c r="L55" s="171">
        <v>4</v>
      </c>
      <c r="M55" s="171">
        <v>1</v>
      </c>
      <c r="N55" s="170"/>
      <c r="O55" s="170"/>
      <c r="P55" s="170"/>
      <c r="Q55" s="180">
        <f>SUM(Tabela2[[#This Row],[G]]+Tabela2[[#This Row],[D]]+Tabela2[[#This Row],[N]]+Tabela2[[#This Row],[HM]])</f>
        <v>7</v>
      </c>
      <c r="R55" s="180">
        <f>SUM(Tabela2[[#This Row],[AO]]+Tabela2[[#This Row],[AD]]+Tabela2[[#This Row],[GWO]]+Tabela2[[#This Row],[GWD]])</f>
        <v>9</v>
      </c>
      <c r="S55" s="180">
        <f>Tabela2[[#This Row],[GWO]]+Tabela2[[#This Row],[GWD]]</f>
        <v>5</v>
      </c>
      <c r="T55" s="180">
        <f>SUM(Tabela2[[#This Row],[G]:[GWD]])</f>
        <v>16</v>
      </c>
    </row>
    <row r="56" spans="1:20" ht="30">
      <c r="A56" s="183">
        <v>281</v>
      </c>
      <c r="B56" s="171" t="s">
        <v>439</v>
      </c>
      <c r="C56" s="171" t="s">
        <v>357</v>
      </c>
      <c r="D56" s="171">
        <v>4</v>
      </c>
      <c r="E56" s="171" t="s">
        <v>251</v>
      </c>
      <c r="F56" s="171">
        <v>3</v>
      </c>
      <c r="G56" s="171">
        <v>1</v>
      </c>
      <c r="H56" s="171">
        <v>1</v>
      </c>
      <c r="I56" s="171">
        <v>1</v>
      </c>
      <c r="J56" s="171">
        <v>3</v>
      </c>
      <c r="K56" s="171">
        <v>1</v>
      </c>
      <c r="L56" s="171">
        <v>3</v>
      </c>
      <c r="M56" s="171">
        <v>3</v>
      </c>
      <c r="N56" s="170"/>
      <c r="O56" s="170"/>
      <c r="P56" s="170"/>
      <c r="Q56" s="180">
        <f>SUM(Tabela2[[#This Row],[G]]+Tabela2[[#This Row],[D]]+Tabela2[[#This Row],[N]]+Tabela2[[#This Row],[HM]])</f>
        <v>6</v>
      </c>
      <c r="R56" s="180">
        <f>SUM(Tabela2[[#This Row],[AO]]+Tabela2[[#This Row],[AD]]+Tabela2[[#This Row],[GWO]]+Tabela2[[#This Row],[GWD]])</f>
        <v>10</v>
      </c>
      <c r="S56" s="180">
        <f>Tabela2[[#This Row],[GWO]]+Tabela2[[#This Row],[GWD]]</f>
        <v>6</v>
      </c>
      <c r="T56" s="180">
        <f>SUM(Tabela2[[#This Row],[G]:[GWD]])</f>
        <v>16</v>
      </c>
    </row>
    <row r="57" spans="1:20">
      <c r="A57" s="183">
        <v>230</v>
      </c>
      <c r="B57" s="174" t="s">
        <v>491</v>
      </c>
      <c r="C57" s="174" t="s">
        <v>210</v>
      </c>
      <c r="D57" s="174">
        <v>4</v>
      </c>
      <c r="E57" s="174" t="s">
        <v>249</v>
      </c>
      <c r="F57" s="174">
        <v>1</v>
      </c>
      <c r="G57" s="174">
        <v>1</v>
      </c>
      <c r="H57" s="174">
        <v>1</v>
      </c>
      <c r="I57" s="174">
        <v>2</v>
      </c>
      <c r="J57" s="174">
        <v>3</v>
      </c>
      <c r="K57" s="174">
        <v>1</v>
      </c>
      <c r="L57" s="174">
        <v>3</v>
      </c>
      <c r="M57" s="174">
        <v>4</v>
      </c>
      <c r="N57" s="170"/>
      <c r="O57" s="170"/>
      <c r="P57" s="170"/>
      <c r="Q57" s="180">
        <f>SUM(Tabela2[[#This Row],[G]]+Tabela2[[#This Row],[D]]+Tabela2[[#This Row],[N]]+Tabela2[[#This Row],[HM]])</f>
        <v>4</v>
      </c>
      <c r="R57" s="180">
        <f>SUM(Tabela2[[#This Row],[AO]]+Tabela2[[#This Row],[AD]]+Tabela2[[#This Row],[GWO]]+Tabela2[[#This Row],[GWD]])</f>
        <v>12</v>
      </c>
      <c r="S57" s="180">
        <f>Tabela2[[#This Row],[GWO]]+Tabela2[[#This Row],[GWD]]</f>
        <v>7</v>
      </c>
      <c r="T57" s="180">
        <f>SUM(Tabela2[[#This Row],[G]:[GWD]])</f>
        <v>16</v>
      </c>
    </row>
    <row r="58" spans="1:20" ht="30">
      <c r="A58" s="183">
        <v>236</v>
      </c>
      <c r="B58" s="174" t="s">
        <v>486</v>
      </c>
      <c r="C58" s="174" t="s">
        <v>396</v>
      </c>
      <c r="D58" s="174">
        <v>4</v>
      </c>
      <c r="E58" s="174" t="s">
        <v>249</v>
      </c>
      <c r="F58" s="174">
        <v>2</v>
      </c>
      <c r="G58" s="174">
        <v>2</v>
      </c>
      <c r="H58" s="174">
        <v>4</v>
      </c>
      <c r="I58" s="174">
        <v>1</v>
      </c>
      <c r="J58" s="174">
        <v>1</v>
      </c>
      <c r="K58" s="174">
        <v>3</v>
      </c>
      <c r="L58" s="174">
        <v>1</v>
      </c>
      <c r="M58" s="174">
        <v>2</v>
      </c>
      <c r="N58" s="170"/>
      <c r="O58" s="194" t="s">
        <v>204</v>
      </c>
      <c r="P58" s="194"/>
      <c r="Q58" s="180">
        <f>SUM(Tabela2[[#This Row],[G]]+Tabela2[[#This Row],[D]]+Tabela2[[#This Row],[N]]+Tabela2[[#This Row],[HM]])</f>
        <v>11</v>
      </c>
      <c r="R58" s="180">
        <f>SUM(Tabela2[[#This Row],[AO]]+Tabela2[[#This Row],[AD]]+Tabela2[[#This Row],[GWO]]+Tabela2[[#This Row],[GWD]])</f>
        <v>5</v>
      </c>
      <c r="S58" s="180">
        <f>Tabela2[[#This Row],[GWO]]+Tabela2[[#This Row],[GWD]]</f>
        <v>3</v>
      </c>
      <c r="T58" s="180">
        <f>SUM(Tabela2[[#This Row],[G]:[GWD]])</f>
        <v>16</v>
      </c>
    </row>
    <row r="59" spans="1:20" ht="30">
      <c r="A59" s="183">
        <v>212</v>
      </c>
      <c r="B59" s="175" t="s">
        <v>508</v>
      </c>
      <c r="C59" s="175" t="s">
        <v>394</v>
      </c>
      <c r="D59" s="175">
        <v>4</v>
      </c>
      <c r="E59" s="175" t="s">
        <v>18</v>
      </c>
      <c r="F59" s="175">
        <v>1</v>
      </c>
      <c r="G59" s="175">
        <v>3</v>
      </c>
      <c r="H59" s="175">
        <v>3</v>
      </c>
      <c r="I59" s="175">
        <v>3</v>
      </c>
      <c r="J59" s="175">
        <v>1</v>
      </c>
      <c r="K59" s="175">
        <v>1</v>
      </c>
      <c r="L59" s="175">
        <v>3</v>
      </c>
      <c r="M59" s="175">
        <v>1</v>
      </c>
      <c r="N59" s="170"/>
      <c r="O59" s="170"/>
      <c r="P59" s="170"/>
      <c r="Q59" s="180">
        <f>SUM(Tabela2[[#This Row],[G]]+Tabela2[[#This Row],[D]]+Tabela2[[#This Row],[N]]+Tabela2[[#This Row],[HM]])</f>
        <v>8</v>
      </c>
      <c r="R59" s="180">
        <f>SUM(Tabela2[[#This Row],[AO]]+Tabela2[[#This Row],[AD]]+Tabela2[[#This Row],[GWO]]+Tabela2[[#This Row],[GWD]])</f>
        <v>8</v>
      </c>
      <c r="S59" s="180">
        <f>Tabela2[[#This Row],[GWO]]+Tabela2[[#This Row],[GWD]]</f>
        <v>4</v>
      </c>
      <c r="T59" s="180">
        <f>SUM(Tabela2[[#This Row],[G]:[GWD]])</f>
        <v>16</v>
      </c>
    </row>
    <row r="60" spans="1:20" ht="30">
      <c r="A60" s="183">
        <v>213</v>
      </c>
      <c r="B60" s="175" t="s">
        <v>507</v>
      </c>
      <c r="C60" s="175" t="s">
        <v>392</v>
      </c>
      <c r="D60" s="175">
        <v>4</v>
      </c>
      <c r="E60" s="175" t="s">
        <v>18</v>
      </c>
      <c r="F60" s="175">
        <v>1</v>
      </c>
      <c r="G60" s="175">
        <v>1</v>
      </c>
      <c r="H60" s="175">
        <v>5</v>
      </c>
      <c r="I60" s="175">
        <v>3</v>
      </c>
      <c r="J60" s="175">
        <v>1</v>
      </c>
      <c r="K60" s="175">
        <v>1</v>
      </c>
      <c r="L60" s="175">
        <v>3</v>
      </c>
      <c r="M60" s="175">
        <v>1</v>
      </c>
      <c r="N60" s="173"/>
      <c r="O60" s="173"/>
      <c r="P60" s="173"/>
      <c r="Q60" s="181">
        <f>SUM(Tabela2[[#This Row],[G]]+Tabela2[[#This Row],[D]]+Tabela2[[#This Row],[N]]+Tabela2[[#This Row],[HM]])</f>
        <v>8</v>
      </c>
      <c r="R60" s="181">
        <f>SUM(Tabela2[[#This Row],[AO]]+Tabela2[[#This Row],[AD]]+Tabela2[[#This Row],[GWO]]+Tabela2[[#This Row],[GWD]])</f>
        <v>8</v>
      </c>
      <c r="S60" s="181">
        <f>Tabela2[[#This Row],[GWO]]+Tabela2[[#This Row],[GWD]]</f>
        <v>4</v>
      </c>
      <c r="T60" s="181">
        <f>SUM(Tabela2[[#This Row],[G]:[GWD]])</f>
        <v>16</v>
      </c>
    </row>
    <row r="61" spans="1:20" ht="30">
      <c r="A61" s="183">
        <v>264</v>
      </c>
      <c r="B61" s="172" t="s">
        <v>458</v>
      </c>
      <c r="C61" s="172" t="s">
        <v>392</v>
      </c>
      <c r="D61" s="172">
        <v>4</v>
      </c>
      <c r="E61" s="172" t="s">
        <v>250</v>
      </c>
      <c r="F61" s="172">
        <v>4</v>
      </c>
      <c r="G61" s="172">
        <v>1</v>
      </c>
      <c r="H61" s="172">
        <v>4</v>
      </c>
      <c r="I61" s="172">
        <v>1</v>
      </c>
      <c r="J61" s="172">
        <v>1</v>
      </c>
      <c r="K61" s="172">
        <v>1</v>
      </c>
      <c r="L61" s="172">
        <v>3</v>
      </c>
      <c r="M61" s="172">
        <v>1</v>
      </c>
      <c r="N61" s="172" t="s">
        <v>445</v>
      </c>
      <c r="O61" s="172"/>
      <c r="P61" s="172"/>
      <c r="Q61" s="186">
        <f>SUM(Tabela2[[#This Row],[G]]+Tabela2[[#This Row],[D]]+Tabela2[[#This Row],[N]]+Tabela2[[#This Row],[HM]])</f>
        <v>10</v>
      </c>
      <c r="R61" s="186">
        <f>SUM(Tabela2[[#This Row],[AO]]+Tabela2[[#This Row],[AD]]+Tabela2[[#This Row],[GWO]]+Tabela2[[#This Row],[GWD]])</f>
        <v>6</v>
      </c>
      <c r="S61" s="186">
        <f>Tabela2[[#This Row],[GWO]]+Tabela2[[#This Row],[GWD]]</f>
        <v>4</v>
      </c>
      <c r="T61" s="180">
        <f>SUM(Tabela2[[#This Row],[G]:[GWD]])</f>
        <v>16</v>
      </c>
    </row>
    <row r="62" spans="1:20">
      <c r="A62" s="183">
        <v>216</v>
      </c>
      <c r="B62" s="175" t="s">
        <v>504</v>
      </c>
      <c r="C62" s="175" t="s">
        <v>388</v>
      </c>
      <c r="D62" s="175">
        <v>4</v>
      </c>
      <c r="E62" s="175" t="s">
        <v>18</v>
      </c>
      <c r="F62" s="175">
        <v>1</v>
      </c>
      <c r="G62" s="175">
        <v>3</v>
      </c>
      <c r="H62" s="175">
        <v>3</v>
      </c>
      <c r="I62" s="175">
        <v>3</v>
      </c>
      <c r="J62" s="175">
        <v>1</v>
      </c>
      <c r="K62" s="175">
        <v>2</v>
      </c>
      <c r="L62" s="175">
        <v>2</v>
      </c>
      <c r="M62" s="175">
        <v>1</v>
      </c>
      <c r="N62" s="170"/>
      <c r="O62" s="170"/>
      <c r="P62" s="170"/>
      <c r="Q62" s="180">
        <f>SUM(Tabela2[[#This Row],[G]]+Tabela2[[#This Row],[D]]+Tabela2[[#This Row],[N]]+Tabela2[[#This Row],[HM]])</f>
        <v>9</v>
      </c>
      <c r="R62" s="180">
        <f>SUM(Tabela2[[#This Row],[AO]]+Tabela2[[#This Row],[AD]]+Tabela2[[#This Row],[GWO]]+Tabela2[[#This Row],[GWD]])</f>
        <v>7</v>
      </c>
      <c r="S62" s="180">
        <f>Tabela2[[#This Row],[GWO]]+Tabela2[[#This Row],[GWD]]</f>
        <v>3</v>
      </c>
      <c r="T62" s="180">
        <f>SUM(Tabela2[[#This Row],[G]:[GWD]])</f>
        <v>16</v>
      </c>
    </row>
    <row r="63" spans="1:20">
      <c r="A63" s="183">
        <v>241</v>
      </c>
      <c r="B63" s="174" t="s">
        <v>481</v>
      </c>
      <c r="C63" s="174" t="s">
        <v>388</v>
      </c>
      <c r="D63" s="174">
        <v>4</v>
      </c>
      <c r="E63" s="174" t="s">
        <v>249</v>
      </c>
      <c r="F63" s="174">
        <v>1</v>
      </c>
      <c r="G63" s="174">
        <v>1</v>
      </c>
      <c r="H63" s="174">
        <v>3</v>
      </c>
      <c r="I63" s="174">
        <v>4</v>
      </c>
      <c r="J63" s="174">
        <v>1</v>
      </c>
      <c r="K63" s="174">
        <v>1</v>
      </c>
      <c r="L63" s="174">
        <v>4</v>
      </c>
      <c r="M63" s="174">
        <v>1</v>
      </c>
      <c r="N63" s="170"/>
      <c r="O63" s="170"/>
      <c r="P63" s="170"/>
      <c r="Q63" s="180">
        <f>SUM(Tabela2[[#This Row],[G]]+Tabela2[[#This Row],[D]]+Tabela2[[#This Row],[N]]+Tabela2[[#This Row],[HM]])</f>
        <v>6</v>
      </c>
      <c r="R63" s="180">
        <f>SUM(Tabela2[[#This Row],[AO]]+Tabela2[[#This Row],[AD]]+Tabela2[[#This Row],[GWO]]+Tabela2[[#This Row],[GWD]])</f>
        <v>10</v>
      </c>
      <c r="S63" s="180">
        <f>Tabela2[[#This Row],[GWO]]+Tabela2[[#This Row],[GWD]]</f>
        <v>5</v>
      </c>
      <c r="T63" s="180">
        <f>SUM(Tabela2[[#This Row],[G]:[GWD]])</f>
        <v>16</v>
      </c>
    </row>
    <row r="64" spans="1:20">
      <c r="A64" s="183">
        <v>243</v>
      </c>
      <c r="B64" s="174" t="s">
        <v>479</v>
      </c>
      <c r="C64" s="174" t="s">
        <v>384</v>
      </c>
      <c r="D64" s="174">
        <v>4</v>
      </c>
      <c r="E64" s="174" t="s">
        <v>249</v>
      </c>
      <c r="F64" s="174">
        <v>2</v>
      </c>
      <c r="G64" s="174">
        <v>4</v>
      </c>
      <c r="H64" s="174">
        <v>1</v>
      </c>
      <c r="I64" s="174">
        <v>2</v>
      </c>
      <c r="J64" s="174">
        <v>1</v>
      </c>
      <c r="K64" s="174">
        <v>1</v>
      </c>
      <c r="L64" s="174">
        <v>4</v>
      </c>
      <c r="M64" s="174">
        <v>1</v>
      </c>
      <c r="N64" s="170"/>
      <c r="O64" s="170" t="s">
        <v>204</v>
      </c>
      <c r="P64" s="170"/>
      <c r="Q64" s="180">
        <f>SUM(Tabela2[[#This Row],[G]]+Tabela2[[#This Row],[D]]+Tabela2[[#This Row],[N]]+Tabela2[[#This Row],[HM]])</f>
        <v>8</v>
      </c>
      <c r="R64" s="180">
        <f>SUM(Tabela2[[#This Row],[AO]]+Tabela2[[#This Row],[AD]]+Tabela2[[#This Row],[GWO]]+Tabela2[[#This Row],[GWD]])</f>
        <v>8</v>
      </c>
      <c r="S64" s="180">
        <f>Tabela2[[#This Row],[GWO]]+Tabela2[[#This Row],[GWD]]</f>
        <v>5</v>
      </c>
      <c r="T64" s="180">
        <f>SUM(Tabela2[[#This Row],[G]:[GWD]])</f>
        <v>16</v>
      </c>
    </row>
    <row r="65" spans="1:20">
      <c r="A65" s="183">
        <v>269</v>
      </c>
      <c r="B65" s="172" t="s">
        <v>454</v>
      </c>
      <c r="C65" s="172" t="s">
        <v>384</v>
      </c>
      <c r="D65" s="172">
        <v>4</v>
      </c>
      <c r="E65" s="172" t="s">
        <v>250</v>
      </c>
      <c r="F65" s="172">
        <v>3</v>
      </c>
      <c r="G65" s="172">
        <v>1</v>
      </c>
      <c r="H65" s="172">
        <v>4</v>
      </c>
      <c r="I65" s="172">
        <v>2</v>
      </c>
      <c r="J65" s="172">
        <v>1</v>
      </c>
      <c r="K65" s="172">
        <v>1</v>
      </c>
      <c r="L65" s="172">
        <v>3</v>
      </c>
      <c r="M65" s="172">
        <v>1</v>
      </c>
      <c r="N65" s="170"/>
      <c r="O65" s="170"/>
      <c r="P65" s="170"/>
      <c r="Q65" s="180">
        <f>SUM(Tabela2[[#This Row],[G]]+Tabela2[[#This Row],[D]]+Tabela2[[#This Row],[N]]+Tabela2[[#This Row],[HM]])</f>
        <v>9</v>
      </c>
      <c r="R65" s="180">
        <f>SUM(Tabela2[[#This Row],[AO]]+Tabela2[[#This Row],[AD]]+Tabela2[[#This Row],[GWO]]+Tabela2[[#This Row],[GWD]])</f>
        <v>7</v>
      </c>
      <c r="S65" s="180">
        <f>Tabela2[[#This Row],[GWO]]+Tabela2[[#This Row],[GWD]]</f>
        <v>4</v>
      </c>
      <c r="T65" s="180">
        <f>SUM(Tabela2[[#This Row],[G]:[GWD]])</f>
        <v>16</v>
      </c>
    </row>
    <row r="66" spans="1:20" ht="30">
      <c r="A66" s="183">
        <v>220</v>
      </c>
      <c r="B66" s="175" t="s">
        <v>500</v>
      </c>
      <c r="C66" s="175" t="s">
        <v>451</v>
      </c>
      <c r="D66" s="175">
        <v>4</v>
      </c>
      <c r="E66" s="175" t="s">
        <v>18</v>
      </c>
      <c r="F66" s="175">
        <v>1</v>
      </c>
      <c r="G66" s="175">
        <v>1</v>
      </c>
      <c r="H66" s="175">
        <v>5</v>
      </c>
      <c r="I66" s="175">
        <v>3</v>
      </c>
      <c r="J66" s="175">
        <v>1</v>
      </c>
      <c r="K66" s="175">
        <v>1</v>
      </c>
      <c r="L66" s="175">
        <v>3</v>
      </c>
      <c r="M66" s="175">
        <v>1</v>
      </c>
      <c r="N66" s="170"/>
      <c r="O66" s="170"/>
      <c r="P66" s="170"/>
      <c r="Q66" s="180">
        <f>SUM(Tabela2[[#This Row],[G]]+Tabela2[[#This Row],[D]]+Tabela2[[#This Row],[N]]+Tabela2[[#This Row],[HM]])</f>
        <v>8</v>
      </c>
      <c r="R66" s="180">
        <f>SUM(Tabela2[[#This Row],[AO]]+Tabela2[[#This Row],[AD]]+Tabela2[[#This Row],[GWO]]+Tabela2[[#This Row],[GWD]])</f>
        <v>8</v>
      </c>
      <c r="S66" s="180">
        <f>Tabela2[[#This Row],[GWO]]+Tabela2[[#This Row],[GWD]]</f>
        <v>4</v>
      </c>
      <c r="T66" s="180">
        <f>SUM(Tabela2[[#This Row],[G]:[GWD]])</f>
        <v>16</v>
      </c>
    </row>
    <row r="67" spans="1:20">
      <c r="A67" s="183">
        <v>180</v>
      </c>
      <c r="B67" s="170" t="s">
        <v>554</v>
      </c>
      <c r="C67" s="170" t="s">
        <v>283</v>
      </c>
      <c r="D67" s="170">
        <v>3</v>
      </c>
      <c r="E67" s="170" t="s">
        <v>272</v>
      </c>
      <c r="F67" s="170">
        <v>1</v>
      </c>
      <c r="G67" s="170">
        <v>1</v>
      </c>
      <c r="H67" s="170">
        <v>1</v>
      </c>
      <c r="I67" s="170">
        <v>2</v>
      </c>
      <c r="J67" s="170">
        <v>1</v>
      </c>
      <c r="K67" s="170">
        <v>4</v>
      </c>
      <c r="L67" s="170">
        <v>3</v>
      </c>
      <c r="M67" s="170">
        <v>2</v>
      </c>
      <c r="N67" s="170"/>
      <c r="O67" s="170"/>
      <c r="P67" s="170"/>
      <c r="Q67" s="180">
        <f>SUM(Tabela2[[#This Row],[G]]+Tabela2[[#This Row],[D]]+Tabela2[[#This Row],[N]]+Tabela2[[#This Row],[HM]])</f>
        <v>7</v>
      </c>
      <c r="R67" s="180">
        <f>SUM(Tabela2[[#This Row],[AO]]+Tabela2[[#This Row],[AD]]+Tabela2[[#This Row],[GWO]]+Tabela2[[#This Row],[GWD]])</f>
        <v>8</v>
      </c>
      <c r="S67" s="180">
        <f>Tabela2[[#This Row],[GWO]]+Tabela2[[#This Row],[GWD]]</f>
        <v>5</v>
      </c>
      <c r="T67" s="180">
        <f>SUM(Tabela2[[#This Row],[G]:[GWD]])</f>
        <v>15</v>
      </c>
    </row>
    <row r="68" spans="1:20" ht="30">
      <c r="A68" s="183">
        <v>203</v>
      </c>
      <c r="B68" s="175" t="s">
        <v>517</v>
      </c>
      <c r="C68" s="175" t="s">
        <v>357</v>
      </c>
      <c r="D68" s="175">
        <v>4</v>
      </c>
      <c r="E68" s="175" t="s">
        <v>18</v>
      </c>
      <c r="F68" s="175">
        <v>1</v>
      </c>
      <c r="G68" s="175">
        <v>1</v>
      </c>
      <c r="H68" s="175">
        <v>1</v>
      </c>
      <c r="I68" s="175">
        <v>2</v>
      </c>
      <c r="J68" s="175">
        <v>2</v>
      </c>
      <c r="K68" s="175">
        <v>1</v>
      </c>
      <c r="L68" s="175">
        <v>4</v>
      </c>
      <c r="M68" s="175">
        <v>3</v>
      </c>
      <c r="N68" s="170"/>
      <c r="O68" s="170" t="s">
        <v>204</v>
      </c>
      <c r="P68" s="170"/>
      <c r="Q68" s="180">
        <f>SUM(Tabela2[[#This Row],[G]]+Tabela2[[#This Row],[D]]+Tabela2[[#This Row],[N]]+Tabela2[[#This Row],[HM]])</f>
        <v>4</v>
      </c>
      <c r="R68" s="180">
        <f>SUM(Tabela2[[#This Row],[AO]]+Tabela2[[#This Row],[AD]]+Tabela2[[#This Row],[GWO]]+Tabela2[[#This Row],[GWD]])</f>
        <v>11</v>
      </c>
      <c r="S68" s="180">
        <f>Tabela2[[#This Row],[GWO]]+Tabela2[[#This Row],[GWD]]</f>
        <v>7</v>
      </c>
      <c r="T68" s="180">
        <f>SUM(Tabela2[[#This Row],[G]:[GWD]])</f>
        <v>15</v>
      </c>
    </row>
    <row r="69" spans="1:20" ht="30">
      <c r="A69" s="183">
        <v>283</v>
      </c>
      <c r="B69" s="171" t="s">
        <v>437</v>
      </c>
      <c r="C69" s="171" t="s">
        <v>409</v>
      </c>
      <c r="D69" s="171">
        <v>4</v>
      </c>
      <c r="E69" s="171" t="s">
        <v>251</v>
      </c>
      <c r="F69" s="171">
        <v>1</v>
      </c>
      <c r="G69" s="171">
        <v>1</v>
      </c>
      <c r="H69" s="171">
        <v>2</v>
      </c>
      <c r="I69" s="171">
        <v>4</v>
      </c>
      <c r="J69" s="171">
        <v>2</v>
      </c>
      <c r="K69" s="171">
        <v>1</v>
      </c>
      <c r="L69" s="171">
        <v>3</v>
      </c>
      <c r="M69" s="171">
        <v>1</v>
      </c>
      <c r="N69" s="170"/>
      <c r="O69" s="170"/>
      <c r="P69" s="170"/>
      <c r="Q69" s="180">
        <f>SUM(Tabela2[[#This Row],[G]]+Tabela2[[#This Row],[D]]+Tabela2[[#This Row],[N]]+Tabela2[[#This Row],[HM]])</f>
        <v>5</v>
      </c>
      <c r="R69" s="180">
        <f>SUM(Tabela2[[#This Row],[AO]]+Tabela2[[#This Row],[AD]]+Tabela2[[#This Row],[GWO]]+Tabela2[[#This Row],[GWD]])</f>
        <v>10</v>
      </c>
      <c r="S69" s="180">
        <f>Tabela2[[#This Row],[GWO]]+Tabela2[[#This Row],[GWD]]</f>
        <v>4</v>
      </c>
      <c r="T69" s="180">
        <f>SUM(Tabela2[[#This Row],[G]:[GWD]])</f>
        <v>15</v>
      </c>
    </row>
    <row r="70" spans="1:20" ht="30">
      <c r="A70" s="183">
        <v>306</v>
      </c>
      <c r="B70" s="170" t="s">
        <v>410</v>
      </c>
      <c r="C70" s="170" t="s">
        <v>409</v>
      </c>
      <c r="D70" s="170">
        <v>4</v>
      </c>
      <c r="E70" s="170" t="s">
        <v>272</v>
      </c>
      <c r="F70" s="170">
        <v>1</v>
      </c>
      <c r="G70" s="170">
        <v>1</v>
      </c>
      <c r="H70" s="170">
        <v>1</v>
      </c>
      <c r="I70" s="170">
        <v>4</v>
      </c>
      <c r="J70" s="170">
        <v>1</v>
      </c>
      <c r="K70" s="170">
        <v>2</v>
      </c>
      <c r="L70" s="170">
        <v>4</v>
      </c>
      <c r="M70" s="170">
        <v>1</v>
      </c>
      <c r="N70" s="170"/>
      <c r="O70" s="170"/>
      <c r="P70" s="170"/>
      <c r="Q70" s="180">
        <f>SUM(Tabela2[[#This Row],[G]]+Tabela2[[#This Row],[D]]+Tabela2[[#This Row],[N]]+Tabela2[[#This Row],[HM]])</f>
        <v>5</v>
      </c>
      <c r="R70" s="180">
        <f>SUM(Tabela2[[#This Row],[AO]]+Tabela2[[#This Row],[AD]]+Tabela2[[#This Row],[GWO]]+Tabela2[[#This Row],[GWD]])</f>
        <v>10</v>
      </c>
      <c r="S70" s="180">
        <f>Tabela2[[#This Row],[GWO]]+Tabela2[[#This Row],[GWD]]</f>
        <v>5</v>
      </c>
      <c r="T70" s="180">
        <f>SUM(Tabela2[[#This Row],[G]:[GWD]])</f>
        <v>15</v>
      </c>
    </row>
    <row r="71" spans="1:20" ht="30">
      <c r="A71" s="183">
        <v>262</v>
      </c>
      <c r="B71" s="172" t="s">
        <v>460</v>
      </c>
      <c r="C71" s="172" t="s">
        <v>396</v>
      </c>
      <c r="D71" s="172">
        <v>4</v>
      </c>
      <c r="E71" s="172" t="s">
        <v>250</v>
      </c>
      <c r="F71" s="172">
        <v>3</v>
      </c>
      <c r="G71" s="172">
        <v>1</v>
      </c>
      <c r="H71" s="172">
        <v>1</v>
      </c>
      <c r="I71" s="172">
        <v>1</v>
      </c>
      <c r="J71" s="172">
        <v>2</v>
      </c>
      <c r="K71" s="172">
        <v>1</v>
      </c>
      <c r="L71" s="172">
        <v>3</v>
      </c>
      <c r="M71" s="172">
        <v>3</v>
      </c>
      <c r="N71" s="170"/>
      <c r="O71" s="170"/>
      <c r="P71" s="170"/>
      <c r="Q71" s="180">
        <f>SUM(Tabela2[[#This Row],[G]]+Tabela2[[#This Row],[D]]+Tabela2[[#This Row],[N]]+Tabela2[[#This Row],[HM]])</f>
        <v>6</v>
      </c>
      <c r="R71" s="180">
        <f>SUM(Tabela2[[#This Row],[AO]]+Tabela2[[#This Row],[AD]]+Tabela2[[#This Row],[GWO]]+Tabela2[[#This Row],[GWD]])</f>
        <v>9</v>
      </c>
      <c r="S71" s="180">
        <f>Tabela2[[#This Row],[GWO]]+Tabela2[[#This Row],[GWD]]</f>
        <v>6</v>
      </c>
      <c r="T71" s="180">
        <f>SUM(Tabela2[[#This Row],[G]:[GWD]])</f>
        <v>15</v>
      </c>
    </row>
    <row r="72" spans="1:20">
      <c r="A72" s="183">
        <v>292</v>
      </c>
      <c r="B72" s="171" t="s">
        <v>428</v>
      </c>
      <c r="C72" s="171" t="s">
        <v>388</v>
      </c>
      <c r="D72" s="171">
        <v>4</v>
      </c>
      <c r="E72" s="171" t="s">
        <v>251</v>
      </c>
      <c r="F72" s="171">
        <v>1</v>
      </c>
      <c r="G72" s="171">
        <v>4</v>
      </c>
      <c r="H72" s="171">
        <v>3</v>
      </c>
      <c r="I72" s="171">
        <v>1</v>
      </c>
      <c r="J72" s="171">
        <v>1</v>
      </c>
      <c r="K72" s="171">
        <v>1</v>
      </c>
      <c r="L72" s="171">
        <v>3</v>
      </c>
      <c r="M72" s="171">
        <v>1</v>
      </c>
      <c r="N72" s="170"/>
      <c r="O72" s="170"/>
      <c r="P72" s="170"/>
      <c r="Q72" s="180">
        <f>SUM(Tabela2[[#This Row],[G]]+Tabela2[[#This Row],[D]]+Tabela2[[#This Row],[N]]+Tabela2[[#This Row],[HM]])</f>
        <v>9</v>
      </c>
      <c r="R72" s="180">
        <f>SUM(Tabela2[[#This Row],[AO]]+Tabela2[[#This Row],[AD]]+Tabela2[[#This Row],[GWO]]+Tabela2[[#This Row],[GWD]])</f>
        <v>6</v>
      </c>
      <c r="S72" s="180">
        <f>Tabela2[[#This Row],[GWO]]+Tabela2[[#This Row],[GWD]]</f>
        <v>4</v>
      </c>
      <c r="T72" s="180">
        <f>SUM(Tabela2[[#This Row],[G]:[GWD]])</f>
        <v>15</v>
      </c>
    </row>
    <row r="73" spans="1:20">
      <c r="A73" s="183">
        <v>294</v>
      </c>
      <c r="B73" s="171" t="s">
        <v>426</v>
      </c>
      <c r="C73" s="171" t="s">
        <v>384</v>
      </c>
      <c r="D73" s="171">
        <v>4</v>
      </c>
      <c r="E73" s="171" t="s">
        <v>251</v>
      </c>
      <c r="F73" s="171">
        <v>3</v>
      </c>
      <c r="G73" s="171">
        <v>1</v>
      </c>
      <c r="H73" s="171">
        <v>3</v>
      </c>
      <c r="I73" s="171">
        <v>2</v>
      </c>
      <c r="J73" s="171">
        <v>1</v>
      </c>
      <c r="K73" s="171">
        <v>1</v>
      </c>
      <c r="L73" s="171">
        <v>3</v>
      </c>
      <c r="M73" s="171">
        <v>1</v>
      </c>
      <c r="N73" s="170"/>
      <c r="O73" s="170"/>
      <c r="P73" s="170"/>
      <c r="Q73" s="180">
        <f>SUM(Tabela2[[#This Row],[G]]+Tabela2[[#This Row],[D]]+Tabela2[[#This Row],[N]]+Tabela2[[#This Row],[HM]])</f>
        <v>8</v>
      </c>
      <c r="R73" s="180">
        <f>SUM(Tabela2[[#This Row],[AO]]+Tabela2[[#This Row],[AD]]+Tabela2[[#This Row],[GWO]]+Tabela2[[#This Row],[GWD]])</f>
        <v>7</v>
      </c>
      <c r="S73" s="180">
        <f>Tabela2[[#This Row],[GWO]]+Tabela2[[#This Row],[GWD]]</f>
        <v>4</v>
      </c>
      <c r="T73" s="180">
        <f>SUM(Tabela2[[#This Row],[G]:[GWD]])</f>
        <v>15</v>
      </c>
    </row>
    <row r="74" spans="1:20">
      <c r="A74" s="183">
        <v>297</v>
      </c>
      <c r="B74" s="171" t="s">
        <v>423</v>
      </c>
      <c r="C74" s="171" t="s">
        <v>225</v>
      </c>
      <c r="D74" s="171">
        <v>4</v>
      </c>
      <c r="E74" s="171" t="s">
        <v>251</v>
      </c>
      <c r="F74" s="171">
        <v>2</v>
      </c>
      <c r="G74" s="171">
        <v>1</v>
      </c>
      <c r="H74" s="171">
        <v>1</v>
      </c>
      <c r="I74" s="171">
        <v>3</v>
      </c>
      <c r="J74" s="171">
        <v>2</v>
      </c>
      <c r="K74" s="171">
        <v>1</v>
      </c>
      <c r="L74" s="171">
        <v>3</v>
      </c>
      <c r="M74" s="171">
        <v>2</v>
      </c>
      <c r="N74" s="170"/>
      <c r="O74" s="170"/>
      <c r="P74" s="170"/>
      <c r="Q74" s="180">
        <f>SUM(Tabela2[[#This Row],[G]]+Tabela2[[#This Row],[D]]+Tabela2[[#This Row],[N]]+Tabela2[[#This Row],[HM]])</f>
        <v>5</v>
      </c>
      <c r="R74" s="180">
        <f>SUM(Tabela2[[#This Row],[AO]]+Tabela2[[#This Row],[AD]]+Tabela2[[#This Row],[GWO]]+Tabela2[[#This Row],[GWD]])</f>
        <v>10</v>
      </c>
      <c r="S74" s="180">
        <f>Tabela2[[#This Row],[GWO]]+Tabela2[[#This Row],[GWD]]</f>
        <v>5</v>
      </c>
      <c r="T74" s="180">
        <f>SUM(Tabela2[[#This Row],[G]:[GWD]])</f>
        <v>15</v>
      </c>
    </row>
    <row r="75" spans="1:20">
      <c r="A75" s="183">
        <v>323</v>
      </c>
      <c r="B75" s="170" t="s">
        <v>380</v>
      </c>
      <c r="C75" s="170" t="s">
        <v>225</v>
      </c>
      <c r="D75" s="170">
        <v>4</v>
      </c>
      <c r="E75" s="170" t="s">
        <v>272</v>
      </c>
      <c r="F75" s="170">
        <v>2</v>
      </c>
      <c r="G75" s="170">
        <v>1</v>
      </c>
      <c r="H75" s="170">
        <v>1</v>
      </c>
      <c r="I75" s="170">
        <v>2</v>
      </c>
      <c r="J75" s="170">
        <v>3</v>
      </c>
      <c r="K75" s="170">
        <v>3</v>
      </c>
      <c r="L75" s="170">
        <v>2</v>
      </c>
      <c r="M75" s="170">
        <v>1</v>
      </c>
      <c r="N75" s="170"/>
      <c r="O75" s="170"/>
      <c r="P75" s="170"/>
      <c r="Q75" s="180">
        <f>SUM(Tabela2[[#This Row],[G]]+Tabela2[[#This Row],[D]]+Tabela2[[#This Row],[N]]+Tabela2[[#This Row],[HM]])</f>
        <v>7</v>
      </c>
      <c r="R75" s="180">
        <f>SUM(Tabela2[[#This Row],[AO]]+Tabela2[[#This Row],[AD]]+Tabela2[[#This Row],[GWO]]+Tabela2[[#This Row],[GWD]])</f>
        <v>8</v>
      </c>
      <c r="S75" s="180">
        <f>Tabela2[[#This Row],[GWO]]+Tabela2[[#This Row],[GWD]]</f>
        <v>3</v>
      </c>
      <c r="T75" s="180">
        <f>SUM(Tabela2[[#This Row],[G]:[GWD]])</f>
        <v>15</v>
      </c>
    </row>
    <row r="76" spans="1:20">
      <c r="A76" s="183">
        <v>298</v>
      </c>
      <c r="B76" s="171" t="s">
        <v>422</v>
      </c>
      <c r="C76" s="171" t="s">
        <v>378</v>
      </c>
      <c r="D76" s="171">
        <v>4</v>
      </c>
      <c r="E76" s="171" t="s">
        <v>251</v>
      </c>
      <c r="F76" s="171">
        <v>1</v>
      </c>
      <c r="G76" s="171">
        <v>1</v>
      </c>
      <c r="H76" s="171">
        <v>1</v>
      </c>
      <c r="I76" s="171">
        <v>3</v>
      </c>
      <c r="J76" s="171">
        <v>3</v>
      </c>
      <c r="K76" s="171">
        <v>3</v>
      </c>
      <c r="L76" s="171">
        <v>2</v>
      </c>
      <c r="M76" s="171">
        <v>1</v>
      </c>
      <c r="N76" s="170"/>
      <c r="O76" s="170"/>
      <c r="P76" s="170"/>
      <c r="Q76" s="180">
        <f>SUM(Tabela2[[#This Row],[G]]+Tabela2[[#This Row],[D]]+Tabela2[[#This Row],[N]]+Tabela2[[#This Row],[HM]])</f>
        <v>6</v>
      </c>
      <c r="R76" s="180">
        <f>SUM(Tabela2[[#This Row],[AO]]+Tabela2[[#This Row],[AD]]+Tabela2[[#This Row],[GWO]]+Tabela2[[#This Row],[GWD]])</f>
        <v>9</v>
      </c>
      <c r="S76" s="180">
        <f>Tabela2[[#This Row],[GWO]]+Tabela2[[#This Row],[GWD]]</f>
        <v>3</v>
      </c>
      <c r="T76" s="180">
        <f>SUM(Tabela2[[#This Row],[G]:[GWD]])</f>
        <v>15</v>
      </c>
    </row>
    <row r="77" spans="1:20" ht="30">
      <c r="A77" s="183">
        <v>49</v>
      </c>
      <c r="B77" s="175" t="s">
        <v>703</v>
      </c>
      <c r="C77" s="175" t="s">
        <v>572</v>
      </c>
      <c r="D77" s="175">
        <v>3</v>
      </c>
      <c r="E77" s="175" t="s">
        <v>18</v>
      </c>
      <c r="F77" s="175">
        <v>1</v>
      </c>
      <c r="G77" s="175">
        <v>2</v>
      </c>
      <c r="H77" s="175">
        <v>1</v>
      </c>
      <c r="I77" s="175">
        <v>2</v>
      </c>
      <c r="J77" s="175">
        <v>2</v>
      </c>
      <c r="K77" s="175">
        <v>2</v>
      </c>
      <c r="L77" s="175">
        <v>2</v>
      </c>
      <c r="M77" s="175">
        <v>2</v>
      </c>
      <c r="N77" s="170"/>
      <c r="O77" s="170"/>
      <c r="P77" s="170"/>
      <c r="Q77" s="180">
        <f>SUM(Tabela2[[#This Row],[G]]+Tabela2[[#This Row],[D]]+Tabela2[[#This Row],[N]]+Tabela2[[#This Row],[HM]])</f>
        <v>6</v>
      </c>
      <c r="R77" s="180">
        <f>SUM(Tabela2[[#This Row],[AO]]+Tabela2[[#This Row],[AD]]+Tabela2[[#This Row],[GWO]]+Tabela2[[#This Row],[GWD]])</f>
        <v>8</v>
      </c>
      <c r="S77" s="180">
        <f>Tabela2[[#This Row],[GWO]]+Tabela2[[#This Row],[GWD]]</f>
        <v>4</v>
      </c>
      <c r="T77" s="180">
        <f>SUM(Tabela2[[#This Row],[G]:[GWD]])</f>
        <v>14</v>
      </c>
    </row>
    <row r="78" spans="1:20" ht="30">
      <c r="A78" s="183">
        <v>82</v>
      </c>
      <c r="B78" s="174" t="s">
        <v>662</v>
      </c>
      <c r="C78" s="174" t="s">
        <v>568</v>
      </c>
      <c r="D78" s="174">
        <v>3</v>
      </c>
      <c r="E78" s="174" t="s">
        <v>249</v>
      </c>
      <c r="F78" s="174">
        <v>1</v>
      </c>
      <c r="G78" s="174">
        <v>1</v>
      </c>
      <c r="H78" s="174">
        <v>2</v>
      </c>
      <c r="I78" s="174">
        <v>3</v>
      </c>
      <c r="J78" s="174">
        <v>3</v>
      </c>
      <c r="K78" s="174">
        <v>1</v>
      </c>
      <c r="L78" s="174">
        <v>2</v>
      </c>
      <c r="M78" s="174">
        <v>1</v>
      </c>
      <c r="N78" s="170"/>
      <c r="O78" s="170"/>
      <c r="P78" s="170"/>
      <c r="Q78" s="180">
        <f>SUM(Tabela2[[#This Row],[G]]+Tabela2[[#This Row],[D]]+Tabela2[[#This Row],[N]]+Tabela2[[#This Row],[HM]])</f>
        <v>5</v>
      </c>
      <c r="R78" s="180">
        <f>SUM(Tabela2[[#This Row],[AO]]+Tabela2[[#This Row],[AD]]+Tabela2[[#This Row],[GWO]]+Tabela2[[#This Row],[GWD]])</f>
        <v>9</v>
      </c>
      <c r="S78" s="180">
        <f>Tabela2[[#This Row],[GWO]]+Tabela2[[#This Row],[GWD]]</f>
        <v>3</v>
      </c>
      <c r="T78" s="180">
        <f>SUM(Tabela2[[#This Row],[G]:[GWD]])</f>
        <v>14</v>
      </c>
    </row>
    <row r="79" spans="1:20">
      <c r="A79" s="183">
        <v>84</v>
      </c>
      <c r="B79" s="174" t="s">
        <v>660</v>
      </c>
      <c r="C79" s="174" t="s">
        <v>565</v>
      </c>
      <c r="D79" s="174">
        <v>3</v>
      </c>
      <c r="E79" s="174" t="s">
        <v>249</v>
      </c>
      <c r="F79" s="174">
        <v>1</v>
      </c>
      <c r="G79" s="174">
        <v>1</v>
      </c>
      <c r="H79" s="174">
        <v>4</v>
      </c>
      <c r="I79" s="174">
        <v>2</v>
      </c>
      <c r="J79" s="174">
        <v>1</v>
      </c>
      <c r="K79" s="174">
        <v>1</v>
      </c>
      <c r="L79" s="174">
        <v>3</v>
      </c>
      <c r="M79" s="174">
        <v>1</v>
      </c>
      <c r="N79" s="170"/>
      <c r="O79" s="170"/>
      <c r="P79" s="170"/>
      <c r="Q79" s="180">
        <f>SUM(Tabela2[[#This Row],[G]]+Tabela2[[#This Row],[D]]+Tabela2[[#This Row],[N]]+Tabela2[[#This Row],[HM]])</f>
        <v>7</v>
      </c>
      <c r="R79" s="180">
        <f>SUM(Tabela2[[#This Row],[AO]]+Tabela2[[#This Row],[AD]]+Tabela2[[#This Row],[GWO]]+Tabela2[[#This Row],[GWD]])</f>
        <v>7</v>
      </c>
      <c r="S79" s="180">
        <f>Tabela2[[#This Row],[GWO]]+Tabela2[[#This Row],[GWD]]</f>
        <v>4</v>
      </c>
      <c r="T79" s="180">
        <f>SUM(Tabela2[[#This Row],[G]:[GWD]])</f>
        <v>14</v>
      </c>
    </row>
    <row r="80" spans="1:20">
      <c r="A80" s="183">
        <v>146</v>
      </c>
      <c r="B80" s="171" t="s">
        <v>599</v>
      </c>
      <c r="C80" s="171" t="s">
        <v>552</v>
      </c>
      <c r="D80" s="171">
        <v>3</v>
      </c>
      <c r="E80" s="171" t="s">
        <v>251</v>
      </c>
      <c r="F80" s="171">
        <v>2</v>
      </c>
      <c r="G80" s="171">
        <v>1</v>
      </c>
      <c r="H80" s="171">
        <v>1</v>
      </c>
      <c r="I80" s="171">
        <v>2</v>
      </c>
      <c r="J80" s="171">
        <v>2</v>
      </c>
      <c r="K80" s="171">
        <v>3</v>
      </c>
      <c r="L80" s="171">
        <v>2</v>
      </c>
      <c r="M80" s="171">
        <v>1</v>
      </c>
      <c r="N80" s="170"/>
      <c r="O80" s="170"/>
      <c r="P80" s="170"/>
      <c r="Q80" s="180">
        <f>SUM(Tabela2[[#This Row],[G]]+Tabela2[[#This Row],[D]]+Tabela2[[#This Row],[N]]+Tabela2[[#This Row],[HM]])</f>
        <v>7</v>
      </c>
      <c r="R80" s="180">
        <f>SUM(Tabela2[[#This Row],[AO]]+Tabela2[[#This Row],[AD]]+Tabela2[[#This Row],[GWO]]+Tabela2[[#This Row],[GWD]])</f>
        <v>7</v>
      </c>
      <c r="S80" s="180">
        <f>Tabela2[[#This Row],[GWO]]+Tabela2[[#This Row],[GWD]]</f>
        <v>3</v>
      </c>
      <c r="T80" s="180">
        <f>SUM(Tabela2[[#This Row],[G]:[GWD]])</f>
        <v>14</v>
      </c>
    </row>
    <row r="81" spans="1:20" ht="30">
      <c r="A81" s="183">
        <v>91</v>
      </c>
      <c r="B81" s="174" t="s">
        <v>653</v>
      </c>
      <c r="C81" s="174" t="s">
        <v>550</v>
      </c>
      <c r="D81" s="174">
        <v>3</v>
      </c>
      <c r="E81" s="174" t="s">
        <v>249</v>
      </c>
      <c r="F81" s="174">
        <v>2</v>
      </c>
      <c r="G81" s="174">
        <v>2</v>
      </c>
      <c r="H81" s="174">
        <v>1</v>
      </c>
      <c r="I81" s="174">
        <v>1</v>
      </c>
      <c r="J81" s="174">
        <v>1</v>
      </c>
      <c r="K81" s="174">
        <v>5</v>
      </c>
      <c r="L81" s="174">
        <v>1</v>
      </c>
      <c r="M81" s="174">
        <v>1</v>
      </c>
      <c r="N81" s="174" t="s">
        <v>445</v>
      </c>
      <c r="O81" s="174" t="s">
        <v>204</v>
      </c>
      <c r="P81" s="174"/>
      <c r="Q81" s="185">
        <f>SUM(Tabela2[[#This Row],[G]]+Tabela2[[#This Row],[D]]+Tabela2[[#This Row],[N]]+Tabela2[[#This Row],[HM]])</f>
        <v>10</v>
      </c>
      <c r="R81" s="185">
        <f>SUM(Tabela2[[#This Row],[AO]]+Tabela2[[#This Row],[AD]]+Tabela2[[#This Row],[GWO]]+Tabela2[[#This Row],[GWD]])</f>
        <v>4</v>
      </c>
      <c r="S81" s="185">
        <f>Tabela2[[#This Row],[GWO]]+Tabela2[[#This Row],[GWD]]</f>
        <v>2</v>
      </c>
      <c r="T81" s="180">
        <f>SUM(Tabela2[[#This Row],[G]:[GWD]])</f>
        <v>14</v>
      </c>
    </row>
    <row r="82" spans="1:20">
      <c r="A82" s="183">
        <v>184</v>
      </c>
      <c r="B82" s="170" t="s">
        <v>547</v>
      </c>
      <c r="C82" s="170" t="s">
        <v>546</v>
      </c>
      <c r="D82" s="170">
        <v>3</v>
      </c>
      <c r="E82" s="170" t="s">
        <v>272</v>
      </c>
      <c r="F82" s="170">
        <v>2</v>
      </c>
      <c r="G82" s="170">
        <v>2</v>
      </c>
      <c r="H82" s="170">
        <v>2</v>
      </c>
      <c r="I82" s="170">
        <v>2</v>
      </c>
      <c r="J82" s="170">
        <v>2</v>
      </c>
      <c r="K82" s="170">
        <v>1</v>
      </c>
      <c r="L82" s="170">
        <v>2</v>
      </c>
      <c r="M82" s="170">
        <v>1</v>
      </c>
      <c r="N82" s="170"/>
      <c r="O82" s="170"/>
      <c r="P82" s="170"/>
      <c r="Q82" s="180">
        <f>SUM(Tabela2[[#This Row],[G]]+Tabela2[[#This Row],[D]]+Tabela2[[#This Row],[N]]+Tabela2[[#This Row],[HM]])</f>
        <v>7</v>
      </c>
      <c r="R82" s="180">
        <f>SUM(Tabela2[[#This Row],[AO]]+Tabela2[[#This Row],[AD]]+Tabela2[[#This Row],[GWO]]+Tabela2[[#This Row],[GWD]])</f>
        <v>7</v>
      </c>
      <c r="S82" s="180">
        <f>Tabela2[[#This Row],[GWO]]+Tabela2[[#This Row],[GWD]]</f>
        <v>3</v>
      </c>
      <c r="T82" s="180">
        <f>SUM(Tabela2[[#This Row],[G]:[GWD]])</f>
        <v>14</v>
      </c>
    </row>
    <row r="83" spans="1:20" ht="30">
      <c r="A83" s="183">
        <v>61</v>
      </c>
      <c r="B83" s="175" t="s">
        <v>686</v>
      </c>
      <c r="C83" s="175" t="s">
        <v>685</v>
      </c>
      <c r="D83" s="175">
        <v>3</v>
      </c>
      <c r="E83" s="175" t="s">
        <v>18</v>
      </c>
      <c r="F83" s="175">
        <v>1</v>
      </c>
      <c r="G83" s="175">
        <v>1</v>
      </c>
      <c r="H83" s="175">
        <v>1</v>
      </c>
      <c r="I83" s="175">
        <v>4</v>
      </c>
      <c r="J83" s="175">
        <v>1</v>
      </c>
      <c r="K83" s="175">
        <v>1</v>
      </c>
      <c r="L83" s="175">
        <v>4</v>
      </c>
      <c r="M83" s="175">
        <v>1</v>
      </c>
      <c r="N83" s="175" t="s">
        <v>445</v>
      </c>
      <c r="O83" s="175" t="s">
        <v>204</v>
      </c>
      <c r="P83" s="175"/>
      <c r="Q83" s="184">
        <f>SUM(Tabela2[[#This Row],[G]]+Tabela2[[#This Row],[D]]+Tabela2[[#This Row],[N]]+Tabela2[[#This Row],[HM]])</f>
        <v>4</v>
      </c>
      <c r="R83" s="184">
        <f>SUM(Tabela2[[#This Row],[AO]]+Tabela2[[#This Row],[AD]]+Tabela2[[#This Row],[GWO]]+Tabela2[[#This Row],[GWD]])</f>
        <v>10</v>
      </c>
      <c r="S83" s="184">
        <f>Tabela2[[#This Row],[GWO]]+Tabela2[[#This Row],[GWD]]</f>
        <v>5</v>
      </c>
      <c r="T83" s="180">
        <f>SUM(Tabela2[[#This Row],[G]:[GWD]])</f>
        <v>14</v>
      </c>
    </row>
    <row r="84" spans="1:20">
      <c r="A84" s="183">
        <v>133</v>
      </c>
      <c r="B84" s="172" t="s">
        <v>612</v>
      </c>
      <c r="C84" s="172" t="s">
        <v>284</v>
      </c>
      <c r="D84" s="172">
        <v>3</v>
      </c>
      <c r="E84" s="172" t="s">
        <v>250</v>
      </c>
      <c r="F84" s="172">
        <v>2</v>
      </c>
      <c r="G84" s="172">
        <v>1</v>
      </c>
      <c r="H84" s="172">
        <v>3</v>
      </c>
      <c r="I84" s="172">
        <v>2</v>
      </c>
      <c r="J84" s="172">
        <v>1</v>
      </c>
      <c r="K84" s="172">
        <v>1</v>
      </c>
      <c r="L84" s="172">
        <v>3</v>
      </c>
      <c r="M84" s="172">
        <v>1</v>
      </c>
      <c r="N84" s="170"/>
      <c r="O84" s="170"/>
      <c r="P84" s="194" t="s">
        <v>204</v>
      </c>
      <c r="Q84" s="180">
        <f>SUM(Tabela2[[#This Row],[G]]+Tabela2[[#This Row],[D]]+Tabela2[[#This Row],[N]]+Tabela2[[#This Row],[HM]])</f>
        <v>7</v>
      </c>
      <c r="R84" s="180">
        <f>SUM(Tabela2[[#This Row],[AO]]+Tabela2[[#This Row],[AD]]+Tabela2[[#This Row],[GWO]]+Tabela2[[#This Row],[GWD]])</f>
        <v>7</v>
      </c>
      <c r="S84" s="180">
        <f>Tabela2[[#This Row],[GWO]]+Tabela2[[#This Row],[GWD]]</f>
        <v>4</v>
      </c>
      <c r="T84" s="180">
        <f>SUM(Tabela2[[#This Row],[G]:[GWD]])</f>
        <v>14</v>
      </c>
    </row>
    <row r="85" spans="1:20">
      <c r="A85" s="183">
        <v>300</v>
      </c>
      <c r="B85" s="170" t="s">
        <v>420</v>
      </c>
      <c r="C85" s="170" t="s">
        <v>419</v>
      </c>
      <c r="D85" s="170">
        <v>4</v>
      </c>
      <c r="E85" s="170" t="s">
        <v>272</v>
      </c>
      <c r="F85" s="170">
        <v>2</v>
      </c>
      <c r="G85" s="170">
        <v>2</v>
      </c>
      <c r="H85" s="170">
        <v>1</v>
      </c>
      <c r="I85" s="170">
        <v>2</v>
      </c>
      <c r="J85" s="170">
        <v>1</v>
      </c>
      <c r="K85" s="170">
        <v>2</v>
      </c>
      <c r="L85" s="170">
        <v>3</v>
      </c>
      <c r="M85" s="170">
        <v>1</v>
      </c>
      <c r="N85" s="170"/>
      <c r="O85" s="170"/>
      <c r="P85" s="170"/>
      <c r="Q85" s="180">
        <f>SUM(Tabela2[[#This Row],[G]]+Tabela2[[#This Row],[D]]+Tabela2[[#This Row],[N]]+Tabela2[[#This Row],[HM]])</f>
        <v>7</v>
      </c>
      <c r="R85" s="180">
        <f>SUM(Tabela2[[#This Row],[AO]]+Tabela2[[#This Row],[AD]]+Tabela2[[#This Row],[GWO]]+Tabela2[[#This Row],[GWD]])</f>
        <v>7</v>
      </c>
      <c r="S85" s="180">
        <f>Tabela2[[#This Row],[GWO]]+Tabela2[[#This Row],[GWD]]</f>
        <v>4</v>
      </c>
      <c r="T85" s="180">
        <f>SUM(Tabela2[[#This Row],[G]:[GWD]])</f>
        <v>14</v>
      </c>
    </row>
    <row r="86" spans="1:20" ht="30">
      <c r="A86" s="183">
        <v>227</v>
      </c>
      <c r="B86" s="174" t="s">
        <v>494</v>
      </c>
      <c r="C86" s="174" t="s">
        <v>441</v>
      </c>
      <c r="D86" s="174">
        <v>4</v>
      </c>
      <c r="E86" s="174" t="s">
        <v>249</v>
      </c>
      <c r="F86" s="174">
        <v>1</v>
      </c>
      <c r="G86" s="174">
        <v>3</v>
      </c>
      <c r="H86" s="174">
        <v>3</v>
      </c>
      <c r="I86" s="174">
        <v>2</v>
      </c>
      <c r="J86" s="174">
        <v>1</v>
      </c>
      <c r="K86" s="174">
        <v>1</v>
      </c>
      <c r="L86" s="174">
        <v>2</v>
      </c>
      <c r="M86" s="174">
        <v>1</v>
      </c>
      <c r="N86" s="170"/>
      <c r="O86" s="170"/>
      <c r="P86" s="170"/>
      <c r="Q86" s="180">
        <f>SUM(Tabela2[[#This Row],[G]]+Tabela2[[#This Row],[D]]+Tabela2[[#This Row],[N]]+Tabela2[[#This Row],[HM]])</f>
        <v>8</v>
      </c>
      <c r="R86" s="180">
        <f>SUM(Tabela2[[#This Row],[AO]]+Tabela2[[#This Row],[AD]]+Tabela2[[#This Row],[GWO]]+Tabela2[[#This Row],[GWD]])</f>
        <v>6</v>
      </c>
      <c r="S86" s="180">
        <f>Tabela2[[#This Row],[GWO]]+Tabela2[[#This Row],[GWD]]</f>
        <v>3</v>
      </c>
      <c r="T86" s="180">
        <f>SUM(Tabela2[[#This Row],[G]:[GWD]])</f>
        <v>14</v>
      </c>
    </row>
    <row r="87" spans="1:20" ht="30">
      <c r="A87" s="183">
        <v>301</v>
      </c>
      <c r="B87" s="170" t="s">
        <v>418</v>
      </c>
      <c r="C87" s="170" t="s">
        <v>417</v>
      </c>
      <c r="D87" s="170">
        <v>4</v>
      </c>
      <c r="E87" s="170" t="s">
        <v>272</v>
      </c>
      <c r="F87" s="170">
        <v>2</v>
      </c>
      <c r="G87" s="170">
        <v>2</v>
      </c>
      <c r="H87" s="170">
        <v>1</v>
      </c>
      <c r="I87" s="170">
        <v>2</v>
      </c>
      <c r="J87" s="170">
        <v>1</v>
      </c>
      <c r="K87" s="170">
        <v>1</v>
      </c>
      <c r="L87" s="170">
        <v>4</v>
      </c>
      <c r="M87" s="170">
        <v>1</v>
      </c>
      <c r="N87" s="170"/>
      <c r="O87" s="170"/>
      <c r="P87" s="170"/>
      <c r="Q87" s="180">
        <f>SUM(Tabela2[[#This Row],[G]]+Tabela2[[#This Row],[D]]+Tabela2[[#This Row],[N]]+Tabela2[[#This Row],[HM]])</f>
        <v>6</v>
      </c>
      <c r="R87" s="180">
        <f>SUM(Tabela2[[#This Row],[AO]]+Tabela2[[#This Row],[AD]]+Tabela2[[#This Row],[GWO]]+Tabela2[[#This Row],[GWD]])</f>
        <v>8</v>
      </c>
      <c r="S87" s="180">
        <f>Tabela2[[#This Row],[GWO]]+Tabela2[[#This Row],[GWD]]</f>
        <v>5</v>
      </c>
      <c r="T87" s="180">
        <f>SUM(Tabela2[[#This Row],[G]:[GWD]])</f>
        <v>14</v>
      </c>
    </row>
    <row r="88" spans="1:20">
      <c r="A88" s="183">
        <v>285</v>
      </c>
      <c r="B88" s="171" t="s">
        <v>435</v>
      </c>
      <c r="C88" s="171" t="s">
        <v>405</v>
      </c>
      <c r="D88" s="171">
        <v>4</v>
      </c>
      <c r="E88" s="171" t="s">
        <v>251</v>
      </c>
      <c r="F88" s="171">
        <v>1</v>
      </c>
      <c r="G88" s="171">
        <v>1</v>
      </c>
      <c r="H88" s="171">
        <v>1</v>
      </c>
      <c r="I88" s="171">
        <v>1</v>
      </c>
      <c r="J88" s="171">
        <v>3</v>
      </c>
      <c r="K88" s="171">
        <v>1</v>
      </c>
      <c r="L88" s="171">
        <v>3</v>
      </c>
      <c r="M88" s="171">
        <v>3</v>
      </c>
      <c r="N88" s="170"/>
      <c r="O88" s="170"/>
      <c r="P88" s="170"/>
      <c r="Q88" s="180">
        <f>SUM(Tabela2[[#This Row],[G]]+Tabela2[[#This Row],[D]]+Tabela2[[#This Row],[N]]+Tabela2[[#This Row],[HM]])</f>
        <v>4</v>
      </c>
      <c r="R88" s="180">
        <f>SUM(Tabela2[[#This Row],[AO]]+Tabela2[[#This Row],[AD]]+Tabela2[[#This Row],[GWO]]+Tabela2[[#This Row],[GWD]])</f>
        <v>10</v>
      </c>
      <c r="S88" s="180">
        <f>Tabela2[[#This Row],[GWO]]+Tabela2[[#This Row],[GWD]]</f>
        <v>6</v>
      </c>
      <c r="T88" s="180">
        <f>SUM(Tabela2[[#This Row],[G]:[GWD]])</f>
        <v>14</v>
      </c>
    </row>
    <row r="89" spans="1:20" ht="30">
      <c r="A89" s="183">
        <v>209</v>
      </c>
      <c r="B89" s="175" t="s">
        <v>511</v>
      </c>
      <c r="C89" s="175" t="s">
        <v>403</v>
      </c>
      <c r="D89" s="175">
        <v>4</v>
      </c>
      <c r="E89" s="175" t="s">
        <v>18</v>
      </c>
      <c r="F89" s="175">
        <v>1</v>
      </c>
      <c r="G89" s="175">
        <v>2</v>
      </c>
      <c r="H89" s="175">
        <v>2</v>
      </c>
      <c r="I89" s="175">
        <v>3</v>
      </c>
      <c r="J89" s="175">
        <v>1</v>
      </c>
      <c r="K89" s="175">
        <v>1</v>
      </c>
      <c r="L89" s="175">
        <v>3</v>
      </c>
      <c r="M89" s="175">
        <v>1</v>
      </c>
      <c r="N89" s="170"/>
      <c r="O89" s="170"/>
      <c r="P89" s="170"/>
      <c r="Q89" s="180">
        <f>SUM(Tabela2[[#This Row],[G]]+Tabela2[[#This Row],[D]]+Tabela2[[#This Row],[N]]+Tabela2[[#This Row],[HM]])</f>
        <v>6</v>
      </c>
      <c r="R89" s="180">
        <f>SUM(Tabela2[[#This Row],[AO]]+Tabela2[[#This Row],[AD]]+Tabela2[[#This Row],[GWO]]+Tabela2[[#This Row],[GWD]])</f>
        <v>8</v>
      </c>
      <c r="S89" s="180">
        <f>Tabela2[[#This Row],[GWO]]+Tabela2[[#This Row],[GWD]]</f>
        <v>4</v>
      </c>
      <c r="T89" s="180">
        <f>SUM(Tabela2[[#This Row],[G]:[GWD]])</f>
        <v>14</v>
      </c>
    </row>
    <row r="90" spans="1:20" ht="30">
      <c r="A90" s="183">
        <v>215</v>
      </c>
      <c r="B90" s="175" t="s">
        <v>505</v>
      </c>
      <c r="C90" s="175" t="s">
        <v>344</v>
      </c>
      <c r="D90" s="175">
        <v>4</v>
      </c>
      <c r="E90" s="175" t="s">
        <v>18</v>
      </c>
      <c r="F90" s="175">
        <v>1</v>
      </c>
      <c r="G90" s="175">
        <v>2</v>
      </c>
      <c r="H90" s="175">
        <v>1</v>
      </c>
      <c r="I90" s="175">
        <v>3</v>
      </c>
      <c r="J90" s="175">
        <v>1</v>
      </c>
      <c r="K90" s="175">
        <v>1</v>
      </c>
      <c r="L90" s="175">
        <v>4</v>
      </c>
      <c r="M90" s="175">
        <v>1</v>
      </c>
      <c r="N90" s="170"/>
      <c r="O90" s="170"/>
      <c r="P90" s="170"/>
      <c r="Q90" s="180">
        <f>SUM(Tabela2[[#This Row],[G]]+Tabela2[[#This Row],[D]]+Tabela2[[#This Row],[N]]+Tabela2[[#This Row],[HM]])</f>
        <v>5</v>
      </c>
      <c r="R90" s="180">
        <f>SUM(Tabela2[[#This Row],[AO]]+Tabela2[[#This Row],[AD]]+Tabela2[[#This Row],[GWO]]+Tabela2[[#This Row],[GWD]])</f>
        <v>9</v>
      </c>
      <c r="S90" s="180">
        <f>Tabela2[[#This Row],[GWO]]+Tabela2[[#This Row],[GWD]]</f>
        <v>5</v>
      </c>
      <c r="T90" s="180">
        <f>SUM(Tabela2[[#This Row],[G]:[GWD]])</f>
        <v>14</v>
      </c>
    </row>
    <row r="91" spans="1:20">
      <c r="A91" s="183">
        <v>318</v>
      </c>
      <c r="B91" s="170" t="s">
        <v>389</v>
      </c>
      <c r="C91" s="170" t="s">
        <v>388</v>
      </c>
      <c r="D91" s="170">
        <v>4</v>
      </c>
      <c r="E91" s="170" t="s">
        <v>272</v>
      </c>
      <c r="F91" s="170">
        <v>1</v>
      </c>
      <c r="G91" s="170">
        <v>1</v>
      </c>
      <c r="H91" s="170">
        <v>3</v>
      </c>
      <c r="I91" s="170">
        <v>2</v>
      </c>
      <c r="J91" s="170">
        <v>1</v>
      </c>
      <c r="K91" s="170">
        <v>1</v>
      </c>
      <c r="L91" s="170">
        <v>4</v>
      </c>
      <c r="M91" s="170">
        <v>1</v>
      </c>
      <c r="N91" s="170"/>
      <c r="O91" s="170"/>
      <c r="P91" s="170"/>
      <c r="Q91" s="180">
        <f>SUM(Tabela2[[#This Row],[G]]+Tabela2[[#This Row],[D]]+Tabela2[[#This Row],[N]]+Tabela2[[#This Row],[HM]])</f>
        <v>6</v>
      </c>
      <c r="R91" s="180">
        <f>SUM(Tabela2[[#This Row],[AO]]+Tabela2[[#This Row],[AD]]+Tabela2[[#This Row],[GWO]]+Tabela2[[#This Row],[GWD]])</f>
        <v>8</v>
      </c>
      <c r="S91" s="180">
        <f>Tabela2[[#This Row],[GWO]]+Tabela2[[#This Row],[GWD]]</f>
        <v>5</v>
      </c>
      <c r="T91" s="180">
        <f>SUM(Tabela2[[#This Row],[G]:[GWD]])</f>
        <v>14</v>
      </c>
    </row>
    <row r="92" spans="1:20">
      <c r="A92" s="183">
        <v>272</v>
      </c>
      <c r="B92" s="172" t="s">
        <v>450</v>
      </c>
      <c r="C92" s="172" t="s">
        <v>227</v>
      </c>
      <c r="D92" s="172">
        <v>4</v>
      </c>
      <c r="E92" s="172" t="s">
        <v>250</v>
      </c>
      <c r="F92" s="172">
        <v>2</v>
      </c>
      <c r="G92" s="172">
        <v>1</v>
      </c>
      <c r="H92" s="172">
        <v>4</v>
      </c>
      <c r="I92" s="172">
        <v>1</v>
      </c>
      <c r="J92" s="172">
        <v>1</v>
      </c>
      <c r="K92" s="172">
        <v>1</v>
      </c>
      <c r="L92" s="172">
        <v>3</v>
      </c>
      <c r="M92" s="172">
        <v>1</v>
      </c>
      <c r="N92" s="170"/>
      <c r="O92" s="170"/>
      <c r="P92" s="170"/>
      <c r="Q92" s="180">
        <f>SUM(Tabela2[[#This Row],[G]]+Tabela2[[#This Row],[D]]+Tabela2[[#This Row],[N]]+Tabela2[[#This Row],[HM]])</f>
        <v>8</v>
      </c>
      <c r="R92" s="180">
        <f>SUM(Tabela2[[#This Row],[AO]]+Tabela2[[#This Row],[AD]]+Tabela2[[#This Row],[GWO]]+Tabela2[[#This Row],[GWD]])</f>
        <v>6</v>
      </c>
      <c r="S92" s="180">
        <f>Tabela2[[#This Row],[GWO]]+Tabela2[[#This Row],[GWD]]</f>
        <v>4</v>
      </c>
      <c r="T92" s="180">
        <f>SUM(Tabela2[[#This Row],[G]:[GWD]])</f>
        <v>14</v>
      </c>
    </row>
    <row r="93" spans="1:20">
      <c r="A93" s="183">
        <v>277</v>
      </c>
      <c r="B93" s="172" t="s">
        <v>444</v>
      </c>
      <c r="C93" s="172" t="s">
        <v>376</v>
      </c>
      <c r="D93" s="172">
        <v>4</v>
      </c>
      <c r="E93" s="172" t="s">
        <v>250</v>
      </c>
      <c r="F93" s="172">
        <v>3</v>
      </c>
      <c r="G93" s="172">
        <v>1</v>
      </c>
      <c r="H93" s="172">
        <v>1</v>
      </c>
      <c r="I93" s="172">
        <v>3</v>
      </c>
      <c r="J93" s="172">
        <v>1</v>
      </c>
      <c r="K93" s="172">
        <v>3</v>
      </c>
      <c r="L93" s="172">
        <v>1</v>
      </c>
      <c r="M93" s="172">
        <v>1</v>
      </c>
      <c r="N93" s="170"/>
      <c r="O93" s="170"/>
      <c r="P93" s="170"/>
      <c r="Q93" s="180">
        <f>SUM(Tabela2[[#This Row],[G]]+Tabela2[[#This Row],[D]]+Tabela2[[#This Row],[N]]+Tabela2[[#This Row],[HM]])</f>
        <v>8</v>
      </c>
      <c r="R93" s="180">
        <f>SUM(Tabela2[[#This Row],[AO]]+Tabela2[[#This Row],[AD]]+Tabela2[[#This Row],[GWO]]+Tabela2[[#This Row],[GWD]])</f>
        <v>6</v>
      </c>
      <c r="S93" s="180">
        <f>Tabela2[[#This Row],[GWO]]+Tabela2[[#This Row],[GWD]]</f>
        <v>2</v>
      </c>
      <c r="T93" s="180">
        <f>SUM(Tabela2[[#This Row],[G]:[GWD]])</f>
        <v>14</v>
      </c>
    </row>
    <row r="94" spans="1:20">
      <c r="A94" s="183">
        <v>48</v>
      </c>
      <c r="B94" s="175" t="s">
        <v>705</v>
      </c>
      <c r="C94" s="175" t="s">
        <v>704</v>
      </c>
      <c r="D94" s="175">
        <v>3</v>
      </c>
      <c r="E94" s="175" t="s">
        <v>18</v>
      </c>
      <c r="F94" s="175">
        <v>1</v>
      </c>
      <c r="G94" s="175">
        <v>2</v>
      </c>
      <c r="H94" s="175">
        <v>1</v>
      </c>
      <c r="I94" s="175">
        <v>3</v>
      </c>
      <c r="J94" s="175">
        <v>1</v>
      </c>
      <c r="K94" s="175">
        <v>1</v>
      </c>
      <c r="L94" s="175">
        <v>3</v>
      </c>
      <c r="M94" s="175">
        <v>1</v>
      </c>
      <c r="N94" s="170"/>
      <c r="O94" s="170"/>
      <c r="P94" s="170"/>
      <c r="Q94" s="180">
        <f>SUM(Tabela2[[#This Row],[G]]+Tabela2[[#This Row],[D]]+Tabela2[[#This Row],[N]]+Tabela2[[#This Row],[HM]])</f>
        <v>5</v>
      </c>
      <c r="R94" s="180">
        <f>SUM(Tabela2[[#This Row],[AO]]+Tabela2[[#This Row],[AD]]+Tabela2[[#This Row],[GWO]]+Tabela2[[#This Row],[GWD]])</f>
        <v>8</v>
      </c>
      <c r="S94" s="180">
        <f>Tabela2[[#This Row],[GWO]]+Tabela2[[#This Row],[GWD]]</f>
        <v>4</v>
      </c>
      <c r="T94" s="180">
        <f>SUM(Tabela2[[#This Row],[G]:[GWD]])</f>
        <v>13</v>
      </c>
    </row>
    <row r="95" spans="1:20">
      <c r="A95" s="183">
        <v>50</v>
      </c>
      <c r="B95" s="175" t="s">
        <v>702</v>
      </c>
      <c r="C95" s="175" t="s">
        <v>701</v>
      </c>
      <c r="D95" s="175">
        <v>3</v>
      </c>
      <c r="E95" s="175" t="s">
        <v>18</v>
      </c>
      <c r="F95" s="175">
        <v>1</v>
      </c>
      <c r="G95" s="175">
        <v>1</v>
      </c>
      <c r="H95" s="175">
        <v>2</v>
      </c>
      <c r="I95" s="175">
        <v>2</v>
      </c>
      <c r="J95" s="175">
        <v>2</v>
      </c>
      <c r="K95" s="175">
        <v>1</v>
      </c>
      <c r="L95" s="175">
        <v>2</v>
      </c>
      <c r="M95" s="175">
        <v>2</v>
      </c>
      <c r="N95" s="170"/>
      <c r="O95" s="170"/>
      <c r="P95" s="170"/>
      <c r="Q95" s="180">
        <f>SUM(Tabela2[[#This Row],[G]]+Tabela2[[#This Row],[D]]+Tabela2[[#This Row],[N]]+Tabela2[[#This Row],[HM]])</f>
        <v>5</v>
      </c>
      <c r="R95" s="180">
        <f>SUM(Tabela2[[#This Row],[AO]]+Tabela2[[#This Row],[AD]]+Tabela2[[#This Row],[GWO]]+Tabela2[[#This Row],[GWD]])</f>
        <v>8</v>
      </c>
      <c r="S95" s="180">
        <f>Tabela2[[#This Row],[GWO]]+Tabela2[[#This Row],[GWD]]</f>
        <v>4</v>
      </c>
      <c r="T95" s="180">
        <f>SUM(Tabela2[[#This Row],[G]:[GWD]])</f>
        <v>13</v>
      </c>
    </row>
    <row r="96" spans="1:20" ht="30">
      <c r="A96" s="183">
        <v>53</v>
      </c>
      <c r="B96" s="175" t="s">
        <v>698</v>
      </c>
      <c r="C96" s="175" t="s">
        <v>566</v>
      </c>
      <c r="D96" s="175">
        <v>3</v>
      </c>
      <c r="E96" s="175" t="s">
        <v>18</v>
      </c>
      <c r="F96" s="175">
        <v>1</v>
      </c>
      <c r="G96" s="175">
        <v>1</v>
      </c>
      <c r="H96" s="175">
        <v>1</v>
      </c>
      <c r="I96" s="175">
        <v>2</v>
      </c>
      <c r="J96" s="175">
        <v>2</v>
      </c>
      <c r="K96" s="175">
        <v>1</v>
      </c>
      <c r="L96" s="175">
        <v>3</v>
      </c>
      <c r="M96" s="175">
        <v>2</v>
      </c>
      <c r="N96" s="170"/>
      <c r="O96" s="170" t="s">
        <v>204</v>
      </c>
      <c r="P96" s="170"/>
      <c r="Q96" s="180">
        <f>SUM(Tabela2[[#This Row],[G]]+Tabela2[[#This Row],[D]]+Tabela2[[#This Row],[N]]+Tabela2[[#This Row],[HM]])</f>
        <v>4</v>
      </c>
      <c r="R96" s="180">
        <f>SUM(Tabela2[[#This Row],[AO]]+Tabela2[[#This Row],[AD]]+Tabela2[[#This Row],[GWO]]+Tabela2[[#This Row],[GWD]])</f>
        <v>9</v>
      </c>
      <c r="S96" s="180">
        <f>Tabela2[[#This Row],[GWO]]+Tabela2[[#This Row],[GWD]]</f>
        <v>5</v>
      </c>
      <c r="T96" s="180">
        <f>SUM(Tabela2[[#This Row],[G]:[GWD]])</f>
        <v>13</v>
      </c>
    </row>
    <row r="97" spans="1:20">
      <c r="A97" s="183">
        <v>179</v>
      </c>
      <c r="B97" s="170" t="s">
        <v>556</v>
      </c>
      <c r="C97" s="170" t="s">
        <v>555</v>
      </c>
      <c r="D97" s="170">
        <v>3</v>
      </c>
      <c r="E97" s="170" t="s">
        <v>272</v>
      </c>
      <c r="F97" s="170">
        <v>2</v>
      </c>
      <c r="G97" s="170">
        <v>2</v>
      </c>
      <c r="H97" s="170">
        <v>1</v>
      </c>
      <c r="I97" s="170">
        <v>2</v>
      </c>
      <c r="J97" s="170">
        <v>2</v>
      </c>
      <c r="K97" s="170">
        <v>1</v>
      </c>
      <c r="L97" s="170">
        <v>2</v>
      </c>
      <c r="M97" s="170">
        <v>1</v>
      </c>
      <c r="N97" s="170"/>
      <c r="O97" s="170"/>
      <c r="P97" s="170"/>
      <c r="Q97" s="180">
        <f>SUM(Tabela2[[#This Row],[G]]+Tabela2[[#This Row],[D]]+Tabela2[[#This Row],[N]]+Tabela2[[#This Row],[HM]])</f>
        <v>6</v>
      </c>
      <c r="R97" s="180">
        <f>SUM(Tabela2[[#This Row],[AO]]+Tabela2[[#This Row],[AD]]+Tabela2[[#This Row],[GWO]]+Tabela2[[#This Row],[GWD]])</f>
        <v>7</v>
      </c>
      <c r="S97" s="180">
        <f>Tabela2[[#This Row],[GWO]]+Tabela2[[#This Row],[GWD]]</f>
        <v>3</v>
      </c>
      <c r="T97" s="180">
        <f>SUM(Tabela2[[#This Row],[G]:[GWD]])</f>
        <v>13</v>
      </c>
    </row>
    <row r="98" spans="1:20" ht="30">
      <c r="A98" s="183">
        <v>182</v>
      </c>
      <c r="B98" s="170" t="s">
        <v>551</v>
      </c>
      <c r="C98" s="170" t="s">
        <v>550</v>
      </c>
      <c r="D98" s="170">
        <v>3</v>
      </c>
      <c r="E98" s="170" t="s">
        <v>272</v>
      </c>
      <c r="F98" s="170">
        <v>1</v>
      </c>
      <c r="G98" s="170">
        <v>1</v>
      </c>
      <c r="H98" s="170">
        <v>1</v>
      </c>
      <c r="I98" s="170">
        <v>3</v>
      </c>
      <c r="J98" s="170">
        <v>1</v>
      </c>
      <c r="K98" s="170">
        <v>3</v>
      </c>
      <c r="L98" s="170">
        <v>2</v>
      </c>
      <c r="M98" s="170">
        <v>1</v>
      </c>
      <c r="N98" s="170"/>
      <c r="O98" s="170"/>
      <c r="P98" s="170"/>
      <c r="Q98" s="180">
        <f>SUM(Tabela2[[#This Row],[G]]+Tabela2[[#This Row],[D]]+Tabela2[[#This Row],[N]]+Tabela2[[#This Row],[HM]])</f>
        <v>6</v>
      </c>
      <c r="R98" s="180">
        <f>SUM(Tabela2[[#This Row],[AO]]+Tabela2[[#This Row],[AD]]+Tabela2[[#This Row],[GWO]]+Tabela2[[#This Row],[GWD]])</f>
        <v>7</v>
      </c>
      <c r="S98" s="180">
        <f>Tabela2[[#This Row],[GWO]]+Tabela2[[#This Row],[GWD]]</f>
        <v>3</v>
      </c>
      <c r="T98" s="180">
        <f>SUM(Tabela2[[#This Row],[G]:[GWD]])</f>
        <v>13</v>
      </c>
    </row>
    <row r="99" spans="1:20">
      <c r="A99" s="183">
        <v>156</v>
      </c>
      <c r="B99" s="171" t="s">
        <v>588</v>
      </c>
      <c r="C99" s="171" t="s">
        <v>536</v>
      </c>
      <c r="D99" s="171">
        <v>3</v>
      </c>
      <c r="E99" s="171" t="s">
        <v>251</v>
      </c>
      <c r="F99" s="171">
        <v>2</v>
      </c>
      <c r="G99" s="171">
        <v>2</v>
      </c>
      <c r="H99" s="171">
        <v>1</v>
      </c>
      <c r="I99" s="171">
        <v>1</v>
      </c>
      <c r="J99" s="171">
        <v>1</v>
      </c>
      <c r="K99" s="171">
        <v>3</v>
      </c>
      <c r="L99" s="171">
        <v>2</v>
      </c>
      <c r="M99" s="171">
        <v>1</v>
      </c>
      <c r="N99" s="170"/>
      <c r="O99" s="170"/>
      <c r="P99" s="170"/>
      <c r="Q99" s="180">
        <f>SUM(Tabela2[[#This Row],[G]]+Tabela2[[#This Row],[D]]+Tabela2[[#This Row],[N]]+Tabela2[[#This Row],[HM]])</f>
        <v>8</v>
      </c>
      <c r="R99" s="180">
        <f>SUM(Tabela2[[#This Row],[AO]]+Tabela2[[#This Row],[AD]]+Tabela2[[#This Row],[GWO]]+Tabela2[[#This Row],[GWD]])</f>
        <v>5</v>
      </c>
      <c r="S99" s="180">
        <f>Tabela2[[#This Row],[GWO]]+Tabela2[[#This Row],[GWD]]</f>
        <v>3</v>
      </c>
      <c r="T99" s="180">
        <f>SUM(Tabela2[[#This Row],[G]:[GWD]])</f>
        <v>13</v>
      </c>
    </row>
    <row r="100" spans="1:20">
      <c r="A100" s="183">
        <v>74</v>
      </c>
      <c r="B100" s="175" t="s">
        <v>670</v>
      </c>
      <c r="C100" s="175" t="s">
        <v>284</v>
      </c>
      <c r="D100" s="175">
        <v>3</v>
      </c>
      <c r="E100" s="175" t="s">
        <v>18</v>
      </c>
      <c r="F100" s="175">
        <v>1</v>
      </c>
      <c r="G100" s="175">
        <v>1</v>
      </c>
      <c r="H100" s="175">
        <v>1</v>
      </c>
      <c r="I100" s="175">
        <v>3</v>
      </c>
      <c r="J100" s="175">
        <v>3</v>
      </c>
      <c r="K100" s="175">
        <v>1</v>
      </c>
      <c r="L100" s="175">
        <v>2</v>
      </c>
      <c r="M100" s="175">
        <v>1</v>
      </c>
      <c r="N100" s="175" t="s">
        <v>445</v>
      </c>
      <c r="O100" s="175"/>
      <c r="P100" s="175"/>
      <c r="Q100" s="184">
        <f>SUM(Tabela2[[#This Row],[G]]+Tabela2[[#This Row],[D]]+Tabela2[[#This Row],[N]]+Tabela2[[#This Row],[HM]])</f>
        <v>4</v>
      </c>
      <c r="R100" s="184">
        <f>SUM(Tabela2[[#This Row],[AO]]+Tabela2[[#This Row],[AD]]+Tabela2[[#This Row],[GWO]]+Tabela2[[#This Row],[GWD]])</f>
        <v>9</v>
      </c>
      <c r="S100" s="184">
        <f>Tabela2[[#This Row],[GWO]]+Tabela2[[#This Row],[GWD]]</f>
        <v>3</v>
      </c>
      <c r="T100" s="180">
        <f>SUM(Tabela2[[#This Row],[G]:[GWD]])</f>
        <v>13</v>
      </c>
    </row>
    <row r="101" spans="1:20" ht="30">
      <c r="A101" s="183">
        <v>201</v>
      </c>
      <c r="B101" s="176" t="s">
        <v>519</v>
      </c>
      <c r="C101" s="175" t="s">
        <v>441</v>
      </c>
      <c r="D101" s="175">
        <v>4</v>
      </c>
      <c r="E101" s="175" t="s">
        <v>18</v>
      </c>
      <c r="F101" s="175">
        <v>1</v>
      </c>
      <c r="G101" s="175">
        <v>1</v>
      </c>
      <c r="H101" s="175">
        <v>2</v>
      </c>
      <c r="I101" s="175">
        <v>3</v>
      </c>
      <c r="J101" s="175">
        <v>1</v>
      </c>
      <c r="K101" s="175">
        <v>1</v>
      </c>
      <c r="L101" s="175">
        <v>3</v>
      </c>
      <c r="M101" s="175">
        <v>1</v>
      </c>
      <c r="N101" s="170"/>
      <c r="O101" s="170"/>
      <c r="P101" s="170"/>
      <c r="Q101" s="180">
        <f>SUM(Tabela2[[#This Row],[G]]+Tabela2[[#This Row],[D]]+Tabela2[[#This Row],[N]]+Tabela2[[#This Row],[HM]])</f>
        <v>5</v>
      </c>
      <c r="R101" s="180">
        <f>SUM(Tabela2[[#This Row],[AO]]+Tabela2[[#This Row],[AD]]+Tabela2[[#This Row],[GWO]]+Tabela2[[#This Row],[GWD]])</f>
        <v>8</v>
      </c>
      <c r="S101" s="180">
        <f>Tabela2[[#This Row],[GWO]]+Tabela2[[#This Row],[GWD]]</f>
        <v>4</v>
      </c>
      <c r="T101" s="180">
        <f>SUM(Tabela2[[#This Row],[G]:[GWD]])</f>
        <v>13</v>
      </c>
    </row>
    <row r="102" spans="1:20" ht="30">
      <c r="A102" s="183">
        <v>307</v>
      </c>
      <c r="B102" s="170" t="s">
        <v>408</v>
      </c>
      <c r="C102" s="170" t="s">
        <v>407</v>
      </c>
      <c r="D102" s="170">
        <v>4</v>
      </c>
      <c r="E102" s="170" t="s">
        <v>272</v>
      </c>
      <c r="F102" s="170">
        <v>1</v>
      </c>
      <c r="G102" s="170">
        <v>1</v>
      </c>
      <c r="H102" s="170">
        <v>3</v>
      </c>
      <c r="I102" s="170">
        <v>2</v>
      </c>
      <c r="J102" s="170">
        <v>1</v>
      </c>
      <c r="K102" s="170">
        <v>1</v>
      </c>
      <c r="L102" s="170">
        <v>3</v>
      </c>
      <c r="M102" s="170">
        <v>1</v>
      </c>
      <c r="N102" s="170"/>
      <c r="O102" s="170"/>
      <c r="P102" s="170"/>
      <c r="Q102" s="180">
        <f>SUM(Tabela2[[#This Row],[G]]+Tabela2[[#This Row],[D]]+Tabela2[[#This Row],[N]]+Tabela2[[#This Row],[HM]])</f>
        <v>6</v>
      </c>
      <c r="R102" s="180">
        <f>SUM(Tabela2[[#This Row],[AO]]+Tabela2[[#This Row],[AD]]+Tabela2[[#This Row],[GWO]]+Tabela2[[#This Row],[GWD]])</f>
        <v>7</v>
      </c>
      <c r="S102" s="180">
        <f>Tabela2[[#This Row],[GWO]]+Tabela2[[#This Row],[GWD]]</f>
        <v>4</v>
      </c>
      <c r="T102" s="180">
        <f>SUM(Tabela2[[#This Row],[G]:[GWD]])</f>
        <v>13</v>
      </c>
    </row>
    <row r="103" spans="1:20">
      <c r="A103" s="183">
        <v>312</v>
      </c>
      <c r="B103" s="170" t="s">
        <v>399</v>
      </c>
      <c r="C103" s="170" t="s">
        <v>398</v>
      </c>
      <c r="D103" s="170">
        <v>4</v>
      </c>
      <c r="E103" s="170" t="s">
        <v>272</v>
      </c>
      <c r="F103" s="170">
        <v>1</v>
      </c>
      <c r="G103" s="170">
        <v>1</v>
      </c>
      <c r="H103" s="170">
        <v>1</v>
      </c>
      <c r="I103" s="170">
        <v>1</v>
      </c>
      <c r="J103" s="170">
        <v>4</v>
      </c>
      <c r="K103" s="170">
        <v>1</v>
      </c>
      <c r="L103" s="170">
        <v>1</v>
      </c>
      <c r="M103" s="170">
        <v>3</v>
      </c>
      <c r="N103" s="170"/>
      <c r="O103" s="170"/>
      <c r="P103" s="170"/>
      <c r="Q103" s="180">
        <f>SUM(Tabela2[[#This Row],[G]]+Tabela2[[#This Row],[D]]+Tabela2[[#This Row],[N]]+Tabela2[[#This Row],[HM]])</f>
        <v>4</v>
      </c>
      <c r="R103" s="180">
        <f>SUM(Tabela2[[#This Row],[AO]]+Tabela2[[#This Row],[AD]]+Tabela2[[#This Row],[GWO]]+Tabela2[[#This Row],[GWD]])</f>
        <v>9</v>
      </c>
      <c r="S103" s="180">
        <f>Tabela2[[#This Row],[GWO]]+Tabela2[[#This Row],[GWD]]</f>
        <v>4</v>
      </c>
      <c r="T103" s="180">
        <f>SUM(Tabela2[[#This Row],[G]:[GWD]])</f>
        <v>13</v>
      </c>
    </row>
    <row r="104" spans="1:20" ht="30">
      <c r="A104" s="183">
        <v>237</v>
      </c>
      <c r="B104" s="174" t="s">
        <v>485</v>
      </c>
      <c r="C104" s="174" t="s">
        <v>394</v>
      </c>
      <c r="D104" s="174">
        <v>4</v>
      </c>
      <c r="E104" s="174" t="s">
        <v>249</v>
      </c>
      <c r="F104" s="174">
        <v>1</v>
      </c>
      <c r="G104" s="174">
        <v>4</v>
      </c>
      <c r="H104" s="174">
        <v>1</v>
      </c>
      <c r="I104" s="174">
        <v>1</v>
      </c>
      <c r="J104" s="174">
        <v>1</v>
      </c>
      <c r="K104" s="174">
        <v>1</v>
      </c>
      <c r="L104" s="174">
        <v>3</v>
      </c>
      <c r="M104" s="174">
        <v>1</v>
      </c>
      <c r="N104" s="170"/>
      <c r="O104" s="170"/>
      <c r="P104" s="170"/>
      <c r="Q104" s="180">
        <f>SUM(Tabela2[[#This Row],[G]]+Tabela2[[#This Row],[D]]+Tabela2[[#This Row],[N]]+Tabela2[[#This Row],[HM]])</f>
        <v>7</v>
      </c>
      <c r="R104" s="180">
        <f>SUM(Tabela2[[#This Row],[AO]]+Tabela2[[#This Row],[AD]]+Tabela2[[#This Row],[GWO]]+Tabela2[[#This Row],[GWD]])</f>
        <v>6</v>
      </c>
      <c r="S104" s="180">
        <f>Tabela2[[#This Row],[GWO]]+Tabela2[[#This Row],[GWD]]</f>
        <v>4</v>
      </c>
      <c r="T104" s="180">
        <f>SUM(Tabela2[[#This Row],[G]:[GWD]])</f>
        <v>13</v>
      </c>
    </row>
    <row r="105" spans="1:20" ht="30">
      <c r="A105" s="183">
        <v>238</v>
      </c>
      <c r="B105" s="174" t="s">
        <v>484</v>
      </c>
      <c r="C105" s="174" t="s">
        <v>392</v>
      </c>
      <c r="D105" s="174">
        <v>4</v>
      </c>
      <c r="E105" s="174" t="s">
        <v>249</v>
      </c>
      <c r="F105" s="174">
        <v>1</v>
      </c>
      <c r="G105" s="174">
        <v>1</v>
      </c>
      <c r="H105" s="174">
        <v>3</v>
      </c>
      <c r="I105" s="174">
        <v>3</v>
      </c>
      <c r="J105" s="174">
        <v>1</v>
      </c>
      <c r="K105" s="174">
        <v>1</v>
      </c>
      <c r="L105" s="174">
        <v>2</v>
      </c>
      <c r="M105" s="174">
        <v>1</v>
      </c>
      <c r="N105" s="170"/>
      <c r="O105" s="170"/>
      <c r="P105" s="170"/>
      <c r="Q105" s="180">
        <f>SUM(Tabela2[[#This Row],[G]]+Tabela2[[#This Row],[D]]+Tabela2[[#This Row],[N]]+Tabela2[[#This Row],[HM]])</f>
        <v>6</v>
      </c>
      <c r="R105" s="180">
        <f>SUM(Tabela2[[#This Row],[AO]]+Tabela2[[#This Row],[AD]]+Tabela2[[#This Row],[GWO]]+Tabela2[[#This Row],[GWD]])</f>
        <v>7</v>
      </c>
      <c r="S105" s="180">
        <f>Tabela2[[#This Row],[GWO]]+Tabela2[[#This Row],[GWD]]</f>
        <v>3</v>
      </c>
      <c r="T105" s="180">
        <f>SUM(Tabela2[[#This Row],[G]:[GWD]])</f>
        <v>13</v>
      </c>
    </row>
    <row r="106" spans="1:20" ht="30">
      <c r="A106" s="183">
        <v>266</v>
      </c>
      <c r="B106" s="172" t="s">
        <v>457</v>
      </c>
      <c r="C106" s="172" t="s">
        <v>344</v>
      </c>
      <c r="D106" s="172">
        <v>4</v>
      </c>
      <c r="E106" s="172" t="s">
        <v>250</v>
      </c>
      <c r="F106" s="172">
        <v>3</v>
      </c>
      <c r="G106" s="172">
        <v>1</v>
      </c>
      <c r="H106" s="172">
        <v>1</v>
      </c>
      <c r="I106" s="172">
        <v>3</v>
      </c>
      <c r="J106" s="172">
        <v>1</v>
      </c>
      <c r="K106" s="172">
        <v>1</v>
      </c>
      <c r="L106" s="172">
        <v>2</v>
      </c>
      <c r="M106" s="172">
        <v>1</v>
      </c>
      <c r="N106" s="170"/>
      <c r="O106" s="170" t="s">
        <v>204</v>
      </c>
      <c r="P106" s="170"/>
      <c r="Q106" s="180">
        <f>SUM(Tabela2[[#This Row],[G]]+Tabela2[[#This Row],[D]]+Tabela2[[#This Row],[N]]+Tabela2[[#This Row],[HM]])</f>
        <v>6</v>
      </c>
      <c r="R106" s="180">
        <f>SUM(Tabela2[[#This Row],[AO]]+Tabela2[[#This Row],[AD]]+Tabela2[[#This Row],[GWO]]+Tabela2[[#This Row],[GWD]])</f>
        <v>7</v>
      </c>
      <c r="S106" s="180">
        <f>Tabela2[[#This Row],[GWO]]+Tabela2[[#This Row],[GWD]]</f>
        <v>3</v>
      </c>
      <c r="T106" s="180">
        <f>SUM(Tabela2[[#This Row],[G]:[GWD]])</f>
        <v>13</v>
      </c>
    </row>
    <row r="107" spans="1:20" ht="30">
      <c r="A107" s="183">
        <v>317</v>
      </c>
      <c r="B107" s="170" t="s">
        <v>390</v>
      </c>
      <c r="C107" s="170" t="s">
        <v>344</v>
      </c>
      <c r="D107" s="170">
        <v>4</v>
      </c>
      <c r="E107" s="170" t="s">
        <v>272</v>
      </c>
      <c r="F107" s="170">
        <v>1</v>
      </c>
      <c r="G107" s="170">
        <v>1</v>
      </c>
      <c r="H107" s="170">
        <v>1</v>
      </c>
      <c r="I107" s="170">
        <v>2</v>
      </c>
      <c r="J107" s="170">
        <v>1</v>
      </c>
      <c r="K107" s="170">
        <v>3</v>
      </c>
      <c r="L107" s="170">
        <v>3</v>
      </c>
      <c r="M107" s="170">
        <v>1</v>
      </c>
      <c r="N107" s="170"/>
      <c r="O107" s="170"/>
      <c r="P107" s="170"/>
      <c r="Q107" s="180">
        <f>SUM(Tabela2[[#This Row],[G]]+Tabela2[[#This Row],[D]]+Tabela2[[#This Row],[N]]+Tabela2[[#This Row],[HM]])</f>
        <v>6</v>
      </c>
      <c r="R107" s="180">
        <f>SUM(Tabela2[[#This Row],[AO]]+Tabela2[[#This Row],[AD]]+Tabela2[[#This Row],[GWO]]+Tabela2[[#This Row],[GWD]])</f>
        <v>7</v>
      </c>
      <c r="S107" s="180">
        <f>Tabela2[[#This Row],[GWO]]+Tabela2[[#This Row],[GWD]]</f>
        <v>4</v>
      </c>
      <c r="T107" s="180">
        <f>SUM(Tabela2[[#This Row],[G]:[GWD]])</f>
        <v>13</v>
      </c>
    </row>
    <row r="108" spans="1:20">
      <c r="A108" s="183">
        <v>267</v>
      </c>
      <c r="B108" s="172" t="s">
        <v>456</v>
      </c>
      <c r="C108" s="172" t="s">
        <v>388</v>
      </c>
      <c r="D108" s="172">
        <v>4</v>
      </c>
      <c r="E108" s="172" t="s">
        <v>250</v>
      </c>
      <c r="F108" s="172">
        <v>2</v>
      </c>
      <c r="G108" s="172">
        <v>1</v>
      </c>
      <c r="H108" s="172">
        <v>3</v>
      </c>
      <c r="I108" s="172">
        <v>1</v>
      </c>
      <c r="J108" s="172">
        <v>1</v>
      </c>
      <c r="K108" s="172">
        <v>1</v>
      </c>
      <c r="L108" s="172">
        <v>3</v>
      </c>
      <c r="M108" s="172">
        <v>1</v>
      </c>
      <c r="N108" s="170"/>
      <c r="O108" s="170"/>
      <c r="P108" s="170"/>
      <c r="Q108" s="180">
        <f>SUM(Tabela2[[#This Row],[G]]+Tabela2[[#This Row],[D]]+Tabela2[[#This Row],[N]]+Tabela2[[#This Row],[HM]])</f>
        <v>7</v>
      </c>
      <c r="R108" s="180">
        <f>SUM(Tabela2[[#This Row],[AO]]+Tabela2[[#This Row],[AD]]+Tabela2[[#This Row],[GWO]]+Tabela2[[#This Row],[GWD]])</f>
        <v>6</v>
      </c>
      <c r="S108" s="180">
        <f>Tabela2[[#This Row],[GWO]]+Tabela2[[#This Row],[GWD]]</f>
        <v>4</v>
      </c>
      <c r="T108" s="180">
        <f>SUM(Tabela2[[#This Row],[G]:[GWD]])</f>
        <v>13</v>
      </c>
    </row>
    <row r="109" spans="1:20" ht="30">
      <c r="A109" s="183">
        <v>293</v>
      </c>
      <c r="B109" s="171" t="s">
        <v>427</v>
      </c>
      <c r="C109" s="171" t="s">
        <v>386</v>
      </c>
      <c r="D109" s="171">
        <v>4</v>
      </c>
      <c r="E109" s="171" t="s">
        <v>251</v>
      </c>
      <c r="F109" s="171">
        <v>1</v>
      </c>
      <c r="G109" s="171">
        <v>1</v>
      </c>
      <c r="H109" s="171">
        <v>1</v>
      </c>
      <c r="I109" s="171">
        <v>4</v>
      </c>
      <c r="J109" s="171">
        <v>1</v>
      </c>
      <c r="K109" s="171">
        <v>1</v>
      </c>
      <c r="L109" s="171">
        <v>3</v>
      </c>
      <c r="M109" s="171">
        <v>1</v>
      </c>
      <c r="N109" s="170"/>
      <c r="O109" s="170"/>
      <c r="P109" s="170"/>
      <c r="Q109" s="180">
        <f>SUM(Tabela2[[#This Row],[G]]+Tabela2[[#This Row],[D]]+Tabela2[[#This Row],[N]]+Tabela2[[#This Row],[HM]])</f>
        <v>4</v>
      </c>
      <c r="R109" s="180">
        <f>SUM(Tabela2[[#This Row],[AO]]+Tabela2[[#This Row],[AD]]+Tabela2[[#This Row],[GWO]]+Tabela2[[#This Row],[GWD]])</f>
        <v>9</v>
      </c>
      <c r="S109" s="180">
        <f>Tabela2[[#This Row],[GWO]]+Tabela2[[#This Row],[GWD]]</f>
        <v>4</v>
      </c>
      <c r="T109" s="180">
        <f>SUM(Tabela2[[#This Row],[G]:[GWD]])</f>
        <v>13</v>
      </c>
    </row>
    <row r="110" spans="1:20" ht="30">
      <c r="A110" s="183">
        <v>245</v>
      </c>
      <c r="B110" s="174" t="s">
        <v>477</v>
      </c>
      <c r="C110" s="174" t="s">
        <v>451</v>
      </c>
      <c r="D110" s="174">
        <v>4</v>
      </c>
      <c r="E110" s="174" t="s">
        <v>249</v>
      </c>
      <c r="F110" s="174">
        <v>1</v>
      </c>
      <c r="G110" s="174">
        <v>1</v>
      </c>
      <c r="H110" s="174">
        <v>1</v>
      </c>
      <c r="I110" s="174">
        <v>1</v>
      </c>
      <c r="J110" s="174">
        <v>2</v>
      </c>
      <c r="K110" s="174">
        <v>3</v>
      </c>
      <c r="L110" s="174">
        <v>2</v>
      </c>
      <c r="M110" s="174">
        <v>2</v>
      </c>
      <c r="N110" s="170"/>
      <c r="O110" s="170"/>
      <c r="P110" s="170"/>
      <c r="Q110" s="180">
        <f>SUM(Tabela2[[#This Row],[G]]+Tabela2[[#This Row],[D]]+Tabela2[[#This Row],[N]]+Tabela2[[#This Row],[HM]])</f>
        <v>6</v>
      </c>
      <c r="R110" s="180">
        <f>SUM(Tabela2[[#This Row],[AO]]+Tabela2[[#This Row],[AD]]+Tabela2[[#This Row],[GWO]]+Tabela2[[#This Row],[GWD]])</f>
        <v>7</v>
      </c>
      <c r="S110" s="180">
        <f>Tabela2[[#This Row],[GWO]]+Tabela2[[#This Row],[GWD]]</f>
        <v>4</v>
      </c>
      <c r="T110" s="180">
        <f>SUM(Tabela2[[#This Row],[G]:[GWD]])</f>
        <v>13</v>
      </c>
    </row>
    <row r="111" spans="1:20">
      <c r="A111" s="183">
        <v>246</v>
      </c>
      <c r="B111" s="174" t="s">
        <v>476</v>
      </c>
      <c r="C111" s="174" t="s">
        <v>227</v>
      </c>
      <c r="D111" s="174">
        <v>4</v>
      </c>
      <c r="E111" s="174" t="s">
        <v>249</v>
      </c>
      <c r="F111" s="174">
        <v>1</v>
      </c>
      <c r="G111" s="174">
        <v>1</v>
      </c>
      <c r="H111" s="174">
        <v>2</v>
      </c>
      <c r="I111" s="174">
        <v>3</v>
      </c>
      <c r="J111" s="174">
        <v>3</v>
      </c>
      <c r="K111" s="174">
        <v>1</v>
      </c>
      <c r="L111" s="174">
        <v>1</v>
      </c>
      <c r="M111" s="174">
        <v>1</v>
      </c>
      <c r="N111" s="170"/>
      <c r="O111" s="170"/>
      <c r="P111" s="170"/>
      <c r="Q111" s="180">
        <f>SUM(Tabela2[[#This Row],[G]]+Tabela2[[#This Row],[D]]+Tabela2[[#This Row],[N]]+Tabela2[[#This Row],[HM]])</f>
        <v>5</v>
      </c>
      <c r="R111" s="180">
        <f>SUM(Tabela2[[#This Row],[AO]]+Tabela2[[#This Row],[AD]]+Tabela2[[#This Row],[GWO]]+Tabela2[[#This Row],[GWD]])</f>
        <v>8</v>
      </c>
      <c r="S111" s="180">
        <f>Tabela2[[#This Row],[GWO]]+Tabela2[[#This Row],[GWD]]</f>
        <v>2</v>
      </c>
      <c r="T111" s="180">
        <f>SUM(Tabela2[[#This Row],[G]:[GWD]])</f>
        <v>13</v>
      </c>
    </row>
    <row r="112" spans="1:20">
      <c r="A112" s="183">
        <v>248</v>
      </c>
      <c r="B112" s="174" t="s">
        <v>474</v>
      </c>
      <c r="C112" s="174" t="s">
        <v>378</v>
      </c>
      <c r="D112" s="174">
        <v>4</v>
      </c>
      <c r="E112" s="174" t="s">
        <v>249</v>
      </c>
      <c r="F112" s="174">
        <v>2</v>
      </c>
      <c r="G112" s="174">
        <v>3</v>
      </c>
      <c r="H112" s="174">
        <v>1</v>
      </c>
      <c r="I112" s="174">
        <v>1</v>
      </c>
      <c r="J112" s="174">
        <v>1</v>
      </c>
      <c r="K112" s="174">
        <v>1</v>
      </c>
      <c r="L112" s="174">
        <v>3</v>
      </c>
      <c r="M112" s="174">
        <v>1</v>
      </c>
      <c r="N112" s="170"/>
      <c r="O112" s="170"/>
      <c r="P112" s="170"/>
      <c r="Q112" s="180">
        <f>SUM(Tabela2[[#This Row],[G]]+Tabela2[[#This Row],[D]]+Tabela2[[#This Row],[N]]+Tabela2[[#This Row],[HM]])</f>
        <v>7</v>
      </c>
      <c r="R112" s="180">
        <f>SUM(Tabela2[[#This Row],[AO]]+Tabela2[[#This Row],[AD]]+Tabela2[[#This Row],[GWO]]+Tabela2[[#This Row],[GWD]])</f>
        <v>6</v>
      </c>
      <c r="S112" s="180">
        <f>Tabela2[[#This Row],[GWO]]+Tabela2[[#This Row],[GWD]]</f>
        <v>4</v>
      </c>
      <c r="T112" s="180">
        <f>SUM(Tabela2[[#This Row],[G]:[GWD]])</f>
        <v>13</v>
      </c>
    </row>
    <row r="113" spans="1:20">
      <c r="A113" s="183">
        <v>299</v>
      </c>
      <c r="B113" s="171" t="s">
        <v>421</v>
      </c>
      <c r="C113" s="171" t="s">
        <v>226</v>
      </c>
      <c r="D113" s="171">
        <v>4</v>
      </c>
      <c r="E113" s="171" t="s">
        <v>251</v>
      </c>
      <c r="F113" s="171">
        <v>1</v>
      </c>
      <c r="G113" s="171">
        <v>1</v>
      </c>
      <c r="H113" s="171">
        <v>1</v>
      </c>
      <c r="I113" s="171">
        <v>2</v>
      </c>
      <c r="J113" s="171">
        <v>2</v>
      </c>
      <c r="K113" s="171">
        <v>1</v>
      </c>
      <c r="L113" s="171">
        <v>3</v>
      </c>
      <c r="M113" s="171">
        <v>2</v>
      </c>
      <c r="N113" s="170"/>
      <c r="O113" s="170"/>
      <c r="P113" s="170"/>
      <c r="Q113" s="180">
        <f>SUM(Tabela2[[#This Row],[G]]+Tabela2[[#This Row],[D]]+Tabela2[[#This Row],[N]]+Tabela2[[#This Row],[HM]])</f>
        <v>4</v>
      </c>
      <c r="R113" s="180">
        <f>SUM(Tabela2[[#This Row],[AO]]+Tabela2[[#This Row],[AD]]+Tabela2[[#This Row],[GWO]]+Tabela2[[#This Row],[GWD]])</f>
        <v>9</v>
      </c>
      <c r="S113" s="180">
        <f>Tabela2[[#This Row],[GWO]]+Tabela2[[#This Row],[GWD]]</f>
        <v>5</v>
      </c>
      <c r="T113" s="180">
        <f>SUM(Tabela2[[#This Row],[G]:[GWD]])</f>
        <v>13</v>
      </c>
    </row>
    <row r="114" spans="1:20">
      <c r="A114" s="183">
        <v>326</v>
      </c>
      <c r="B114" s="170" t="s">
        <v>375</v>
      </c>
      <c r="C114" s="170" t="s">
        <v>226</v>
      </c>
      <c r="D114" s="170">
        <v>4</v>
      </c>
      <c r="E114" s="170" t="s">
        <v>272</v>
      </c>
      <c r="F114" s="170">
        <v>1</v>
      </c>
      <c r="G114" s="170">
        <v>1</v>
      </c>
      <c r="H114" s="170">
        <v>1</v>
      </c>
      <c r="I114" s="170">
        <v>2</v>
      </c>
      <c r="J114" s="170">
        <v>1</v>
      </c>
      <c r="K114" s="170">
        <v>3</v>
      </c>
      <c r="L114" s="170">
        <v>3</v>
      </c>
      <c r="M114" s="170">
        <v>1</v>
      </c>
      <c r="N114" s="170"/>
      <c r="O114" s="170"/>
      <c r="P114" s="170"/>
      <c r="Q114" s="180">
        <f>SUM(Tabela2[[#This Row],[G]]+Tabela2[[#This Row],[D]]+Tabela2[[#This Row],[N]]+Tabela2[[#This Row],[HM]])</f>
        <v>6</v>
      </c>
      <c r="R114" s="180">
        <f>SUM(Tabela2[[#This Row],[AO]]+Tabela2[[#This Row],[AD]]+Tabela2[[#This Row],[GWO]]+Tabela2[[#This Row],[GWD]])</f>
        <v>7</v>
      </c>
      <c r="S114" s="180">
        <f>Tabela2[[#This Row],[GWO]]+Tabela2[[#This Row],[GWD]]</f>
        <v>4</v>
      </c>
      <c r="T114" s="180">
        <f>SUM(Tabela2[[#This Row],[G]:[GWD]])</f>
        <v>13</v>
      </c>
    </row>
    <row r="115" spans="1:20">
      <c r="A115" s="183">
        <v>276</v>
      </c>
      <c r="B115" s="172" t="s">
        <v>446</v>
      </c>
      <c r="C115" s="172" t="s">
        <v>184</v>
      </c>
      <c r="D115" s="172">
        <v>4</v>
      </c>
      <c r="E115" s="172" t="s">
        <v>250</v>
      </c>
      <c r="F115" s="172">
        <v>4</v>
      </c>
      <c r="G115" s="172">
        <v>1</v>
      </c>
      <c r="H115" s="172">
        <v>1</v>
      </c>
      <c r="I115" s="172">
        <v>1</v>
      </c>
      <c r="J115" s="172">
        <v>1</v>
      </c>
      <c r="K115" s="172">
        <v>1</v>
      </c>
      <c r="L115" s="172">
        <v>3</v>
      </c>
      <c r="M115" s="172">
        <v>1</v>
      </c>
      <c r="N115" s="172" t="s">
        <v>445</v>
      </c>
      <c r="O115" s="172"/>
      <c r="P115" s="172"/>
      <c r="Q115" s="186">
        <f>SUM(Tabela2[[#This Row],[G]]+Tabela2[[#This Row],[D]]+Tabela2[[#This Row],[N]]+Tabela2[[#This Row],[HM]])</f>
        <v>7</v>
      </c>
      <c r="R115" s="186">
        <f>SUM(Tabela2[[#This Row],[AO]]+Tabela2[[#This Row],[AD]]+Tabela2[[#This Row],[GWO]]+Tabela2[[#This Row],[GWD]])</f>
        <v>6</v>
      </c>
      <c r="S115" s="186">
        <f>Tabela2[[#This Row],[GWO]]+Tabela2[[#This Row],[GWD]]</f>
        <v>4</v>
      </c>
      <c r="T115" s="180">
        <f>SUM(Tabela2[[#This Row],[G]:[GWD]])</f>
        <v>13</v>
      </c>
    </row>
    <row r="116" spans="1:20">
      <c r="A116" s="183">
        <v>1</v>
      </c>
      <c r="B116" s="175" t="s">
        <v>764</v>
      </c>
      <c r="C116" s="175" t="s">
        <v>763</v>
      </c>
      <c r="D116" s="175">
        <v>2</v>
      </c>
      <c r="E116" s="175" t="s">
        <v>18</v>
      </c>
      <c r="F116" s="175">
        <v>1</v>
      </c>
      <c r="G116" s="175">
        <v>2</v>
      </c>
      <c r="H116" s="175">
        <v>4</v>
      </c>
      <c r="I116" s="175">
        <v>1</v>
      </c>
      <c r="J116" s="175">
        <v>1</v>
      </c>
      <c r="K116" s="175">
        <v>1</v>
      </c>
      <c r="L116" s="175">
        <v>1</v>
      </c>
      <c r="M116" s="175">
        <v>1</v>
      </c>
      <c r="N116" s="175" t="s">
        <v>445</v>
      </c>
      <c r="O116" s="175"/>
      <c r="P116" s="175"/>
      <c r="Q116" s="184">
        <f>SUM(Tabela2[[#This Row],[G]]+Tabela2[[#This Row],[D]]+Tabela2[[#This Row],[N]]+Tabela2[[#This Row],[HM]])</f>
        <v>8</v>
      </c>
      <c r="R116" s="184">
        <f>SUM(Tabela2[[#This Row],[AO]]+Tabela2[[#This Row],[AD]]+Tabela2[[#This Row],[GWO]]+Tabela2[[#This Row],[GWD]])</f>
        <v>4</v>
      </c>
      <c r="S116" s="184">
        <f>Tabela2[[#This Row],[GWO]]+Tabela2[[#This Row],[GWD]]</f>
        <v>2</v>
      </c>
      <c r="T116" s="180">
        <f>SUM(Tabela2[[#This Row],[G]:[GWD]])</f>
        <v>12</v>
      </c>
    </row>
    <row r="117" spans="1:20">
      <c r="A117" s="183">
        <v>22</v>
      </c>
      <c r="B117" s="172" t="s">
        <v>150</v>
      </c>
      <c r="C117" s="172" t="s">
        <v>712</v>
      </c>
      <c r="D117" s="172">
        <v>2</v>
      </c>
      <c r="E117" s="172" t="s">
        <v>250</v>
      </c>
      <c r="F117" s="172">
        <v>5</v>
      </c>
      <c r="G117" s="172">
        <v>1</v>
      </c>
      <c r="H117" s="172">
        <v>1</v>
      </c>
      <c r="I117" s="172">
        <v>1</v>
      </c>
      <c r="J117" s="172">
        <v>1</v>
      </c>
      <c r="K117" s="172">
        <v>1</v>
      </c>
      <c r="L117" s="172">
        <v>1</v>
      </c>
      <c r="M117" s="172">
        <v>1</v>
      </c>
      <c r="N117" s="170"/>
      <c r="O117" s="170"/>
      <c r="P117" s="170"/>
      <c r="Q117" s="180">
        <f>SUM(Tabela2[[#This Row],[G]]+Tabela2[[#This Row],[D]]+Tabela2[[#This Row],[N]]+Tabela2[[#This Row],[HM]])</f>
        <v>8</v>
      </c>
      <c r="R117" s="180">
        <f>SUM(Tabela2[[#This Row],[AO]]+Tabela2[[#This Row],[AD]]+Tabela2[[#This Row],[GWO]]+Tabela2[[#This Row],[GWD]])</f>
        <v>4</v>
      </c>
      <c r="S117" s="180">
        <f>Tabela2[[#This Row],[GWO]]+Tabela2[[#This Row],[GWD]]</f>
        <v>2</v>
      </c>
      <c r="T117" s="180">
        <f>SUM(Tabela2[[#This Row],[G]:[GWD]])</f>
        <v>12</v>
      </c>
    </row>
    <row r="118" spans="1:20" ht="30">
      <c r="A118" s="183">
        <v>169</v>
      </c>
      <c r="B118" s="170" t="s">
        <v>573</v>
      </c>
      <c r="C118" s="170" t="s">
        <v>572</v>
      </c>
      <c r="D118" s="170">
        <v>3</v>
      </c>
      <c r="E118" s="170" t="s">
        <v>272</v>
      </c>
      <c r="F118" s="170">
        <v>1</v>
      </c>
      <c r="G118" s="170">
        <v>1</v>
      </c>
      <c r="H118" s="170">
        <v>1</v>
      </c>
      <c r="I118" s="170">
        <v>1</v>
      </c>
      <c r="J118" s="170">
        <v>1</v>
      </c>
      <c r="K118" s="170">
        <v>1</v>
      </c>
      <c r="L118" s="170">
        <v>4</v>
      </c>
      <c r="M118" s="170">
        <v>2</v>
      </c>
      <c r="N118" s="170"/>
      <c r="O118" s="170"/>
      <c r="P118" s="170"/>
      <c r="Q118" s="180">
        <f>SUM(Tabela2[[#This Row],[G]]+Tabela2[[#This Row],[D]]+Tabela2[[#This Row],[N]]+Tabela2[[#This Row],[HM]])</f>
        <v>4</v>
      </c>
      <c r="R118" s="180">
        <f>SUM(Tabela2[[#This Row],[AO]]+Tabela2[[#This Row],[AD]]+Tabela2[[#This Row],[GWO]]+Tabela2[[#This Row],[GWD]])</f>
        <v>8</v>
      </c>
      <c r="S118" s="180">
        <f>Tabela2[[#This Row],[GWO]]+Tabela2[[#This Row],[GWD]]</f>
        <v>6</v>
      </c>
      <c r="T118" s="180">
        <f>SUM(Tabela2[[#This Row],[G]:[GWD]])</f>
        <v>12</v>
      </c>
    </row>
    <row r="119" spans="1:20" ht="30">
      <c r="A119" s="183">
        <v>171</v>
      </c>
      <c r="B119" s="170" t="s">
        <v>571</v>
      </c>
      <c r="C119" s="170" t="s">
        <v>570</v>
      </c>
      <c r="D119" s="170">
        <v>3</v>
      </c>
      <c r="E119" s="170" t="s">
        <v>272</v>
      </c>
      <c r="F119" s="170">
        <v>1</v>
      </c>
      <c r="G119" s="170">
        <v>2</v>
      </c>
      <c r="H119" s="170">
        <v>3</v>
      </c>
      <c r="I119" s="170">
        <v>1</v>
      </c>
      <c r="J119" s="170">
        <v>1</v>
      </c>
      <c r="K119" s="170">
        <v>2</v>
      </c>
      <c r="L119" s="170">
        <v>1</v>
      </c>
      <c r="M119" s="170">
        <v>1</v>
      </c>
      <c r="N119" s="170"/>
      <c r="O119" s="170"/>
      <c r="P119" s="170"/>
      <c r="Q119" s="180">
        <f>SUM(Tabela2[[#This Row],[G]]+Tabela2[[#This Row],[D]]+Tabela2[[#This Row],[N]]+Tabela2[[#This Row],[HM]])</f>
        <v>8</v>
      </c>
      <c r="R119" s="180">
        <f>SUM(Tabela2[[#This Row],[AO]]+Tabela2[[#This Row],[AD]]+Tabela2[[#This Row],[GWO]]+Tabela2[[#This Row],[GWD]])</f>
        <v>4</v>
      </c>
      <c r="S119" s="180">
        <f>Tabela2[[#This Row],[GWO]]+Tabela2[[#This Row],[GWD]]</f>
        <v>2</v>
      </c>
      <c r="T119" s="180">
        <f>SUM(Tabela2[[#This Row],[G]:[GWD]])</f>
        <v>12</v>
      </c>
    </row>
    <row r="120" spans="1:20">
      <c r="A120" s="183">
        <v>117</v>
      </c>
      <c r="B120" s="172" t="s">
        <v>627</v>
      </c>
      <c r="C120" s="172" t="s">
        <v>283</v>
      </c>
      <c r="D120" s="172">
        <v>3</v>
      </c>
      <c r="E120" s="172" t="s">
        <v>250</v>
      </c>
      <c r="F120" s="172">
        <v>2</v>
      </c>
      <c r="G120" s="172">
        <v>1</v>
      </c>
      <c r="H120" s="172">
        <v>1</v>
      </c>
      <c r="I120" s="172">
        <v>2</v>
      </c>
      <c r="J120" s="172">
        <v>1</v>
      </c>
      <c r="K120" s="172">
        <v>1</v>
      </c>
      <c r="L120" s="172">
        <v>3</v>
      </c>
      <c r="M120" s="172">
        <v>1</v>
      </c>
      <c r="N120" s="170"/>
      <c r="O120" s="170"/>
      <c r="P120" s="170"/>
      <c r="Q120" s="180">
        <f>SUM(Tabela2[[#This Row],[G]]+Tabela2[[#This Row],[D]]+Tabela2[[#This Row],[N]]+Tabela2[[#This Row],[HM]])</f>
        <v>5</v>
      </c>
      <c r="R120" s="180">
        <f>SUM(Tabela2[[#This Row],[AO]]+Tabela2[[#This Row],[AD]]+Tabela2[[#This Row],[GWO]]+Tabela2[[#This Row],[GWD]])</f>
        <v>7</v>
      </c>
      <c r="S120" s="180">
        <f>Tabela2[[#This Row],[GWO]]+Tabela2[[#This Row],[GWD]]</f>
        <v>4</v>
      </c>
      <c r="T120" s="180">
        <f>SUM(Tabela2[[#This Row],[G]:[GWD]])</f>
        <v>12</v>
      </c>
    </row>
    <row r="121" spans="1:20">
      <c r="A121" s="183">
        <v>252</v>
      </c>
      <c r="B121" s="172" t="s">
        <v>470</v>
      </c>
      <c r="C121" s="172" t="s">
        <v>419</v>
      </c>
      <c r="D121" s="172">
        <v>4</v>
      </c>
      <c r="E121" s="172" t="s">
        <v>250</v>
      </c>
      <c r="F121" s="172">
        <v>2</v>
      </c>
      <c r="G121" s="172">
        <v>1</v>
      </c>
      <c r="H121" s="172">
        <v>1</v>
      </c>
      <c r="I121" s="172">
        <v>1</v>
      </c>
      <c r="J121" s="172">
        <v>1</v>
      </c>
      <c r="K121" s="172">
        <v>1</v>
      </c>
      <c r="L121" s="172">
        <v>4</v>
      </c>
      <c r="M121" s="172">
        <v>1</v>
      </c>
      <c r="N121" s="170"/>
      <c r="O121" s="191" t="s">
        <v>204</v>
      </c>
      <c r="P121" s="191"/>
      <c r="Q121" s="180">
        <f>SUM(Tabela2[[#This Row],[G]]+Tabela2[[#This Row],[D]]+Tabela2[[#This Row],[N]]+Tabela2[[#This Row],[HM]])</f>
        <v>5</v>
      </c>
      <c r="R121" s="180">
        <f>SUM(Tabela2[[#This Row],[AO]]+Tabela2[[#This Row],[AD]]+Tabela2[[#This Row],[GWO]]+Tabela2[[#This Row],[GWD]])</f>
        <v>7</v>
      </c>
      <c r="S121" s="180">
        <f>Tabela2[[#This Row],[GWO]]+Tabela2[[#This Row],[GWD]]</f>
        <v>5</v>
      </c>
      <c r="T121" s="180">
        <f>SUM(Tabela2[[#This Row],[G]:[GWD]])</f>
        <v>12</v>
      </c>
    </row>
    <row r="122" spans="1:20" ht="30">
      <c r="A122" s="183">
        <v>229</v>
      </c>
      <c r="B122" s="174" t="s">
        <v>492</v>
      </c>
      <c r="C122" s="174" t="s">
        <v>357</v>
      </c>
      <c r="D122" s="174">
        <v>4</v>
      </c>
      <c r="E122" s="174" t="s">
        <v>249</v>
      </c>
      <c r="F122" s="174">
        <v>1</v>
      </c>
      <c r="G122" s="174">
        <v>2</v>
      </c>
      <c r="H122" s="174">
        <v>1</v>
      </c>
      <c r="I122" s="174">
        <v>2</v>
      </c>
      <c r="J122" s="174">
        <v>2</v>
      </c>
      <c r="K122" s="174">
        <v>2</v>
      </c>
      <c r="L122" s="174">
        <v>1</v>
      </c>
      <c r="M122" s="174">
        <v>1</v>
      </c>
      <c r="N122" s="170"/>
      <c r="O122" s="170"/>
      <c r="P122" s="170"/>
      <c r="Q122" s="180">
        <f>SUM(Tabela2[[#This Row],[G]]+Tabela2[[#This Row],[D]]+Tabela2[[#This Row],[N]]+Tabela2[[#This Row],[HM]])</f>
        <v>6</v>
      </c>
      <c r="R122" s="180">
        <f>SUM(Tabela2[[#This Row],[AO]]+Tabela2[[#This Row],[AD]]+Tabela2[[#This Row],[GWO]]+Tabela2[[#This Row],[GWD]])</f>
        <v>6</v>
      </c>
      <c r="S122" s="180">
        <f>Tabela2[[#This Row],[GWO]]+Tabela2[[#This Row],[GWD]]</f>
        <v>2</v>
      </c>
      <c r="T122" s="180">
        <f>SUM(Tabela2[[#This Row],[G]:[GWD]])</f>
        <v>12</v>
      </c>
    </row>
    <row r="123" spans="1:20">
      <c r="A123" s="183">
        <v>205</v>
      </c>
      <c r="B123" s="175" t="s">
        <v>515</v>
      </c>
      <c r="C123" s="175" t="s">
        <v>210</v>
      </c>
      <c r="D123" s="175">
        <v>4</v>
      </c>
      <c r="E123" s="175" t="s">
        <v>18</v>
      </c>
      <c r="F123" s="175">
        <v>1</v>
      </c>
      <c r="G123" s="175">
        <v>1</v>
      </c>
      <c r="H123" s="175">
        <v>1</v>
      </c>
      <c r="I123" s="175">
        <v>3</v>
      </c>
      <c r="J123" s="175">
        <v>1</v>
      </c>
      <c r="K123" s="175">
        <v>1</v>
      </c>
      <c r="L123" s="175">
        <v>3</v>
      </c>
      <c r="M123" s="175">
        <v>1</v>
      </c>
      <c r="N123" s="175" t="s">
        <v>445</v>
      </c>
      <c r="O123" s="175"/>
      <c r="P123" s="175"/>
      <c r="Q123" s="184">
        <f>SUM(Tabela2[[#This Row],[G]]+Tabela2[[#This Row],[D]]+Tabela2[[#This Row],[N]]+Tabela2[[#This Row],[HM]])</f>
        <v>4</v>
      </c>
      <c r="R123" s="184">
        <f>SUM(Tabela2[[#This Row],[AO]]+Tabela2[[#This Row],[AD]]+Tabela2[[#This Row],[GWO]]+Tabela2[[#This Row],[GWD]])</f>
        <v>8</v>
      </c>
      <c r="S123" s="184">
        <f>Tabela2[[#This Row],[GWO]]+Tabela2[[#This Row],[GWD]]</f>
        <v>4</v>
      </c>
      <c r="T123" s="180">
        <f>SUM(Tabela2[[#This Row],[G]:[GWD]])</f>
        <v>12</v>
      </c>
    </row>
    <row r="124" spans="1:20" ht="30">
      <c r="A124" s="183">
        <v>232</v>
      </c>
      <c r="B124" s="174" t="s">
        <v>489</v>
      </c>
      <c r="C124" s="174" t="s">
        <v>407</v>
      </c>
      <c r="D124" s="174">
        <v>4</v>
      </c>
      <c r="E124" s="174" t="s">
        <v>249</v>
      </c>
      <c r="F124" s="174">
        <v>1</v>
      </c>
      <c r="G124" s="174">
        <v>1</v>
      </c>
      <c r="H124" s="174">
        <v>3</v>
      </c>
      <c r="I124" s="174">
        <v>2</v>
      </c>
      <c r="J124" s="174">
        <v>1</v>
      </c>
      <c r="K124" s="174">
        <v>1</v>
      </c>
      <c r="L124" s="174">
        <v>2</v>
      </c>
      <c r="M124" s="174">
        <v>1</v>
      </c>
      <c r="N124" s="170"/>
      <c r="O124" s="170"/>
      <c r="P124" s="170"/>
      <c r="Q124" s="180">
        <f>SUM(Tabela2[[#This Row],[G]]+Tabela2[[#This Row],[D]]+Tabela2[[#This Row],[N]]+Tabela2[[#This Row],[HM]])</f>
        <v>6</v>
      </c>
      <c r="R124" s="180">
        <f>SUM(Tabela2[[#This Row],[AO]]+Tabela2[[#This Row],[AD]]+Tabela2[[#This Row],[GWO]]+Tabela2[[#This Row],[GWD]])</f>
        <v>6</v>
      </c>
      <c r="S124" s="180">
        <f>Tabela2[[#This Row],[GWO]]+Tabela2[[#This Row],[GWD]]</f>
        <v>3</v>
      </c>
      <c r="T124" s="180">
        <f>SUM(Tabela2[[#This Row],[G]:[GWD]])</f>
        <v>12</v>
      </c>
    </row>
    <row r="125" spans="1:20" ht="30">
      <c r="A125" s="183">
        <v>287</v>
      </c>
      <c r="B125" s="171" t="s">
        <v>433</v>
      </c>
      <c r="C125" s="171" t="s">
        <v>400</v>
      </c>
      <c r="D125" s="171">
        <v>4</v>
      </c>
      <c r="E125" s="171" t="s">
        <v>251</v>
      </c>
      <c r="F125" s="171">
        <v>1</v>
      </c>
      <c r="G125" s="171">
        <v>1</v>
      </c>
      <c r="H125" s="171">
        <v>1</v>
      </c>
      <c r="I125" s="171">
        <v>2</v>
      </c>
      <c r="J125" s="171">
        <v>1</v>
      </c>
      <c r="K125" s="171">
        <v>1</v>
      </c>
      <c r="L125" s="171">
        <v>4</v>
      </c>
      <c r="M125" s="171">
        <v>1</v>
      </c>
      <c r="N125" s="170"/>
      <c r="O125" s="170"/>
      <c r="P125" s="170"/>
      <c r="Q125" s="180">
        <f>SUM(Tabela2[[#This Row],[G]]+Tabela2[[#This Row],[D]]+Tabela2[[#This Row],[N]]+Tabela2[[#This Row],[HM]])</f>
        <v>4</v>
      </c>
      <c r="R125" s="180">
        <f>SUM(Tabela2[[#This Row],[AO]]+Tabela2[[#This Row],[AD]]+Tabela2[[#This Row],[GWO]]+Tabela2[[#This Row],[GWD]])</f>
        <v>8</v>
      </c>
      <c r="S125" s="180">
        <f>Tabela2[[#This Row],[GWO]]+Tabela2[[#This Row],[GWD]]</f>
        <v>5</v>
      </c>
      <c r="T125" s="180">
        <f>SUM(Tabela2[[#This Row],[G]:[GWD]])</f>
        <v>12</v>
      </c>
    </row>
    <row r="126" spans="1:20" ht="30">
      <c r="A126" s="183">
        <v>263</v>
      </c>
      <c r="B126" s="172" t="s">
        <v>459</v>
      </c>
      <c r="C126" s="172" t="s">
        <v>394</v>
      </c>
      <c r="D126" s="172">
        <v>4</v>
      </c>
      <c r="E126" s="172" t="s">
        <v>250</v>
      </c>
      <c r="F126" s="172">
        <v>3</v>
      </c>
      <c r="G126" s="172">
        <v>1</v>
      </c>
      <c r="H126" s="172">
        <v>1</v>
      </c>
      <c r="I126" s="172">
        <v>1</v>
      </c>
      <c r="J126" s="172">
        <v>1</v>
      </c>
      <c r="K126" s="172">
        <v>1</v>
      </c>
      <c r="L126" s="172">
        <v>3</v>
      </c>
      <c r="M126" s="172">
        <v>1</v>
      </c>
      <c r="N126" s="170"/>
      <c r="O126" s="170"/>
      <c r="P126" s="170"/>
      <c r="Q126" s="180">
        <f>SUM(Tabela2[[#This Row],[G]]+Tabela2[[#This Row],[D]]+Tabela2[[#This Row],[N]]+Tabela2[[#This Row],[HM]])</f>
        <v>6</v>
      </c>
      <c r="R126" s="180">
        <f>SUM(Tabela2[[#This Row],[AO]]+Tabela2[[#This Row],[AD]]+Tabela2[[#This Row],[GWO]]+Tabela2[[#This Row],[GWD]])</f>
        <v>6</v>
      </c>
      <c r="S126" s="180">
        <f>Tabela2[[#This Row],[GWO]]+Tabela2[[#This Row],[GWD]]</f>
        <v>4</v>
      </c>
      <c r="T126" s="180">
        <f>SUM(Tabela2[[#This Row],[G]:[GWD]])</f>
        <v>12</v>
      </c>
    </row>
    <row r="127" spans="1:20" ht="30">
      <c r="A127" s="183">
        <v>289</v>
      </c>
      <c r="B127" s="171" t="s">
        <v>431</v>
      </c>
      <c r="C127" s="171" t="s">
        <v>394</v>
      </c>
      <c r="D127" s="171">
        <v>4</v>
      </c>
      <c r="E127" s="171" t="s">
        <v>251</v>
      </c>
      <c r="F127" s="171">
        <v>1</v>
      </c>
      <c r="G127" s="171">
        <v>1</v>
      </c>
      <c r="H127" s="171">
        <v>1</v>
      </c>
      <c r="I127" s="171">
        <v>2</v>
      </c>
      <c r="J127" s="171">
        <v>1</v>
      </c>
      <c r="K127" s="171">
        <v>1</v>
      </c>
      <c r="L127" s="171">
        <v>4</v>
      </c>
      <c r="M127" s="171">
        <v>1</v>
      </c>
      <c r="N127" s="170"/>
      <c r="O127" s="170"/>
      <c r="P127" s="170"/>
      <c r="Q127" s="180">
        <f>SUM(Tabela2[[#This Row],[G]]+Tabela2[[#This Row],[D]]+Tabela2[[#This Row],[N]]+Tabela2[[#This Row],[HM]])</f>
        <v>4</v>
      </c>
      <c r="R127" s="180">
        <f>SUM(Tabela2[[#This Row],[AO]]+Tabela2[[#This Row],[AD]]+Tabela2[[#This Row],[GWO]]+Tabela2[[#This Row],[GWD]])</f>
        <v>8</v>
      </c>
      <c r="S127" s="180">
        <f>Tabela2[[#This Row],[GWO]]+Tabela2[[#This Row],[GWD]]</f>
        <v>5</v>
      </c>
      <c r="T127" s="180">
        <f>SUM(Tabela2[[#This Row],[G]:[GWD]])</f>
        <v>12</v>
      </c>
    </row>
    <row r="128" spans="1:20" ht="30">
      <c r="A128" s="183">
        <v>314</v>
      </c>
      <c r="B128" s="170" t="s">
        <v>395</v>
      </c>
      <c r="C128" s="170" t="s">
        <v>394</v>
      </c>
      <c r="D128" s="170">
        <v>4</v>
      </c>
      <c r="E128" s="170" t="s">
        <v>272</v>
      </c>
      <c r="F128" s="170">
        <v>1</v>
      </c>
      <c r="G128" s="170">
        <v>1</v>
      </c>
      <c r="H128" s="170">
        <v>1</v>
      </c>
      <c r="I128" s="170">
        <v>1</v>
      </c>
      <c r="J128" s="170">
        <v>1</v>
      </c>
      <c r="K128" s="170">
        <v>1</v>
      </c>
      <c r="L128" s="170">
        <v>3</v>
      </c>
      <c r="M128" s="170">
        <v>3</v>
      </c>
      <c r="N128" s="170"/>
      <c r="O128" s="170"/>
      <c r="P128" s="170"/>
      <c r="Q128" s="180">
        <f>SUM(Tabela2[[#This Row],[G]]+Tabela2[[#This Row],[D]]+Tabela2[[#This Row],[N]]+Tabela2[[#This Row],[HM]])</f>
        <v>4</v>
      </c>
      <c r="R128" s="180">
        <f>SUM(Tabela2[[#This Row],[AO]]+Tabela2[[#This Row],[AD]]+Tabela2[[#This Row],[GWO]]+Tabela2[[#This Row],[GWD]])</f>
        <v>8</v>
      </c>
      <c r="S128" s="180">
        <f>Tabela2[[#This Row],[GWO]]+Tabela2[[#This Row],[GWD]]</f>
        <v>6</v>
      </c>
      <c r="T128" s="180">
        <f>SUM(Tabela2[[#This Row],[G]:[GWD]])</f>
        <v>12</v>
      </c>
    </row>
    <row r="129" spans="1:20" ht="30">
      <c r="A129" s="183">
        <v>315</v>
      </c>
      <c r="B129" s="170" t="s">
        <v>393</v>
      </c>
      <c r="C129" s="170" t="s">
        <v>392</v>
      </c>
      <c r="D129" s="170">
        <v>4</v>
      </c>
      <c r="E129" s="170" t="s">
        <v>272</v>
      </c>
      <c r="F129" s="170">
        <v>1</v>
      </c>
      <c r="G129" s="170">
        <v>1</v>
      </c>
      <c r="H129" s="170">
        <v>3</v>
      </c>
      <c r="I129" s="170">
        <v>1</v>
      </c>
      <c r="J129" s="170">
        <v>1</v>
      </c>
      <c r="K129" s="170">
        <v>1</v>
      </c>
      <c r="L129" s="170">
        <v>3</v>
      </c>
      <c r="M129" s="170">
        <v>1</v>
      </c>
      <c r="N129" s="170"/>
      <c r="O129" s="170"/>
      <c r="P129" s="170"/>
      <c r="Q129" s="180">
        <f>SUM(Tabela2[[#This Row],[G]]+Tabela2[[#This Row],[D]]+Tabela2[[#This Row],[N]]+Tabela2[[#This Row],[HM]])</f>
        <v>6</v>
      </c>
      <c r="R129" s="180">
        <f>SUM(Tabela2[[#This Row],[AO]]+Tabela2[[#This Row],[AD]]+Tabela2[[#This Row],[GWO]]+Tabela2[[#This Row],[GWD]])</f>
        <v>6</v>
      </c>
      <c r="S129" s="180">
        <f>Tabela2[[#This Row],[GWO]]+Tabela2[[#This Row],[GWD]]</f>
        <v>4</v>
      </c>
      <c r="T129" s="180">
        <f>SUM(Tabela2[[#This Row],[G]:[GWD]])</f>
        <v>12</v>
      </c>
    </row>
    <row r="130" spans="1:20" ht="30">
      <c r="A130" s="183">
        <v>291</v>
      </c>
      <c r="B130" s="171" t="s">
        <v>429</v>
      </c>
      <c r="C130" s="171" t="s">
        <v>344</v>
      </c>
      <c r="D130" s="171">
        <v>4</v>
      </c>
      <c r="E130" s="171" t="s">
        <v>251</v>
      </c>
      <c r="F130" s="171">
        <v>1</v>
      </c>
      <c r="G130" s="171">
        <v>1</v>
      </c>
      <c r="H130" s="171">
        <v>1</v>
      </c>
      <c r="I130" s="171">
        <v>2</v>
      </c>
      <c r="J130" s="171">
        <v>1</v>
      </c>
      <c r="K130" s="171">
        <v>1</v>
      </c>
      <c r="L130" s="171">
        <v>4</v>
      </c>
      <c r="M130" s="171">
        <v>1</v>
      </c>
      <c r="N130" s="170"/>
      <c r="O130" s="170"/>
      <c r="P130" s="170"/>
      <c r="Q130" s="180">
        <f>SUM(Tabela2[[#This Row],[G]]+Tabela2[[#This Row],[D]]+Tabela2[[#This Row],[N]]+Tabela2[[#This Row],[HM]])</f>
        <v>4</v>
      </c>
      <c r="R130" s="180">
        <f>SUM(Tabela2[[#This Row],[AO]]+Tabela2[[#This Row],[AD]]+Tabela2[[#This Row],[GWO]]+Tabela2[[#This Row],[GWD]])</f>
        <v>8</v>
      </c>
      <c r="S130" s="180">
        <f>Tabela2[[#This Row],[GWO]]+Tabela2[[#This Row],[GWD]]</f>
        <v>5</v>
      </c>
      <c r="T130" s="180">
        <f>SUM(Tabela2[[#This Row],[G]:[GWD]])</f>
        <v>12</v>
      </c>
    </row>
    <row r="131" spans="1:20" ht="30">
      <c r="A131" s="183">
        <v>319</v>
      </c>
      <c r="B131" s="170" t="s">
        <v>387</v>
      </c>
      <c r="C131" s="170" t="s">
        <v>386</v>
      </c>
      <c r="D131" s="170">
        <v>4</v>
      </c>
      <c r="E131" s="170" t="s">
        <v>272</v>
      </c>
      <c r="F131" s="170">
        <v>2</v>
      </c>
      <c r="G131" s="170">
        <v>1</v>
      </c>
      <c r="H131" s="170">
        <v>1</v>
      </c>
      <c r="I131" s="170">
        <v>2</v>
      </c>
      <c r="J131" s="170">
        <v>1</v>
      </c>
      <c r="K131" s="170">
        <v>1</v>
      </c>
      <c r="L131" s="170">
        <v>3</v>
      </c>
      <c r="M131" s="170">
        <v>1</v>
      </c>
      <c r="N131" s="170"/>
      <c r="O131" s="170"/>
      <c r="P131" s="170"/>
      <c r="Q131" s="180">
        <f>SUM(Tabela2[[#This Row],[G]]+Tabela2[[#This Row],[D]]+Tabela2[[#This Row],[N]]+Tabela2[[#This Row],[HM]])</f>
        <v>5</v>
      </c>
      <c r="R131" s="180">
        <f>SUM(Tabela2[[#This Row],[AO]]+Tabela2[[#This Row],[AD]]+Tabela2[[#This Row],[GWO]]+Tabela2[[#This Row],[GWD]])</f>
        <v>7</v>
      </c>
      <c r="S131" s="180">
        <f>Tabela2[[#This Row],[GWO]]+Tabela2[[#This Row],[GWD]]</f>
        <v>4</v>
      </c>
      <c r="T131" s="180">
        <f>SUM(Tabela2[[#This Row],[G]:[GWD]])</f>
        <v>12</v>
      </c>
    </row>
    <row r="132" spans="1:20">
      <c r="A132" s="183">
        <v>296</v>
      </c>
      <c r="B132" s="171" t="s">
        <v>424</v>
      </c>
      <c r="C132" s="171" t="s">
        <v>227</v>
      </c>
      <c r="D132" s="171">
        <v>4</v>
      </c>
      <c r="E132" s="171" t="s">
        <v>251</v>
      </c>
      <c r="F132" s="171">
        <v>1</v>
      </c>
      <c r="G132" s="171">
        <v>1</v>
      </c>
      <c r="H132" s="171">
        <v>1</v>
      </c>
      <c r="I132" s="171">
        <v>2</v>
      </c>
      <c r="J132" s="171">
        <v>1</v>
      </c>
      <c r="K132" s="171">
        <v>1</v>
      </c>
      <c r="L132" s="171">
        <v>4</v>
      </c>
      <c r="M132" s="171">
        <v>1</v>
      </c>
      <c r="N132" s="170"/>
      <c r="O132" s="170"/>
      <c r="P132" s="170"/>
      <c r="Q132" s="180">
        <f>SUM(Tabela2[[#This Row],[G]]+Tabela2[[#This Row],[D]]+Tabela2[[#This Row],[N]]+Tabela2[[#This Row],[HM]])</f>
        <v>4</v>
      </c>
      <c r="R132" s="180">
        <f>SUM(Tabela2[[#This Row],[AO]]+Tabela2[[#This Row],[AD]]+Tabela2[[#This Row],[GWO]]+Tabela2[[#This Row],[GWD]])</f>
        <v>8</v>
      </c>
      <c r="S132" s="180">
        <f>Tabela2[[#This Row],[GWO]]+Tabela2[[#This Row],[GWD]]</f>
        <v>5</v>
      </c>
      <c r="T132" s="180">
        <f>SUM(Tabela2[[#This Row],[G]:[GWD]])</f>
        <v>12</v>
      </c>
    </row>
    <row r="133" spans="1:20">
      <c r="A133" s="183">
        <v>273</v>
      </c>
      <c r="B133" s="172" t="s">
        <v>449</v>
      </c>
      <c r="C133" s="172" t="s">
        <v>225</v>
      </c>
      <c r="D133" s="172">
        <v>4</v>
      </c>
      <c r="E133" s="172" t="s">
        <v>250</v>
      </c>
      <c r="F133" s="172">
        <v>2</v>
      </c>
      <c r="G133" s="172">
        <v>1</v>
      </c>
      <c r="H133" s="172">
        <v>1</v>
      </c>
      <c r="I133" s="172">
        <v>3</v>
      </c>
      <c r="J133" s="172">
        <v>1</v>
      </c>
      <c r="K133" s="172">
        <v>1</v>
      </c>
      <c r="L133" s="172">
        <v>2</v>
      </c>
      <c r="M133" s="172">
        <v>1</v>
      </c>
      <c r="N133" s="170"/>
      <c r="O133" s="170"/>
      <c r="P133" s="170"/>
      <c r="Q133" s="180">
        <f>SUM(Tabela2[[#This Row],[G]]+Tabela2[[#This Row],[D]]+Tabela2[[#This Row],[N]]+Tabela2[[#This Row],[HM]])</f>
        <v>5</v>
      </c>
      <c r="R133" s="180">
        <f>SUM(Tabela2[[#This Row],[AO]]+Tabela2[[#This Row],[AD]]+Tabela2[[#This Row],[GWO]]+Tabela2[[#This Row],[GWD]])</f>
        <v>7</v>
      </c>
      <c r="S133" s="180">
        <f>Tabela2[[#This Row],[GWO]]+Tabela2[[#This Row],[GWD]]</f>
        <v>3</v>
      </c>
      <c r="T133" s="180">
        <f>SUM(Tabela2[[#This Row],[G]:[GWD]])</f>
        <v>12</v>
      </c>
    </row>
    <row r="134" spans="1:20" ht="30">
      <c r="A134" s="183">
        <v>313</v>
      </c>
      <c r="B134" s="170" t="s">
        <v>397</v>
      </c>
      <c r="C134" s="170" t="s">
        <v>396</v>
      </c>
      <c r="D134" s="170"/>
      <c r="E134" s="170" t="s">
        <v>272</v>
      </c>
      <c r="F134" s="170">
        <v>1</v>
      </c>
      <c r="G134" s="170">
        <v>1</v>
      </c>
      <c r="H134" s="170">
        <v>1</v>
      </c>
      <c r="I134" s="170">
        <v>1</v>
      </c>
      <c r="J134" s="170">
        <v>1</v>
      </c>
      <c r="K134" s="170">
        <v>3</v>
      </c>
      <c r="L134" s="170">
        <v>3</v>
      </c>
      <c r="M134" s="170">
        <v>1</v>
      </c>
      <c r="N134" s="170"/>
      <c r="O134" s="170"/>
      <c r="P134" s="170"/>
      <c r="Q134" s="180">
        <f>SUM(Tabela2[[#This Row],[G]]+Tabela2[[#This Row],[D]]+Tabela2[[#This Row],[N]]+Tabela2[[#This Row],[HM]])</f>
        <v>6</v>
      </c>
      <c r="R134" s="180">
        <f>SUM(Tabela2[[#This Row],[AO]]+Tabela2[[#This Row],[AD]]+Tabela2[[#This Row],[GWO]]+Tabela2[[#This Row],[GWD]])</f>
        <v>6</v>
      </c>
      <c r="S134" s="180">
        <f>Tabela2[[#This Row],[GWO]]+Tabela2[[#This Row],[GWD]]</f>
        <v>4</v>
      </c>
      <c r="T134" s="180">
        <f>SUM(Tabela2[[#This Row],[G]:[GWD]])</f>
        <v>12</v>
      </c>
    </row>
    <row r="135" spans="1:20">
      <c r="A135" s="183">
        <v>8</v>
      </c>
      <c r="B135" s="175" t="s">
        <v>755</v>
      </c>
      <c r="C135" s="175" t="s">
        <v>548</v>
      </c>
      <c r="D135" s="175">
        <v>2</v>
      </c>
      <c r="E135" s="175" t="s">
        <v>18</v>
      </c>
      <c r="F135" s="175">
        <v>1</v>
      </c>
      <c r="G135" s="175">
        <v>1</v>
      </c>
      <c r="H135" s="175">
        <v>4</v>
      </c>
      <c r="I135" s="175">
        <v>1</v>
      </c>
      <c r="J135" s="175">
        <v>1</v>
      </c>
      <c r="K135" s="175">
        <v>1</v>
      </c>
      <c r="L135" s="175">
        <v>1</v>
      </c>
      <c r="M135" s="175">
        <v>1</v>
      </c>
      <c r="N135" s="170"/>
      <c r="O135" s="170"/>
      <c r="P135" s="170"/>
      <c r="Q135" s="180">
        <f>SUM(Tabela2[[#This Row],[G]]+Tabela2[[#This Row],[D]]+Tabela2[[#This Row],[N]]+Tabela2[[#This Row],[HM]])</f>
        <v>7</v>
      </c>
      <c r="R135" s="180">
        <f>SUM(Tabela2[[#This Row],[AO]]+Tabela2[[#This Row],[AD]]+Tabela2[[#This Row],[GWO]]+Tabela2[[#This Row],[GWD]])</f>
        <v>4</v>
      </c>
      <c r="S135" s="180">
        <f>Tabela2[[#This Row],[GWO]]+Tabela2[[#This Row],[GWD]]</f>
        <v>2</v>
      </c>
      <c r="T135" s="180">
        <f>SUM(Tabela2[[#This Row],[G]:[GWD]])</f>
        <v>11</v>
      </c>
    </row>
    <row r="136" spans="1:20">
      <c r="A136" s="183">
        <v>18</v>
      </c>
      <c r="B136" s="174" t="s">
        <v>743</v>
      </c>
      <c r="C136" s="174" t="s">
        <v>716</v>
      </c>
      <c r="D136" s="174">
        <v>2</v>
      </c>
      <c r="E136" s="174" t="s">
        <v>249</v>
      </c>
      <c r="F136" s="174">
        <v>1</v>
      </c>
      <c r="G136" s="174">
        <v>2</v>
      </c>
      <c r="H136" s="174">
        <v>1</v>
      </c>
      <c r="I136" s="174">
        <v>1</v>
      </c>
      <c r="J136" s="174">
        <v>1</v>
      </c>
      <c r="K136" s="174">
        <v>1</v>
      </c>
      <c r="L136" s="174">
        <v>2</v>
      </c>
      <c r="M136" s="174">
        <v>2</v>
      </c>
      <c r="N136" s="170"/>
      <c r="O136" s="170"/>
      <c r="P136" s="170"/>
      <c r="Q136" s="180">
        <f>SUM(Tabela2[[#This Row],[G]]+Tabela2[[#This Row],[D]]+Tabela2[[#This Row],[N]]+Tabela2[[#This Row],[HM]])</f>
        <v>5</v>
      </c>
      <c r="R136" s="180">
        <f>SUM(Tabela2[[#This Row],[AO]]+Tabela2[[#This Row],[AD]]+Tabela2[[#This Row],[GWO]]+Tabela2[[#This Row],[GWD]])</f>
        <v>6</v>
      </c>
      <c r="S136" s="180">
        <f>Tabela2[[#This Row],[GWO]]+Tabela2[[#This Row],[GWD]]</f>
        <v>4</v>
      </c>
      <c r="T136" s="180">
        <f>SUM(Tabela2[[#This Row],[G]:[GWD]])</f>
        <v>11</v>
      </c>
    </row>
    <row r="137" spans="1:20">
      <c r="A137" s="183">
        <v>27</v>
      </c>
      <c r="B137" s="172" t="s">
        <v>734</v>
      </c>
      <c r="C137" s="172" t="s">
        <v>708</v>
      </c>
      <c r="D137" s="172">
        <v>2</v>
      </c>
      <c r="E137" s="172" t="s">
        <v>250</v>
      </c>
      <c r="F137" s="172">
        <v>1</v>
      </c>
      <c r="G137" s="172">
        <v>1</v>
      </c>
      <c r="H137" s="172">
        <v>4</v>
      </c>
      <c r="I137" s="172">
        <v>1</v>
      </c>
      <c r="J137" s="172">
        <v>1</v>
      </c>
      <c r="K137" s="172">
        <v>1</v>
      </c>
      <c r="L137" s="172">
        <v>1</v>
      </c>
      <c r="M137" s="172">
        <v>1</v>
      </c>
      <c r="N137" s="170"/>
      <c r="O137" s="170"/>
      <c r="P137" s="170"/>
      <c r="Q137" s="180">
        <f>SUM(Tabela2[[#This Row],[G]]+Tabela2[[#This Row],[D]]+Tabela2[[#This Row],[N]]+Tabela2[[#This Row],[HM]])</f>
        <v>7</v>
      </c>
      <c r="R137" s="180">
        <f>SUM(Tabela2[[#This Row],[AO]]+Tabela2[[#This Row],[AD]]+Tabela2[[#This Row],[GWO]]+Tabela2[[#This Row],[GWD]])</f>
        <v>4</v>
      </c>
      <c r="S137" s="180">
        <f>Tabela2[[#This Row],[GWO]]+Tabela2[[#This Row],[GWD]]</f>
        <v>2</v>
      </c>
      <c r="T137" s="180">
        <f>SUM(Tabela2[[#This Row],[G]:[GWD]])</f>
        <v>11</v>
      </c>
    </row>
    <row r="138" spans="1:20" ht="30">
      <c r="A138" s="183">
        <v>51</v>
      </c>
      <c r="B138" s="175" t="s">
        <v>700</v>
      </c>
      <c r="C138" s="175" t="s">
        <v>570</v>
      </c>
      <c r="D138" s="175">
        <v>3</v>
      </c>
      <c r="E138" s="175" t="s">
        <v>18</v>
      </c>
      <c r="F138" s="175">
        <v>1</v>
      </c>
      <c r="G138" s="175">
        <v>1</v>
      </c>
      <c r="H138" s="175">
        <v>1</v>
      </c>
      <c r="I138" s="175">
        <v>2</v>
      </c>
      <c r="J138" s="175">
        <v>1</v>
      </c>
      <c r="K138" s="175">
        <v>1</v>
      </c>
      <c r="L138" s="175">
        <v>3</v>
      </c>
      <c r="M138" s="175">
        <v>1</v>
      </c>
      <c r="N138" s="175" t="s">
        <v>445</v>
      </c>
      <c r="O138" s="175"/>
      <c r="P138" s="175"/>
      <c r="Q138" s="184">
        <f>SUM(Tabela2[[#This Row],[G]]+Tabela2[[#This Row],[D]]+Tabela2[[#This Row],[N]]+Tabela2[[#This Row],[HM]])</f>
        <v>4</v>
      </c>
      <c r="R138" s="184">
        <f>SUM(Tabela2[[#This Row],[AO]]+Tabela2[[#This Row],[AD]]+Tabela2[[#This Row],[GWO]]+Tabela2[[#This Row],[GWD]])</f>
        <v>7</v>
      </c>
      <c r="S138" s="184">
        <f>Tabela2[[#This Row],[GWO]]+Tabela2[[#This Row],[GWD]]</f>
        <v>4</v>
      </c>
      <c r="T138" s="180">
        <f>SUM(Tabela2[[#This Row],[G]:[GWD]])</f>
        <v>11</v>
      </c>
    </row>
    <row r="139" spans="1:20" ht="30">
      <c r="A139" s="183">
        <v>112</v>
      </c>
      <c r="B139" s="172" t="s">
        <v>632</v>
      </c>
      <c r="C139" s="172" t="s">
        <v>568</v>
      </c>
      <c r="D139" s="172">
        <v>3</v>
      </c>
      <c r="E139" s="172" t="s">
        <v>250</v>
      </c>
      <c r="F139" s="172">
        <v>1</v>
      </c>
      <c r="G139" s="172">
        <v>1</v>
      </c>
      <c r="H139" s="172">
        <v>2</v>
      </c>
      <c r="I139" s="172">
        <v>2</v>
      </c>
      <c r="J139" s="172">
        <v>1</v>
      </c>
      <c r="K139" s="172">
        <v>1</v>
      </c>
      <c r="L139" s="172">
        <v>2</v>
      </c>
      <c r="M139" s="172">
        <v>1</v>
      </c>
      <c r="N139" s="170"/>
      <c r="O139" s="170"/>
      <c r="P139" s="170"/>
      <c r="Q139" s="180">
        <f>SUM(Tabela2[[#This Row],[G]]+Tabela2[[#This Row],[D]]+Tabela2[[#This Row],[N]]+Tabela2[[#This Row],[HM]])</f>
        <v>5</v>
      </c>
      <c r="R139" s="180">
        <f>SUM(Tabela2[[#This Row],[AO]]+Tabela2[[#This Row],[AD]]+Tabela2[[#This Row],[GWO]]+Tabela2[[#This Row],[GWD]])</f>
        <v>6</v>
      </c>
      <c r="S139" s="180">
        <f>Tabela2[[#This Row],[GWO]]+Tabela2[[#This Row],[GWD]]</f>
        <v>3</v>
      </c>
      <c r="T139" s="180">
        <f>SUM(Tabela2[[#This Row],[G]:[GWD]])</f>
        <v>11</v>
      </c>
    </row>
    <row r="140" spans="1:20">
      <c r="A140" s="183">
        <v>54</v>
      </c>
      <c r="B140" s="175" t="s">
        <v>697</v>
      </c>
      <c r="C140" s="175" t="s">
        <v>565</v>
      </c>
      <c r="D140" s="175">
        <v>3</v>
      </c>
      <c r="E140" s="175" t="s">
        <v>18</v>
      </c>
      <c r="F140" s="175">
        <v>1</v>
      </c>
      <c r="G140" s="175">
        <v>1</v>
      </c>
      <c r="H140" s="175">
        <v>2</v>
      </c>
      <c r="I140" s="175">
        <v>1</v>
      </c>
      <c r="J140" s="175">
        <v>1</v>
      </c>
      <c r="K140" s="175">
        <v>1</v>
      </c>
      <c r="L140" s="175">
        <v>3</v>
      </c>
      <c r="M140" s="175">
        <v>1</v>
      </c>
      <c r="N140" s="170"/>
      <c r="O140" s="170"/>
      <c r="P140" s="170"/>
      <c r="Q140" s="180">
        <f>SUM(Tabela2[[#This Row],[G]]+Tabela2[[#This Row],[D]]+Tabela2[[#This Row],[N]]+Tabela2[[#This Row],[HM]])</f>
        <v>5</v>
      </c>
      <c r="R140" s="180">
        <f>SUM(Tabela2[[#This Row],[AO]]+Tabela2[[#This Row],[AD]]+Tabela2[[#This Row],[GWO]]+Tabela2[[#This Row],[GWD]])</f>
        <v>6</v>
      </c>
      <c r="S140" s="180">
        <f>Tabela2[[#This Row],[GWO]]+Tabela2[[#This Row],[GWD]]</f>
        <v>4</v>
      </c>
      <c r="T140" s="180">
        <f>SUM(Tabela2[[#This Row],[G]:[GWD]])</f>
        <v>11</v>
      </c>
    </row>
    <row r="141" spans="1:20">
      <c r="A141" s="183">
        <v>114</v>
      </c>
      <c r="B141" s="172" t="s">
        <v>630</v>
      </c>
      <c r="C141" s="172" t="s">
        <v>565</v>
      </c>
      <c r="D141" s="172">
        <v>3</v>
      </c>
      <c r="E141" s="172" t="s">
        <v>250</v>
      </c>
      <c r="F141" s="172">
        <v>1</v>
      </c>
      <c r="G141" s="172">
        <v>1</v>
      </c>
      <c r="H141" s="172">
        <v>2</v>
      </c>
      <c r="I141" s="172">
        <v>2</v>
      </c>
      <c r="J141" s="172">
        <v>1</v>
      </c>
      <c r="K141" s="172">
        <v>1</v>
      </c>
      <c r="L141" s="172">
        <v>2</v>
      </c>
      <c r="M141" s="172">
        <v>1</v>
      </c>
      <c r="N141" s="170"/>
      <c r="O141" s="170"/>
      <c r="P141" s="170"/>
      <c r="Q141" s="180">
        <f>SUM(Tabela2[[#This Row],[G]]+Tabela2[[#This Row],[D]]+Tabela2[[#This Row],[N]]+Tabela2[[#This Row],[HM]])</f>
        <v>5</v>
      </c>
      <c r="R141" s="180">
        <f>SUM(Tabela2[[#This Row],[AO]]+Tabela2[[#This Row],[AD]]+Tabela2[[#This Row],[GWO]]+Tabela2[[#This Row],[GWD]])</f>
        <v>6</v>
      </c>
      <c r="S141" s="180">
        <f>Tabela2[[#This Row],[GWO]]+Tabela2[[#This Row],[GWD]]</f>
        <v>3</v>
      </c>
      <c r="T141" s="180">
        <f>SUM(Tabela2[[#This Row],[G]:[GWD]])</f>
        <v>11</v>
      </c>
    </row>
    <row r="142" spans="1:20">
      <c r="A142" s="183">
        <v>166</v>
      </c>
      <c r="B142" s="171" t="s">
        <v>577</v>
      </c>
      <c r="C142" s="171" t="s">
        <v>521</v>
      </c>
      <c r="D142" s="171">
        <v>3</v>
      </c>
      <c r="E142" s="171" t="s">
        <v>251</v>
      </c>
      <c r="F142" s="171">
        <v>1</v>
      </c>
      <c r="G142" s="171">
        <v>1</v>
      </c>
      <c r="H142" s="171">
        <v>1</v>
      </c>
      <c r="I142" s="171">
        <v>1</v>
      </c>
      <c r="J142" s="171">
        <v>2</v>
      </c>
      <c r="K142" s="171">
        <v>1</v>
      </c>
      <c r="L142" s="171">
        <v>1</v>
      </c>
      <c r="M142" s="171">
        <v>3</v>
      </c>
      <c r="N142" s="170"/>
      <c r="O142" s="170"/>
      <c r="P142" s="170"/>
      <c r="Q142" s="180">
        <f>SUM(Tabela2[[#This Row],[G]]+Tabela2[[#This Row],[D]]+Tabela2[[#This Row],[N]]+Tabela2[[#This Row],[HM]])</f>
        <v>4</v>
      </c>
      <c r="R142" s="180">
        <f>SUM(Tabela2[[#This Row],[AO]]+Tabela2[[#This Row],[AD]]+Tabela2[[#This Row],[GWO]]+Tabela2[[#This Row],[GWD]])</f>
        <v>7</v>
      </c>
      <c r="S142" s="180">
        <f>Tabela2[[#This Row],[GWO]]+Tabela2[[#This Row],[GWD]]</f>
        <v>4</v>
      </c>
      <c r="T142" s="180">
        <f>SUM(Tabela2[[#This Row],[G]:[GWD]])</f>
        <v>11</v>
      </c>
    </row>
    <row r="143" spans="1:20" ht="30">
      <c r="A143" s="183">
        <v>206</v>
      </c>
      <c r="B143" s="175" t="s">
        <v>514</v>
      </c>
      <c r="C143" s="175" t="s">
        <v>409</v>
      </c>
      <c r="D143" s="175">
        <v>4</v>
      </c>
      <c r="E143" s="175" t="s">
        <v>18</v>
      </c>
      <c r="F143" s="175">
        <v>1</v>
      </c>
      <c r="G143" s="175">
        <v>1</v>
      </c>
      <c r="H143" s="175">
        <v>4</v>
      </c>
      <c r="I143" s="175">
        <v>1</v>
      </c>
      <c r="J143" s="175">
        <v>1</v>
      </c>
      <c r="K143" s="175">
        <v>1</v>
      </c>
      <c r="L143" s="175">
        <v>1</v>
      </c>
      <c r="M143" s="175">
        <v>1</v>
      </c>
      <c r="N143" s="170"/>
      <c r="O143" s="170"/>
      <c r="P143" s="170"/>
      <c r="Q143" s="180">
        <f>SUM(Tabela2[[#This Row],[G]]+Tabela2[[#This Row],[D]]+Tabela2[[#This Row],[N]]+Tabela2[[#This Row],[HM]])</f>
        <v>7</v>
      </c>
      <c r="R143" s="180">
        <f>SUM(Tabela2[[#This Row],[AO]]+Tabela2[[#This Row],[AD]]+Tabela2[[#This Row],[GWO]]+Tabela2[[#This Row],[GWD]])</f>
        <v>4</v>
      </c>
      <c r="S143" s="180">
        <f>Tabela2[[#This Row],[GWO]]+Tabela2[[#This Row],[GWD]]</f>
        <v>2</v>
      </c>
      <c r="T143" s="180">
        <f>SUM(Tabela2[[#This Row],[G]:[GWD]])</f>
        <v>11</v>
      </c>
    </row>
    <row r="144" spans="1:20" ht="30">
      <c r="A144" s="183">
        <v>234</v>
      </c>
      <c r="B144" s="174" t="s">
        <v>246</v>
      </c>
      <c r="C144" s="174" t="s">
        <v>403</v>
      </c>
      <c r="D144" s="174">
        <v>4</v>
      </c>
      <c r="E144" s="174" t="s">
        <v>249</v>
      </c>
      <c r="F144" s="174">
        <v>1</v>
      </c>
      <c r="G144" s="174">
        <v>1</v>
      </c>
      <c r="H144" s="174">
        <v>3</v>
      </c>
      <c r="I144" s="174">
        <v>2</v>
      </c>
      <c r="J144" s="174">
        <v>1</v>
      </c>
      <c r="K144" s="174">
        <v>1</v>
      </c>
      <c r="L144" s="174">
        <v>1</v>
      </c>
      <c r="M144" s="174">
        <v>1</v>
      </c>
      <c r="N144" s="170"/>
      <c r="O144" s="170"/>
      <c r="P144" s="170"/>
      <c r="Q144" s="180">
        <f>SUM(Tabela2[[#This Row],[G]]+Tabela2[[#This Row],[D]]+Tabela2[[#This Row],[N]]+Tabela2[[#This Row],[HM]])</f>
        <v>6</v>
      </c>
      <c r="R144" s="180">
        <f>SUM(Tabela2[[#This Row],[AO]]+Tabela2[[#This Row],[AD]]+Tabela2[[#This Row],[GWO]]+Tabela2[[#This Row],[GWD]])</f>
        <v>5</v>
      </c>
      <c r="S144" s="180">
        <f>Tabela2[[#This Row],[GWO]]+Tabela2[[#This Row],[GWD]]</f>
        <v>2</v>
      </c>
      <c r="T144" s="180">
        <f>SUM(Tabela2[[#This Row],[G]:[GWD]])</f>
        <v>11</v>
      </c>
    </row>
    <row r="145" spans="1:20" ht="30">
      <c r="A145" s="183">
        <v>260</v>
      </c>
      <c r="B145" s="172" t="s">
        <v>462</v>
      </c>
      <c r="C145" s="172" t="s">
        <v>403</v>
      </c>
      <c r="D145" s="172">
        <v>4</v>
      </c>
      <c r="E145" s="172" t="s">
        <v>250</v>
      </c>
      <c r="F145" s="172">
        <v>3</v>
      </c>
      <c r="G145" s="172">
        <v>1</v>
      </c>
      <c r="H145" s="172">
        <v>2</v>
      </c>
      <c r="I145" s="172">
        <v>1</v>
      </c>
      <c r="J145" s="172">
        <v>1</v>
      </c>
      <c r="K145" s="172">
        <v>1</v>
      </c>
      <c r="L145" s="172">
        <v>1</v>
      </c>
      <c r="M145" s="172">
        <v>1</v>
      </c>
      <c r="N145" s="170"/>
      <c r="O145" s="170"/>
      <c r="P145" s="170"/>
      <c r="Q145" s="180">
        <f>SUM(Tabela2[[#This Row],[G]]+Tabela2[[#This Row],[D]]+Tabela2[[#This Row],[N]]+Tabela2[[#This Row],[HM]])</f>
        <v>7</v>
      </c>
      <c r="R145" s="180">
        <f>SUM(Tabela2[[#This Row],[AO]]+Tabela2[[#This Row],[AD]]+Tabela2[[#This Row],[GWO]]+Tabela2[[#This Row],[GWD]])</f>
        <v>4</v>
      </c>
      <c r="S145" s="180">
        <f>Tabela2[[#This Row],[GWO]]+Tabela2[[#This Row],[GWD]]</f>
        <v>2</v>
      </c>
      <c r="T145" s="180">
        <f>SUM(Tabela2[[#This Row],[G]:[GWD]])</f>
        <v>11</v>
      </c>
    </row>
    <row r="146" spans="1:20" ht="30">
      <c r="A146" s="183">
        <v>309</v>
      </c>
      <c r="B146" s="170" t="s">
        <v>404</v>
      </c>
      <c r="C146" s="170" t="s">
        <v>403</v>
      </c>
      <c r="D146" s="170">
        <v>4</v>
      </c>
      <c r="E146" s="170" t="s">
        <v>272</v>
      </c>
      <c r="F146" s="170">
        <v>1</v>
      </c>
      <c r="G146" s="170">
        <v>1</v>
      </c>
      <c r="H146" s="170">
        <v>3</v>
      </c>
      <c r="I146" s="170">
        <v>1</v>
      </c>
      <c r="J146" s="170">
        <v>1</v>
      </c>
      <c r="K146" s="170">
        <v>1</v>
      </c>
      <c r="L146" s="170">
        <v>2</v>
      </c>
      <c r="M146" s="170">
        <v>1</v>
      </c>
      <c r="N146" s="170"/>
      <c r="O146" s="170"/>
      <c r="P146" s="170"/>
      <c r="Q146" s="180">
        <f>SUM(Tabela2[[#This Row],[G]]+Tabela2[[#This Row],[D]]+Tabela2[[#This Row],[N]]+Tabela2[[#This Row],[HM]])</f>
        <v>6</v>
      </c>
      <c r="R146" s="180">
        <f>SUM(Tabela2[[#This Row],[AO]]+Tabela2[[#This Row],[AD]]+Tabela2[[#This Row],[GWO]]+Tabela2[[#This Row],[GWD]])</f>
        <v>5</v>
      </c>
      <c r="S146" s="180">
        <f>Tabela2[[#This Row],[GWO]]+Tabela2[[#This Row],[GWD]]</f>
        <v>3</v>
      </c>
      <c r="T146" s="180">
        <f>SUM(Tabela2[[#This Row],[G]:[GWD]])</f>
        <v>11</v>
      </c>
    </row>
    <row r="147" spans="1:20" ht="30">
      <c r="A147" s="183">
        <v>310</v>
      </c>
      <c r="B147" s="170" t="s">
        <v>402</v>
      </c>
      <c r="C147" s="170" t="s">
        <v>400</v>
      </c>
      <c r="D147" s="170">
        <v>4</v>
      </c>
      <c r="E147" s="170" t="s">
        <v>272</v>
      </c>
      <c r="F147" s="170">
        <v>1</v>
      </c>
      <c r="G147" s="170">
        <v>1</v>
      </c>
      <c r="H147" s="170">
        <v>1</v>
      </c>
      <c r="I147" s="170">
        <v>2</v>
      </c>
      <c r="J147" s="170">
        <v>1</v>
      </c>
      <c r="K147" s="170">
        <v>1</v>
      </c>
      <c r="L147" s="170">
        <v>3</v>
      </c>
      <c r="M147" s="170">
        <v>1</v>
      </c>
      <c r="N147" s="170"/>
      <c r="O147" s="170"/>
      <c r="P147" s="170"/>
      <c r="Q147" s="180">
        <f>SUM(Tabela2[[#This Row],[G]]+Tabela2[[#This Row],[D]]+Tabela2[[#This Row],[N]]+Tabela2[[#This Row],[HM]])</f>
        <v>4</v>
      </c>
      <c r="R147" s="180">
        <f>SUM(Tabela2[[#This Row],[AO]]+Tabela2[[#This Row],[AD]]+Tabela2[[#This Row],[GWO]]+Tabela2[[#This Row],[GWD]])</f>
        <v>7</v>
      </c>
      <c r="S147" s="180">
        <f>Tabela2[[#This Row],[GWO]]+Tabela2[[#This Row],[GWD]]</f>
        <v>4</v>
      </c>
      <c r="T147" s="180">
        <f>SUM(Tabela2[[#This Row],[G]:[GWD]])</f>
        <v>11</v>
      </c>
    </row>
    <row r="148" spans="1:20" ht="30">
      <c r="A148" s="183">
        <v>311</v>
      </c>
      <c r="B148" s="170" t="s">
        <v>401</v>
      </c>
      <c r="C148" s="170" t="s">
        <v>400</v>
      </c>
      <c r="D148" s="170">
        <v>4</v>
      </c>
      <c r="E148" s="170" t="s">
        <v>272</v>
      </c>
      <c r="F148" s="170">
        <v>1</v>
      </c>
      <c r="G148" s="170">
        <v>1</v>
      </c>
      <c r="H148" s="170">
        <v>1</v>
      </c>
      <c r="I148" s="170">
        <v>2</v>
      </c>
      <c r="J148" s="170">
        <v>1</v>
      </c>
      <c r="K148" s="170">
        <v>1</v>
      </c>
      <c r="L148" s="170">
        <v>3</v>
      </c>
      <c r="M148" s="170">
        <v>1</v>
      </c>
      <c r="N148" s="170"/>
      <c r="O148" s="170"/>
      <c r="P148" s="170"/>
      <c r="Q148" s="180">
        <f>SUM(Tabela2[[#This Row],[G]]+Tabela2[[#This Row],[D]]+Tabela2[[#This Row],[N]]+Tabela2[[#This Row],[HM]])</f>
        <v>4</v>
      </c>
      <c r="R148" s="180">
        <f>SUM(Tabela2[[#This Row],[AO]]+Tabela2[[#This Row],[AD]]+Tabela2[[#This Row],[GWO]]+Tabela2[[#This Row],[GWD]])</f>
        <v>7</v>
      </c>
      <c r="S148" s="180">
        <f>Tabela2[[#This Row],[GWO]]+Tabela2[[#This Row],[GWD]]</f>
        <v>4</v>
      </c>
      <c r="T148" s="180">
        <f>SUM(Tabela2[[#This Row],[G]:[GWD]])</f>
        <v>11</v>
      </c>
    </row>
    <row r="149" spans="1:20">
      <c r="A149" s="183">
        <v>316</v>
      </c>
      <c r="B149" s="170" t="s">
        <v>391</v>
      </c>
      <c r="C149" s="170" t="s">
        <v>215</v>
      </c>
      <c r="D149" s="170">
        <v>4</v>
      </c>
      <c r="E149" s="170" t="s">
        <v>272</v>
      </c>
      <c r="F149" s="170">
        <v>1</v>
      </c>
      <c r="G149" s="170">
        <v>1</v>
      </c>
      <c r="H149" s="170">
        <v>1</v>
      </c>
      <c r="I149" s="170">
        <v>2</v>
      </c>
      <c r="J149" s="170">
        <v>1</v>
      </c>
      <c r="K149" s="170">
        <v>2</v>
      </c>
      <c r="L149" s="170">
        <v>2</v>
      </c>
      <c r="M149" s="170">
        <v>1</v>
      </c>
      <c r="N149" s="170"/>
      <c r="O149" s="170"/>
      <c r="P149" s="170"/>
      <c r="Q149" s="180">
        <f>SUM(Tabela2[[#This Row],[G]]+Tabela2[[#This Row],[D]]+Tabela2[[#This Row],[N]]+Tabela2[[#This Row],[HM]])</f>
        <v>5</v>
      </c>
      <c r="R149" s="180">
        <f>SUM(Tabela2[[#This Row],[AO]]+Tabela2[[#This Row],[AD]]+Tabela2[[#This Row],[GWO]]+Tabela2[[#This Row],[GWD]])</f>
        <v>6</v>
      </c>
      <c r="S149" s="180">
        <f>Tabela2[[#This Row],[GWO]]+Tabela2[[#This Row],[GWD]]</f>
        <v>3</v>
      </c>
      <c r="T149" s="180">
        <f>SUM(Tabela2[[#This Row],[G]:[GWD]])</f>
        <v>11</v>
      </c>
    </row>
    <row r="150" spans="1:20" ht="30">
      <c r="A150" s="183">
        <v>217</v>
      </c>
      <c r="B150" s="175" t="s">
        <v>503</v>
      </c>
      <c r="C150" s="175" t="s">
        <v>386</v>
      </c>
      <c r="D150" s="175">
        <v>4</v>
      </c>
      <c r="E150" s="175" t="s">
        <v>18</v>
      </c>
      <c r="F150" s="175">
        <v>1</v>
      </c>
      <c r="G150" s="175">
        <v>1</v>
      </c>
      <c r="H150" s="175">
        <v>1</v>
      </c>
      <c r="I150" s="175">
        <v>2</v>
      </c>
      <c r="J150" s="175">
        <v>1</v>
      </c>
      <c r="K150" s="175">
        <v>1</v>
      </c>
      <c r="L150" s="175">
        <v>3</v>
      </c>
      <c r="M150" s="175">
        <v>1</v>
      </c>
      <c r="N150" s="170"/>
      <c r="O150" s="170"/>
      <c r="P150" s="170"/>
      <c r="Q150" s="180">
        <f>SUM(Tabela2[[#This Row],[G]]+Tabela2[[#This Row],[D]]+Tabela2[[#This Row],[N]]+Tabela2[[#This Row],[HM]])</f>
        <v>4</v>
      </c>
      <c r="R150" s="180">
        <f>SUM(Tabela2[[#This Row],[AO]]+Tabela2[[#This Row],[AD]]+Tabela2[[#This Row],[GWO]]+Tabela2[[#This Row],[GWD]])</f>
        <v>7</v>
      </c>
      <c r="S150" s="180">
        <f>Tabela2[[#This Row],[GWO]]+Tabela2[[#This Row],[GWD]]</f>
        <v>4</v>
      </c>
      <c r="T150" s="180">
        <f>SUM(Tabela2[[#This Row],[G]:[GWD]])</f>
        <v>11</v>
      </c>
    </row>
    <row r="151" spans="1:20" ht="30">
      <c r="A151" s="183">
        <v>268</v>
      </c>
      <c r="B151" s="172" t="s">
        <v>455</v>
      </c>
      <c r="C151" s="172" t="s">
        <v>386</v>
      </c>
      <c r="D151" s="172">
        <v>4</v>
      </c>
      <c r="E151" s="172" t="s">
        <v>250</v>
      </c>
      <c r="F151" s="172">
        <v>2</v>
      </c>
      <c r="G151" s="172">
        <v>1</v>
      </c>
      <c r="H151" s="172">
        <v>1</v>
      </c>
      <c r="I151" s="172">
        <v>1</v>
      </c>
      <c r="J151" s="172">
        <v>1</v>
      </c>
      <c r="K151" s="172">
        <v>1</v>
      </c>
      <c r="L151" s="172">
        <v>3</v>
      </c>
      <c r="M151" s="172">
        <v>1</v>
      </c>
      <c r="N151" s="170"/>
      <c r="O151" s="170"/>
      <c r="P151" s="170"/>
      <c r="Q151" s="180">
        <f>SUM(Tabela2[[#This Row],[G]]+Tabela2[[#This Row],[D]]+Tabela2[[#This Row],[N]]+Tabela2[[#This Row],[HM]])</f>
        <v>5</v>
      </c>
      <c r="R151" s="180">
        <f>SUM(Tabela2[[#This Row],[AO]]+Tabela2[[#This Row],[AD]]+Tabela2[[#This Row],[GWO]]+Tabela2[[#This Row],[GWD]])</f>
        <v>6</v>
      </c>
      <c r="S151" s="180">
        <f>Tabela2[[#This Row],[GWO]]+Tabela2[[#This Row],[GWD]]</f>
        <v>4</v>
      </c>
      <c r="T151" s="180">
        <f>SUM(Tabela2[[#This Row],[G]:[GWD]])</f>
        <v>11</v>
      </c>
    </row>
    <row r="152" spans="1:20">
      <c r="A152" s="183">
        <v>219</v>
      </c>
      <c r="B152" s="175" t="s">
        <v>501</v>
      </c>
      <c r="C152" s="175" t="s">
        <v>382</v>
      </c>
      <c r="D152" s="175">
        <v>4</v>
      </c>
      <c r="E152" s="175" t="s">
        <v>18</v>
      </c>
      <c r="F152" s="175">
        <v>1</v>
      </c>
      <c r="G152" s="175">
        <v>1</v>
      </c>
      <c r="H152" s="175">
        <v>1</v>
      </c>
      <c r="I152" s="175">
        <v>2</v>
      </c>
      <c r="J152" s="175">
        <v>1</v>
      </c>
      <c r="K152" s="175">
        <v>1</v>
      </c>
      <c r="L152" s="175">
        <v>3</v>
      </c>
      <c r="M152" s="175">
        <v>1</v>
      </c>
      <c r="N152" s="170"/>
      <c r="O152" s="170"/>
      <c r="P152" s="170"/>
      <c r="Q152" s="180">
        <f>SUM(Tabela2[[#This Row],[G]]+Tabela2[[#This Row],[D]]+Tabela2[[#This Row],[N]]+Tabela2[[#This Row],[HM]])</f>
        <v>4</v>
      </c>
      <c r="R152" s="180">
        <f>SUM(Tabela2[[#This Row],[AO]]+Tabela2[[#This Row],[AD]]+Tabela2[[#This Row],[GWO]]+Tabela2[[#This Row],[GWD]])</f>
        <v>7</v>
      </c>
      <c r="S152" s="180">
        <f>Tabela2[[#This Row],[GWO]]+Tabela2[[#This Row],[GWD]]</f>
        <v>4</v>
      </c>
      <c r="T152" s="180">
        <f>SUM(Tabela2[[#This Row],[G]:[GWD]])</f>
        <v>11</v>
      </c>
    </row>
    <row r="153" spans="1:20">
      <c r="A153" s="183">
        <v>224</v>
      </c>
      <c r="B153" s="175" t="s">
        <v>497</v>
      </c>
      <c r="C153" s="175" t="s">
        <v>226</v>
      </c>
      <c r="D153" s="175">
        <v>4</v>
      </c>
      <c r="E153" s="175" t="s">
        <v>18</v>
      </c>
      <c r="F153" s="175">
        <v>1</v>
      </c>
      <c r="G153" s="175">
        <v>3</v>
      </c>
      <c r="H153" s="175">
        <v>1</v>
      </c>
      <c r="I153" s="175">
        <v>1</v>
      </c>
      <c r="J153" s="175">
        <v>1</v>
      </c>
      <c r="K153" s="175">
        <v>2</v>
      </c>
      <c r="L153" s="175">
        <v>1</v>
      </c>
      <c r="M153" s="175">
        <v>1</v>
      </c>
      <c r="N153" s="170"/>
      <c r="O153" s="170"/>
      <c r="P153" s="170"/>
      <c r="Q153" s="180">
        <f>SUM(Tabela2[[#This Row],[G]]+Tabela2[[#This Row],[D]]+Tabela2[[#This Row],[N]]+Tabela2[[#This Row],[HM]])</f>
        <v>7</v>
      </c>
      <c r="R153" s="180">
        <f>SUM(Tabela2[[#This Row],[AO]]+Tabela2[[#This Row],[AD]]+Tabela2[[#This Row],[GWO]]+Tabela2[[#This Row],[GWD]])</f>
        <v>4</v>
      </c>
      <c r="S153" s="180">
        <f>Tabela2[[#This Row],[GWO]]+Tabela2[[#This Row],[GWD]]</f>
        <v>2</v>
      </c>
      <c r="T153" s="180">
        <f>SUM(Tabela2[[#This Row],[G]:[GWD]])</f>
        <v>11</v>
      </c>
    </row>
    <row r="154" spans="1:20">
      <c r="A154" s="183">
        <v>10</v>
      </c>
      <c r="B154" s="174" t="s">
        <v>752</v>
      </c>
      <c r="C154" s="174" t="s">
        <v>714</v>
      </c>
      <c r="D154" s="174">
        <v>2</v>
      </c>
      <c r="E154" s="174" t="s">
        <v>249</v>
      </c>
      <c r="F154" s="174">
        <v>2</v>
      </c>
      <c r="G154" s="174">
        <v>1</v>
      </c>
      <c r="H154" s="174">
        <v>2</v>
      </c>
      <c r="I154" s="174">
        <v>1</v>
      </c>
      <c r="J154" s="174">
        <v>1</v>
      </c>
      <c r="K154" s="174">
        <v>1</v>
      </c>
      <c r="L154" s="174">
        <v>1</v>
      </c>
      <c r="M154" s="174">
        <v>1</v>
      </c>
      <c r="N154" s="170"/>
      <c r="O154" s="170"/>
      <c r="P154" s="170"/>
      <c r="Q154" s="180">
        <f>SUM(Tabela2[[#This Row],[G]]+Tabela2[[#This Row],[D]]+Tabela2[[#This Row],[N]]+Tabela2[[#This Row],[HM]])</f>
        <v>6</v>
      </c>
      <c r="R154" s="180">
        <f>SUM(Tabela2[[#This Row],[AO]]+Tabela2[[#This Row],[AD]]+Tabela2[[#This Row],[GWO]]+Tabela2[[#This Row],[GWD]])</f>
        <v>4</v>
      </c>
      <c r="S154" s="180">
        <f>Tabela2[[#This Row],[GWO]]+Tabela2[[#This Row],[GWD]]</f>
        <v>2</v>
      </c>
      <c r="T154" s="180">
        <f>SUM(Tabela2[[#This Row],[G]:[GWD]])</f>
        <v>10</v>
      </c>
    </row>
    <row r="155" spans="1:20">
      <c r="A155" s="183">
        <v>40</v>
      </c>
      <c r="B155" s="171" t="s">
        <v>719</v>
      </c>
      <c r="C155" s="171" t="s">
        <v>710</v>
      </c>
      <c r="D155" s="171">
        <v>2</v>
      </c>
      <c r="E155" s="171" t="s">
        <v>251</v>
      </c>
      <c r="F155" s="171">
        <v>1</v>
      </c>
      <c r="G155" s="171">
        <v>1</v>
      </c>
      <c r="H155" s="171">
        <v>1</v>
      </c>
      <c r="I155" s="171">
        <v>1</v>
      </c>
      <c r="J155" s="171">
        <v>1</v>
      </c>
      <c r="K155" s="171">
        <v>3</v>
      </c>
      <c r="L155" s="171">
        <v>1</v>
      </c>
      <c r="M155" s="171">
        <v>1</v>
      </c>
      <c r="N155" s="170"/>
      <c r="O155" s="170"/>
      <c r="P155" s="170"/>
      <c r="Q155" s="180">
        <f>SUM(Tabela2[[#This Row],[G]]+Tabela2[[#This Row],[D]]+Tabela2[[#This Row],[N]]+Tabela2[[#This Row],[HM]])</f>
        <v>6</v>
      </c>
      <c r="R155" s="180">
        <f>SUM(Tabela2[[#This Row],[AO]]+Tabela2[[#This Row],[AD]]+Tabela2[[#This Row],[GWO]]+Tabela2[[#This Row],[GWD]])</f>
        <v>4</v>
      </c>
      <c r="S155" s="180">
        <f>Tabela2[[#This Row],[GWO]]+Tabela2[[#This Row],[GWD]]</f>
        <v>2</v>
      </c>
      <c r="T155" s="180">
        <f>SUM(Tabela2[[#This Row],[G]:[GWD]])</f>
        <v>10</v>
      </c>
    </row>
    <row r="156" spans="1:20">
      <c r="A156" s="183">
        <v>23</v>
      </c>
      <c r="B156" s="172" t="s">
        <v>740</v>
      </c>
      <c r="C156" s="172" t="s">
        <v>706</v>
      </c>
      <c r="D156" s="172">
        <v>2</v>
      </c>
      <c r="E156" s="172" t="s">
        <v>250</v>
      </c>
      <c r="F156" s="172">
        <v>2</v>
      </c>
      <c r="G156" s="172">
        <v>1</v>
      </c>
      <c r="H156" s="172">
        <v>2</v>
      </c>
      <c r="I156" s="172">
        <v>1</v>
      </c>
      <c r="J156" s="172">
        <v>1</v>
      </c>
      <c r="K156" s="172">
        <v>1</v>
      </c>
      <c r="L156" s="172">
        <v>1</v>
      </c>
      <c r="M156" s="172">
        <v>1</v>
      </c>
      <c r="N156" s="170"/>
      <c r="O156" s="194" t="s">
        <v>204</v>
      </c>
      <c r="P156" s="194"/>
      <c r="Q156" s="180">
        <f>SUM(Tabela2[[#This Row],[G]]+Tabela2[[#This Row],[D]]+Tabela2[[#This Row],[N]]+Tabela2[[#This Row],[HM]])</f>
        <v>6</v>
      </c>
      <c r="R156" s="180">
        <f>SUM(Tabela2[[#This Row],[AO]]+Tabela2[[#This Row],[AD]]+Tabela2[[#This Row],[GWO]]+Tabela2[[#This Row],[GWD]])</f>
        <v>4</v>
      </c>
      <c r="S156" s="180">
        <f>Tabela2[[#This Row],[GWO]]+Tabela2[[#This Row],[GWD]]</f>
        <v>2</v>
      </c>
      <c r="T156" s="180">
        <f>SUM(Tabela2[[#This Row],[G]:[GWD]])</f>
        <v>10</v>
      </c>
    </row>
    <row r="157" spans="1:20">
      <c r="A157" s="183">
        <v>47</v>
      </c>
      <c r="B157" s="170" t="s">
        <v>707</v>
      </c>
      <c r="C157" s="170" t="s">
        <v>706</v>
      </c>
      <c r="D157" s="170">
        <v>2</v>
      </c>
      <c r="E157" s="170" t="s">
        <v>272</v>
      </c>
      <c r="F157" s="170">
        <v>1</v>
      </c>
      <c r="G157" s="170">
        <v>1</v>
      </c>
      <c r="H157" s="170">
        <v>3</v>
      </c>
      <c r="I157" s="170">
        <v>1</v>
      </c>
      <c r="J157" s="170">
        <v>1</v>
      </c>
      <c r="K157" s="170">
        <v>1</v>
      </c>
      <c r="L157" s="170">
        <v>1</v>
      </c>
      <c r="M157" s="170">
        <v>1</v>
      </c>
      <c r="N157" s="170"/>
      <c r="O157" s="170"/>
      <c r="P157" s="170"/>
      <c r="Q157" s="180">
        <f>SUM(Tabela2[[#This Row],[G]]+Tabela2[[#This Row],[D]]+Tabela2[[#This Row],[N]]+Tabela2[[#This Row],[HM]])</f>
        <v>6</v>
      </c>
      <c r="R157" s="180">
        <f>SUM(Tabela2[[#This Row],[AO]]+Tabela2[[#This Row],[AD]]+Tabela2[[#This Row],[GWO]]+Tabela2[[#This Row],[GWD]])</f>
        <v>4</v>
      </c>
      <c r="S157" s="180">
        <f>Tabela2[[#This Row],[GWO]]+Tabela2[[#This Row],[GWD]]</f>
        <v>2</v>
      </c>
      <c r="T157" s="180">
        <f>SUM(Tabela2[[#This Row],[G]:[GWD]])</f>
        <v>10</v>
      </c>
    </row>
    <row r="158" spans="1:20">
      <c r="A158" s="183">
        <v>135</v>
      </c>
      <c r="B158" s="171" t="s">
        <v>610</v>
      </c>
      <c r="C158" s="171" t="s">
        <v>574</v>
      </c>
      <c r="D158" s="171">
        <v>3</v>
      </c>
      <c r="E158" s="171" t="s">
        <v>251</v>
      </c>
      <c r="F158" s="171">
        <v>1</v>
      </c>
      <c r="G158" s="171">
        <v>1</v>
      </c>
      <c r="H158" s="171">
        <v>1</v>
      </c>
      <c r="I158" s="171">
        <v>2</v>
      </c>
      <c r="J158" s="171">
        <v>1</v>
      </c>
      <c r="K158" s="171">
        <v>1</v>
      </c>
      <c r="L158" s="171">
        <v>2</v>
      </c>
      <c r="M158" s="171">
        <v>1</v>
      </c>
      <c r="N158" s="170"/>
      <c r="O158" s="170"/>
      <c r="P158" s="170"/>
      <c r="Q158" s="180">
        <f>SUM(Tabela2[[#This Row],[G]]+Tabela2[[#This Row],[D]]+Tabela2[[#This Row],[N]]+Tabela2[[#This Row],[HM]])</f>
        <v>4</v>
      </c>
      <c r="R158" s="180">
        <f>SUM(Tabela2[[#This Row],[AO]]+Tabela2[[#This Row],[AD]]+Tabela2[[#This Row],[GWO]]+Tabela2[[#This Row],[GWD]])</f>
        <v>6</v>
      </c>
      <c r="S158" s="180">
        <f>Tabela2[[#This Row],[GWO]]+Tabela2[[#This Row],[GWD]]</f>
        <v>3</v>
      </c>
      <c r="T158" s="180">
        <f>SUM(Tabela2[[#This Row],[G]:[GWD]])</f>
        <v>10</v>
      </c>
    </row>
    <row r="159" spans="1:20" ht="30">
      <c r="A159" s="183">
        <v>85</v>
      </c>
      <c r="B159" s="174" t="s">
        <v>659</v>
      </c>
      <c r="C159" s="174" t="s">
        <v>570</v>
      </c>
      <c r="D159" s="174">
        <v>3</v>
      </c>
      <c r="E159" s="174" t="s">
        <v>249</v>
      </c>
      <c r="F159" s="174">
        <v>1</v>
      </c>
      <c r="G159" s="174">
        <v>1</v>
      </c>
      <c r="H159" s="174">
        <v>1</v>
      </c>
      <c r="I159" s="174">
        <v>2</v>
      </c>
      <c r="J159" s="174">
        <v>1</v>
      </c>
      <c r="K159" s="174">
        <v>1</v>
      </c>
      <c r="L159" s="174">
        <v>2</v>
      </c>
      <c r="M159" s="174">
        <v>1</v>
      </c>
      <c r="N159" s="170"/>
      <c r="O159" s="170"/>
      <c r="P159" s="170"/>
      <c r="Q159" s="180">
        <f>SUM(Tabela2[[#This Row],[G]]+Tabela2[[#This Row],[D]]+Tabela2[[#This Row],[N]]+Tabela2[[#This Row],[HM]])</f>
        <v>4</v>
      </c>
      <c r="R159" s="180">
        <f>SUM(Tabela2[[#This Row],[AO]]+Tabela2[[#This Row],[AD]]+Tabela2[[#This Row],[GWO]]+Tabela2[[#This Row],[GWD]])</f>
        <v>6</v>
      </c>
      <c r="S159" s="180">
        <f>Tabela2[[#This Row],[GWO]]+Tabela2[[#This Row],[GWD]]</f>
        <v>3</v>
      </c>
      <c r="T159" s="180">
        <f>SUM(Tabela2[[#This Row],[G]:[GWD]])</f>
        <v>10</v>
      </c>
    </row>
    <row r="160" spans="1:20" ht="30">
      <c r="A160" s="183">
        <v>83</v>
      </c>
      <c r="B160" s="174" t="s">
        <v>661</v>
      </c>
      <c r="C160" s="174" t="s">
        <v>566</v>
      </c>
      <c r="D160" s="174">
        <v>3</v>
      </c>
      <c r="E160" s="174" t="s">
        <v>249</v>
      </c>
      <c r="F160" s="174">
        <v>1</v>
      </c>
      <c r="G160" s="174">
        <v>3</v>
      </c>
      <c r="H160" s="174">
        <v>1</v>
      </c>
      <c r="I160" s="174">
        <v>1</v>
      </c>
      <c r="J160" s="174">
        <v>1</v>
      </c>
      <c r="K160" s="174">
        <v>1</v>
      </c>
      <c r="L160" s="174">
        <v>1</v>
      </c>
      <c r="M160" s="174">
        <v>1</v>
      </c>
      <c r="N160" s="170"/>
      <c r="O160" s="170"/>
      <c r="P160" s="170"/>
      <c r="Q160" s="180">
        <f>SUM(Tabela2[[#This Row],[G]]+Tabela2[[#This Row],[D]]+Tabela2[[#This Row],[N]]+Tabela2[[#This Row],[HM]])</f>
        <v>6</v>
      </c>
      <c r="R160" s="180">
        <f>SUM(Tabela2[[#This Row],[AO]]+Tabela2[[#This Row],[AD]]+Tabela2[[#This Row],[GWO]]+Tabela2[[#This Row],[GWD]])</f>
        <v>4</v>
      </c>
      <c r="S160" s="180">
        <f>Tabela2[[#This Row],[GWO]]+Tabela2[[#This Row],[GWD]]</f>
        <v>2</v>
      </c>
      <c r="T160" s="180">
        <f>SUM(Tabela2[[#This Row],[G]:[GWD]])</f>
        <v>10</v>
      </c>
    </row>
    <row r="161" spans="1:20" ht="30">
      <c r="A161" s="183">
        <v>86</v>
      </c>
      <c r="B161" s="174" t="s">
        <v>658</v>
      </c>
      <c r="C161" s="174" t="s">
        <v>412</v>
      </c>
      <c r="D161" s="174">
        <v>3</v>
      </c>
      <c r="E161" s="174" t="s">
        <v>249</v>
      </c>
      <c r="F161" s="174">
        <v>1</v>
      </c>
      <c r="G161" s="174">
        <v>1</v>
      </c>
      <c r="H161" s="174">
        <v>1</v>
      </c>
      <c r="I161" s="174">
        <v>1</v>
      </c>
      <c r="J161" s="174">
        <v>3</v>
      </c>
      <c r="K161" s="174">
        <v>1</v>
      </c>
      <c r="L161" s="174">
        <v>1</v>
      </c>
      <c r="M161" s="174">
        <v>1</v>
      </c>
      <c r="N161" s="170"/>
      <c r="O161" s="170"/>
      <c r="P161" s="170"/>
      <c r="Q161" s="180">
        <f>SUM(Tabela2[[#This Row],[G]]+Tabela2[[#This Row],[D]]+Tabela2[[#This Row],[N]]+Tabela2[[#This Row],[HM]])</f>
        <v>4</v>
      </c>
      <c r="R161" s="180">
        <f>SUM(Tabela2[[#This Row],[AO]]+Tabela2[[#This Row],[AD]]+Tabela2[[#This Row],[GWO]]+Tabela2[[#This Row],[GWD]])</f>
        <v>6</v>
      </c>
      <c r="S161" s="180">
        <f>Tabela2[[#This Row],[GWO]]+Tabela2[[#This Row],[GWD]]</f>
        <v>2</v>
      </c>
      <c r="T161" s="180">
        <f>SUM(Tabela2[[#This Row],[G]:[GWD]])</f>
        <v>10</v>
      </c>
    </row>
    <row r="162" spans="1:20" ht="30">
      <c r="A162" s="183">
        <v>144</v>
      </c>
      <c r="B162" s="171" t="s">
        <v>601</v>
      </c>
      <c r="C162" s="171" t="s">
        <v>412</v>
      </c>
      <c r="D162" s="171">
        <v>3</v>
      </c>
      <c r="E162" s="171" t="s">
        <v>251</v>
      </c>
      <c r="F162" s="171">
        <v>1</v>
      </c>
      <c r="G162" s="171">
        <v>1</v>
      </c>
      <c r="H162" s="171">
        <v>1</v>
      </c>
      <c r="I162" s="171">
        <v>1</v>
      </c>
      <c r="J162" s="171">
        <v>1</v>
      </c>
      <c r="K162" s="171">
        <v>2</v>
      </c>
      <c r="L162" s="171">
        <v>2</v>
      </c>
      <c r="M162" s="171">
        <v>1</v>
      </c>
      <c r="N162" s="170"/>
      <c r="O162" s="170"/>
      <c r="P162" s="170"/>
      <c r="Q162" s="180">
        <f>SUM(Tabela2[[#This Row],[G]]+Tabela2[[#This Row],[D]]+Tabela2[[#This Row],[N]]+Tabela2[[#This Row],[HM]])</f>
        <v>5</v>
      </c>
      <c r="R162" s="180">
        <f>SUM(Tabela2[[#This Row],[AO]]+Tabela2[[#This Row],[AD]]+Tabela2[[#This Row],[GWO]]+Tabela2[[#This Row],[GWD]])</f>
        <v>5</v>
      </c>
      <c r="S162" s="180">
        <f>Tabela2[[#This Row],[GWO]]+Tabela2[[#This Row],[GWD]]</f>
        <v>3</v>
      </c>
      <c r="T162" s="180">
        <f>SUM(Tabela2[[#This Row],[G]:[GWD]])</f>
        <v>10</v>
      </c>
    </row>
    <row r="163" spans="1:20">
      <c r="A163" s="183">
        <v>177</v>
      </c>
      <c r="B163" s="170" t="s">
        <v>560</v>
      </c>
      <c r="C163" s="170" t="s">
        <v>559</v>
      </c>
      <c r="D163" s="170">
        <v>3</v>
      </c>
      <c r="E163" s="170" t="s">
        <v>272</v>
      </c>
      <c r="F163" s="170">
        <v>1</v>
      </c>
      <c r="G163" s="170">
        <v>1</v>
      </c>
      <c r="H163" s="170">
        <v>1</v>
      </c>
      <c r="I163" s="170">
        <v>1</v>
      </c>
      <c r="J163" s="170">
        <v>1</v>
      </c>
      <c r="K163" s="170">
        <v>3</v>
      </c>
      <c r="L163" s="170">
        <v>1</v>
      </c>
      <c r="M163" s="170">
        <v>1</v>
      </c>
      <c r="N163" s="170"/>
      <c r="O163" s="170"/>
      <c r="P163" s="170"/>
      <c r="Q163" s="180">
        <f>SUM(Tabela2[[#This Row],[G]]+Tabela2[[#This Row],[D]]+Tabela2[[#This Row],[N]]+Tabela2[[#This Row],[HM]])</f>
        <v>6</v>
      </c>
      <c r="R163" s="180">
        <f>SUM(Tabela2[[#This Row],[AO]]+Tabela2[[#This Row],[AD]]+Tabela2[[#This Row],[GWO]]+Tabela2[[#This Row],[GWD]])</f>
        <v>4</v>
      </c>
      <c r="S163" s="180">
        <f>Tabela2[[#This Row],[GWO]]+Tabela2[[#This Row],[GWD]]</f>
        <v>2</v>
      </c>
      <c r="T163" s="180">
        <f>SUM(Tabela2[[#This Row],[G]:[GWD]])</f>
        <v>10</v>
      </c>
    </row>
    <row r="164" spans="1:20" ht="30">
      <c r="A164" s="183">
        <v>59</v>
      </c>
      <c r="B164" s="175" t="s">
        <v>689</v>
      </c>
      <c r="C164" s="175" t="s">
        <v>688</v>
      </c>
      <c r="D164" s="175">
        <v>3</v>
      </c>
      <c r="E164" s="175" t="s">
        <v>18</v>
      </c>
      <c r="F164" s="175">
        <v>1</v>
      </c>
      <c r="G164" s="175">
        <v>1</v>
      </c>
      <c r="H164" s="175">
        <v>1</v>
      </c>
      <c r="I164" s="175">
        <v>2</v>
      </c>
      <c r="J164" s="175">
        <v>1</v>
      </c>
      <c r="K164" s="175">
        <v>1</v>
      </c>
      <c r="L164" s="175">
        <v>2</v>
      </c>
      <c r="M164" s="175">
        <v>1</v>
      </c>
      <c r="N164" s="170"/>
      <c r="O164" s="170" t="s">
        <v>204</v>
      </c>
      <c r="P164" s="170"/>
      <c r="Q164" s="180">
        <f>SUM(Tabela2[[#This Row],[G]]+Tabela2[[#This Row],[D]]+Tabela2[[#This Row],[N]]+Tabela2[[#This Row],[HM]])</f>
        <v>4</v>
      </c>
      <c r="R164" s="180">
        <f>SUM(Tabela2[[#This Row],[AO]]+Tabela2[[#This Row],[AD]]+Tabela2[[#This Row],[GWO]]+Tabela2[[#This Row],[GWD]])</f>
        <v>6</v>
      </c>
      <c r="S164" s="180">
        <f>Tabela2[[#This Row],[GWO]]+Tabela2[[#This Row],[GWD]]</f>
        <v>3</v>
      </c>
      <c r="T164" s="180">
        <f>SUM(Tabela2[[#This Row],[G]:[GWD]])</f>
        <v>10</v>
      </c>
    </row>
    <row r="165" spans="1:20">
      <c r="A165" s="183">
        <v>148</v>
      </c>
      <c r="B165" s="171" t="s">
        <v>597</v>
      </c>
      <c r="C165" s="171" t="s">
        <v>548</v>
      </c>
      <c r="D165" s="171">
        <v>3</v>
      </c>
      <c r="E165" s="171" t="s">
        <v>251</v>
      </c>
      <c r="F165" s="171">
        <v>1</v>
      </c>
      <c r="G165" s="171">
        <v>1</v>
      </c>
      <c r="H165" s="171">
        <v>3</v>
      </c>
      <c r="I165" s="171">
        <v>1</v>
      </c>
      <c r="J165" s="171">
        <v>1</v>
      </c>
      <c r="K165" s="171">
        <v>1</v>
      </c>
      <c r="L165" s="171">
        <v>1</v>
      </c>
      <c r="M165" s="171">
        <v>1</v>
      </c>
      <c r="N165" s="170"/>
      <c r="O165" s="170"/>
      <c r="P165" s="170"/>
      <c r="Q165" s="180">
        <f>SUM(Tabela2[[#This Row],[G]]+Tabela2[[#This Row],[D]]+Tabela2[[#This Row],[N]]+Tabela2[[#This Row],[HM]])</f>
        <v>6</v>
      </c>
      <c r="R165" s="180">
        <f>SUM(Tabela2[[#This Row],[AO]]+Tabela2[[#This Row],[AD]]+Tabela2[[#This Row],[GWO]]+Tabela2[[#This Row],[GWD]])</f>
        <v>4</v>
      </c>
      <c r="S165" s="180">
        <f>Tabela2[[#This Row],[GWO]]+Tabela2[[#This Row],[GWD]]</f>
        <v>2</v>
      </c>
      <c r="T165" s="180">
        <f>SUM(Tabela2[[#This Row],[G]:[GWD]])</f>
        <v>10</v>
      </c>
    </row>
    <row r="166" spans="1:20">
      <c r="A166" s="183">
        <v>183</v>
      </c>
      <c r="B166" s="170" t="s">
        <v>549</v>
      </c>
      <c r="C166" s="170" t="s">
        <v>548</v>
      </c>
      <c r="D166" s="170">
        <v>3</v>
      </c>
      <c r="E166" s="170" t="s">
        <v>272</v>
      </c>
      <c r="F166" s="170">
        <v>1</v>
      </c>
      <c r="G166" s="170">
        <v>1</v>
      </c>
      <c r="H166" s="170">
        <v>3</v>
      </c>
      <c r="I166" s="170">
        <v>1</v>
      </c>
      <c r="J166" s="170">
        <v>1</v>
      </c>
      <c r="K166" s="170">
        <v>1</v>
      </c>
      <c r="L166" s="170">
        <v>1</v>
      </c>
      <c r="M166" s="170">
        <v>1</v>
      </c>
      <c r="N166" s="170"/>
      <c r="O166" s="170"/>
      <c r="P166" s="170"/>
      <c r="Q166" s="180">
        <f>SUM(Tabela2[[#This Row],[G]]+Tabela2[[#This Row],[D]]+Tabela2[[#This Row],[N]]+Tabela2[[#This Row],[HM]])</f>
        <v>6</v>
      </c>
      <c r="R166" s="180">
        <f>SUM(Tabela2[[#This Row],[AO]]+Tabela2[[#This Row],[AD]]+Tabela2[[#This Row],[GWO]]+Tabela2[[#This Row],[GWD]])</f>
        <v>4</v>
      </c>
      <c r="S166" s="180">
        <f>Tabela2[[#This Row],[GWO]]+Tabela2[[#This Row],[GWD]]</f>
        <v>2</v>
      </c>
      <c r="T166" s="180">
        <f>SUM(Tabela2[[#This Row],[G]:[GWD]])</f>
        <v>10</v>
      </c>
    </row>
    <row r="167" spans="1:20">
      <c r="A167" s="183">
        <v>60</v>
      </c>
      <c r="B167" s="175" t="s">
        <v>687</v>
      </c>
      <c r="C167" s="175" t="s">
        <v>546</v>
      </c>
      <c r="D167" s="175">
        <v>3</v>
      </c>
      <c r="E167" s="175" t="s">
        <v>18</v>
      </c>
      <c r="F167" s="175">
        <v>1</v>
      </c>
      <c r="G167" s="175">
        <v>1</v>
      </c>
      <c r="H167" s="175">
        <v>3</v>
      </c>
      <c r="I167" s="175">
        <v>1</v>
      </c>
      <c r="J167" s="175">
        <v>1</v>
      </c>
      <c r="K167" s="175">
        <v>1</v>
      </c>
      <c r="L167" s="175">
        <v>1</v>
      </c>
      <c r="M167" s="175">
        <v>1</v>
      </c>
      <c r="N167" s="170"/>
      <c r="O167" s="170"/>
      <c r="P167" s="170"/>
      <c r="Q167" s="180">
        <f>SUM(Tabela2[[#This Row],[G]]+Tabela2[[#This Row],[D]]+Tabela2[[#This Row],[N]]+Tabela2[[#This Row],[HM]])</f>
        <v>6</v>
      </c>
      <c r="R167" s="180">
        <f>SUM(Tabela2[[#This Row],[AO]]+Tabela2[[#This Row],[AD]]+Tabela2[[#This Row],[GWO]]+Tabela2[[#This Row],[GWD]])</f>
        <v>4</v>
      </c>
      <c r="S167" s="180">
        <f>Tabela2[[#This Row],[GWO]]+Tabela2[[#This Row],[GWD]]</f>
        <v>2</v>
      </c>
      <c r="T167" s="180">
        <f>SUM(Tabela2[[#This Row],[G]:[GWD]])</f>
        <v>10</v>
      </c>
    </row>
    <row r="168" spans="1:20" ht="30">
      <c r="A168" s="183">
        <v>93</v>
      </c>
      <c r="B168" s="174" t="s">
        <v>651</v>
      </c>
      <c r="C168" s="174" t="s">
        <v>544</v>
      </c>
      <c r="D168" s="174">
        <v>3</v>
      </c>
      <c r="E168" s="174" t="s">
        <v>249</v>
      </c>
      <c r="F168" s="174">
        <v>1</v>
      </c>
      <c r="G168" s="174">
        <v>1</v>
      </c>
      <c r="H168" s="174">
        <v>1</v>
      </c>
      <c r="I168" s="174">
        <v>2</v>
      </c>
      <c r="J168" s="174">
        <v>1</v>
      </c>
      <c r="K168" s="174">
        <v>1</v>
      </c>
      <c r="L168" s="174">
        <v>2</v>
      </c>
      <c r="M168" s="174">
        <v>1</v>
      </c>
      <c r="N168" s="170"/>
      <c r="O168" s="170"/>
      <c r="P168" s="170"/>
      <c r="Q168" s="180">
        <f>SUM(Tabela2[[#This Row],[G]]+Tabela2[[#This Row],[D]]+Tabela2[[#This Row],[N]]+Tabela2[[#This Row],[HM]])</f>
        <v>4</v>
      </c>
      <c r="R168" s="180">
        <f>SUM(Tabela2[[#This Row],[AO]]+Tabela2[[#This Row],[AD]]+Tabela2[[#This Row],[GWO]]+Tabela2[[#This Row],[GWD]])</f>
        <v>6</v>
      </c>
      <c r="S168" s="180">
        <f>Tabela2[[#This Row],[GWO]]+Tabela2[[#This Row],[GWD]]</f>
        <v>3</v>
      </c>
      <c r="T168" s="180">
        <f>SUM(Tabela2[[#This Row],[G]:[GWD]])</f>
        <v>10</v>
      </c>
    </row>
    <row r="169" spans="1:20" ht="30">
      <c r="A169" s="183">
        <v>185</v>
      </c>
      <c r="B169" s="170" t="s">
        <v>545</v>
      </c>
      <c r="C169" s="170" t="s">
        <v>544</v>
      </c>
      <c r="D169" s="170">
        <v>3</v>
      </c>
      <c r="E169" s="170" t="s">
        <v>272</v>
      </c>
      <c r="F169" s="170">
        <v>1</v>
      </c>
      <c r="G169" s="170">
        <v>1</v>
      </c>
      <c r="H169" s="170">
        <v>1</v>
      </c>
      <c r="I169" s="170">
        <v>2</v>
      </c>
      <c r="J169" s="170">
        <v>1</v>
      </c>
      <c r="K169" s="170">
        <v>1</v>
      </c>
      <c r="L169" s="170">
        <v>2</v>
      </c>
      <c r="M169" s="170">
        <v>1</v>
      </c>
      <c r="N169" s="170"/>
      <c r="O169" s="170"/>
      <c r="P169" s="170"/>
      <c r="Q169" s="180">
        <f>SUM(Tabela2[[#This Row],[G]]+Tabela2[[#This Row],[D]]+Tabela2[[#This Row],[N]]+Tabela2[[#This Row],[HM]])</f>
        <v>4</v>
      </c>
      <c r="R169" s="180">
        <f>SUM(Tabela2[[#This Row],[AO]]+Tabela2[[#This Row],[AD]]+Tabela2[[#This Row],[GWO]]+Tabela2[[#This Row],[GWD]])</f>
        <v>6</v>
      </c>
      <c r="S169" s="180">
        <f>Tabela2[[#This Row],[GWO]]+Tabela2[[#This Row],[GWD]]</f>
        <v>3</v>
      </c>
      <c r="T169" s="180">
        <f>SUM(Tabela2[[#This Row],[G]:[GWD]])</f>
        <v>10</v>
      </c>
    </row>
    <row r="170" spans="1:20" ht="30">
      <c r="A170" s="183">
        <v>65</v>
      </c>
      <c r="B170" s="175" t="s">
        <v>682</v>
      </c>
      <c r="C170" s="175" t="s">
        <v>538</v>
      </c>
      <c r="D170" s="175">
        <v>3</v>
      </c>
      <c r="E170" s="175" t="s">
        <v>18</v>
      </c>
      <c r="F170" s="175">
        <v>1</v>
      </c>
      <c r="G170" s="175">
        <v>1</v>
      </c>
      <c r="H170" s="175">
        <v>1</v>
      </c>
      <c r="I170" s="175">
        <v>1</v>
      </c>
      <c r="J170" s="175">
        <v>2</v>
      </c>
      <c r="K170" s="175">
        <v>1</v>
      </c>
      <c r="L170" s="175">
        <v>1</v>
      </c>
      <c r="M170" s="175">
        <v>2</v>
      </c>
      <c r="N170" s="175" t="s">
        <v>445</v>
      </c>
      <c r="O170" s="175" t="s">
        <v>204</v>
      </c>
      <c r="P170" s="175"/>
      <c r="Q170" s="184">
        <f>SUM(Tabela2[[#This Row],[G]]+Tabela2[[#This Row],[D]]+Tabela2[[#This Row],[N]]+Tabela2[[#This Row],[HM]])</f>
        <v>4</v>
      </c>
      <c r="R170" s="184">
        <f>SUM(Tabela2[[#This Row],[AO]]+Tabela2[[#This Row],[AD]]+Tabela2[[#This Row],[GWO]]+Tabela2[[#This Row],[GWD]])</f>
        <v>6</v>
      </c>
      <c r="S170" s="184">
        <f>Tabela2[[#This Row],[GWO]]+Tabela2[[#This Row],[GWD]]</f>
        <v>3</v>
      </c>
      <c r="T170" s="180">
        <f>SUM(Tabela2[[#This Row],[G]:[GWD]])</f>
        <v>10</v>
      </c>
    </row>
    <row r="171" spans="1:20" ht="30">
      <c r="A171" s="183">
        <v>189</v>
      </c>
      <c r="B171" s="170" t="s">
        <v>539</v>
      </c>
      <c r="C171" s="170" t="s">
        <v>538</v>
      </c>
      <c r="D171" s="170">
        <v>3</v>
      </c>
      <c r="E171" s="170" t="s">
        <v>272</v>
      </c>
      <c r="F171" s="170">
        <v>1</v>
      </c>
      <c r="G171" s="170">
        <v>1</v>
      </c>
      <c r="H171" s="170">
        <v>1</v>
      </c>
      <c r="I171" s="170">
        <v>2</v>
      </c>
      <c r="J171" s="170">
        <v>1</v>
      </c>
      <c r="K171" s="170">
        <v>1</v>
      </c>
      <c r="L171" s="170">
        <v>2</v>
      </c>
      <c r="M171" s="170">
        <v>1</v>
      </c>
      <c r="N171" s="170"/>
      <c r="O171" s="170"/>
      <c r="P171" s="170"/>
      <c r="Q171" s="180">
        <f>SUM(Tabela2[[#This Row],[G]]+Tabela2[[#This Row],[D]]+Tabela2[[#This Row],[N]]+Tabela2[[#This Row],[HM]])</f>
        <v>4</v>
      </c>
      <c r="R171" s="180">
        <f>SUM(Tabela2[[#This Row],[AO]]+Tabela2[[#This Row],[AD]]+Tabela2[[#This Row],[GWO]]+Tabela2[[#This Row],[GWD]])</f>
        <v>6</v>
      </c>
      <c r="S171" s="180">
        <f>Tabela2[[#This Row],[GWO]]+Tabela2[[#This Row],[GWD]]</f>
        <v>3</v>
      </c>
      <c r="T171" s="180">
        <f>SUM(Tabela2[[#This Row],[G]:[GWD]])</f>
        <v>10</v>
      </c>
    </row>
    <row r="172" spans="1:20">
      <c r="A172" s="183">
        <v>98</v>
      </c>
      <c r="B172" s="174" t="s">
        <v>646</v>
      </c>
      <c r="C172" s="174" t="s">
        <v>536</v>
      </c>
      <c r="D172" s="174">
        <v>3</v>
      </c>
      <c r="E172" s="174" t="s">
        <v>249</v>
      </c>
      <c r="F172" s="174">
        <v>1</v>
      </c>
      <c r="G172" s="174">
        <v>3</v>
      </c>
      <c r="H172" s="174">
        <v>1</v>
      </c>
      <c r="I172" s="174">
        <v>1</v>
      </c>
      <c r="J172" s="174">
        <v>1</v>
      </c>
      <c r="K172" s="174">
        <v>1</v>
      </c>
      <c r="L172" s="174">
        <v>1</v>
      </c>
      <c r="M172" s="174">
        <v>1</v>
      </c>
      <c r="N172" s="170"/>
      <c r="O172" s="170"/>
      <c r="P172" s="170"/>
      <c r="Q172" s="180">
        <f>SUM(Tabela2[[#This Row],[G]]+Tabela2[[#This Row],[D]]+Tabela2[[#This Row],[N]]+Tabela2[[#This Row],[HM]])</f>
        <v>6</v>
      </c>
      <c r="R172" s="180">
        <f>SUM(Tabela2[[#This Row],[AO]]+Tabela2[[#This Row],[AD]]+Tabela2[[#This Row],[GWO]]+Tabela2[[#This Row],[GWD]])</f>
        <v>4</v>
      </c>
      <c r="S172" s="180">
        <f>Tabela2[[#This Row],[GWO]]+Tabela2[[#This Row],[GWD]]</f>
        <v>2</v>
      </c>
      <c r="T172" s="180">
        <f>SUM(Tabela2[[#This Row],[G]:[GWD]])</f>
        <v>10</v>
      </c>
    </row>
    <row r="173" spans="1:20">
      <c r="A173" s="183">
        <v>190</v>
      </c>
      <c r="B173" s="170" t="s">
        <v>537</v>
      </c>
      <c r="C173" s="170" t="s">
        <v>536</v>
      </c>
      <c r="D173" s="170">
        <v>3</v>
      </c>
      <c r="E173" s="170" t="s">
        <v>272</v>
      </c>
      <c r="F173" s="170">
        <v>1</v>
      </c>
      <c r="G173" s="170">
        <v>1</v>
      </c>
      <c r="H173" s="170">
        <v>2</v>
      </c>
      <c r="I173" s="170">
        <v>1</v>
      </c>
      <c r="J173" s="170">
        <v>1</v>
      </c>
      <c r="K173" s="170">
        <v>1</v>
      </c>
      <c r="L173" s="170">
        <v>2</v>
      </c>
      <c r="M173" s="170">
        <v>1</v>
      </c>
      <c r="N173" s="170"/>
      <c r="O173" s="170"/>
      <c r="P173" s="170"/>
      <c r="Q173" s="180">
        <f>SUM(Tabela2[[#This Row],[G]]+Tabela2[[#This Row],[D]]+Tabela2[[#This Row],[N]]+Tabela2[[#This Row],[HM]])</f>
        <v>5</v>
      </c>
      <c r="R173" s="180">
        <f>SUM(Tabela2[[#This Row],[AO]]+Tabela2[[#This Row],[AD]]+Tabela2[[#This Row],[GWO]]+Tabela2[[#This Row],[GWD]])</f>
        <v>5</v>
      </c>
      <c r="S173" s="180">
        <f>Tabela2[[#This Row],[GWO]]+Tabela2[[#This Row],[GWD]]</f>
        <v>3</v>
      </c>
      <c r="T173" s="180">
        <f>SUM(Tabela2[[#This Row],[G]:[GWD]])</f>
        <v>10</v>
      </c>
    </row>
    <row r="174" spans="1:20">
      <c r="A174" s="183">
        <v>76</v>
      </c>
      <c r="B174" s="175" t="s">
        <v>668</v>
      </c>
      <c r="C174" s="175" t="s">
        <v>267</v>
      </c>
      <c r="D174" s="175">
        <v>3</v>
      </c>
      <c r="E174" s="175" t="s">
        <v>18</v>
      </c>
      <c r="F174" s="175">
        <v>1</v>
      </c>
      <c r="G174" s="175">
        <v>1</v>
      </c>
      <c r="H174" s="175">
        <v>1</v>
      </c>
      <c r="I174" s="175">
        <v>2</v>
      </c>
      <c r="J174" s="175">
        <v>2</v>
      </c>
      <c r="K174" s="175">
        <v>1</v>
      </c>
      <c r="L174" s="175">
        <v>1</v>
      </c>
      <c r="M174" s="175">
        <v>1</v>
      </c>
      <c r="N174" s="170"/>
      <c r="O174" s="170"/>
      <c r="P174" s="170"/>
      <c r="Q174" s="180">
        <f>SUM(Tabela2[[#This Row],[G]]+Tabela2[[#This Row],[D]]+Tabela2[[#This Row],[N]]+Tabela2[[#This Row],[HM]])</f>
        <v>4</v>
      </c>
      <c r="R174" s="180">
        <f>SUM(Tabela2[[#This Row],[AO]]+Tabela2[[#This Row],[AD]]+Tabela2[[#This Row],[GWO]]+Tabela2[[#This Row],[GWD]])</f>
        <v>6</v>
      </c>
      <c r="S174" s="180">
        <f>Tabela2[[#This Row],[GWO]]+Tabela2[[#This Row],[GWD]]</f>
        <v>2</v>
      </c>
      <c r="T174" s="180">
        <f>SUM(Tabela2[[#This Row],[G]:[GWD]])</f>
        <v>10</v>
      </c>
    </row>
    <row r="175" spans="1:20">
      <c r="A175" s="183">
        <v>226</v>
      </c>
      <c r="B175" s="174" t="s">
        <v>495</v>
      </c>
      <c r="C175" s="174" t="s">
        <v>419</v>
      </c>
      <c r="D175" s="174">
        <v>4</v>
      </c>
      <c r="E175" s="174" t="s">
        <v>249</v>
      </c>
      <c r="F175" s="174">
        <v>1</v>
      </c>
      <c r="G175" s="174">
        <v>1</v>
      </c>
      <c r="H175" s="174">
        <v>1</v>
      </c>
      <c r="I175" s="174">
        <v>1</v>
      </c>
      <c r="J175" s="174">
        <v>1</v>
      </c>
      <c r="K175" s="174">
        <v>1</v>
      </c>
      <c r="L175" s="174">
        <v>3</v>
      </c>
      <c r="M175" s="174">
        <v>1</v>
      </c>
      <c r="N175" s="170"/>
      <c r="O175" s="194"/>
      <c r="P175" s="170"/>
      <c r="Q175" s="180">
        <f>SUM(Tabela2[[#This Row],[G]]+Tabela2[[#This Row],[D]]+Tabela2[[#This Row],[N]]+Tabela2[[#This Row],[HM]])</f>
        <v>4</v>
      </c>
      <c r="R175" s="180">
        <f>SUM(Tabela2[[#This Row],[AO]]+Tabela2[[#This Row],[AD]]+Tabela2[[#This Row],[GWO]]+Tabela2[[#This Row],[GWD]])</f>
        <v>6</v>
      </c>
      <c r="S175" s="180">
        <f>Tabela2[[#This Row],[GWO]]+Tabela2[[#This Row],[GWD]]</f>
        <v>4</v>
      </c>
      <c r="T175" s="180">
        <f>SUM(Tabela2[[#This Row],[G]:[GWD]])</f>
        <v>10</v>
      </c>
    </row>
    <row r="176" spans="1:20">
      <c r="A176" s="183">
        <v>278</v>
      </c>
      <c r="B176" s="171" t="s">
        <v>443</v>
      </c>
      <c r="C176" s="171" t="s">
        <v>419</v>
      </c>
      <c r="D176" s="171">
        <v>4</v>
      </c>
      <c r="E176" s="171" t="s">
        <v>251</v>
      </c>
      <c r="F176" s="171">
        <v>1</v>
      </c>
      <c r="G176" s="171">
        <v>1</v>
      </c>
      <c r="H176" s="171">
        <v>1</v>
      </c>
      <c r="I176" s="171">
        <v>1</v>
      </c>
      <c r="J176" s="171">
        <v>1</v>
      </c>
      <c r="K176" s="171">
        <v>1</v>
      </c>
      <c r="L176" s="171">
        <v>3</v>
      </c>
      <c r="M176" s="171">
        <v>1</v>
      </c>
      <c r="N176" s="170"/>
      <c r="O176" s="170"/>
      <c r="P176" s="170"/>
      <c r="Q176" s="180">
        <f>SUM(Tabela2[[#This Row],[G]]+Tabela2[[#This Row],[D]]+Tabela2[[#This Row],[N]]+Tabela2[[#This Row],[HM]])</f>
        <v>4</v>
      </c>
      <c r="R176" s="180">
        <f>SUM(Tabela2[[#This Row],[AO]]+Tabela2[[#This Row],[AD]]+Tabela2[[#This Row],[GWO]]+Tabela2[[#This Row],[GWD]])</f>
        <v>6</v>
      </c>
      <c r="S176" s="180">
        <f>Tabela2[[#This Row],[GWO]]+Tabela2[[#This Row],[GWD]]</f>
        <v>4</v>
      </c>
      <c r="T176" s="180">
        <f>SUM(Tabela2[[#This Row],[G]:[GWD]])</f>
        <v>10</v>
      </c>
    </row>
    <row r="177" spans="1:20" ht="30">
      <c r="A177" s="183">
        <v>302</v>
      </c>
      <c r="B177" s="170" t="s">
        <v>416</v>
      </c>
      <c r="C177" s="170" t="s">
        <v>415</v>
      </c>
      <c r="D177" s="170">
        <v>4</v>
      </c>
      <c r="E177" s="170" t="s">
        <v>272</v>
      </c>
      <c r="F177" s="170">
        <v>1</v>
      </c>
      <c r="G177" s="170">
        <v>1</v>
      </c>
      <c r="H177" s="170">
        <v>1</v>
      </c>
      <c r="I177" s="170">
        <v>2</v>
      </c>
      <c r="J177" s="170">
        <v>1</v>
      </c>
      <c r="K177" s="170">
        <v>1</v>
      </c>
      <c r="L177" s="170">
        <v>2</v>
      </c>
      <c r="M177" s="170">
        <v>1</v>
      </c>
      <c r="N177" s="170"/>
      <c r="O177" s="170"/>
      <c r="P177" s="170"/>
      <c r="Q177" s="180">
        <f>SUM(Tabela2[[#This Row],[G]]+Tabela2[[#This Row],[D]]+Tabela2[[#This Row],[N]]+Tabela2[[#This Row],[HM]])</f>
        <v>4</v>
      </c>
      <c r="R177" s="180">
        <f>SUM(Tabela2[[#This Row],[AO]]+Tabela2[[#This Row],[AD]]+Tabela2[[#This Row],[GWO]]+Tabela2[[#This Row],[GWD]])</f>
        <v>6</v>
      </c>
      <c r="S177" s="180">
        <f>Tabela2[[#This Row],[GWO]]+Tabela2[[#This Row],[GWD]]</f>
        <v>3</v>
      </c>
      <c r="T177" s="180">
        <f>SUM(Tabela2[[#This Row],[G]:[GWD]])</f>
        <v>10</v>
      </c>
    </row>
    <row r="178" spans="1:20">
      <c r="A178" s="183">
        <v>305</v>
      </c>
      <c r="B178" s="170" t="s">
        <v>411</v>
      </c>
      <c r="C178" s="170" t="s">
        <v>210</v>
      </c>
      <c r="D178" s="170">
        <v>4</v>
      </c>
      <c r="E178" s="170" t="s">
        <v>272</v>
      </c>
      <c r="F178" s="170">
        <v>1</v>
      </c>
      <c r="G178" s="170">
        <v>1</v>
      </c>
      <c r="H178" s="170">
        <v>1</v>
      </c>
      <c r="I178" s="170">
        <v>2</v>
      </c>
      <c r="J178" s="170">
        <v>1</v>
      </c>
      <c r="K178" s="170">
        <v>1</v>
      </c>
      <c r="L178" s="170">
        <v>2</v>
      </c>
      <c r="M178" s="170">
        <v>1</v>
      </c>
      <c r="N178" s="170"/>
      <c r="O178" s="170"/>
      <c r="P178" s="170"/>
      <c r="Q178" s="180">
        <f>SUM(Tabela2[[#This Row],[G]]+Tabela2[[#This Row],[D]]+Tabela2[[#This Row],[N]]+Tabela2[[#This Row],[HM]])</f>
        <v>4</v>
      </c>
      <c r="R178" s="180">
        <f>SUM(Tabela2[[#This Row],[AO]]+Tabela2[[#This Row],[AD]]+Tabela2[[#This Row],[GWO]]+Tabela2[[#This Row],[GWD]])</f>
        <v>6</v>
      </c>
      <c r="S178" s="180">
        <f>Tabela2[[#This Row],[GWO]]+Tabela2[[#This Row],[GWD]]</f>
        <v>3</v>
      </c>
      <c r="T178" s="180">
        <f>SUM(Tabela2[[#This Row],[G]:[GWD]])</f>
        <v>10</v>
      </c>
    </row>
    <row r="179" spans="1:20" ht="30">
      <c r="A179" s="183">
        <v>207</v>
      </c>
      <c r="B179" s="175" t="s">
        <v>513</v>
      </c>
      <c r="C179" s="175" t="s">
        <v>407</v>
      </c>
      <c r="D179" s="175">
        <v>4</v>
      </c>
      <c r="E179" s="175" t="s">
        <v>18</v>
      </c>
      <c r="F179" s="175">
        <v>1</v>
      </c>
      <c r="G179" s="175">
        <v>1</v>
      </c>
      <c r="H179" s="175">
        <v>3</v>
      </c>
      <c r="I179" s="175">
        <v>1</v>
      </c>
      <c r="J179" s="175">
        <v>1</v>
      </c>
      <c r="K179" s="175">
        <v>1</v>
      </c>
      <c r="L179" s="175">
        <v>1</v>
      </c>
      <c r="M179" s="175">
        <v>1</v>
      </c>
      <c r="N179" s="170"/>
      <c r="O179" s="170"/>
      <c r="P179" s="170"/>
      <c r="Q179" s="180">
        <f>SUM(Tabela2[[#This Row],[G]]+Tabela2[[#This Row],[D]]+Tabela2[[#This Row],[N]]+Tabela2[[#This Row],[HM]])</f>
        <v>6</v>
      </c>
      <c r="R179" s="180">
        <f>SUM(Tabela2[[#This Row],[AO]]+Tabela2[[#This Row],[AD]]+Tabela2[[#This Row],[GWO]]+Tabela2[[#This Row],[GWD]])</f>
        <v>4</v>
      </c>
      <c r="S179" s="180">
        <f>Tabela2[[#This Row],[GWO]]+Tabela2[[#This Row],[GWD]]</f>
        <v>2</v>
      </c>
      <c r="T179" s="180">
        <f>SUM(Tabela2[[#This Row],[G]:[GWD]])</f>
        <v>10</v>
      </c>
    </row>
    <row r="180" spans="1:20">
      <c r="A180" s="183">
        <v>259</v>
      </c>
      <c r="B180" s="172" t="s">
        <v>463</v>
      </c>
      <c r="C180" s="172" t="s">
        <v>405</v>
      </c>
      <c r="D180" s="172">
        <v>4</v>
      </c>
      <c r="E180" s="172" t="s">
        <v>250</v>
      </c>
      <c r="F180" s="172">
        <v>2</v>
      </c>
      <c r="G180" s="172">
        <v>1</v>
      </c>
      <c r="H180" s="172">
        <v>1</v>
      </c>
      <c r="I180" s="172">
        <v>1</v>
      </c>
      <c r="J180" s="172">
        <v>1</v>
      </c>
      <c r="K180" s="172">
        <v>1</v>
      </c>
      <c r="L180" s="172">
        <v>2</v>
      </c>
      <c r="M180" s="172">
        <v>1</v>
      </c>
      <c r="N180" s="170"/>
      <c r="O180" s="170"/>
      <c r="P180" s="170"/>
      <c r="Q180" s="180">
        <f>SUM(Tabela2[[#This Row],[G]]+Tabela2[[#This Row],[D]]+Tabela2[[#This Row],[N]]+Tabela2[[#This Row],[HM]])</f>
        <v>5</v>
      </c>
      <c r="R180" s="180">
        <f>SUM(Tabela2[[#This Row],[AO]]+Tabela2[[#This Row],[AD]]+Tabela2[[#This Row],[GWO]]+Tabela2[[#This Row],[GWD]])</f>
        <v>5</v>
      </c>
      <c r="S180" s="180">
        <f>Tabela2[[#This Row],[GWO]]+Tabela2[[#This Row],[GWD]]</f>
        <v>3</v>
      </c>
      <c r="T180" s="180">
        <f>SUM(Tabela2[[#This Row],[G]:[GWD]])</f>
        <v>10</v>
      </c>
    </row>
    <row r="181" spans="1:20">
      <c r="A181" s="183">
        <v>261</v>
      </c>
      <c r="B181" s="172" t="s">
        <v>461</v>
      </c>
      <c r="C181" s="172" t="s">
        <v>398</v>
      </c>
      <c r="D181" s="172">
        <v>4</v>
      </c>
      <c r="E181" s="172" t="s">
        <v>250</v>
      </c>
      <c r="F181" s="172">
        <v>3</v>
      </c>
      <c r="G181" s="172">
        <v>1</v>
      </c>
      <c r="H181" s="172">
        <v>1</v>
      </c>
      <c r="I181" s="172">
        <v>1</v>
      </c>
      <c r="J181" s="172">
        <v>1</v>
      </c>
      <c r="K181" s="172">
        <v>1</v>
      </c>
      <c r="L181" s="172">
        <v>1</v>
      </c>
      <c r="M181" s="172">
        <v>1</v>
      </c>
      <c r="N181" s="170"/>
      <c r="O181" s="170"/>
      <c r="P181" s="170"/>
      <c r="Q181" s="180">
        <f>SUM(Tabela2[[#This Row],[G]]+Tabela2[[#This Row],[D]]+Tabela2[[#This Row],[N]]+Tabela2[[#This Row],[HM]])</f>
        <v>6</v>
      </c>
      <c r="R181" s="180">
        <f>SUM(Tabela2[[#This Row],[AO]]+Tabela2[[#This Row],[AD]]+Tabela2[[#This Row],[GWO]]+Tabela2[[#This Row],[GWD]])</f>
        <v>4</v>
      </c>
      <c r="S181" s="180">
        <f>Tabela2[[#This Row],[GWO]]+Tabela2[[#This Row],[GWD]]</f>
        <v>2</v>
      </c>
      <c r="T181" s="180">
        <f>SUM(Tabela2[[#This Row],[G]:[GWD]])</f>
        <v>10</v>
      </c>
    </row>
    <row r="182" spans="1:20" ht="30">
      <c r="A182" s="183">
        <v>290</v>
      </c>
      <c r="B182" s="171" t="s">
        <v>430</v>
      </c>
      <c r="C182" s="171" t="s">
        <v>392</v>
      </c>
      <c r="D182" s="171">
        <v>4</v>
      </c>
      <c r="E182" s="171" t="s">
        <v>251</v>
      </c>
      <c r="F182" s="171">
        <v>1</v>
      </c>
      <c r="G182" s="171">
        <v>1</v>
      </c>
      <c r="H182" s="171">
        <v>1</v>
      </c>
      <c r="I182" s="171">
        <v>1</v>
      </c>
      <c r="J182" s="171">
        <v>1</v>
      </c>
      <c r="K182" s="171">
        <v>1</v>
      </c>
      <c r="L182" s="171">
        <v>3</v>
      </c>
      <c r="M182" s="171">
        <v>1</v>
      </c>
      <c r="N182" s="170"/>
      <c r="O182" s="170"/>
      <c r="P182" s="170"/>
      <c r="Q182" s="180">
        <f>SUM(Tabela2[[#This Row],[G]]+Tabela2[[#This Row],[D]]+Tabela2[[#This Row],[N]]+Tabela2[[#This Row],[HM]])</f>
        <v>4</v>
      </c>
      <c r="R182" s="180">
        <f>SUM(Tabela2[[#This Row],[AO]]+Tabela2[[#This Row],[AD]]+Tabela2[[#This Row],[GWO]]+Tabela2[[#This Row],[GWD]])</f>
        <v>6</v>
      </c>
      <c r="S182" s="180">
        <f>Tabela2[[#This Row],[GWO]]+Tabela2[[#This Row],[GWD]]</f>
        <v>4</v>
      </c>
      <c r="T182" s="180">
        <f>SUM(Tabela2[[#This Row],[G]:[GWD]])</f>
        <v>10</v>
      </c>
    </row>
    <row r="183" spans="1:20">
      <c r="A183" s="183">
        <v>244</v>
      </c>
      <c r="B183" s="174" t="s">
        <v>478</v>
      </c>
      <c r="C183" s="174" t="s">
        <v>382</v>
      </c>
      <c r="D183" s="174">
        <v>4</v>
      </c>
      <c r="E183" s="174" t="s">
        <v>249</v>
      </c>
      <c r="F183" s="174">
        <v>1</v>
      </c>
      <c r="G183" s="174">
        <v>1</v>
      </c>
      <c r="H183" s="174">
        <v>1</v>
      </c>
      <c r="I183" s="174">
        <v>1</v>
      </c>
      <c r="J183" s="174">
        <v>1</v>
      </c>
      <c r="K183" s="174">
        <v>1</v>
      </c>
      <c r="L183" s="174">
        <v>3</v>
      </c>
      <c r="M183" s="174">
        <v>1</v>
      </c>
      <c r="N183" s="170"/>
      <c r="O183" s="170"/>
      <c r="P183" s="170"/>
      <c r="Q183" s="180">
        <f>SUM(Tabela2[[#This Row],[G]]+Tabela2[[#This Row],[D]]+Tabela2[[#This Row],[N]]+Tabela2[[#This Row],[HM]])</f>
        <v>4</v>
      </c>
      <c r="R183" s="180">
        <f>SUM(Tabela2[[#This Row],[AO]]+Tabela2[[#This Row],[AD]]+Tabela2[[#This Row],[GWO]]+Tabela2[[#This Row],[GWD]])</f>
        <v>6</v>
      </c>
      <c r="S183" s="180">
        <f>Tabela2[[#This Row],[GWO]]+Tabela2[[#This Row],[GWD]]</f>
        <v>4</v>
      </c>
      <c r="T183" s="180">
        <f>SUM(Tabela2[[#This Row],[G]:[GWD]])</f>
        <v>10</v>
      </c>
    </row>
    <row r="184" spans="1:20">
      <c r="A184" s="183">
        <v>270</v>
      </c>
      <c r="B184" s="172" t="s">
        <v>453</v>
      </c>
      <c r="C184" s="172" t="s">
        <v>382</v>
      </c>
      <c r="D184" s="172">
        <v>4</v>
      </c>
      <c r="E184" s="172" t="s">
        <v>250</v>
      </c>
      <c r="F184" s="172">
        <v>1</v>
      </c>
      <c r="G184" s="172">
        <v>1</v>
      </c>
      <c r="H184" s="172">
        <v>1</v>
      </c>
      <c r="I184" s="172">
        <v>1</v>
      </c>
      <c r="J184" s="172">
        <v>1</v>
      </c>
      <c r="K184" s="172">
        <v>1</v>
      </c>
      <c r="L184" s="172">
        <v>3</v>
      </c>
      <c r="M184" s="172">
        <v>1</v>
      </c>
      <c r="N184" s="170"/>
      <c r="O184" s="170"/>
      <c r="P184" s="170"/>
      <c r="Q184" s="180">
        <f>SUM(Tabela2[[#This Row],[G]]+Tabela2[[#This Row],[D]]+Tabela2[[#This Row],[N]]+Tabela2[[#This Row],[HM]])</f>
        <v>4</v>
      </c>
      <c r="R184" s="180">
        <f>SUM(Tabela2[[#This Row],[AO]]+Tabela2[[#This Row],[AD]]+Tabela2[[#This Row],[GWO]]+Tabela2[[#This Row],[GWD]])</f>
        <v>6</v>
      </c>
      <c r="S184" s="180">
        <f>Tabela2[[#This Row],[GWO]]+Tabela2[[#This Row],[GWD]]</f>
        <v>4</v>
      </c>
      <c r="T184" s="180">
        <f>SUM(Tabela2[[#This Row],[G]:[GWD]])</f>
        <v>10</v>
      </c>
    </row>
    <row r="185" spans="1:20">
      <c r="A185" s="183">
        <v>221</v>
      </c>
      <c r="B185" s="175" t="s">
        <v>499</v>
      </c>
      <c r="C185" s="175" t="s">
        <v>227</v>
      </c>
      <c r="D185" s="175">
        <v>4</v>
      </c>
      <c r="E185" s="175" t="s">
        <v>18</v>
      </c>
      <c r="F185" s="175">
        <v>1</v>
      </c>
      <c r="G185" s="175">
        <v>1</v>
      </c>
      <c r="H185" s="175">
        <v>1</v>
      </c>
      <c r="I185" s="175">
        <v>2</v>
      </c>
      <c r="J185" s="175">
        <v>1</v>
      </c>
      <c r="K185" s="175">
        <v>1</v>
      </c>
      <c r="L185" s="175">
        <v>2</v>
      </c>
      <c r="M185" s="175">
        <v>1</v>
      </c>
      <c r="N185" s="175" t="s">
        <v>445</v>
      </c>
      <c r="O185" s="175"/>
      <c r="P185" s="175"/>
      <c r="Q185" s="184">
        <f>SUM(Tabela2[[#This Row],[G]]+Tabela2[[#This Row],[D]]+Tabela2[[#This Row],[N]]+Tabela2[[#This Row],[HM]])</f>
        <v>4</v>
      </c>
      <c r="R185" s="184">
        <f>SUM(Tabela2[[#This Row],[AO]]+Tabela2[[#This Row],[AD]]+Tabela2[[#This Row],[GWO]]+Tabela2[[#This Row],[GWD]])</f>
        <v>6</v>
      </c>
      <c r="S185" s="184">
        <f>Tabela2[[#This Row],[GWO]]+Tabela2[[#This Row],[GWD]]</f>
        <v>3</v>
      </c>
      <c r="T185" s="180">
        <f>SUM(Tabela2[[#This Row],[G]:[GWD]])</f>
        <v>10</v>
      </c>
    </row>
    <row r="186" spans="1:20">
      <c r="A186" s="183">
        <v>249</v>
      </c>
      <c r="B186" s="174" t="s">
        <v>473</v>
      </c>
      <c r="C186" s="174" t="s">
        <v>226</v>
      </c>
      <c r="D186" s="174">
        <v>4</v>
      </c>
      <c r="E186" s="174" t="s">
        <v>249</v>
      </c>
      <c r="F186" s="174">
        <v>1</v>
      </c>
      <c r="G186" s="174">
        <v>2</v>
      </c>
      <c r="H186" s="174">
        <v>1</v>
      </c>
      <c r="I186" s="174">
        <v>1</v>
      </c>
      <c r="J186" s="174">
        <v>1</v>
      </c>
      <c r="K186" s="174">
        <v>1</v>
      </c>
      <c r="L186" s="174">
        <v>2</v>
      </c>
      <c r="M186" s="174">
        <v>1</v>
      </c>
      <c r="N186" s="174" t="s">
        <v>445</v>
      </c>
      <c r="O186" s="174"/>
      <c r="P186" s="174"/>
      <c r="Q186" s="185">
        <f>SUM(Tabela2[[#This Row],[G]]+Tabela2[[#This Row],[D]]+Tabela2[[#This Row],[N]]+Tabela2[[#This Row],[HM]])</f>
        <v>5</v>
      </c>
      <c r="R186" s="185">
        <f>SUM(Tabela2[[#This Row],[AO]]+Tabela2[[#This Row],[AD]]+Tabela2[[#This Row],[GWO]]+Tabela2[[#This Row],[GWD]])</f>
        <v>5</v>
      </c>
      <c r="S186" s="185">
        <f>Tabela2[[#This Row],[GWO]]+Tabela2[[#This Row],[GWD]]</f>
        <v>3</v>
      </c>
      <c r="T186" s="180">
        <f>SUM(Tabela2[[#This Row],[G]:[GWD]])</f>
        <v>10</v>
      </c>
    </row>
    <row r="187" spans="1:20">
      <c r="A187" s="183">
        <v>13</v>
      </c>
      <c r="B187" s="174" t="s">
        <v>749</v>
      </c>
      <c r="C187" s="174" t="s">
        <v>594</v>
      </c>
      <c r="D187" s="174">
        <v>2</v>
      </c>
      <c r="E187" s="174" t="s">
        <v>249</v>
      </c>
      <c r="F187" s="174">
        <v>1</v>
      </c>
      <c r="G187" s="174">
        <v>2</v>
      </c>
      <c r="H187" s="174">
        <v>1</v>
      </c>
      <c r="I187" s="174">
        <v>1</v>
      </c>
      <c r="J187" s="174">
        <v>1</v>
      </c>
      <c r="K187" s="174">
        <v>1</v>
      </c>
      <c r="L187" s="174">
        <v>1</v>
      </c>
      <c r="M187" s="174">
        <v>1</v>
      </c>
      <c r="N187" s="170"/>
      <c r="O187" s="170"/>
      <c r="P187" s="170"/>
      <c r="Q187" s="180">
        <f>SUM(Tabela2[[#This Row],[G]]+Tabela2[[#This Row],[D]]+Tabela2[[#This Row],[N]]+Tabela2[[#This Row],[HM]])</f>
        <v>5</v>
      </c>
      <c r="R187" s="180">
        <f>SUM(Tabela2[[#This Row],[AO]]+Tabela2[[#This Row],[AD]]+Tabela2[[#This Row],[GWO]]+Tabela2[[#This Row],[GWD]])</f>
        <v>4</v>
      </c>
      <c r="S187" s="180">
        <f>Tabela2[[#This Row],[GWO]]+Tabela2[[#This Row],[GWD]]</f>
        <v>2</v>
      </c>
      <c r="T187" s="180">
        <f>SUM(Tabela2[[#This Row],[G]:[GWD]])</f>
        <v>9</v>
      </c>
    </row>
    <row r="188" spans="1:20">
      <c r="A188" s="183">
        <v>108</v>
      </c>
      <c r="B188" s="172" t="s">
        <v>636</v>
      </c>
      <c r="C188" s="172" t="s">
        <v>574</v>
      </c>
      <c r="D188" s="172">
        <v>3</v>
      </c>
      <c r="E188" s="172" t="s">
        <v>250</v>
      </c>
      <c r="F188" s="172">
        <v>1</v>
      </c>
      <c r="G188" s="172">
        <v>1</v>
      </c>
      <c r="H188" s="172">
        <v>2</v>
      </c>
      <c r="I188" s="172">
        <v>1</v>
      </c>
      <c r="J188" s="172">
        <v>1</v>
      </c>
      <c r="K188" s="172">
        <v>1</v>
      </c>
      <c r="L188" s="172">
        <v>1</v>
      </c>
      <c r="M188" s="172">
        <v>1</v>
      </c>
      <c r="N188" s="172" t="s">
        <v>445</v>
      </c>
      <c r="O188" s="172"/>
      <c r="P188" s="172"/>
      <c r="Q188" s="186">
        <f>SUM(Tabela2[[#This Row],[G]]+Tabela2[[#This Row],[D]]+Tabela2[[#This Row],[N]]+Tabela2[[#This Row],[HM]])</f>
        <v>5</v>
      </c>
      <c r="R188" s="186">
        <f>SUM(Tabela2[[#This Row],[AO]]+Tabela2[[#This Row],[AD]]+Tabela2[[#This Row],[GWO]]+Tabela2[[#This Row],[GWD]])</f>
        <v>4</v>
      </c>
      <c r="S188" s="186">
        <f>Tabela2[[#This Row],[GWO]]+Tabela2[[#This Row],[GWD]]</f>
        <v>2</v>
      </c>
      <c r="T188" s="180">
        <f>SUM(Tabela2[[#This Row],[G]:[GWD]])</f>
        <v>9</v>
      </c>
    </row>
    <row r="189" spans="1:20">
      <c r="A189" s="183">
        <v>168</v>
      </c>
      <c r="B189" s="170" t="s">
        <v>575</v>
      </c>
      <c r="C189" s="170" t="s">
        <v>574</v>
      </c>
      <c r="D189" s="170">
        <v>3</v>
      </c>
      <c r="E189" s="170" t="s">
        <v>272</v>
      </c>
      <c r="F189" s="170">
        <v>1</v>
      </c>
      <c r="G189" s="170">
        <v>1</v>
      </c>
      <c r="H189" s="170">
        <v>2</v>
      </c>
      <c r="I189" s="170">
        <v>1</v>
      </c>
      <c r="J189" s="170">
        <v>1</v>
      </c>
      <c r="K189" s="170">
        <v>1</v>
      </c>
      <c r="L189" s="170">
        <v>1</v>
      </c>
      <c r="M189" s="170">
        <v>1</v>
      </c>
      <c r="N189" s="170"/>
      <c r="O189" s="170"/>
      <c r="P189" s="170"/>
      <c r="Q189" s="180">
        <f>SUM(Tabela2[[#This Row],[G]]+Tabela2[[#This Row],[D]]+Tabela2[[#This Row],[N]]+Tabela2[[#This Row],[HM]])</f>
        <v>5</v>
      </c>
      <c r="R189" s="180">
        <f>SUM(Tabela2[[#This Row],[AO]]+Tabela2[[#This Row],[AD]]+Tabela2[[#This Row],[GWO]]+Tabela2[[#This Row],[GWD]])</f>
        <v>4</v>
      </c>
      <c r="S189" s="180">
        <f>Tabela2[[#This Row],[GWO]]+Tabela2[[#This Row],[GWD]]</f>
        <v>2</v>
      </c>
      <c r="T189" s="180">
        <f>SUM(Tabela2[[#This Row],[G]:[GWD]])</f>
        <v>9</v>
      </c>
    </row>
    <row r="190" spans="1:20" ht="30">
      <c r="A190" s="183">
        <v>109</v>
      </c>
      <c r="B190" s="172" t="s">
        <v>635</v>
      </c>
      <c r="C190" s="172" t="s">
        <v>572</v>
      </c>
      <c r="D190" s="172">
        <v>3</v>
      </c>
      <c r="E190" s="172" t="s">
        <v>250</v>
      </c>
      <c r="F190" s="172">
        <v>2</v>
      </c>
      <c r="G190" s="172">
        <v>1</v>
      </c>
      <c r="H190" s="172">
        <v>1</v>
      </c>
      <c r="I190" s="172">
        <v>1</v>
      </c>
      <c r="J190" s="172">
        <v>1</v>
      </c>
      <c r="K190" s="172">
        <v>1</v>
      </c>
      <c r="L190" s="172">
        <v>1</v>
      </c>
      <c r="M190" s="172">
        <v>1</v>
      </c>
      <c r="N190" s="170"/>
      <c r="O190" s="170"/>
      <c r="P190" s="170"/>
      <c r="Q190" s="180">
        <f>SUM(Tabela2[[#This Row],[G]]+Tabela2[[#This Row],[D]]+Tabela2[[#This Row],[N]]+Tabela2[[#This Row],[HM]])</f>
        <v>5</v>
      </c>
      <c r="R190" s="180">
        <f>SUM(Tabela2[[#This Row],[AO]]+Tabela2[[#This Row],[AD]]+Tabela2[[#This Row],[GWO]]+Tabela2[[#This Row],[GWD]])</f>
        <v>4</v>
      </c>
      <c r="S190" s="180">
        <f>Tabela2[[#This Row],[GWO]]+Tabela2[[#This Row],[GWD]]</f>
        <v>2</v>
      </c>
      <c r="T190" s="180">
        <f>SUM(Tabela2[[#This Row],[G]:[GWD]])</f>
        <v>9</v>
      </c>
    </row>
    <row r="191" spans="1:20">
      <c r="A191" s="183">
        <v>143</v>
      </c>
      <c r="B191" s="171" t="s">
        <v>602</v>
      </c>
      <c r="C191" s="171" t="s">
        <v>561</v>
      </c>
      <c r="D191" s="171">
        <v>3</v>
      </c>
      <c r="E191" s="171" t="s">
        <v>251</v>
      </c>
      <c r="F191" s="171">
        <v>1</v>
      </c>
      <c r="G191" s="171">
        <v>1</v>
      </c>
      <c r="H191" s="171">
        <v>1</v>
      </c>
      <c r="I191" s="171">
        <v>1</v>
      </c>
      <c r="J191" s="171">
        <v>1</v>
      </c>
      <c r="K191" s="171">
        <v>2</v>
      </c>
      <c r="L191" s="171">
        <v>1</v>
      </c>
      <c r="M191" s="171">
        <v>1</v>
      </c>
      <c r="N191" s="170"/>
      <c r="O191" s="170"/>
      <c r="P191" s="170"/>
      <c r="Q191" s="180">
        <f>SUM(Tabela2[[#This Row],[G]]+Tabela2[[#This Row],[D]]+Tabela2[[#This Row],[N]]+Tabela2[[#This Row],[HM]])</f>
        <v>5</v>
      </c>
      <c r="R191" s="180">
        <f>SUM(Tabela2[[#This Row],[AO]]+Tabela2[[#This Row],[AD]]+Tabela2[[#This Row],[GWO]]+Tabela2[[#This Row],[GWD]])</f>
        <v>4</v>
      </c>
      <c r="S191" s="180">
        <f>Tabela2[[#This Row],[GWO]]+Tabela2[[#This Row],[GWD]]</f>
        <v>2</v>
      </c>
      <c r="T191" s="180">
        <f>SUM(Tabela2[[#This Row],[G]:[GWD]])</f>
        <v>9</v>
      </c>
    </row>
    <row r="192" spans="1:20">
      <c r="A192" s="183">
        <v>176</v>
      </c>
      <c r="B192" s="170" t="s">
        <v>562</v>
      </c>
      <c r="C192" s="170" t="s">
        <v>561</v>
      </c>
      <c r="D192" s="170">
        <v>3</v>
      </c>
      <c r="E192" s="170" t="s">
        <v>272</v>
      </c>
      <c r="F192" s="170">
        <v>1</v>
      </c>
      <c r="G192" s="170">
        <v>1</v>
      </c>
      <c r="H192" s="170">
        <v>1</v>
      </c>
      <c r="I192" s="170">
        <v>1</v>
      </c>
      <c r="J192" s="170">
        <v>1</v>
      </c>
      <c r="K192" s="170">
        <v>1</v>
      </c>
      <c r="L192" s="170">
        <v>2</v>
      </c>
      <c r="M192" s="170">
        <v>1</v>
      </c>
      <c r="N192" s="170"/>
      <c r="O192" s="170"/>
      <c r="P192" s="170"/>
      <c r="Q192" s="180">
        <f>SUM(Tabela2[[#This Row],[G]]+Tabela2[[#This Row],[D]]+Tabela2[[#This Row],[N]]+Tabela2[[#This Row],[HM]])</f>
        <v>4</v>
      </c>
      <c r="R192" s="180">
        <f>SUM(Tabela2[[#This Row],[AO]]+Tabela2[[#This Row],[AD]]+Tabela2[[#This Row],[GWO]]+Tabela2[[#This Row],[GWD]])</f>
        <v>5</v>
      </c>
      <c r="S192" s="180">
        <f>Tabela2[[#This Row],[GWO]]+Tabela2[[#This Row],[GWD]]</f>
        <v>3</v>
      </c>
      <c r="T192" s="180">
        <f>SUM(Tabela2[[#This Row],[G]:[GWD]])</f>
        <v>9</v>
      </c>
    </row>
    <row r="193" spans="1:20">
      <c r="A193" s="183">
        <v>57</v>
      </c>
      <c r="B193" s="175" t="s">
        <v>692</v>
      </c>
      <c r="C193" s="175" t="s">
        <v>283</v>
      </c>
      <c r="D193" s="175">
        <v>3</v>
      </c>
      <c r="E193" s="175" t="s">
        <v>18</v>
      </c>
      <c r="F193" s="175">
        <v>1</v>
      </c>
      <c r="G193" s="175">
        <v>1</v>
      </c>
      <c r="H193" s="175">
        <v>1</v>
      </c>
      <c r="I193" s="175">
        <v>1</v>
      </c>
      <c r="J193" s="175">
        <v>2</v>
      </c>
      <c r="K193" s="175">
        <v>1</v>
      </c>
      <c r="L193" s="175">
        <v>1</v>
      </c>
      <c r="M193" s="175">
        <v>1</v>
      </c>
      <c r="N193" s="170"/>
      <c r="O193" s="170"/>
      <c r="P193" s="170"/>
      <c r="Q193" s="180">
        <f>SUM(Tabela2[[#This Row],[G]]+Tabela2[[#This Row],[D]]+Tabela2[[#This Row],[N]]+Tabela2[[#This Row],[HM]])</f>
        <v>4</v>
      </c>
      <c r="R193" s="180">
        <f>SUM(Tabela2[[#This Row],[AO]]+Tabela2[[#This Row],[AD]]+Tabela2[[#This Row],[GWO]]+Tabela2[[#This Row],[GWD]])</f>
        <v>5</v>
      </c>
      <c r="S193" s="180">
        <f>Tabela2[[#This Row],[GWO]]+Tabela2[[#This Row],[GWD]]</f>
        <v>2</v>
      </c>
      <c r="T193" s="180">
        <f>SUM(Tabela2[[#This Row],[G]:[GWD]])</f>
        <v>9</v>
      </c>
    </row>
    <row r="194" spans="1:20">
      <c r="A194" s="183">
        <v>89</v>
      </c>
      <c r="B194" s="174" t="s">
        <v>655</v>
      </c>
      <c r="C194" s="174" t="s">
        <v>283</v>
      </c>
      <c r="D194" s="174">
        <v>3</v>
      </c>
      <c r="E194" s="174" t="s">
        <v>249</v>
      </c>
      <c r="F194" s="174">
        <v>1</v>
      </c>
      <c r="G194" s="174">
        <v>1</v>
      </c>
      <c r="H194" s="174">
        <v>1</v>
      </c>
      <c r="I194" s="174">
        <v>1</v>
      </c>
      <c r="J194" s="174">
        <v>2</v>
      </c>
      <c r="K194" s="174">
        <v>1</v>
      </c>
      <c r="L194" s="174">
        <v>1</v>
      </c>
      <c r="M194" s="174">
        <v>1</v>
      </c>
      <c r="N194" s="174" t="s">
        <v>445</v>
      </c>
      <c r="O194" s="174"/>
      <c r="P194" s="174"/>
      <c r="Q194" s="185">
        <f>SUM(Tabela2[[#This Row],[G]]+Tabela2[[#This Row],[D]]+Tabela2[[#This Row],[N]]+Tabela2[[#This Row],[HM]])</f>
        <v>4</v>
      </c>
      <c r="R194" s="185">
        <f>SUM(Tabela2[[#This Row],[AO]]+Tabela2[[#This Row],[AD]]+Tabela2[[#This Row],[GWO]]+Tabela2[[#This Row],[GWD]])</f>
        <v>5</v>
      </c>
      <c r="S194" s="185">
        <f>Tabela2[[#This Row],[GWO]]+Tabela2[[#This Row],[GWD]]</f>
        <v>2</v>
      </c>
      <c r="T194" s="180">
        <f>SUM(Tabela2[[#This Row],[G]:[GWD]])</f>
        <v>9</v>
      </c>
    </row>
    <row r="195" spans="1:20">
      <c r="A195" s="183">
        <v>145</v>
      </c>
      <c r="B195" s="171" t="s">
        <v>600</v>
      </c>
      <c r="C195" s="171" t="s">
        <v>283</v>
      </c>
      <c r="D195" s="171">
        <v>3</v>
      </c>
      <c r="E195" s="171" t="s">
        <v>251</v>
      </c>
      <c r="F195" s="171">
        <v>1</v>
      </c>
      <c r="G195" s="171">
        <v>1</v>
      </c>
      <c r="H195" s="171">
        <v>1</v>
      </c>
      <c r="I195" s="171">
        <v>1</v>
      </c>
      <c r="J195" s="171">
        <v>1</v>
      </c>
      <c r="K195" s="171">
        <v>2</v>
      </c>
      <c r="L195" s="171">
        <v>1</v>
      </c>
      <c r="M195" s="171">
        <v>1</v>
      </c>
      <c r="N195" s="170"/>
      <c r="O195" s="170"/>
      <c r="P195" s="170"/>
      <c r="Q195" s="180">
        <f>SUM(Tabela2[[#This Row],[G]]+Tabela2[[#This Row],[D]]+Tabela2[[#This Row],[N]]+Tabela2[[#This Row],[HM]])</f>
        <v>5</v>
      </c>
      <c r="R195" s="180">
        <f>SUM(Tabela2[[#This Row],[AO]]+Tabela2[[#This Row],[AD]]+Tabela2[[#This Row],[GWO]]+Tabela2[[#This Row],[GWD]])</f>
        <v>4</v>
      </c>
      <c r="S195" s="180">
        <f>Tabela2[[#This Row],[GWO]]+Tabela2[[#This Row],[GWD]]</f>
        <v>2</v>
      </c>
      <c r="T195" s="180">
        <f>SUM(Tabela2[[#This Row],[G]:[GWD]])</f>
        <v>9</v>
      </c>
    </row>
    <row r="196" spans="1:20" ht="30">
      <c r="A196" s="183">
        <v>62</v>
      </c>
      <c r="B196" s="175" t="s">
        <v>684</v>
      </c>
      <c r="C196" s="175" t="s">
        <v>542</v>
      </c>
      <c r="D196" s="175">
        <v>3</v>
      </c>
      <c r="E196" s="175" t="s">
        <v>18</v>
      </c>
      <c r="F196" s="175">
        <v>1</v>
      </c>
      <c r="G196" s="175">
        <v>1</v>
      </c>
      <c r="H196" s="175">
        <v>2</v>
      </c>
      <c r="I196" s="175">
        <v>1</v>
      </c>
      <c r="J196" s="175">
        <v>1</v>
      </c>
      <c r="K196" s="175">
        <v>1</v>
      </c>
      <c r="L196" s="175">
        <v>1</v>
      </c>
      <c r="M196" s="175">
        <v>1</v>
      </c>
      <c r="N196" s="170"/>
      <c r="O196" s="170"/>
      <c r="P196" s="170"/>
      <c r="Q196" s="180">
        <f>SUM(Tabela2[[#This Row],[G]]+Tabela2[[#This Row],[D]]+Tabela2[[#This Row],[N]]+Tabela2[[#This Row],[HM]])</f>
        <v>5</v>
      </c>
      <c r="R196" s="180">
        <f>SUM(Tabela2[[#This Row],[AO]]+Tabela2[[#This Row],[AD]]+Tabela2[[#This Row],[GWO]]+Tabela2[[#This Row],[GWD]])</f>
        <v>4</v>
      </c>
      <c r="S196" s="180">
        <f>Tabela2[[#This Row],[GWO]]+Tabela2[[#This Row],[GWD]]</f>
        <v>2</v>
      </c>
      <c r="T196" s="180">
        <f>SUM(Tabela2[[#This Row],[G]:[GWD]])</f>
        <v>9</v>
      </c>
    </row>
    <row r="197" spans="1:20">
      <c r="A197" s="183">
        <v>126</v>
      </c>
      <c r="B197" s="172" t="s">
        <v>619</v>
      </c>
      <c r="C197" s="172" t="s">
        <v>536</v>
      </c>
      <c r="D197" s="172">
        <v>3</v>
      </c>
      <c r="E197" s="172" t="s">
        <v>250</v>
      </c>
      <c r="F197" s="172">
        <v>2</v>
      </c>
      <c r="G197" s="172">
        <v>1</v>
      </c>
      <c r="H197" s="172">
        <v>1</v>
      </c>
      <c r="I197" s="172">
        <v>1</v>
      </c>
      <c r="J197" s="172">
        <v>1</v>
      </c>
      <c r="K197" s="172">
        <v>1</v>
      </c>
      <c r="L197" s="172">
        <v>1</v>
      </c>
      <c r="M197" s="172">
        <v>1</v>
      </c>
      <c r="N197" s="172" t="s">
        <v>445</v>
      </c>
      <c r="O197" s="172"/>
      <c r="P197" s="172"/>
      <c r="Q197" s="186">
        <f>SUM(Tabela2[[#This Row],[G]]+Tabela2[[#This Row],[D]]+Tabela2[[#This Row],[N]]+Tabela2[[#This Row],[HM]])</f>
        <v>5</v>
      </c>
      <c r="R197" s="186">
        <f>SUM(Tabela2[[#This Row],[AO]]+Tabela2[[#This Row],[AD]]+Tabela2[[#This Row],[GWO]]+Tabela2[[#This Row],[GWD]])</f>
        <v>4</v>
      </c>
      <c r="S197" s="186">
        <f>Tabela2[[#This Row],[GWO]]+Tabela2[[#This Row],[GWD]]</f>
        <v>2</v>
      </c>
      <c r="T197" s="180">
        <f>SUM(Tabela2[[#This Row],[G]:[GWD]])</f>
        <v>9</v>
      </c>
    </row>
    <row r="198" spans="1:20" ht="30">
      <c r="A198" s="183">
        <v>194</v>
      </c>
      <c r="B198" s="170" t="s">
        <v>529</v>
      </c>
      <c r="C198" s="170" t="s">
        <v>528</v>
      </c>
      <c r="D198" s="170">
        <v>3</v>
      </c>
      <c r="E198" s="170" t="s">
        <v>272</v>
      </c>
      <c r="F198" s="170">
        <v>1</v>
      </c>
      <c r="G198" s="170">
        <v>1</v>
      </c>
      <c r="H198" s="170">
        <v>1</v>
      </c>
      <c r="I198" s="170">
        <v>1</v>
      </c>
      <c r="J198" s="170">
        <v>1</v>
      </c>
      <c r="K198" s="170">
        <v>2</v>
      </c>
      <c r="L198" s="170">
        <v>1</v>
      </c>
      <c r="M198" s="170">
        <v>1</v>
      </c>
      <c r="N198" s="170"/>
      <c r="O198" s="170"/>
      <c r="P198" s="170"/>
      <c r="Q198" s="180">
        <f>SUM(Tabela2[[#This Row],[G]]+Tabela2[[#This Row],[D]]+Tabela2[[#This Row],[N]]+Tabela2[[#This Row],[HM]])</f>
        <v>5</v>
      </c>
      <c r="R198" s="180">
        <f>SUM(Tabela2[[#This Row],[AO]]+Tabela2[[#This Row],[AD]]+Tabela2[[#This Row],[GWO]]+Tabela2[[#This Row],[GWD]])</f>
        <v>4</v>
      </c>
      <c r="S198" s="180">
        <f>Tabela2[[#This Row],[GWO]]+Tabela2[[#This Row],[GWD]]</f>
        <v>2</v>
      </c>
      <c r="T198" s="180">
        <f>SUM(Tabela2[[#This Row],[G]:[GWD]])</f>
        <v>9</v>
      </c>
    </row>
    <row r="199" spans="1:20">
      <c r="A199" s="183">
        <v>78</v>
      </c>
      <c r="B199" s="175" t="s">
        <v>666</v>
      </c>
      <c r="C199" s="175" t="s">
        <v>578</v>
      </c>
      <c r="D199" s="175">
        <v>3</v>
      </c>
      <c r="E199" s="175" t="s">
        <v>18</v>
      </c>
      <c r="F199" s="175">
        <v>1</v>
      </c>
      <c r="G199" s="175">
        <v>1</v>
      </c>
      <c r="H199" s="175">
        <v>2</v>
      </c>
      <c r="I199" s="175">
        <v>1</v>
      </c>
      <c r="J199" s="175">
        <v>1</v>
      </c>
      <c r="K199" s="175">
        <v>1</v>
      </c>
      <c r="L199" s="175">
        <v>1</v>
      </c>
      <c r="M199" s="175">
        <v>1</v>
      </c>
      <c r="N199" s="170"/>
      <c r="O199" s="170"/>
      <c r="P199" s="170"/>
      <c r="Q199" s="180">
        <f>SUM(Tabela2[[#This Row],[G]]+Tabela2[[#This Row],[D]]+Tabela2[[#This Row],[N]]+Tabela2[[#This Row],[HM]])</f>
        <v>5</v>
      </c>
      <c r="R199" s="180">
        <f>SUM(Tabela2[[#This Row],[AO]]+Tabela2[[#This Row],[AD]]+Tabela2[[#This Row],[GWO]]+Tabela2[[#This Row],[GWD]])</f>
        <v>4</v>
      </c>
      <c r="S199" s="180">
        <f>Tabela2[[#This Row],[GWO]]+Tabela2[[#This Row],[GWD]]</f>
        <v>2</v>
      </c>
      <c r="T199" s="180">
        <f>SUM(Tabela2[[#This Row],[G]:[GWD]])</f>
        <v>9</v>
      </c>
    </row>
    <row r="200" spans="1:20" ht="30">
      <c r="A200" s="183">
        <v>253</v>
      </c>
      <c r="B200" s="172" t="s">
        <v>469</v>
      </c>
      <c r="C200" s="172" t="s">
        <v>441</v>
      </c>
      <c r="D200" s="172">
        <v>4</v>
      </c>
      <c r="E200" s="172" t="s">
        <v>250</v>
      </c>
      <c r="F200" s="172">
        <v>2</v>
      </c>
      <c r="G200" s="172">
        <v>1</v>
      </c>
      <c r="H200" s="172">
        <v>1</v>
      </c>
      <c r="I200" s="172">
        <v>1</v>
      </c>
      <c r="J200" s="172">
        <v>1</v>
      </c>
      <c r="K200" s="172">
        <v>1</v>
      </c>
      <c r="L200" s="172">
        <v>1</v>
      </c>
      <c r="M200" s="172">
        <v>1</v>
      </c>
      <c r="N200" s="170"/>
      <c r="O200" s="170"/>
      <c r="P200" s="170"/>
      <c r="Q200" s="180">
        <f>SUM(Tabela2[[#This Row],[G]]+Tabela2[[#This Row],[D]]+Tabela2[[#This Row],[N]]+Tabela2[[#This Row],[HM]])</f>
        <v>5</v>
      </c>
      <c r="R200" s="180">
        <f>SUM(Tabela2[[#This Row],[AO]]+Tabela2[[#This Row],[AD]]+Tabela2[[#This Row],[GWO]]+Tabela2[[#This Row],[GWD]])</f>
        <v>4</v>
      </c>
      <c r="S200" s="180">
        <f>Tabela2[[#This Row],[GWO]]+Tabela2[[#This Row],[GWD]]</f>
        <v>2</v>
      </c>
      <c r="T200" s="180">
        <f>SUM(Tabela2[[#This Row],[G]:[GWD]])</f>
        <v>9</v>
      </c>
    </row>
    <row r="201" spans="1:20">
      <c r="A201" s="183">
        <v>235</v>
      </c>
      <c r="B201" s="174" t="s">
        <v>487</v>
      </c>
      <c r="C201" s="174" t="s">
        <v>398</v>
      </c>
      <c r="D201" s="174">
        <v>4</v>
      </c>
      <c r="E201" s="174" t="s">
        <v>249</v>
      </c>
      <c r="F201" s="174">
        <v>1</v>
      </c>
      <c r="G201" s="174">
        <v>1</v>
      </c>
      <c r="H201" s="174">
        <v>1</v>
      </c>
      <c r="I201" s="174">
        <v>1</v>
      </c>
      <c r="J201" s="174">
        <v>1</v>
      </c>
      <c r="K201" s="174">
        <v>2</v>
      </c>
      <c r="L201" s="174">
        <v>1</v>
      </c>
      <c r="M201" s="174">
        <v>1</v>
      </c>
      <c r="N201" s="170"/>
      <c r="O201" s="170"/>
      <c r="P201" s="170"/>
      <c r="Q201" s="180">
        <f>SUM(Tabela2[[#This Row],[G]]+Tabela2[[#This Row],[D]]+Tabela2[[#This Row],[N]]+Tabela2[[#This Row],[HM]])</f>
        <v>5</v>
      </c>
      <c r="R201" s="180">
        <f>SUM(Tabela2[[#This Row],[AO]]+Tabela2[[#This Row],[AD]]+Tabela2[[#This Row],[GWO]]+Tabela2[[#This Row],[GWD]])</f>
        <v>4</v>
      </c>
      <c r="S201" s="180">
        <f>Tabela2[[#This Row],[GWO]]+Tabela2[[#This Row],[GWD]]</f>
        <v>2</v>
      </c>
      <c r="T201" s="180">
        <f>SUM(Tabela2[[#This Row],[G]:[GWD]])</f>
        <v>9</v>
      </c>
    </row>
    <row r="202" spans="1:20">
      <c r="A202" s="183">
        <v>25</v>
      </c>
      <c r="B202" s="172" t="s">
        <v>738</v>
      </c>
      <c r="C202" s="172" t="s">
        <v>737</v>
      </c>
      <c r="D202" s="172">
        <v>2</v>
      </c>
      <c r="E202" s="172" t="s">
        <v>250</v>
      </c>
      <c r="F202" s="172">
        <v>1</v>
      </c>
      <c r="G202" s="172">
        <v>1</v>
      </c>
      <c r="H202" s="172">
        <v>1</v>
      </c>
      <c r="I202" s="172">
        <v>1</v>
      </c>
      <c r="J202" s="172">
        <v>1</v>
      </c>
      <c r="K202" s="172">
        <v>1</v>
      </c>
      <c r="L202" s="172">
        <v>1</v>
      </c>
      <c r="M202" s="172">
        <v>1</v>
      </c>
      <c r="N202" s="170"/>
      <c r="O202" s="170"/>
      <c r="P202" s="170"/>
      <c r="Q202" s="180">
        <f>SUM(Tabela2[[#This Row],[G]]+Tabela2[[#This Row],[D]]+Tabela2[[#This Row],[N]]+Tabela2[[#This Row],[HM]])</f>
        <v>4</v>
      </c>
      <c r="R202" s="180">
        <f>SUM(Tabela2[[#This Row],[AO]]+Tabela2[[#This Row],[AD]]+Tabela2[[#This Row],[GWO]]+Tabela2[[#This Row],[GWD]])</f>
        <v>4</v>
      </c>
      <c r="S202" s="180">
        <f>Tabela2[[#This Row],[GWO]]+Tabela2[[#This Row],[GWD]]</f>
        <v>2</v>
      </c>
      <c r="T202" s="180">
        <f>SUM(Tabela2[[#This Row],[G]:[GWD]])</f>
        <v>8</v>
      </c>
    </row>
    <row r="203" spans="1:20">
      <c r="A203" s="183">
        <v>14</v>
      </c>
      <c r="B203" s="174" t="s">
        <v>748</v>
      </c>
      <c r="C203" s="174" t="s">
        <v>747</v>
      </c>
      <c r="D203" s="174">
        <v>2</v>
      </c>
      <c r="E203" s="174" t="s">
        <v>249</v>
      </c>
      <c r="F203" s="174">
        <v>1</v>
      </c>
      <c r="G203" s="174">
        <v>1</v>
      </c>
      <c r="H203" s="174">
        <v>1</v>
      </c>
      <c r="I203" s="174">
        <v>1</v>
      </c>
      <c r="J203" s="174">
        <v>1</v>
      </c>
      <c r="K203" s="174">
        <v>1</v>
      </c>
      <c r="L203" s="174">
        <v>1</v>
      </c>
      <c r="M203" s="174">
        <v>1</v>
      </c>
      <c r="N203" s="170"/>
      <c r="O203" s="170"/>
      <c r="P203" s="170"/>
      <c r="Q203" s="180">
        <f>SUM(Tabela2[[#This Row],[G]]+Tabela2[[#This Row],[D]]+Tabela2[[#This Row],[N]]+Tabela2[[#This Row],[HM]])</f>
        <v>4</v>
      </c>
      <c r="R203" s="180">
        <f>SUM(Tabela2[[#This Row],[AO]]+Tabela2[[#This Row],[AD]]+Tabela2[[#This Row],[GWO]]+Tabela2[[#This Row],[GWD]])</f>
        <v>4</v>
      </c>
      <c r="S203" s="180">
        <f>Tabela2[[#This Row],[GWO]]+Tabela2[[#This Row],[GWD]]</f>
        <v>2</v>
      </c>
      <c r="T203" s="180">
        <f>SUM(Tabela2[[#This Row],[G]:[GWD]])</f>
        <v>8</v>
      </c>
    </row>
    <row r="204" spans="1:20">
      <c r="A204" s="183">
        <v>6</v>
      </c>
      <c r="B204" s="175" t="s">
        <v>758</v>
      </c>
      <c r="C204" s="175" t="s">
        <v>757</v>
      </c>
      <c r="D204" s="175">
        <v>2</v>
      </c>
      <c r="E204" s="175" t="s">
        <v>18</v>
      </c>
      <c r="F204" s="175">
        <v>1</v>
      </c>
      <c r="G204" s="175">
        <v>1</v>
      </c>
      <c r="H204" s="175">
        <v>1</v>
      </c>
      <c r="I204" s="175">
        <v>1</v>
      </c>
      <c r="J204" s="175">
        <v>1</v>
      </c>
      <c r="K204" s="175">
        <v>1</v>
      </c>
      <c r="L204" s="175">
        <v>1</v>
      </c>
      <c r="M204" s="175">
        <v>1</v>
      </c>
      <c r="N204" s="170"/>
      <c r="O204" s="170"/>
      <c r="P204" s="170"/>
      <c r="Q204" s="180">
        <f>SUM(Tabela2[[#This Row],[G]]+Tabela2[[#This Row],[D]]+Tabela2[[#This Row],[N]]+Tabela2[[#This Row],[HM]])</f>
        <v>4</v>
      </c>
      <c r="R204" s="180">
        <f>SUM(Tabela2[[#This Row],[AO]]+Tabela2[[#This Row],[AD]]+Tabela2[[#This Row],[GWO]]+Tabela2[[#This Row],[GWD]])</f>
        <v>4</v>
      </c>
      <c r="S204" s="180">
        <f>Tabela2[[#This Row],[GWO]]+Tabela2[[#This Row],[GWD]]</f>
        <v>2</v>
      </c>
      <c r="T204" s="180">
        <f>SUM(Tabela2[[#This Row],[G]:[GWD]])</f>
        <v>8</v>
      </c>
    </row>
    <row r="205" spans="1:20">
      <c r="A205" s="183">
        <v>32</v>
      </c>
      <c r="B205" s="172" t="s">
        <v>728</v>
      </c>
      <c r="C205" s="172" t="s">
        <v>693</v>
      </c>
      <c r="D205" s="172">
        <v>2</v>
      </c>
      <c r="E205" s="172" t="s">
        <v>250</v>
      </c>
      <c r="F205" s="172">
        <v>1</v>
      </c>
      <c r="G205" s="172">
        <v>1</v>
      </c>
      <c r="H205" s="172">
        <v>1</v>
      </c>
      <c r="I205" s="172">
        <v>1</v>
      </c>
      <c r="J205" s="172">
        <v>1</v>
      </c>
      <c r="K205" s="172">
        <v>1</v>
      </c>
      <c r="L205" s="172">
        <v>1</v>
      </c>
      <c r="M205" s="172">
        <v>1</v>
      </c>
      <c r="N205" s="170"/>
      <c r="O205" s="170"/>
      <c r="P205" s="170"/>
      <c r="Q205" s="180">
        <f>SUM(Tabela2[[#This Row],[G]]+Tabela2[[#This Row],[D]]+Tabela2[[#This Row],[N]]+Tabela2[[#This Row],[HM]])</f>
        <v>4</v>
      </c>
      <c r="R205" s="180">
        <f>SUM(Tabela2[[#This Row],[AO]]+Tabela2[[#This Row],[AD]]+Tabela2[[#This Row],[GWO]]+Tabela2[[#This Row],[GWD]])</f>
        <v>4</v>
      </c>
      <c r="S205" s="180">
        <f>Tabela2[[#This Row],[GWO]]+Tabela2[[#This Row],[GWD]]</f>
        <v>2</v>
      </c>
      <c r="T205" s="180">
        <f>SUM(Tabela2[[#This Row],[G]:[GWD]])</f>
        <v>8</v>
      </c>
    </row>
    <row r="206" spans="1:20">
      <c r="A206" s="183">
        <v>39</v>
      </c>
      <c r="B206" s="171" t="s">
        <v>720</v>
      </c>
      <c r="C206" s="171" t="s">
        <v>693</v>
      </c>
      <c r="D206" s="171">
        <v>2</v>
      </c>
      <c r="E206" s="171" t="s">
        <v>251</v>
      </c>
      <c r="F206" s="171">
        <v>1</v>
      </c>
      <c r="G206" s="171">
        <v>1</v>
      </c>
      <c r="H206" s="171">
        <v>1</v>
      </c>
      <c r="I206" s="171">
        <v>1</v>
      </c>
      <c r="J206" s="171">
        <v>1</v>
      </c>
      <c r="K206" s="171">
        <v>1</v>
      </c>
      <c r="L206" s="171">
        <v>1</v>
      </c>
      <c r="M206" s="171">
        <v>1</v>
      </c>
      <c r="N206" s="170"/>
      <c r="O206" s="170"/>
      <c r="P206" s="170"/>
      <c r="Q206" s="180">
        <f>SUM(Tabela2[[#This Row],[G]]+Tabela2[[#This Row],[D]]+Tabela2[[#This Row],[N]]+Tabela2[[#This Row],[HM]])</f>
        <v>4</v>
      </c>
      <c r="R206" s="180">
        <f>SUM(Tabela2[[#This Row],[AO]]+Tabela2[[#This Row],[AD]]+Tabela2[[#This Row],[GWO]]+Tabela2[[#This Row],[GWD]])</f>
        <v>4</v>
      </c>
      <c r="S206" s="180">
        <f>Tabela2[[#This Row],[GWO]]+Tabela2[[#This Row],[GWD]]</f>
        <v>2</v>
      </c>
      <c r="T206" s="180">
        <f>SUM(Tabela2[[#This Row],[G]:[GWD]])</f>
        <v>8</v>
      </c>
    </row>
    <row r="207" spans="1:20">
      <c r="A207" s="183">
        <v>7</v>
      </c>
      <c r="B207" s="175" t="s">
        <v>756</v>
      </c>
      <c r="C207" s="175" t="s">
        <v>555</v>
      </c>
      <c r="D207" s="175">
        <v>2</v>
      </c>
      <c r="E207" s="175" t="s">
        <v>18</v>
      </c>
      <c r="F207" s="175">
        <v>1</v>
      </c>
      <c r="G207" s="175">
        <v>1</v>
      </c>
      <c r="H207" s="175">
        <v>1</v>
      </c>
      <c r="I207" s="175">
        <v>1</v>
      </c>
      <c r="J207" s="175">
        <v>1</v>
      </c>
      <c r="K207" s="175">
        <v>1</v>
      </c>
      <c r="L207" s="175">
        <v>1</v>
      </c>
      <c r="M207" s="175">
        <v>1</v>
      </c>
      <c r="N207" s="170"/>
      <c r="O207" s="170"/>
      <c r="P207" s="170"/>
      <c r="Q207" s="180">
        <f>SUM(Tabela2[[#This Row],[G]]+Tabela2[[#This Row],[D]]+Tabela2[[#This Row],[N]]+Tabela2[[#This Row],[HM]])</f>
        <v>4</v>
      </c>
      <c r="R207" s="180">
        <f>SUM(Tabela2[[#This Row],[AO]]+Tabela2[[#This Row],[AD]]+Tabela2[[#This Row],[GWO]]+Tabela2[[#This Row],[GWD]])</f>
        <v>4</v>
      </c>
      <c r="S207" s="180">
        <f>Tabela2[[#This Row],[GWO]]+Tabela2[[#This Row],[GWD]]</f>
        <v>2</v>
      </c>
      <c r="T207" s="180">
        <f>SUM(Tabela2[[#This Row],[G]:[GWD]])</f>
        <v>8</v>
      </c>
    </row>
    <row r="208" spans="1:20">
      <c r="A208" s="183">
        <v>29</v>
      </c>
      <c r="B208" s="172" t="s">
        <v>732</v>
      </c>
      <c r="C208" s="172" t="s">
        <v>725</v>
      </c>
      <c r="D208" s="172">
        <v>2</v>
      </c>
      <c r="E208" s="172" t="s">
        <v>250</v>
      </c>
      <c r="F208" s="172">
        <v>1</v>
      </c>
      <c r="G208" s="172">
        <v>1</v>
      </c>
      <c r="H208" s="172">
        <v>1</v>
      </c>
      <c r="I208" s="172">
        <v>1</v>
      </c>
      <c r="J208" s="172">
        <v>1</v>
      </c>
      <c r="K208" s="172">
        <v>1</v>
      </c>
      <c r="L208" s="172">
        <v>1</v>
      </c>
      <c r="M208" s="172">
        <v>1</v>
      </c>
      <c r="N208" s="170"/>
      <c r="O208" s="170"/>
      <c r="P208" s="170"/>
      <c r="Q208" s="180">
        <f>SUM(Tabela2[[#This Row],[G]]+Tabela2[[#This Row],[D]]+Tabela2[[#This Row],[N]]+Tabela2[[#This Row],[HM]])</f>
        <v>4</v>
      </c>
      <c r="R208" s="180">
        <f>SUM(Tabela2[[#This Row],[AO]]+Tabela2[[#This Row],[AD]]+Tabela2[[#This Row],[GWO]]+Tabela2[[#This Row],[GWD]])</f>
        <v>4</v>
      </c>
      <c r="S208" s="180">
        <f>Tabela2[[#This Row],[GWO]]+Tabela2[[#This Row],[GWD]]</f>
        <v>2</v>
      </c>
      <c r="T208" s="180">
        <f>SUM(Tabela2[[#This Row],[G]:[GWD]])</f>
        <v>8</v>
      </c>
    </row>
    <row r="209" spans="1:20">
      <c r="A209" s="183">
        <v>35</v>
      </c>
      <c r="B209" s="171" t="s">
        <v>726</v>
      </c>
      <c r="C209" s="171" t="s">
        <v>725</v>
      </c>
      <c r="D209" s="171">
        <v>2</v>
      </c>
      <c r="E209" s="171" t="s">
        <v>251</v>
      </c>
      <c r="F209" s="171">
        <v>1</v>
      </c>
      <c r="G209" s="171">
        <v>1</v>
      </c>
      <c r="H209" s="171">
        <v>1</v>
      </c>
      <c r="I209" s="171">
        <v>1</v>
      </c>
      <c r="J209" s="171">
        <v>1</v>
      </c>
      <c r="K209" s="171">
        <v>1</v>
      </c>
      <c r="L209" s="171">
        <v>1</v>
      </c>
      <c r="M209" s="171">
        <v>1</v>
      </c>
      <c r="N209" s="170"/>
      <c r="O209" s="170"/>
      <c r="P209" s="170"/>
      <c r="Q209" s="180">
        <f>SUM(Tabela2[[#This Row],[G]]+Tabela2[[#This Row],[D]]+Tabela2[[#This Row],[N]]+Tabela2[[#This Row],[HM]])</f>
        <v>4</v>
      </c>
      <c r="R209" s="180">
        <f>SUM(Tabela2[[#This Row],[AO]]+Tabela2[[#This Row],[AD]]+Tabela2[[#This Row],[GWO]]+Tabela2[[#This Row],[GWD]])</f>
        <v>4</v>
      </c>
      <c r="S209" s="180">
        <f>Tabela2[[#This Row],[GWO]]+Tabela2[[#This Row],[GWD]]</f>
        <v>2</v>
      </c>
      <c r="T209" s="180">
        <f>SUM(Tabela2[[#This Row],[G]:[GWD]])</f>
        <v>8</v>
      </c>
    </row>
    <row r="210" spans="1:20">
      <c r="A210" s="183">
        <v>15</v>
      </c>
      <c r="B210" s="174" t="s">
        <v>746</v>
      </c>
      <c r="C210" s="174" t="s">
        <v>735</v>
      </c>
      <c r="D210" s="174">
        <v>2</v>
      </c>
      <c r="E210" s="174" t="s">
        <v>249</v>
      </c>
      <c r="F210" s="174">
        <v>1</v>
      </c>
      <c r="G210" s="174">
        <v>1</v>
      </c>
      <c r="H210" s="174">
        <v>1</v>
      </c>
      <c r="I210" s="174">
        <v>1</v>
      </c>
      <c r="J210" s="174">
        <v>1</v>
      </c>
      <c r="K210" s="174">
        <v>1</v>
      </c>
      <c r="L210" s="174">
        <v>1</v>
      </c>
      <c r="M210" s="174">
        <v>1</v>
      </c>
      <c r="N210" s="170"/>
      <c r="O210" s="170"/>
      <c r="P210" s="170"/>
      <c r="Q210" s="180">
        <f>SUM(Tabela2[[#This Row],[G]]+Tabela2[[#This Row],[D]]+Tabela2[[#This Row],[N]]+Tabela2[[#This Row],[HM]])</f>
        <v>4</v>
      </c>
      <c r="R210" s="180">
        <f>SUM(Tabela2[[#This Row],[AO]]+Tabela2[[#This Row],[AD]]+Tabela2[[#This Row],[GWO]]+Tabela2[[#This Row],[GWD]])</f>
        <v>4</v>
      </c>
      <c r="S210" s="180">
        <f>Tabela2[[#This Row],[GWO]]+Tabela2[[#This Row],[GWD]]</f>
        <v>2</v>
      </c>
      <c r="T210" s="180">
        <f>SUM(Tabela2[[#This Row],[G]:[GWD]])</f>
        <v>8</v>
      </c>
    </row>
    <row r="211" spans="1:20">
      <c r="A211" s="183">
        <v>26</v>
      </c>
      <c r="B211" s="172" t="s">
        <v>736</v>
      </c>
      <c r="C211" s="172" t="s">
        <v>735</v>
      </c>
      <c r="D211" s="172">
        <v>2</v>
      </c>
      <c r="E211" s="172" t="s">
        <v>250</v>
      </c>
      <c r="F211" s="172">
        <v>1</v>
      </c>
      <c r="G211" s="172">
        <v>1</v>
      </c>
      <c r="H211" s="172">
        <v>1</v>
      </c>
      <c r="I211" s="172">
        <v>1</v>
      </c>
      <c r="J211" s="172">
        <v>1</v>
      </c>
      <c r="K211" s="172">
        <v>1</v>
      </c>
      <c r="L211" s="172">
        <v>1</v>
      </c>
      <c r="M211" s="172">
        <v>1</v>
      </c>
      <c r="N211" s="172" t="s">
        <v>445</v>
      </c>
      <c r="O211" s="172"/>
      <c r="P211" s="172"/>
      <c r="Q211" s="186">
        <f>SUM(Tabela2[[#This Row],[G]]+Tabela2[[#This Row],[D]]+Tabela2[[#This Row],[N]]+Tabela2[[#This Row],[HM]])</f>
        <v>4</v>
      </c>
      <c r="R211" s="186">
        <f>SUM(Tabela2[[#This Row],[AO]]+Tabela2[[#This Row],[AD]]+Tabela2[[#This Row],[GWO]]+Tabela2[[#This Row],[GWD]])</f>
        <v>4</v>
      </c>
      <c r="S211" s="186">
        <f>Tabela2[[#This Row],[GWO]]+Tabela2[[#This Row],[GWD]]</f>
        <v>2</v>
      </c>
      <c r="T211" s="180">
        <f>SUM(Tabela2[[#This Row],[G]:[GWD]])</f>
        <v>8</v>
      </c>
    </row>
    <row r="212" spans="1:20">
      <c r="A212" s="183">
        <v>24</v>
      </c>
      <c r="B212" s="172" t="s">
        <v>739</v>
      </c>
      <c r="C212" s="172" t="s">
        <v>594</v>
      </c>
      <c r="D212" s="172">
        <v>2</v>
      </c>
      <c r="E212" s="172" t="s">
        <v>250</v>
      </c>
      <c r="F212" s="172">
        <v>1</v>
      </c>
      <c r="G212" s="172">
        <v>1</v>
      </c>
      <c r="H212" s="172">
        <v>1</v>
      </c>
      <c r="I212" s="172">
        <v>1</v>
      </c>
      <c r="J212" s="172">
        <v>1</v>
      </c>
      <c r="K212" s="172">
        <v>1</v>
      </c>
      <c r="L212" s="172">
        <v>1</v>
      </c>
      <c r="M212" s="172">
        <v>1</v>
      </c>
      <c r="N212" s="170"/>
      <c r="O212" s="170"/>
      <c r="P212" s="170"/>
      <c r="Q212" s="180">
        <f>SUM(Tabela2[[#This Row],[G]]+Tabela2[[#This Row],[D]]+Tabela2[[#This Row],[N]]+Tabela2[[#This Row],[HM]])</f>
        <v>4</v>
      </c>
      <c r="R212" s="180">
        <f>SUM(Tabela2[[#This Row],[AO]]+Tabela2[[#This Row],[AD]]+Tabela2[[#This Row],[GWO]]+Tabela2[[#This Row],[GWD]])</f>
        <v>4</v>
      </c>
      <c r="S212" s="180">
        <f>Tabela2[[#This Row],[GWO]]+Tabela2[[#This Row],[GWD]]</f>
        <v>2</v>
      </c>
      <c r="T212" s="180">
        <f>SUM(Tabela2[[#This Row],[G]:[GWD]])</f>
        <v>8</v>
      </c>
    </row>
    <row r="213" spans="1:20">
      <c r="A213" s="183">
        <v>41</v>
      </c>
      <c r="B213" s="170" t="s">
        <v>718</v>
      </c>
      <c r="C213" s="170" t="s">
        <v>594</v>
      </c>
      <c r="D213" s="170">
        <v>2</v>
      </c>
      <c r="E213" s="170" t="s">
        <v>272</v>
      </c>
      <c r="F213" s="170">
        <v>1</v>
      </c>
      <c r="G213" s="170">
        <v>1</v>
      </c>
      <c r="H213" s="170">
        <v>1</v>
      </c>
      <c r="I213" s="170">
        <v>1</v>
      </c>
      <c r="J213" s="170">
        <v>1</v>
      </c>
      <c r="K213" s="170">
        <v>1</v>
      </c>
      <c r="L213" s="170">
        <v>1</v>
      </c>
      <c r="M213" s="170">
        <v>1</v>
      </c>
      <c r="N213" s="170"/>
      <c r="O213" s="170"/>
      <c r="P213" s="170"/>
      <c r="Q213" s="180">
        <f>SUM(Tabela2[[#This Row],[G]]+Tabela2[[#This Row],[D]]+Tabela2[[#This Row],[N]]+Tabela2[[#This Row],[HM]])</f>
        <v>4</v>
      </c>
      <c r="R213" s="180">
        <f>SUM(Tabela2[[#This Row],[AO]]+Tabela2[[#This Row],[AD]]+Tabela2[[#This Row],[GWO]]+Tabela2[[#This Row],[GWD]])</f>
        <v>4</v>
      </c>
      <c r="S213" s="180">
        <f>Tabela2[[#This Row],[GWO]]+Tabela2[[#This Row],[GWD]]</f>
        <v>2</v>
      </c>
      <c r="T213" s="180">
        <f>SUM(Tabela2[[#This Row],[G]:[GWD]])</f>
        <v>8</v>
      </c>
    </row>
    <row r="214" spans="1:20">
      <c r="A214" s="183">
        <v>9</v>
      </c>
      <c r="B214" s="175" t="s">
        <v>754</v>
      </c>
      <c r="C214" s="175" t="s">
        <v>753</v>
      </c>
      <c r="D214" s="175">
        <v>2</v>
      </c>
      <c r="E214" s="175" t="s">
        <v>18</v>
      </c>
      <c r="F214" s="175">
        <v>1</v>
      </c>
      <c r="G214" s="175">
        <v>1</v>
      </c>
      <c r="H214" s="175">
        <v>1</v>
      </c>
      <c r="I214" s="175">
        <v>1</v>
      </c>
      <c r="J214" s="175">
        <v>1</v>
      </c>
      <c r="K214" s="175">
        <v>1</v>
      </c>
      <c r="L214" s="175">
        <v>1</v>
      </c>
      <c r="M214" s="175">
        <v>1</v>
      </c>
      <c r="N214" s="170"/>
      <c r="O214" s="170"/>
      <c r="P214" s="170"/>
      <c r="Q214" s="180">
        <f>SUM(Tabela2[[#This Row],[G]]+Tabela2[[#This Row],[D]]+Tabela2[[#This Row],[N]]+Tabela2[[#This Row],[HM]])</f>
        <v>4</v>
      </c>
      <c r="R214" s="180">
        <f>SUM(Tabela2[[#This Row],[AO]]+Tabela2[[#This Row],[AD]]+Tabela2[[#This Row],[GWO]]+Tabela2[[#This Row],[GWD]])</f>
        <v>4</v>
      </c>
      <c r="S214" s="180">
        <f>Tabela2[[#This Row],[GWO]]+Tabela2[[#This Row],[GWD]]</f>
        <v>2</v>
      </c>
      <c r="T214" s="180">
        <f>SUM(Tabela2[[#This Row],[G]:[GWD]])</f>
        <v>8</v>
      </c>
    </row>
    <row r="215" spans="1:20">
      <c r="A215" s="183">
        <v>28</v>
      </c>
      <c r="B215" s="172" t="s">
        <v>733</v>
      </c>
      <c r="C215" s="172" t="s">
        <v>716</v>
      </c>
      <c r="D215" s="172">
        <v>2</v>
      </c>
      <c r="E215" s="172" t="s">
        <v>250</v>
      </c>
      <c r="F215" s="172">
        <v>1</v>
      </c>
      <c r="G215" s="172">
        <v>1</v>
      </c>
      <c r="H215" s="172">
        <v>1</v>
      </c>
      <c r="I215" s="172">
        <v>1</v>
      </c>
      <c r="J215" s="172">
        <v>1</v>
      </c>
      <c r="K215" s="172">
        <v>1</v>
      </c>
      <c r="L215" s="172">
        <v>1</v>
      </c>
      <c r="M215" s="172">
        <v>1</v>
      </c>
      <c r="N215" s="172" t="s">
        <v>445</v>
      </c>
      <c r="O215" s="172"/>
      <c r="P215" s="172"/>
      <c r="Q215" s="186">
        <f>SUM(Tabela2[[#This Row],[G]]+Tabela2[[#This Row],[D]]+Tabela2[[#This Row],[N]]+Tabela2[[#This Row],[HM]])</f>
        <v>4</v>
      </c>
      <c r="R215" s="186">
        <f>SUM(Tabela2[[#This Row],[AO]]+Tabela2[[#This Row],[AD]]+Tabela2[[#This Row],[GWO]]+Tabela2[[#This Row],[GWD]])</f>
        <v>4</v>
      </c>
      <c r="S215" s="186">
        <f>Tabela2[[#This Row],[GWO]]+Tabela2[[#This Row],[GWD]]</f>
        <v>2</v>
      </c>
      <c r="T215" s="180">
        <f>SUM(Tabela2[[#This Row],[G]:[GWD]])</f>
        <v>8</v>
      </c>
    </row>
    <row r="216" spans="1:20">
      <c r="A216" s="183">
        <v>34</v>
      </c>
      <c r="B216" s="171" t="s">
        <v>727</v>
      </c>
      <c r="C216" s="171" t="s">
        <v>716</v>
      </c>
      <c r="D216" s="171">
        <v>2</v>
      </c>
      <c r="E216" s="171" t="s">
        <v>251</v>
      </c>
      <c r="F216" s="171">
        <v>1</v>
      </c>
      <c r="G216" s="171">
        <v>1</v>
      </c>
      <c r="H216" s="171">
        <v>1</v>
      </c>
      <c r="I216" s="171">
        <v>1</v>
      </c>
      <c r="J216" s="171">
        <v>1</v>
      </c>
      <c r="K216" s="171">
        <v>1</v>
      </c>
      <c r="L216" s="171">
        <v>1</v>
      </c>
      <c r="M216" s="171">
        <v>1</v>
      </c>
      <c r="N216" s="170"/>
      <c r="O216" s="170"/>
      <c r="P216" s="170"/>
      <c r="Q216" s="180">
        <f>SUM(Tabela2[[#This Row],[G]]+Tabela2[[#This Row],[D]]+Tabela2[[#This Row],[N]]+Tabela2[[#This Row],[HM]])</f>
        <v>4</v>
      </c>
      <c r="R216" s="180">
        <f>SUM(Tabela2[[#This Row],[AO]]+Tabela2[[#This Row],[AD]]+Tabela2[[#This Row],[GWO]]+Tabela2[[#This Row],[GWD]])</f>
        <v>4</v>
      </c>
      <c r="S216" s="180">
        <f>Tabela2[[#This Row],[GWO]]+Tabela2[[#This Row],[GWD]]</f>
        <v>2</v>
      </c>
      <c r="T216" s="180">
        <f>SUM(Tabela2[[#This Row],[G]:[GWD]])</f>
        <v>8</v>
      </c>
    </row>
    <row r="217" spans="1:20">
      <c r="A217" s="183">
        <v>42</v>
      </c>
      <c r="B217" s="170" t="s">
        <v>717</v>
      </c>
      <c r="C217" s="170" t="s">
        <v>716</v>
      </c>
      <c r="D217" s="170">
        <v>2</v>
      </c>
      <c r="E217" s="170" t="s">
        <v>272</v>
      </c>
      <c r="F217" s="170">
        <v>1</v>
      </c>
      <c r="G217" s="170">
        <v>1</v>
      </c>
      <c r="H217" s="170">
        <v>1</v>
      </c>
      <c r="I217" s="170">
        <v>1</v>
      </c>
      <c r="J217" s="170">
        <v>1</v>
      </c>
      <c r="K217" s="170">
        <v>1</v>
      </c>
      <c r="L217" s="170">
        <v>1</v>
      </c>
      <c r="M217" s="170">
        <v>1</v>
      </c>
      <c r="N217" s="170"/>
      <c r="O217" s="170"/>
      <c r="P217" s="170"/>
      <c r="Q217" s="180">
        <f>SUM(Tabela2[[#This Row],[G]]+Tabela2[[#This Row],[D]]+Tabela2[[#This Row],[N]]+Tabela2[[#This Row],[HM]])</f>
        <v>4</v>
      </c>
      <c r="R217" s="180">
        <f>SUM(Tabela2[[#This Row],[AO]]+Tabela2[[#This Row],[AD]]+Tabela2[[#This Row],[GWO]]+Tabela2[[#This Row],[GWD]])</f>
        <v>4</v>
      </c>
      <c r="S217" s="180">
        <f>Tabela2[[#This Row],[GWO]]+Tabela2[[#This Row],[GWD]]</f>
        <v>2</v>
      </c>
      <c r="T217" s="180">
        <f>SUM(Tabela2[[#This Row],[G]:[GWD]])</f>
        <v>8</v>
      </c>
    </row>
    <row r="218" spans="1:20">
      <c r="A218" s="183">
        <v>21</v>
      </c>
      <c r="B218" s="172" t="s">
        <v>741</v>
      </c>
      <c r="C218" s="172" t="s">
        <v>714</v>
      </c>
      <c r="D218" s="172">
        <v>2</v>
      </c>
      <c r="E218" s="172" t="s">
        <v>250</v>
      </c>
      <c r="F218" s="172">
        <v>1</v>
      </c>
      <c r="G218" s="172">
        <v>1</v>
      </c>
      <c r="H218" s="172">
        <v>1</v>
      </c>
      <c r="I218" s="172">
        <v>1</v>
      </c>
      <c r="J218" s="172">
        <v>1</v>
      </c>
      <c r="K218" s="172">
        <v>1</v>
      </c>
      <c r="L218" s="172">
        <v>1</v>
      </c>
      <c r="M218" s="172">
        <v>1</v>
      </c>
      <c r="N218" s="170"/>
      <c r="O218" s="170"/>
      <c r="P218" s="170"/>
      <c r="Q218" s="180">
        <f>SUM(Tabela2[[#This Row],[G]]+Tabela2[[#This Row],[D]]+Tabela2[[#This Row],[N]]+Tabela2[[#This Row],[HM]])</f>
        <v>4</v>
      </c>
      <c r="R218" s="180">
        <f>SUM(Tabela2[[#This Row],[AO]]+Tabela2[[#This Row],[AD]]+Tabela2[[#This Row],[GWO]]+Tabela2[[#This Row],[GWD]])</f>
        <v>4</v>
      </c>
      <c r="S218" s="180">
        <f>Tabela2[[#This Row],[GWO]]+Tabela2[[#This Row],[GWD]]</f>
        <v>2</v>
      </c>
      <c r="T218" s="180">
        <f>SUM(Tabela2[[#This Row],[G]:[GWD]])</f>
        <v>8</v>
      </c>
    </row>
    <row r="219" spans="1:20">
      <c r="A219" s="183">
        <v>36</v>
      </c>
      <c r="B219" s="171" t="s">
        <v>724</v>
      </c>
      <c r="C219" s="171" t="s">
        <v>714</v>
      </c>
      <c r="D219" s="171">
        <v>2</v>
      </c>
      <c r="E219" s="171" t="s">
        <v>251</v>
      </c>
      <c r="F219" s="171">
        <v>1</v>
      </c>
      <c r="G219" s="171">
        <v>1</v>
      </c>
      <c r="H219" s="171">
        <v>1</v>
      </c>
      <c r="I219" s="171">
        <v>1</v>
      </c>
      <c r="J219" s="171">
        <v>1</v>
      </c>
      <c r="K219" s="171">
        <v>1</v>
      </c>
      <c r="L219" s="171">
        <v>1</v>
      </c>
      <c r="M219" s="171">
        <v>1</v>
      </c>
      <c r="N219" s="170"/>
      <c r="O219" s="170"/>
      <c r="P219" s="170"/>
      <c r="Q219" s="180">
        <f>SUM(Tabela2[[#This Row],[G]]+Tabela2[[#This Row],[D]]+Tabela2[[#This Row],[N]]+Tabela2[[#This Row],[HM]])</f>
        <v>4</v>
      </c>
      <c r="R219" s="180">
        <f>SUM(Tabela2[[#This Row],[AO]]+Tabela2[[#This Row],[AD]]+Tabela2[[#This Row],[GWO]]+Tabela2[[#This Row],[GWD]])</f>
        <v>4</v>
      </c>
      <c r="S219" s="180">
        <f>Tabela2[[#This Row],[GWO]]+Tabela2[[#This Row],[GWD]]</f>
        <v>2</v>
      </c>
      <c r="T219" s="180">
        <f>SUM(Tabela2[[#This Row],[G]:[GWD]])</f>
        <v>8</v>
      </c>
    </row>
    <row r="220" spans="1:20">
      <c r="A220" s="183">
        <v>43</v>
      </c>
      <c r="B220" s="170" t="s">
        <v>715</v>
      </c>
      <c r="C220" s="170" t="s">
        <v>714</v>
      </c>
      <c r="D220" s="170">
        <v>2</v>
      </c>
      <c r="E220" s="170" t="s">
        <v>272</v>
      </c>
      <c r="F220" s="170">
        <v>1</v>
      </c>
      <c r="G220" s="170">
        <v>1</v>
      </c>
      <c r="H220" s="170">
        <v>1</v>
      </c>
      <c r="I220" s="170">
        <v>1</v>
      </c>
      <c r="J220" s="170">
        <v>1</v>
      </c>
      <c r="K220" s="170">
        <v>1</v>
      </c>
      <c r="L220" s="170">
        <v>1</v>
      </c>
      <c r="M220" s="170">
        <v>1</v>
      </c>
      <c r="N220" s="170"/>
      <c r="O220" s="170"/>
      <c r="P220" s="170"/>
      <c r="Q220" s="180">
        <f>SUM(Tabela2[[#This Row],[G]]+Tabela2[[#This Row],[D]]+Tabela2[[#This Row],[N]]+Tabela2[[#This Row],[HM]])</f>
        <v>4</v>
      </c>
      <c r="R220" s="180">
        <f>SUM(Tabela2[[#This Row],[AO]]+Tabela2[[#This Row],[AD]]+Tabela2[[#This Row],[GWO]]+Tabela2[[#This Row],[GWD]])</f>
        <v>4</v>
      </c>
      <c r="S220" s="180">
        <f>Tabela2[[#This Row],[GWO]]+Tabela2[[#This Row],[GWD]]</f>
        <v>2</v>
      </c>
      <c r="T220" s="180">
        <f>SUM(Tabela2[[#This Row],[G]:[GWD]])</f>
        <v>8</v>
      </c>
    </row>
    <row r="221" spans="1:20">
      <c r="A221" s="183">
        <v>2</v>
      </c>
      <c r="B221" s="175" t="s">
        <v>762</v>
      </c>
      <c r="C221" s="175" t="s">
        <v>712</v>
      </c>
      <c r="D221" s="175">
        <v>2</v>
      </c>
      <c r="E221" s="175" t="s">
        <v>18</v>
      </c>
      <c r="F221" s="175">
        <v>1</v>
      </c>
      <c r="G221" s="175">
        <v>1</v>
      </c>
      <c r="H221" s="175">
        <v>1</v>
      </c>
      <c r="I221" s="175">
        <v>1</v>
      </c>
      <c r="J221" s="175">
        <v>1</v>
      </c>
      <c r="K221" s="175">
        <v>1</v>
      </c>
      <c r="L221" s="175">
        <v>1</v>
      </c>
      <c r="M221" s="175">
        <v>1</v>
      </c>
      <c r="N221" s="170"/>
      <c r="O221" s="170"/>
      <c r="P221" s="170"/>
      <c r="Q221" s="180">
        <f>SUM(Tabela2[[#This Row],[G]]+Tabela2[[#This Row],[D]]+Tabela2[[#This Row],[N]]+Tabela2[[#This Row],[HM]])</f>
        <v>4</v>
      </c>
      <c r="R221" s="180">
        <f>SUM(Tabela2[[#This Row],[AO]]+Tabela2[[#This Row],[AD]]+Tabela2[[#This Row],[GWO]]+Tabela2[[#This Row],[GWD]])</f>
        <v>4</v>
      </c>
      <c r="S221" s="180">
        <f>Tabela2[[#This Row],[GWO]]+Tabela2[[#This Row],[GWD]]</f>
        <v>2</v>
      </c>
      <c r="T221" s="180">
        <f>SUM(Tabela2[[#This Row],[G]:[GWD]])</f>
        <v>8</v>
      </c>
    </row>
    <row r="222" spans="1:20">
      <c r="A222" s="183">
        <v>11</v>
      </c>
      <c r="B222" s="174" t="s">
        <v>751</v>
      </c>
      <c r="C222" s="174" t="s">
        <v>712</v>
      </c>
      <c r="D222" s="174">
        <v>2</v>
      </c>
      <c r="E222" s="174" t="s">
        <v>249</v>
      </c>
      <c r="F222" s="174">
        <v>1</v>
      </c>
      <c r="G222" s="174">
        <v>1</v>
      </c>
      <c r="H222" s="174">
        <v>1</v>
      </c>
      <c r="I222" s="174">
        <v>1</v>
      </c>
      <c r="J222" s="174">
        <v>1</v>
      </c>
      <c r="K222" s="174">
        <v>1</v>
      </c>
      <c r="L222" s="174">
        <v>1</v>
      </c>
      <c r="M222" s="174">
        <v>1</v>
      </c>
      <c r="N222" s="174" t="s">
        <v>445</v>
      </c>
      <c r="O222" s="174"/>
      <c r="P222" s="174"/>
      <c r="Q222" s="185">
        <f>SUM(Tabela2[[#This Row],[G]]+Tabela2[[#This Row],[D]]+Tabela2[[#This Row],[N]]+Tabela2[[#This Row],[HM]])</f>
        <v>4</v>
      </c>
      <c r="R222" s="185">
        <f>SUM(Tabela2[[#This Row],[AO]]+Tabela2[[#This Row],[AD]]+Tabela2[[#This Row],[GWO]]+Tabela2[[#This Row],[GWD]])</f>
        <v>4</v>
      </c>
      <c r="S222" s="185">
        <f>Tabela2[[#This Row],[GWO]]+Tabela2[[#This Row],[GWD]]</f>
        <v>2</v>
      </c>
      <c r="T222" s="180">
        <f>SUM(Tabela2[[#This Row],[G]:[GWD]])</f>
        <v>8</v>
      </c>
    </row>
    <row r="223" spans="1:20">
      <c r="A223" s="183">
        <v>37</v>
      </c>
      <c r="B223" s="171" t="s">
        <v>723</v>
      </c>
      <c r="C223" s="171" t="s">
        <v>712</v>
      </c>
      <c r="D223" s="171">
        <v>2</v>
      </c>
      <c r="E223" s="171" t="s">
        <v>251</v>
      </c>
      <c r="F223" s="171">
        <v>1</v>
      </c>
      <c r="G223" s="171">
        <v>1</v>
      </c>
      <c r="H223" s="171">
        <v>1</v>
      </c>
      <c r="I223" s="171">
        <v>1</v>
      </c>
      <c r="J223" s="171">
        <v>1</v>
      </c>
      <c r="K223" s="171">
        <v>1</v>
      </c>
      <c r="L223" s="171">
        <v>1</v>
      </c>
      <c r="M223" s="171">
        <v>1</v>
      </c>
      <c r="N223" s="170"/>
      <c r="O223" s="170"/>
      <c r="P223" s="170"/>
      <c r="Q223" s="180">
        <f>SUM(Tabela2[[#This Row],[G]]+Tabela2[[#This Row],[D]]+Tabela2[[#This Row],[N]]+Tabela2[[#This Row],[HM]])</f>
        <v>4</v>
      </c>
      <c r="R223" s="180">
        <f>SUM(Tabela2[[#This Row],[AO]]+Tabela2[[#This Row],[AD]]+Tabela2[[#This Row],[GWO]]+Tabela2[[#This Row],[GWD]])</f>
        <v>4</v>
      </c>
      <c r="S223" s="180">
        <f>Tabela2[[#This Row],[GWO]]+Tabela2[[#This Row],[GWD]]</f>
        <v>2</v>
      </c>
      <c r="T223" s="180">
        <f>SUM(Tabela2[[#This Row],[G]:[GWD]])</f>
        <v>8</v>
      </c>
    </row>
    <row r="224" spans="1:20">
      <c r="A224" s="183">
        <v>44</v>
      </c>
      <c r="B224" s="170" t="s">
        <v>713</v>
      </c>
      <c r="C224" s="170" t="s">
        <v>712</v>
      </c>
      <c r="D224" s="170">
        <v>2</v>
      </c>
      <c r="E224" s="170" t="s">
        <v>272</v>
      </c>
      <c r="F224" s="170">
        <v>1</v>
      </c>
      <c r="G224" s="170">
        <v>1</v>
      </c>
      <c r="H224" s="170">
        <v>1</v>
      </c>
      <c r="I224" s="170">
        <v>1</v>
      </c>
      <c r="J224" s="170">
        <v>1</v>
      </c>
      <c r="K224" s="170">
        <v>1</v>
      </c>
      <c r="L224" s="170">
        <v>1</v>
      </c>
      <c r="M224" s="170">
        <v>1</v>
      </c>
      <c r="N224" s="170"/>
      <c r="O224" s="170"/>
      <c r="P224" s="170"/>
      <c r="Q224" s="180">
        <f>SUM(Tabela2[[#This Row],[G]]+Tabela2[[#This Row],[D]]+Tabela2[[#This Row],[N]]+Tabela2[[#This Row],[HM]])</f>
        <v>4</v>
      </c>
      <c r="R224" s="180">
        <f>SUM(Tabela2[[#This Row],[AO]]+Tabela2[[#This Row],[AD]]+Tabela2[[#This Row],[GWO]]+Tabela2[[#This Row],[GWD]])</f>
        <v>4</v>
      </c>
      <c r="S224" s="180">
        <f>Tabela2[[#This Row],[GWO]]+Tabela2[[#This Row],[GWD]]</f>
        <v>2</v>
      </c>
      <c r="T224" s="180">
        <f>SUM(Tabela2[[#This Row],[G]:[GWD]])</f>
        <v>8</v>
      </c>
    </row>
    <row r="225" spans="1:20" ht="30">
      <c r="A225" s="183">
        <v>30</v>
      </c>
      <c r="B225" s="172" t="s">
        <v>731</v>
      </c>
      <c r="C225" s="172" t="s">
        <v>671</v>
      </c>
      <c r="D225" s="172">
        <v>2</v>
      </c>
      <c r="E225" s="172" t="s">
        <v>250</v>
      </c>
      <c r="F225" s="172">
        <v>1</v>
      </c>
      <c r="G225" s="172">
        <v>1</v>
      </c>
      <c r="H225" s="172">
        <v>1</v>
      </c>
      <c r="I225" s="172">
        <v>1</v>
      </c>
      <c r="J225" s="172">
        <v>1</v>
      </c>
      <c r="K225" s="172">
        <v>1</v>
      </c>
      <c r="L225" s="172">
        <v>1</v>
      </c>
      <c r="M225" s="172">
        <v>1</v>
      </c>
      <c r="N225" s="172" t="s">
        <v>445</v>
      </c>
      <c r="O225" s="172"/>
      <c r="P225" s="172"/>
      <c r="Q225" s="186">
        <f>SUM(Tabela2[[#This Row],[G]]+Tabela2[[#This Row],[D]]+Tabela2[[#This Row],[N]]+Tabela2[[#This Row],[HM]])</f>
        <v>4</v>
      </c>
      <c r="R225" s="186">
        <f>SUM(Tabela2[[#This Row],[AO]]+Tabela2[[#This Row],[AD]]+Tabela2[[#This Row],[GWO]]+Tabela2[[#This Row],[GWD]])</f>
        <v>4</v>
      </c>
      <c r="S225" s="186">
        <f>Tabela2[[#This Row],[GWO]]+Tabela2[[#This Row],[GWD]]</f>
        <v>2</v>
      </c>
      <c r="T225" s="180">
        <f>SUM(Tabela2[[#This Row],[G]:[GWD]])</f>
        <v>8</v>
      </c>
    </row>
    <row r="226" spans="1:20">
      <c r="A226" s="183">
        <v>16</v>
      </c>
      <c r="B226" s="174" t="s">
        <v>745</v>
      </c>
      <c r="C226" s="174" t="s">
        <v>710</v>
      </c>
      <c r="D226" s="174">
        <v>2</v>
      </c>
      <c r="E226" s="174" t="s">
        <v>249</v>
      </c>
      <c r="F226" s="174">
        <v>1</v>
      </c>
      <c r="G226" s="174">
        <v>1</v>
      </c>
      <c r="H226" s="174">
        <v>1</v>
      </c>
      <c r="I226" s="174">
        <v>1</v>
      </c>
      <c r="J226" s="174">
        <v>1</v>
      </c>
      <c r="K226" s="174">
        <v>1</v>
      </c>
      <c r="L226" s="174">
        <v>1</v>
      </c>
      <c r="M226" s="174">
        <v>1</v>
      </c>
      <c r="N226" s="170"/>
      <c r="O226" s="170"/>
      <c r="P226" s="170"/>
      <c r="Q226" s="180">
        <f>SUM(Tabela2[[#This Row],[G]]+Tabela2[[#This Row],[D]]+Tabela2[[#This Row],[N]]+Tabela2[[#This Row],[HM]])</f>
        <v>4</v>
      </c>
      <c r="R226" s="180">
        <f>SUM(Tabela2[[#This Row],[AO]]+Tabela2[[#This Row],[AD]]+Tabela2[[#This Row],[GWO]]+Tabela2[[#This Row],[GWD]])</f>
        <v>4</v>
      </c>
      <c r="S226" s="180">
        <f>Tabela2[[#This Row],[GWO]]+Tabela2[[#This Row],[GWD]]</f>
        <v>2</v>
      </c>
      <c r="T226" s="180">
        <f>SUM(Tabela2[[#This Row],[G]:[GWD]])</f>
        <v>8</v>
      </c>
    </row>
    <row r="227" spans="1:20">
      <c r="A227" s="183">
        <v>45</v>
      </c>
      <c r="B227" s="170" t="s">
        <v>711</v>
      </c>
      <c r="C227" s="170" t="s">
        <v>710</v>
      </c>
      <c r="D227" s="170">
        <v>2</v>
      </c>
      <c r="E227" s="170" t="s">
        <v>272</v>
      </c>
      <c r="F227" s="170">
        <v>1</v>
      </c>
      <c r="G227" s="170">
        <v>1</v>
      </c>
      <c r="H227" s="170">
        <v>1</v>
      </c>
      <c r="I227" s="170">
        <v>1</v>
      </c>
      <c r="J227" s="170">
        <v>1</v>
      </c>
      <c r="K227" s="170">
        <v>1</v>
      </c>
      <c r="L227" s="170">
        <v>1</v>
      </c>
      <c r="M227" s="170">
        <v>1</v>
      </c>
      <c r="N227" s="170"/>
      <c r="O227" s="170"/>
      <c r="P227" s="170"/>
      <c r="Q227" s="180">
        <f>SUM(Tabela2[[#This Row],[G]]+Tabela2[[#This Row],[D]]+Tabela2[[#This Row],[N]]+Tabela2[[#This Row],[HM]])</f>
        <v>4</v>
      </c>
      <c r="R227" s="180">
        <f>SUM(Tabela2[[#This Row],[AO]]+Tabela2[[#This Row],[AD]]+Tabela2[[#This Row],[GWO]]+Tabela2[[#This Row],[GWD]])</f>
        <v>4</v>
      </c>
      <c r="S227" s="180">
        <f>Tabela2[[#This Row],[GWO]]+Tabela2[[#This Row],[GWD]]</f>
        <v>2</v>
      </c>
      <c r="T227" s="180">
        <f>SUM(Tabela2[[#This Row],[G]:[GWD]])</f>
        <v>8</v>
      </c>
    </row>
    <row r="228" spans="1:20">
      <c r="A228" s="183">
        <v>20</v>
      </c>
      <c r="B228" s="174" t="s">
        <v>742</v>
      </c>
      <c r="C228" s="174" t="s">
        <v>729</v>
      </c>
      <c r="D228" s="174">
        <v>2</v>
      </c>
      <c r="E228" s="174" t="s">
        <v>249</v>
      </c>
      <c r="F228" s="174">
        <v>1</v>
      </c>
      <c r="G228" s="174">
        <v>1</v>
      </c>
      <c r="H228" s="174">
        <v>1</v>
      </c>
      <c r="I228" s="174">
        <v>1</v>
      </c>
      <c r="J228" s="174">
        <v>1</v>
      </c>
      <c r="K228" s="174">
        <v>1</v>
      </c>
      <c r="L228" s="174">
        <v>1</v>
      </c>
      <c r="M228" s="174">
        <v>1</v>
      </c>
      <c r="N228" s="170"/>
      <c r="O228" s="170"/>
      <c r="P228" s="170"/>
      <c r="Q228" s="180">
        <f>SUM(Tabela2[[#This Row],[G]]+Tabela2[[#This Row],[D]]+Tabela2[[#This Row],[N]]+Tabela2[[#This Row],[HM]])</f>
        <v>4</v>
      </c>
      <c r="R228" s="180">
        <f>SUM(Tabela2[[#This Row],[AO]]+Tabela2[[#This Row],[AD]]+Tabela2[[#This Row],[GWO]]+Tabela2[[#This Row],[GWD]])</f>
        <v>4</v>
      </c>
      <c r="S228" s="180">
        <f>Tabela2[[#This Row],[GWO]]+Tabela2[[#This Row],[GWD]]</f>
        <v>2</v>
      </c>
      <c r="T228" s="180">
        <f>SUM(Tabela2[[#This Row],[G]:[GWD]])</f>
        <v>8</v>
      </c>
    </row>
    <row r="229" spans="1:20">
      <c r="A229" s="183">
        <v>31</v>
      </c>
      <c r="B229" s="172" t="s">
        <v>730</v>
      </c>
      <c r="C229" s="172" t="s">
        <v>729</v>
      </c>
      <c r="D229" s="172">
        <v>2</v>
      </c>
      <c r="E229" s="172" t="s">
        <v>250</v>
      </c>
      <c r="F229" s="172">
        <v>1</v>
      </c>
      <c r="G229" s="172">
        <v>1</v>
      </c>
      <c r="H229" s="172">
        <v>1</v>
      </c>
      <c r="I229" s="172">
        <v>1</v>
      </c>
      <c r="J229" s="172">
        <v>1</v>
      </c>
      <c r="K229" s="172">
        <v>1</v>
      </c>
      <c r="L229" s="172">
        <v>1</v>
      </c>
      <c r="M229" s="172">
        <v>1</v>
      </c>
      <c r="N229" s="170"/>
      <c r="O229" s="170"/>
      <c r="P229" s="170"/>
      <c r="Q229" s="180">
        <f>SUM(Tabela2[[#This Row],[G]]+Tabela2[[#This Row],[D]]+Tabela2[[#This Row],[N]]+Tabela2[[#This Row],[HM]])</f>
        <v>4</v>
      </c>
      <c r="R229" s="180">
        <f>SUM(Tabela2[[#This Row],[AO]]+Tabela2[[#This Row],[AD]]+Tabela2[[#This Row],[GWO]]+Tabela2[[#This Row],[GWD]])</f>
        <v>4</v>
      </c>
      <c r="S229" s="180">
        <f>Tabela2[[#This Row],[GWO]]+Tabela2[[#This Row],[GWD]]</f>
        <v>2</v>
      </c>
      <c r="T229" s="180">
        <f>SUM(Tabela2[[#This Row],[G]:[GWD]])</f>
        <v>8</v>
      </c>
    </row>
    <row r="230" spans="1:20">
      <c r="A230" s="183">
        <v>17</v>
      </c>
      <c r="B230" s="174" t="s">
        <v>744</v>
      </c>
      <c r="C230" s="174" t="s">
        <v>708</v>
      </c>
      <c r="D230" s="174">
        <v>2</v>
      </c>
      <c r="E230" s="174" t="s">
        <v>249</v>
      </c>
      <c r="F230" s="174">
        <v>1</v>
      </c>
      <c r="G230" s="174">
        <v>1</v>
      </c>
      <c r="H230" s="174">
        <v>1</v>
      </c>
      <c r="I230" s="174">
        <v>1</v>
      </c>
      <c r="J230" s="174">
        <v>1</v>
      </c>
      <c r="K230" s="174">
        <v>1</v>
      </c>
      <c r="L230" s="174">
        <v>1</v>
      </c>
      <c r="M230" s="174">
        <v>1</v>
      </c>
      <c r="N230" s="170"/>
      <c r="O230" s="170"/>
      <c r="P230" s="170"/>
      <c r="Q230" s="180">
        <f>SUM(Tabela2[[#This Row],[G]]+Tabela2[[#This Row],[D]]+Tabela2[[#This Row],[N]]+Tabela2[[#This Row],[HM]])</f>
        <v>4</v>
      </c>
      <c r="R230" s="180">
        <f>SUM(Tabela2[[#This Row],[AO]]+Tabela2[[#This Row],[AD]]+Tabela2[[#This Row],[GWO]]+Tabela2[[#This Row],[GWD]])</f>
        <v>4</v>
      </c>
      <c r="S230" s="180">
        <f>Tabela2[[#This Row],[GWO]]+Tabela2[[#This Row],[GWD]]</f>
        <v>2</v>
      </c>
      <c r="T230" s="180">
        <f>SUM(Tabela2[[#This Row],[G]:[GWD]])</f>
        <v>8</v>
      </c>
    </row>
    <row r="231" spans="1:20">
      <c r="A231" s="183">
        <v>46</v>
      </c>
      <c r="B231" s="170" t="s">
        <v>709</v>
      </c>
      <c r="C231" s="170" t="s">
        <v>708</v>
      </c>
      <c r="D231" s="170">
        <v>2</v>
      </c>
      <c r="E231" s="170" t="s">
        <v>272</v>
      </c>
      <c r="F231" s="170">
        <v>1</v>
      </c>
      <c r="G231" s="170">
        <v>1</v>
      </c>
      <c r="H231" s="170">
        <v>1</v>
      </c>
      <c r="I231" s="170">
        <v>1</v>
      </c>
      <c r="J231" s="170">
        <v>1</v>
      </c>
      <c r="K231" s="170">
        <v>1</v>
      </c>
      <c r="L231" s="170">
        <v>1</v>
      </c>
      <c r="M231" s="170">
        <v>1</v>
      </c>
      <c r="N231" s="170"/>
      <c r="O231" s="170"/>
      <c r="P231" s="170"/>
      <c r="Q231" s="180">
        <f>SUM(Tabela2[[#This Row],[G]]+Tabela2[[#This Row],[D]]+Tabela2[[#This Row],[N]]+Tabela2[[#This Row],[HM]])</f>
        <v>4</v>
      </c>
      <c r="R231" s="180">
        <f>SUM(Tabela2[[#This Row],[AO]]+Tabela2[[#This Row],[AD]]+Tabela2[[#This Row],[GWO]]+Tabela2[[#This Row],[GWD]])</f>
        <v>4</v>
      </c>
      <c r="S231" s="180">
        <f>Tabela2[[#This Row],[GWO]]+Tabela2[[#This Row],[GWD]]</f>
        <v>2</v>
      </c>
      <c r="T231" s="180">
        <f>SUM(Tabela2[[#This Row],[G]:[GWD]])</f>
        <v>8</v>
      </c>
    </row>
    <row r="232" spans="1:20">
      <c r="A232" s="183">
        <v>5</v>
      </c>
      <c r="B232" s="175" t="s">
        <v>759</v>
      </c>
      <c r="C232" s="175" t="s">
        <v>721</v>
      </c>
      <c r="D232" s="175">
        <v>2</v>
      </c>
      <c r="E232" s="175" t="s">
        <v>18</v>
      </c>
      <c r="F232" s="175">
        <v>1</v>
      </c>
      <c r="G232" s="175">
        <v>1</v>
      </c>
      <c r="H232" s="175">
        <v>1</v>
      </c>
      <c r="I232" s="175">
        <v>1</v>
      </c>
      <c r="J232" s="175">
        <v>1</v>
      </c>
      <c r="K232" s="175">
        <v>1</v>
      </c>
      <c r="L232" s="175">
        <v>1</v>
      </c>
      <c r="M232" s="175">
        <v>1</v>
      </c>
      <c r="N232" s="170"/>
      <c r="O232" s="170"/>
      <c r="P232" s="170"/>
      <c r="Q232" s="180">
        <f>SUM(Tabela2[[#This Row],[G]]+Tabela2[[#This Row],[D]]+Tabela2[[#This Row],[N]]+Tabela2[[#This Row],[HM]])</f>
        <v>4</v>
      </c>
      <c r="R232" s="180">
        <f>SUM(Tabela2[[#This Row],[AO]]+Tabela2[[#This Row],[AD]]+Tabela2[[#This Row],[GWO]]+Tabela2[[#This Row],[GWD]])</f>
        <v>4</v>
      </c>
      <c r="S232" s="180">
        <f>Tabela2[[#This Row],[GWO]]+Tabela2[[#This Row],[GWD]]</f>
        <v>2</v>
      </c>
      <c r="T232" s="180">
        <f>SUM(Tabela2[[#This Row],[G]:[GWD]])</f>
        <v>8</v>
      </c>
    </row>
    <row r="233" spans="1:20">
      <c r="A233" s="183">
        <v>38</v>
      </c>
      <c r="B233" s="171" t="s">
        <v>722</v>
      </c>
      <c r="C233" s="171" t="s">
        <v>721</v>
      </c>
      <c r="D233" s="171">
        <v>2</v>
      </c>
      <c r="E233" s="171" t="s">
        <v>251</v>
      </c>
      <c r="F233" s="171">
        <v>1</v>
      </c>
      <c r="G233" s="171">
        <v>1</v>
      </c>
      <c r="H233" s="171">
        <v>1</v>
      </c>
      <c r="I233" s="171">
        <v>1</v>
      </c>
      <c r="J233" s="171">
        <v>1</v>
      </c>
      <c r="K233" s="171">
        <v>1</v>
      </c>
      <c r="L233" s="171">
        <v>1</v>
      </c>
      <c r="M233" s="171">
        <v>1</v>
      </c>
      <c r="N233" s="170"/>
      <c r="O233" s="170"/>
      <c r="P233" s="170"/>
      <c r="Q233" s="180">
        <f>SUM(Tabela2[[#This Row],[G]]+Tabela2[[#This Row],[D]]+Tabela2[[#This Row],[N]]+Tabela2[[#This Row],[HM]])</f>
        <v>4</v>
      </c>
      <c r="R233" s="180">
        <f>SUM(Tabela2[[#This Row],[AO]]+Tabela2[[#This Row],[AD]]+Tabela2[[#This Row],[GWO]]+Tabela2[[#This Row],[GWD]])</f>
        <v>4</v>
      </c>
      <c r="S233" s="180">
        <f>Tabela2[[#This Row],[GWO]]+Tabela2[[#This Row],[GWD]]</f>
        <v>2</v>
      </c>
      <c r="T233" s="180">
        <f>SUM(Tabela2[[#This Row],[G]:[GWD]])</f>
        <v>8</v>
      </c>
    </row>
    <row r="234" spans="1:20">
      <c r="A234" s="183">
        <v>3</v>
      </c>
      <c r="B234" s="175" t="s">
        <v>761</v>
      </c>
      <c r="C234" s="175" t="s">
        <v>287</v>
      </c>
      <c r="D234" s="175">
        <v>2</v>
      </c>
      <c r="E234" s="175" t="s">
        <v>18</v>
      </c>
      <c r="F234" s="175">
        <v>1</v>
      </c>
      <c r="G234" s="175">
        <v>1</v>
      </c>
      <c r="H234" s="175">
        <v>1</v>
      </c>
      <c r="I234" s="175">
        <v>1</v>
      </c>
      <c r="J234" s="175">
        <v>1</v>
      </c>
      <c r="K234" s="175">
        <v>1</v>
      </c>
      <c r="L234" s="175">
        <v>1</v>
      </c>
      <c r="M234" s="175">
        <v>1</v>
      </c>
      <c r="N234" s="175" t="s">
        <v>445</v>
      </c>
      <c r="O234" s="175"/>
      <c r="P234" s="175"/>
      <c r="Q234" s="184">
        <f>SUM(Tabela2[[#This Row],[G]]+Tabela2[[#This Row],[D]]+Tabela2[[#This Row],[N]]+Tabela2[[#This Row],[HM]])</f>
        <v>4</v>
      </c>
      <c r="R234" s="184">
        <f>SUM(Tabela2[[#This Row],[AO]]+Tabela2[[#This Row],[AD]]+Tabela2[[#This Row],[GWO]]+Tabela2[[#This Row],[GWD]])</f>
        <v>4</v>
      </c>
      <c r="S234" s="184">
        <f>Tabela2[[#This Row],[GWO]]+Tabela2[[#This Row],[GWD]]</f>
        <v>2</v>
      </c>
      <c r="T234" s="181">
        <f>SUM(Tabela2[[#This Row],[G]:[GWD]])</f>
        <v>8</v>
      </c>
    </row>
    <row r="235" spans="1:20">
      <c r="A235" s="183">
        <v>12</v>
      </c>
      <c r="B235" s="174" t="s">
        <v>750</v>
      </c>
      <c r="C235" s="174" t="s">
        <v>706</v>
      </c>
      <c r="D235" s="174">
        <v>2</v>
      </c>
      <c r="E235" s="174" t="s">
        <v>249</v>
      </c>
      <c r="F235" s="174">
        <v>1</v>
      </c>
      <c r="G235" s="174">
        <v>1</v>
      </c>
      <c r="H235" s="174">
        <v>1</v>
      </c>
      <c r="I235" s="174">
        <v>1</v>
      </c>
      <c r="J235" s="174">
        <v>1</v>
      </c>
      <c r="K235" s="174">
        <v>1</v>
      </c>
      <c r="L235" s="174">
        <v>1</v>
      </c>
      <c r="M235" s="174">
        <v>1</v>
      </c>
      <c r="N235" s="170"/>
      <c r="O235" s="170"/>
      <c r="P235" s="170"/>
      <c r="Q235" s="180">
        <f>SUM(Tabela2[[#This Row],[G]]+Tabela2[[#This Row],[D]]+Tabela2[[#This Row],[N]]+Tabela2[[#This Row],[HM]])</f>
        <v>4</v>
      </c>
      <c r="R235" s="180">
        <f>SUM(Tabela2[[#This Row],[AO]]+Tabela2[[#This Row],[AD]]+Tabela2[[#This Row],[GWO]]+Tabela2[[#This Row],[GWD]])</f>
        <v>4</v>
      </c>
      <c r="S235" s="180">
        <f>Tabela2[[#This Row],[GWO]]+Tabela2[[#This Row],[GWD]]</f>
        <v>2</v>
      </c>
      <c r="T235" s="180">
        <f>SUM(Tabela2[[#This Row],[G]:[GWD]])</f>
        <v>8</v>
      </c>
    </row>
    <row r="236" spans="1:20">
      <c r="A236" s="183">
        <v>81</v>
      </c>
      <c r="B236" s="174" t="s">
        <v>663</v>
      </c>
      <c r="C236" s="174" t="s">
        <v>290</v>
      </c>
      <c r="D236" s="174">
        <v>3</v>
      </c>
      <c r="E236" s="174" t="s">
        <v>249</v>
      </c>
      <c r="F236" s="174">
        <v>1</v>
      </c>
      <c r="G236" s="174">
        <v>1</v>
      </c>
      <c r="H236" s="174">
        <v>1</v>
      </c>
      <c r="I236" s="174">
        <v>1</v>
      </c>
      <c r="J236" s="174">
        <v>1</v>
      </c>
      <c r="K236" s="174">
        <v>1</v>
      </c>
      <c r="L236" s="174">
        <v>1</v>
      </c>
      <c r="M236" s="174">
        <v>1</v>
      </c>
      <c r="N236" s="174" t="s">
        <v>445</v>
      </c>
      <c r="O236" s="174"/>
      <c r="P236" s="174"/>
      <c r="Q236" s="185">
        <f>SUM(Tabela2[[#This Row],[G]]+Tabela2[[#This Row],[D]]+Tabela2[[#This Row],[N]]+Tabela2[[#This Row],[HM]])</f>
        <v>4</v>
      </c>
      <c r="R236" s="185">
        <f>SUM(Tabela2[[#This Row],[AO]]+Tabela2[[#This Row],[AD]]+Tabela2[[#This Row],[GWO]]+Tabela2[[#This Row],[GWD]])</f>
        <v>4</v>
      </c>
      <c r="S236" s="185">
        <f>Tabela2[[#This Row],[GWO]]+Tabela2[[#This Row],[GWD]]</f>
        <v>2</v>
      </c>
      <c r="T236" s="180">
        <f>SUM(Tabela2[[#This Row],[G]:[GWD]])</f>
        <v>8</v>
      </c>
    </row>
    <row r="237" spans="1:20">
      <c r="A237" s="183">
        <v>110</v>
      </c>
      <c r="B237" s="172" t="s">
        <v>634</v>
      </c>
      <c r="C237" s="172" t="s">
        <v>290</v>
      </c>
      <c r="D237" s="172">
        <v>3</v>
      </c>
      <c r="E237" s="172" t="s">
        <v>250</v>
      </c>
      <c r="F237" s="172">
        <v>1</v>
      </c>
      <c r="G237" s="172">
        <v>1</v>
      </c>
      <c r="H237" s="172">
        <v>1</v>
      </c>
      <c r="I237" s="172">
        <v>1</v>
      </c>
      <c r="J237" s="172">
        <v>1</v>
      </c>
      <c r="K237" s="172">
        <v>1</v>
      </c>
      <c r="L237" s="172">
        <v>1</v>
      </c>
      <c r="M237" s="172">
        <v>1</v>
      </c>
      <c r="N237" s="172" t="s">
        <v>445</v>
      </c>
      <c r="O237" s="172"/>
      <c r="P237" s="172"/>
      <c r="Q237" s="186">
        <f>SUM(Tabela2[[#This Row],[G]]+Tabela2[[#This Row],[D]]+Tabela2[[#This Row],[N]]+Tabela2[[#This Row],[HM]])</f>
        <v>4</v>
      </c>
      <c r="R237" s="186">
        <f>SUM(Tabela2[[#This Row],[AO]]+Tabela2[[#This Row],[AD]]+Tabela2[[#This Row],[GWO]]+Tabela2[[#This Row],[GWD]])</f>
        <v>4</v>
      </c>
      <c r="S237" s="186">
        <f>Tabela2[[#This Row],[GWO]]+Tabela2[[#This Row],[GWD]]</f>
        <v>2</v>
      </c>
      <c r="T237" s="180">
        <f>SUM(Tabela2[[#This Row],[G]:[GWD]])</f>
        <v>8</v>
      </c>
    </row>
    <row r="238" spans="1:20">
      <c r="A238" s="183">
        <v>137</v>
      </c>
      <c r="B238" s="171" t="s">
        <v>608</v>
      </c>
      <c r="C238" s="171" t="s">
        <v>290</v>
      </c>
      <c r="D238" s="171">
        <v>3</v>
      </c>
      <c r="E238" s="171" t="s">
        <v>251</v>
      </c>
      <c r="F238" s="171">
        <v>1</v>
      </c>
      <c r="G238" s="171">
        <v>1</v>
      </c>
      <c r="H238" s="171">
        <v>1</v>
      </c>
      <c r="I238" s="171">
        <v>1</v>
      </c>
      <c r="J238" s="171">
        <v>1</v>
      </c>
      <c r="K238" s="171">
        <v>1</v>
      </c>
      <c r="L238" s="171">
        <v>1</v>
      </c>
      <c r="M238" s="171">
        <v>1</v>
      </c>
      <c r="N238" s="170"/>
      <c r="O238" s="170"/>
      <c r="P238" s="170"/>
      <c r="Q238" s="180">
        <f>SUM(Tabela2[[#This Row],[G]]+Tabela2[[#This Row],[D]]+Tabela2[[#This Row],[N]]+Tabela2[[#This Row],[HM]])</f>
        <v>4</v>
      </c>
      <c r="R238" s="180">
        <f>SUM(Tabela2[[#This Row],[AO]]+Tabela2[[#This Row],[AD]]+Tabela2[[#This Row],[GWO]]+Tabela2[[#This Row],[GWD]])</f>
        <v>4</v>
      </c>
      <c r="S238" s="180">
        <f>Tabela2[[#This Row],[GWO]]+Tabela2[[#This Row],[GWD]]</f>
        <v>2</v>
      </c>
      <c r="T238" s="180">
        <f>SUM(Tabela2[[#This Row],[G]:[GWD]])</f>
        <v>8</v>
      </c>
    </row>
    <row r="239" spans="1:20" ht="30">
      <c r="A239" s="183">
        <v>111</v>
      </c>
      <c r="B239" s="178" t="s">
        <v>633</v>
      </c>
      <c r="C239" s="172" t="s">
        <v>570</v>
      </c>
      <c r="D239" s="172">
        <v>3</v>
      </c>
      <c r="E239" s="172" t="s">
        <v>250</v>
      </c>
      <c r="F239" s="172">
        <v>1</v>
      </c>
      <c r="G239" s="172">
        <v>1</v>
      </c>
      <c r="H239" s="172">
        <v>1</v>
      </c>
      <c r="I239" s="172">
        <v>1</v>
      </c>
      <c r="J239" s="172">
        <v>1</v>
      </c>
      <c r="K239" s="172">
        <v>1</v>
      </c>
      <c r="L239" s="172">
        <v>1</v>
      </c>
      <c r="M239" s="172">
        <v>1</v>
      </c>
      <c r="N239" s="170"/>
      <c r="O239" s="170"/>
      <c r="P239" s="170"/>
      <c r="Q239" s="180">
        <f>SUM(Tabela2[[#This Row],[G]]+Tabela2[[#This Row],[D]]+Tabela2[[#This Row],[N]]+Tabela2[[#This Row],[HM]])</f>
        <v>4</v>
      </c>
      <c r="R239" s="180">
        <f>SUM(Tabela2[[#This Row],[AO]]+Tabela2[[#This Row],[AD]]+Tabela2[[#This Row],[GWO]]+Tabela2[[#This Row],[GWD]])</f>
        <v>4</v>
      </c>
      <c r="S239" s="180">
        <f>Tabela2[[#This Row],[GWO]]+Tabela2[[#This Row],[GWD]]</f>
        <v>2</v>
      </c>
      <c r="T239" s="180">
        <f>SUM(Tabela2[[#This Row],[G]:[GWD]])</f>
        <v>8</v>
      </c>
    </row>
    <row r="240" spans="1:20" ht="30">
      <c r="A240" s="183">
        <v>138</v>
      </c>
      <c r="B240" s="171" t="s">
        <v>607</v>
      </c>
      <c r="C240" s="171" t="s">
        <v>570</v>
      </c>
      <c r="D240" s="171">
        <v>3</v>
      </c>
      <c r="E240" s="171" t="s">
        <v>251</v>
      </c>
      <c r="F240" s="171">
        <v>1</v>
      </c>
      <c r="G240" s="171">
        <v>1</v>
      </c>
      <c r="H240" s="171">
        <v>1</v>
      </c>
      <c r="I240" s="171">
        <v>1</v>
      </c>
      <c r="J240" s="171">
        <v>1</v>
      </c>
      <c r="K240" s="171">
        <v>1</v>
      </c>
      <c r="L240" s="171">
        <v>1</v>
      </c>
      <c r="M240" s="171">
        <v>1</v>
      </c>
      <c r="N240" s="170"/>
      <c r="O240" s="170"/>
      <c r="P240" s="170"/>
      <c r="Q240" s="180">
        <f>SUM(Tabela2[[#This Row],[G]]+Tabela2[[#This Row],[D]]+Tabela2[[#This Row],[N]]+Tabela2[[#This Row],[HM]])</f>
        <v>4</v>
      </c>
      <c r="R240" s="180">
        <f>SUM(Tabela2[[#This Row],[AO]]+Tabela2[[#This Row],[AD]]+Tabela2[[#This Row],[GWO]]+Tabela2[[#This Row],[GWD]])</f>
        <v>4</v>
      </c>
      <c r="S240" s="180">
        <f>Tabela2[[#This Row],[GWO]]+Tabela2[[#This Row],[GWD]]</f>
        <v>2</v>
      </c>
      <c r="T240" s="180">
        <f>SUM(Tabela2[[#This Row],[G]:[GWD]])</f>
        <v>8</v>
      </c>
    </row>
    <row r="241" spans="1:20" ht="30">
      <c r="A241" s="183">
        <v>139</v>
      </c>
      <c r="B241" s="171" t="s">
        <v>606</v>
      </c>
      <c r="C241" s="171" t="s">
        <v>568</v>
      </c>
      <c r="D241" s="171">
        <v>3</v>
      </c>
      <c r="E241" s="171" t="s">
        <v>251</v>
      </c>
      <c r="F241" s="171">
        <v>1</v>
      </c>
      <c r="G241" s="171">
        <v>1</v>
      </c>
      <c r="H241" s="171">
        <v>1</v>
      </c>
      <c r="I241" s="171">
        <v>1</v>
      </c>
      <c r="J241" s="171">
        <v>1</v>
      </c>
      <c r="K241" s="171">
        <v>1</v>
      </c>
      <c r="L241" s="171">
        <v>1</v>
      </c>
      <c r="M241" s="171">
        <v>1</v>
      </c>
      <c r="N241" s="170"/>
      <c r="O241" s="170"/>
      <c r="P241" s="170"/>
      <c r="Q241" s="180">
        <f>SUM(Tabela2[[#This Row],[G]]+Tabela2[[#This Row],[D]]+Tabela2[[#This Row],[N]]+Tabela2[[#This Row],[HM]])</f>
        <v>4</v>
      </c>
      <c r="R241" s="180">
        <f>SUM(Tabela2[[#This Row],[AO]]+Tabela2[[#This Row],[AD]]+Tabela2[[#This Row],[GWO]]+Tabela2[[#This Row],[GWD]])</f>
        <v>4</v>
      </c>
      <c r="S241" s="180">
        <f>Tabela2[[#This Row],[GWO]]+Tabela2[[#This Row],[GWD]]</f>
        <v>2</v>
      </c>
      <c r="T241" s="180">
        <f>SUM(Tabela2[[#This Row],[G]:[GWD]])</f>
        <v>8</v>
      </c>
    </row>
    <row r="242" spans="1:20" ht="30">
      <c r="A242" s="183">
        <v>172</v>
      </c>
      <c r="B242" s="170" t="s">
        <v>569</v>
      </c>
      <c r="C242" s="170" t="s">
        <v>568</v>
      </c>
      <c r="D242" s="170">
        <v>3</v>
      </c>
      <c r="E242" s="170" t="s">
        <v>272</v>
      </c>
      <c r="F242" s="170">
        <v>1</v>
      </c>
      <c r="G242" s="170">
        <v>1</v>
      </c>
      <c r="H242" s="170">
        <v>1</v>
      </c>
      <c r="I242" s="170">
        <v>1</v>
      </c>
      <c r="J242" s="170">
        <v>1</v>
      </c>
      <c r="K242" s="170">
        <v>1</v>
      </c>
      <c r="L242" s="170">
        <v>1</v>
      </c>
      <c r="M242" s="170">
        <v>1</v>
      </c>
      <c r="N242" s="170"/>
      <c r="O242" s="170"/>
      <c r="P242" s="170"/>
      <c r="Q242" s="180">
        <f>SUM(Tabela2[[#This Row],[G]]+Tabela2[[#This Row],[D]]+Tabela2[[#This Row],[N]]+Tabela2[[#This Row],[HM]])</f>
        <v>4</v>
      </c>
      <c r="R242" s="180">
        <f>SUM(Tabela2[[#This Row],[AO]]+Tabela2[[#This Row],[AD]]+Tabela2[[#This Row],[GWO]]+Tabela2[[#This Row],[GWD]])</f>
        <v>4</v>
      </c>
      <c r="S242" s="180">
        <f>Tabela2[[#This Row],[GWO]]+Tabela2[[#This Row],[GWD]]</f>
        <v>2</v>
      </c>
      <c r="T242" s="180">
        <f>SUM(Tabela2[[#This Row],[G]:[GWD]])</f>
        <v>8</v>
      </c>
    </row>
    <row r="243" spans="1:20" ht="30">
      <c r="A243" s="183">
        <v>113</v>
      </c>
      <c r="B243" s="172" t="s">
        <v>631</v>
      </c>
      <c r="C243" s="172" t="s">
        <v>566</v>
      </c>
      <c r="D243" s="172">
        <v>3</v>
      </c>
      <c r="E243" s="172" t="s">
        <v>250</v>
      </c>
      <c r="F243" s="172">
        <v>1</v>
      </c>
      <c r="G243" s="172">
        <v>1</v>
      </c>
      <c r="H243" s="172">
        <v>1</v>
      </c>
      <c r="I243" s="172">
        <v>1</v>
      </c>
      <c r="J243" s="172">
        <v>1</v>
      </c>
      <c r="K243" s="172">
        <v>1</v>
      </c>
      <c r="L243" s="172">
        <v>1</v>
      </c>
      <c r="M243" s="172">
        <v>1</v>
      </c>
      <c r="N243" s="170"/>
      <c r="O243" s="170"/>
      <c r="P243" s="170"/>
      <c r="Q243" s="180">
        <f>SUM(Tabela2[[#This Row],[G]]+Tabela2[[#This Row],[D]]+Tabela2[[#This Row],[N]]+Tabela2[[#This Row],[HM]])</f>
        <v>4</v>
      </c>
      <c r="R243" s="180">
        <f>SUM(Tabela2[[#This Row],[AO]]+Tabela2[[#This Row],[AD]]+Tabela2[[#This Row],[GWO]]+Tabela2[[#This Row],[GWD]])</f>
        <v>4</v>
      </c>
      <c r="S243" s="180">
        <f>Tabela2[[#This Row],[GWO]]+Tabela2[[#This Row],[GWD]]</f>
        <v>2</v>
      </c>
      <c r="T243" s="180">
        <f>SUM(Tabela2[[#This Row],[G]:[GWD]])</f>
        <v>8</v>
      </c>
    </row>
    <row r="244" spans="1:20" ht="30">
      <c r="A244" s="183">
        <v>140</v>
      </c>
      <c r="B244" s="171" t="s">
        <v>605</v>
      </c>
      <c r="C244" s="171" t="s">
        <v>566</v>
      </c>
      <c r="D244" s="171">
        <v>3</v>
      </c>
      <c r="E244" s="171" t="s">
        <v>251</v>
      </c>
      <c r="F244" s="171">
        <v>1</v>
      </c>
      <c r="G244" s="171">
        <v>1</v>
      </c>
      <c r="H244" s="171">
        <v>1</v>
      </c>
      <c r="I244" s="171">
        <v>1</v>
      </c>
      <c r="J244" s="171">
        <v>1</v>
      </c>
      <c r="K244" s="171">
        <v>1</v>
      </c>
      <c r="L244" s="171">
        <v>1</v>
      </c>
      <c r="M244" s="171">
        <v>1</v>
      </c>
      <c r="N244" s="170"/>
      <c r="O244" s="170"/>
      <c r="P244" s="170"/>
      <c r="Q244" s="180">
        <f>SUM(Tabela2[[#This Row],[G]]+Tabela2[[#This Row],[D]]+Tabela2[[#This Row],[N]]+Tabela2[[#This Row],[HM]])</f>
        <v>4</v>
      </c>
      <c r="R244" s="180">
        <f>SUM(Tabela2[[#This Row],[AO]]+Tabela2[[#This Row],[AD]]+Tabela2[[#This Row],[GWO]]+Tabela2[[#This Row],[GWD]])</f>
        <v>4</v>
      </c>
      <c r="S244" s="180">
        <f>Tabela2[[#This Row],[GWO]]+Tabela2[[#This Row],[GWD]]</f>
        <v>2</v>
      </c>
      <c r="T244" s="180">
        <f>SUM(Tabela2[[#This Row],[G]:[GWD]])</f>
        <v>8</v>
      </c>
    </row>
    <row r="245" spans="1:20" ht="30">
      <c r="A245" s="183">
        <v>173</v>
      </c>
      <c r="B245" s="170" t="s">
        <v>567</v>
      </c>
      <c r="C245" s="170" t="s">
        <v>566</v>
      </c>
      <c r="D245" s="170">
        <v>3</v>
      </c>
      <c r="E245" s="170" t="s">
        <v>272</v>
      </c>
      <c r="F245" s="170">
        <v>1</v>
      </c>
      <c r="G245" s="170">
        <v>1</v>
      </c>
      <c r="H245" s="170">
        <v>1</v>
      </c>
      <c r="I245" s="170">
        <v>1</v>
      </c>
      <c r="J245" s="170">
        <v>1</v>
      </c>
      <c r="K245" s="170">
        <v>1</v>
      </c>
      <c r="L245" s="170">
        <v>1</v>
      </c>
      <c r="M245" s="170">
        <v>1</v>
      </c>
      <c r="N245" s="170"/>
      <c r="O245" s="170"/>
      <c r="P245" s="170"/>
      <c r="Q245" s="180">
        <f>SUM(Tabela2[[#This Row],[G]]+Tabela2[[#This Row],[D]]+Tabela2[[#This Row],[N]]+Tabela2[[#This Row],[HM]])</f>
        <v>4</v>
      </c>
      <c r="R245" s="180">
        <f>SUM(Tabela2[[#This Row],[AO]]+Tabela2[[#This Row],[AD]]+Tabela2[[#This Row],[GWO]]+Tabela2[[#This Row],[GWD]])</f>
        <v>4</v>
      </c>
      <c r="S245" s="180">
        <f>Tabela2[[#This Row],[GWO]]+Tabela2[[#This Row],[GWD]]</f>
        <v>2</v>
      </c>
      <c r="T245" s="180">
        <f>SUM(Tabela2[[#This Row],[G]:[GWD]])</f>
        <v>8</v>
      </c>
    </row>
    <row r="246" spans="1:20">
      <c r="A246" s="183">
        <v>141</v>
      </c>
      <c r="B246" s="171" t="s">
        <v>604</v>
      </c>
      <c r="C246" s="171" t="s">
        <v>565</v>
      </c>
      <c r="D246" s="171">
        <v>3</v>
      </c>
      <c r="E246" s="171" t="s">
        <v>251</v>
      </c>
      <c r="F246" s="171">
        <v>1</v>
      </c>
      <c r="G246" s="171">
        <v>1</v>
      </c>
      <c r="H246" s="171">
        <v>1</v>
      </c>
      <c r="I246" s="171">
        <v>1</v>
      </c>
      <c r="J246" s="171">
        <v>1</v>
      </c>
      <c r="K246" s="171">
        <v>1</v>
      </c>
      <c r="L246" s="171">
        <v>1</v>
      </c>
      <c r="M246" s="171">
        <v>1</v>
      </c>
      <c r="N246" s="170"/>
      <c r="O246" s="170"/>
      <c r="P246" s="170"/>
      <c r="Q246" s="180">
        <f>SUM(Tabela2[[#This Row],[G]]+Tabela2[[#This Row],[D]]+Tabela2[[#This Row],[N]]+Tabela2[[#This Row],[HM]])</f>
        <v>4</v>
      </c>
      <c r="R246" s="180">
        <f>SUM(Tabela2[[#This Row],[AO]]+Tabela2[[#This Row],[AD]]+Tabela2[[#This Row],[GWO]]+Tabela2[[#This Row],[GWD]])</f>
        <v>4</v>
      </c>
      <c r="S246" s="180">
        <f>Tabela2[[#This Row],[GWO]]+Tabela2[[#This Row],[GWD]]</f>
        <v>2</v>
      </c>
      <c r="T246" s="180">
        <f>SUM(Tabela2[[#This Row],[G]:[GWD]])</f>
        <v>8</v>
      </c>
    </row>
    <row r="247" spans="1:20" ht="30">
      <c r="A247" s="183">
        <v>55</v>
      </c>
      <c r="B247" s="175" t="s">
        <v>696</v>
      </c>
      <c r="C247" s="175" t="s">
        <v>695</v>
      </c>
      <c r="D247" s="175">
        <v>3</v>
      </c>
      <c r="E247" s="175" t="s">
        <v>18</v>
      </c>
      <c r="F247" s="175">
        <v>1</v>
      </c>
      <c r="G247" s="175">
        <v>1</v>
      </c>
      <c r="H247" s="175">
        <v>1</v>
      </c>
      <c r="I247" s="175">
        <v>1</v>
      </c>
      <c r="J247" s="175">
        <v>1</v>
      </c>
      <c r="K247" s="175">
        <v>1</v>
      </c>
      <c r="L247" s="175">
        <v>1</v>
      </c>
      <c r="M247" s="175">
        <v>1</v>
      </c>
      <c r="N247" s="170"/>
      <c r="O247" s="170"/>
      <c r="P247" s="170"/>
      <c r="Q247" s="180">
        <f>SUM(Tabela2[[#This Row],[G]]+Tabela2[[#This Row],[D]]+Tabela2[[#This Row],[N]]+Tabela2[[#This Row],[HM]])</f>
        <v>4</v>
      </c>
      <c r="R247" s="180">
        <f>SUM(Tabela2[[#This Row],[AO]]+Tabela2[[#This Row],[AD]]+Tabela2[[#This Row],[GWO]]+Tabela2[[#This Row],[GWD]])</f>
        <v>4</v>
      </c>
      <c r="S247" s="180">
        <f>Tabela2[[#This Row],[GWO]]+Tabela2[[#This Row],[GWD]]</f>
        <v>2</v>
      </c>
      <c r="T247" s="180">
        <f>SUM(Tabela2[[#This Row],[G]:[GWD]])</f>
        <v>8</v>
      </c>
    </row>
    <row r="248" spans="1:20" ht="30">
      <c r="A248" s="183">
        <v>87</v>
      </c>
      <c r="B248" s="174" t="s">
        <v>657</v>
      </c>
      <c r="C248" s="174" t="s">
        <v>563</v>
      </c>
      <c r="D248" s="174">
        <v>3</v>
      </c>
      <c r="E248" s="174" t="s">
        <v>249</v>
      </c>
      <c r="F248" s="174">
        <v>1</v>
      </c>
      <c r="G248" s="174">
        <v>1</v>
      </c>
      <c r="H248" s="174">
        <v>1</v>
      </c>
      <c r="I248" s="174">
        <v>1</v>
      </c>
      <c r="J248" s="174">
        <v>1</v>
      </c>
      <c r="K248" s="174">
        <v>1</v>
      </c>
      <c r="L248" s="174">
        <v>1</v>
      </c>
      <c r="M248" s="174">
        <v>1</v>
      </c>
      <c r="N248" s="170"/>
      <c r="O248" s="170"/>
      <c r="P248" s="170"/>
      <c r="Q248" s="180">
        <f>SUM(Tabela2[[#This Row],[G]]+Tabela2[[#This Row],[D]]+Tabela2[[#This Row],[N]]+Tabela2[[#This Row],[HM]])</f>
        <v>4</v>
      </c>
      <c r="R248" s="180">
        <f>SUM(Tabela2[[#This Row],[AO]]+Tabela2[[#This Row],[AD]]+Tabela2[[#This Row],[GWO]]+Tabela2[[#This Row],[GWD]])</f>
        <v>4</v>
      </c>
      <c r="S248" s="180">
        <f>Tabela2[[#This Row],[GWO]]+Tabela2[[#This Row],[GWD]]</f>
        <v>2</v>
      </c>
      <c r="T248" s="180">
        <f>SUM(Tabela2[[#This Row],[G]:[GWD]])</f>
        <v>8</v>
      </c>
    </row>
    <row r="249" spans="1:20" ht="30">
      <c r="A249" s="183">
        <v>115</v>
      </c>
      <c r="B249" s="172" t="s">
        <v>629</v>
      </c>
      <c r="C249" s="172" t="s">
        <v>563</v>
      </c>
      <c r="D249" s="172">
        <v>3</v>
      </c>
      <c r="E249" s="172" t="s">
        <v>250</v>
      </c>
      <c r="F249" s="172">
        <v>1</v>
      </c>
      <c r="G249" s="172">
        <v>1</v>
      </c>
      <c r="H249" s="172">
        <v>1</v>
      </c>
      <c r="I249" s="172">
        <v>1</v>
      </c>
      <c r="J249" s="172">
        <v>1</v>
      </c>
      <c r="K249" s="172">
        <v>1</v>
      </c>
      <c r="L249" s="172">
        <v>1</v>
      </c>
      <c r="M249" s="172">
        <v>1</v>
      </c>
      <c r="N249" s="170"/>
      <c r="O249" s="170"/>
      <c r="P249" s="170"/>
      <c r="Q249" s="180">
        <f>SUM(Tabela2[[#This Row],[G]]+Tabela2[[#This Row],[D]]+Tabela2[[#This Row],[N]]+Tabela2[[#This Row],[HM]])</f>
        <v>4</v>
      </c>
      <c r="R249" s="180">
        <f>SUM(Tabela2[[#This Row],[AO]]+Tabela2[[#This Row],[AD]]+Tabela2[[#This Row],[GWO]]+Tabela2[[#This Row],[GWD]])</f>
        <v>4</v>
      </c>
      <c r="S249" s="180">
        <f>Tabela2[[#This Row],[GWO]]+Tabela2[[#This Row],[GWD]]</f>
        <v>2</v>
      </c>
      <c r="T249" s="180">
        <f>SUM(Tabela2[[#This Row],[G]:[GWD]])</f>
        <v>8</v>
      </c>
    </row>
    <row r="250" spans="1:20" ht="30">
      <c r="A250" s="183">
        <v>142</v>
      </c>
      <c r="B250" s="171" t="s">
        <v>603</v>
      </c>
      <c r="C250" s="171" t="s">
        <v>563</v>
      </c>
      <c r="D250" s="171">
        <v>3</v>
      </c>
      <c r="E250" s="171" t="s">
        <v>251</v>
      </c>
      <c r="F250" s="171">
        <v>1</v>
      </c>
      <c r="G250" s="171">
        <v>1</v>
      </c>
      <c r="H250" s="171">
        <v>1</v>
      </c>
      <c r="I250" s="171">
        <v>1</v>
      </c>
      <c r="J250" s="171">
        <v>1</v>
      </c>
      <c r="K250" s="171">
        <v>1</v>
      </c>
      <c r="L250" s="171">
        <v>1</v>
      </c>
      <c r="M250" s="171">
        <v>1</v>
      </c>
      <c r="N250" s="170"/>
      <c r="O250" s="170"/>
      <c r="P250" s="170"/>
      <c r="Q250" s="180">
        <f>SUM(Tabela2[[#This Row],[G]]+Tabela2[[#This Row],[D]]+Tabela2[[#This Row],[N]]+Tabela2[[#This Row],[HM]])</f>
        <v>4</v>
      </c>
      <c r="R250" s="180">
        <f>SUM(Tabela2[[#This Row],[AO]]+Tabela2[[#This Row],[AD]]+Tabela2[[#This Row],[GWO]]+Tabela2[[#This Row],[GWD]])</f>
        <v>4</v>
      </c>
      <c r="S250" s="180">
        <f>Tabela2[[#This Row],[GWO]]+Tabela2[[#This Row],[GWD]]</f>
        <v>2</v>
      </c>
      <c r="T250" s="180">
        <f>SUM(Tabela2[[#This Row],[G]:[GWD]])</f>
        <v>8</v>
      </c>
    </row>
    <row r="251" spans="1:20" ht="30">
      <c r="A251" s="183">
        <v>175</v>
      </c>
      <c r="B251" s="170" t="s">
        <v>564</v>
      </c>
      <c r="C251" s="170" t="s">
        <v>563</v>
      </c>
      <c r="D251" s="170">
        <v>3</v>
      </c>
      <c r="E251" s="170" t="s">
        <v>272</v>
      </c>
      <c r="F251" s="170">
        <v>1</v>
      </c>
      <c r="G251" s="170">
        <v>1</v>
      </c>
      <c r="H251" s="170">
        <v>1</v>
      </c>
      <c r="I251" s="170">
        <v>1</v>
      </c>
      <c r="J251" s="170">
        <v>1</v>
      </c>
      <c r="K251" s="170">
        <v>1</v>
      </c>
      <c r="L251" s="170">
        <v>1</v>
      </c>
      <c r="M251" s="170">
        <v>1</v>
      </c>
      <c r="N251" s="170"/>
      <c r="O251" s="170"/>
      <c r="P251" s="170"/>
      <c r="Q251" s="180">
        <f>SUM(Tabela2[[#This Row],[G]]+Tabela2[[#This Row],[D]]+Tabela2[[#This Row],[N]]+Tabela2[[#This Row],[HM]])</f>
        <v>4</v>
      </c>
      <c r="R251" s="180">
        <f>SUM(Tabela2[[#This Row],[AO]]+Tabela2[[#This Row],[AD]]+Tabela2[[#This Row],[GWO]]+Tabela2[[#This Row],[GWD]])</f>
        <v>4</v>
      </c>
      <c r="S251" s="180">
        <f>Tabela2[[#This Row],[GWO]]+Tabela2[[#This Row],[GWD]]</f>
        <v>2</v>
      </c>
      <c r="T251" s="180">
        <f>SUM(Tabela2[[#This Row],[G]:[GWD]])</f>
        <v>8</v>
      </c>
    </row>
    <row r="252" spans="1:20">
      <c r="A252" s="183">
        <v>56</v>
      </c>
      <c r="B252" s="175" t="s">
        <v>694</v>
      </c>
      <c r="C252" s="175" t="s">
        <v>693</v>
      </c>
      <c r="D252" s="175">
        <v>3</v>
      </c>
      <c r="E252" s="175" t="s">
        <v>18</v>
      </c>
      <c r="F252" s="175">
        <v>1</v>
      </c>
      <c r="G252" s="175">
        <v>1</v>
      </c>
      <c r="H252" s="175">
        <v>1</v>
      </c>
      <c r="I252" s="175">
        <v>1</v>
      </c>
      <c r="J252" s="175">
        <v>1</v>
      </c>
      <c r="K252" s="175">
        <v>1</v>
      </c>
      <c r="L252" s="175">
        <v>1</v>
      </c>
      <c r="M252" s="175">
        <v>1</v>
      </c>
      <c r="N252" s="170"/>
      <c r="O252" s="170"/>
      <c r="P252" s="170"/>
      <c r="Q252" s="180">
        <f>SUM(Tabela2[[#This Row],[G]]+Tabela2[[#This Row],[D]]+Tabela2[[#This Row],[N]]+Tabela2[[#This Row],[HM]])</f>
        <v>4</v>
      </c>
      <c r="R252" s="180">
        <f>SUM(Tabela2[[#This Row],[AO]]+Tabela2[[#This Row],[AD]]+Tabela2[[#This Row],[GWO]]+Tabela2[[#This Row],[GWD]])</f>
        <v>4</v>
      </c>
      <c r="S252" s="180">
        <f>Tabela2[[#This Row],[GWO]]+Tabela2[[#This Row],[GWD]]</f>
        <v>2</v>
      </c>
      <c r="T252" s="180">
        <f>SUM(Tabela2[[#This Row],[G]:[GWD]])</f>
        <v>8</v>
      </c>
    </row>
    <row r="253" spans="1:20">
      <c r="A253" s="183">
        <v>88</v>
      </c>
      <c r="B253" s="174" t="s">
        <v>656</v>
      </c>
      <c r="C253" s="174" t="s">
        <v>559</v>
      </c>
      <c r="D253" s="174">
        <v>3</v>
      </c>
      <c r="E253" s="174" t="s">
        <v>249</v>
      </c>
      <c r="F253" s="174">
        <v>1</v>
      </c>
      <c r="G253" s="174">
        <v>1</v>
      </c>
      <c r="H253" s="174">
        <v>1</v>
      </c>
      <c r="I253" s="174">
        <v>1</v>
      </c>
      <c r="J253" s="174">
        <v>1</v>
      </c>
      <c r="K253" s="174">
        <v>1</v>
      </c>
      <c r="L253" s="174">
        <v>1</v>
      </c>
      <c r="M253" s="174">
        <v>1</v>
      </c>
      <c r="N253" s="170"/>
      <c r="O253" s="170"/>
      <c r="P253" s="170"/>
      <c r="Q253" s="180">
        <f>SUM(Tabela2[[#This Row],[G]]+Tabela2[[#This Row],[D]]+Tabela2[[#This Row],[N]]+Tabela2[[#This Row],[HM]])</f>
        <v>4</v>
      </c>
      <c r="R253" s="180">
        <f>SUM(Tabela2[[#This Row],[AO]]+Tabela2[[#This Row],[AD]]+Tabela2[[#This Row],[GWO]]+Tabela2[[#This Row],[GWD]])</f>
        <v>4</v>
      </c>
      <c r="S253" s="180">
        <f>Tabela2[[#This Row],[GWO]]+Tabela2[[#This Row],[GWD]]</f>
        <v>2</v>
      </c>
      <c r="T253" s="180">
        <f>SUM(Tabela2[[#This Row],[G]:[GWD]])</f>
        <v>8</v>
      </c>
    </row>
    <row r="254" spans="1:20" ht="30">
      <c r="A254" s="183">
        <v>178</v>
      </c>
      <c r="B254" s="170" t="s">
        <v>558</v>
      </c>
      <c r="C254" s="170" t="s">
        <v>557</v>
      </c>
      <c r="D254" s="170">
        <v>3</v>
      </c>
      <c r="E254" s="170" t="s">
        <v>272</v>
      </c>
      <c r="F254" s="170">
        <v>1</v>
      </c>
      <c r="G254" s="170">
        <v>1</v>
      </c>
      <c r="H254" s="170">
        <v>1</v>
      </c>
      <c r="I254" s="170">
        <v>1</v>
      </c>
      <c r="J254" s="170">
        <v>1</v>
      </c>
      <c r="K254" s="170">
        <v>1</v>
      </c>
      <c r="L254" s="170">
        <v>1</v>
      </c>
      <c r="M254" s="170">
        <v>1</v>
      </c>
      <c r="N254" s="170"/>
      <c r="O254" s="170"/>
      <c r="P254" s="170"/>
      <c r="Q254" s="180">
        <f>SUM(Tabela2[[#This Row],[G]]+Tabela2[[#This Row],[D]]+Tabela2[[#This Row],[N]]+Tabela2[[#This Row],[HM]])</f>
        <v>4</v>
      </c>
      <c r="R254" s="180">
        <f>SUM(Tabela2[[#This Row],[AO]]+Tabela2[[#This Row],[AD]]+Tabela2[[#This Row],[GWO]]+Tabela2[[#This Row],[GWD]])</f>
        <v>4</v>
      </c>
      <c r="S254" s="180">
        <f>Tabela2[[#This Row],[GWO]]+Tabela2[[#This Row],[GWD]]</f>
        <v>2</v>
      </c>
      <c r="T254" s="180">
        <f>SUM(Tabela2[[#This Row],[G]:[GWD]])</f>
        <v>8</v>
      </c>
    </row>
    <row r="255" spans="1:20">
      <c r="A255" s="183">
        <v>90</v>
      </c>
      <c r="B255" s="174" t="s">
        <v>654</v>
      </c>
      <c r="C255" s="174" t="s">
        <v>552</v>
      </c>
      <c r="D255" s="174">
        <v>3</v>
      </c>
      <c r="E255" s="174" t="s">
        <v>249</v>
      </c>
      <c r="F255" s="174">
        <v>1</v>
      </c>
      <c r="G255" s="174">
        <v>1</v>
      </c>
      <c r="H255" s="174">
        <v>1</v>
      </c>
      <c r="I255" s="174">
        <v>1</v>
      </c>
      <c r="J255" s="174">
        <v>1</v>
      </c>
      <c r="K255" s="174">
        <v>1</v>
      </c>
      <c r="L255" s="174">
        <v>1</v>
      </c>
      <c r="M255" s="174">
        <v>1</v>
      </c>
      <c r="N255" s="174" t="s">
        <v>445</v>
      </c>
      <c r="O255" s="174"/>
      <c r="P255" s="174"/>
      <c r="Q255" s="185">
        <f>SUM(Tabela2[[#This Row],[G]]+Tabela2[[#This Row],[D]]+Tabela2[[#This Row],[N]]+Tabela2[[#This Row],[HM]])</f>
        <v>4</v>
      </c>
      <c r="R255" s="185">
        <f>SUM(Tabela2[[#This Row],[AO]]+Tabela2[[#This Row],[AD]]+Tabela2[[#This Row],[GWO]]+Tabela2[[#This Row],[GWD]])</f>
        <v>4</v>
      </c>
      <c r="S255" s="185">
        <f>Tabela2[[#This Row],[GWO]]+Tabela2[[#This Row],[GWD]]</f>
        <v>2</v>
      </c>
      <c r="T255" s="180">
        <f>SUM(Tabela2[[#This Row],[G]:[GWD]])</f>
        <v>8</v>
      </c>
    </row>
    <row r="256" spans="1:20">
      <c r="A256" s="183">
        <v>181</v>
      </c>
      <c r="B256" s="170" t="s">
        <v>553</v>
      </c>
      <c r="C256" s="170" t="s">
        <v>552</v>
      </c>
      <c r="D256" s="170">
        <v>3</v>
      </c>
      <c r="E256" s="170" t="s">
        <v>272</v>
      </c>
      <c r="F256" s="170">
        <v>1</v>
      </c>
      <c r="G256" s="170">
        <v>1</v>
      </c>
      <c r="H256" s="170">
        <v>1</v>
      </c>
      <c r="I256" s="170">
        <v>1</v>
      </c>
      <c r="J256" s="170">
        <v>1</v>
      </c>
      <c r="K256" s="170">
        <v>1</v>
      </c>
      <c r="L256" s="170">
        <v>1</v>
      </c>
      <c r="M256" s="170">
        <v>1</v>
      </c>
      <c r="N256" s="170"/>
      <c r="O256" s="170"/>
      <c r="P256" s="170"/>
      <c r="Q256" s="180">
        <f>SUM(Tabela2[[#This Row],[G]]+Tabela2[[#This Row],[D]]+Tabela2[[#This Row],[N]]+Tabela2[[#This Row],[HM]])</f>
        <v>4</v>
      </c>
      <c r="R256" s="180">
        <f>SUM(Tabela2[[#This Row],[AO]]+Tabela2[[#This Row],[AD]]+Tabela2[[#This Row],[GWO]]+Tabela2[[#This Row],[GWD]])</f>
        <v>4</v>
      </c>
      <c r="S256" s="180">
        <f>Tabela2[[#This Row],[GWO]]+Tabela2[[#This Row],[GWD]]</f>
        <v>2</v>
      </c>
      <c r="T256" s="180">
        <f>SUM(Tabela2[[#This Row],[G]:[GWD]])</f>
        <v>8</v>
      </c>
    </row>
    <row r="257" spans="1:20" ht="30">
      <c r="A257" s="183">
        <v>119</v>
      </c>
      <c r="B257" s="172" t="s">
        <v>626</v>
      </c>
      <c r="C257" s="172" t="s">
        <v>550</v>
      </c>
      <c r="D257" s="172">
        <v>3</v>
      </c>
      <c r="E257" s="172" t="s">
        <v>250</v>
      </c>
      <c r="F257" s="172">
        <v>1</v>
      </c>
      <c r="G257" s="172">
        <v>1</v>
      </c>
      <c r="H257" s="172">
        <v>1</v>
      </c>
      <c r="I257" s="172">
        <v>1</v>
      </c>
      <c r="J257" s="172">
        <v>1</v>
      </c>
      <c r="K257" s="172">
        <v>1</v>
      </c>
      <c r="L257" s="172">
        <v>1</v>
      </c>
      <c r="M257" s="172">
        <v>1</v>
      </c>
      <c r="N257" s="170"/>
      <c r="O257" s="170"/>
      <c r="P257" s="170"/>
      <c r="Q257" s="180">
        <f>SUM(Tabela2[[#This Row],[G]]+Tabela2[[#This Row],[D]]+Tabela2[[#This Row],[N]]+Tabela2[[#This Row],[HM]])</f>
        <v>4</v>
      </c>
      <c r="R257" s="180">
        <f>SUM(Tabela2[[#This Row],[AO]]+Tabela2[[#This Row],[AD]]+Tabela2[[#This Row],[GWO]]+Tabela2[[#This Row],[GWD]])</f>
        <v>4</v>
      </c>
      <c r="S257" s="180">
        <f>Tabela2[[#This Row],[GWO]]+Tabela2[[#This Row],[GWD]]</f>
        <v>2</v>
      </c>
      <c r="T257" s="180">
        <f>SUM(Tabela2[[#This Row],[G]:[GWD]])</f>
        <v>8</v>
      </c>
    </row>
    <row r="258" spans="1:20">
      <c r="A258" s="183">
        <v>92</v>
      </c>
      <c r="B258" s="174" t="s">
        <v>652</v>
      </c>
      <c r="C258" s="174" t="s">
        <v>546</v>
      </c>
      <c r="D258" s="174">
        <v>3</v>
      </c>
      <c r="E258" s="174" t="s">
        <v>249</v>
      </c>
      <c r="F258" s="174">
        <v>1</v>
      </c>
      <c r="G258" s="174">
        <v>1</v>
      </c>
      <c r="H258" s="174">
        <v>1</v>
      </c>
      <c r="I258" s="174">
        <v>1</v>
      </c>
      <c r="J258" s="174">
        <v>1</v>
      </c>
      <c r="K258" s="174">
        <v>1</v>
      </c>
      <c r="L258" s="174">
        <v>1</v>
      </c>
      <c r="M258" s="174">
        <v>1</v>
      </c>
      <c r="N258" s="174" t="s">
        <v>445</v>
      </c>
      <c r="O258" s="174"/>
      <c r="P258" s="174"/>
      <c r="Q258" s="185">
        <f>SUM(Tabela2[[#This Row],[G]]+Tabela2[[#This Row],[D]]+Tabela2[[#This Row],[N]]+Tabela2[[#This Row],[HM]])</f>
        <v>4</v>
      </c>
      <c r="R258" s="185">
        <f>SUM(Tabela2[[#This Row],[AO]]+Tabela2[[#This Row],[AD]]+Tabela2[[#This Row],[GWO]]+Tabela2[[#This Row],[GWD]])</f>
        <v>4</v>
      </c>
      <c r="S258" s="185">
        <f>Tabela2[[#This Row],[GWO]]+Tabela2[[#This Row],[GWD]]</f>
        <v>2</v>
      </c>
      <c r="T258" s="180">
        <f>SUM(Tabela2[[#This Row],[G]:[GWD]])</f>
        <v>8</v>
      </c>
    </row>
    <row r="259" spans="1:20">
      <c r="A259" s="183">
        <v>120</v>
      </c>
      <c r="B259" s="172" t="s">
        <v>625</v>
      </c>
      <c r="C259" s="172" t="s">
        <v>546</v>
      </c>
      <c r="D259" s="172">
        <v>3</v>
      </c>
      <c r="E259" s="172" t="s">
        <v>250</v>
      </c>
      <c r="F259" s="172">
        <v>1</v>
      </c>
      <c r="G259" s="172">
        <v>1</v>
      </c>
      <c r="H259" s="172">
        <v>1</v>
      </c>
      <c r="I259" s="172">
        <v>1</v>
      </c>
      <c r="J259" s="172">
        <v>1</v>
      </c>
      <c r="K259" s="172">
        <v>1</v>
      </c>
      <c r="L259" s="172">
        <v>1</v>
      </c>
      <c r="M259" s="172">
        <v>1</v>
      </c>
      <c r="N259" s="172" t="s">
        <v>445</v>
      </c>
      <c r="O259" s="172"/>
      <c r="P259" s="172"/>
      <c r="Q259" s="186">
        <f>SUM(Tabela2[[#This Row],[G]]+Tabela2[[#This Row],[D]]+Tabela2[[#This Row],[N]]+Tabela2[[#This Row],[HM]])</f>
        <v>4</v>
      </c>
      <c r="R259" s="186">
        <f>SUM(Tabela2[[#This Row],[AO]]+Tabela2[[#This Row],[AD]]+Tabela2[[#This Row],[GWO]]+Tabela2[[#This Row],[GWD]])</f>
        <v>4</v>
      </c>
      <c r="S259" s="186">
        <f>Tabela2[[#This Row],[GWO]]+Tabela2[[#This Row],[GWD]]</f>
        <v>2</v>
      </c>
      <c r="T259" s="180">
        <f>SUM(Tabela2[[#This Row],[G]:[GWD]])</f>
        <v>8</v>
      </c>
    </row>
    <row r="260" spans="1:20">
      <c r="A260" s="183">
        <v>149</v>
      </c>
      <c r="B260" s="171" t="s">
        <v>596</v>
      </c>
      <c r="C260" s="171" t="s">
        <v>546</v>
      </c>
      <c r="D260" s="171">
        <v>3</v>
      </c>
      <c r="E260" s="171" t="s">
        <v>251</v>
      </c>
      <c r="F260" s="171">
        <v>1</v>
      </c>
      <c r="G260" s="171">
        <v>1</v>
      </c>
      <c r="H260" s="171">
        <v>1</v>
      </c>
      <c r="I260" s="171">
        <v>1</v>
      </c>
      <c r="J260" s="171">
        <v>1</v>
      </c>
      <c r="K260" s="171">
        <v>1</v>
      </c>
      <c r="L260" s="171">
        <v>1</v>
      </c>
      <c r="M260" s="171">
        <v>1</v>
      </c>
      <c r="N260" s="170"/>
      <c r="O260" s="170"/>
      <c r="P260" s="170"/>
      <c r="Q260" s="180">
        <f>SUM(Tabela2[[#This Row],[G]]+Tabela2[[#This Row],[D]]+Tabela2[[#This Row],[N]]+Tabela2[[#This Row],[HM]])</f>
        <v>4</v>
      </c>
      <c r="R260" s="180">
        <f>SUM(Tabela2[[#This Row],[AO]]+Tabela2[[#This Row],[AD]]+Tabela2[[#This Row],[GWO]]+Tabela2[[#This Row],[GWD]])</f>
        <v>4</v>
      </c>
      <c r="S260" s="180">
        <f>Tabela2[[#This Row],[GWO]]+Tabela2[[#This Row],[GWD]]</f>
        <v>2</v>
      </c>
      <c r="T260" s="180">
        <f>SUM(Tabela2[[#This Row],[G]:[GWD]])</f>
        <v>8</v>
      </c>
    </row>
    <row r="261" spans="1:20">
      <c r="A261" s="183">
        <v>150</v>
      </c>
      <c r="B261" s="171" t="s">
        <v>595</v>
      </c>
      <c r="C261" s="171" t="s">
        <v>594</v>
      </c>
      <c r="D261" s="171">
        <v>3</v>
      </c>
      <c r="E261" s="171" t="s">
        <v>251</v>
      </c>
      <c r="F261" s="171">
        <v>1</v>
      </c>
      <c r="G261" s="171">
        <v>1</v>
      </c>
      <c r="H261" s="171">
        <v>1</v>
      </c>
      <c r="I261" s="171">
        <v>1</v>
      </c>
      <c r="J261" s="171">
        <v>1</v>
      </c>
      <c r="K261" s="171">
        <v>1</v>
      </c>
      <c r="L261" s="171">
        <v>1</v>
      </c>
      <c r="M261" s="171">
        <v>1</v>
      </c>
      <c r="N261" s="170"/>
      <c r="O261" s="170"/>
      <c r="P261" s="170"/>
      <c r="Q261" s="180">
        <f>SUM(Tabela2[[#This Row],[G]]+Tabela2[[#This Row],[D]]+Tabela2[[#This Row],[N]]+Tabela2[[#This Row],[HM]])</f>
        <v>4</v>
      </c>
      <c r="R261" s="180">
        <f>SUM(Tabela2[[#This Row],[AO]]+Tabela2[[#This Row],[AD]]+Tabela2[[#This Row],[GWO]]+Tabela2[[#This Row],[GWD]])</f>
        <v>4</v>
      </c>
      <c r="S261" s="180">
        <f>Tabela2[[#This Row],[GWO]]+Tabela2[[#This Row],[GWD]]</f>
        <v>2</v>
      </c>
      <c r="T261" s="180">
        <f>SUM(Tabela2[[#This Row],[G]:[GWD]])</f>
        <v>8</v>
      </c>
    </row>
    <row r="262" spans="1:20" ht="30">
      <c r="A262" s="183">
        <v>121</v>
      </c>
      <c r="B262" s="172" t="s">
        <v>624</v>
      </c>
      <c r="C262" s="172" t="s">
        <v>544</v>
      </c>
      <c r="D262" s="172">
        <v>3</v>
      </c>
      <c r="E262" s="172" t="s">
        <v>250</v>
      </c>
      <c r="F262" s="172">
        <v>1</v>
      </c>
      <c r="G262" s="172">
        <v>1</v>
      </c>
      <c r="H262" s="172">
        <v>1</v>
      </c>
      <c r="I262" s="172">
        <v>1</v>
      </c>
      <c r="J262" s="172">
        <v>1</v>
      </c>
      <c r="K262" s="172">
        <v>1</v>
      </c>
      <c r="L262" s="172">
        <v>1</v>
      </c>
      <c r="M262" s="172">
        <v>1</v>
      </c>
      <c r="N262" s="170"/>
      <c r="O262" s="170"/>
      <c r="P262" s="170"/>
      <c r="Q262" s="180">
        <f>SUM(Tabela2[[#This Row],[G]]+Tabela2[[#This Row],[D]]+Tabela2[[#This Row],[N]]+Tabela2[[#This Row],[HM]])</f>
        <v>4</v>
      </c>
      <c r="R262" s="180">
        <f>SUM(Tabela2[[#This Row],[AO]]+Tabela2[[#This Row],[AD]]+Tabela2[[#This Row],[GWO]]+Tabela2[[#This Row],[GWD]])</f>
        <v>4</v>
      </c>
      <c r="S262" s="180">
        <f>Tabela2[[#This Row],[GWO]]+Tabela2[[#This Row],[GWD]]</f>
        <v>2</v>
      </c>
      <c r="T262" s="180">
        <f>SUM(Tabela2[[#This Row],[G]:[GWD]])</f>
        <v>8</v>
      </c>
    </row>
    <row r="263" spans="1:20" ht="30">
      <c r="A263" s="183">
        <v>151</v>
      </c>
      <c r="B263" s="171" t="s">
        <v>593</v>
      </c>
      <c r="C263" s="171" t="s">
        <v>544</v>
      </c>
      <c r="D263" s="171">
        <v>3</v>
      </c>
      <c r="E263" s="171" t="s">
        <v>251</v>
      </c>
      <c r="F263" s="171">
        <v>1</v>
      </c>
      <c r="G263" s="171">
        <v>1</v>
      </c>
      <c r="H263" s="171">
        <v>1</v>
      </c>
      <c r="I263" s="171">
        <v>1</v>
      </c>
      <c r="J263" s="171">
        <v>1</v>
      </c>
      <c r="K263" s="171">
        <v>1</v>
      </c>
      <c r="L263" s="171">
        <v>1</v>
      </c>
      <c r="M263" s="171">
        <v>1</v>
      </c>
      <c r="N263" s="170"/>
      <c r="O263" s="170"/>
      <c r="P263" s="170"/>
      <c r="Q263" s="180">
        <f>SUM(Tabela2[[#This Row],[G]]+Tabela2[[#This Row],[D]]+Tabela2[[#This Row],[N]]+Tabela2[[#This Row],[HM]])</f>
        <v>4</v>
      </c>
      <c r="R263" s="180">
        <f>SUM(Tabela2[[#This Row],[AO]]+Tabela2[[#This Row],[AD]]+Tabela2[[#This Row],[GWO]]+Tabela2[[#This Row],[GWD]])</f>
        <v>4</v>
      </c>
      <c r="S263" s="180">
        <f>Tabela2[[#This Row],[GWO]]+Tabela2[[#This Row],[GWD]]</f>
        <v>2</v>
      </c>
      <c r="T263" s="180">
        <f>SUM(Tabela2[[#This Row],[G]:[GWD]])</f>
        <v>8</v>
      </c>
    </row>
    <row r="264" spans="1:20" ht="30">
      <c r="A264" s="183">
        <v>94</v>
      </c>
      <c r="B264" s="174" t="s">
        <v>650</v>
      </c>
      <c r="C264" s="174" t="s">
        <v>542</v>
      </c>
      <c r="D264" s="174">
        <v>3</v>
      </c>
      <c r="E264" s="174" t="s">
        <v>249</v>
      </c>
      <c r="F264" s="174">
        <v>1</v>
      </c>
      <c r="G264" s="174">
        <v>1</v>
      </c>
      <c r="H264" s="174">
        <v>1</v>
      </c>
      <c r="I264" s="174">
        <v>1</v>
      </c>
      <c r="J264" s="174">
        <v>1</v>
      </c>
      <c r="K264" s="174">
        <v>1</v>
      </c>
      <c r="L264" s="174">
        <v>1</v>
      </c>
      <c r="M264" s="174">
        <v>1</v>
      </c>
      <c r="N264" s="170"/>
      <c r="O264" s="170"/>
      <c r="P264" s="170"/>
      <c r="Q264" s="180">
        <f>SUM(Tabela2[[#This Row],[G]]+Tabela2[[#This Row],[D]]+Tabela2[[#This Row],[N]]+Tabela2[[#This Row],[HM]])</f>
        <v>4</v>
      </c>
      <c r="R264" s="180">
        <f>SUM(Tabela2[[#This Row],[AO]]+Tabela2[[#This Row],[AD]]+Tabela2[[#This Row],[GWO]]+Tabela2[[#This Row],[GWD]])</f>
        <v>4</v>
      </c>
      <c r="S264" s="180">
        <f>Tabela2[[#This Row],[GWO]]+Tabela2[[#This Row],[GWD]]</f>
        <v>2</v>
      </c>
      <c r="T264" s="180">
        <f>SUM(Tabela2[[#This Row],[G]:[GWD]])</f>
        <v>8</v>
      </c>
    </row>
    <row r="265" spans="1:20" ht="30">
      <c r="A265" s="183">
        <v>122</v>
      </c>
      <c r="B265" s="172" t="s">
        <v>623</v>
      </c>
      <c r="C265" s="172" t="s">
        <v>542</v>
      </c>
      <c r="D265" s="172">
        <v>3</v>
      </c>
      <c r="E265" s="172" t="s">
        <v>250</v>
      </c>
      <c r="F265" s="172">
        <v>1</v>
      </c>
      <c r="G265" s="172">
        <v>1</v>
      </c>
      <c r="H265" s="172">
        <v>1</v>
      </c>
      <c r="I265" s="172">
        <v>1</v>
      </c>
      <c r="J265" s="172">
        <v>1</v>
      </c>
      <c r="K265" s="172">
        <v>1</v>
      </c>
      <c r="L265" s="172">
        <v>1</v>
      </c>
      <c r="M265" s="172">
        <v>1</v>
      </c>
      <c r="N265" s="170"/>
      <c r="O265" s="170"/>
      <c r="P265" s="170"/>
      <c r="Q265" s="180">
        <f>SUM(Tabela2[[#This Row],[G]]+Tabela2[[#This Row],[D]]+Tabela2[[#This Row],[N]]+Tabela2[[#This Row],[HM]])</f>
        <v>4</v>
      </c>
      <c r="R265" s="180">
        <f>SUM(Tabela2[[#This Row],[AO]]+Tabela2[[#This Row],[AD]]+Tabela2[[#This Row],[GWO]]+Tabela2[[#This Row],[GWD]])</f>
        <v>4</v>
      </c>
      <c r="S265" s="180">
        <f>Tabela2[[#This Row],[GWO]]+Tabela2[[#This Row],[GWD]]</f>
        <v>2</v>
      </c>
      <c r="T265" s="180">
        <f>SUM(Tabela2[[#This Row],[G]:[GWD]])</f>
        <v>8</v>
      </c>
    </row>
    <row r="266" spans="1:20" ht="30">
      <c r="A266" s="183">
        <v>152</v>
      </c>
      <c r="B266" s="171" t="s">
        <v>592</v>
      </c>
      <c r="C266" s="171" t="s">
        <v>542</v>
      </c>
      <c r="D266" s="171">
        <v>3</v>
      </c>
      <c r="E266" s="171" t="s">
        <v>251</v>
      </c>
      <c r="F266" s="171">
        <v>1</v>
      </c>
      <c r="G266" s="171">
        <v>1</v>
      </c>
      <c r="H266" s="171">
        <v>1</v>
      </c>
      <c r="I266" s="171">
        <v>1</v>
      </c>
      <c r="J266" s="171">
        <v>1</v>
      </c>
      <c r="K266" s="171">
        <v>1</v>
      </c>
      <c r="L266" s="171">
        <v>1</v>
      </c>
      <c r="M266" s="171">
        <v>1</v>
      </c>
      <c r="N266" s="170"/>
      <c r="O266" s="170"/>
      <c r="P266" s="170"/>
      <c r="Q266" s="180">
        <f>SUM(Tabela2[[#This Row],[G]]+Tabela2[[#This Row],[D]]+Tabela2[[#This Row],[N]]+Tabela2[[#This Row],[HM]])</f>
        <v>4</v>
      </c>
      <c r="R266" s="180">
        <f>SUM(Tabela2[[#This Row],[AO]]+Tabela2[[#This Row],[AD]]+Tabela2[[#This Row],[GWO]]+Tabela2[[#This Row],[GWD]])</f>
        <v>4</v>
      </c>
      <c r="S266" s="180">
        <f>Tabela2[[#This Row],[GWO]]+Tabela2[[#This Row],[GWD]]</f>
        <v>2</v>
      </c>
      <c r="T266" s="180">
        <f>SUM(Tabela2[[#This Row],[G]:[GWD]])</f>
        <v>8</v>
      </c>
    </row>
    <row r="267" spans="1:20" ht="30">
      <c r="A267" s="183">
        <v>186</v>
      </c>
      <c r="B267" s="170" t="s">
        <v>543</v>
      </c>
      <c r="C267" s="170" t="s">
        <v>542</v>
      </c>
      <c r="D267" s="170">
        <v>3</v>
      </c>
      <c r="E267" s="170" t="s">
        <v>272</v>
      </c>
      <c r="F267" s="170">
        <v>1</v>
      </c>
      <c r="G267" s="170">
        <v>1</v>
      </c>
      <c r="H267" s="170">
        <v>1</v>
      </c>
      <c r="I267" s="170">
        <v>1</v>
      </c>
      <c r="J267" s="170">
        <v>1</v>
      </c>
      <c r="K267" s="170">
        <v>1</v>
      </c>
      <c r="L267" s="170">
        <v>1</v>
      </c>
      <c r="M267" s="170">
        <v>1</v>
      </c>
      <c r="N267" s="170"/>
      <c r="O267" s="170"/>
      <c r="P267" s="170"/>
      <c r="Q267" s="180">
        <f>SUM(Tabela2[[#This Row],[G]]+Tabela2[[#This Row],[D]]+Tabela2[[#This Row],[N]]+Tabela2[[#This Row],[HM]])</f>
        <v>4</v>
      </c>
      <c r="R267" s="180">
        <f>SUM(Tabela2[[#This Row],[AO]]+Tabela2[[#This Row],[AD]]+Tabela2[[#This Row],[GWO]]+Tabela2[[#This Row],[GWD]])</f>
        <v>4</v>
      </c>
      <c r="S267" s="180">
        <f>Tabela2[[#This Row],[GWO]]+Tabela2[[#This Row],[GWD]]</f>
        <v>2</v>
      </c>
      <c r="T267" s="180">
        <f>SUM(Tabela2[[#This Row],[G]:[GWD]])</f>
        <v>8</v>
      </c>
    </row>
    <row r="268" spans="1:20">
      <c r="A268" s="183">
        <v>63</v>
      </c>
      <c r="B268" s="175" t="s">
        <v>683</v>
      </c>
      <c r="C268" s="175" t="s">
        <v>540</v>
      </c>
      <c r="D268" s="175">
        <v>3</v>
      </c>
      <c r="E268" s="175" t="s">
        <v>18</v>
      </c>
      <c r="F268" s="175">
        <v>1</v>
      </c>
      <c r="G268" s="175">
        <v>1</v>
      </c>
      <c r="H268" s="175">
        <v>1</v>
      </c>
      <c r="I268" s="175">
        <v>1</v>
      </c>
      <c r="J268" s="175">
        <v>1</v>
      </c>
      <c r="K268" s="175">
        <v>1</v>
      </c>
      <c r="L268" s="175">
        <v>1</v>
      </c>
      <c r="M268" s="175">
        <v>1</v>
      </c>
      <c r="N268" s="170"/>
      <c r="O268" s="170"/>
      <c r="P268" s="170"/>
      <c r="Q268" s="180">
        <f>SUM(Tabela2[[#This Row],[G]]+Tabela2[[#This Row],[D]]+Tabela2[[#This Row],[N]]+Tabela2[[#This Row],[HM]])</f>
        <v>4</v>
      </c>
      <c r="R268" s="180">
        <f>SUM(Tabela2[[#This Row],[AO]]+Tabela2[[#This Row],[AD]]+Tabela2[[#This Row],[GWO]]+Tabela2[[#This Row],[GWD]])</f>
        <v>4</v>
      </c>
      <c r="S268" s="180">
        <f>Tabela2[[#This Row],[GWO]]+Tabela2[[#This Row],[GWD]]</f>
        <v>2</v>
      </c>
      <c r="T268" s="180">
        <f>SUM(Tabela2[[#This Row],[G]:[GWD]])</f>
        <v>8</v>
      </c>
    </row>
    <row r="269" spans="1:20">
      <c r="A269" s="183">
        <v>95</v>
      </c>
      <c r="B269" s="174" t="s">
        <v>649</v>
      </c>
      <c r="C269" s="174" t="s">
        <v>540</v>
      </c>
      <c r="D269" s="174">
        <v>3</v>
      </c>
      <c r="E269" s="174" t="s">
        <v>249</v>
      </c>
      <c r="F269" s="174">
        <v>1</v>
      </c>
      <c r="G269" s="174">
        <v>1</v>
      </c>
      <c r="H269" s="174">
        <v>1</v>
      </c>
      <c r="I269" s="174">
        <v>1</v>
      </c>
      <c r="J269" s="174">
        <v>1</v>
      </c>
      <c r="K269" s="174">
        <v>1</v>
      </c>
      <c r="L269" s="174">
        <v>1</v>
      </c>
      <c r="M269" s="174">
        <v>1</v>
      </c>
      <c r="N269" s="170"/>
      <c r="O269" s="170"/>
      <c r="P269" s="170"/>
      <c r="Q269" s="180">
        <f>SUM(Tabela2[[#This Row],[G]]+Tabela2[[#This Row],[D]]+Tabela2[[#This Row],[N]]+Tabela2[[#This Row],[HM]])</f>
        <v>4</v>
      </c>
      <c r="R269" s="180">
        <f>SUM(Tabela2[[#This Row],[AO]]+Tabela2[[#This Row],[AD]]+Tabela2[[#This Row],[GWO]]+Tabela2[[#This Row],[GWD]])</f>
        <v>4</v>
      </c>
      <c r="S269" s="180">
        <f>Tabela2[[#This Row],[GWO]]+Tabela2[[#This Row],[GWD]]</f>
        <v>2</v>
      </c>
      <c r="T269" s="180">
        <f>SUM(Tabela2[[#This Row],[G]:[GWD]])</f>
        <v>8</v>
      </c>
    </row>
    <row r="270" spans="1:20">
      <c r="A270" s="183">
        <v>123</v>
      </c>
      <c r="B270" s="172" t="s">
        <v>622</v>
      </c>
      <c r="C270" s="172" t="s">
        <v>540</v>
      </c>
      <c r="D270" s="172">
        <v>3</v>
      </c>
      <c r="E270" s="172" t="s">
        <v>250</v>
      </c>
      <c r="F270" s="172">
        <v>1</v>
      </c>
      <c r="G270" s="172">
        <v>1</v>
      </c>
      <c r="H270" s="172">
        <v>1</v>
      </c>
      <c r="I270" s="172">
        <v>1</v>
      </c>
      <c r="J270" s="172">
        <v>1</v>
      </c>
      <c r="K270" s="172">
        <v>1</v>
      </c>
      <c r="L270" s="172">
        <v>1</v>
      </c>
      <c r="M270" s="172">
        <v>1</v>
      </c>
      <c r="N270" s="172" t="s">
        <v>445</v>
      </c>
      <c r="O270" s="172"/>
      <c r="P270" s="172"/>
      <c r="Q270" s="186">
        <f>SUM(Tabela2[[#This Row],[G]]+Tabela2[[#This Row],[D]]+Tabela2[[#This Row],[N]]+Tabela2[[#This Row],[HM]])</f>
        <v>4</v>
      </c>
      <c r="R270" s="186">
        <f>SUM(Tabela2[[#This Row],[AO]]+Tabela2[[#This Row],[AD]]+Tabela2[[#This Row],[GWO]]+Tabela2[[#This Row],[GWD]])</f>
        <v>4</v>
      </c>
      <c r="S270" s="186">
        <f>Tabela2[[#This Row],[GWO]]+Tabela2[[#This Row],[GWD]]</f>
        <v>2</v>
      </c>
      <c r="T270" s="180">
        <f>SUM(Tabela2[[#This Row],[G]:[GWD]])</f>
        <v>8</v>
      </c>
    </row>
    <row r="271" spans="1:20">
      <c r="A271" s="183">
        <v>153</v>
      </c>
      <c r="B271" s="171" t="s">
        <v>591</v>
      </c>
      <c r="C271" s="171" t="s">
        <v>540</v>
      </c>
      <c r="D271" s="171">
        <v>3</v>
      </c>
      <c r="E271" s="171" t="s">
        <v>251</v>
      </c>
      <c r="F271" s="171">
        <v>1</v>
      </c>
      <c r="G271" s="171">
        <v>1</v>
      </c>
      <c r="H271" s="171">
        <v>1</v>
      </c>
      <c r="I271" s="171">
        <v>1</v>
      </c>
      <c r="J271" s="171">
        <v>1</v>
      </c>
      <c r="K271" s="171">
        <v>1</v>
      </c>
      <c r="L271" s="171">
        <v>1</v>
      </c>
      <c r="M271" s="171">
        <v>1</v>
      </c>
      <c r="N271" s="170"/>
      <c r="O271" s="170"/>
      <c r="P271" s="170"/>
      <c r="Q271" s="180">
        <f>SUM(Tabela2[[#This Row],[G]]+Tabela2[[#This Row],[D]]+Tabela2[[#This Row],[N]]+Tabela2[[#This Row],[HM]])</f>
        <v>4</v>
      </c>
      <c r="R271" s="180">
        <f>SUM(Tabela2[[#This Row],[AO]]+Tabela2[[#This Row],[AD]]+Tabela2[[#This Row],[GWO]]+Tabela2[[#This Row],[GWD]])</f>
        <v>4</v>
      </c>
      <c r="S271" s="180">
        <f>Tabela2[[#This Row],[GWO]]+Tabela2[[#This Row],[GWD]]</f>
        <v>2</v>
      </c>
      <c r="T271" s="180">
        <f>SUM(Tabela2[[#This Row],[G]:[GWD]])</f>
        <v>8</v>
      </c>
    </row>
    <row r="272" spans="1:20">
      <c r="A272" s="183">
        <v>187</v>
      </c>
      <c r="B272" s="170" t="s">
        <v>541</v>
      </c>
      <c r="C272" s="170" t="s">
        <v>540</v>
      </c>
      <c r="D272" s="170">
        <v>3</v>
      </c>
      <c r="E272" s="170" t="s">
        <v>272</v>
      </c>
      <c r="F272" s="170">
        <v>1</v>
      </c>
      <c r="G272" s="170">
        <v>1</v>
      </c>
      <c r="H272" s="170">
        <v>1</v>
      </c>
      <c r="I272" s="170">
        <v>1</v>
      </c>
      <c r="J272" s="170">
        <v>1</v>
      </c>
      <c r="K272" s="170">
        <v>1</v>
      </c>
      <c r="L272" s="170">
        <v>1</v>
      </c>
      <c r="M272" s="170">
        <v>1</v>
      </c>
      <c r="N272" s="170"/>
      <c r="O272" s="170"/>
      <c r="P272" s="170"/>
      <c r="Q272" s="180">
        <f>SUM(Tabela2[[#This Row],[G]]+Tabela2[[#This Row],[D]]+Tabela2[[#This Row],[N]]+Tabela2[[#This Row],[HM]])</f>
        <v>4</v>
      </c>
      <c r="R272" s="180">
        <f>SUM(Tabela2[[#This Row],[AO]]+Tabela2[[#This Row],[AD]]+Tabela2[[#This Row],[GWO]]+Tabela2[[#This Row],[GWD]])</f>
        <v>4</v>
      </c>
      <c r="S272" s="180">
        <f>Tabela2[[#This Row],[GWO]]+Tabela2[[#This Row],[GWD]]</f>
        <v>2</v>
      </c>
      <c r="T272" s="180">
        <f>SUM(Tabela2[[#This Row],[G]:[GWD]])</f>
        <v>8</v>
      </c>
    </row>
    <row r="273" spans="1:20">
      <c r="A273" s="183">
        <v>96</v>
      </c>
      <c r="B273" s="174" t="s">
        <v>648</v>
      </c>
      <c r="C273" s="174" t="s">
        <v>358</v>
      </c>
      <c r="D273" s="174">
        <v>3</v>
      </c>
      <c r="E273" s="174" t="s">
        <v>249</v>
      </c>
      <c r="F273" s="174">
        <v>1</v>
      </c>
      <c r="G273" s="174">
        <v>1</v>
      </c>
      <c r="H273" s="174">
        <v>1</v>
      </c>
      <c r="I273" s="174">
        <v>1</v>
      </c>
      <c r="J273" s="174">
        <v>1</v>
      </c>
      <c r="K273" s="174">
        <v>1</v>
      </c>
      <c r="L273" s="174">
        <v>1</v>
      </c>
      <c r="M273" s="174">
        <v>1</v>
      </c>
      <c r="N273" s="174" t="s">
        <v>445</v>
      </c>
      <c r="O273" s="174"/>
      <c r="P273" s="174"/>
      <c r="Q273" s="185">
        <f>SUM(Tabela2[[#This Row],[G]]+Tabela2[[#This Row],[D]]+Tabela2[[#This Row],[N]]+Tabela2[[#This Row],[HM]])</f>
        <v>4</v>
      </c>
      <c r="R273" s="185">
        <f>SUM(Tabela2[[#This Row],[AO]]+Tabela2[[#This Row],[AD]]+Tabela2[[#This Row],[GWO]]+Tabela2[[#This Row],[GWD]])</f>
        <v>4</v>
      </c>
      <c r="S273" s="185">
        <f>Tabela2[[#This Row],[GWO]]+Tabela2[[#This Row],[GWD]]</f>
        <v>2</v>
      </c>
      <c r="T273" s="180">
        <f>SUM(Tabela2[[#This Row],[G]:[GWD]])</f>
        <v>8</v>
      </c>
    </row>
    <row r="274" spans="1:20">
      <c r="A274" s="183">
        <v>124</v>
      </c>
      <c r="B274" s="172" t="s">
        <v>621</v>
      </c>
      <c r="C274" s="172" t="s">
        <v>358</v>
      </c>
      <c r="D274" s="172">
        <v>3</v>
      </c>
      <c r="E274" s="172" t="s">
        <v>250</v>
      </c>
      <c r="F274" s="172">
        <v>1</v>
      </c>
      <c r="G274" s="172">
        <v>1</v>
      </c>
      <c r="H274" s="172">
        <v>1</v>
      </c>
      <c r="I274" s="172">
        <v>1</v>
      </c>
      <c r="J274" s="172">
        <v>1</v>
      </c>
      <c r="K274" s="172">
        <v>1</v>
      </c>
      <c r="L274" s="172">
        <v>1</v>
      </c>
      <c r="M274" s="172">
        <v>1</v>
      </c>
      <c r="N274" s="170"/>
      <c r="O274" s="170"/>
      <c r="P274" s="170"/>
      <c r="Q274" s="180">
        <f>SUM(Tabela2[[#This Row],[G]]+Tabela2[[#This Row],[D]]+Tabela2[[#This Row],[N]]+Tabela2[[#This Row],[HM]])</f>
        <v>4</v>
      </c>
      <c r="R274" s="180">
        <f>SUM(Tabela2[[#This Row],[AO]]+Tabela2[[#This Row],[AD]]+Tabela2[[#This Row],[GWO]]+Tabela2[[#This Row],[GWD]])</f>
        <v>4</v>
      </c>
      <c r="S274" s="180">
        <f>Tabela2[[#This Row],[GWO]]+Tabela2[[#This Row],[GWD]]</f>
        <v>2</v>
      </c>
      <c r="T274" s="180">
        <f>SUM(Tabela2[[#This Row],[G]:[GWD]])</f>
        <v>8</v>
      </c>
    </row>
    <row r="275" spans="1:20">
      <c r="A275" s="183">
        <v>154</v>
      </c>
      <c r="B275" s="171" t="s">
        <v>590</v>
      </c>
      <c r="C275" s="171" t="s">
        <v>358</v>
      </c>
      <c r="D275" s="171">
        <v>3</v>
      </c>
      <c r="E275" s="171" t="s">
        <v>251</v>
      </c>
      <c r="F275" s="171">
        <v>1</v>
      </c>
      <c r="G275" s="171">
        <v>1</v>
      </c>
      <c r="H275" s="171">
        <v>1</v>
      </c>
      <c r="I275" s="171">
        <v>1</v>
      </c>
      <c r="J275" s="171">
        <v>1</v>
      </c>
      <c r="K275" s="171">
        <v>1</v>
      </c>
      <c r="L275" s="171">
        <v>1</v>
      </c>
      <c r="M275" s="171">
        <v>1</v>
      </c>
      <c r="N275" s="170"/>
      <c r="O275" s="170"/>
      <c r="P275" s="170"/>
      <c r="Q275" s="180">
        <f>SUM(Tabela2[[#This Row],[G]]+Tabela2[[#This Row],[D]]+Tabela2[[#This Row],[N]]+Tabela2[[#This Row],[HM]])</f>
        <v>4</v>
      </c>
      <c r="R275" s="180">
        <f>SUM(Tabela2[[#This Row],[AO]]+Tabela2[[#This Row],[AD]]+Tabela2[[#This Row],[GWO]]+Tabela2[[#This Row],[GWD]])</f>
        <v>4</v>
      </c>
      <c r="S275" s="180">
        <f>Tabela2[[#This Row],[GWO]]+Tabela2[[#This Row],[GWD]]</f>
        <v>2</v>
      </c>
      <c r="T275" s="180">
        <f>SUM(Tabela2[[#This Row],[G]:[GWD]])</f>
        <v>8</v>
      </c>
    </row>
    <row r="276" spans="1:20" ht="30">
      <c r="A276" s="183">
        <v>97</v>
      </c>
      <c r="B276" s="174" t="s">
        <v>647</v>
      </c>
      <c r="C276" s="174" t="s">
        <v>538</v>
      </c>
      <c r="D276" s="174">
        <v>3</v>
      </c>
      <c r="E276" s="174" t="s">
        <v>249</v>
      </c>
      <c r="F276" s="174">
        <v>1</v>
      </c>
      <c r="G276" s="174">
        <v>1</v>
      </c>
      <c r="H276" s="174">
        <v>1</v>
      </c>
      <c r="I276" s="174">
        <v>1</v>
      </c>
      <c r="J276" s="174">
        <v>1</v>
      </c>
      <c r="K276" s="174">
        <v>1</v>
      </c>
      <c r="L276" s="174">
        <v>1</v>
      </c>
      <c r="M276" s="174">
        <v>1</v>
      </c>
      <c r="N276" s="170"/>
      <c r="O276" s="191" t="s">
        <v>204</v>
      </c>
      <c r="P276" s="191"/>
      <c r="Q276" s="180">
        <f>SUM(Tabela2[[#This Row],[G]]+Tabela2[[#This Row],[D]]+Tabela2[[#This Row],[N]]+Tabela2[[#This Row],[HM]])</f>
        <v>4</v>
      </c>
      <c r="R276" s="180">
        <f>SUM(Tabela2[[#This Row],[AO]]+Tabela2[[#This Row],[AD]]+Tabela2[[#This Row],[GWO]]+Tabela2[[#This Row],[GWD]])</f>
        <v>4</v>
      </c>
      <c r="S276" s="180">
        <f>Tabela2[[#This Row],[GWO]]+Tabela2[[#This Row],[GWD]]</f>
        <v>2</v>
      </c>
      <c r="T276" s="180">
        <f>SUM(Tabela2[[#This Row],[G]:[GWD]])</f>
        <v>8</v>
      </c>
    </row>
    <row r="277" spans="1:20" ht="30">
      <c r="A277" s="183">
        <v>155</v>
      </c>
      <c r="B277" s="171" t="s">
        <v>589</v>
      </c>
      <c r="C277" s="171" t="s">
        <v>538</v>
      </c>
      <c r="D277" s="171">
        <v>3</v>
      </c>
      <c r="E277" s="171" t="s">
        <v>251</v>
      </c>
      <c r="F277" s="171">
        <v>1</v>
      </c>
      <c r="G277" s="171">
        <v>1</v>
      </c>
      <c r="H277" s="171">
        <v>1</v>
      </c>
      <c r="I277" s="171">
        <v>1</v>
      </c>
      <c r="J277" s="171">
        <v>1</v>
      </c>
      <c r="K277" s="171">
        <v>1</v>
      </c>
      <c r="L277" s="171">
        <v>1</v>
      </c>
      <c r="M277" s="171">
        <v>1</v>
      </c>
      <c r="N277" s="170"/>
      <c r="O277" s="170"/>
      <c r="P277" s="170"/>
      <c r="Q277" s="180">
        <f>SUM(Tabela2[[#This Row],[G]]+Tabela2[[#This Row],[D]]+Tabela2[[#This Row],[N]]+Tabela2[[#This Row],[HM]])</f>
        <v>4</v>
      </c>
      <c r="R277" s="180">
        <f>SUM(Tabela2[[#This Row],[AO]]+Tabela2[[#This Row],[AD]]+Tabela2[[#This Row],[GWO]]+Tabela2[[#This Row],[GWD]])</f>
        <v>4</v>
      </c>
      <c r="S277" s="180">
        <f>Tabela2[[#This Row],[GWO]]+Tabela2[[#This Row],[GWD]]</f>
        <v>2</v>
      </c>
      <c r="T277" s="180">
        <f>SUM(Tabela2[[#This Row],[G]:[GWD]])</f>
        <v>8</v>
      </c>
    </row>
    <row r="278" spans="1:20">
      <c r="A278" s="183">
        <v>66</v>
      </c>
      <c r="B278" s="175" t="s">
        <v>681</v>
      </c>
      <c r="C278" s="175" t="s">
        <v>680</v>
      </c>
      <c r="D278" s="175">
        <v>3</v>
      </c>
      <c r="E278" s="175" t="s">
        <v>18</v>
      </c>
      <c r="F278" s="175">
        <v>1</v>
      </c>
      <c r="G278" s="175">
        <v>1</v>
      </c>
      <c r="H278" s="175">
        <v>1</v>
      </c>
      <c r="I278" s="175">
        <v>1</v>
      </c>
      <c r="J278" s="175">
        <v>1</v>
      </c>
      <c r="K278" s="175">
        <v>1</v>
      </c>
      <c r="L278" s="175">
        <v>1</v>
      </c>
      <c r="M278" s="175">
        <v>1</v>
      </c>
      <c r="N278" s="170"/>
      <c r="O278" s="170"/>
      <c r="P278" s="170"/>
      <c r="Q278" s="180">
        <f>SUM(Tabela2[[#This Row],[G]]+Tabela2[[#This Row],[D]]+Tabela2[[#This Row],[N]]+Tabela2[[#This Row],[HM]])</f>
        <v>4</v>
      </c>
      <c r="R278" s="180">
        <f>SUM(Tabela2[[#This Row],[AO]]+Tabela2[[#This Row],[AD]]+Tabela2[[#This Row],[GWO]]+Tabela2[[#This Row],[GWD]])</f>
        <v>4</v>
      </c>
      <c r="S278" s="180">
        <f>Tabela2[[#This Row],[GWO]]+Tabela2[[#This Row],[GWD]]</f>
        <v>2</v>
      </c>
      <c r="T278" s="180">
        <f>SUM(Tabela2[[#This Row],[G]:[GWD]])</f>
        <v>8</v>
      </c>
    </row>
    <row r="279" spans="1:20">
      <c r="A279" s="183">
        <v>67</v>
      </c>
      <c r="B279" s="175" t="s">
        <v>679</v>
      </c>
      <c r="C279" s="175" t="s">
        <v>678</v>
      </c>
      <c r="D279" s="175">
        <v>3</v>
      </c>
      <c r="E279" s="175" t="s">
        <v>18</v>
      </c>
      <c r="F279" s="175">
        <v>1</v>
      </c>
      <c r="G279" s="175">
        <v>1</v>
      </c>
      <c r="H279" s="175">
        <v>1</v>
      </c>
      <c r="I279" s="175">
        <v>1</v>
      </c>
      <c r="J279" s="175">
        <v>1</v>
      </c>
      <c r="K279" s="175">
        <v>1</v>
      </c>
      <c r="L279" s="175">
        <v>1</v>
      </c>
      <c r="M279" s="175">
        <v>1</v>
      </c>
      <c r="N279" s="175" t="s">
        <v>445</v>
      </c>
      <c r="O279" s="175"/>
      <c r="P279" s="175"/>
      <c r="Q279" s="184">
        <f>SUM(Tabela2[[#This Row],[G]]+Tabela2[[#This Row],[D]]+Tabela2[[#This Row],[N]]+Tabela2[[#This Row],[HM]])</f>
        <v>4</v>
      </c>
      <c r="R279" s="184">
        <f>SUM(Tabela2[[#This Row],[AO]]+Tabela2[[#This Row],[AD]]+Tabela2[[#This Row],[GWO]]+Tabela2[[#This Row],[GWD]])</f>
        <v>4</v>
      </c>
      <c r="S279" s="184">
        <f>Tabela2[[#This Row],[GWO]]+Tabela2[[#This Row],[GWD]]</f>
        <v>2</v>
      </c>
      <c r="T279" s="180">
        <f>SUM(Tabela2[[#This Row],[G]:[GWD]])</f>
        <v>8</v>
      </c>
    </row>
    <row r="280" spans="1:20" ht="30">
      <c r="A280" s="183">
        <v>99</v>
      </c>
      <c r="B280" s="174" t="s">
        <v>645</v>
      </c>
      <c r="C280" s="174" t="s">
        <v>400</v>
      </c>
      <c r="D280" s="174">
        <v>3</v>
      </c>
      <c r="E280" s="174" t="s">
        <v>249</v>
      </c>
      <c r="F280" s="174">
        <v>1</v>
      </c>
      <c r="G280" s="174">
        <v>1</v>
      </c>
      <c r="H280" s="174">
        <v>1</v>
      </c>
      <c r="I280" s="174">
        <v>1</v>
      </c>
      <c r="J280" s="174">
        <v>1</v>
      </c>
      <c r="K280" s="174">
        <v>1</v>
      </c>
      <c r="L280" s="174">
        <v>1</v>
      </c>
      <c r="M280" s="174">
        <v>1</v>
      </c>
      <c r="N280" s="174" t="s">
        <v>445</v>
      </c>
      <c r="O280" s="174"/>
      <c r="P280" s="174"/>
      <c r="Q280" s="185">
        <f>SUM(Tabela2[[#This Row],[G]]+Tabela2[[#This Row],[D]]+Tabela2[[#This Row],[N]]+Tabela2[[#This Row],[HM]])</f>
        <v>4</v>
      </c>
      <c r="R280" s="185">
        <f>SUM(Tabela2[[#This Row],[AO]]+Tabela2[[#This Row],[AD]]+Tabela2[[#This Row],[GWO]]+Tabela2[[#This Row],[GWD]])</f>
        <v>4</v>
      </c>
      <c r="S280" s="185">
        <f>Tabela2[[#This Row],[GWO]]+Tabela2[[#This Row],[GWD]]</f>
        <v>2</v>
      </c>
      <c r="T280" s="180">
        <f>SUM(Tabela2[[#This Row],[G]:[GWD]])</f>
        <v>8</v>
      </c>
    </row>
    <row r="281" spans="1:20" ht="30">
      <c r="A281" s="183">
        <v>127</v>
      </c>
      <c r="B281" s="172" t="s">
        <v>618</v>
      </c>
      <c r="C281" s="172" t="s">
        <v>400</v>
      </c>
      <c r="D281" s="172">
        <v>3</v>
      </c>
      <c r="E281" s="172" t="s">
        <v>250</v>
      </c>
      <c r="F281" s="172">
        <v>1</v>
      </c>
      <c r="G281" s="172">
        <v>1</v>
      </c>
      <c r="H281" s="172">
        <v>1</v>
      </c>
      <c r="I281" s="172">
        <v>1</v>
      </c>
      <c r="J281" s="172">
        <v>1</v>
      </c>
      <c r="K281" s="172">
        <v>1</v>
      </c>
      <c r="L281" s="172">
        <v>1</v>
      </c>
      <c r="M281" s="172">
        <v>1</v>
      </c>
      <c r="N281" s="170"/>
      <c r="O281" s="170"/>
      <c r="P281" s="170"/>
      <c r="Q281" s="180">
        <f>SUM(Tabela2[[#This Row],[G]]+Tabela2[[#This Row],[D]]+Tabela2[[#This Row],[N]]+Tabela2[[#This Row],[HM]])</f>
        <v>4</v>
      </c>
      <c r="R281" s="180">
        <f>SUM(Tabela2[[#This Row],[AO]]+Tabela2[[#This Row],[AD]]+Tabela2[[#This Row],[GWO]]+Tabela2[[#This Row],[GWD]])</f>
        <v>4</v>
      </c>
      <c r="S281" s="180">
        <f>Tabela2[[#This Row],[GWO]]+Tabela2[[#This Row],[GWD]]</f>
        <v>2</v>
      </c>
      <c r="T281" s="180">
        <f>SUM(Tabela2[[#This Row],[G]:[GWD]])</f>
        <v>8</v>
      </c>
    </row>
    <row r="282" spans="1:20" ht="30">
      <c r="A282" s="183">
        <v>68</v>
      </c>
      <c r="B282" s="175" t="s">
        <v>677</v>
      </c>
      <c r="C282" s="175" t="s">
        <v>534</v>
      </c>
      <c r="D282" s="175">
        <v>3</v>
      </c>
      <c r="E282" s="175" t="s">
        <v>18</v>
      </c>
      <c r="F282" s="175">
        <v>1</v>
      </c>
      <c r="G282" s="175">
        <v>1</v>
      </c>
      <c r="H282" s="175">
        <v>1</v>
      </c>
      <c r="I282" s="175">
        <v>1</v>
      </c>
      <c r="J282" s="175">
        <v>1</v>
      </c>
      <c r="K282" s="175">
        <v>1</v>
      </c>
      <c r="L282" s="175">
        <v>1</v>
      </c>
      <c r="M282" s="175">
        <v>1</v>
      </c>
      <c r="N282" s="170"/>
      <c r="O282" s="170"/>
      <c r="P282" s="170"/>
      <c r="Q282" s="180">
        <f>SUM(Tabela2[[#This Row],[G]]+Tabela2[[#This Row],[D]]+Tabela2[[#This Row],[N]]+Tabela2[[#This Row],[HM]])</f>
        <v>4</v>
      </c>
      <c r="R282" s="180">
        <f>SUM(Tabela2[[#This Row],[AO]]+Tabela2[[#This Row],[AD]]+Tabela2[[#This Row],[GWO]]+Tabela2[[#This Row],[GWD]])</f>
        <v>4</v>
      </c>
      <c r="S282" s="180">
        <f>Tabela2[[#This Row],[GWO]]+Tabela2[[#This Row],[GWD]]</f>
        <v>2</v>
      </c>
      <c r="T282" s="180">
        <f>SUM(Tabela2[[#This Row],[G]:[GWD]])</f>
        <v>8</v>
      </c>
    </row>
    <row r="283" spans="1:20" ht="30">
      <c r="A283" s="183">
        <v>100</v>
      </c>
      <c r="B283" s="179" t="s">
        <v>644</v>
      </c>
      <c r="C283" s="174" t="s">
        <v>534</v>
      </c>
      <c r="D283" s="174">
        <v>3</v>
      </c>
      <c r="E283" s="174" t="s">
        <v>249</v>
      </c>
      <c r="F283" s="174">
        <v>1</v>
      </c>
      <c r="G283" s="174">
        <v>1</v>
      </c>
      <c r="H283" s="174">
        <v>1</v>
      </c>
      <c r="I283" s="174">
        <v>1</v>
      </c>
      <c r="J283" s="174">
        <v>1</v>
      </c>
      <c r="K283" s="174">
        <v>1</v>
      </c>
      <c r="L283" s="174">
        <v>1</v>
      </c>
      <c r="M283" s="174">
        <v>1</v>
      </c>
      <c r="N283" s="170"/>
      <c r="O283" s="170"/>
      <c r="P283" s="170"/>
      <c r="Q283" s="180">
        <f>SUM(Tabela2[[#This Row],[G]]+Tabela2[[#This Row],[D]]+Tabela2[[#This Row],[N]]+Tabela2[[#This Row],[HM]])</f>
        <v>4</v>
      </c>
      <c r="R283" s="180">
        <f>SUM(Tabela2[[#This Row],[AO]]+Tabela2[[#This Row],[AD]]+Tabela2[[#This Row],[GWO]]+Tabela2[[#This Row],[GWD]])</f>
        <v>4</v>
      </c>
      <c r="S283" s="180">
        <f>Tabela2[[#This Row],[GWO]]+Tabela2[[#This Row],[GWD]]</f>
        <v>2</v>
      </c>
      <c r="T283" s="180">
        <f>SUM(Tabela2[[#This Row],[G]:[GWD]])</f>
        <v>8</v>
      </c>
    </row>
    <row r="284" spans="1:20" ht="30">
      <c r="A284" s="183">
        <v>128</v>
      </c>
      <c r="B284" s="172" t="s">
        <v>617</v>
      </c>
      <c r="C284" s="172" t="s">
        <v>534</v>
      </c>
      <c r="D284" s="172">
        <v>3</v>
      </c>
      <c r="E284" s="172" t="s">
        <v>250</v>
      </c>
      <c r="F284" s="172">
        <v>1</v>
      </c>
      <c r="G284" s="172">
        <v>1</v>
      </c>
      <c r="H284" s="172">
        <v>1</v>
      </c>
      <c r="I284" s="172">
        <v>1</v>
      </c>
      <c r="J284" s="172">
        <v>1</v>
      </c>
      <c r="K284" s="172">
        <v>1</v>
      </c>
      <c r="L284" s="172">
        <v>1</v>
      </c>
      <c r="M284" s="172">
        <v>1</v>
      </c>
      <c r="N284" s="170"/>
      <c r="O284" s="170"/>
      <c r="P284" s="170"/>
      <c r="Q284" s="180">
        <f>SUM(Tabela2[[#This Row],[G]]+Tabela2[[#This Row],[D]]+Tabela2[[#This Row],[N]]+Tabela2[[#This Row],[HM]])</f>
        <v>4</v>
      </c>
      <c r="R284" s="180">
        <f>SUM(Tabela2[[#This Row],[AO]]+Tabela2[[#This Row],[AD]]+Tabela2[[#This Row],[GWO]]+Tabela2[[#This Row],[GWD]])</f>
        <v>4</v>
      </c>
      <c r="S284" s="180">
        <f>Tabela2[[#This Row],[GWO]]+Tabela2[[#This Row],[GWD]]</f>
        <v>2</v>
      </c>
      <c r="T284" s="180">
        <f>SUM(Tabela2[[#This Row],[G]:[GWD]])</f>
        <v>8</v>
      </c>
    </row>
    <row r="285" spans="1:20" ht="30">
      <c r="A285" s="183">
        <v>157</v>
      </c>
      <c r="B285" s="171" t="s">
        <v>587</v>
      </c>
      <c r="C285" s="171" t="s">
        <v>534</v>
      </c>
      <c r="D285" s="171">
        <v>3</v>
      </c>
      <c r="E285" s="171" t="s">
        <v>251</v>
      </c>
      <c r="F285" s="171">
        <v>1</v>
      </c>
      <c r="G285" s="171">
        <v>1</v>
      </c>
      <c r="H285" s="171">
        <v>1</v>
      </c>
      <c r="I285" s="171">
        <v>1</v>
      </c>
      <c r="J285" s="171">
        <v>1</v>
      </c>
      <c r="K285" s="171">
        <v>1</v>
      </c>
      <c r="L285" s="171">
        <v>1</v>
      </c>
      <c r="M285" s="171">
        <v>1</v>
      </c>
      <c r="N285" s="170"/>
      <c r="O285" s="170"/>
      <c r="P285" s="170"/>
      <c r="Q285" s="180">
        <f>SUM(Tabela2[[#This Row],[G]]+Tabela2[[#This Row],[D]]+Tabela2[[#This Row],[N]]+Tabela2[[#This Row],[HM]])</f>
        <v>4</v>
      </c>
      <c r="R285" s="180">
        <f>SUM(Tabela2[[#This Row],[AO]]+Tabela2[[#This Row],[AD]]+Tabela2[[#This Row],[GWO]]+Tabela2[[#This Row],[GWD]])</f>
        <v>4</v>
      </c>
      <c r="S285" s="180">
        <f>Tabela2[[#This Row],[GWO]]+Tabela2[[#This Row],[GWD]]</f>
        <v>2</v>
      </c>
      <c r="T285" s="180">
        <f>SUM(Tabela2[[#This Row],[G]:[GWD]])</f>
        <v>8</v>
      </c>
    </row>
    <row r="286" spans="1:20" ht="30">
      <c r="A286" s="183">
        <v>191</v>
      </c>
      <c r="B286" s="170" t="s">
        <v>535</v>
      </c>
      <c r="C286" s="170" t="s">
        <v>534</v>
      </c>
      <c r="D286" s="170">
        <v>3</v>
      </c>
      <c r="E286" s="170" t="s">
        <v>272</v>
      </c>
      <c r="F286" s="170">
        <v>1</v>
      </c>
      <c r="G286" s="170">
        <v>1</v>
      </c>
      <c r="H286" s="170">
        <v>1</v>
      </c>
      <c r="I286" s="170">
        <v>1</v>
      </c>
      <c r="J286" s="170">
        <v>1</v>
      </c>
      <c r="K286" s="170">
        <v>1</v>
      </c>
      <c r="L286" s="170">
        <v>1</v>
      </c>
      <c r="M286" s="170">
        <v>1</v>
      </c>
      <c r="N286" s="170"/>
      <c r="O286" s="170"/>
      <c r="P286" s="170"/>
      <c r="Q286" s="180">
        <f>SUM(Tabela2[[#This Row],[G]]+Tabela2[[#This Row],[D]]+Tabela2[[#This Row],[N]]+Tabela2[[#This Row],[HM]])</f>
        <v>4</v>
      </c>
      <c r="R286" s="180">
        <f>SUM(Tabela2[[#This Row],[AO]]+Tabela2[[#This Row],[AD]]+Tabela2[[#This Row],[GWO]]+Tabela2[[#This Row],[GWD]])</f>
        <v>4</v>
      </c>
      <c r="S286" s="180">
        <f>Tabela2[[#This Row],[GWO]]+Tabela2[[#This Row],[GWD]]</f>
        <v>2</v>
      </c>
      <c r="T286" s="180">
        <f>SUM(Tabela2[[#This Row],[G]:[GWD]])</f>
        <v>8</v>
      </c>
    </row>
    <row r="287" spans="1:20" ht="30">
      <c r="A287" s="183">
        <v>69</v>
      </c>
      <c r="B287" s="175" t="s">
        <v>676</v>
      </c>
      <c r="C287" s="175" t="s">
        <v>532</v>
      </c>
      <c r="D287" s="175">
        <v>3</v>
      </c>
      <c r="E287" s="175" t="s">
        <v>18</v>
      </c>
      <c r="F287" s="175">
        <v>1</v>
      </c>
      <c r="G287" s="175">
        <v>1</v>
      </c>
      <c r="H287" s="175">
        <v>1</v>
      </c>
      <c r="I287" s="175">
        <v>1</v>
      </c>
      <c r="J287" s="175">
        <v>1</v>
      </c>
      <c r="K287" s="175">
        <v>1</v>
      </c>
      <c r="L287" s="175">
        <v>1</v>
      </c>
      <c r="M287" s="175">
        <v>1</v>
      </c>
      <c r="N287" s="175" t="s">
        <v>445</v>
      </c>
      <c r="O287" s="175"/>
      <c r="P287" s="175"/>
      <c r="Q287" s="184">
        <f>SUM(Tabela2[[#This Row],[G]]+Tabela2[[#This Row],[D]]+Tabela2[[#This Row],[N]]+Tabela2[[#This Row],[HM]])</f>
        <v>4</v>
      </c>
      <c r="R287" s="184">
        <f>SUM(Tabela2[[#This Row],[AO]]+Tabela2[[#This Row],[AD]]+Tabela2[[#This Row],[GWO]]+Tabela2[[#This Row],[GWD]])</f>
        <v>4</v>
      </c>
      <c r="S287" s="184">
        <f>Tabela2[[#This Row],[GWO]]+Tabela2[[#This Row],[GWD]]</f>
        <v>2</v>
      </c>
      <c r="T287" s="180">
        <f>SUM(Tabela2[[#This Row],[G]:[GWD]])</f>
        <v>8</v>
      </c>
    </row>
    <row r="288" spans="1:20" ht="30">
      <c r="A288" s="183">
        <v>101</v>
      </c>
      <c r="B288" s="174" t="s">
        <v>643</v>
      </c>
      <c r="C288" s="174" t="s">
        <v>532</v>
      </c>
      <c r="D288" s="174">
        <v>3</v>
      </c>
      <c r="E288" s="174" t="s">
        <v>249</v>
      </c>
      <c r="F288" s="174">
        <v>1</v>
      </c>
      <c r="G288" s="174">
        <v>1</v>
      </c>
      <c r="H288" s="174">
        <v>1</v>
      </c>
      <c r="I288" s="174">
        <v>1</v>
      </c>
      <c r="J288" s="174">
        <v>1</v>
      </c>
      <c r="K288" s="174">
        <v>1</v>
      </c>
      <c r="L288" s="174">
        <v>1</v>
      </c>
      <c r="M288" s="174">
        <v>1</v>
      </c>
      <c r="N288" s="174" t="s">
        <v>445</v>
      </c>
      <c r="O288" s="174"/>
      <c r="P288" s="174"/>
      <c r="Q288" s="185">
        <f>SUM(Tabela2[[#This Row],[G]]+Tabela2[[#This Row],[D]]+Tabela2[[#This Row],[N]]+Tabela2[[#This Row],[HM]])</f>
        <v>4</v>
      </c>
      <c r="R288" s="185">
        <f>SUM(Tabela2[[#This Row],[AO]]+Tabela2[[#This Row],[AD]]+Tabela2[[#This Row],[GWO]]+Tabela2[[#This Row],[GWD]])</f>
        <v>4</v>
      </c>
      <c r="S288" s="185">
        <f>Tabela2[[#This Row],[GWO]]+Tabela2[[#This Row],[GWD]]</f>
        <v>2</v>
      </c>
      <c r="T288" s="180">
        <f>SUM(Tabela2[[#This Row],[G]:[GWD]])</f>
        <v>8</v>
      </c>
    </row>
    <row r="289" spans="1:20" ht="30">
      <c r="A289" s="183">
        <v>129</v>
      </c>
      <c r="B289" s="172" t="s">
        <v>616</v>
      </c>
      <c r="C289" s="172" t="s">
        <v>532</v>
      </c>
      <c r="D289" s="172">
        <v>3</v>
      </c>
      <c r="E289" s="172" t="s">
        <v>250</v>
      </c>
      <c r="F289" s="172">
        <v>1</v>
      </c>
      <c r="G289" s="172">
        <v>1</v>
      </c>
      <c r="H289" s="172">
        <v>1</v>
      </c>
      <c r="I289" s="172">
        <v>1</v>
      </c>
      <c r="J289" s="172">
        <v>1</v>
      </c>
      <c r="K289" s="172">
        <v>1</v>
      </c>
      <c r="L289" s="172">
        <v>1</v>
      </c>
      <c r="M289" s="172">
        <v>1</v>
      </c>
      <c r="N289" s="170"/>
      <c r="O289" s="170"/>
      <c r="P289" s="170"/>
      <c r="Q289" s="180">
        <f>SUM(Tabela2[[#This Row],[G]]+Tabela2[[#This Row],[D]]+Tabela2[[#This Row],[N]]+Tabela2[[#This Row],[HM]])</f>
        <v>4</v>
      </c>
      <c r="R289" s="180">
        <f>SUM(Tabela2[[#This Row],[AO]]+Tabela2[[#This Row],[AD]]+Tabela2[[#This Row],[GWO]]+Tabela2[[#This Row],[GWD]])</f>
        <v>4</v>
      </c>
      <c r="S289" s="180">
        <f>Tabela2[[#This Row],[GWO]]+Tabela2[[#This Row],[GWD]]</f>
        <v>2</v>
      </c>
      <c r="T289" s="180">
        <f>SUM(Tabela2[[#This Row],[G]:[GWD]])</f>
        <v>8</v>
      </c>
    </row>
    <row r="290" spans="1:20" ht="30">
      <c r="A290" s="183">
        <v>158</v>
      </c>
      <c r="B290" s="171" t="s">
        <v>586</v>
      </c>
      <c r="C290" s="171" t="s">
        <v>532</v>
      </c>
      <c r="D290" s="171">
        <v>3</v>
      </c>
      <c r="E290" s="171" t="s">
        <v>251</v>
      </c>
      <c r="F290" s="171">
        <v>1</v>
      </c>
      <c r="G290" s="171">
        <v>1</v>
      </c>
      <c r="H290" s="171">
        <v>1</v>
      </c>
      <c r="I290" s="171">
        <v>1</v>
      </c>
      <c r="J290" s="171">
        <v>1</v>
      </c>
      <c r="K290" s="171">
        <v>1</v>
      </c>
      <c r="L290" s="171">
        <v>1</v>
      </c>
      <c r="M290" s="171">
        <v>1</v>
      </c>
      <c r="N290" s="170"/>
      <c r="O290" s="170"/>
      <c r="P290" s="170"/>
      <c r="Q290" s="180">
        <f>SUM(Tabela2[[#This Row],[G]]+Tabela2[[#This Row],[D]]+Tabela2[[#This Row],[N]]+Tabela2[[#This Row],[HM]])</f>
        <v>4</v>
      </c>
      <c r="R290" s="180">
        <f>SUM(Tabela2[[#This Row],[AO]]+Tabela2[[#This Row],[AD]]+Tabela2[[#This Row],[GWO]]+Tabela2[[#This Row],[GWD]])</f>
        <v>4</v>
      </c>
      <c r="S290" s="180">
        <f>Tabela2[[#This Row],[GWO]]+Tabela2[[#This Row],[GWD]]</f>
        <v>2</v>
      </c>
      <c r="T290" s="180">
        <f>SUM(Tabela2[[#This Row],[G]:[GWD]])</f>
        <v>8</v>
      </c>
    </row>
    <row r="291" spans="1:20" ht="30">
      <c r="A291" s="183">
        <v>192</v>
      </c>
      <c r="B291" s="170" t="s">
        <v>533</v>
      </c>
      <c r="C291" s="170" t="s">
        <v>532</v>
      </c>
      <c r="D291" s="170">
        <v>3</v>
      </c>
      <c r="E291" s="170" t="s">
        <v>272</v>
      </c>
      <c r="F291" s="170">
        <v>1</v>
      </c>
      <c r="G291" s="170">
        <v>1</v>
      </c>
      <c r="H291" s="170">
        <v>1</v>
      </c>
      <c r="I291" s="170">
        <v>1</v>
      </c>
      <c r="J291" s="170">
        <v>1</v>
      </c>
      <c r="K291" s="170">
        <v>1</v>
      </c>
      <c r="L291" s="170">
        <v>1</v>
      </c>
      <c r="M291" s="170">
        <v>1</v>
      </c>
      <c r="N291" s="170"/>
      <c r="O291" s="170"/>
      <c r="P291" s="170"/>
      <c r="Q291" s="180">
        <f>SUM(Tabela2[[#This Row],[G]]+Tabela2[[#This Row],[D]]+Tabela2[[#This Row],[N]]+Tabela2[[#This Row],[HM]])</f>
        <v>4</v>
      </c>
      <c r="R291" s="180">
        <f>SUM(Tabela2[[#This Row],[AO]]+Tabela2[[#This Row],[AD]]+Tabela2[[#This Row],[GWO]]+Tabela2[[#This Row],[GWD]])</f>
        <v>4</v>
      </c>
      <c r="S291" s="180">
        <f>Tabela2[[#This Row],[GWO]]+Tabela2[[#This Row],[GWD]]</f>
        <v>2</v>
      </c>
      <c r="T291" s="180">
        <f>SUM(Tabela2[[#This Row],[G]:[GWD]])</f>
        <v>8</v>
      </c>
    </row>
    <row r="292" spans="1:20" ht="30">
      <c r="A292" s="183">
        <v>70</v>
      </c>
      <c r="B292" s="175" t="s">
        <v>675</v>
      </c>
      <c r="C292" s="175" t="s">
        <v>530</v>
      </c>
      <c r="D292" s="175">
        <v>3</v>
      </c>
      <c r="E292" s="175" t="s">
        <v>18</v>
      </c>
      <c r="F292" s="175">
        <v>1</v>
      </c>
      <c r="G292" s="175">
        <v>1</v>
      </c>
      <c r="H292" s="175">
        <v>1</v>
      </c>
      <c r="I292" s="175">
        <v>1</v>
      </c>
      <c r="J292" s="175">
        <v>1</v>
      </c>
      <c r="K292" s="175">
        <v>1</v>
      </c>
      <c r="L292" s="175">
        <v>1</v>
      </c>
      <c r="M292" s="175">
        <v>1</v>
      </c>
      <c r="N292" s="170"/>
      <c r="O292" s="170"/>
      <c r="P292" s="170"/>
      <c r="Q292" s="180">
        <f>SUM(Tabela2[[#This Row],[G]]+Tabela2[[#This Row],[D]]+Tabela2[[#This Row],[N]]+Tabela2[[#This Row],[HM]])</f>
        <v>4</v>
      </c>
      <c r="R292" s="180">
        <f>SUM(Tabela2[[#This Row],[AO]]+Tabela2[[#This Row],[AD]]+Tabela2[[#This Row],[GWO]]+Tabela2[[#This Row],[GWD]])</f>
        <v>4</v>
      </c>
      <c r="S292" s="180">
        <f>Tabela2[[#This Row],[GWO]]+Tabela2[[#This Row],[GWD]]</f>
        <v>2</v>
      </c>
      <c r="T292" s="180">
        <f>SUM(Tabela2[[#This Row],[G]:[GWD]])</f>
        <v>8</v>
      </c>
    </row>
    <row r="293" spans="1:20" ht="30">
      <c r="A293" s="183">
        <v>102</v>
      </c>
      <c r="B293" s="174" t="s">
        <v>642</v>
      </c>
      <c r="C293" s="174" t="s">
        <v>530</v>
      </c>
      <c r="D293" s="174">
        <v>3</v>
      </c>
      <c r="E293" s="174" t="s">
        <v>249</v>
      </c>
      <c r="F293" s="174">
        <v>1</v>
      </c>
      <c r="G293" s="174">
        <v>1</v>
      </c>
      <c r="H293" s="174">
        <v>1</v>
      </c>
      <c r="I293" s="174">
        <v>1</v>
      </c>
      <c r="J293" s="174">
        <v>1</v>
      </c>
      <c r="K293" s="174">
        <v>1</v>
      </c>
      <c r="L293" s="174">
        <v>1</v>
      </c>
      <c r="M293" s="174">
        <v>1</v>
      </c>
      <c r="N293" s="170"/>
      <c r="O293" s="170"/>
      <c r="P293" s="170"/>
      <c r="Q293" s="180">
        <f>SUM(Tabela2[[#This Row],[G]]+Tabela2[[#This Row],[D]]+Tabela2[[#This Row],[N]]+Tabela2[[#This Row],[HM]])</f>
        <v>4</v>
      </c>
      <c r="R293" s="180">
        <f>SUM(Tabela2[[#This Row],[AO]]+Tabela2[[#This Row],[AD]]+Tabela2[[#This Row],[GWO]]+Tabela2[[#This Row],[GWD]])</f>
        <v>4</v>
      </c>
      <c r="S293" s="180">
        <f>Tabela2[[#This Row],[GWO]]+Tabela2[[#This Row],[GWD]]</f>
        <v>2</v>
      </c>
      <c r="T293" s="180">
        <f>SUM(Tabela2[[#This Row],[G]:[GWD]])</f>
        <v>8</v>
      </c>
    </row>
    <row r="294" spans="1:20" ht="30">
      <c r="A294" s="183">
        <v>130</v>
      </c>
      <c r="B294" s="172" t="s">
        <v>615</v>
      </c>
      <c r="C294" s="172" t="s">
        <v>530</v>
      </c>
      <c r="D294" s="172">
        <v>3</v>
      </c>
      <c r="E294" s="172" t="s">
        <v>250</v>
      </c>
      <c r="F294" s="172">
        <v>1</v>
      </c>
      <c r="G294" s="172">
        <v>1</v>
      </c>
      <c r="H294" s="172">
        <v>1</v>
      </c>
      <c r="I294" s="172">
        <v>1</v>
      </c>
      <c r="J294" s="172">
        <v>1</v>
      </c>
      <c r="K294" s="172">
        <v>1</v>
      </c>
      <c r="L294" s="172">
        <v>1</v>
      </c>
      <c r="M294" s="172">
        <v>1</v>
      </c>
      <c r="N294" s="172" t="s">
        <v>445</v>
      </c>
      <c r="O294" s="172"/>
      <c r="P294" s="172"/>
      <c r="Q294" s="186">
        <f>SUM(Tabela2[[#This Row],[G]]+Tabela2[[#This Row],[D]]+Tabela2[[#This Row],[N]]+Tabela2[[#This Row],[HM]])</f>
        <v>4</v>
      </c>
      <c r="R294" s="186">
        <f>SUM(Tabela2[[#This Row],[AO]]+Tabela2[[#This Row],[AD]]+Tabela2[[#This Row],[GWO]]+Tabela2[[#This Row],[GWD]])</f>
        <v>4</v>
      </c>
      <c r="S294" s="186">
        <f>Tabela2[[#This Row],[GWO]]+Tabela2[[#This Row],[GWD]]</f>
        <v>2</v>
      </c>
      <c r="T294" s="180">
        <f>SUM(Tabela2[[#This Row],[G]:[GWD]])</f>
        <v>8</v>
      </c>
    </row>
    <row r="295" spans="1:20" ht="30">
      <c r="A295" s="183">
        <v>159</v>
      </c>
      <c r="B295" s="171" t="s">
        <v>585</v>
      </c>
      <c r="C295" s="171" t="s">
        <v>530</v>
      </c>
      <c r="D295" s="171">
        <v>3</v>
      </c>
      <c r="E295" s="171" t="s">
        <v>251</v>
      </c>
      <c r="F295" s="171">
        <v>1</v>
      </c>
      <c r="G295" s="171">
        <v>1</v>
      </c>
      <c r="H295" s="171">
        <v>1</v>
      </c>
      <c r="I295" s="171">
        <v>1</v>
      </c>
      <c r="J295" s="171">
        <v>1</v>
      </c>
      <c r="K295" s="171">
        <v>1</v>
      </c>
      <c r="L295" s="171">
        <v>1</v>
      </c>
      <c r="M295" s="171">
        <v>1</v>
      </c>
      <c r="N295" s="170"/>
      <c r="O295" s="170"/>
      <c r="P295" s="170"/>
      <c r="Q295" s="180">
        <f>SUM(Tabela2[[#This Row],[G]]+Tabela2[[#This Row],[D]]+Tabela2[[#This Row],[N]]+Tabela2[[#This Row],[HM]])</f>
        <v>4</v>
      </c>
      <c r="R295" s="180">
        <f>SUM(Tabela2[[#This Row],[AO]]+Tabela2[[#This Row],[AD]]+Tabela2[[#This Row],[GWO]]+Tabela2[[#This Row],[GWD]])</f>
        <v>4</v>
      </c>
      <c r="S295" s="180">
        <f>Tabela2[[#This Row],[GWO]]+Tabela2[[#This Row],[GWD]]</f>
        <v>2</v>
      </c>
      <c r="T295" s="180">
        <f>SUM(Tabela2[[#This Row],[G]:[GWD]])</f>
        <v>8</v>
      </c>
    </row>
    <row r="296" spans="1:20" ht="30">
      <c r="A296" s="183">
        <v>193</v>
      </c>
      <c r="B296" s="170" t="s">
        <v>531</v>
      </c>
      <c r="C296" s="170" t="s">
        <v>530</v>
      </c>
      <c r="D296" s="170">
        <v>3</v>
      </c>
      <c r="E296" s="170" t="s">
        <v>272</v>
      </c>
      <c r="F296" s="170">
        <v>1</v>
      </c>
      <c r="G296" s="170">
        <v>1</v>
      </c>
      <c r="H296" s="170">
        <v>1</v>
      </c>
      <c r="I296" s="170">
        <v>1</v>
      </c>
      <c r="J296" s="170">
        <v>1</v>
      </c>
      <c r="K296" s="170">
        <v>1</v>
      </c>
      <c r="L296" s="170">
        <v>1</v>
      </c>
      <c r="M296" s="170">
        <v>1</v>
      </c>
      <c r="N296" s="170"/>
      <c r="O296" s="170"/>
      <c r="P296" s="170"/>
      <c r="Q296" s="180">
        <f>SUM(Tabela2[[#This Row],[G]]+Tabela2[[#This Row],[D]]+Tabela2[[#This Row],[N]]+Tabela2[[#This Row],[HM]])</f>
        <v>4</v>
      </c>
      <c r="R296" s="180">
        <f>SUM(Tabela2[[#This Row],[AO]]+Tabela2[[#This Row],[AD]]+Tabela2[[#This Row],[GWO]]+Tabela2[[#This Row],[GWD]])</f>
        <v>4</v>
      </c>
      <c r="S296" s="180">
        <f>Tabela2[[#This Row],[GWO]]+Tabela2[[#This Row],[GWD]]</f>
        <v>2</v>
      </c>
      <c r="T296" s="180">
        <f>SUM(Tabela2[[#This Row],[G]:[GWD]])</f>
        <v>8</v>
      </c>
    </row>
    <row r="297" spans="1:20" ht="30">
      <c r="A297" s="183">
        <v>71</v>
      </c>
      <c r="B297" s="175" t="s">
        <v>674</v>
      </c>
      <c r="C297" s="175" t="s">
        <v>528</v>
      </c>
      <c r="D297" s="175">
        <v>3</v>
      </c>
      <c r="E297" s="175" t="s">
        <v>18</v>
      </c>
      <c r="F297" s="175">
        <v>1</v>
      </c>
      <c r="G297" s="175">
        <v>1</v>
      </c>
      <c r="H297" s="175">
        <v>1</v>
      </c>
      <c r="I297" s="175">
        <v>1</v>
      </c>
      <c r="J297" s="175">
        <v>1</v>
      </c>
      <c r="K297" s="175">
        <v>1</v>
      </c>
      <c r="L297" s="175">
        <v>1</v>
      </c>
      <c r="M297" s="175">
        <v>1</v>
      </c>
      <c r="N297" s="170"/>
      <c r="O297" s="170"/>
      <c r="P297" s="170"/>
      <c r="Q297" s="180">
        <f>SUM(Tabela2[[#This Row],[G]]+Tabela2[[#This Row],[D]]+Tabela2[[#This Row],[N]]+Tabela2[[#This Row],[HM]])</f>
        <v>4</v>
      </c>
      <c r="R297" s="180">
        <f>SUM(Tabela2[[#This Row],[AO]]+Tabela2[[#This Row],[AD]]+Tabela2[[#This Row],[GWO]]+Tabela2[[#This Row],[GWD]])</f>
        <v>4</v>
      </c>
      <c r="S297" s="180">
        <f>Tabela2[[#This Row],[GWO]]+Tabela2[[#This Row],[GWD]]</f>
        <v>2</v>
      </c>
      <c r="T297" s="180">
        <f>SUM(Tabela2[[#This Row],[G]:[GWD]])</f>
        <v>8</v>
      </c>
    </row>
    <row r="298" spans="1:20" ht="30">
      <c r="A298" s="183">
        <v>131</v>
      </c>
      <c r="B298" s="172" t="s">
        <v>614</v>
      </c>
      <c r="C298" s="172" t="s">
        <v>528</v>
      </c>
      <c r="D298" s="172">
        <v>3</v>
      </c>
      <c r="E298" s="172" t="s">
        <v>250</v>
      </c>
      <c r="F298" s="172">
        <v>1</v>
      </c>
      <c r="G298" s="172">
        <v>1</v>
      </c>
      <c r="H298" s="172">
        <v>1</v>
      </c>
      <c r="I298" s="172">
        <v>1</v>
      </c>
      <c r="J298" s="172">
        <v>1</v>
      </c>
      <c r="K298" s="172">
        <v>1</v>
      </c>
      <c r="L298" s="172">
        <v>1</v>
      </c>
      <c r="M298" s="172">
        <v>1</v>
      </c>
      <c r="N298" s="170"/>
      <c r="O298" s="170"/>
      <c r="P298" s="170"/>
      <c r="Q298" s="180">
        <f>SUM(Tabela2[[#This Row],[G]]+Tabela2[[#This Row],[D]]+Tabela2[[#This Row],[N]]+Tabela2[[#This Row],[HM]])</f>
        <v>4</v>
      </c>
      <c r="R298" s="180">
        <f>SUM(Tabela2[[#This Row],[AO]]+Tabela2[[#This Row],[AD]]+Tabela2[[#This Row],[GWO]]+Tabela2[[#This Row],[GWD]])</f>
        <v>4</v>
      </c>
      <c r="S298" s="180">
        <f>Tabela2[[#This Row],[GWO]]+Tabela2[[#This Row],[GWD]]</f>
        <v>2</v>
      </c>
      <c r="T298" s="180">
        <f>SUM(Tabela2[[#This Row],[G]:[GWD]])</f>
        <v>8</v>
      </c>
    </row>
    <row r="299" spans="1:20" ht="30">
      <c r="A299" s="183">
        <v>160</v>
      </c>
      <c r="B299" s="171" t="s">
        <v>584</v>
      </c>
      <c r="C299" s="171" t="s">
        <v>528</v>
      </c>
      <c r="D299" s="171">
        <v>3</v>
      </c>
      <c r="E299" s="171" t="s">
        <v>251</v>
      </c>
      <c r="F299" s="171">
        <v>1</v>
      </c>
      <c r="G299" s="171">
        <v>1</v>
      </c>
      <c r="H299" s="171">
        <v>1</v>
      </c>
      <c r="I299" s="171">
        <v>1</v>
      </c>
      <c r="J299" s="171">
        <v>1</v>
      </c>
      <c r="K299" s="171">
        <v>1</v>
      </c>
      <c r="L299" s="171">
        <v>1</v>
      </c>
      <c r="M299" s="171">
        <v>1</v>
      </c>
      <c r="N299" s="170"/>
      <c r="O299" s="170"/>
      <c r="P299" s="170"/>
      <c r="Q299" s="180">
        <f>SUM(Tabela2[[#This Row],[G]]+Tabela2[[#This Row],[D]]+Tabela2[[#This Row],[N]]+Tabela2[[#This Row],[HM]])</f>
        <v>4</v>
      </c>
      <c r="R299" s="180">
        <f>SUM(Tabela2[[#This Row],[AO]]+Tabela2[[#This Row],[AD]]+Tabela2[[#This Row],[GWO]]+Tabela2[[#This Row],[GWD]])</f>
        <v>4</v>
      </c>
      <c r="S299" s="180">
        <f>Tabela2[[#This Row],[GWO]]+Tabela2[[#This Row],[GWD]]</f>
        <v>2</v>
      </c>
      <c r="T299" s="180">
        <f>SUM(Tabela2[[#This Row],[G]:[GWD]])</f>
        <v>8</v>
      </c>
    </row>
    <row r="300" spans="1:20" ht="30">
      <c r="A300" s="183">
        <v>72</v>
      </c>
      <c r="B300" s="175" t="s">
        <v>673</v>
      </c>
      <c r="C300" s="175" t="s">
        <v>526</v>
      </c>
      <c r="D300" s="175">
        <v>3</v>
      </c>
      <c r="E300" s="175" t="s">
        <v>18</v>
      </c>
      <c r="F300" s="175">
        <v>1</v>
      </c>
      <c r="G300" s="175">
        <v>1</v>
      </c>
      <c r="H300" s="175">
        <v>1</v>
      </c>
      <c r="I300" s="175">
        <v>1</v>
      </c>
      <c r="J300" s="175">
        <v>1</v>
      </c>
      <c r="K300" s="175">
        <v>1</v>
      </c>
      <c r="L300" s="175">
        <v>1</v>
      </c>
      <c r="M300" s="175">
        <v>1</v>
      </c>
      <c r="N300" s="170"/>
      <c r="O300" s="170"/>
      <c r="P300" s="170"/>
      <c r="Q300" s="180">
        <f>SUM(Tabela2[[#This Row],[G]]+Tabela2[[#This Row],[D]]+Tabela2[[#This Row],[N]]+Tabela2[[#This Row],[HM]])</f>
        <v>4</v>
      </c>
      <c r="R300" s="180">
        <f>SUM(Tabela2[[#This Row],[AO]]+Tabela2[[#This Row],[AD]]+Tabela2[[#This Row],[GWO]]+Tabela2[[#This Row],[GWD]])</f>
        <v>4</v>
      </c>
      <c r="S300" s="180">
        <f>Tabela2[[#This Row],[GWO]]+Tabela2[[#This Row],[GWD]]</f>
        <v>2</v>
      </c>
      <c r="T300" s="180">
        <f>SUM(Tabela2[[#This Row],[G]:[GWD]])</f>
        <v>8</v>
      </c>
    </row>
    <row r="301" spans="1:20" ht="30">
      <c r="A301" s="183">
        <v>104</v>
      </c>
      <c r="B301" s="174" t="s">
        <v>640</v>
      </c>
      <c r="C301" s="174" t="s">
        <v>526</v>
      </c>
      <c r="D301" s="174">
        <v>3</v>
      </c>
      <c r="E301" s="174" t="s">
        <v>249</v>
      </c>
      <c r="F301" s="174">
        <v>1</v>
      </c>
      <c r="G301" s="174">
        <v>1</v>
      </c>
      <c r="H301" s="174">
        <v>1</v>
      </c>
      <c r="I301" s="174">
        <v>1</v>
      </c>
      <c r="J301" s="174">
        <v>1</v>
      </c>
      <c r="K301" s="174">
        <v>1</v>
      </c>
      <c r="L301" s="174">
        <v>1</v>
      </c>
      <c r="M301" s="174">
        <v>1</v>
      </c>
      <c r="N301" s="170"/>
      <c r="O301" s="170"/>
      <c r="P301" s="170"/>
      <c r="Q301" s="180">
        <f>SUM(Tabela2[[#This Row],[G]]+Tabela2[[#This Row],[D]]+Tabela2[[#This Row],[N]]+Tabela2[[#This Row],[HM]])</f>
        <v>4</v>
      </c>
      <c r="R301" s="180">
        <f>SUM(Tabela2[[#This Row],[AO]]+Tabela2[[#This Row],[AD]]+Tabela2[[#This Row],[GWO]]+Tabela2[[#This Row],[GWD]])</f>
        <v>4</v>
      </c>
      <c r="S301" s="180">
        <f>Tabela2[[#This Row],[GWO]]+Tabela2[[#This Row],[GWD]]</f>
        <v>2</v>
      </c>
      <c r="T301" s="180">
        <f>SUM(Tabela2[[#This Row],[G]:[GWD]])</f>
        <v>8</v>
      </c>
    </row>
    <row r="302" spans="1:20" ht="30">
      <c r="A302" s="183">
        <v>132</v>
      </c>
      <c r="B302" s="172" t="s">
        <v>613</v>
      </c>
      <c r="C302" s="172" t="s">
        <v>526</v>
      </c>
      <c r="D302" s="172">
        <v>3</v>
      </c>
      <c r="E302" s="172" t="s">
        <v>250</v>
      </c>
      <c r="F302" s="172">
        <v>1</v>
      </c>
      <c r="G302" s="172">
        <v>1</v>
      </c>
      <c r="H302" s="172">
        <v>1</v>
      </c>
      <c r="I302" s="172">
        <v>1</v>
      </c>
      <c r="J302" s="172">
        <v>1</v>
      </c>
      <c r="K302" s="172">
        <v>1</v>
      </c>
      <c r="L302" s="172">
        <v>1</v>
      </c>
      <c r="M302" s="172">
        <v>1</v>
      </c>
      <c r="N302" s="170"/>
      <c r="O302" s="170"/>
      <c r="P302" s="170"/>
      <c r="Q302" s="180">
        <f>SUM(Tabela2[[#This Row],[G]]+Tabela2[[#This Row],[D]]+Tabela2[[#This Row],[N]]+Tabela2[[#This Row],[HM]])</f>
        <v>4</v>
      </c>
      <c r="R302" s="180">
        <f>SUM(Tabela2[[#This Row],[AO]]+Tabela2[[#This Row],[AD]]+Tabela2[[#This Row],[GWO]]+Tabela2[[#This Row],[GWD]])</f>
        <v>4</v>
      </c>
      <c r="S302" s="180">
        <f>Tabela2[[#This Row],[GWO]]+Tabela2[[#This Row],[GWD]]</f>
        <v>2</v>
      </c>
      <c r="T302" s="180">
        <f>SUM(Tabela2[[#This Row],[G]:[GWD]])</f>
        <v>8</v>
      </c>
    </row>
    <row r="303" spans="1:20" ht="30">
      <c r="A303" s="183">
        <v>161</v>
      </c>
      <c r="B303" s="171" t="s">
        <v>583</v>
      </c>
      <c r="C303" s="171" t="s">
        <v>526</v>
      </c>
      <c r="D303" s="171">
        <v>3</v>
      </c>
      <c r="E303" s="171" t="s">
        <v>251</v>
      </c>
      <c r="F303" s="171">
        <v>1</v>
      </c>
      <c r="G303" s="171">
        <v>1</v>
      </c>
      <c r="H303" s="171">
        <v>1</v>
      </c>
      <c r="I303" s="171">
        <v>1</v>
      </c>
      <c r="J303" s="171">
        <v>1</v>
      </c>
      <c r="K303" s="171">
        <v>1</v>
      </c>
      <c r="L303" s="171">
        <v>1</v>
      </c>
      <c r="M303" s="171">
        <v>1</v>
      </c>
      <c r="N303" s="170"/>
      <c r="O303" s="170"/>
      <c r="P303" s="170"/>
      <c r="Q303" s="180">
        <f>SUM(Tabela2[[#This Row],[G]]+Tabela2[[#This Row],[D]]+Tabela2[[#This Row],[N]]+Tabela2[[#This Row],[HM]])</f>
        <v>4</v>
      </c>
      <c r="R303" s="180">
        <f>SUM(Tabela2[[#This Row],[AO]]+Tabela2[[#This Row],[AD]]+Tabela2[[#This Row],[GWO]]+Tabela2[[#This Row],[GWD]])</f>
        <v>4</v>
      </c>
      <c r="S303" s="180">
        <f>Tabela2[[#This Row],[GWO]]+Tabela2[[#This Row],[GWD]]</f>
        <v>2</v>
      </c>
      <c r="T303" s="180">
        <f>SUM(Tabela2[[#This Row],[G]:[GWD]])</f>
        <v>8</v>
      </c>
    </row>
    <row r="304" spans="1:20" ht="30">
      <c r="A304" s="183">
        <v>195</v>
      </c>
      <c r="B304" s="170" t="s">
        <v>527</v>
      </c>
      <c r="C304" s="170" t="s">
        <v>526</v>
      </c>
      <c r="D304" s="170">
        <v>3</v>
      </c>
      <c r="E304" s="170" t="s">
        <v>272</v>
      </c>
      <c r="F304" s="170">
        <v>1</v>
      </c>
      <c r="G304" s="170">
        <v>1</v>
      </c>
      <c r="H304" s="170">
        <v>1</v>
      </c>
      <c r="I304" s="170">
        <v>1</v>
      </c>
      <c r="J304" s="170">
        <v>1</v>
      </c>
      <c r="K304" s="170">
        <v>1</v>
      </c>
      <c r="L304" s="170">
        <v>1</v>
      </c>
      <c r="M304" s="170">
        <v>1</v>
      </c>
      <c r="N304" s="170"/>
      <c r="O304" s="170"/>
      <c r="P304" s="170"/>
      <c r="Q304" s="180">
        <f>SUM(Tabela2[[#This Row],[G]]+Tabela2[[#This Row],[D]]+Tabela2[[#This Row],[N]]+Tabela2[[#This Row],[HM]])</f>
        <v>4</v>
      </c>
      <c r="R304" s="180">
        <f>SUM(Tabela2[[#This Row],[AO]]+Tabela2[[#This Row],[AD]]+Tabela2[[#This Row],[GWO]]+Tabela2[[#This Row],[GWD]])</f>
        <v>4</v>
      </c>
      <c r="S304" s="180">
        <f>Tabela2[[#This Row],[GWO]]+Tabela2[[#This Row],[GWD]]</f>
        <v>2</v>
      </c>
      <c r="T304" s="180">
        <f>SUM(Tabela2[[#This Row],[G]:[GWD]])</f>
        <v>8</v>
      </c>
    </row>
    <row r="305" spans="1:20" ht="30">
      <c r="A305" s="183">
        <v>73</v>
      </c>
      <c r="B305" s="175" t="s">
        <v>672</v>
      </c>
      <c r="C305" s="175" t="s">
        <v>671</v>
      </c>
      <c r="D305" s="175">
        <v>3</v>
      </c>
      <c r="E305" s="175" t="s">
        <v>18</v>
      </c>
      <c r="F305" s="175">
        <v>1</v>
      </c>
      <c r="G305" s="175">
        <v>1</v>
      </c>
      <c r="H305" s="175">
        <v>1</v>
      </c>
      <c r="I305" s="175">
        <v>1</v>
      </c>
      <c r="J305" s="175">
        <v>1</v>
      </c>
      <c r="K305" s="175">
        <v>1</v>
      </c>
      <c r="L305" s="175">
        <v>1</v>
      </c>
      <c r="M305" s="175">
        <v>1</v>
      </c>
      <c r="N305" s="175" t="s">
        <v>445</v>
      </c>
      <c r="O305" s="175"/>
      <c r="P305" s="175"/>
      <c r="Q305" s="184">
        <f>SUM(Tabela2[[#This Row],[G]]+Tabela2[[#This Row],[D]]+Tabela2[[#This Row],[N]]+Tabela2[[#This Row],[HM]])</f>
        <v>4</v>
      </c>
      <c r="R305" s="184">
        <f>SUM(Tabela2[[#This Row],[AO]]+Tabela2[[#This Row],[AD]]+Tabela2[[#This Row],[GWO]]+Tabela2[[#This Row],[GWD]])</f>
        <v>4</v>
      </c>
      <c r="S305" s="184">
        <f>Tabela2[[#This Row],[GWO]]+Tabela2[[#This Row],[GWD]]</f>
        <v>2</v>
      </c>
      <c r="T305" s="180">
        <f>SUM(Tabela2[[#This Row],[G]:[GWD]])</f>
        <v>8</v>
      </c>
    </row>
    <row r="306" spans="1:20">
      <c r="A306" s="183">
        <v>105</v>
      </c>
      <c r="B306" s="174" t="s">
        <v>639</v>
      </c>
      <c r="C306" s="174" t="s">
        <v>284</v>
      </c>
      <c r="D306" s="174">
        <v>3</v>
      </c>
      <c r="E306" s="174" t="s">
        <v>249</v>
      </c>
      <c r="F306" s="174">
        <v>1</v>
      </c>
      <c r="G306" s="174">
        <v>1</v>
      </c>
      <c r="H306" s="174">
        <v>1</v>
      </c>
      <c r="I306" s="174">
        <v>1</v>
      </c>
      <c r="J306" s="174">
        <v>1</v>
      </c>
      <c r="K306" s="174">
        <v>1</v>
      </c>
      <c r="L306" s="174">
        <v>1</v>
      </c>
      <c r="M306" s="174">
        <v>1</v>
      </c>
      <c r="N306" s="170"/>
      <c r="O306" s="170"/>
      <c r="P306" s="194" t="s">
        <v>204</v>
      </c>
      <c r="Q306" s="180">
        <f>SUM(Tabela2[[#This Row],[G]]+Tabela2[[#This Row],[D]]+Tabela2[[#This Row],[N]]+Tabela2[[#This Row],[HM]])</f>
        <v>4</v>
      </c>
      <c r="R306" s="180">
        <f>SUM(Tabela2[[#This Row],[AO]]+Tabela2[[#This Row],[AD]]+Tabela2[[#This Row],[GWO]]+Tabela2[[#This Row],[GWD]])</f>
        <v>4</v>
      </c>
      <c r="S306" s="180">
        <f>Tabela2[[#This Row],[GWO]]+Tabela2[[#This Row],[GWD]]</f>
        <v>2</v>
      </c>
      <c r="T306" s="180">
        <f>SUM(Tabela2[[#This Row],[G]:[GWD]])</f>
        <v>8</v>
      </c>
    </row>
    <row r="307" spans="1:20">
      <c r="A307" s="183">
        <v>162</v>
      </c>
      <c r="B307" s="171" t="s">
        <v>582</v>
      </c>
      <c r="C307" s="171" t="s">
        <v>284</v>
      </c>
      <c r="D307" s="171">
        <v>3</v>
      </c>
      <c r="E307" s="171" t="s">
        <v>251</v>
      </c>
      <c r="F307" s="171">
        <v>1</v>
      </c>
      <c r="G307" s="171">
        <v>1</v>
      </c>
      <c r="H307" s="171">
        <v>1</v>
      </c>
      <c r="I307" s="171">
        <v>1</v>
      </c>
      <c r="J307" s="171">
        <v>1</v>
      </c>
      <c r="K307" s="171">
        <v>1</v>
      </c>
      <c r="L307" s="171">
        <v>1</v>
      </c>
      <c r="M307" s="171">
        <v>1</v>
      </c>
      <c r="N307" s="170"/>
      <c r="O307" s="170"/>
      <c r="P307" s="170"/>
      <c r="Q307" s="180">
        <f>SUM(Tabela2[[#This Row],[G]]+Tabela2[[#This Row],[D]]+Tabela2[[#This Row],[N]]+Tabela2[[#This Row],[HM]])</f>
        <v>4</v>
      </c>
      <c r="R307" s="180">
        <f>SUM(Tabela2[[#This Row],[AO]]+Tabela2[[#This Row],[AD]]+Tabela2[[#This Row],[GWO]]+Tabela2[[#This Row],[GWD]])</f>
        <v>4</v>
      </c>
      <c r="S307" s="180">
        <f>Tabela2[[#This Row],[GWO]]+Tabela2[[#This Row],[GWD]]</f>
        <v>2</v>
      </c>
      <c r="T307" s="180">
        <f>SUM(Tabela2[[#This Row],[G]:[GWD]])</f>
        <v>8</v>
      </c>
    </row>
    <row r="308" spans="1:20">
      <c r="A308" s="183">
        <v>196</v>
      </c>
      <c r="B308" s="170" t="s">
        <v>525</v>
      </c>
      <c r="C308" s="170" t="s">
        <v>284</v>
      </c>
      <c r="D308" s="170">
        <v>3</v>
      </c>
      <c r="E308" s="170" t="s">
        <v>272</v>
      </c>
      <c r="F308" s="170">
        <v>1</v>
      </c>
      <c r="G308" s="170">
        <v>1</v>
      </c>
      <c r="H308" s="170">
        <v>1</v>
      </c>
      <c r="I308" s="170">
        <v>1</v>
      </c>
      <c r="J308" s="170">
        <v>1</v>
      </c>
      <c r="K308" s="170">
        <v>1</v>
      </c>
      <c r="L308" s="170">
        <v>1</v>
      </c>
      <c r="M308" s="170">
        <v>1</v>
      </c>
      <c r="N308" s="170"/>
      <c r="O308" s="170"/>
      <c r="P308" s="170"/>
      <c r="Q308" s="180">
        <f>SUM(Tabela2[[#This Row],[G]]+Tabela2[[#This Row],[D]]+Tabela2[[#This Row],[N]]+Tabela2[[#This Row],[HM]])</f>
        <v>4</v>
      </c>
      <c r="R308" s="180">
        <f>SUM(Tabela2[[#This Row],[AO]]+Tabela2[[#This Row],[AD]]+Tabela2[[#This Row],[GWO]]+Tabela2[[#This Row],[GWD]])</f>
        <v>4</v>
      </c>
      <c r="S308" s="180">
        <f>Tabela2[[#This Row],[GWO]]+Tabela2[[#This Row],[GWD]]</f>
        <v>2</v>
      </c>
      <c r="T308" s="180">
        <f>SUM(Tabela2[[#This Row],[G]:[GWD]])</f>
        <v>8</v>
      </c>
    </row>
    <row r="309" spans="1:20">
      <c r="A309" s="183">
        <v>75</v>
      </c>
      <c r="B309" s="175" t="s">
        <v>669</v>
      </c>
      <c r="C309" s="175" t="s">
        <v>376</v>
      </c>
      <c r="D309" s="175">
        <v>3</v>
      </c>
      <c r="E309" s="175" t="s">
        <v>18</v>
      </c>
      <c r="F309" s="175">
        <v>1</v>
      </c>
      <c r="G309" s="175">
        <v>1</v>
      </c>
      <c r="H309" s="175">
        <v>1</v>
      </c>
      <c r="I309" s="175">
        <v>1</v>
      </c>
      <c r="J309" s="175">
        <v>1</v>
      </c>
      <c r="K309" s="175">
        <v>1</v>
      </c>
      <c r="L309" s="175">
        <v>1</v>
      </c>
      <c r="M309" s="175">
        <v>1</v>
      </c>
      <c r="N309" s="170"/>
      <c r="O309" s="170"/>
      <c r="P309" s="170"/>
      <c r="Q309" s="180">
        <f>SUM(Tabela2[[#This Row],[G]]+Tabela2[[#This Row],[D]]+Tabela2[[#This Row],[N]]+Tabela2[[#This Row],[HM]])</f>
        <v>4</v>
      </c>
      <c r="R309" s="180">
        <f>SUM(Tabela2[[#This Row],[AO]]+Tabela2[[#This Row],[AD]]+Tabela2[[#This Row],[GWO]]+Tabela2[[#This Row],[GWD]])</f>
        <v>4</v>
      </c>
      <c r="S309" s="180">
        <f>Tabela2[[#This Row],[GWO]]+Tabela2[[#This Row],[GWD]]</f>
        <v>2</v>
      </c>
      <c r="T309" s="180">
        <f>SUM(Tabela2[[#This Row],[G]:[GWD]])</f>
        <v>8</v>
      </c>
    </row>
    <row r="310" spans="1:20">
      <c r="A310" s="183">
        <v>163</v>
      </c>
      <c r="B310" s="171" t="s">
        <v>581</v>
      </c>
      <c r="C310" s="171" t="s">
        <v>376</v>
      </c>
      <c r="D310" s="171">
        <v>3</v>
      </c>
      <c r="E310" s="171" t="s">
        <v>251</v>
      </c>
      <c r="F310" s="171">
        <v>1</v>
      </c>
      <c r="G310" s="171">
        <v>1</v>
      </c>
      <c r="H310" s="171">
        <v>1</v>
      </c>
      <c r="I310" s="171">
        <v>1</v>
      </c>
      <c r="J310" s="171">
        <v>1</v>
      </c>
      <c r="K310" s="171">
        <v>1</v>
      </c>
      <c r="L310" s="171">
        <v>1</v>
      </c>
      <c r="M310" s="171">
        <v>1</v>
      </c>
      <c r="N310" s="170"/>
      <c r="O310" s="170"/>
      <c r="P310" s="170"/>
      <c r="Q310" s="180">
        <f>SUM(Tabela2[[#This Row],[G]]+Tabela2[[#This Row],[D]]+Tabela2[[#This Row],[N]]+Tabela2[[#This Row],[HM]])</f>
        <v>4</v>
      </c>
      <c r="R310" s="180">
        <f>SUM(Tabela2[[#This Row],[AO]]+Tabela2[[#This Row],[AD]]+Tabela2[[#This Row],[GWO]]+Tabela2[[#This Row],[GWD]])</f>
        <v>4</v>
      </c>
      <c r="S310" s="180">
        <f>Tabela2[[#This Row],[GWO]]+Tabela2[[#This Row],[GWD]]</f>
        <v>2</v>
      </c>
      <c r="T310" s="180">
        <f>SUM(Tabela2[[#This Row],[G]:[GWD]])</f>
        <v>8</v>
      </c>
    </row>
    <row r="311" spans="1:20">
      <c r="A311" s="183">
        <v>165</v>
      </c>
      <c r="B311" s="171" t="s">
        <v>579</v>
      </c>
      <c r="C311" s="171" t="s">
        <v>578</v>
      </c>
      <c r="D311" s="171">
        <v>3</v>
      </c>
      <c r="E311" s="171" t="s">
        <v>251</v>
      </c>
      <c r="F311" s="171">
        <v>1</v>
      </c>
      <c r="G311" s="171">
        <v>1</v>
      </c>
      <c r="H311" s="171">
        <v>1</v>
      </c>
      <c r="I311" s="171">
        <v>1</v>
      </c>
      <c r="J311" s="171">
        <v>1</v>
      </c>
      <c r="K311" s="171">
        <v>1</v>
      </c>
      <c r="L311" s="171">
        <v>1</v>
      </c>
      <c r="M311" s="171">
        <v>1</v>
      </c>
      <c r="N311" s="170"/>
      <c r="O311" s="170"/>
      <c r="P311" s="170"/>
      <c r="Q311" s="180">
        <f>SUM(Tabela2[[#This Row],[G]]+Tabela2[[#This Row],[D]]+Tabela2[[#This Row],[N]]+Tabela2[[#This Row],[HM]])</f>
        <v>4</v>
      </c>
      <c r="R311" s="180">
        <f>SUM(Tabela2[[#This Row],[AO]]+Tabela2[[#This Row],[AD]]+Tabela2[[#This Row],[GWO]]+Tabela2[[#This Row],[GWD]])</f>
        <v>4</v>
      </c>
      <c r="S311" s="180">
        <f>Tabela2[[#This Row],[GWO]]+Tabela2[[#This Row],[GWD]]</f>
        <v>2</v>
      </c>
      <c r="T311" s="180">
        <f>SUM(Tabela2[[#This Row],[G]:[GWD]])</f>
        <v>8</v>
      </c>
    </row>
    <row r="312" spans="1:20">
      <c r="A312" s="183">
        <v>106</v>
      </c>
      <c r="B312" s="174" t="s">
        <v>638</v>
      </c>
      <c r="C312" s="174" t="s">
        <v>523</v>
      </c>
      <c r="D312" s="174">
        <v>3</v>
      </c>
      <c r="E312" s="174" t="s">
        <v>249</v>
      </c>
      <c r="F312" s="174">
        <v>1</v>
      </c>
      <c r="G312" s="174">
        <v>1</v>
      </c>
      <c r="H312" s="174">
        <v>1</v>
      </c>
      <c r="I312" s="174">
        <v>1</v>
      </c>
      <c r="J312" s="174">
        <v>1</v>
      </c>
      <c r="K312" s="174">
        <v>1</v>
      </c>
      <c r="L312" s="174">
        <v>1</v>
      </c>
      <c r="M312" s="174">
        <v>1</v>
      </c>
      <c r="N312" s="170"/>
      <c r="O312" s="170"/>
      <c r="P312" s="170"/>
      <c r="Q312" s="180">
        <f>SUM(Tabela2[[#This Row],[G]]+Tabela2[[#This Row],[D]]+Tabela2[[#This Row],[N]]+Tabela2[[#This Row],[HM]])</f>
        <v>4</v>
      </c>
      <c r="R312" s="180">
        <f>SUM(Tabela2[[#This Row],[AO]]+Tabela2[[#This Row],[AD]]+Tabela2[[#This Row],[GWO]]+Tabela2[[#This Row],[GWD]])</f>
        <v>4</v>
      </c>
      <c r="S312" s="180">
        <f>Tabela2[[#This Row],[GWO]]+Tabela2[[#This Row],[GWD]]</f>
        <v>2</v>
      </c>
      <c r="T312" s="180">
        <f>SUM(Tabela2[[#This Row],[G]:[GWD]])</f>
        <v>8</v>
      </c>
    </row>
    <row r="313" spans="1:20">
      <c r="A313" s="183">
        <v>198</v>
      </c>
      <c r="B313" s="170" t="s">
        <v>524</v>
      </c>
      <c r="C313" s="170" t="s">
        <v>523</v>
      </c>
      <c r="D313" s="170">
        <v>3</v>
      </c>
      <c r="E313" s="170" t="s">
        <v>272</v>
      </c>
      <c r="F313" s="170">
        <v>1</v>
      </c>
      <c r="G313" s="170">
        <v>1</v>
      </c>
      <c r="H313" s="170">
        <v>1</v>
      </c>
      <c r="I313" s="170">
        <v>1</v>
      </c>
      <c r="J313" s="170">
        <v>1</v>
      </c>
      <c r="K313" s="170">
        <v>1</v>
      </c>
      <c r="L313" s="170">
        <v>1</v>
      </c>
      <c r="M313" s="170">
        <v>1</v>
      </c>
      <c r="N313" s="170"/>
      <c r="O313" s="170"/>
      <c r="P313" s="170"/>
      <c r="Q313" s="180">
        <f>SUM(Tabela2[[#This Row],[G]]+Tabela2[[#This Row],[D]]+Tabela2[[#This Row],[N]]+Tabela2[[#This Row],[HM]])</f>
        <v>4</v>
      </c>
      <c r="R313" s="180">
        <f>SUM(Tabela2[[#This Row],[AO]]+Tabela2[[#This Row],[AD]]+Tabela2[[#This Row],[GWO]]+Tabela2[[#This Row],[GWD]])</f>
        <v>4</v>
      </c>
      <c r="S313" s="180">
        <f>Tabela2[[#This Row],[GWO]]+Tabela2[[#This Row],[GWD]]</f>
        <v>2</v>
      </c>
      <c r="T313" s="180">
        <f>SUM(Tabela2[[#This Row],[G]:[GWD]])</f>
        <v>8</v>
      </c>
    </row>
    <row r="314" spans="1:20">
      <c r="A314" s="183">
        <v>77</v>
      </c>
      <c r="B314" s="175" t="s">
        <v>667</v>
      </c>
      <c r="C314" s="175" t="s">
        <v>521</v>
      </c>
      <c r="D314" s="175">
        <v>3</v>
      </c>
      <c r="E314" s="175" t="s">
        <v>18</v>
      </c>
      <c r="F314" s="175">
        <v>1</v>
      </c>
      <c r="G314" s="175">
        <v>1</v>
      </c>
      <c r="H314" s="175">
        <v>1</v>
      </c>
      <c r="I314" s="175">
        <v>1</v>
      </c>
      <c r="J314" s="175">
        <v>1</v>
      </c>
      <c r="K314" s="175">
        <v>1</v>
      </c>
      <c r="L314" s="175">
        <v>1</v>
      </c>
      <c r="M314" s="175">
        <v>1</v>
      </c>
      <c r="N314" s="175" t="s">
        <v>445</v>
      </c>
      <c r="O314" s="175"/>
      <c r="P314" s="175"/>
      <c r="Q314" s="184">
        <f>SUM(Tabela2[[#This Row],[G]]+Tabela2[[#This Row],[D]]+Tabela2[[#This Row],[N]]+Tabela2[[#This Row],[HM]])</f>
        <v>4</v>
      </c>
      <c r="R314" s="184">
        <f>SUM(Tabela2[[#This Row],[AO]]+Tabela2[[#This Row],[AD]]+Tabela2[[#This Row],[GWO]]+Tabela2[[#This Row],[GWD]])</f>
        <v>4</v>
      </c>
      <c r="S314" s="184">
        <f>Tabela2[[#This Row],[GWO]]+Tabela2[[#This Row],[GWD]]</f>
        <v>2</v>
      </c>
      <c r="T314" s="180">
        <f>SUM(Tabela2[[#This Row],[G]:[GWD]])</f>
        <v>8</v>
      </c>
    </row>
    <row r="315" spans="1:20">
      <c r="A315" s="183">
        <v>134</v>
      </c>
      <c r="B315" s="172" t="s">
        <v>611</v>
      </c>
      <c r="C315" s="172" t="s">
        <v>521</v>
      </c>
      <c r="D315" s="172">
        <v>3</v>
      </c>
      <c r="E315" s="172" t="s">
        <v>250</v>
      </c>
      <c r="F315" s="172">
        <v>1</v>
      </c>
      <c r="G315" s="172">
        <v>1</v>
      </c>
      <c r="H315" s="172">
        <v>1</v>
      </c>
      <c r="I315" s="172">
        <v>1</v>
      </c>
      <c r="J315" s="172">
        <v>1</v>
      </c>
      <c r="K315" s="172">
        <v>1</v>
      </c>
      <c r="L315" s="172">
        <v>1</v>
      </c>
      <c r="M315" s="172">
        <v>1</v>
      </c>
      <c r="N315" s="172" t="s">
        <v>445</v>
      </c>
      <c r="O315" s="172"/>
      <c r="P315" s="172"/>
      <c r="Q315" s="186">
        <f>SUM(Tabela2[[#This Row],[G]]+Tabela2[[#This Row],[D]]+Tabela2[[#This Row],[N]]+Tabela2[[#This Row],[HM]])</f>
        <v>4</v>
      </c>
      <c r="R315" s="186">
        <f>SUM(Tabela2[[#This Row],[AO]]+Tabela2[[#This Row],[AD]]+Tabela2[[#This Row],[GWO]]+Tabela2[[#This Row],[GWD]])</f>
        <v>4</v>
      </c>
      <c r="S315" s="186">
        <f>Tabela2[[#This Row],[GWO]]+Tabela2[[#This Row],[GWD]]</f>
        <v>2</v>
      </c>
      <c r="T315" s="180">
        <f>SUM(Tabela2[[#This Row],[G]:[GWD]])</f>
        <v>8</v>
      </c>
    </row>
    <row r="316" spans="1:20">
      <c r="A316" s="183">
        <v>167</v>
      </c>
      <c r="B316" s="171" t="s">
        <v>576</v>
      </c>
      <c r="C316" s="171" t="s">
        <v>287</v>
      </c>
      <c r="D316" s="171">
        <v>3</v>
      </c>
      <c r="E316" s="171" t="s">
        <v>251</v>
      </c>
      <c r="F316" s="171">
        <v>1</v>
      </c>
      <c r="G316" s="171">
        <v>1</v>
      </c>
      <c r="H316" s="171">
        <v>1</v>
      </c>
      <c r="I316" s="171">
        <v>1</v>
      </c>
      <c r="J316" s="171">
        <v>1</v>
      </c>
      <c r="K316" s="171">
        <v>1</v>
      </c>
      <c r="L316" s="171">
        <v>1</v>
      </c>
      <c r="M316" s="171">
        <v>1</v>
      </c>
      <c r="N316" s="171" t="s">
        <v>445</v>
      </c>
      <c r="O316" s="171"/>
      <c r="P316" s="171"/>
      <c r="Q316" s="187">
        <f>SUM(Tabela2[[#This Row],[G]]+Tabela2[[#This Row],[D]]+Tabela2[[#This Row],[N]]+Tabela2[[#This Row],[HM]])</f>
        <v>4</v>
      </c>
      <c r="R316" s="187">
        <f>SUM(Tabela2[[#This Row],[AO]]+Tabela2[[#This Row],[AD]]+Tabela2[[#This Row],[GWO]]+Tabela2[[#This Row],[GWD]])</f>
        <v>4</v>
      </c>
      <c r="S316" s="187">
        <f>Tabela2[[#This Row],[GWO]]+Tabela2[[#This Row],[GWD]]</f>
        <v>2</v>
      </c>
      <c r="T316" s="180">
        <f>SUM(Tabela2[[#This Row],[G]:[GWD]])</f>
        <v>8</v>
      </c>
    </row>
    <row r="317" spans="1:20" ht="30">
      <c r="A317" s="183">
        <v>303</v>
      </c>
      <c r="B317" s="170" t="s">
        <v>414</v>
      </c>
      <c r="C317" s="170" t="s">
        <v>357</v>
      </c>
      <c r="D317" s="170">
        <v>4</v>
      </c>
      <c r="E317" s="170" t="s">
        <v>272</v>
      </c>
      <c r="F317" s="170">
        <v>1</v>
      </c>
      <c r="G317" s="170">
        <v>1</v>
      </c>
      <c r="H317" s="170">
        <v>1</v>
      </c>
      <c r="I317" s="170">
        <v>1</v>
      </c>
      <c r="J317" s="170">
        <v>1</v>
      </c>
      <c r="K317" s="170">
        <v>1</v>
      </c>
      <c r="L317" s="170">
        <v>1</v>
      </c>
      <c r="M317" s="170">
        <v>1</v>
      </c>
      <c r="N317" s="170"/>
      <c r="O317" s="170"/>
      <c r="P317" s="170"/>
      <c r="Q317" s="180">
        <f>SUM(Tabela2[[#This Row],[G]]+Tabela2[[#This Row],[D]]+Tabela2[[#This Row],[N]]+Tabela2[[#This Row],[HM]])</f>
        <v>4</v>
      </c>
      <c r="R317" s="180">
        <f>SUM(Tabela2[[#This Row],[AO]]+Tabela2[[#This Row],[AD]]+Tabela2[[#This Row],[GWO]]+Tabela2[[#This Row],[GWD]])</f>
        <v>4</v>
      </c>
      <c r="S317" s="180">
        <f>Tabela2[[#This Row],[GWO]]+Tabela2[[#This Row],[GWD]]</f>
        <v>2</v>
      </c>
      <c r="T317" s="180">
        <f>SUM(Tabela2[[#This Row],[G]:[GWD]])</f>
        <v>8</v>
      </c>
    </row>
    <row r="318" spans="1:20" ht="30">
      <c r="A318" s="183">
        <v>258</v>
      </c>
      <c r="B318" s="172" t="s">
        <v>464</v>
      </c>
      <c r="C318" s="172" t="s">
        <v>407</v>
      </c>
      <c r="D318" s="172">
        <v>4</v>
      </c>
      <c r="E318" s="172" t="s">
        <v>250</v>
      </c>
      <c r="F318" s="172">
        <v>1</v>
      </c>
      <c r="G318" s="172">
        <v>1</v>
      </c>
      <c r="H318" s="172">
        <v>1</v>
      </c>
      <c r="I318" s="172">
        <v>1</v>
      </c>
      <c r="J318" s="172">
        <v>1</v>
      </c>
      <c r="K318" s="172">
        <v>1</v>
      </c>
      <c r="L318" s="172">
        <v>1</v>
      </c>
      <c r="M318" s="172">
        <v>1</v>
      </c>
      <c r="N318" s="170"/>
      <c r="O318" s="170"/>
      <c r="P318" s="170"/>
      <c r="Q318" s="180">
        <f>SUM(Tabela2[[#This Row],[G]]+Tabela2[[#This Row],[D]]+Tabela2[[#This Row],[N]]+Tabela2[[#This Row],[HM]])</f>
        <v>4</v>
      </c>
      <c r="R318" s="180">
        <f>SUM(Tabela2[[#This Row],[AO]]+Tabela2[[#This Row],[AD]]+Tabela2[[#This Row],[GWO]]+Tabela2[[#This Row],[GWD]])</f>
        <v>4</v>
      </c>
      <c r="S318" s="180">
        <f>Tabela2[[#This Row],[GWO]]+Tabela2[[#This Row],[GWD]]</f>
        <v>2</v>
      </c>
      <c r="T318" s="180">
        <f>SUM(Tabela2[[#This Row],[G]:[GWD]])</f>
        <v>8</v>
      </c>
    </row>
    <row r="319" spans="1:20">
      <c r="A319" s="183">
        <v>208</v>
      </c>
      <c r="B319" s="175" t="s">
        <v>512</v>
      </c>
      <c r="C319" s="175" t="s">
        <v>405</v>
      </c>
      <c r="D319" s="175">
        <v>4</v>
      </c>
      <c r="E319" s="175" t="s">
        <v>18</v>
      </c>
      <c r="F319" s="175">
        <v>1</v>
      </c>
      <c r="G319" s="175">
        <v>1</v>
      </c>
      <c r="H319" s="175">
        <v>1</v>
      </c>
      <c r="I319" s="175">
        <v>1</v>
      </c>
      <c r="J319" s="175">
        <v>1</v>
      </c>
      <c r="K319" s="175">
        <v>1</v>
      </c>
      <c r="L319" s="175">
        <v>1</v>
      </c>
      <c r="M319" s="175">
        <v>1</v>
      </c>
      <c r="N319" s="170"/>
      <c r="O319" s="170"/>
      <c r="P319" s="170"/>
      <c r="Q319" s="180">
        <f>SUM(Tabela2[[#This Row],[G]]+Tabela2[[#This Row],[D]]+Tabela2[[#This Row],[N]]+Tabela2[[#This Row],[HM]])</f>
        <v>4</v>
      </c>
      <c r="R319" s="180">
        <f>SUM(Tabela2[[#This Row],[AO]]+Tabela2[[#This Row],[AD]]+Tabela2[[#This Row],[GWO]]+Tabela2[[#This Row],[GWD]])</f>
        <v>4</v>
      </c>
      <c r="S319" s="180">
        <f>Tabela2[[#This Row],[GWO]]+Tabela2[[#This Row],[GWD]]</f>
        <v>2</v>
      </c>
      <c r="T319" s="180">
        <f>SUM(Tabela2[[#This Row],[G]:[GWD]])</f>
        <v>8</v>
      </c>
    </row>
    <row r="320" spans="1:20">
      <c r="A320" s="183">
        <v>233</v>
      </c>
      <c r="B320" s="174" t="s">
        <v>488</v>
      </c>
      <c r="C320" s="174" t="s">
        <v>405</v>
      </c>
      <c r="D320" s="174">
        <v>4</v>
      </c>
      <c r="E320" s="174" t="s">
        <v>249</v>
      </c>
      <c r="F320" s="174">
        <v>1</v>
      </c>
      <c r="G320" s="174">
        <v>1</v>
      </c>
      <c r="H320" s="174">
        <v>1</v>
      </c>
      <c r="I320" s="174">
        <v>1</v>
      </c>
      <c r="J320" s="174">
        <v>1</v>
      </c>
      <c r="K320" s="174">
        <v>1</v>
      </c>
      <c r="L320" s="174">
        <v>1</v>
      </c>
      <c r="M320" s="174">
        <v>1</v>
      </c>
      <c r="N320" s="170"/>
      <c r="O320" s="170"/>
      <c r="P320" s="170"/>
      <c r="Q320" s="180">
        <f>SUM(Tabela2[[#This Row],[G]]+Tabela2[[#This Row],[D]]+Tabela2[[#This Row],[N]]+Tabela2[[#This Row],[HM]])</f>
        <v>4</v>
      </c>
      <c r="R320" s="180">
        <f>SUM(Tabela2[[#This Row],[AO]]+Tabela2[[#This Row],[AD]]+Tabela2[[#This Row],[GWO]]+Tabela2[[#This Row],[GWD]])</f>
        <v>4</v>
      </c>
      <c r="S320" s="180">
        <f>Tabela2[[#This Row],[GWO]]+Tabela2[[#This Row],[GWD]]</f>
        <v>2</v>
      </c>
      <c r="T320" s="180">
        <f>SUM(Tabela2[[#This Row],[G]:[GWD]])</f>
        <v>8</v>
      </c>
    </row>
    <row r="321" spans="1:20">
      <c r="A321" s="183">
        <v>308</v>
      </c>
      <c r="B321" s="170" t="s">
        <v>406</v>
      </c>
      <c r="C321" s="170" t="s">
        <v>405</v>
      </c>
      <c r="D321" s="170">
        <v>4</v>
      </c>
      <c r="E321" s="170" t="s">
        <v>272</v>
      </c>
      <c r="F321" s="170">
        <v>1</v>
      </c>
      <c r="G321" s="170">
        <v>1</v>
      </c>
      <c r="H321" s="170">
        <v>1</v>
      </c>
      <c r="I321" s="170">
        <v>1</v>
      </c>
      <c r="J321" s="170">
        <v>1</v>
      </c>
      <c r="K321" s="170">
        <v>1</v>
      </c>
      <c r="L321" s="170">
        <v>1</v>
      </c>
      <c r="M321" s="170">
        <v>1</v>
      </c>
      <c r="N321" s="170"/>
      <c r="O321" s="170"/>
      <c r="P321" s="170"/>
      <c r="Q321" s="180">
        <f>SUM(Tabela2[[#This Row],[G]]+Tabela2[[#This Row],[D]]+Tabela2[[#This Row],[N]]+Tabela2[[#This Row],[HM]])</f>
        <v>4</v>
      </c>
      <c r="R321" s="180">
        <f>SUM(Tabela2[[#This Row],[AO]]+Tabela2[[#This Row],[AD]]+Tabela2[[#This Row],[GWO]]+Tabela2[[#This Row],[GWD]])</f>
        <v>4</v>
      </c>
      <c r="S321" s="180">
        <f>Tabela2[[#This Row],[GWO]]+Tabela2[[#This Row],[GWD]]</f>
        <v>2</v>
      </c>
      <c r="T321" s="180">
        <f>SUM(Tabela2[[#This Row],[G]:[GWD]])</f>
        <v>8</v>
      </c>
    </row>
    <row r="322" spans="1:20">
      <c r="A322" s="183">
        <v>214</v>
      </c>
      <c r="B322" s="175" t="s">
        <v>506</v>
      </c>
      <c r="C322" s="175" t="s">
        <v>215</v>
      </c>
      <c r="D322" s="175">
        <v>4</v>
      </c>
      <c r="E322" s="175" t="s">
        <v>18</v>
      </c>
      <c r="F322" s="175">
        <v>1</v>
      </c>
      <c r="G322" s="175">
        <v>1</v>
      </c>
      <c r="H322" s="175">
        <v>1</v>
      </c>
      <c r="I322" s="175">
        <v>1</v>
      </c>
      <c r="J322" s="175">
        <v>1</v>
      </c>
      <c r="K322" s="175">
        <v>1</v>
      </c>
      <c r="L322" s="175">
        <v>1</v>
      </c>
      <c r="M322" s="175">
        <v>1</v>
      </c>
      <c r="N322" s="170"/>
      <c r="O322" s="170"/>
      <c r="P322" s="170"/>
      <c r="Q322" s="180">
        <f>SUM(Tabela2[[#This Row],[G]]+Tabela2[[#This Row],[D]]+Tabela2[[#This Row],[N]]+Tabela2[[#This Row],[HM]])</f>
        <v>4</v>
      </c>
      <c r="R322" s="180">
        <f>SUM(Tabela2[[#This Row],[AO]]+Tabela2[[#This Row],[AD]]+Tabela2[[#This Row],[GWO]]+Tabela2[[#This Row],[GWD]])</f>
        <v>4</v>
      </c>
      <c r="S322" s="180">
        <f>Tabela2[[#This Row],[GWO]]+Tabela2[[#This Row],[GWD]]</f>
        <v>2</v>
      </c>
      <c r="T322" s="180">
        <f>SUM(Tabela2[[#This Row],[G]:[GWD]])</f>
        <v>8</v>
      </c>
    </row>
    <row r="323" spans="1:20">
      <c r="A323" s="183">
        <v>239</v>
      </c>
      <c r="B323" s="174" t="s">
        <v>483</v>
      </c>
      <c r="C323" s="174" t="s">
        <v>215</v>
      </c>
      <c r="D323" s="174">
        <v>4</v>
      </c>
      <c r="E323" s="174" t="s">
        <v>249</v>
      </c>
      <c r="F323" s="174">
        <v>1</v>
      </c>
      <c r="G323" s="174">
        <v>1</v>
      </c>
      <c r="H323" s="174">
        <v>1</v>
      </c>
      <c r="I323" s="174">
        <v>1</v>
      </c>
      <c r="J323" s="174">
        <v>1</v>
      </c>
      <c r="K323" s="174">
        <v>1</v>
      </c>
      <c r="L323" s="174">
        <v>1</v>
      </c>
      <c r="M323" s="174">
        <v>1</v>
      </c>
      <c r="N323" s="174" t="s">
        <v>445</v>
      </c>
      <c r="O323" s="174"/>
      <c r="P323" s="174"/>
      <c r="Q323" s="185">
        <f>SUM(Tabela2[[#This Row],[G]]+Tabela2[[#This Row],[D]]+Tabela2[[#This Row],[N]]+Tabela2[[#This Row],[HM]])</f>
        <v>4</v>
      </c>
      <c r="R323" s="185">
        <f>SUM(Tabela2[[#This Row],[AO]]+Tabela2[[#This Row],[AD]]+Tabela2[[#This Row],[GWO]]+Tabela2[[#This Row],[GWD]])</f>
        <v>4</v>
      </c>
      <c r="S323" s="185">
        <f>Tabela2[[#This Row],[GWO]]+Tabela2[[#This Row],[GWD]]</f>
        <v>2</v>
      </c>
      <c r="T323" s="180">
        <f>SUM(Tabela2[[#This Row],[G]:[GWD]])</f>
        <v>8</v>
      </c>
    </row>
    <row r="324" spans="1:20">
      <c r="A324" s="183">
        <v>223</v>
      </c>
      <c r="B324" s="175" t="s">
        <v>498</v>
      </c>
      <c r="C324" s="175" t="s">
        <v>378</v>
      </c>
      <c r="D324" s="175">
        <v>4</v>
      </c>
      <c r="E324" s="175" t="s">
        <v>18</v>
      </c>
      <c r="F324" s="175">
        <v>1</v>
      </c>
      <c r="G324" s="175">
        <v>1</v>
      </c>
      <c r="H324" s="175">
        <v>1</v>
      </c>
      <c r="I324" s="175">
        <v>1</v>
      </c>
      <c r="J324" s="175">
        <v>1</v>
      </c>
      <c r="K324" s="175">
        <v>1</v>
      </c>
      <c r="L324" s="175">
        <v>1</v>
      </c>
      <c r="M324" s="175">
        <v>1</v>
      </c>
      <c r="N324" s="170"/>
      <c r="O324" s="170"/>
      <c r="P324" s="170"/>
      <c r="Q324" s="180">
        <f>SUM(Tabela2[[#This Row],[G]]+Tabela2[[#This Row],[D]]+Tabela2[[#This Row],[N]]+Tabela2[[#This Row],[HM]])</f>
        <v>4</v>
      </c>
      <c r="R324" s="180">
        <f>SUM(Tabela2[[#This Row],[AO]]+Tabela2[[#This Row],[AD]]+Tabela2[[#This Row],[GWO]]+Tabela2[[#This Row],[GWD]])</f>
        <v>4</v>
      </c>
      <c r="S324" s="180">
        <f>Tabela2[[#This Row],[GWO]]+Tabela2[[#This Row],[GWD]]</f>
        <v>2</v>
      </c>
      <c r="T324" s="180">
        <f>SUM(Tabela2[[#This Row],[G]:[GWD]])</f>
        <v>8</v>
      </c>
    </row>
    <row r="325" spans="1:20">
      <c r="A325" s="183">
        <v>251</v>
      </c>
      <c r="B325" s="174" t="s">
        <v>471</v>
      </c>
      <c r="C325" s="174" t="s">
        <v>376</v>
      </c>
      <c r="D325" s="174">
        <v>4</v>
      </c>
      <c r="E325" s="174" t="s">
        <v>249</v>
      </c>
      <c r="F325" s="174">
        <v>1</v>
      </c>
      <c r="G325" s="174">
        <v>1</v>
      </c>
      <c r="H325" s="174">
        <v>1</v>
      </c>
      <c r="I325" s="174">
        <v>1</v>
      </c>
      <c r="J325" s="174">
        <v>1</v>
      </c>
      <c r="K325" s="174">
        <v>1</v>
      </c>
      <c r="L325" s="174">
        <v>1</v>
      </c>
      <c r="M325" s="174">
        <v>1</v>
      </c>
      <c r="N325" s="170"/>
      <c r="O325" s="170"/>
      <c r="P325" s="170"/>
      <c r="Q325" s="180">
        <f>SUM(Tabela2[[#This Row],[G]]+Tabela2[[#This Row],[D]]+Tabela2[[#This Row],[N]]+Tabela2[[#This Row],[HM]])</f>
        <v>4</v>
      </c>
      <c r="R325" s="180">
        <f>SUM(Tabela2[[#This Row],[AO]]+Tabela2[[#This Row],[AD]]+Tabela2[[#This Row],[GWO]]+Tabela2[[#This Row],[GWD]])</f>
        <v>4</v>
      </c>
      <c r="S325" s="180">
        <f>Tabela2[[#This Row],[GWO]]+Tabela2[[#This Row],[GWD]]</f>
        <v>2</v>
      </c>
      <c r="T325" s="180">
        <f>SUM(Tabela2[[#This Row],[G]:[GWD]])</f>
        <v>8</v>
      </c>
    </row>
    <row r="326" spans="1:20">
      <c r="A326" s="183">
        <v>250</v>
      </c>
      <c r="B326" s="174" t="s">
        <v>472</v>
      </c>
      <c r="C326" s="174" t="s">
        <v>184</v>
      </c>
      <c r="D326" s="174">
        <v>4</v>
      </c>
      <c r="E326" s="174" t="s">
        <v>249</v>
      </c>
      <c r="F326" s="174">
        <v>1</v>
      </c>
      <c r="G326" s="174">
        <v>1</v>
      </c>
      <c r="H326" s="174">
        <v>1</v>
      </c>
      <c r="I326" s="174">
        <v>1</v>
      </c>
      <c r="J326" s="174">
        <v>1</v>
      </c>
      <c r="K326" s="174">
        <v>1</v>
      </c>
      <c r="L326" s="174">
        <v>1</v>
      </c>
      <c r="M326" s="174">
        <v>1</v>
      </c>
      <c r="N326" s="170"/>
      <c r="O326" s="170"/>
      <c r="P326" s="170"/>
      <c r="Q326" s="180">
        <f>SUM(Tabela2[[#This Row],[G]]+Tabela2[[#This Row],[D]]+Tabela2[[#This Row],[N]]+Tabela2[[#This Row],[HM]])</f>
        <v>4</v>
      </c>
      <c r="R326" s="180">
        <f>SUM(Tabela2[[#This Row],[AO]]+Tabela2[[#This Row],[AD]]+Tabela2[[#This Row],[GWO]]+Tabela2[[#This Row],[GWD]])</f>
        <v>4</v>
      </c>
      <c r="S326" s="180">
        <f>Tabela2[[#This Row],[GWO]]+Tabela2[[#This Row],[GWD]]</f>
        <v>2</v>
      </c>
      <c r="T326" s="180">
        <f>SUM(Tabela2[[#This Row],[G]:[GWD]])</f>
        <v>8</v>
      </c>
    </row>
    <row r="327" spans="1:20">
      <c r="A327" s="183">
        <v>174</v>
      </c>
      <c r="B327" s="177" t="s">
        <v>565</v>
      </c>
      <c r="C327" s="177" t="s">
        <v>565</v>
      </c>
      <c r="D327" s="177">
        <v>3</v>
      </c>
      <c r="E327" s="177" t="s">
        <v>272</v>
      </c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82">
        <f>SUM(Tabela2[[#This Row],[G]]+Tabela2[[#This Row],[D]]+Tabela2[[#This Row],[N]]+Tabela2[[#This Row],[HM]])</f>
        <v>0</v>
      </c>
      <c r="R327" s="182">
        <f>SUM(Tabela2[[#This Row],[AO]]+Tabela2[[#This Row],[AD]]+Tabela2[[#This Row],[GWO]]+Tabela2[[#This Row],[GWD]])</f>
        <v>0</v>
      </c>
      <c r="S327" s="182">
        <f>Tabela2[[#This Row],[GWO]]+Tabela2[[#This Row],[GWD]]</f>
        <v>0</v>
      </c>
      <c r="T327" s="182">
        <f>SUM(Tabela2[[#This Row],[G]:[GWD]])</f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selection activeCell="G19" sqref="G19"/>
    </sheetView>
  </sheetViews>
  <sheetFormatPr defaultRowHeight="14.25"/>
  <cols>
    <col min="1" max="1" width="12.375" bestFit="1" customWidth="1"/>
    <col min="2" max="2" width="7.75" customWidth="1"/>
    <col min="5" max="5" width="10.875" customWidth="1"/>
    <col min="6" max="6" width="16.75" customWidth="1"/>
    <col min="7" max="7" width="12.5" customWidth="1"/>
    <col min="14" max="14" width="16.25" bestFit="1" customWidth="1"/>
  </cols>
  <sheetData>
    <row r="1" spans="1:16">
      <c r="A1" t="s">
        <v>154</v>
      </c>
      <c r="B1" t="s">
        <v>202</v>
      </c>
      <c r="C1" t="s">
        <v>785</v>
      </c>
      <c r="D1" t="s">
        <v>775</v>
      </c>
      <c r="E1" t="s">
        <v>789</v>
      </c>
      <c r="F1" t="s">
        <v>792</v>
      </c>
      <c r="G1" t="s">
        <v>790</v>
      </c>
      <c r="J1" t="s">
        <v>794</v>
      </c>
    </row>
    <row r="2" spans="1:16">
      <c r="A2" t="s">
        <v>791</v>
      </c>
      <c r="B2">
        <v>1</v>
      </c>
      <c r="C2">
        <v>12</v>
      </c>
      <c r="D2">
        <v>2</v>
      </c>
      <c r="E2">
        <v>4</v>
      </c>
      <c r="F2">
        <v>30</v>
      </c>
      <c r="G2">
        <f>F2*E2</f>
        <v>120</v>
      </c>
      <c r="J2">
        <v>76</v>
      </c>
      <c r="K2">
        <f>$G$19/30*J2</f>
        <v>4218</v>
      </c>
      <c r="N2" t="s">
        <v>847</v>
      </c>
      <c r="O2">
        <v>20</v>
      </c>
      <c r="P2">
        <v>70</v>
      </c>
    </row>
    <row r="3" spans="1:16">
      <c r="A3" t="s">
        <v>791</v>
      </c>
      <c r="B3">
        <v>2</v>
      </c>
      <c r="C3">
        <v>15</v>
      </c>
      <c r="D3">
        <v>2</v>
      </c>
      <c r="E3">
        <f>FLOOR(24/Tabela20[[#This Row],[CD h.]]*Tabela20[[#This Row],[Cryst]],1)</f>
        <v>3</v>
      </c>
      <c r="F3">
        <v>30</v>
      </c>
      <c r="G3">
        <f t="shared" ref="G3:G17" si="0">F3*E3</f>
        <v>90</v>
      </c>
      <c r="J3">
        <v>80</v>
      </c>
      <c r="K3">
        <f>$G$19/30*J3</f>
        <v>4440</v>
      </c>
      <c r="L3">
        <f>(K3-K2)/J2*30/G19</f>
        <v>5.2631578947368425E-2</v>
      </c>
      <c r="N3" t="s">
        <v>848</v>
      </c>
      <c r="O3" s="15">
        <v>0.05</v>
      </c>
    </row>
    <row r="4" spans="1:16">
      <c r="A4" t="s">
        <v>791</v>
      </c>
      <c r="B4">
        <v>3</v>
      </c>
      <c r="C4">
        <v>24</v>
      </c>
      <c r="D4">
        <v>2</v>
      </c>
      <c r="E4">
        <f>FLOOR(24/Tabela20[[#This Row],[CD h.]]*Tabela20[[#This Row],[Cryst]],1)</f>
        <v>2</v>
      </c>
      <c r="F4">
        <v>30</v>
      </c>
      <c r="G4">
        <f t="shared" si="0"/>
        <v>60</v>
      </c>
      <c r="N4" t="s">
        <v>147</v>
      </c>
      <c r="O4">
        <v>0</v>
      </c>
      <c r="P4">
        <v>30</v>
      </c>
    </row>
    <row r="5" spans="1:16">
      <c r="A5" t="s">
        <v>791</v>
      </c>
      <c r="B5">
        <v>4</v>
      </c>
      <c r="C5">
        <v>18</v>
      </c>
      <c r="D5">
        <v>2</v>
      </c>
      <c r="E5">
        <f>FLOOR(24/Tabela20[[#This Row],[CD h.]]*Tabela20[[#This Row],[Cryst]],1)</f>
        <v>2</v>
      </c>
      <c r="F5">
        <v>30</v>
      </c>
      <c r="G5">
        <f t="shared" si="0"/>
        <v>60</v>
      </c>
      <c r="N5" t="s">
        <v>3</v>
      </c>
      <c r="P5" s="15">
        <v>0.05</v>
      </c>
    </row>
    <row r="6" spans="1:16">
      <c r="A6" t="s">
        <v>791</v>
      </c>
      <c r="B6">
        <v>5</v>
      </c>
      <c r="C6">
        <v>18</v>
      </c>
      <c r="D6">
        <v>2</v>
      </c>
      <c r="E6">
        <v>2</v>
      </c>
      <c r="F6">
        <v>30</v>
      </c>
      <c r="G6">
        <f t="shared" si="0"/>
        <v>60</v>
      </c>
      <c r="N6" t="s">
        <v>849</v>
      </c>
      <c r="O6">
        <f>O4/$J$2*30</f>
        <v>0</v>
      </c>
      <c r="P6">
        <f>P4/$J$2*30</f>
        <v>11.842105263157896</v>
      </c>
    </row>
    <row r="7" spans="1:16">
      <c r="A7" t="s">
        <v>791</v>
      </c>
      <c r="B7">
        <v>6</v>
      </c>
      <c r="C7">
        <v>16</v>
      </c>
      <c r="D7">
        <v>2</v>
      </c>
      <c r="E7">
        <v>3</v>
      </c>
      <c r="F7">
        <v>30</v>
      </c>
      <c r="G7">
        <f t="shared" si="0"/>
        <v>90</v>
      </c>
      <c r="N7" t="s">
        <v>850</v>
      </c>
      <c r="O7">
        <v>20</v>
      </c>
      <c r="P7">
        <v>117.75</v>
      </c>
    </row>
    <row r="8" spans="1:16">
      <c r="A8" t="s">
        <v>791</v>
      </c>
      <c r="B8">
        <v>7</v>
      </c>
      <c r="C8">
        <v>16</v>
      </c>
      <c r="D8">
        <v>2</v>
      </c>
      <c r="E8">
        <f>FLOOR(24/Tabela20[[#This Row],[CD h.]]*Tabela20[[#This Row],[Cryst]],1)</f>
        <v>3</v>
      </c>
      <c r="F8">
        <v>30</v>
      </c>
      <c r="G8">
        <f t="shared" si="0"/>
        <v>90</v>
      </c>
      <c r="N8" t="s">
        <v>851</v>
      </c>
      <c r="O8">
        <v>15</v>
      </c>
      <c r="P8">
        <v>15</v>
      </c>
    </row>
    <row r="9" spans="1:16">
      <c r="A9" t="s">
        <v>791</v>
      </c>
      <c r="B9">
        <v>8</v>
      </c>
      <c r="C9">
        <v>48</v>
      </c>
      <c r="D9">
        <v>2</v>
      </c>
      <c r="E9">
        <v>2</v>
      </c>
      <c r="F9">
        <v>30</v>
      </c>
      <c r="G9">
        <f t="shared" si="0"/>
        <v>60</v>
      </c>
      <c r="N9" t="s">
        <v>852</v>
      </c>
      <c r="O9">
        <f>(O2+O6)*O8/O7</f>
        <v>15</v>
      </c>
      <c r="P9">
        <f>(P2+P6)*P8/P7</f>
        <v>10.425745893395909</v>
      </c>
    </row>
    <row r="10" spans="1:16">
      <c r="A10" t="s">
        <v>791</v>
      </c>
      <c r="B10">
        <v>9</v>
      </c>
      <c r="C10">
        <v>60</v>
      </c>
      <c r="D10">
        <v>3</v>
      </c>
      <c r="E10">
        <v>1.5</v>
      </c>
      <c r="F10">
        <v>30</v>
      </c>
      <c r="G10">
        <f t="shared" si="0"/>
        <v>45</v>
      </c>
    </row>
    <row r="11" spans="1:16">
      <c r="A11" t="s">
        <v>784</v>
      </c>
      <c r="C11">
        <v>24</v>
      </c>
      <c r="D11">
        <v>10</v>
      </c>
      <c r="E11">
        <v>10</v>
      </c>
      <c r="F11">
        <v>30</v>
      </c>
      <c r="G11">
        <f t="shared" si="0"/>
        <v>300</v>
      </c>
    </row>
    <row r="12" spans="1:16">
      <c r="A12" t="s">
        <v>786</v>
      </c>
      <c r="C12">
        <f>24*30</f>
        <v>720</v>
      </c>
      <c r="D12">
        <v>100</v>
      </c>
      <c r="E12">
        <v>100</v>
      </c>
      <c r="F12">
        <v>1</v>
      </c>
      <c r="G12">
        <f t="shared" si="0"/>
        <v>100</v>
      </c>
    </row>
    <row r="13" spans="1:16">
      <c r="A13" t="s">
        <v>821</v>
      </c>
      <c r="B13">
        <v>5.15</v>
      </c>
      <c r="D13">
        <v>10</v>
      </c>
      <c r="E13">
        <v>10</v>
      </c>
      <c r="F13">
        <v>2</v>
      </c>
      <c r="G13">
        <f t="shared" si="0"/>
        <v>20</v>
      </c>
    </row>
    <row r="14" spans="1:16">
      <c r="A14" t="s">
        <v>786</v>
      </c>
      <c r="B14">
        <v>25.35</v>
      </c>
      <c r="D14">
        <v>20</v>
      </c>
      <c r="E14">
        <v>20</v>
      </c>
      <c r="F14">
        <v>2</v>
      </c>
      <c r="G14">
        <f>F14*E14</f>
        <v>40</v>
      </c>
    </row>
    <row r="15" spans="1:16">
      <c r="A15" t="s">
        <v>786</v>
      </c>
      <c r="B15">
        <v>45</v>
      </c>
      <c r="D15">
        <v>30</v>
      </c>
      <c r="E15">
        <v>30</v>
      </c>
      <c r="F15">
        <v>1</v>
      </c>
      <c r="G15">
        <f>F15*E15</f>
        <v>30</v>
      </c>
    </row>
    <row r="16" spans="1:16">
      <c r="A16" t="s">
        <v>787</v>
      </c>
      <c r="C16">
        <f>C12</f>
        <v>720</v>
      </c>
      <c r="D16">
        <v>100</v>
      </c>
      <c r="E16">
        <v>100</v>
      </c>
      <c r="F16">
        <v>1</v>
      </c>
      <c r="G16">
        <f t="shared" si="0"/>
        <v>100</v>
      </c>
    </row>
    <row r="17" spans="1:7">
      <c r="A17" t="s">
        <v>788</v>
      </c>
      <c r="C17">
        <f>24*7</f>
        <v>168</v>
      </c>
      <c r="D17">
        <v>100</v>
      </c>
      <c r="E17">
        <v>100</v>
      </c>
      <c r="F17">
        <v>4</v>
      </c>
      <c r="G17">
        <f t="shared" si="0"/>
        <v>400</v>
      </c>
    </row>
    <row r="19" spans="1:7" ht="15">
      <c r="F19" s="36" t="s">
        <v>793</v>
      </c>
      <c r="G19" s="36">
        <f>SUM(Tabela20[Cryst/Month])</f>
        <v>1665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C2" sqref="C2"/>
    </sheetView>
  </sheetViews>
  <sheetFormatPr defaultRowHeight="14.25"/>
  <cols>
    <col min="1" max="1" width="12.125" bestFit="1" customWidth="1"/>
    <col min="2" max="2" width="12.125" customWidth="1"/>
  </cols>
  <sheetData>
    <row r="1" spans="1:8">
      <c r="C1" t="s">
        <v>846</v>
      </c>
      <c r="H1" t="s">
        <v>5</v>
      </c>
    </row>
    <row r="2" spans="1:8">
      <c r="A2" t="s">
        <v>823</v>
      </c>
      <c r="C2" t="s">
        <v>822</v>
      </c>
      <c r="D2" t="s">
        <v>246</v>
      </c>
      <c r="E2" t="s">
        <v>149</v>
      </c>
      <c r="F2" t="s">
        <v>150</v>
      </c>
      <c r="G2" t="s">
        <v>186</v>
      </c>
      <c r="H2">
        <v>49</v>
      </c>
    </row>
    <row r="3" spans="1:8">
      <c r="A3" t="s">
        <v>824</v>
      </c>
      <c r="C3" t="s">
        <v>822</v>
      </c>
      <c r="D3" t="s">
        <v>246</v>
      </c>
      <c r="E3" t="s">
        <v>149</v>
      </c>
      <c r="F3" t="s">
        <v>150</v>
      </c>
      <c r="G3" t="s">
        <v>186</v>
      </c>
      <c r="H3">
        <v>29</v>
      </c>
    </row>
    <row r="4" spans="1:8">
      <c r="A4" t="s">
        <v>825</v>
      </c>
      <c r="C4" t="s">
        <v>822</v>
      </c>
      <c r="D4" t="s">
        <v>144</v>
      </c>
      <c r="E4" t="s">
        <v>149</v>
      </c>
      <c r="F4" t="s">
        <v>150</v>
      </c>
      <c r="G4" t="s">
        <v>186</v>
      </c>
      <c r="H4">
        <v>30</v>
      </c>
    </row>
    <row r="5" spans="1:8">
      <c r="A5" t="s">
        <v>824</v>
      </c>
      <c r="C5" t="s">
        <v>822</v>
      </c>
      <c r="D5" t="s">
        <v>246</v>
      </c>
      <c r="E5" t="s">
        <v>149</v>
      </c>
      <c r="F5" t="s">
        <v>150</v>
      </c>
      <c r="G5" t="s">
        <v>186</v>
      </c>
      <c r="H5">
        <v>31</v>
      </c>
    </row>
    <row r="6" spans="1:8">
      <c r="A6" t="s">
        <v>823</v>
      </c>
      <c r="C6" t="s">
        <v>822</v>
      </c>
      <c r="D6" t="s">
        <v>246</v>
      </c>
      <c r="E6" t="s">
        <v>149</v>
      </c>
      <c r="F6" t="s">
        <v>150</v>
      </c>
      <c r="G6" t="s">
        <v>186</v>
      </c>
      <c r="H6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K2" sqref="K2"/>
    </sheetView>
  </sheetViews>
  <sheetFormatPr defaultRowHeight="14.25"/>
  <sheetData>
    <row r="1" spans="1:11">
      <c r="G1">
        <v>1</v>
      </c>
      <c r="H1">
        <v>2</v>
      </c>
      <c r="I1">
        <v>3</v>
      </c>
      <c r="J1">
        <v>4</v>
      </c>
      <c r="K1">
        <v>5</v>
      </c>
    </row>
    <row r="2" spans="1:11">
      <c r="A2" t="s">
        <v>854</v>
      </c>
      <c r="B2" s="15">
        <v>0.22</v>
      </c>
      <c r="C2">
        <v>1</v>
      </c>
      <c r="D2">
        <f>SUMPRODUCT(B2:B4,C2:C4)</f>
        <v>0.30826399999999998</v>
      </c>
      <c r="F2">
        <v>0.22</v>
      </c>
      <c r="G2">
        <f>POWER(1-$F$2,G1)</f>
        <v>0.78</v>
      </c>
      <c r="H2">
        <f>POWER(1-$F$2,H1)</f>
        <v>0.60840000000000005</v>
      </c>
      <c r="I2">
        <f>POWER(1-$F$2,I1)</f>
        <v>0.47455200000000003</v>
      </c>
      <c r="J2">
        <f>POWER(1-$F$2,J1)</f>
        <v>0.37015056000000007</v>
      </c>
      <c r="K2">
        <f>POWER(1-$F$2,K1)</f>
        <v>0.28871743680000006</v>
      </c>
    </row>
    <row r="3" spans="1:11">
      <c r="A3" t="s">
        <v>855</v>
      </c>
      <c r="B3" s="15">
        <f>22%*17%</f>
        <v>3.7400000000000003E-2</v>
      </c>
      <c r="C3">
        <v>2</v>
      </c>
      <c r="D3">
        <f>SUMPRODUCT(B2:B3,C2:C3)</f>
        <v>0.29480000000000001</v>
      </c>
    </row>
    <row r="4" spans="1:11">
      <c r="A4" t="s">
        <v>856</v>
      </c>
      <c r="B4" s="15">
        <f>B3*12%</f>
        <v>4.4879999999999998E-3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EXP lvls</vt:lpstr>
      <vt:lpstr>Arkusz3</vt:lpstr>
      <vt:lpstr>Drop analityka</vt:lpstr>
      <vt:lpstr>Fusion</vt:lpstr>
      <vt:lpstr>Location features</vt:lpstr>
      <vt:lpstr>TabPrz</vt:lpstr>
      <vt:lpstr>Arkusz1</vt:lpstr>
      <vt:lpstr>Runes for DPS</vt:lpstr>
      <vt:lpstr>Runes stats</vt:lpstr>
      <vt:lpstr>Runes DB</vt:lpstr>
      <vt:lpstr>TP_Mon.Runes</vt:lpstr>
      <vt:lpstr>Grind.Summary</vt:lpstr>
      <vt:lpstr>Runes Mon.build</vt:lpstr>
      <vt:lpstr>Mon.Utilities</vt:lpstr>
      <vt:lpstr>Crystals</vt:lpstr>
      <vt:lpstr>ToA auto</vt:lpstr>
      <vt:lpstr>Arkusz2</vt:lpstr>
    </vt:vector>
  </TitlesOfParts>
  <Company>Credit Agricole 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mzacharuk</dc:creator>
  <cp:lastModifiedBy>mzacharuk</cp:lastModifiedBy>
  <dcterms:created xsi:type="dcterms:W3CDTF">2015-09-10T08:10:52Z</dcterms:created>
  <dcterms:modified xsi:type="dcterms:W3CDTF">2015-12-08T17:32:34Z</dcterms:modified>
</cp:coreProperties>
</file>