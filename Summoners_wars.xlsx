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1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  <sheet name="Runes" sheetId="8" r:id="rId8"/>
  </sheets>
  <calcPr calcId="125725"/>
  <pivotCaches>
    <pivotCache cacheId="0" r:id="rId9"/>
  </pivotCaches>
</workbook>
</file>

<file path=xl/calcChain.xml><?xml version="1.0" encoding="utf-8"?>
<calcChain xmlns="http://schemas.openxmlformats.org/spreadsheetml/2006/main">
  <c r="M22" i="4"/>
  <c r="L22"/>
  <c r="K22"/>
  <c r="J22"/>
  <c r="I22"/>
  <c r="N22" s="1"/>
  <c r="O22" l="1"/>
  <c r="P22"/>
  <c r="L18"/>
  <c r="K16" i="8"/>
  <c r="J16"/>
  <c r="I16"/>
  <c r="H16"/>
  <c r="G16"/>
  <c r="F16"/>
  <c r="E16"/>
  <c r="D16"/>
  <c r="K12"/>
  <c r="J12"/>
  <c r="I12"/>
  <c r="H12"/>
  <c r="G12"/>
  <c r="E12"/>
  <c r="F12"/>
  <c r="D12"/>
  <c r="M17" i="1"/>
  <c r="O3" i="4"/>
  <c r="O5"/>
  <c r="O6"/>
  <c r="O7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P7"/>
  <c r="P6"/>
  <c r="P5"/>
  <c r="P3"/>
  <c r="I3"/>
  <c r="N3" s="1"/>
  <c r="I6"/>
  <c r="N6" s="1"/>
  <c r="I7"/>
  <c r="N7" s="1"/>
  <c r="I10"/>
  <c r="I19"/>
  <c r="J2" i="3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I14" i="4" s="1"/>
  <c r="N14" s="1"/>
  <c r="J179" i="3"/>
  <c r="J180"/>
  <c r="J181"/>
  <c r="J182"/>
  <c r="J183"/>
  <c r="J184"/>
  <c r="J185"/>
  <c r="J186"/>
  <c r="J187"/>
  <c r="J188"/>
  <c r="J189"/>
  <c r="I16" i="4" s="1"/>
  <c r="J190" i="3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J11" i="4"/>
  <c r="O11" s="1"/>
  <c r="J10"/>
  <c r="P10" s="1"/>
  <c r="O10" l="1"/>
  <c r="I17"/>
  <c r="N10"/>
  <c r="M2"/>
  <c r="M11"/>
  <c r="P11" s="1"/>
  <c r="M14"/>
  <c r="M16"/>
  <c r="J12"/>
  <c r="M17" l="1"/>
  <c r="M18"/>
  <c r="M20"/>
  <c r="M12"/>
  <c r="M13"/>
  <c r="M8"/>
  <c r="M21"/>
  <c r="M4"/>
  <c r="M15"/>
  <c r="M9"/>
  <c r="M18" i="1"/>
  <c r="I743" i="3"/>
  <c r="I742"/>
  <c r="I741"/>
  <c r="I740"/>
  <c r="I739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3"/>
  <c r="I542"/>
  <c r="I541"/>
  <c r="I540"/>
  <c r="I539"/>
  <c r="I538"/>
  <c r="I537"/>
  <c r="I536"/>
  <c r="I535"/>
  <c r="I534"/>
  <c r="I533"/>
  <c r="I532"/>
  <c r="I531"/>
  <c r="I530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79"/>
  <c r="I372"/>
  <c r="I371"/>
  <c r="I364"/>
  <c r="I360"/>
  <c r="I354"/>
  <c r="I349"/>
  <c r="I343"/>
  <c r="I324"/>
  <c r="I319"/>
  <c r="I314"/>
  <c r="I307"/>
  <c r="I299"/>
  <c r="I296"/>
  <c r="I294"/>
  <c r="I283"/>
  <c r="I276"/>
  <c r="I273"/>
  <c r="I271"/>
  <c r="I269"/>
  <c r="I267"/>
  <c r="I253"/>
  <c r="I252"/>
  <c r="I249"/>
  <c r="I248"/>
  <c r="I240"/>
  <c r="I234"/>
  <c r="I233"/>
  <c r="I232"/>
  <c r="I221"/>
  <c r="I216"/>
  <c r="I201"/>
  <c r="I200"/>
  <c r="I197"/>
  <c r="I185"/>
  <c r="I181"/>
  <c r="I175"/>
  <c r="I173"/>
  <c r="I172"/>
  <c r="I171"/>
  <c r="I169"/>
  <c r="I167"/>
  <c r="I166"/>
  <c r="I162"/>
  <c r="I161"/>
  <c r="I160"/>
  <c r="I157"/>
  <c r="I154"/>
  <c r="I152"/>
  <c r="I150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11" i="4" s="1"/>
  <c r="N11" s="1"/>
  <c r="I59" i="3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2"/>
  <c r="I2" i="4" s="1"/>
  <c r="K21"/>
  <c r="L21"/>
  <c r="J21"/>
  <c r="O21" s="1"/>
  <c r="M16" i="1"/>
  <c r="O16" l="1"/>
  <c r="M19"/>
  <c r="M20" s="1"/>
  <c r="I8" i="4"/>
  <c r="I12"/>
  <c r="N12" s="1"/>
  <c r="I5"/>
  <c r="N5" s="1"/>
  <c r="I4"/>
  <c r="I18"/>
  <c r="I13"/>
  <c r="I21"/>
  <c r="N21" s="1"/>
  <c r="I15"/>
  <c r="I20"/>
  <c r="I9"/>
  <c r="P21"/>
  <c r="O18" i="1"/>
  <c r="I16" i="5"/>
  <c r="I15"/>
  <c r="I14"/>
  <c r="M21" i="1" l="1"/>
  <c r="M22" s="1"/>
  <c r="M23" s="1"/>
  <c r="O20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L20"/>
  <c r="N20" l="1"/>
  <c r="O20"/>
  <c r="P20"/>
  <c r="Y8" i="1"/>
  <c r="Y7"/>
  <c r="Y6"/>
  <c r="Y5"/>
  <c r="Y4"/>
  <c r="X4"/>
  <c r="X8"/>
  <c r="X7"/>
  <c r="X6"/>
  <c r="X5"/>
  <c r="Q17"/>
  <c r="O22" l="1"/>
  <c r="O24" s="1"/>
  <c r="M3"/>
  <c r="M4" s="1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7" s="1"/>
  <c r="O4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38" i="2" l="1"/>
  <c r="Q38" s="1"/>
  <c r="Y2" i="1"/>
  <c r="V2"/>
  <c r="M6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O27" i="2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O15" i="4" l="1"/>
  <c r="N27" i="2"/>
  <c r="N15" i="4"/>
  <c r="O6" i="1"/>
  <c r="M9"/>
  <c r="M8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L16"/>
  <c r="J16"/>
  <c r="L15"/>
  <c r="P15" s="1"/>
  <c r="N16" l="1"/>
  <c r="O16"/>
  <c r="N17"/>
  <c r="O17"/>
  <c r="P17"/>
  <c r="P16"/>
  <c r="M10" i="1"/>
  <c r="O10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L12" i="4"/>
  <c r="P12" l="1"/>
  <c r="O12"/>
  <c r="M11" i="1"/>
  <c r="O12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L9" i="4"/>
  <c r="L14"/>
  <c r="J13"/>
  <c r="L13"/>
  <c r="O17" i="2"/>
  <c r="C45"/>
  <c r="B45"/>
  <c r="C44"/>
  <c r="B44"/>
  <c r="J8" i="4"/>
  <c r="J9"/>
  <c r="O13" i="2"/>
  <c r="O12"/>
  <c r="O16"/>
  <c r="P14" i="4" l="1"/>
  <c r="O14"/>
  <c r="O9"/>
  <c r="N13"/>
  <c r="O13"/>
  <c r="N8"/>
  <c r="J18"/>
  <c r="O18" s="1"/>
  <c r="N9"/>
  <c r="P13"/>
  <c r="P9"/>
  <c r="L39" i="2"/>
  <c r="L40"/>
  <c r="N39"/>
  <c r="N40"/>
  <c r="J19" i="4"/>
  <c r="O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N19" i="4" l="1"/>
  <c r="P19"/>
  <c r="N18"/>
  <c r="P18"/>
  <c r="U33" i="2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L8" i="4"/>
  <c r="A3" i="2"/>
  <c r="B3" s="1"/>
  <c r="L2" i="4"/>
  <c r="J2"/>
  <c r="L4"/>
  <c r="J4"/>
  <c r="P8" l="1"/>
  <c r="O8"/>
  <c r="N2"/>
  <c r="O2"/>
  <c r="N4"/>
  <c r="O4"/>
  <c r="P2"/>
  <c r="P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R12" i="4"/>
  <c r="Q15"/>
  <c r="Q12"/>
  <c r="C33" i="2"/>
  <c r="B36"/>
  <c r="H37"/>
  <c r="F38"/>
  <c r="B34"/>
  <c r="C34"/>
  <c r="B31"/>
  <c r="C31"/>
  <c r="C32"/>
  <c r="B32"/>
  <c r="B35"/>
  <c r="C35"/>
  <c r="R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R9" i="4"/>
  <c r="Q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<sst xmlns="http://schemas.openxmlformats.org/spreadsheetml/2006/main" count="1785" uniqueCount="243">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</sst>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2" fontId="0" fillId="0" borderId="0" xfId="0" applyNumberFormat="1" applyFill="1"/>
    <xf numFmtId="3" fontId="0" fillId="0" borderId="0" xfId="0" applyNumberFormat="1"/>
    <xf numFmtId="3" fontId="0" fillId="0" borderId="0" xfId="0" applyNumberFormat="1" applyFill="1"/>
  </cellXfs>
  <cellStyles count="1">
    <cellStyle name="Normalny" xfId="0" builtinId="0"/>
  </cellStyles>
  <dxfs count="10"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V115" totalsRowShown="0">
  <autoFilter ref="A1:V115">
    <filterColumn colId="11"/>
    <filterColumn colId="12"/>
    <filterColumn colId="13"/>
    <filterColumn colId="14"/>
  </autoFilter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6">
      <calculatedColumnFormula>4*LocFeatures[[#This Row],[XP Gain per member]]</calculatedColumnFormula>
    </tableColumn>
    <tableColumn id="11" name="XP Train Gain"/>
    <tableColumn id="22" name="XP drop" dataDxfId="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">
      <calculatedColumnFormula>LocFeatures[[#This Row],[XP Train Gain]]/(LocFeatures[[#This Row],[E. Cost]]-LocFeatures[[#This Row],[Energy gain]])</calculatedColumnFormula>
    </tableColumn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L743" totalsRowShown="0">
  <autoFilter ref="A1:L743">
    <filterColumn colId="9"/>
  </autoFilter>
  <tableColumns count="12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12" name="Fod Worth" dataDxfId="3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2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H30" sqref="H25:H3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M3-Tabela6[[#This Row],[Done]]</f>
        <v>4</v>
      </c>
      <c r="N4">
        <v>1</v>
      </c>
      <c r="O4" s="1">
        <f>M4*$B$5</f>
        <v>759000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4*M3-Tabela6[[#This Row],[Done]]</f>
        <v>20</v>
      </c>
      <c r="N5">
        <v>0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M5-Tabela6[[#This Row],[Done]]</f>
        <v>20</v>
      </c>
      <c r="N6">
        <v>0</v>
      </c>
      <c r="O6" s="1">
        <f>M6*$B$4</f>
        <v>1643640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72</v>
      </c>
      <c r="N7">
        <v>0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M7+M6-Tabela6[[#This Row],[Done]]</f>
        <v>92</v>
      </c>
      <c r="N8">
        <v>0</v>
      </c>
      <c r="O8" s="1">
        <f>M8*$B$3</f>
        <v>3295624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184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(M9+M8)-Tabela6[[#This Row],[Done]]</f>
        <v>276</v>
      </c>
      <c r="N10">
        <v>0</v>
      </c>
      <c r="O10" s="52">
        <f>Tabela6[[#This Row],[Missing]]*$B$2</f>
        <v>4173120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2*M10-Tabela6[[#This Row],[Done]]</f>
        <v>552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9871384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4-Tabela66[[#This Row],[Done]]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1</v>
      </c>
      <c r="N18">
        <v>3</v>
      </c>
      <c r="O18" s="1">
        <f>M18*$B$4</f>
        <v>82182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0</v>
      </c>
      <c r="N19">
        <v>12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1</v>
      </c>
      <c r="N20">
        <v>0</v>
      </c>
      <c r="O20" s="1">
        <f>M20*$B$3</f>
        <v>35822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3</v>
      </c>
      <c r="N22">
        <v>0</v>
      </c>
      <c r="O22" s="52">
        <f>Tabela66[[#This Row],[Missing]]*$B$2</f>
        <v>45360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163364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15"/>
  <sheetViews>
    <sheetView tabSelected="1" workbookViewId="0">
      <selection activeCell="E22" sqref="E2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209</v>
      </c>
      <c r="J1" t="s">
        <v>24</v>
      </c>
      <c r="K1" t="s">
        <v>60</v>
      </c>
      <c r="L1" t="s">
        <v>59</v>
      </c>
      <c r="M1" t="s">
        <v>215</v>
      </c>
      <c r="N1" t="s">
        <v>210</v>
      </c>
      <c r="O1" t="s">
        <v>217</v>
      </c>
      <c r="P1" t="s">
        <v>26</v>
      </c>
      <c r="Q1" t="s">
        <v>37</v>
      </c>
      <c r="R1" t="s">
        <v>38</v>
      </c>
      <c r="S1" t="s">
        <v>152</v>
      </c>
      <c r="T1" t="s">
        <v>151</v>
      </c>
      <c r="U1" t="s">
        <v>155</v>
      </c>
      <c r="V1" t="s">
        <v>156</v>
      </c>
    </row>
    <row r="2" spans="1:22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5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f>
        <v>2227</v>
      </c>
      <c r="J2" s="19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57">
        <f>AVERAGEIFS(DropAnalityka[Exp Gain],DropAnalityka[Location],'Location features'!$A2,DropAnalityka[LVL],'Location features'!$B2,DropAnalityka[Stage],'Location features'!$C2)</f>
        <v>0</v>
      </c>
      <c r="N2" s="57">
        <f>LocFeatures[[#This Row],[Drop worth gain]]/(LocFeatures[[#This Row],[E. Cost]]-LocFeatures[[#This Row],[Energy gain]])</f>
        <v>2227</v>
      </c>
      <c r="O2" s="57">
        <f>LocFeatures[[#This Row],[XP Train Gain]]/(LocFeatures[[#This Row],[E. Cost]]-LocFeatures[[#This Row],[Energy gain]])</f>
        <v>1890</v>
      </c>
      <c r="P2" s="57">
        <f>(LocFeatures[[#This Row],[XP Train Gain]]+LocFeatures[[#This Row],[XP drop]])/(LocFeatures[[#This Row],[E. Cost]]-LocFeatures[[#This Row],[Energy gain]])</f>
        <v>1890</v>
      </c>
    </row>
    <row r="3" spans="1:22">
      <c r="A3" t="s">
        <v>8</v>
      </c>
      <c r="B3" t="s">
        <v>9</v>
      </c>
      <c r="C3">
        <v>2</v>
      </c>
      <c r="D3">
        <v>3</v>
      </c>
      <c r="I3" s="53" t="e">
        <f>AVERAGEIFS(DropAnalityka[Mana drop],DropAnalityka[Location],'Location features'!A3,DropAnalityka[LVL],'Location features'!B3,DropAnalityka[Stage],'Location features'!C3)+AVERAGEIFS(DropAnalityka[Drop Worth],DropAnalityka[Location],'Location features'!A3,DropAnalityka[LVL],'Location features'!B3,DropAnalityka[Stage],'Location features'!C3)+AVERAGEIFS(DropAnalityka[Fod Worth],DropAnalityka[Location],'Location features'!A3,DropAnalityka[LVL],'Location features'!B3,DropAnalityka[Stage],'Location features'!C3)</f>
        <v>#DIV/0!</v>
      </c>
      <c r="K3">
        <f>4*LocFeatures[[#This Row],[XP Gain per member]]</f>
        <v>0</v>
      </c>
      <c r="M3" s="49"/>
      <c r="N3" t="e">
        <f>LocFeatures[[#This Row],[Drop worth gain]]/(LocFeatures[[#This Row],[E. Cost]]-LocFeatures[[#This Row],[Energy gain]])</f>
        <v>#DIV/0!</v>
      </c>
      <c r="O3" s="54">
        <f>LocFeatures[[#This Row],[XP Train Gain]]/(LocFeatures[[#This Row],[E. Cost]]-LocFeatures[[#This Row],[Energy gain]])</f>
        <v>0</v>
      </c>
      <c r="P3">
        <f>(LocFeatures[[#This Row],[XP Train Gain]]+LocFeatures[[#This Row],[XP drop]])/(LocFeatures[[#This Row],[E. Cost]]-LocFeatures[[#This Row],[Energy gain]])</f>
        <v>0</v>
      </c>
    </row>
    <row r="4" spans="1:22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 s="55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features'!C4)+AVERAGEIFS(DropAnalityka[Fod Worth],DropAnalityka[Location],'Location features'!A4,DropAnalityka[LVL],'Location features'!B4,DropAnalityka[Stage],'Location features'!C4)</f>
        <v>2788.2439024390246</v>
      </c>
      <c r="J4" s="19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57">
        <f>AVERAGEIFS(DropAnalityka[Exp Gain],DropAnalityka[Location],'Location features'!$A4,DropAnalityka[LVL],'Location features'!$B4,DropAnalityka[Stage],'Location features'!$C4)</f>
        <v>1106.3414634146341</v>
      </c>
      <c r="N4" s="57">
        <f>LocFeatures[[#This Row],[Drop worth gain]]/(LocFeatures[[#This Row],[E. Cost]]-LocFeatures[[#This Row],[Energy gain]])</f>
        <v>1284.4719101123596</v>
      </c>
      <c r="O4" s="57">
        <f>LocFeatures[[#This Row],[XP Train Gain]]/(LocFeatures[[#This Row],[E. Cost]]-LocFeatures[[#This Row],[Energy gain]])</f>
        <v>887.25842696629206</v>
      </c>
      <c r="P4" s="57">
        <f>(LocFeatures[[#This Row],[XP Train Gain]]+LocFeatures[[#This Row],[XP drop]])/(LocFeatures[[#This Row],[E. Cost]]-LocFeatures[[#This Row],[Energy gain]])</f>
        <v>1396.9213483146066</v>
      </c>
    </row>
    <row r="5" spans="1:22">
      <c r="A5" t="s">
        <v>8</v>
      </c>
      <c r="B5" t="s">
        <v>9</v>
      </c>
      <c r="C5">
        <v>3</v>
      </c>
      <c r="D5">
        <v>3</v>
      </c>
      <c r="I5" s="53">
        <f>AVERAGEIFS(DropAnalityka[Mana drop],DropAnalityka[Location],'Location features'!A5,DropAnalityka[LVL],'Location features'!B5,DropAnalityka[Stage],'Location features'!C5)+AVERAGEIFS(DropAnalityka[Drop Worth],DropAnalityka[Location],'Location features'!A5,DropAnalityka[LVL],'Location features'!B5,DropAnalityka[Stage],'Location features'!C5)+AVERAGEIFS(DropAnalityka[Fod Worth],DropAnalityka[Location],'Location features'!A5,DropAnalityka[LVL],'Location features'!B5,DropAnalityka[Stage],'Location features'!C5)</f>
        <v>2788.2439024390246</v>
      </c>
      <c r="K5">
        <f>4*LocFeatures[[#This Row],[XP Gain per member]]</f>
        <v>0</v>
      </c>
      <c r="M5" s="49"/>
      <c r="N5" s="54">
        <f>LocFeatures[[#This Row],[Drop worth gain]]/(LocFeatures[[#This Row],[E. Cost]]-LocFeatures[[#This Row],[Energy gain]])</f>
        <v>929.41463414634154</v>
      </c>
      <c r="O5" s="54">
        <f>LocFeatures[[#This Row],[XP Train Gain]]/(LocFeatures[[#This Row],[E. Cost]]-LocFeatures[[#This Row],[Energy gain]])</f>
        <v>0</v>
      </c>
      <c r="P5" s="54">
        <f>(LocFeatures[[#This Row],[XP Train Gain]]+LocFeatures[[#This Row],[XP drop]])/(LocFeatures[[#This Row],[E. Cost]]-LocFeatures[[#This Row],[Energy gain]])</f>
        <v>0</v>
      </c>
    </row>
    <row r="6" spans="1:22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53" t="e">
        <f>AVERAGEIFS(DropAnalityka[Mana drop],DropAnalityka[Location],'Location features'!A6,DropAnalityka[LVL],'Location features'!B6,DropAnalityka[Stage],'Location features'!C6)+AVERAGEIFS(DropAnalityka[Drop Worth],DropAnalityka[Location],'Location features'!A6,DropAnalityka[LVL],'Location features'!B6,DropAnalityka[Stage],'Location features'!C6)+AVERAGEIFS(DropAnalityka[Fod Worth],DropAnalityka[Location],'Location features'!A6,DropAnalityka[LVL],'Location features'!B6,DropAnalityka[Stage],'Location features'!C6)</f>
        <v>#DIV/0!</v>
      </c>
      <c r="J6" s="10"/>
      <c r="K6" s="10">
        <f>4*LocFeatures[[#This Row],[XP Gain per member]]</f>
        <v>0</v>
      </c>
      <c r="L6" s="10"/>
      <c r="M6" s="53"/>
      <c r="N6" t="e">
        <f>LocFeatures[[#This Row],[Drop worth gain]]/(LocFeatures[[#This Row],[E. Cost]]-LocFeatures[[#This Row],[Energy gain]])</f>
        <v>#DIV/0!</v>
      </c>
      <c r="O6" s="54">
        <f>LocFeatures[[#This Row],[XP Train Gain]]/(LocFeatures[[#This Row],[E. Cost]]-LocFeatures[[#This Row],[Energy gain]])</f>
        <v>0</v>
      </c>
      <c r="P6">
        <f>(LocFeatures[[#This Row],[XP Train Gain]]+LocFeatures[[#This Row],[XP drop]])/(LocFeatures[[#This Row],[E. Cost]]-LocFeatures[[#This Row],[Energy gain]])</f>
        <v>0</v>
      </c>
      <c r="Q6" s="10"/>
      <c r="R6" s="10"/>
    </row>
    <row r="7" spans="1:22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53" t="e">
        <f>AVERAGEIFS(DropAnalityka[Mana drop],DropAnalityka[Location],'Location features'!A7,DropAnalityka[LVL],'Location features'!B7,DropAnalityka[Stage],'Location features'!C7)+AVERAGEIFS(DropAnalityka[Drop Worth],DropAnalityka[Location],'Location features'!A7,DropAnalityka[LVL],'Location features'!B7,DropAnalityka[Stage],'Location features'!C7)+AVERAGEIFS(DropAnalityka[Fod Worth],DropAnalityka[Location],'Location features'!A7,DropAnalityka[LVL],'Location features'!B7,DropAnalityka[Stage],'Location features'!C7)</f>
        <v>#DIV/0!</v>
      </c>
      <c r="J7" s="10"/>
      <c r="K7" s="10">
        <f>4*LocFeatures[[#This Row],[XP Gain per member]]</f>
        <v>0</v>
      </c>
      <c r="L7" s="10"/>
      <c r="M7" s="53"/>
      <c r="N7" t="e">
        <f>LocFeatures[[#This Row],[Drop worth gain]]/(LocFeatures[[#This Row],[E. Cost]]-LocFeatures[[#This Row],[Energy gain]])</f>
        <v>#DIV/0!</v>
      </c>
      <c r="O7" s="54">
        <f>LocFeatures[[#This Row],[XP Train Gain]]/(LocFeatures[[#This Row],[E. Cost]]-LocFeatures[[#This Row],[Energy gain]])</f>
        <v>0</v>
      </c>
      <c r="P7">
        <f>(LocFeatures[[#This Row],[XP Train Gain]]+LocFeatures[[#This Row],[XP drop]])/(LocFeatures[[#This Row],[E. Cost]]-LocFeatures[[#This Row],[Energy gain]])</f>
        <v>0</v>
      </c>
      <c r="Q7" s="10"/>
      <c r="R7" s="10"/>
    </row>
    <row r="8" spans="1:22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55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features'!C8)+AVERAGEIFS(DropAnalityka[Fod Worth],DropAnalityka[Location],'Location features'!A8,DropAnalityka[LVL],'Location features'!B8,DropAnalityka[Stage],'Location features'!C8)</f>
        <v>4179.565312046444</v>
      </c>
      <c r="J8" s="56">
        <f>AVERAGEIFS(DropAnalityka[Energy Drop],DropAnalityka[Location],'Location features'!$A8,DropAnalityka[LVL],'Location features'!$B8,DropAnalityka[Stage],'Location features'!$C8)</f>
        <v>0.86792452830188682</v>
      </c>
      <c r="K8" s="10">
        <f>4*LocFeatures[[#This Row],[XP Gain per member]]</f>
        <v>4392</v>
      </c>
      <c r="L8" s="10">
        <f>3*E8</f>
        <v>3294</v>
      </c>
      <c r="M8" s="58">
        <f>AVERAGEIFS(DropAnalityka[Exp Gain],DropAnalityka[Location],'Location features'!$A8,DropAnalityka[LVL],'Location features'!$B8,DropAnalityka[Stage],'Location features'!$C8)</f>
        <v>2387.5849056603774</v>
      </c>
      <c r="N8" s="57">
        <f>LocFeatures[[#This Row],[Drop worth gain]]/(LocFeatures[[#This Row],[E. Cost]]-LocFeatures[[#This Row],[Energy gain]])</f>
        <v>1334.4395273401299</v>
      </c>
      <c r="O8" s="57">
        <f>LocFeatures[[#This Row],[XP Train Gain]]/(LocFeatures[[#This Row],[E. Cost]]-LocFeatures[[#This Row],[Energy gain]])</f>
        <v>1051.698795180723</v>
      </c>
      <c r="P8" s="57">
        <f>(LocFeatures[[#This Row],[XP Train Gain]]+LocFeatures[[#This Row],[XP drop]])/(LocFeatures[[#This Row],[E. Cost]]-LocFeatures[[#This Row],[Energy gain]])</f>
        <v>1814.0000000000002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5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features'!C9)+AVERAGEIFS(DropAnalityka[Fod Worth],DropAnalityka[Location],'Location features'!A9,DropAnalityka[LVL],'Location features'!B9,DropAnalityka[Stage],'Location features'!C9)</f>
        <v>3224.358024691358</v>
      </c>
      <c r="J9" s="56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8">
        <f>AVERAGEIFS(DropAnalityka[Exp Gain],DropAnalityka[Location],'Location features'!$A9,DropAnalityka[LVL],'Location features'!$B9,DropAnalityka[Stage],'Location features'!$C9)</f>
        <v>560</v>
      </c>
      <c r="N9" s="57">
        <f>LocFeatures[[#This Row],[Drop worth gain]]/(LocFeatures[[#This Row],[E. Cost]]-LocFeatures[[#This Row],[Energy gain]])</f>
        <v>1518.4476744186045</v>
      </c>
      <c r="O9" s="57">
        <f>LocFeatures[[#This Row],[XP Train Gain]]/(LocFeatures[[#This Row],[E. Cost]]-LocFeatures[[#This Row],[Energy gain]])</f>
        <v>1068.0697674418604</v>
      </c>
      <c r="P9" s="57">
        <f>(LocFeatures[[#This Row],[XP Train Gain]]+LocFeatures[[#This Row],[XP drop]])/(LocFeatures[[#This Row],[E. Cost]]-LocFeatures[[#This Row],[Energy gain]])</f>
        <v>1331.7906976744187</v>
      </c>
      <c r="Q9" s="10">
        <f>LocFeatures[[#This Row],[DropWorthGain/Energy]]/N8-1</f>
        <v>0.13789170907223403</v>
      </c>
      <c r="R9" s="10">
        <f>LocFeatures[[#This Row],[XP/Energy]]/P8-1</f>
        <v>-0.26582651726878803</v>
      </c>
      <c r="S9">
        <v>62</v>
      </c>
      <c r="T9" s="10" t="s">
        <v>213</v>
      </c>
      <c r="U9" s="10">
        <v>125</v>
      </c>
      <c r="V9" s="10" t="s">
        <v>157</v>
      </c>
    </row>
    <row r="10" spans="1:22" s="10" customFormat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I10" s="53" t="e">
        <f>AVERAGEIFS(DropAnalityka[Mana drop],DropAnalityka[Location],'Location features'!A10,DropAnalityka[LVL],'Location features'!B10,DropAnalityka[Stage],'Location features'!C10)+AVERAGEIFS(DropAnalityka[Drop Worth],DropAnalityka[Location],'Location features'!A10,DropAnalityka[LVL],'Location features'!B10,DropAnalityka[Stage],'Location features'!C10)+AVERAGEIFS(DropAnalityka[Fod Worth],DropAnalityka[Location],'Location features'!A10,DropAnalityka[LVL],'Location features'!B10,DropAnalityka[Stage],'Location features'!C10)</f>
        <v>#DIV/0!</v>
      </c>
      <c r="J10" s="10" t="e">
        <f>AVERAGEIFS(DropAnalityka[Energy Drop],DropAnalityka[Location],'Location features'!$A10,DropAnalityka[LVL],'Location features'!$B10,DropAnalityka[Stage],'Location features'!$C10)</f>
        <v>#DIV/0!</v>
      </c>
      <c r="K10" s="10">
        <f>4*LocFeatures[[#This Row],[XP Gain per member]]</f>
        <v>4476</v>
      </c>
      <c r="M10" s="53"/>
      <c r="N10" t="e">
        <f>LocFeatures[[#This Row],[Drop worth gain]]/(LocFeatures[[#This Row],[E. Cost]]-LocFeatures[[#This Row],[Energy gain]])</f>
        <v>#DIV/0!</v>
      </c>
      <c r="O10" s="54" t="e">
        <f>LocFeatures[[#This Row],[XP Train Gain]]/(LocFeatures[[#This Row],[E. Cost]]-LocFeatures[[#This Row],[Energy gain]])</f>
        <v>#DIV/0!</v>
      </c>
      <c r="P10" t="e">
        <f>(LocFeatures[[#This Row],[XP Train Gain]]+LocFeatures[[#This Row],[XP drop]])/(LocFeatures[[#This Row],[E. Cost]]-LocFeatures[[#This Row],[Energy gain]])</f>
        <v>#DIV/0!</v>
      </c>
      <c r="S10"/>
    </row>
    <row r="11" spans="1:22" s="10" customFormat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I11" s="53">
        <f>AVERAGEIFS(DropAnalityka[Mana drop],DropAnalityka[Location],'Location features'!A11,DropAnalityka[LVL],'Location features'!B11,DropAnalityka[Stage],'Location features'!C11)+AVERAGEIFS(DropAnalityka[Drop Worth],DropAnalityka[Location],'Location features'!A11,DropAnalityka[LVL],'Location features'!B11,DropAnalityka[Stage],'Location features'!C11)+AVERAGEIFS(DropAnalityka[Fod Worth],DropAnalityka[Location],'Location features'!A11,DropAnalityka[LVL],'Location features'!B11,DropAnalityka[Stage],'Location features'!C11)</f>
        <v>2652</v>
      </c>
      <c r="J11" s="10">
        <f>AVERAGEIFS(DropAnalityka[Energy Drop],DropAnalityka[Location],'Location features'!$A11,DropAnalityka[LVL],'Location features'!$B11,DropAnalityka[Stage],'Location features'!$C11)</f>
        <v>1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N11" s="54">
        <f>LocFeatures[[#This Row],[Drop worth gain]]/(LocFeatures[[#This Row],[E. Cost]]-LocFeatures[[#This Row],[Energy gain]])</f>
        <v>663</v>
      </c>
      <c r="O11" s="54">
        <f>LocFeatures[[#This Row],[XP Train Gain]]/(LocFeatures[[#This Row],[E. Cost]]-LocFeatures[[#This Row],[Energy gain]])</f>
        <v>0</v>
      </c>
      <c r="P11" s="54">
        <f>(LocFeatures[[#This Row],[XP Train Gain]]+LocFeatures[[#This Row],[XP drop]])/(LocFeatures[[#This Row],[E. Cost]]-LocFeatures[[#This Row],[Energy gain]])</f>
        <v>0</v>
      </c>
      <c r="S11"/>
    </row>
    <row r="12" spans="1:22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55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features'!C12)+AVERAGEIFS(DropAnalityka[Fod Worth],DropAnalityka[Location],'Location features'!A12,DropAnalityka[LVL],'Location features'!B12,DropAnalityka[Stage],'Location features'!C12)</f>
        <v>4440.4901960784318</v>
      </c>
      <c r="J12" s="56">
        <f>AVERAGEIFS(DropAnalityka[Energy Drop],DropAnalityka[Location],'Location features'!$A12,DropAnalityka[LVL],'Location features'!$B12,DropAnalityka[Stage],'Location features'!$C12)</f>
        <v>0.97385620915032678</v>
      </c>
      <c r="K12" s="10">
        <f>4*LocFeatures[[#This Row],[XP Gain per member]]</f>
        <v>7200</v>
      </c>
      <c r="L12" s="10">
        <f t="shared" ref="L12:L17" si="0">3*E12</f>
        <v>5400</v>
      </c>
      <c r="M12" s="58">
        <f>AVERAGEIFS(DropAnalityka[Exp Gain],DropAnalityka[Location],'Location features'!$A12,DropAnalityka[LVL],'Location features'!$B12,DropAnalityka[Stage],'Location features'!$C12)</f>
        <v>2023.5816993464052</v>
      </c>
      <c r="N12" s="57">
        <f>LocFeatures[[#This Row],[Drop worth gain]]/(LocFeatures[[#This Row],[E. Cost]]-LocFeatures[[#This Row],[Energy gain]])</f>
        <v>1102.9139610389611</v>
      </c>
      <c r="O12" s="57">
        <f>LocFeatures[[#This Row],[XP Train Gain]]/(LocFeatures[[#This Row],[E. Cost]]-LocFeatures[[#This Row],[Energy gain]])</f>
        <v>1341.2337662337663</v>
      </c>
      <c r="P12" s="57">
        <f>(LocFeatures[[#This Row],[XP Train Gain]]+LocFeatures[[#This Row],[XP drop]])/(LocFeatures[[#This Row],[E. Cost]]-LocFeatures[[#This Row],[Energy gain]])</f>
        <v>1843.8441558441559</v>
      </c>
      <c r="Q12" s="10">
        <f>LocFeatures[[#This Row],[DropWorthGain/Energy]]/N9-1</f>
        <v>-0.27365691974782491</v>
      </c>
      <c r="R12" s="10">
        <f>LocFeatures[[#This Row],[XP/Energy]]/P9-1</f>
        <v>0.3844849337541465</v>
      </c>
      <c r="S12">
        <v>178</v>
      </c>
      <c r="T12" s="10" t="s">
        <v>157</v>
      </c>
      <c r="V12" s="10" t="s">
        <v>214</v>
      </c>
    </row>
    <row r="13" spans="1:22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55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features'!C13)+AVERAGEIFS(DropAnalityka[Fod Worth],DropAnalityka[Location],'Location features'!A13,DropAnalityka[LVL],'Location features'!B13,DropAnalityka[Stage],'Location features'!C13)</f>
        <v>4124.8571428571431</v>
      </c>
      <c r="J13" s="56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8">
        <f>AVERAGEIFS(DropAnalityka[Exp Gain],DropAnalityka[Location],'Location features'!$A13,DropAnalityka[LVL],'Location features'!$B13,DropAnalityka[Stage],'Location features'!$C13)</f>
        <v>0</v>
      </c>
      <c r="N13" s="57">
        <f>LocFeatures[[#This Row],[Drop worth gain]]/(LocFeatures[[#This Row],[E. Cost]]-LocFeatures[[#This Row],[Energy gain]])</f>
        <v>962.46666666666681</v>
      </c>
      <c r="O13" s="57">
        <f>LocFeatures[[#This Row],[XP Train Gain]]/(LocFeatures[[#This Row],[E. Cost]]-LocFeatures[[#This Row],[Energy gain]])</f>
        <v>307.3</v>
      </c>
      <c r="P13" s="57">
        <f>(LocFeatures[[#This Row],[XP Train Gain]]+LocFeatures[[#This Row],[XP drop]])/(LocFeatures[[#This Row],[E. Cost]]-LocFeatures[[#This Row],[Energy gain]])</f>
        <v>307.3</v>
      </c>
      <c r="S13"/>
    </row>
    <row r="14" spans="1:22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55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features'!C14)+AVERAGEIFS(DropAnalityka[Fod Worth],DropAnalityka[Location],'Location features'!A14,DropAnalityka[LVL],'Location features'!B14,DropAnalityka[Stage],'Location features'!C14)</f>
        <v>12692</v>
      </c>
      <c r="J14" s="56">
        <v>0.65</v>
      </c>
      <c r="K14" s="10">
        <f>4*LocFeatures[[#This Row],[XP Gain per member]]</f>
        <v>6000</v>
      </c>
      <c r="L14" s="10">
        <f t="shared" si="0"/>
        <v>4500</v>
      </c>
      <c r="M14" s="58">
        <f>AVERAGEIFS(DropAnalityka[Exp Gain],DropAnalityka[Location],'Location features'!$A14,DropAnalityka[LVL],'Location features'!$B14,DropAnalityka[Stage],'Location features'!$C14)</f>
        <v>66062</v>
      </c>
      <c r="N14" s="57">
        <f>LocFeatures[[#This Row],[Drop worth gain]]/(LocFeatures[[#This Row],[E. Cost]]-LocFeatures[[#This Row],[Energy gain]])</f>
        <v>2917.7011494252874</v>
      </c>
      <c r="O14" s="57">
        <f>LocFeatures[[#This Row],[XP Train Gain]]/(LocFeatures[[#This Row],[E. Cost]]-LocFeatures[[#This Row],[Energy gain]])</f>
        <v>1034.4827586206898</v>
      </c>
      <c r="P14" s="57">
        <f>(LocFeatures[[#This Row],[XP Train Gain]]+LocFeatures[[#This Row],[XP drop]])/(LocFeatures[[#This Row],[E. Cost]]-LocFeatures[[#This Row],[Energy gain]])</f>
        <v>16221.149425287358</v>
      </c>
      <c r="S14"/>
    </row>
    <row r="15" spans="1:22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55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features'!C15)+AVERAGEIFS(DropAnalityka[Fod Worth],DropAnalityka[Location],'Location features'!A15,DropAnalityka[LVL],'Location features'!B15,DropAnalityka[Stage],'Location features'!C15)</f>
        <v>3789.9479166666665</v>
      </c>
      <c r="J15" s="56">
        <f>AVERAGEIFS(DropAnalityka[Energy Drop],DropAnalityka[Location],'Location features'!$A15,DropAnalityka[LVL],'Location features'!$B15,DropAnalityka[Stage],'Location features'!$C15)</f>
        <v>0.88541666666666663</v>
      </c>
      <c r="K15" s="10">
        <f>4*LocFeatures[[#This Row],[XP Gain per member]]</f>
        <v>3196</v>
      </c>
      <c r="L15" s="10">
        <f t="shared" si="0"/>
        <v>2397</v>
      </c>
      <c r="M15" s="58">
        <f>AVERAGEIFS(DropAnalityka[Exp Gain],DropAnalityka[Location],'Location features'!$A15,DropAnalityka[LVL],'Location features'!$B15,DropAnalityka[Stage],'Location features'!$C15)</f>
        <v>1417.5</v>
      </c>
      <c r="N15" s="57">
        <f>LocFeatures[[#This Row],[Drop worth gain]]/(LocFeatures[[#This Row],[E. Cost]]-LocFeatures[[#This Row],[Energy gain]])</f>
        <v>1792.2906403940885</v>
      </c>
      <c r="O15" s="57">
        <f>LocFeatures[[#This Row],[XP Train Gain]]/(LocFeatures[[#This Row],[E. Cost]]-LocFeatures[[#This Row],[Energy gain]])</f>
        <v>1133.5566502463053</v>
      </c>
      <c r="P15" s="57">
        <f>(LocFeatures[[#This Row],[XP Train Gain]]+LocFeatures[[#This Row],[XP drop]])/(LocFeatures[[#This Row],[E. Cost]]-LocFeatures[[#This Row],[Energy gain]])</f>
        <v>1803.9014778325122</v>
      </c>
      <c r="Q15" s="10">
        <f>LocFeatures[[#This Row],[DropWorthGain/Energy]]/N9-1</f>
        <v>0.18034402540761585</v>
      </c>
      <c r="R15" s="10">
        <f>LocFeatures[[#This Row],[XP/Energy]]/P9-1</f>
        <v>0.35449322553648743</v>
      </c>
      <c r="S15"/>
    </row>
    <row r="16" spans="1:22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55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features'!C16)+AVERAGEIFS(DropAnalityka[Fod Worth],DropAnalityka[Location],'Location features'!A16,DropAnalityka[LVL],'Location features'!B16,DropAnalityka[Stage],'Location features'!C16)</f>
        <v>3392</v>
      </c>
      <c r="J16" s="56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8">
        <f>AVERAGEIFS(DropAnalityka[Exp Gain],DropAnalityka[Location],'Location features'!$A16,DropAnalityka[LVL],'Location features'!$B16,DropAnalityka[Stage],'Location features'!$C16)</f>
        <v>0</v>
      </c>
      <c r="N16" s="57">
        <f>LocFeatures[[#This Row],[Drop worth gain]]/(LocFeatures[[#This Row],[E. Cost]]-LocFeatures[[#This Row],[Energy gain]])</f>
        <v>1130.6666666666667</v>
      </c>
      <c r="O16" s="57">
        <f>LocFeatures[[#This Row],[XP Train Gain]]/(LocFeatures[[#This Row],[E. Cost]]-LocFeatures[[#This Row],[Energy gain]])</f>
        <v>804</v>
      </c>
      <c r="P16" s="57">
        <f>(LocFeatures[[#This Row],[XP Train Gain]]+LocFeatures[[#This Row],[XP drop]])/(LocFeatures[[#This Row],[E. Cost]]-LocFeatures[[#This Row],[Energy gain]])</f>
        <v>804</v>
      </c>
      <c r="S16"/>
    </row>
    <row r="17" spans="1:20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55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features'!C17)+AVERAGEIFS(DropAnalityka[Fod Worth],DropAnalityka[Location],'Location features'!A17,DropAnalityka[LVL],'Location features'!B17,DropAnalityka[Stage],'Location features'!C17)</f>
        <v>2964</v>
      </c>
      <c r="J17" s="56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8">
        <f>AVERAGEIFS(DropAnalityka[Exp Gain],DropAnalityka[Location],'Location features'!$A17,DropAnalityka[LVL],'Location features'!$B17,DropAnalityka[Stage],'Location features'!$C17)</f>
        <v>0</v>
      </c>
      <c r="N17" s="57">
        <f>LocFeatures[[#This Row],[Drop worth gain]]/(LocFeatures[[#This Row],[E. Cost]]-LocFeatures[[#This Row],[Energy gain]])</f>
        <v>988</v>
      </c>
      <c r="O17" s="57">
        <f>LocFeatures[[#This Row],[XP Train Gain]]/(LocFeatures[[#This Row],[E. Cost]]-LocFeatures[[#This Row],[Energy gain]])</f>
        <v>804</v>
      </c>
      <c r="P17" s="57">
        <f>(LocFeatures[[#This Row],[XP Train Gain]]+LocFeatures[[#This Row],[XP drop]])/(LocFeatures[[#This Row],[E. Cost]]-LocFeatures[[#This Row],[Energy gain]])</f>
        <v>804</v>
      </c>
      <c r="S17"/>
    </row>
    <row r="18" spans="1:20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55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features'!C18)+AVERAGEIFS(DropAnalityka[Fod Worth],DropAnalityka[Location],'Location features'!A18,DropAnalityka[LVL],'Location features'!B18,DropAnalityka[Stage],'Location features'!C18)</f>
        <v>5581.1860465116279</v>
      </c>
      <c r="J18" s="56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58">
        <f>AVERAGEIFS(DropAnalityka[Exp Gain],DropAnalityka[Location],'Location features'!$A18,DropAnalityka[LVL],'Location features'!$B18,DropAnalityka[Stage],'Location features'!$C18)</f>
        <v>4127.5348837209303</v>
      </c>
      <c r="N18" s="57">
        <f>LocFeatures[[#This Row],[Drop worth gain]]/(LocFeatures[[#This Row],[E. Cost]]-LocFeatures[[#This Row],[Energy gain]])</f>
        <v>1786.8619358396911</v>
      </c>
      <c r="O18" s="57">
        <f>LocFeatures[[#This Row],[XP Train Gain]]/(LocFeatures[[#This Row],[E. Cost]]-LocFeatures[[#This Row],[Energy gain]])</f>
        <v>1225.5652173913043</v>
      </c>
      <c r="P18" s="57">
        <f>(LocFeatures[[#This Row],[XP Train Gain]]+LocFeatures[[#This Row],[XP drop]])/(LocFeatures[[#This Row],[E. Cost]]-LocFeatures[[#This Row],[Energy gain]])</f>
        <v>2547.0289548671753</v>
      </c>
      <c r="S18">
        <v>122</v>
      </c>
      <c r="T18" s="10" t="s">
        <v>154</v>
      </c>
    </row>
    <row r="19" spans="1:20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53" t="e">
        <f>AVERAGEIFS(DropAnalityka[Mana drop],DropAnalityka[Location],'Location features'!A19,DropAnalityka[LVL],'Location features'!B19,DropAnalityka[Stage],'Location features'!C19)+AVERAGEIFS(DropAnalityka[Drop Worth],DropAnalityka[Location],'Location features'!A19,DropAnalityka[LVL],'Location features'!B19,DropAnalityka[Stage],'Location features'!C19)+AVERAGEIFS(DropAnalityka[Fod Worth],DropAnalityka[Location],'Location features'!A19,DropAnalityka[LVL],'Location features'!B19,DropAnalityka[Stage],'Location features'!C19)</f>
        <v>#DIV/0!</v>
      </c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53"/>
      <c r="N19" t="e">
        <f>LocFeatures[[#This Row],[Drop worth gain]]/(LocFeatures[[#This Row],[E. Cost]]-LocFeatures[[#This Row],[Energy gain]])</f>
        <v>#DIV/0!</v>
      </c>
      <c r="O19" s="54">
        <f>LocFeatures[[#This Row],[XP Train Gain]]/(LocFeatures[[#This Row],[E. Cost]]-LocFeatures[[#This Row],[Energy gain]])</f>
        <v>1473.2784431137725</v>
      </c>
      <c r="P19">
        <f>(LocFeatures[[#This Row],[XP Train Gain]]+LocFeatures[[#This Row],[XP drop]])/(LocFeatures[[#This Row],[E. Cost]]-LocFeatures[[#This Row],[Energy gain]])</f>
        <v>1473.2784431137725</v>
      </c>
      <c r="Q19" s="10"/>
      <c r="R19" s="10"/>
      <c r="T19" s="16"/>
    </row>
    <row r="20" spans="1:20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55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features'!C20)+AVERAGEIFS(DropAnalityka[Fod Worth],DropAnalityka[Location],'Location features'!A20,DropAnalityka[LVL],'Location features'!B20,DropAnalityka[Stage],'Location features'!C20)</f>
        <v>2788.25</v>
      </c>
      <c r="J20" s="56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58">
        <f>AVERAGEIFS(DropAnalityka[Exp Gain],DropAnalityka[Location],'Location features'!$A20,DropAnalityka[LVL],'Location features'!$B20,DropAnalityka[Stage],'Location features'!$C20)</f>
        <v>0</v>
      </c>
      <c r="N20" s="57">
        <f>LocFeatures[[#This Row],[Drop worth gain]]/(LocFeatures[[#This Row],[E. Cost]]-LocFeatures[[#This Row],[Energy gain]])</f>
        <v>506.95454545454544</v>
      </c>
      <c r="O20" s="57">
        <f>LocFeatures[[#This Row],[XP Train Gain]]/(LocFeatures[[#This Row],[E. Cost]]-LocFeatures[[#This Row],[Energy gain]])</f>
        <v>213.81818181818181</v>
      </c>
      <c r="P20" s="57">
        <f>(LocFeatures[[#This Row],[XP Train Gain]]+LocFeatures[[#This Row],[XP drop]])/(LocFeatures[[#This Row],[E. Cost]]-LocFeatures[[#This Row],[Energy gain]])</f>
        <v>213.81818181818181</v>
      </c>
      <c r="Q20" s="10"/>
      <c r="R20" s="10"/>
    </row>
    <row r="21" spans="1:20">
      <c r="A21" s="10" t="s">
        <v>204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55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features'!C21)+AVERAGEIFS(DropAnalityka[Fod Worth],DropAnalityka[Location],'Location features'!A21,DropAnalityka[LVL],'Location features'!B21,DropAnalityka[Stage],'Location features'!C21)</f>
        <v>7394.5</v>
      </c>
      <c r="J21" s="56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58">
        <f>AVERAGEIFS(DropAnalityka[Exp Gain],DropAnalityka[Location],'Location features'!$A21,DropAnalityka[LVL],'Location features'!$B21,DropAnalityka[Stage],'Location features'!$C21)</f>
        <v>0</v>
      </c>
      <c r="N21" s="57">
        <f>LocFeatures[[#This Row],[Drop worth gain]]/(LocFeatures[[#This Row],[E. Cost]]-LocFeatures[[#This Row],[Energy gain]])</f>
        <v>1408.4761904761904</v>
      </c>
      <c r="O21" s="57">
        <f>LocFeatures[[#This Row],[XP Train Gain]]/(LocFeatures[[#This Row],[E. Cost]]-LocFeatures[[#This Row],[Energy gain]])</f>
        <v>345.71428571428572</v>
      </c>
      <c r="P21" s="57">
        <f>(LocFeatures[[#This Row],[XP Train Gain]]+LocFeatures[[#This Row],[XP drop]])/(LocFeatures[[#This Row],[E. Cost]]-LocFeatures[[#This Row],[Energy gain]])</f>
        <v>345.71428571428572</v>
      </c>
      <c r="Q21" s="10"/>
      <c r="R21" s="10"/>
    </row>
    <row r="22" spans="1:20">
      <c r="A22" s="10" t="s">
        <v>204</v>
      </c>
      <c r="B22" s="10" t="s">
        <v>9</v>
      </c>
      <c r="C22" s="10">
        <v>6</v>
      </c>
      <c r="D22" s="10">
        <v>7</v>
      </c>
      <c r="E22" s="10">
        <v>760</v>
      </c>
      <c r="F22" s="10"/>
      <c r="G22" s="10"/>
      <c r="H22" s="10"/>
      <c r="I22" s="55">
        <f>AVERAGEIFS(DropAnalityka[Mana drop],DropAnalityka[Location],'Location features'!A22,DropAnalityka[LVL],'Location features'!B22,DropAnalityka[Stage],'Location features'!C22)+AVERAGEIFS(DropAnalityka[Drop Worth],DropAnalityka[Location],'Location features'!A22,DropAnalityka[LVL],'Location features'!B22,DropAnalityka[Stage],'Location features'!C22)+AVERAGEIFS(DropAnalityka[Fod Worth],DropAnalityka[Location],'Location features'!A22,DropAnalityka[LVL],'Location features'!B22,DropAnalityka[Stage],'Location features'!C22)</f>
        <v>5507.363636363636</v>
      </c>
      <c r="J22" s="56">
        <f>AVERAGEIFS(DropAnalityka[Energy Drop],DropAnalityka[Location],'Location features'!$A22,DropAnalityka[LVL],'Location features'!$B22,DropAnalityka[Stage],'Location features'!$C22)</f>
        <v>0.83333333333333337</v>
      </c>
      <c r="K22" s="10">
        <f>5*LocFeatures[[#This Row],[XP Gain per member]]</f>
        <v>3800</v>
      </c>
      <c r="L22" s="10">
        <f>3*E22</f>
        <v>2280</v>
      </c>
      <c r="M22" s="58">
        <f>AVERAGEIFS(DropAnalityka[Exp Gain],DropAnalityka[Location],'Location features'!$A22,DropAnalityka[LVL],'Location features'!$B22,DropAnalityka[Stage],'Location features'!$C22)</f>
        <v>6005.636363636364</v>
      </c>
      <c r="N22" s="57">
        <f>LocFeatures[[#This Row],[Drop worth gain]]/(LocFeatures[[#This Row],[E. Cost]]-LocFeatures[[#This Row],[Energy gain]])</f>
        <v>893.08599508599502</v>
      </c>
      <c r="O22" s="57">
        <f>LocFeatures[[#This Row],[XP Train Gain]]/(LocFeatures[[#This Row],[E. Cost]]-LocFeatures[[#This Row],[Energy gain]])</f>
        <v>369.72972972972968</v>
      </c>
      <c r="P22" s="57">
        <f>(LocFeatures[[#This Row],[XP Train Gain]]+LocFeatures[[#This Row],[XP drop]])/(LocFeatures[[#This Row],[E. Cost]]-LocFeatures[[#This Row],[Energy gain]])</f>
        <v>1343.6167076167076</v>
      </c>
      <c r="Q22" s="10"/>
      <c r="R22" s="10"/>
    </row>
    <row r="23" spans="1:20">
      <c r="A23" s="10"/>
      <c r="B23" s="10"/>
      <c r="C23" s="10"/>
      <c r="D23" s="10"/>
      <c r="E23" s="10"/>
      <c r="F23" s="10"/>
      <c r="G23" s="10"/>
      <c r="H23" s="10"/>
      <c r="I23" s="53"/>
      <c r="J23" s="10"/>
      <c r="K23" s="10"/>
      <c r="L23" s="10"/>
      <c r="M23" s="53"/>
      <c r="N23" s="10"/>
      <c r="O23" s="55" t="e">
        <f>LocFeatures[[#This Row],[XP Train Gain]]/(LocFeatures[[#This Row],[E. Cost]]-LocFeatures[[#This Row],[Energy gain]])</f>
        <v>#DIV/0!</v>
      </c>
      <c r="P23" s="10"/>
      <c r="Q23" s="10"/>
      <c r="R23" s="10"/>
    </row>
    <row r="24" spans="1:20">
      <c r="I24" s="49"/>
      <c r="J24" s="10"/>
      <c r="K24" s="10"/>
      <c r="L24" s="10"/>
      <c r="M24" s="53"/>
      <c r="N24" s="10"/>
      <c r="O24" s="55" t="e">
        <f>LocFeatures[[#This Row],[XP Train Gain]]/(LocFeatures[[#This Row],[E. Cost]]-LocFeatures[[#This Row],[Energy gain]])</f>
        <v>#DIV/0!</v>
      </c>
      <c r="P24" s="10"/>
      <c r="Q24" s="10"/>
      <c r="R24" s="10"/>
    </row>
    <row r="25" spans="1:20">
      <c r="I25" s="49"/>
      <c r="M25" s="49"/>
      <c r="O25" s="54" t="e">
        <f>LocFeatures[[#This Row],[XP Train Gain]]/(LocFeatures[[#This Row],[E. Cost]]-LocFeatures[[#This Row],[Energy gain]])</f>
        <v>#DIV/0!</v>
      </c>
    </row>
    <row r="26" spans="1:20">
      <c r="I26" s="49"/>
      <c r="M26" s="49"/>
      <c r="O26" s="54" t="e">
        <f>LocFeatures[[#This Row],[XP Train Gain]]/(LocFeatures[[#This Row],[E. Cost]]-LocFeatures[[#This Row],[Energy gain]])</f>
        <v>#DIV/0!</v>
      </c>
    </row>
    <row r="27" spans="1:20">
      <c r="I27" s="49"/>
      <c r="M27" s="49"/>
      <c r="O27" s="54" t="e">
        <f>LocFeatures[[#This Row],[XP Train Gain]]/(LocFeatures[[#This Row],[E. Cost]]-LocFeatures[[#This Row],[Energy gain]])</f>
        <v>#DIV/0!</v>
      </c>
    </row>
    <row r="28" spans="1:20">
      <c r="I28" s="49"/>
      <c r="M28" s="49"/>
      <c r="O28" s="54" t="e">
        <f>LocFeatures[[#This Row],[XP Train Gain]]/(LocFeatures[[#This Row],[E. Cost]]-LocFeatures[[#This Row],[Energy gain]])</f>
        <v>#DIV/0!</v>
      </c>
    </row>
    <row r="29" spans="1:20">
      <c r="I29" s="49"/>
      <c r="M29" s="49"/>
      <c r="O29" s="54" t="e">
        <f>LocFeatures[[#This Row],[XP Train Gain]]/(LocFeatures[[#This Row],[E. Cost]]-LocFeatures[[#This Row],[Energy gain]])</f>
        <v>#DIV/0!</v>
      </c>
    </row>
    <row r="30" spans="1:20">
      <c r="I30" s="49"/>
      <c r="M30" s="49"/>
      <c r="O30" s="54" t="e">
        <f>LocFeatures[[#This Row],[XP Train Gain]]/(LocFeatures[[#This Row],[E. Cost]]-LocFeatures[[#This Row],[Energy gain]])</f>
        <v>#DIV/0!</v>
      </c>
    </row>
    <row r="31" spans="1:20">
      <c r="I31" s="49"/>
      <c r="M31" s="49"/>
      <c r="O31" s="54" t="e">
        <f>LocFeatures[[#This Row],[XP Train Gain]]/(LocFeatures[[#This Row],[E. Cost]]-LocFeatures[[#This Row],[Energy gain]])</f>
        <v>#DIV/0!</v>
      </c>
    </row>
    <row r="32" spans="1:20">
      <c r="I32" s="49"/>
      <c r="M32" s="49"/>
      <c r="O32" s="54" t="e">
        <f>LocFeatures[[#This Row],[XP Train Gain]]/(LocFeatures[[#This Row],[E. Cost]]-LocFeatures[[#This Row],[Energy gain]])</f>
        <v>#DIV/0!</v>
      </c>
    </row>
    <row r="33" spans="9:15">
      <c r="I33" s="49"/>
      <c r="M33" s="49"/>
      <c r="O33" s="54" t="e">
        <f>LocFeatures[[#This Row],[XP Train Gain]]/(LocFeatures[[#This Row],[E. Cost]]-LocFeatures[[#This Row],[Energy gain]])</f>
        <v>#DIV/0!</v>
      </c>
    </row>
    <row r="34" spans="9:15">
      <c r="I34" s="49"/>
      <c r="M34" s="49"/>
      <c r="O34" s="54" t="e">
        <f>LocFeatures[[#This Row],[XP Train Gain]]/(LocFeatures[[#This Row],[E. Cost]]-LocFeatures[[#This Row],[Energy gain]])</f>
        <v>#DIV/0!</v>
      </c>
    </row>
    <row r="35" spans="9:15">
      <c r="I35" s="49"/>
      <c r="M35" s="49"/>
      <c r="O35" s="54" t="e">
        <f>LocFeatures[[#This Row],[XP Train Gain]]/(LocFeatures[[#This Row],[E. Cost]]-LocFeatures[[#This Row],[Energy gain]])</f>
        <v>#DIV/0!</v>
      </c>
    </row>
    <row r="36" spans="9:15">
      <c r="I36" s="49"/>
      <c r="M36" s="49"/>
      <c r="O36" s="54" t="e">
        <f>LocFeatures[[#This Row],[XP Train Gain]]/(LocFeatures[[#This Row],[E. Cost]]-LocFeatures[[#This Row],[Energy gain]])</f>
        <v>#DIV/0!</v>
      </c>
    </row>
    <row r="37" spans="9:15">
      <c r="I37" s="49"/>
      <c r="M37" s="49"/>
      <c r="O37" s="54" t="e">
        <f>LocFeatures[[#This Row],[XP Train Gain]]/(LocFeatures[[#This Row],[E. Cost]]-LocFeatures[[#This Row],[Energy gain]])</f>
        <v>#DIV/0!</v>
      </c>
    </row>
    <row r="38" spans="9:15">
      <c r="I38" s="49"/>
      <c r="M38" s="49"/>
      <c r="O38" s="54" t="e">
        <f>LocFeatures[[#This Row],[XP Train Gain]]/(LocFeatures[[#This Row],[E. Cost]]-LocFeatures[[#This Row],[Energy gain]])</f>
        <v>#DIV/0!</v>
      </c>
    </row>
    <row r="39" spans="9:15">
      <c r="I39" s="49"/>
      <c r="M39" s="49"/>
      <c r="O39" s="54" t="e">
        <f>LocFeatures[[#This Row],[XP Train Gain]]/(LocFeatures[[#This Row],[E. Cost]]-LocFeatures[[#This Row],[Energy gain]])</f>
        <v>#DIV/0!</v>
      </c>
    </row>
    <row r="40" spans="9:15">
      <c r="I40" s="49"/>
      <c r="M40" s="49"/>
      <c r="O40" s="54" t="e">
        <f>LocFeatures[[#This Row],[XP Train Gain]]/(LocFeatures[[#This Row],[E. Cost]]-LocFeatures[[#This Row],[Energy gain]])</f>
        <v>#DIV/0!</v>
      </c>
    </row>
    <row r="41" spans="9:15">
      <c r="I41" s="49"/>
      <c r="M41" s="49"/>
      <c r="O41" s="54" t="e">
        <f>LocFeatures[[#This Row],[XP Train Gain]]/(LocFeatures[[#This Row],[E. Cost]]-LocFeatures[[#This Row],[Energy gain]])</f>
        <v>#DIV/0!</v>
      </c>
    </row>
    <row r="42" spans="9:15">
      <c r="I42" s="49"/>
      <c r="M42" s="49"/>
      <c r="O42" s="54" t="e">
        <f>LocFeatures[[#This Row],[XP Train Gain]]/(LocFeatures[[#This Row],[E. Cost]]-LocFeatures[[#This Row],[Energy gain]])</f>
        <v>#DIV/0!</v>
      </c>
    </row>
    <row r="43" spans="9:15">
      <c r="I43" s="49"/>
      <c r="M43" s="49"/>
      <c r="O43" s="54" t="e">
        <f>LocFeatures[[#This Row],[XP Train Gain]]/(LocFeatures[[#This Row],[E. Cost]]-LocFeatures[[#This Row],[Energy gain]])</f>
        <v>#DIV/0!</v>
      </c>
    </row>
    <row r="44" spans="9:15">
      <c r="I44" s="49"/>
      <c r="M44" s="49"/>
      <c r="O44" s="54" t="e">
        <f>LocFeatures[[#This Row],[XP Train Gain]]/(LocFeatures[[#This Row],[E. Cost]]-LocFeatures[[#This Row],[Energy gain]])</f>
        <v>#DIV/0!</v>
      </c>
    </row>
    <row r="45" spans="9:15">
      <c r="I45" s="49"/>
      <c r="M45" s="49"/>
      <c r="O45" s="54" t="e">
        <f>LocFeatures[[#This Row],[XP Train Gain]]/(LocFeatures[[#This Row],[E. Cost]]-LocFeatures[[#This Row],[Energy gain]])</f>
        <v>#DIV/0!</v>
      </c>
    </row>
    <row r="46" spans="9:15">
      <c r="I46" s="49"/>
      <c r="M46" s="49"/>
      <c r="O46" s="54" t="e">
        <f>LocFeatures[[#This Row],[XP Train Gain]]/(LocFeatures[[#This Row],[E. Cost]]-LocFeatures[[#This Row],[Energy gain]])</f>
        <v>#DIV/0!</v>
      </c>
    </row>
    <row r="47" spans="9:15">
      <c r="I47" s="49"/>
      <c r="M47" s="49"/>
      <c r="O47" s="54" t="e">
        <f>LocFeatures[[#This Row],[XP Train Gain]]/(LocFeatures[[#This Row],[E. Cost]]-LocFeatures[[#This Row],[Energy gain]])</f>
        <v>#DIV/0!</v>
      </c>
    </row>
    <row r="48" spans="9:15">
      <c r="I48" s="49"/>
      <c r="M48" s="49"/>
      <c r="O48" s="54" t="e">
        <f>LocFeatures[[#This Row],[XP Train Gain]]/(LocFeatures[[#This Row],[E. Cost]]-LocFeatures[[#This Row],[Energy gain]])</f>
        <v>#DIV/0!</v>
      </c>
    </row>
    <row r="49" spans="9:15">
      <c r="I49" s="49"/>
      <c r="M49" s="49"/>
      <c r="O49" s="54" t="e">
        <f>LocFeatures[[#This Row],[XP Train Gain]]/(LocFeatures[[#This Row],[E. Cost]]-LocFeatures[[#This Row],[Energy gain]])</f>
        <v>#DIV/0!</v>
      </c>
    </row>
    <row r="50" spans="9:15">
      <c r="I50" s="49"/>
      <c r="M50" s="49"/>
      <c r="O50" s="54" t="e">
        <f>LocFeatures[[#This Row],[XP Train Gain]]/(LocFeatures[[#This Row],[E. Cost]]-LocFeatures[[#This Row],[Energy gain]])</f>
        <v>#DIV/0!</v>
      </c>
    </row>
    <row r="51" spans="9:15">
      <c r="I51" s="49"/>
      <c r="M51" s="49"/>
      <c r="O51" s="54" t="e">
        <f>LocFeatures[[#This Row],[XP Train Gain]]/(LocFeatures[[#This Row],[E. Cost]]-LocFeatures[[#This Row],[Energy gain]])</f>
        <v>#DIV/0!</v>
      </c>
    </row>
    <row r="52" spans="9:15">
      <c r="I52" s="49"/>
      <c r="M52" s="49"/>
      <c r="O52" s="54" t="e">
        <f>LocFeatures[[#This Row],[XP Train Gain]]/(LocFeatures[[#This Row],[E. Cost]]-LocFeatures[[#This Row],[Energy gain]])</f>
        <v>#DIV/0!</v>
      </c>
    </row>
    <row r="53" spans="9:15">
      <c r="I53" s="49"/>
      <c r="M53" s="49"/>
      <c r="O53" s="54" t="e">
        <f>LocFeatures[[#This Row],[XP Train Gain]]/(LocFeatures[[#This Row],[E. Cost]]-LocFeatures[[#This Row],[Energy gain]])</f>
        <v>#DIV/0!</v>
      </c>
    </row>
    <row r="54" spans="9:15">
      <c r="I54" s="49"/>
      <c r="M54" s="49"/>
      <c r="O54" s="54" t="e">
        <f>LocFeatures[[#This Row],[XP Train Gain]]/(LocFeatures[[#This Row],[E. Cost]]-LocFeatures[[#This Row],[Energy gain]])</f>
        <v>#DIV/0!</v>
      </c>
    </row>
    <row r="55" spans="9:15">
      <c r="I55" s="49"/>
      <c r="M55" s="49"/>
      <c r="O55" s="54" t="e">
        <f>LocFeatures[[#This Row],[XP Train Gain]]/(LocFeatures[[#This Row],[E. Cost]]-LocFeatures[[#This Row],[Energy gain]])</f>
        <v>#DIV/0!</v>
      </c>
    </row>
    <row r="56" spans="9:15">
      <c r="I56" s="49"/>
      <c r="M56" s="49"/>
      <c r="O56" s="54" t="e">
        <f>LocFeatures[[#This Row],[XP Train Gain]]/(LocFeatures[[#This Row],[E. Cost]]-LocFeatures[[#This Row],[Energy gain]])</f>
        <v>#DIV/0!</v>
      </c>
    </row>
    <row r="57" spans="9:15">
      <c r="I57" s="49"/>
      <c r="M57" s="49"/>
      <c r="O57" s="54" t="e">
        <f>LocFeatures[[#This Row],[XP Train Gain]]/(LocFeatures[[#This Row],[E. Cost]]-LocFeatures[[#This Row],[Energy gain]])</f>
        <v>#DIV/0!</v>
      </c>
    </row>
    <row r="58" spans="9:15">
      <c r="I58" s="49"/>
      <c r="M58" s="49"/>
      <c r="O58" s="54" t="e">
        <f>LocFeatures[[#This Row],[XP Train Gain]]/(LocFeatures[[#This Row],[E. Cost]]-LocFeatures[[#This Row],[Energy gain]])</f>
        <v>#DIV/0!</v>
      </c>
    </row>
    <row r="59" spans="9:15">
      <c r="I59" s="49"/>
      <c r="M59" s="49"/>
      <c r="O59" s="54" t="e">
        <f>LocFeatures[[#This Row],[XP Train Gain]]/(LocFeatures[[#This Row],[E. Cost]]-LocFeatures[[#This Row],[Energy gain]])</f>
        <v>#DIV/0!</v>
      </c>
    </row>
    <row r="60" spans="9:15">
      <c r="I60" s="49"/>
      <c r="M60" s="49"/>
      <c r="O60" s="54" t="e">
        <f>LocFeatures[[#This Row],[XP Train Gain]]/(LocFeatures[[#This Row],[E. Cost]]-LocFeatures[[#This Row],[Energy gain]])</f>
        <v>#DIV/0!</v>
      </c>
    </row>
    <row r="61" spans="9:15">
      <c r="I61" s="49"/>
      <c r="M61" s="49"/>
      <c r="O61" s="54" t="e">
        <f>LocFeatures[[#This Row],[XP Train Gain]]/(LocFeatures[[#This Row],[E. Cost]]-LocFeatures[[#This Row],[Energy gain]])</f>
        <v>#DIV/0!</v>
      </c>
    </row>
    <row r="62" spans="9:15">
      <c r="I62" s="49"/>
      <c r="M62" s="49"/>
      <c r="O62" s="54" t="e">
        <f>LocFeatures[[#This Row],[XP Train Gain]]/(LocFeatures[[#This Row],[E. Cost]]-LocFeatures[[#This Row],[Energy gain]])</f>
        <v>#DIV/0!</v>
      </c>
    </row>
    <row r="63" spans="9:15">
      <c r="I63" s="49"/>
      <c r="M63" s="49"/>
      <c r="O63" s="54" t="e">
        <f>LocFeatures[[#This Row],[XP Train Gain]]/(LocFeatures[[#This Row],[E. Cost]]-LocFeatures[[#This Row],[Energy gain]])</f>
        <v>#DIV/0!</v>
      </c>
    </row>
    <row r="64" spans="9:15">
      <c r="I64" s="49"/>
      <c r="M64" s="49"/>
      <c r="O64" s="54" t="e">
        <f>LocFeatures[[#This Row],[XP Train Gain]]/(LocFeatures[[#This Row],[E. Cost]]-LocFeatures[[#This Row],[Energy gain]])</f>
        <v>#DIV/0!</v>
      </c>
    </row>
    <row r="65" spans="9:15">
      <c r="I65" s="49"/>
      <c r="M65" s="49"/>
      <c r="O65" s="54" t="e">
        <f>LocFeatures[[#This Row],[XP Train Gain]]/(LocFeatures[[#This Row],[E. Cost]]-LocFeatures[[#This Row],[Energy gain]])</f>
        <v>#DIV/0!</v>
      </c>
    </row>
    <row r="66" spans="9:15">
      <c r="I66" s="49"/>
      <c r="M66" s="49"/>
      <c r="O66" s="54" t="e">
        <f>LocFeatures[[#This Row],[XP Train Gain]]/(LocFeatures[[#This Row],[E. Cost]]-LocFeatures[[#This Row],[Energy gain]])</f>
        <v>#DIV/0!</v>
      </c>
    </row>
    <row r="67" spans="9:15">
      <c r="I67" s="49"/>
      <c r="M67" s="49"/>
      <c r="O67" s="54" t="e">
        <f>LocFeatures[[#This Row],[XP Train Gain]]/(LocFeatures[[#This Row],[E. Cost]]-LocFeatures[[#This Row],[Energy gain]])</f>
        <v>#DIV/0!</v>
      </c>
    </row>
    <row r="68" spans="9:15">
      <c r="I68" s="49"/>
      <c r="M68" s="49"/>
      <c r="O68" s="54" t="e">
        <f>LocFeatures[[#This Row],[XP Train Gain]]/(LocFeatures[[#This Row],[E. Cost]]-LocFeatures[[#This Row],[Energy gain]])</f>
        <v>#DIV/0!</v>
      </c>
    </row>
    <row r="69" spans="9:15">
      <c r="I69" s="49"/>
      <c r="M69" s="49"/>
      <c r="O69" s="54" t="e">
        <f>LocFeatures[[#This Row],[XP Train Gain]]/(LocFeatures[[#This Row],[E. Cost]]-LocFeatures[[#This Row],[Energy gain]])</f>
        <v>#DIV/0!</v>
      </c>
    </row>
    <row r="70" spans="9:15">
      <c r="I70" s="49"/>
      <c r="M70" s="49"/>
      <c r="O70" s="54" t="e">
        <f>LocFeatures[[#This Row],[XP Train Gain]]/(LocFeatures[[#This Row],[E. Cost]]-LocFeatures[[#This Row],[Energy gain]])</f>
        <v>#DIV/0!</v>
      </c>
    </row>
    <row r="71" spans="9:15">
      <c r="I71" s="49"/>
      <c r="M71" s="49"/>
      <c r="O71" s="54" t="e">
        <f>LocFeatures[[#This Row],[XP Train Gain]]/(LocFeatures[[#This Row],[E. Cost]]-LocFeatures[[#This Row],[Energy gain]])</f>
        <v>#DIV/0!</v>
      </c>
    </row>
    <row r="72" spans="9:15">
      <c r="I72" s="49"/>
      <c r="M72" s="49"/>
      <c r="O72" s="54" t="e">
        <f>LocFeatures[[#This Row],[XP Train Gain]]/(LocFeatures[[#This Row],[E. Cost]]-LocFeatures[[#This Row],[Energy gain]])</f>
        <v>#DIV/0!</v>
      </c>
    </row>
    <row r="73" spans="9:15">
      <c r="I73" s="49"/>
      <c r="M73" s="49"/>
      <c r="O73" s="54" t="e">
        <f>LocFeatures[[#This Row],[XP Train Gain]]/(LocFeatures[[#This Row],[E. Cost]]-LocFeatures[[#This Row],[Energy gain]])</f>
        <v>#DIV/0!</v>
      </c>
    </row>
    <row r="74" spans="9:15">
      <c r="I74" s="49"/>
      <c r="M74" s="49"/>
      <c r="O74" s="54" t="e">
        <f>LocFeatures[[#This Row],[XP Train Gain]]/(LocFeatures[[#This Row],[E. Cost]]-LocFeatures[[#This Row],[Energy gain]])</f>
        <v>#DIV/0!</v>
      </c>
    </row>
    <row r="75" spans="9:15">
      <c r="I75" s="49"/>
      <c r="M75" s="49"/>
      <c r="O75" s="54" t="e">
        <f>LocFeatures[[#This Row],[XP Train Gain]]/(LocFeatures[[#This Row],[E. Cost]]-LocFeatures[[#This Row],[Energy gain]])</f>
        <v>#DIV/0!</v>
      </c>
    </row>
    <row r="76" spans="9:15">
      <c r="I76" s="49"/>
      <c r="M76" s="49"/>
      <c r="O76" s="54" t="e">
        <f>LocFeatures[[#This Row],[XP Train Gain]]/(LocFeatures[[#This Row],[E. Cost]]-LocFeatures[[#This Row],[Energy gain]])</f>
        <v>#DIV/0!</v>
      </c>
    </row>
    <row r="77" spans="9:15">
      <c r="I77" s="49"/>
      <c r="M77" s="49"/>
      <c r="O77" s="54" t="e">
        <f>LocFeatures[[#This Row],[XP Train Gain]]/(LocFeatures[[#This Row],[E. Cost]]-LocFeatures[[#This Row],[Energy gain]])</f>
        <v>#DIV/0!</v>
      </c>
    </row>
    <row r="78" spans="9:15">
      <c r="I78" s="49"/>
      <c r="M78" s="49"/>
      <c r="O78" s="54" t="e">
        <f>LocFeatures[[#This Row],[XP Train Gain]]/(LocFeatures[[#This Row],[E. Cost]]-LocFeatures[[#This Row],[Energy gain]])</f>
        <v>#DIV/0!</v>
      </c>
    </row>
    <row r="79" spans="9:15">
      <c r="I79" s="49"/>
      <c r="M79" s="49"/>
      <c r="O79" s="54" t="e">
        <f>LocFeatures[[#This Row],[XP Train Gain]]/(LocFeatures[[#This Row],[E. Cost]]-LocFeatures[[#This Row],[Energy gain]])</f>
        <v>#DIV/0!</v>
      </c>
    </row>
    <row r="80" spans="9:15">
      <c r="I80" s="49"/>
      <c r="M80" s="49"/>
      <c r="O80" s="54" t="e">
        <f>LocFeatures[[#This Row],[XP Train Gain]]/(LocFeatures[[#This Row],[E. Cost]]-LocFeatures[[#This Row],[Energy gain]])</f>
        <v>#DIV/0!</v>
      </c>
    </row>
    <row r="81" spans="9:15">
      <c r="I81" s="49"/>
      <c r="M81" s="49"/>
      <c r="O81" s="54" t="e">
        <f>LocFeatures[[#This Row],[XP Train Gain]]/(LocFeatures[[#This Row],[E. Cost]]-LocFeatures[[#This Row],[Energy gain]])</f>
        <v>#DIV/0!</v>
      </c>
    </row>
    <row r="82" spans="9:15">
      <c r="I82" s="49"/>
      <c r="M82" s="49"/>
      <c r="O82" s="54" t="e">
        <f>LocFeatures[[#This Row],[XP Train Gain]]/(LocFeatures[[#This Row],[E. Cost]]-LocFeatures[[#This Row],[Energy gain]])</f>
        <v>#DIV/0!</v>
      </c>
    </row>
    <row r="83" spans="9:15">
      <c r="I83" s="49"/>
      <c r="M83" s="49"/>
      <c r="O83" s="54" t="e">
        <f>LocFeatures[[#This Row],[XP Train Gain]]/(LocFeatures[[#This Row],[E. Cost]]-LocFeatures[[#This Row],[Energy gain]])</f>
        <v>#DIV/0!</v>
      </c>
    </row>
    <row r="84" spans="9:15">
      <c r="I84" s="49"/>
      <c r="M84" s="49"/>
      <c r="O84" s="54" t="e">
        <f>LocFeatures[[#This Row],[XP Train Gain]]/(LocFeatures[[#This Row],[E. Cost]]-LocFeatures[[#This Row],[Energy gain]])</f>
        <v>#DIV/0!</v>
      </c>
    </row>
    <row r="85" spans="9:15">
      <c r="I85" s="49"/>
      <c r="M85" s="49"/>
      <c r="O85" s="54" t="e">
        <f>LocFeatures[[#This Row],[XP Train Gain]]/(LocFeatures[[#This Row],[E. Cost]]-LocFeatures[[#This Row],[Energy gain]])</f>
        <v>#DIV/0!</v>
      </c>
    </row>
    <row r="86" spans="9:15">
      <c r="I86" s="49"/>
      <c r="M86" s="49"/>
      <c r="O86" s="54" t="e">
        <f>LocFeatures[[#This Row],[XP Train Gain]]/(LocFeatures[[#This Row],[E. Cost]]-LocFeatures[[#This Row],[Energy gain]])</f>
        <v>#DIV/0!</v>
      </c>
    </row>
    <row r="87" spans="9:15">
      <c r="I87" s="49"/>
      <c r="M87" s="49"/>
      <c r="O87" s="54" t="e">
        <f>LocFeatures[[#This Row],[XP Train Gain]]/(LocFeatures[[#This Row],[E. Cost]]-LocFeatures[[#This Row],[Energy gain]])</f>
        <v>#DIV/0!</v>
      </c>
    </row>
    <row r="88" spans="9:15">
      <c r="I88" s="49"/>
      <c r="M88" s="49"/>
      <c r="O88" s="54" t="e">
        <f>LocFeatures[[#This Row],[XP Train Gain]]/(LocFeatures[[#This Row],[E. Cost]]-LocFeatures[[#This Row],[Energy gain]])</f>
        <v>#DIV/0!</v>
      </c>
    </row>
    <row r="89" spans="9:15">
      <c r="I89" s="49"/>
      <c r="M89" s="49"/>
      <c r="O89" s="54" t="e">
        <f>LocFeatures[[#This Row],[XP Train Gain]]/(LocFeatures[[#This Row],[E. Cost]]-LocFeatures[[#This Row],[Energy gain]])</f>
        <v>#DIV/0!</v>
      </c>
    </row>
    <row r="90" spans="9:15">
      <c r="I90" s="49"/>
      <c r="M90" s="49"/>
      <c r="O90" s="54" t="e">
        <f>LocFeatures[[#This Row],[XP Train Gain]]/(LocFeatures[[#This Row],[E. Cost]]-LocFeatures[[#This Row],[Energy gain]])</f>
        <v>#DIV/0!</v>
      </c>
    </row>
    <row r="91" spans="9:15">
      <c r="I91" s="49"/>
      <c r="M91" s="49"/>
      <c r="O91" s="54" t="e">
        <f>LocFeatures[[#This Row],[XP Train Gain]]/(LocFeatures[[#This Row],[E. Cost]]-LocFeatures[[#This Row],[Energy gain]])</f>
        <v>#DIV/0!</v>
      </c>
    </row>
    <row r="92" spans="9:15">
      <c r="I92" s="49"/>
      <c r="M92" s="49"/>
      <c r="O92" s="54" t="e">
        <f>LocFeatures[[#This Row],[XP Train Gain]]/(LocFeatures[[#This Row],[E. Cost]]-LocFeatures[[#This Row],[Energy gain]])</f>
        <v>#DIV/0!</v>
      </c>
    </row>
    <row r="93" spans="9:15">
      <c r="I93" s="49"/>
      <c r="M93" s="49"/>
      <c r="O93" s="54" t="e">
        <f>LocFeatures[[#This Row],[XP Train Gain]]/(LocFeatures[[#This Row],[E. Cost]]-LocFeatures[[#This Row],[Energy gain]])</f>
        <v>#DIV/0!</v>
      </c>
    </row>
    <row r="94" spans="9:15">
      <c r="I94" s="49"/>
      <c r="M94" s="49"/>
      <c r="O94" s="54" t="e">
        <f>LocFeatures[[#This Row],[XP Train Gain]]/(LocFeatures[[#This Row],[E. Cost]]-LocFeatures[[#This Row],[Energy gain]])</f>
        <v>#DIV/0!</v>
      </c>
    </row>
    <row r="95" spans="9:15">
      <c r="I95" s="49"/>
      <c r="M95" s="49"/>
      <c r="O95" s="54" t="e">
        <f>LocFeatures[[#This Row],[XP Train Gain]]/(LocFeatures[[#This Row],[E. Cost]]-LocFeatures[[#This Row],[Energy gain]])</f>
        <v>#DIV/0!</v>
      </c>
    </row>
    <row r="96" spans="9:15">
      <c r="I96" s="49"/>
      <c r="M96" s="49"/>
      <c r="O96" s="54" t="e">
        <f>LocFeatures[[#This Row],[XP Train Gain]]/(LocFeatures[[#This Row],[E. Cost]]-LocFeatures[[#This Row],[Energy gain]])</f>
        <v>#DIV/0!</v>
      </c>
    </row>
    <row r="97" spans="9:15">
      <c r="I97" s="49"/>
      <c r="M97" s="49"/>
      <c r="O97" s="54" t="e">
        <f>LocFeatures[[#This Row],[XP Train Gain]]/(LocFeatures[[#This Row],[E. Cost]]-LocFeatures[[#This Row],[Energy gain]])</f>
        <v>#DIV/0!</v>
      </c>
    </row>
    <row r="98" spans="9:15">
      <c r="I98" s="49"/>
      <c r="M98" s="49"/>
      <c r="O98" s="54" t="e">
        <f>LocFeatures[[#This Row],[XP Train Gain]]/(LocFeatures[[#This Row],[E. Cost]]-LocFeatures[[#This Row],[Energy gain]])</f>
        <v>#DIV/0!</v>
      </c>
    </row>
    <row r="99" spans="9:15">
      <c r="I99" s="49"/>
      <c r="M99" s="49"/>
      <c r="O99" s="54" t="e">
        <f>LocFeatures[[#This Row],[XP Train Gain]]/(LocFeatures[[#This Row],[E. Cost]]-LocFeatures[[#This Row],[Energy gain]])</f>
        <v>#DIV/0!</v>
      </c>
    </row>
    <row r="100" spans="9:15">
      <c r="I100" s="49"/>
      <c r="M100" s="49"/>
      <c r="O100" s="54" t="e">
        <f>LocFeatures[[#This Row],[XP Train Gain]]/(LocFeatures[[#This Row],[E. Cost]]-LocFeatures[[#This Row],[Energy gain]])</f>
        <v>#DIV/0!</v>
      </c>
    </row>
    <row r="101" spans="9:15">
      <c r="I101" s="49"/>
      <c r="M101" s="49"/>
      <c r="O101" s="54" t="e">
        <f>LocFeatures[[#This Row],[XP Train Gain]]/(LocFeatures[[#This Row],[E. Cost]]-LocFeatures[[#This Row],[Energy gain]])</f>
        <v>#DIV/0!</v>
      </c>
    </row>
    <row r="102" spans="9:15">
      <c r="I102" s="49"/>
      <c r="M102" s="49"/>
      <c r="O102" s="54" t="e">
        <f>LocFeatures[[#This Row],[XP Train Gain]]/(LocFeatures[[#This Row],[E. Cost]]-LocFeatures[[#This Row],[Energy gain]])</f>
        <v>#DIV/0!</v>
      </c>
    </row>
    <row r="103" spans="9:15">
      <c r="I103" s="49"/>
      <c r="M103" s="49"/>
      <c r="O103" s="54" t="e">
        <f>LocFeatures[[#This Row],[XP Train Gain]]/(LocFeatures[[#This Row],[E. Cost]]-LocFeatures[[#This Row],[Energy gain]])</f>
        <v>#DIV/0!</v>
      </c>
    </row>
    <row r="104" spans="9:15">
      <c r="I104" s="49"/>
      <c r="M104" s="49"/>
      <c r="O104" s="54" t="e">
        <f>LocFeatures[[#This Row],[XP Train Gain]]/(LocFeatures[[#This Row],[E. Cost]]-LocFeatures[[#This Row],[Energy gain]])</f>
        <v>#DIV/0!</v>
      </c>
    </row>
    <row r="105" spans="9:15">
      <c r="I105" s="49"/>
      <c r="M105" s="49"/>
      <c r="O105" s="54" t="e">
        <f>LocFeatures[[#This Row],[XP Train Gain]]/(LocFeatures[[#This Row],[E. Cost]]-LocFeatures[[#This Row],[Energy gain]])</f>
        <v>#DIV/0!</v>
      </c>
    </row>
    <row r="106" spans="9:15">
      <c r="I106" s="49"/>
      <c r="M106" s="49"/>
      <c r="O106" s="54" t="e">
        <f>LocFeatures[[#This Row],[XP Train Gain]]/(LocFeatures[[#This Row],[E. Cost]]-LocFeatures[[#This Row],[Energy gain]])</f>
        <v>#DIV/0!</v>
      </c>
    </row>
    <row r="107" spans="9:15">
      <c r="I107" s="49"/>
      <c r="M107" s="49"/>
      <c r="O107" s="54" t="e">
        <f>LocFeatures[[#This Row],[XP Train Gain]]/(LocFeatures[[#This Row],[E. Cost]]-LocFeatures[[#This Row],[Energy gain]])</f>
        <v>#DIV/0!</v>
      </c>
    </row>
    <row r="108" spans="9:15">
      <c r="I108" s="49"/>
      <c r="M108" s="49"/>
      <c r="O108" s="54" t="e">
        <f>LocFeatures[[#This Row],[XP Train Gain]]/(LocFeatures[[#This Row],[E. Cost]]-LocFeatures[[#This Row],[Energy gain]])</f>
        <v>#DIV/0!</v>
      </c>
    </row>
    <row r="109" spans="9:15">
      <c r="I109" s="49"/>
      <c r="M109" s="49"/>
      <c r="O109" s="54" t="e">
        <f>LocFeatures[[#This Row],[XP Train Gain]]/(LocFeatures[[#This Row],[E. Cost]]-LocFeatures[[#This Row],[Energy gain]])</f>
        <v>#DIV/0!</v>
      </c>
    </row>
    <row r="110" spans="9:15">
      <c r="I110" s="49"/>
      <c r="M110" s="49"/>
      <c r="O110" s="54" t="e">
        <f>LocFeatures[[#This Row],[XP Train Gain]]/(LocFeatures[[#This Row],[E. Cost]]-LocFeatures[[#This Row],[Energy gain]])</f>
        <v>#DIV/0!</v>
      </c>
    </row>
    <row r="111" spans="9:15">
      <c r="I111" s="49"/>
      <c r="M111" s="49"/>
      <c r="O111" s="54" t="e">
        <f>LocFeatures[[#This Row],[XP Train Gain]]/(LocFeatures[[#This Row],[E. Cost]]-LocFeatures[[#This Row],[Energy gain]])</f>
        <v>#DIV/0!</v>
      </c>
    </row>
    <row r="112" spans="9:15">
      <c r="I112" s="49"/>
      <c r="M112" s="49"/>
      <c r="O112" s="54" t="e">
        <f>LocFeatures[[#This Row],[XP Train Gain]]/(LocFeatures[[#This Row],[E. Cost]]-LocFeatures[[#This Row],[Energy gain]])</f>
        <v>#DIV/0!</v>
      </c>
    </row>
    <row r="113" spans="9:15">
      <c r="I113" s="49"/>
      <c r="M113" s="49"/>
      <c r="O113" s="54" t="e">
        <f>LocFeatures[[#This Row],[XP Train Gain]]/(LocFeatures[[#This Row],[E. Cost]]-LocFeatures[[#This Row],[Energy gain]])</f>
        <v>#DIV/0!</v>
      </c>
    </row>
    <row r="114" spans="9:15">
      <c r="I114" s="49"/>
      <c r="M114" s="49"/>
      <c r="O114" s="54" t="e">
        <f>LocFeatures[[#This Row],[XP Train Gain]]/(LocFeatures[[#This Row],[E. Cost]]-LocFeatures[[#This Row],[Energy gain]])</f>
        <v>#DIV/0!</v>
      </c>
    </row>
    <row r="115" spans="9:15">
      <c r="I115" s="49"/>
      <c r="M115" s="49"/>
      <c r="O115" s="54" t="e">
        <f>LocFeatures[[#This Row],[XP Train Gain]]/(LocFeatures[[#This Row],[E. Cost]]-LocFeatures[[#This Row],[Energy gain]])</f>
        <v>#DIV/0!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L743"/>
  <sheetViews>
    <sheetView workbookViewId="0">
      <pane ySplit="1" topLeftCell="A505" activePane="bottomLeft" state="frozen"/>
      <selection pane="bottomLeft" activeCell="G531" sqref="G531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1.125" bestFit="1" customWidth="1"/>
    <col min="9" max="9" width="13" bestFit="1" customWidth="1"/>
    <col min="10" max="11" width="13" customWidth="1"/>
  </cols>
  <sheetData>
    <row r="1" spans="1:12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208</v>
      </c>
      <c r="I1" t="s">
        <v>207</v>
      </c>
      <c r="J1" t="s">
        <v>216</v>
      </c>
      <c r="K1" t="s">
        <v>212</v>
      </c>
      <c r="L1" t="s">
        <v>79</v>
      </c>
    </row>
    <row r="2" spans="1:12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  <c r="J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2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  <c r="J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2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  <c r="J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2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  <c r="J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2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  <c r="J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2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  <c r="J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2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  <c r="J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2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  <c r="J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2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  <c r="J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2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  <c r="J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2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  <c r="J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2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  <c r="J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2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  <c r="J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2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  <c r="J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2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  <c r="J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1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  <c r="J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1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  <c r="J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1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  <c r="J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1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  <c r="J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1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  <c r="J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1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  <c r="J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1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  <c r="J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1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  <c r="J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1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  <c r="J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1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  <c r="J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1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  <c r="J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1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  <c r="J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1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  <c r="J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1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  <c r="J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1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  <c r="J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1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  <c r="J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1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  <c r="J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1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  <c r="J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1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  <c r="J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1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  <c r="J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1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  <c r="J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1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  <c r="J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1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  <c r="J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1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  <c r="J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1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  <c r="J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1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  <c r="J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1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  <c r="J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1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  <c r="J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1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  <c r="J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1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  <c r="J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1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  <c r="J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1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  <c r="J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1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  <c r="J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1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  <c r="J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1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  <c r="J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1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  <c r="J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1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  <c r="J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1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  <c r="J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1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  <c r="J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1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  <c r="J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1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  <c r="J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1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  <c r="J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1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  <c r="J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1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  <c r="J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1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  <c r="J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1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  <c r="J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1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  <c r="J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1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  <c r="J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1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  <c r="J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1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  <c r="J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1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  <c r="J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1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  <c r="J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1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  <c r="J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1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  <c r="J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1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  <c r="J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1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  <c r="J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1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  <c r="J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1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  <c r="J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1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  <c r="J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1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  <c r="J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1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  <c r="J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1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  <c r="J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1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  <c r="J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1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  <c r="J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1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  <c r="J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1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  <c r="J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1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  <c r="J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1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  <c r="J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1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  <c r="J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1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  <c r="J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1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  <c r="J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1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  <c r="J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1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  <c r="J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1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  <c r="J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1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  <c r="J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1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  <c r="J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1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  <c r="J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1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  <c r="J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1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  <c r="J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1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  <c r="J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1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  <c r="J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1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  <c r="J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1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  <c r="J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1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  <c r="J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1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  <c r="J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1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  <c r="J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1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  <c r="J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1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  <c r="J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1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  <c r="J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1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  <c r="J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1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  <c r="J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1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  <c r="J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1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  <c r="J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1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  <c r="J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1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  <c r="J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1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  <c r="J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1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  <c r="J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1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  <c r="J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1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  <c r="J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1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  <c r="J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1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  <c r="J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1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  <c r="J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1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  <c r="J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1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  <c r="J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1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  <c r="J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1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  <c r="J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1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  <c r="J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1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  <c r="J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1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  <c r="J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1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  <c r="J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1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  <c r="J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1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  <c r="J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1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  <c r="J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1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  <c r="J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1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  <c r="J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1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  <c r="J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1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  <c r="J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1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  <c r="J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1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  <c r="J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1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  <c r="J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1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  <c r="J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1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  <c r="J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1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  <c r="J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1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  <c r="J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1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  <c r="J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1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  <c r="J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1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  <c r="J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1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  <c r="J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1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  <c r="J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1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  <c r="J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1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  <c r="J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1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  <c r="J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1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  <c r="J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1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  <c r="J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1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  <c r="J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1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  <c r="J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1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  <c r="J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1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  <c r="J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1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  <c r="J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1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  <c r="J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1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  <c r="J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1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  <c r="J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1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  <c r="J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1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  <c r="J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1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  <c r="J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1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  <c r="J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1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  <c r="J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1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  <c r="J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1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  <c r="J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1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  <c r="J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1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  <c r="J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1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  <c r="J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1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  <c r="J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1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  <c r="J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1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  <c r="J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1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  <c r="J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1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  <c r="J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1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  <c r="J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1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  <c r="J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1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  <c r="J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1">
      <c r="A177" t="s">
        <v>8</v>
      </c>
      <c r="B177" t="s">
        <v>32</v>
      </c>
      <c r="C177">
        <v>3</v>
      </c>
      <c r="D177">
        <v>1206</v>
      </c>
      <c r="E177">
        <v>0</v>
      </c>
      <c r="J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1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  <c r="J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1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  <c r="J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1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  <c r="J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1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  <c r="J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1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  <c r="J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1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  <c r="J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1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  <c r="J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1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  <c r="J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1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  <c r="J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1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  <c r="J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1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  <c r="J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1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  <c r="J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1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  <c r="J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1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  <c r="J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1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  <c r="J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1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  <c r="J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1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  <c r="J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1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  <c r="J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1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  <c r="J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1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  <c r="J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1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  <c r="J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1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  <c r="J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1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  <c r="J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1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  <c r="J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1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  <c r="J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1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  <c r="J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1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  <c r="J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1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  <c r="J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1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  <c r="J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1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  <c r="J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1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  <c r="J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1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  <c r="J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1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  <c r="J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1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  <c r="J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1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  <c r="J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1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  <c r="J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1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  <c r="J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1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  <c r="J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1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  <c r="J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1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  <c r="J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1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  <c r="J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1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  <c r="J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1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  <c r="J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1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  <c r="J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1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  <c r="J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1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  <c r="J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1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  <c r="J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1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  <c r="J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1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  <c r="J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1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  <c r="J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1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  <c r="J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1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  <c r="J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1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  <c r="J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1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  <c r="J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1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  <c r="J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1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  <c r="J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1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  <c r="J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1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  <c r="J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1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  <c r="J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1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  <c r="J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1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  <c r="J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1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  <c r="J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1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  <c r="J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1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  <c r="J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1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  <c r="J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1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  <c r="J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1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  <c r="J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1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  <c r="J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1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  <c r="J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1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  <c r="J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1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  <c r="J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1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  <c r="J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1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  <c r="J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1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  <c r="J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1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  <c r="J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1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  <c r="J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1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  <c r="J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1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  <c r="J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1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  <c r="J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2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  <c r="J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2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  <c r="J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2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  <c r="J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2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  <c r="J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2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  <c r="J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2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  <c r="J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2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  <c r="J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2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  <c r="J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2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  <c r="J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2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  <c r="J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2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  <c r="J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2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8" s="16">
        <v>0.33078703703703705</v>
      </c>
    </row>
    <row r="269" spans="1:12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9" s="16">
        <v>0.33269675925925929</v>
      </c>
    </row>
    <row r="270" spans="1:12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  <c r="J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2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  <c r="J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2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  <c r="J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2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  <c r="J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2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74" s="16">
        <v>0.34259259259259256</v>
      </c>
    </row>
    <row r="275" spans="1:12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  <c r="J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2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  <c r="J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2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  <c r="J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2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  <c r="J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2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  <c r="J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2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  <c r="J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2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1" s="16">
        <v>0.35532407407407413</v>
      </c>
    </row>
    <row r="282" spans="1:12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2" s="16">
        <v>0.35555555555555557</v>
      </c>
    </row>
    <row r="283" spans="1:12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  <c r="J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2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  <c r="J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2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  <c r="J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2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  <c r="J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2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  <c r="J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2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  <c r="J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1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  <c r="J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1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  <c r="J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1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  <c r="J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1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  <c r="J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1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  <c r="J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1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  <c r="J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1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  <c r="J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1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  <c r="J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1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  <c r="J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1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  <c r="J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1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  <c r="J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1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  <c r="J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1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  <c r="J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1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  <c r="J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1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  <c r="J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1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  <c r="J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1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  <c r="J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1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  <c r="J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1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  <c r="J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1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  <c r="J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1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  <c r="J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1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  <c r="J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1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  <c r="J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1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  <c r="J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1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  <c r="J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1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  <c r="J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1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  <c r="J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1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  <c r="J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1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  <c r="J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1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  <c r="J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1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  <c r="J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1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  <c r="J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1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  <c r="J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1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  <c r="J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1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  <c r="J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1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  <c r="J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1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  <c r="J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1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  <c r="J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1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  <c r="J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1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  <c r="J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1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  <c r="J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1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  <c r="J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1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  <c r="J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1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  <c r="J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1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  <c r="J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1">
      <c r="A334" t="s">
        <v>204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  <c r="J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1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J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1">
      <c r="A336" t="s">
        <v>206</v>
      </c>
      <c r="B336" t="s">
        <v>9</v>
      </c>
      <c r="C336">
        <v>5</v>
      </c>
      <c r="D336">
        <v>1000</v>
      </c>
      <c r="E336">
        <v>0</v>
      </c>
      <c r="F336" t="s">
        <v>205</v>
      </c>
      <c r="G336">
        <v>5</v>
      </c>
      <c r="J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1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  <c r="J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1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  <c r="J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1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  <c r="J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1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  <c r="J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1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  <c r="J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1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  <c r="J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1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  <c r="J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1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  <c r="J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1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  <c r="J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1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  <c r="J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1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  <c r="J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1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  <c r="J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1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  <c r="J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1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  <c r="J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1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  <c r="J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1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  <c r="J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1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  <c r="J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1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  <c r="J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1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  <c r="J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1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  <c r="J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1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  <c r="J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1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  <c r="J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1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  <c r="J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1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  <c r="J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1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  <c r="J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1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  <c r="J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1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  <c r="J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1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  <c r="J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1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  <c r="J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1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  <c r="J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1">
      <c r="A367" t="s">
        <v>204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  <c r="J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1">
      <c r="A368" t="s">
        <v>204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  <c r="J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1">
      <c r="A369" t="s">
        <v>204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  <c r="J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1">
      <c r="A370" t="s">
        <v>204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  <c r="J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1">
      <c r="A371" t="s">
        <v>204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  <c r="J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1">
      <c r="A372" t="s">
        <v>204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  <c r="J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1">
      <c r="A373" t="s">
        <v>204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  <c r="J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1">
      <c r="A374" t="s">
        <v>204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  <c r="J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1">
      <c r="A375" t="s">
        <v>204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  <c r="J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1">
      <c r="A376" t="s">
        <v>204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  <c r="J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1">
      <c r="A377" t="s">
        <v>204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  <c r="J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1">
      <c r="A378" t="s">
        <v>204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  <c r="J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1">
      <c r="A379" t="s">
        <v>204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  <c r="J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1">
      <c r="A380" t="s">
        <v>204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  <c r="J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1">
      <c r="A381" t="s">
        <v>204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  <c r="J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1">
      <c r="A382" t="s">
        <v>204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  <c r="J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1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  <c r="J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1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  <c r="J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1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  <c r="J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1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  <c r="J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1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  <c r="J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1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  <c r="J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1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  <c r="J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1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  <c r="J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1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  <c r="J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1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  <c r="J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1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  <c r="J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1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  <c r="J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1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  <c r="J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1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  <c r="J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1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  <c r="J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1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  <c r="J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1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  <c r="J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1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  <c r="J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1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  <c r="J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1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  <c r="J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1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  <c r="J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1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  <c r="J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1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  <c r="J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1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  <c r="J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1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  <c r="J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1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  <c r="J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1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  <c r="J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1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  <c r="J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1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  <c r="J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1">
      <c r="A412" t="s">
        <v>8</v>
      </c>
      <c r="B412" t="s">
        <v>34</v>
      </c>
      <c r="C412">
        <v>3</v>
      </c>
      <c r="D412">
        <v>2034</v>
      </c>
      <c r="E412">
        <v>3</v>
      </c>
      <c r="H412">
        <v>1159</v>
      </c>
      <c r="I412">
        <f>DropAnalityka[[#This Row],[Sell Drop]]+IF(DropAnalityka[[#This Row],[Drop]]="Scroll", 2000*DropAnalityka[[#This Row],[Quality/Quantity]],0)</f>
        <v>1159</v>
      </c>
      <c r="J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1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H413">
        <v>0</v>
      </c>
      <c r="I413">
        <f>DropAnalityka[[#This Row],[Sell Drop]]+IF(DropAnalityka[[#This Row],[Drop]]="Scroll", 2000*DropAnalityka[[#This Row],[Quality/Quantity]],0)</f>
        <v>6000</v>
      </c>
      <c r="J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1">
      <c r="A414" t="s">
        <v>8</v>
      </c>
      <c r="B414" t="s">
        <v>34</v>
      </c>
      <c r="C414">
        <v>3</v>
      </c>
      <c r="D414">
        <v>1210</v>
      </c>
      <c r="E414">
        <v>2</v>
      </c>
      <c r="H414">
        <v>1352</v>
      </c>
      <c r="I414">
        <f>DropAnalityka[[#This Row],[Sell Drop]]+IF(DropAnalityka[[#This Row],[Drop]]="Scroll", 2000*DropAnalityka[[#This Row],[Quality/Quantity]],0)</f>
        <v>1352</v>
      </c>
      <c r="J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1">
      <c r="A415" t="s">
        <v>8</v>
      </c>
      <c r="B415" t="s">
        <v>34</v>
      </c>
      <c r="C415">
        <v>3</v>
      </c>
      <c r="D415">
        <v>1838</v>
      </c>
      <c r="E415">
        <v>0</v>
      </c>
      <c r="H415">
        <v>1159</v>
      </c>
      <c r="I415">
        <f>DropAnalityka[[#This Row],[Sell Drop]]+IF(DropAnalityka[[#This Row],[Drop]]="Scroll", 2000*DropAnalityka[[#This Row],[Quality/Quantity]],0)</f>
        <v>1159</v>
      </c>
      <c r="J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1">
      <c r="A416" t="s">
        <v>8</v>
      </c>
      <c r="B416" t="s">
        <v>34</v>
      </c>
      <c r="C416">
        <v>3</v>
      </c>
      <c r="D416">
        <v>1620</v>
      </c>
      <c r="E416">
        <v>1</v>
      </c>
      <c r="H416">
        <v>1159</v>
      </c>
      <c r="I416">
        <f>DropAnalityka[[#This Row],[Sell Drop]]+IF(DropAnalityka[[#This Row],[Drop]]="Scroll", 2000*DropAnalityka[[#This Row],[Quality/Quantity]],0)</f>
        <v>1159</v>
      </c>
      <c r="J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1">
      <c r="A417" t="s">
        <v>8</v>
      </c>
      <c r="B417" t="s">
        <v>34</v>
      </c>
      <c r="C417">
        <v>3</v>
      </c>
      <c r="D417">
        <v>1629</v>
      </c>
      <c r="E417">
        <v>1</v>
      </c>
      <c r="H417">
        <v>2750</v>
      </c>
      <c r="I417">
        <f>DropAnalityka[[#This Row],[Sell Drop]]+IF(DropAnalityka[[#This Row],[Drop]]="Scroll", 2000*DropAnalityka[[#This Row],[Quality/Quantity]],0)</f>
        <v>2750</v>
      </c>
      <c r="J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1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H418">
        <v>0</v>
      </c>
      <c r="I418">
        <f>DropAnalityka[[#This Row],[Sell Drop]]+IF(DropAnalityka[[#This Row],[Drop]]="Scroll", 2000*DropAnalityka[[#This Row],[Quality/Quantity]],0)</f>
        <v>6000</v>
      </c>
      <c r="J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1">
      <c r="A419" t="s">
        <v>8</v>
      </c>
      <c r="B419" t="s">
        <v>34</v>
      </c>
      <c r="C419">
        <v>3</v>
      </c>
      <c r="D419">
        <v>1637</v>
      </c>
      <c r="E419">
        <v>0</v>
      </c>
      <c r="H419">
        <v>1352</v>
      </c>
      <c r="I419">
        <f>DropAnalityka[[#This Row],[Sell Drop]]+IF(DropAnalityka[[#This Row],[Drop]]="Scroll", 2000*DropAnalityka[[#This Row],[Quality/Quantity]],0)</f>
        <v>1352</v>
      </c>
      <c r="J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1">
      <c r="A420" t="s">
        <v>8</v>
      </c>
      <c r="B420" t="s">
        <v>34</v>
      </c>
      <c r="C420">
        <v>3</v>
      </c>
      <c r="D420">
        <v>1846</v>
      </c>
      <c r="E420">
        <v>1</v>
      </c>
      <c r="H420">
        <v>1159</v>
      </c>
      <c r="I420">
        <f>DropAnalityka[[#This Row],[Sell Drop]]+IF(DropAnalityka[[#This Row],[Drop]]="Scroll", 2000*DropAnalityka[[#This Row],[Quality/Quantity]],0)</f>
        <v>1159</v>
      </c>
      <c r="J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1">
      <c r="A421" t="s">
        <v>8</v>
      </c>
      <c r="B421" t="s">
        <v>34</v>
      </c>
      <c r="C421">
        <v>3</v>
      </c>
      <c r="D421">
        <v>1617</v>
      </c>
      <c r="E421">
        <v>1</v>
      </c>
      <c r="H421">
        <v>2756</v>
      </c>
      <c r="I421">
        <f>DropAnalityka[[#This Row],[Sell Drop]]+IF(DropAnalityka[[#This Row],[Drop]]="Scroll", 2000*DropAnalityka[[#This Row],[Quality/Quantity]],0)</f>
        <v>2756</v>
      </c>
      <c r="J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1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H422">
        <v>0</v>
      </c>
      <c r="I422">
        <f>DropAnalityka[[#This Row],[Sell Drop]]+IF(DropAnalityka[[#This Row],[Drop]]="Scroll", 2000*DropAnalityka[[#This Row],[Quality/Quantity]],0)</f>
        <v>6000</v>
      </c>
      <c r="J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1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H423">
        <v>0</v>
      </c>
      <c r="I423">
        <f>DropAnalityka[[#This Row],[Sell Drop]]+IF(DropAnalityka[[#This Row],[Drop]]="Scroll", 2000*DropAnalityka[[#This Row],[Quality/Quantity]],0)</f>
        <v>6000</v>
      </c>
      <c r="J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1">
      <c r="A424" t="s">
        <v>8</v>
      </c>
      <c r="B424" t="s">
        <v>34</v>
      </c>
      <c r="C424">
        <v>3</v>
      </c>
      <c r="D424">
        <v>1990</v>
      </c>
      <c r="E424">
        <v>0</v>
      </c>
      <c r="H424">
        <v>1159</v>
      </c>
      <c r="I424">
        <f>DropAnalityka[[#This Row],[Sell Drop]]+IF(DropAnalityka[[#This Row],[Drop]]="Scroll", 2000*DropAnalityka[[#This Row],[Quality/Quantity]],0)</f>
        <v>1159</v>
      </c>
      <c r="J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1">
      <c r="A425" t="s">
        <v>8</v>
      </c>
      <c r="B425" t="s">
        <v>34</v>
      </c>
      <c r="C425">
        <v>3</v>
      </c>
      <c r="D425">
        <v>1186</v>
      </c>
      <c r="E425">
        <v>1</v>
      </c>
      <c r="H425">
        <v>2756</v>
      </c>
      <c r="I425">
        <f>DropAnalityka[[#This Row],[Sell Drop]]+IF(DropAnalityka[[#This Row],[Drop]]="Scroll", 2000*DropAnalityka[[#This Row],[Quality/Quantity]],0)</f>
        <v>2756</v>
      </c>
      <c r="J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1">
      <c r="A426" t="s">
        <v>8</v>
      </c>
      <c r="B426" t="s">
        <v>34</v>
      </c>
      <c r="C426">
        <v>3</v>
      </c>
      <c r="D426">
        <v>1193</v>
      </c>
      <c r="E426">
        <v>2</v>
      </c>
      <c r="H426">
        <v>1159</v>
      </c>
      <c r="I426">
        <f>DropAnalityka[[#This Row],[Sell Drop]]+IF(DropAnalityka[[#This Row],[Drop]]="Scroll", 2000*DropAnalityka[[#This Row],[Quality/Quantity]],0)</f>
        <v>1159</v>
      </c>
      <c r="J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1">
      <c r="A427" t="s">
        <v>8</v>
      </c>
      <c r="B427" t="s">
        <v>34</v>
      </c>
      <c r="C427">
        <v>3</v>
      </c>
      <c r="D427">
        <v>1223</v>
      </c>
      <c r="E427">
        <v>0</v>
      </c>
      <c r="H427">
        <v>2067</v>
      </c>
      <c r="I427">
        <f>DropAnalityka[[#This Row],[Sell Drop]]+IF(DropAnalityka[[#This Row],[Drop]]="Scroll", 2000*DropAnalityka[[#This Row],[Quality/Quantity]],0)</f>
        <v>2067</v>
      </c>
      <c r="J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1">
      <c r="A428" t="s">
        <v>8</v>
      </c>
      <c r="B428" t="s">
        <v>34</v>
      </c>
      <c r="C428">
        <v>3</v>
      </c>
      <c r="D428">
        <v>1833</v>
      </c>
      <c r="E428">
        <v>0</v>
      </c>
      <c r="H428">
        <v>2067</v>
      </c>
      <c r="I428">
        <f>DropAnalityka[[#This Row],[Sell Drop]]+IF(DropAnalityka[[#This Row],[Drop]]="Scroll", 2000*DropAnalityka[[#This Row],[Quality/Quantity]],0)</f>
        <v>2067</v>
      </c>
      <c r="J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1">
      <c r="A429" t="s">
        <v>8</v>
      </c>
      <c r="B429" t="s">
        <v>34</v>
      </c>
      <c r="C429">
        <v>3</v>
      </c>
      <c r="D429">
        <v>1601</v>
      </c>
      <c r="E429">
        <v>1</v>
      </c>
      <c r="H429">
        <v>2067</v>
      </c>
      <c r="I429">
        <f>DropAnalityka[[#This Row],[Sell Drop]]+IF(DropAnalityka[[#This Row],[Drop]]="Scroll", 2000*DropAnalityka[[#This Row],[Quality/Quantity]],0)</f>
        <v>2067</v>
      </c>
      <c r="J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1">
      <c r="A430" t="s">
        <v>8</v>
      </c>
      <c r="B430" t="s">
        <v>34</v>
      </c>
      <c r="C430">
        <v>3</v>
      </c>
      <c r="D430">
        <v>1381</v>
      </c>
      <c r="E430">
        <v>0</v>
      </c>
      <c r="H430">
        <v>2067</v>
      </c>
      <c r="I430">
        <f>DropAnalityka[[#This Row],[Sell Drop]]+IF(DropAnalityka[[#This Row],[Drop]]="Scroll", 2000*DropAnalityka[[#This Row],[Quality/Quantity]],0)</f>
        <v>2067</v>
      </c>
      <c r="J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1">
      <c r="A431" t="s">
        <v>8</v>
      </c>
      <c r="B431" t="s">
        <v>34</v>
      </c>
      <c r="C431">
        <v>3</v>
      </c>
      <c r="D431">
        <v>1472</v>
      </c>
      <c r="E431">
        <v>3</v>
      </c>
      <c r="H431">
        <v>1159</v>
      </c>
      <c r="I431">
        <f>DropAnalityka[[#This Row],[Sell Drop]]+IF(DropAnalityka[[#This Row],[Drop]]="Scroll", 2000*DropAnalityka[[#This Row],[Quality/Quantity]],0)</f>
        <v>1159</v>
      </c>
      <c r="J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1">
      <c r="A432" t="s">
        <v>8</v>
      </c>
      <c r="B432" t="s">
        <v>34</v>
      </c>
      <c r="C432">
        <v>3</v>
      </c>
      <c r="D432">
        <v>1210</v>
      </c>
      <c r="E432">
        <v>1</v>
      </c>
      <c r="H432">
        <v>1159</v>
      </c>
      <c r="I432">
        <f>DropAnalityka[[#This Row],[Sell Drop]]+IF(DropAnalityka[[#This Row],[Drop]]="Scroll", 2000*DropAnalityka[[#This Row],[Quality/Quantity]],0)</f>
        <v>1159</v>
      </c>
      <c r="J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1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H433">
        <v>0</v>
      </c>
      <c r="I433">
        <f>DropAnalityka[[#This Row],[Sell Drop]]+IF(DropAnalityka[[#This Row],[Drop]]="Scroll", 2000*DropAnalityka[[#This Row],[Quality/Quantity]],0)</f>
        <v>0</v>
      </c>
      <c r="J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1">
      <c r="A434" t="s">
        <v>8</v>
      </c>
      <c r="B434" t="s">
        <v>34</v>
      </c>
      <c r="C434">
        <v>3</v>
      </c>
      <c r="D434">
        <v>1035</v>
      </c>
      <c r="E434">
        <v>1</v>
      </c>
      <c r="H434">
        <v>2067</v>
      </c>
      <c r="I434">
        <f>DropAnalityka[[#This Row],[Sell Drop]]+IF(DropAnalityka[[#This Row],[Drop]]="Scroll", 2000*DropAnalityka[[#This Row],[Quality/Quantity]],0)</f>
        <v>2067</v>
      </c>
      <c r="J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1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H435">
        <v>0</v>
      </c>
      <c r="I435">
        <f>DropAnalityka[[#This Row],[Sell Drop]]+IF(DropAnalityka[[#This Row],[Drop]]="Scroll", 2000*DropAnalityka[[#This Row],[Quality/Quantity]],0)</f>
        <v>6000</v>
      </c>
      <c r="J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1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H436">
        <v>0</v>
      </c>
      <c r="I436">
        <f>DropAnalityka[[#This Row],[Sell Drop]]+IF(DropAnalityka[[#This Row],[Drop]]="Scroll", 2000*DropAnalityka[[#This Row],[Quality/Quantity]],0)</f>
        <v>6000</v>
      </c>
      <c r="J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1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I437">
        <f>DropAnalityka[[#This Row],[Sell Drop]]+IF(DropAnalityka[[#This Row],[Drop]]="Scroll", 2000*DropAnalityka[[#This Row],[Quality/Quantity]],0)</f>
        <v>6000</v>
      </c>
      <c r="J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1">
      <c r="A438" t="s">
        <v>211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H438">
        <v>0</v>
      </c>
      <c r="I438">
        <f>DropAnalityka[[#This Row],[Sell Drop]]+IF(DropAnalityka[[#This Row],[Drop]]="Scroll", 2000*DropAnalityka[[#This Row],[Quality/Quantity]],0)</f>
        <v>6000</v>
      </c>
      <c r="J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1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H439">
        <v>0</v>
      </c>
      <c r="I439">
        <f>DropAnalityka[[#This Row],[Sell Drop]]+IF(DropAnalityka[[#This Row],[Drop]]="Scroll", 2000*DropAnalityka[[#This Row],[Quality/Quantity]],0)</f>
        <v>6000</v>
      </c>
      <c r="J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1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H440">
        <v>0</v>
      </c>
      <c r="I440">
        <f>DropAnalityka[[#This Row],[Sell Drop]]+IF(DropAnalityka[[#This Row],[Drop]]="Scroll", 2000*DropAnalityka[[#This Row],[Quality/Quantity]],0)</f>
        <v>0</v>
      </c>
      <c r="J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1">
      <c r="A441" t="s">
        <v>8</v>
      </c>
      <c r="B441" t="s">
        <v>34</v>
      </c>
      <c r="C441">
        <v>3</v>
      </c>
      <c r="D441">
        <v>1217</v>
      </c>
      <c r="E441">
        <v>0</v>
      </c>
      <c r="H441">
        <v>1159</v>
      </c>
      <c r="I441">
        <f>DropAnalityka[[#This Row],[Sell Drop]]+IF(DropAnalityka[[#This Row],[Drop]]="Scroll", 2000*DropAnalityka[[#This Row],[Quality/Quantity]],0)</f>
        <v>1159</v>
      </c>
      <c r="J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1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I442">
        <f>DropAnalityka[[#This Row],[Sell Drop]]+IF(DropAnalityka[[#This Row],[Drop]]="Scroll", 2000*DropAnalityka[[#This Row],[Quality/Quantity]],0)</f>
        <v>0</v>
      </c>
      <c r="J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1">
      <c r="A443" t="s">
        <v>8</v>
      </c>
      <c r="B443" t="s">
        <v>34</v>
      </c>
      <c r="C443">
        <v>3</v>
      </c>
      <c r="D443">
        <v>1200</v>
      </c>
      <c r="E443">
        <v>1</v>
      </c>
      <c r="H443">
        <v>1546</v>
      </c>
      <c r="I443">
        <f>DropAnalityka[[#This Row],[Sell Drop]]+IF(DropAnalityka[[#This Row],[Drop]]="Scroll", 2000*DropAnalityka[[#This Row],[Quality/Quantity]],0)</f>
        <v>1546</v>
      </c>
      <c r="J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1">
      <c r="A444" t="s">
        <v>8</v>
      </c>
      <c r="B444" t="s">
        <v>34</v>
      </c>
      <c r="C444">
        <v>3</v>
      </c>
      <c r="D444">
        <v>2084</v>
      </c>
      <c r="E444">
        <v>1</v>
      </c>
      <c r="H444">
        <v>1159</v>
      </c>
      <c r="I444">
        <f>DropAnalityka[[#This Row],[Sell Drop]]+IF(DropAnalityka[[#This Row],[Drop]]="Scroll", 2000*DropAnalityka[[#This Row],[Quality/Quantity]],0)</f>
        <v>1159</v>
      </c>
      <c r="J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1">
      <c r="A445" t="s">
        <v>8</v>
      </c>
      <c r="B445" t="s">
        <v>34</v>
      </c>
      <c r="C445">
        <v>3</v>
      </c>
      <c r="D445">
        <v>1041</v>
      </c>
      <c r="E445">
        <v>2</v>
      </c>
      <c r="H445">
        <v>1159</v>
      </c>
      <c r="I445">
        <f>DropAnalityka[[#This Row],[Sell Drop]]+IF(DropAnalityka[[#This Row],[Drop]]="Scroll", 2000*DropAnalityka[[#This Row],[Quality/Quantity]],0)</f>
        <v>1159</v>
      </c>
      <c r="J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1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H446">
        <v>0</v>
      </c>
      <c r="I446">
        <f>DropAnalityka[[#This Row],[Sell Drop]]+IF(DropAnalityka[[#This Row],[Drop]]="Scroll", 2000*DropAnalityka[[#This Row],[Quality/Quantity]],0)</f>
        <v>6000</v>
      </c>
      <c r="J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1">
      <c r="A447" t="s">
        <v>8</v>
      </c>
      <c r="B447" t="s">
        <v>34</v>
      </c>
      <c r="C447">
        <v>3</v>
      </c>
      <c r="D447">
        <v>1203</v>
      </c>
      <c r="E447">
        <v>0</v>
      </c>
      <c r="H447">
        <v>1159</v>
      </c>
      <c r="I447">
        <f>DropAnalityka[[#This Row],[Sell Drop]]+IF(DropAnalityka[[#This Row],[Drop]]="Scroll", 2000*DropAnalityka[[#This Row],[Quality/Quantity]],0)</f>
        <v>1159</v>
      </c>
      <c r="J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1">
      <c r="A448" t="s">
        <v>8</v>
      </c>
      <c r="B448" t="s">
        <v>34</v>
      </c>
      <c r="C448">
        <v>3</v>
      </c>
      <c r="D448">
        <v>1265</v>
      </c>
      <c r="E448">
        <v>0</v>
      </c>
      <c r="H448">
        <v>1159</v>
      </c>
      <c r="I448">
        <f>DropAnalityka[[#This Row],[Sell Drop]]+IF(DropAnalityka[[#This Row],[Drop]]="Scroll", 2000*DropAnalityka[[#This Row],[Quality/Quantity]],0)</f>
        <v>1159</v>
      </c>
      <c r="J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1">
      <c r="A449" t="s">
        <v>8</v>
      </c>
      <c r="B449" t="s">
        <v>34</v>
      </c>
      <c r="C449">
        <v>3</v>
      </c>
      <c r="D449">
        <v>1133</v>
      </c>
      <c r="E449">
        <v>0</v>
      </c>
      <c r="H449">
        <v>1159</v>
      </c>
      <c r="I449">
        <f>DropAnalityka[[#This Row],[Sell Drop]]+IF(DropAnalityka[[#This Row],[Drop]]="Scroll", 2000*DropAnalityka[[#This Row],[Quality/Quantity]],0)</f>
        <v>1159</v>
      </c>
      <c r="J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1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H450">
        <v>0</v>
      </c>
      <c r="I450">
        <f>DropAnalityka[[#This Row],[Sell Drop]]+IF(DropAnalityka[[#This Row],[Drop]]="Scroll", 2000*DropAnalityka[[#This Row],[Quality/Quantity]],0)</f>
        <v>0</v>
      </c>
      <c r="J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1">
      <c r="A451" t="s">
        <v>8</v>
      </c>
      <c r="B451" t="s">
        <v>34</v>
      </c>
      <c r="C451">
        <v>3</v>
      </c>
      <c r="D451">
        <v>2246</v>
      </c>
      <c r="E451">
        <v>1</v>
      </c>
      <c r="H451">
        <v>2067</v>
      </c>
      <c r="I451">
        <f>DropAnalityka[[#This Row],[Sell Drop]]+IF(DropAnalityka[[#This Row],[Drop]]="Scroll", 2000*DropAnalityka[[#This Row],[Quality/Quantity]],0)</f>
        <v>2067</v>
      </c>
      <c r="J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1">
      <c r="A452" t="s">
        <v>8</v>
      </c>
      <c r="B452" t="s">
        <v>34</v>
      </c>
      <c r="C452">
        <v>3</v>
      </c>
      <c r="D452">
        <v>1423</v>
      </c>
      <c r="E452">
        <v>2</v>
      </c>
      <c r="H452">
        <v>1159</v>
      </c>
      <c r="I452">
        <f>DropAnalityka[[#This Row],[Sell Drop]]+IF(DropAnalityka[[#This Row],[Drop]]="Scroll", 2000*DropAnalityka[[#This Row],[Quality/Quantity]],0)</f>
        <v>1159</v>
      </c>
      <c r="J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1">
      <c r="A453" t="s">
        <v>8</v>
      </c>
      <c r="B453" t="s">
        <v>34</v>
      </c>
      <c r="C453">
        <v>3</v>
      </c>
      <c r="D453">
        <v>1858</v>
      </c>
      <c r="E453">
        <v>0</v>
      </c>
      <c r="H453">
        <v>2067</v>
      </c>
      <c r="I453">
        <f>DropAnalityka[[#This Row],[Sell Drop]]+IF(DropAnalityka[[#This Row],[Drop]]="Scroll", 2000*DropAnalityka[[#This Row],[Quality/Quantity]],0)</f>
        <v>2067</v>
      </c>
      <c r="J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1">
      <c r="A454" t="s">
        <v>8</v>
      </c>
      <c r="B454" t="s">
        <v>34</v>
      </c>
      <c r="C454">
        <v>3</v>
      </c>
      <c r="D454">
        <v>1423</v>
      </c>
      <c r="E454">
        <v>1</v>
      </c>
      <c r="H454">
        <v>1546</v>
      </c>
      <c r="I454">
        <f>DropAnalityka[[#This Row],[Sell Drop]]+IF(DropAnalityka[[#This Row],[Drop]]="Scroll", 2000*DropAnalityka[[#This Row],[Quality/Quantity]],0)</f>
        <v>1546</v>
      </c>
      <c r="J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1">
      <c r="A455" t="s">
        <v>8</v>
      </c>
      <c r="B455" t="s">
        <v>34</v>
      </c>
      <c r="C455">
        <v>3</v>
      </c>
      <c r="D455">
        <v>2042</v>
      </c>
      <c r="E455">
        <v>1</v>
      </c>
      <c r="H455">
        <v>1159</v>
      </c>
      <c r="I455">
        <f>DropAnalityka[[#This Row],[Sell Drop]]+IF(DropAnalityka[[#This Row],[Drop]]="Scroll", 2000*DropAnalityka[[#This Row],[Quality/Quantity]],0)</f>
        <v>1159</v>
      </c>
      <c r="J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1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H456">
        <v>0</v>
      </c>
      <c r="I456">
        <f>DropAnalityka[[#This Row],[Sell Drop]]+IF(DropAnalityka[[#This Row],[Drop]]="Scroll", 2000*DropAnalityka[[#This Row],[Quality/Quantity]],0)</f>
        <v>0</v>
      </c>
      <c r="J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1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H457">
        <v>0</v>
      </c>
      <c r="I457">
        <f>DropAnalityka[[#This Row],[Sell Drop]]+IF(DropAnalityka[[#This Row],[Drop]]="Scroll", 2000*DropAnalityka[[#This Row],[Quality/Quantity]],0)</f>
        <v>0</v>
      </c>
      <c r="J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1">
      <c r="A458" t="s">
        <v>8</v>
      </c>
      <c r="B458" t="s">
        <v>34</v>
      </c>
      <c r="C458">
        <v>3</v>
      </c>
      <c r="D458">
        <v>1699</v>
      </c>
      <c r="E458">
        <v>1</v>
      </c>
      <c r="H458">
        <v>2067</v>
      </c>
      <c r="I458">
        <f>DropAnalityka[[#This Row],[Sell Drop]]+IF(DropAnalityka[[#This Row],[Drop]]="Scroll", 2000*DropAnalityka[[#This Row],[Quality/Quantity]],0)</f>
        <v>2067</v>
      </c>
      <c r="J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1">
      <c r="A459" t="s">
        <v>8</v>
      </c>
      <c r="B459" t="s">
        <v>34</v>
      </c>
      <c r="C459">
        <v>3</v>
      </c>
      <c r="D459">
        <v>1916</v>
      </c>
      <c r="E459">
        <v>1</v>
      </c>
      <c r="H459">
        <v>1159</v>
      </c>
      <c r="I459">
        <f>DropAnalityka[[#This Row],[Sell Drop]]+IF(DropAnalityka[[#This Row],[Drop]]="Scroll", 2000*DropAnalityka[[#This Row],[Quality/Quantity]],0)</f>
        <v>1159</v>
      </c>
      <c r="J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1">
      <c r="A460" t="s">
        <v>8</v>
      </c>
      <c r="B460" t="s">
        <v>34</v>
      </c>
      <c r="C460">
        <v>3</v>
      </c>
      <c r="D460">
        <v>2501</v>
      </c>
      <c r="E460">
        <v>0</v>
      </c>
      <c r="H460">
        <v>2067</v>
      </c>
      <c r="I460">
        <f>DropAnalityka[[#This Row],[Sell Drop]]+IF(DropAnalityka[[#This Row],[Drop]]="Scroll", 2000*DropAnalityka[[#This Row],[Quality/Quantity]],0)</f>
        <v>2067</v>
      </c>
      <c r="J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1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I461">
        <f>DropAnalityka[[#This Row],[Sell Drop]]+IF(DropAnalityka[[#This Row],[Drop]]="Scroll", 2000*DropAnalityka[[#This Row],[Quality/Quantity]],0)</f>
        <v>6000</v>
      </c>
      <c r="J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1">
      <c r="A462" t="s">
        <v>8</v>
      </c>
      <c r="B462" t="s">
        <v>34</v>
      </c>
      <c r="C462">
        <v>3</v>
      </c>
      <c r="D462">
        <v>1215</v>
      </c>
      <c r="E462">
        <v>0</v>
      </c>
      <c r="H462">
        <v>1159</v>
      </c>
      <c r="I462">
        <f>DropAnalityka[[#This Row],[Sell Drop]]+IF(DropAnalityka[[#This Row],[Drop]]="Scroll", 2000*DropAnalityka[[#This Row],[Quality/Quantity]],0)</f>
        <v>1159</v>
      </c>
      <c r="J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1">
      <c r="A463" t="s">
        <v>8</v>
      </c>
      <c r="B463" t="s">
        <v>34</v>
      </c>
      <c r="C463">
        <v>3</v>
      </c>
      <c r="D463">
        <v>422</v>
      </c>
      <c r="E463">
        <v>1</v>
      </c>
      <c r="H463">
        <v>2756</v>
      </c>
      <c r="I463">
        <f>DropAnalityka[[#This Row],[Sell Drop]]+IF(DropAnalityka[[#This Row],[Drop]]="Scroll", 2000*DropAnalityka[[#This Row],[Quality/Quantity]],0)</f>
        <v>2756</v>
      </c>
      <c r="J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1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H464">
        <v>0</v>
      </c>
      <c r="I464">
        <f>DropAnalityka[[#This Row],[Sell Drop]]+IF(DropAnalityka[[#This Row],[Drop]]="Scroll", 2000*DropAnalityka[[#This Row],[Quality/Quantity]],0)</f>
        <v>0</v>
      </c>
      <c r="J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1">
      <c r="A465" t="s">
        <v>8</v>
      </c>
      <c r="B465" t="s">
        <v>34</v>
      </c>
      <c r="C465">
        <v>3</v>
      </c>
      <c r="D465">
        <v>821</v>
      </c>
      <c r="E465">
        <v>1</v>
      </c>
      <c r="H465">
        <v>1159</v>
      </c>
      <c r="I465">
        <f>DropAnalityka[[#This Row],[Sell Drop]]+IF(DropAnalityka[[#This Row],[Drop]]="Scroll", 2000*DropAnalityka[[#This Row],[Quality/Quantity]],0)</f>
        <v>1159</v>
      </c>
      <c r="J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1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H466">
        <v>0</v>
      </c>
      <c r="I466">
        <f>DropAnalityka[[#This Row],[Sell Drop]]+IF(DropAnalityka[[#This Row],[Drop]]="Scroll", 2000*DropAnalityka[[#This Row],[Quality/Quantity]],0)</f>
        <v>0</v>
      </c>
      <c r="J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1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H467">
        <v>0</v>
      </c>
      <c r="I467">
        <f>DropAnalityka[[#This Row],[Sell Drop]]+IF(DropAnalityka[[#This Row],[Drop]]="Scroll", 2000*DropAnalityka[[#This Row],[Quality/Quantity]],0)</f>
        <v>0</v>
      </c>
      <c r="J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1">
      <c r="A468" t="s">
        <v>8</v>
      </c>
      <c r="B468" t="s">
        <v>34</v>
      </c>
      <c r="C468">
        <v>3</v>
      </c>
      <c r="D468">
        <v>1395</v>
      </c>
      <c r="E468">
        <v>2</v>
      </c>
      <c r="H468">
        <v>1159</v>
      </c>
      <c r="I468">
        <f>DropAnalityka[[#This Row],[Sell Drop]]+IF(DropAnalityka[[#This Row],[Drop]]="Scroll", 2000*DropAnalityka[[#This Row],[Quality/Quantity]],0)</f>
        <v>1159</v>
      </c>
      <c r="J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1">
      <c r="A469" t="s">
        <v>8</v>
      </c>
      <c r="B469" t="s">
        <v>34</v>
      </c>
      <c r="C469">
        <v>3</v>
      </c>
      <c r="D469">
        <v>1292</v>
      </c>
      <c r="E469">
        <v>2</v>
      </c>
      <c r="H469">
        <v>1159</v>
      </c>
      <c r="I469">
        <f>DropAnalityka[[#This Row],[Sell Drop]]+IF(DropAnalityka[[#This Row],[Drop]]="Scroll", 2000*DropAnalityka[[#This Row],[Quality/Quantity]],0)</f>
        <v>1159</v>
      </c>
      <c r="J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1">
      <c r="A470" t="s">
        <v>8</v>
      </c>
      <c r="B470" t="s">
        <v>34</v>
      </c>
      <c r="C470">
        <v>3</v>
      </c>
      <c r="D470">
        <v>1574</v>
      </c>
      <c r="E470">
        <v>0</v>
      </c>
      <c r="H470">
        <v>1159</v>
      </c>
      <c r="I470">
        <f>DropAnalityka[[#This Row],[Sell Drop]]+IF(DropAnalityka[[#This Row],[Drop]]="Scroll", 2000*DropAnalityka[[#This Row],[Quality/Quantity]],0)</f>
        <v>1159</v>
      </c>
      <c r="J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1">
      <c r="A471" t="s">
        <v>8</v>
      </c>
      <c r="B471" t="s">
        <v>34</v>
      </c>
      <c r="C471">
        <v>3</v>
      </c>
      <c r="D471">
        <v>1388</v>
      </c>
      <c r="E471">
        <v>0</v>
      </c>
      <c r="H471">
        <v>1159</v>
      </c>
      <c r="I471">
        <f>DropAnalityka[[#This Row],[Sell Drop]]+IF(DropAnalityka[[#This Row],[Drop]]="Scroll", 2000*DropAnalityka[[#This Row],[Quality/Quantity]],0)</f>
        <v>1159</v>
      </c>
      <c r="J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1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H472">
        <v>0</v>
      </c>
      <c r="I472">
        <f>DropAnalityka[[#This Row],[Sell Drop]]+IF(DropAnalityka[[#This Row],[Drop]]="Scroll", 2000*DropAnalityka[[#This Row],[Quality/Quantity]],0)</f>
        <v>6000</v>
      </c>
      <c r="J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1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H473">
        <v>0</v>
      </c>
      <c r="I473">
        <f>DropAnalityka[[#This Row],[Sell Drop]]+IF(DropAnalityka[[#This Row],[Drop]]="Scroll", 2000*DropAnalityka[[#This Row],[Quality/Quantity]],0)</f>
        <v>0</v>
      </c>
      <c r="J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1">
      <c r="A474" t="s">
        <v>8</v>
      </c>
      <c r="B474" t="s">
        <v>34</v>
      </c>
      <c r="C474">
        <v>3</v>
      </c>
      <c r="D474">
        <v>1225</v>
      </c>
      <c r="E474">
        <v>0</v>
      </c>
      <c r="H474">
        <v>2411</v>
      </c>
      <c r="I474">
        <f>DropAnalityka[[#This Row],[Sell Drop]]+IF(DropAnalityka[[#This Row],[Drop]]="Scroll", 2000*DropAnalityka[[#This Row],[Quality/Quantity]],0)</f>
        <v>2411</v>
      </c>
      <c r="J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1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I475">
        <f>DropAnalityka[[#This Row],[Sell Drop]]+IF(DropAnalityka[[#This Row],[Drop]]="Scroll", 2000*DropAnalityka[[#This Row],[Quality/Quantity]],0)</f>
        <v>0</v>
      </c>
      <c r="J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1">
      <c r="A476" t="s">
        <v>8</v>
      </c>
      <c r="B476" t="s">
        <v>34</v>
      </c>
      <c r="C476">
        <v>3</v>
      </c>
      <c r="D476">
        <v>1149</v>
      </c>
      <c r="E476">
        <v>2</v>
      </c>
      <c r="H476">
        <v>1159</v>
      </c>
      <c r="I476">
        <f>DropAnalityka[[#This Row],[Sell Drop]]+IF(DropAnalityka[[#This Row],[Drop]]="Scroll", 2000*DropAnalityka[[#This Row],[Quality/Quantity]],0)</f>
        <v>1159</v>
      </c>
      <c r="J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1">
      <c r="A477" t="s">
        <v>8</v>
      </c>
      <c r="B477" t="s">
        <v>34</v>
      </c>
      <c r="C477">
        <v>3</v>
      </c>
      <c r="D477">
        <v>1186</v>
      </c>
      <c r="E477">
        <v>1</v>
      </c>
      <c r="H477">
        <v>2067</v>
      </c>
      <c r="I477">
        <f>DropAnalityka[[#This Row],[Sell Drop]]+IF(DropAnalityka[[#This Row],[Drop]]="Scroll", 2000*DropAnalityka[[#This Row],[Quality/Quantity]],0)</f>
        <v>2067</v>
      </c>
      <c r="J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1">
      <c r="A478" t="s">
        <v>8</v>
      </c>
      <c r="B478" t="s">
        <v>34</v>
      </c>
      <c r="C478">
        <v>3</v>
      </c>
      <c r="D478">
        <v>1366</v>
      </c>
      <c r="E478">
        <v>1</v>
      </c>
      <c r="H478">
        <v>2411</v>
      </c>
      <c r="I478">
        <f>DropAnalityka[[#This Row],[Sell Drop]]+IF(DropAnalityka[[#This Row],[Drop]]="Scroll", 2000*DropAnalityka[[#This Row],[Quality/Quantity]],0)</f>
        <v>2411</v>
      </c>
      <c r="J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1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H479">
        <v>0</v>
      </c>
      <c r="I479">
        <f>DropAnalityka[[#This Row],[Sell Drop]]+IF(DropAnalityka[[#This Row],[Drop]]="Scroll", 2000*DropAnalityka[[#This Row],[Quality/Quantity]],0)</f>
        <v>0</v>
      </c>
      <c r="J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1">
      <c r="A480" t="s">
        <v>8</v>
      </c>
      <c r="B480" t="s">
        <v>34</v>
      </c>
      <c r="C480">
        <v>3</v>
      </c>
      <c r="D480">
        <v>2050</v>
      </c>
      <c r="E480">
        <v>1</v>
      </c>
      <c r="H480">
        <v>2067</v>
      </c>
      <c r="I480">
        <f>DropAnalityka[[#This Row],[Sell Drop]]+IF(DropAnalityka[[#This Row],[Drop]]="Scroll", 2000*DropAnalityka[[#This Row],[Quality/Quantity]],0)</f>
        <v>2067</v>
      </c>
      <c r="J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1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I481">
        <f>DropAnalityka[[#This Row],[Sell Drop]]+IF(DropAnalityka[[#This Row],[Drop]]="Scroll", 2000*DropAnalityka[[#This Row],[Quality/Quantity]],0)</f>
        <v>0</v>
      </c>
      <c r="J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1">
      <c r="A482" t="s">
        <v>8</v>
      </c>
      <c r="B482" t="s">
        <v>34</v>
      </c>
      <c r="C482">
        <v>3</v>
      </c>
      <c r="D482">
        <v>1086</v>
      </c>
      <c r="E482">
        <v>0</v>
      </c>
      <c r="H482">
        <v>1546</v>
      </c>
      <c r="I482">
        <f>DropAnalityka[[#This Row],[Sell Drop]]+IF(DropAnalityka[[#This Row],[Drop]]="Scroll", 2000*DropAnalityka[[#This Row],[Quality/Quantity]],0)</f>
        <v>1546</v>
      </c>
      <c r="J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1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H483">
        <v>0</v>
      </c>
      <c r="I483">
        <f>DropAnalityka[[#This Row],[Sell Drop]]+IF(DropAnalityka[[#This Row],[Drop]]="Scroll", 2000*DropAnalityka[[#This Row],[Quality/Quantity]],0)</f>
        <v>6000</v>
      </c>
      <c r="J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1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H484">
        <v>0</v>
      </c>
      <c r="I484">
        <f>DropAnalityka[[#This Row],[Sell Drop]]+IF(DropAnalityka[[#This Row],[Drop]]="Scroll", 2000*DropAnalityka[[#This Row],[Quality/Quantity]],0)</f>
        <v>0</v>
      </c>
      <c r="J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1">
      <c r="A485" t="s">
        <v>8</v>
      </c>
      <c r="B485" t="s">
        <v>34</v>
      </c>
      <c r="C485">
        <v>3</v>
      </c>
      <c r="D485">
        <v>2048</v>
      </c>
      <c r="E485">
        <v>0</v>
      </c>
      <c r="H485">
        <v>1159</v>
      </c>
      <c r="I485">
        <f>DropAnalityka[[#This Row],[Sell Drop]]+IF(DropAnalityka[[#This Row],[Drop]]="Scroll", 2000*DropAnalityka[[#This Row],[Quality/Quantity]],0)</f>
        <v>1159</v>
      </c>
      <c r="J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1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H486">
        <v>0</v>
      </c>
      <c r="I486">
        <f>DropAnalityka[[#This Row],[Sell Drop]]+IF(DropAnalityka[[#This Row],[Drop]]="Scroll", 2000*DropAnalityka[[#This Row],[Quality/Quantity]],0)</f>
        <v>0</v>
      </c>
      <c r="J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1">
      <c r="A487" t="s">
        <v>8</v>
      </c>
      <c r="B487" t="s">
        <v>34</v>
      </c>
      <c r="C487">
        <v>3</v>
      </c>
      <c r="D487">
        <v>1171</v>
      </c>
      <c r="E487">
        <v>1</v>
      </c>
      <c r="H487">
        <v>2067</v>
      </c>
      <c r="I487">
        <f>DropAnalityka[[#This Row],[Sell Drop]]+IF(DropAnalityka[[#This Row],[Drop]]="Scroll", 2000*DropAnalityka[[#This Row],[Quality/Quantity]],0)</f>
        <v>2067</v>
      </c>
      <c r="J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1">
      <c r="A488" t="s">
        <v>8</v>
      </c>
      <c r="B488" t="s">
        <v>34</v>
      </c>
      <c r="C488">
        <v>3</v>
      </c>
      <c r="D488">
        <v>2951</v>
      </c>
      <c r="E488">
        <v>2</v>
      </c>
      <c r="H488">
        <v>2411</v>
      </c>
      <c r="I488">
        <f>DropAnalityka[[#This Row],[Sell Drop]]+IF(DropAnalityka[[#This Row],[Drop]]="Scroll", 2000*DropAnalityka[[#This Row],[Quality/Quantity]],0)</f>
        <v>2411</v>
      </c>
      <c r="J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1">
      <c r="A489" t="s">
        <v>8</v>
      </c>
      <c r="B489" t="s">
        <v>34</v>
      </c>
      <c r="C489">
        <v>3</v>
      </c>
      <c r="D489">
        <v>1340</v>
      </c>
      <c r="E489">
        <v>0</v>
      </c>
      <c r="H489">
        <v>1159</v>
      </c>
      <c r="I489">
        <f>DropAnalityka[[#This Row],[Sell Drop]]+IF(DropAnalityka[[#This Row],[Drop]]="Scroll", 2000*DropAnalityka[[#This Row],[Quality/Quantity]],0)</f>
        <v>1159</v>
      </c>
      <c r="J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1">
      <c r="A490" t="s">
        <v>8</v>
      </c>
      <c r="B490" t="s">
        <v>34</v>
      </c>
      <c r="C490">
        <v>3</v>
      </c>
      <c r="D490">
        <v>1120</v>
      </c>
      <c r="E490">
        <v>1</v>
      </c>
      <c r="H490">
        <v>1546</v>
      </c>
      <c r="I490">
        <f>DropAnalityka[[#This Row],[Sell Drop]]+IF(DropAnalityka[[#This Row],[Drop]]="Scroll", 2000*DropAnalityka[[#This Row],[Quality/Quantity]],0)</f>
        <v>1546</v>
      </c>
      <c r="J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1">
      <c r="A491" t="s">
        <v>8</v>
      </c>
      <c r="B491" t="s">
        <v>34</v>
      </c>
      <c r="C491">
        <v>3</v>
      </c>
      <c r="D491">
        <v>805</v>
      </c>
      <c r="E491">
        <v>1</v>
      </c>
      <c r="H491">
        <v>2067</v>
      </c>
      <c r="I491">
        <f>DropAnalityka[[#This Row],[Sell Drop]]+IF(DropAnalityka[[#This Row],[Drop]]="Scroll", 2000*DropAnalityka[[#This Row],[Quality/Quantity]],0)</f>
        <v>2067</v>
      </c>
      <c r="J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1">
      <c r="A492" t="s">
        <v>8</v>
      </c>
      <c r="B492" t="s">
        <v>34</v>
      </c>
      <c r="C492">
        <v>3</v>
      </c>
      <c r="D492">
        <v>1611</v>
      </c>
      <c r="E492">
        <v>3</v>
      </c>
      <c r="H492">
        <v>1159</v>
      </c>
      <c r="I492">
        <f>DropAnalityka[[#This Row],[Sell Drop]]+IF(DropAnalityka[[#This Row],[Drop]]="Scroll", 2000*DropAnalityka[[#This Row],[Quality/Quantity]],0)</f>
        <v>1159</v>
      </c>
      <c r="J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1">
      <c r="A493" t="s">
        <v>8</v>
      </c>
      <c r="B493" t="s">
        <v>34</v>
      </c>
      <c r="C493">
        <v>3</v>
      </c>
      <c r="D493">
        <v>1332</v>
      </c>
      <c r="E493">
        <v>0</v>
      </c>
      <c r="H493">
        <v>1159</v>
      </c>
      <c r="I493">
        <f>DropAnalityka[[#This Row],[Sell Drop]]+IF(DropAnalityka[[#This Row],[Drop]]="Scroll", 2000*DropAnalityka[[#This Row],[Quality/Quantity]],0)</f>
        <v>1159</v>
      </c>
      <c r="J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1">
      <c r="A494" t="s">
        <v>8</v>
      </c>
      <c r="B494" t="s">
        <v>34</v>
      </c>
      <c r="C494">
        <v>3</v>
      </c>
      <c r="D494">
        <v>1613</v>
      </c>
      <c r="E494">
        <v>1</v>
      </c>
      <c r="H494">
        <v>2411</v>
      </c>
      <c r="I494">
        <f>DropAnalityka[[#This Row],[Sell Drop]]+IF(DropAnalityka[[#This Row],[Drop]]="Scroll", 2000*DropAnalityka[[#This Row],[Quality/Quantity]],0)</f>
        <v>2411</v>
      </c>
      <c r="J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1">
      <c r="A495" t="s">
        <v>8</v>
      </c>
      <c r="B495" t="s">
        <v>34</v>
      </c>
      <c r="C495">
        <v>3</v>
      </c>
      <c r="D495">
        <v>1375</v>
      </c>
      <c r="E495">
        <v>1</v>
      </c>
      <c r="H495">
        <v>1159</v>
      </c>
      <c r="I495">
        <f>DropAnalityka[[#This Row],[Sell Drop]]+IF(DropAnalityka[[#This Row],[Drop]]="Scroll", 2000*DropAnalityka[[#This Row],[Quality/Quantity]],0)</f>
        <v>1159</v>
      </c>
      <c r="J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1">
      <c r="A496" t="s">
        <v>8</v>
      </c>
      <c r="B496" t="s">
        <v>34</v>
      </c>
      <c r="C496">
        <v>3</v>
      </c>
      <c r="D496">
        <v>1277</v>
      </c>
      <c r="E496">
        <v>1</v>
      </c>
      <c r="H496">
        <v>1159</v>
      </c>
      <c r="I496">
        <f>DropAnalityka[[#This Row],[Sell Drop]]+IF(DropAnalityka[[#This Row],[Drop]]="Scroll", 2000*DropAnalityka[[#This Row],[Quality/Quantity]],0)</f>
        <v>1159</v>
      </c>
      <c r="J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1">
      <c r="A497" t="s">
        <v>8</v>
      </c>
      <c r="B497" t="s">
        <v>34</v>
      </c>
      <c r="C497">
        <v>3</v>
      </c>
      <c r="D497">
        <v>1167</v>
      </c>
      <c r="E497">
        <v>0</v>
      </c>
      <c r="H497">
        <v>2067</v>
      </c>
      <c r="I497">
        <f>DropAnalityka[[#This Row],[Sell Drop]]+IF(DropAnalityka[[#This Row],[Drop]]="Scroll", 2000*DropAnalityka[[#This Row],[Quality/Quantity]],0)</f>
        <v>2067</v>
      </c>
      <c r="J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1">
      <c r="A498" t="s">
        <v>8</v>
      </c>
      <c r="B498" t="s">
        <v>34</v>
      </c>
      <c r="C498">
        <v>3</v>
      </c>
      <c r="D498">
        <v>1156</v>
      </c>
      <c r="E498">
        <v>2</v>
      </c>
      <c r="H498">
        <v>1352</v>
      </c>
      <c r="I498">
        <f>DropAnalityka[[#This Row],[Sell Drop]]+IF(DropAnalityka[[#This Row],[Drop]]="Scroll", 2000*DropAnalityka[[#This Row],[Quality/Quantity]],0)</f>
        <v>1352</v>
      </c>
      <c r="J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1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H499">
        <v>0</v>
      </c>
      <c r="I499">
        <f>DropAnalityka[[#This Row],[Sell Drop]]+IF(DropAnalityka[[#This Row],[Drop]]="Scroll", 2000*DropAnalityka[[#This Row],[Quality/Quantity]],0)</f>
        <v>0</v>
      </c>
      <c r="J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1">
      <c r="A500" t="s">
        <v>8</v>
      </c>
      <c r="B500" t="s">
        <v>34</v>
      </c>
      <c r="C500">
        <v>3</v>
      </c>
      <c r="D500">
        <v>1462</v>
      </c>
      <c r="E500">
        <v>0</v>
      </c>
      <c r="H500">
        <v>1159</v>
      </c>
      <c r="I500">
        <f>DropAnalityka[[#This Row],[Sell Drop]]+IF(DropAnalityka[[#This Row],[Drop]]="Scroll", 2000*DropAnalityka[[#This Row],[Quality/Quantity]],0)</f>
        <v>1159</v>
      </c>
      <c r="J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1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175</v>
      </c>
      <c r="H501">
        <v>0</v>
      </c>
      <c r="I501">
        <f>DropAnalityka[[#This Row],[Sell Drop]]+IF(DropAnalityka[[#This Row],[Drop]]="Scroll", 2000*DropAnalityka[[#This Row],[Quality/Quantity]],0)</f>
        <v>0</v>
      </c>
      <c r="J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1">
      <c r="A502" t="s">
        <v>8</v>
      </c>
      <c r="B502" t="s">
        <v>34</v>
      </c>
      <c r="C502">
        <v>3</v>
      </c>
      <c r="D502">
        <v>1051</v>
      </c>
      <c r="E502">
        <v>0</v>
      </c>
      <c r="H502">
        <v>2411</v>
      </c>
      <c r="I502">
        <f>DropAnalityka[[#This Row],[Sell Drop]]+IF(DropAnalityka[[#This Row],[Drop]]="Scroll", 2000*DropAnalityka[[#This Row],[Quality/Quantity]],0)</f>
        <v>2411</v>
      </c>
      <c r="J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1">
      <c r="A503" t="s">
        <v>8</v>
      </c>
      <c r="B503" t="s">
        <v>34</v>
      </c>
      <c r="C503">
        <v>3</v>
      </c>
      <c r="D503">
        <v>1187</v>
      </c>
      <c r="E503">
        <v>2</v>
      </c>
      <c r="H503">
        <v>1159</v>
      </c>
      <c r="I503">
        <f>DropAnalityka[[#This Row],[Sell Drop]]+IF(DropAnalityka[[#This Row],[Drop]]="Scroll", 2000*DropAnalityka[[#This Row],[Quality/Quantity]],0)</f>
        <v>1159</v>
      </c>
      <c r="J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1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I504">
        <f>DropAnalityka[[#This Row],[Sell Drop]]+IF(DropAnalityka[[#This Row],[Drop]]="Scroll", 2000*DropAnalityka[[#This Row],[Quality/Quantity]],0)</f>
        <v>6000</v>
      </c>
      <c r="J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1">
      <c r="A505" t="s">
        <v>8</v>
      </c>
      <c r="B505" t="s">
        <v>34</v>
      </c>
      <c r="C505">
        <v>3</v>
      </c>
      <c r="D505">
        <v>1909</v>
      </c>
      <c r="E505">
        <v>3</v>
      </c>
      <c r="H505">
        <v>1159</v>
      </c>
      <c r="I505">
        <f>DropAnalityka[[#This Row],[Sell Drop]]+IF(DropAnalityka[[#This Row],[Drop]]="Scroll", 2000*DropAnalityka[[#This Row],[Quality/Quantity]],0)</f>
        <v>1159</v>
      </c>
      <c r="J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1">
      <c r="A506" t="s">
        <v>8</v>
      </c>
      <c r="B506" t="s">
        <v>34</v>
      </c>
      <c r="C506">
        <v>3</v>
      </c>
      <c r="D506">
        <v>829</v>
      </c>
      <c r="E506">
        <v>2</v>
      </c>
      <c r="H506">
        <v>1159</v>
      </c>
      <c r="I506">
        <f>DropAnalityka[[#This Row],[Sell Drop]]+IF(DropAnalityka[[#This Row],[Drop]]="Scroll", 2000*DropAnalityka[[#This Row],[Quality/Quantity]],0)</f>
        <v>1159</v>
      </c>
      <c r="J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1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H507">
        <v>0</v>
      </c>
      <c r="I507">
        <f>DropAnalityka[[#This Row],[Sell Drop]]+IF(DropAnalityka[[#This Row],[Drop]]="Scroll", 2000*DropAnalityka[[#This Row],[Quality/Quantity]],0)</f>
        <v>6000</v>
      </c>
      <c r="J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1">
      <c r="A508" t="s">
        <v>8</v>
      </c>
      <c r="B508" t="s">
        <v>34</v>
      </c>
      <c r="C508">
        <v>3</v>
      </c>
      <c r="D508">
        <v>1770</v>
      </c>
      <c r="E508">
        <v>0</v>
      </c>
      <c r="H508">
        <v>1159</v>
      </c>
      <c r="I508">
        <f>DropAnalityka[[#This Row],[Sell Drop]]+IF(DropAnalityka[[#This Row],[Drop]]="Scroll", 2000*DropAnalityka[[#This Row],[Quality/Quantity]],0)</f>
        <v>1159</v>
      </c>
      <c r="J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1">
      <c r="A509" t="s">
        <v>8</v>
      </c>
      <c r="B509" t="s">
        <v>34</v>
      </c>
      <c r="C509">
        <v>3</v>
      </c>
      <c r="D509">
        <v>1190</v>
      </c>
      <c r="E509">
        <v>0</v>
      </c>
      <c r="H509">
        <v>1739</v>
      </c>
      <c r="I509">
        <f>DropAnalityka[[#This Row],[Sell Drop]]+IF(DropAnalityka[[#This Row],[Drop]]="Scroll", 2000*DropAnalityka[[#This Row],[Quality/Quantity]],0)</f>
        <v>1739</v>
      </c>
      <c r="J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1">
      <c r="A510" t="s">
        <v>68</v>
      </c>
      <c r="B510" t="s">
        <v>9</v>
      </c>
      <c r="C510">
        <v>1</v>
      </c>
      <c r="D510">
        <v>849</v>
      </c>
      <c r="E510">
        <v>2</v>
      </c>
      <c r="H510">
        <v>823</v>
      </c>
      <c r="I510">
        <f>DropAnalityka[[#This Row],[Sell Drop]]+IF(DropAnalityka[[#This Row],[Drop]]="Scroll", 2000*DropAnalityka[[#This Row],[Quality/Quantity]],0)</f>
        <v>823</v>
      </c>
      <c r="J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1">
      <c r="A511" t="s">
        <v>68</v>
      </c>
      <c r="B511" t="s">
        <v>9</v>
      </c>
      <c r="C511">
        <v>1</v>
      </c>
      <c r="D511">
        <v>1244</v>
      </c>
      <c r="E511">
        <v>2</v>
      </c>
      <c r="H511">
        <v>1976</v>
      </c>
      <c r="I511">
        <f>DropAnalityka[[#This Row],[Sell Drop]]+IF(DropAnalityka[[#This Row],[Drop]]="Scroll", 2000*DropAnalityka[[#This Row],[Quality/Quantity]],0)</f>
        <v>1976</v>
      </c>
      <c r="J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1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H512">
        <v>0</v>
      </c>
      <c r="I512">
        <f>DropAnalityka[[#This Row],[Sell Drop]]+IF(DropAnalityka[[#This Row],[Drop]]="Scroll", 2000*DropAnalityka[[#This Row],[Quality/Quantity]],0)</f>
        <v>2000</v>
      </c>
      <c r="J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1">
      <c r="A513" t="s">
        <v>68</v>
      </c>
      <c r="B513" t="s">
        <v>9</v>
      </c>
      <c r="C513">
        <v>1</v>
      </c>
      <c r="D513">
        <v>1295</v>
      </c>
      <c r="E513">
        <v>0</v>
      </c>
      <c r="H513">
        <v>1976</v>
      </c>
      <c r="I513">
        <f>DropAnalityka[[#This Row],[Sell Drop]]+IF(DropAnalityka[[#This Row],[Drop]]="Scroll", 2000*DropAnalityka[[#This Row],[Quality/Quantity]],0)</f>
        <v>1976</v>
      </c>
      <c r="J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1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H514">
        <v>0</v>
      </c>
      <c r="I514">
        <f>DropAnalityka[[#This Row],[Sell Drop]]+IF(DropAnalityka[[#This Row],[Drop]]="Scroll", 2000*DropAnalityka[[#This Row],[Quality/Quantity]],0)</f>
        <v>2000</v>
      </c>
      <c r="J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1">
      <c r="A515" t="s">
        <v>68</v>
      </c>
      <c r="B515" t="s">
        <v>9</v>
      </c>
      <c r="C515">
        <v>1</v>
      </c>
      <c r="D515">
        <v>1238</v>
      </c>
      <c r="E515">
        <v>0</v>
      </c>
      <c r="H515">
        <v>892</v>
      </c>
      <c r="I515">
        <f>DropAnalityka[[#This Row],[Sell Drop]]+IF(DropAnalityka[[#This Row],[Drop]]="Scroll", 2000*DropAnalityka[[#This Row],[Quality/Quantity]],0)</f>
        <v>892</v>
      </c>
      <c r="J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1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H516">
        <v>0</v>
      </c>
      <c r="I516">
        <f>DropAnalityka[[#This Row],[Sell Drop]]+IF(DropAnalityka[[#This Row],[Drop]]="Scroll", 2000*DropAnalityka[[#This Row],[Quality/Quantity]],0)</f>
        <v>2000</v>
      </c>
      <c r="J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1">
      <c r="A517" t="s">
        <v>8</v>
      </c>
      <c r="B517" t="s">
        <v>32</v>
      </c>
      <c r="C517">
        <v>3</v>
      </c>
      <c r="D517">
        <v>2474</v>
      </c>
      <c r="E517">
        <v>3</v>
      </c>
      <c r="F517" t="s">
        <v>36</v>
      </c>
      <c r="G517">
        <v>2</v>
      </c>
      <c r="H517">
        <v>0</v>
      </c>
      <c r="I517">
        <f>DropAnalityka[[#This Row],[Sell Drop]]+IF(DropAnalityka[[#This Row],[Drop]]="Scroll", 2000*DropAnalityka[[#This Row],[Quality/Quantity]],0)</f>
        <v>4000</v>
      </c>
      <c r="J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1">
      <c r="A518" t="s">
        <v>8</v>
      </c>
      <c r="B518" t="s">
        <v>34</v>
      </c>
      <c r="C518">
        <v>3</v>
      </c>
      <c r="D518">
        <v>920</v>
      </c>
      <c r="E518">
        <v>2</v>
      </c>
      <c r="F518" t="s">
        <v>36</v>
      </c>
      <c r="G518">
        <v>3</v>
      </c>
      <c r="H518">
        <v>0</v>
      </c>
      <c r="I518">
        <f>DropAnalityka[[#This Row],[Sell Drop]]+IF(DropAnalityka[[#This Row],[Drop]]="Scroll", 2000*DropAnalityka[[#This Row],[Quality/Quantity]],0)</f>
        <v>6000</v>
      </c>
      <c r="J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1">
      <c r="A519" t="s">
        <v>8</v>
      </c>
      <c r="B519" t="s">
        <v>34</v>
      </c>
      <c r="C519">
        <v>3</v>
      </c>
      <c r="D519">
        <v>1475</v>
      </c>
      <c r="E519">
        <v>3</v>
      </c>
      <c r="H519">
        <v>2756</v>
      </c>
      <c r="I519">
        <f>DropAnalityka[[#This Row],[Sell Drop]]+IF(DropAnalityka[[#This Row],[Drop]]="Scroll", 2000*DropAnalityka[[#This Row],[Quality/Quantity]],0)</f>
        <v>2756</v>
      </c>
      <c r="J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1">
      <c r="A520" t="s">
        <v>8</v>
      </c>
      <c r="B520" t="s">
        <v>34</v>
      </c>
      <c r="C520">
        <v>3</v>
      </c>
      <c r="D520">
        <v>1500</v>
      </c>
      <c r="E520">
        <v>3</v>
      </c>
      <c r="F520" t="s">
        <v>62</v>
      </c>
      <c r="G520" t="s">
        <v>28</v>
      </c>
      <c r="H520">
        <v>0</v>
      </c>
      <c r="I520">
        <f>DropAnalityka[[#This Row],[Sell Drop]]+IF(DropAnalityka[[#This Row],[Drop]]="Scroll", 2000*DropAnalityka[[#This Row],[Quality/Quantity]],0)</f>
        <v>0</v>
      </c>
      <c r="J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1">
      <c r="A521" t="s">
        <v>8</v>
      </c>
      <c r="B521" t="s">
        <v>34</v>
      </c>
      <c r="C521">
        <v>3</v>
      </c>
      <c r="D521">
        <v>2329</v>
      </c>
      <c r="E521">
        <v>2</v>
      </c>
      <c r="H521">
        <v>2067</v>
      </c>
      <c r="I521">
        <f>DropAnalityka[[#This Row],[Sell Drop]]+IF(DropAnalityka[[#This Row],[Drop]]="Scroll", 2000*DropAnalityka[[#This Row],[Quality/Quantity]],0)</f>
        <v>2067</v>
      </c>
      <c r="J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1">
      <c r="A522" t="s">
        <v>40</v>
      </c>
      <c r="B522" t="s">
        <v>9</v>
      </c>
      <c r="C522">
        <v>7</v>
      </c>
      <c r="D522">
        <v>2340</v>
      </c>
      <c r="E522">
        <v>0</v>
      </c>
      <c r="F522" t="s">
        <v>65</v>
      </c>
      <c r="G522">
        <v>1</v>
      </c>
      <c r="H522">
        <v>0</v>
      </c>
      <c r="I522">
        <f>DropAnalityka[[#This Row],[Sell Drop]]+IF(DropAnalityka[[#This Row],[Drop]]="Scroll", 2000*DropAnalityka[[#This Row],[Quality/Quantity]],0)</f>
        <v>0</v>
      </c>
      <c r="J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1">
      <c r="A523" t="s">
        <v>40</v>
      </c>
      <c r="B523" t="s">
        <v>9</v>
      </c>
      <c r="C523">
        <v>7</v>
      </c>
      <c r="D523">
        <v>2340</v>
      </c>
      <c r="E523">
        <v>0</v>
      </c>
      <c r="F523" t="s">
        <v>65</v>
      </c>
      <c r="G523">
        <v>1</v>
      </c>
      <c r="H523">
        <v>0</v>
      </c>
      <c r="I523">
        <f>DropAnalityka[[#This Row],[Sell Drop]]+IF(DropAnalityka[[#This Row],[Drop]]="Scroll", 2000*DropAnalityka[[#This Row],[Quality/Quantity]],0)</f>
        <v>0</v>
      </c>
      <c r="J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1">
      <c r="A524" t="s">
        <v>40</v>
      </c>
      <c r="B524" t="s">
        <v>9</v>
      </c>
      <c r="C524">
        <v>7</v>
      </c>
      <c r="D524">
        <v>2182</v>
      </c>
      <c r="E524">
        <v>0</v>
      </c>
      <c r="F524" t="s">
        <v>66</v>
      </c>
      <c r="G524">
        <v>4</v>
      </c>
      <c r="H524">
        <v>0</v>
      </c>
      <c r="I524">
        <f>DropAnalityka[[#This Row],[Sell Drop]]+IF(DropAnalityka[[#This Row],[Drop]]="Scroll", 2000*DropAnalityka[[#This Row],[Quality/Quantity]],0)</f>
        <v>0</v>
      </c>
      <c r="J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1">
      <c r="A525" s="10" t="s">
        <v>204</v>
      </c>
      <c r="B525" t="s">
        <v>9</v>
      </c>
      <c r="C525">
        <v>6</v>
      </c>
      <c r="D525">
        <v>2090</v>
      </c>
      <c r="E525">
        <v>2</v>
      </c>
      <c r="H525">
        <v>1971</v>
      </c>
      <c r="I525">
        <f>DropAnalityka[[#This Row],[Sell Drop]]+IF(DropAnalityka[[#This Row],[Drop]]="Scroll", 2000*DropAnalityka[[#This Row],[Quality/Quantity]],0)</f>
        <v>1971</v>
      </c>
      <c r="J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1">
      <c r="A526" s="10" t="s">
        <v>204</v>
      </c>
      <c r="B526" t="s">
        <v>9</v>
      </c>
      <c r="C526">
        <v>6</v>
      </c>
      <c r="D526">
        <v>2783</v>
      </c>
      <c r="E526">
        <v>2</v>
      </c>
      <c r="F526" t="s">
        <v>36</v>
      </c>
      <c r="G526">
        <v>3</v>
      </c>
      <c r="H526">
        <v>0</v>
      </c>
      <c r="I526">
        <f>DropAnalityka[[#This Row],[Sell Drop]]+IF(DropAnalityka[[#This Row],[Drop]]="Scroll", 2000*DropAnalityka[[#This Row],[Quality/Quantity]],0)</f>
        <v>6000</v>
      </c>
      <c r="J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1">
      <c r="A527" s="10" t="s">
        <v>204</v>
      </c>
      <c r="B527" t="s">
        <v>9</v>
      </c>
      <c r="C527">
        <v>6</v>
      </c>
      <c r="D527">
        <v>2090</v>
      </c>
      <c r="E527">
        <v>0</v>
      </c>
      <c r="H527">
        <v>12000</v>
      </c>
      <c r="I527">
        <f>DropAnalityka[[#This Row],[Sell Drop]]+IF(DropAnalityka[[#This Row],[Drop]]="Scroll", 2000*DropAnalityka[[#This Row],[Quality/Quantity]],0)</f>
        <v>12000</v>
      </c>
      <c r="J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1">
      <c r="A528" s="10" t="s">
        <v>204</v>
      </c>
      <c r="B528" t="s">
        <v>9</v>
      </c>
      <c r="C528">
        <v>6</v>
      </c>
      <c r="D528">
        <v>2367</v>
      </c>
      <c r="E528">
        <v>0</v>
      </c>
      <c r="F528" t="s">
        <v>63</v>
      </c>
      <c r="G528" t="s">
        <v>13</v>
      </c>
      <c r="H528">
        <v>0</v>
      </c>
      <c r="I528">
        <f>DropAnalityka[[#This Row],[Sell Drop]]+IF(DropAnalityka[[#This Row],[Drop]]="Scroll", 2000*DropAnalityka[[#This Row],[Quality/Quantity]],0)</f>
        <v>0</v>
      </c>
      <c r="J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1">
      <c r="A529" s="10" t="s">
        <v>204</v>
      </c>
      <c r="B529" t="s">
        <v>9</v>
      </c>
      <c r="C529">
        <v>6</v>
      </c>
      <c r="D529">
        <v>3236</v>
      </c>
      <c r="E529">
        <v>1</v>
      </c>
      <c r="H529">
        <v>1236</v>
      </c>
      <c r="I529">
        <f>DropAnalityka[[#This Row],[Sell Drop]]+IF(DropAnalityka[[#This Row],[Drop]]="Scroll", 2000*DropAnalityka[[#This Row],[Quality/Quantity]],0)</f>
        <v>1236</v>
      </c>
      <c r="J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1">
      <c r="A530" s="10" t="s">
        <v>204</v>
      </c>
      <c r="B530" t="s">
        <v>9</v>
      </c>
      <c r="C530">
        <v>6</v>
      </c>
      <c r="D530">
        <v>2638</v>
      </c>
      <c r="E530">
        <v>0</v>
      </c>
      <c r="F530" t="s">
        <v>175</v>
      </c>
      <c r="H530">
        <v>0</v>
      </c>
      <c r="I530">
        <f>DropAnalityka[[#This Row],[Sell Drop]]+IF(DropAnalityka[[#This Row],[Drop]]="Scroll", 2000*DropAnalityka[[#This Row],[Quality/Quantity]],0)</f>
        <v>0</v>
      </c>
      <c r="J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1">
      <c r="A531" s="10" t="s">
        <v>204</v>
      </c>
      <c r="B531" t="s">
        <v>9</v>
      </c>
      <c r="C531">
        <v>6</v>
      </c>
      <c r="I531">
        <f>DropAnalityka[[#This Row],[Sell Drop]]+IF(DropAnalityka[[#This Row],[Drop]]="Scroll", 2000*DropAnalityka[[#This Row],[Quality/Quantity]],0)</f>
        <v>0</v>
      </c>
      <c r="J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1">
      <c r="A532" s="10" t="s">
        <v>204</v>
      </c>
      <c r="B532" t="s">
        <v>9</v>
      </c>
      <c r="C532">
        <v>6</v>
      </c>
      <c r="I532">
        <f>DropAnalityka[[#This Row],[Sell Drop]]+IF(DropAnalityka[[#This Row],[Drop]]="Scroll", 2000*DropAnalityka[[#This Row],[Quality/Quantity]],0)</f>
        <v>0</v>
      </c>
      <c r="J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1">
      <c r="A533" s="10" t="s">
        <v>204</v>
      </c>
      <c r="B533" t="s">
        <v>9</v>
      </c>
      <c r="C533">
        <v>6</v>
      </c>
      <c r="I533">
        <f>DropAnalityka[[#This Row],[Sell Drop]]+IF(DropAnalityka[[#This Row],[Drop]]="Scroll", 2000*DropAnalityka[[#This Row],[Quality/Quantity]],0)</f>
        <v>0</v>
      </c>
      <c r="J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1">
      <c r="A534" s="10" t="s">
        <v>204</v>
      </c>
      <c r="B534" t="s">
        <v>9</v>
      </c>
      <c r="C534">
        <v>6</v>
      </c>
      <c r="I534">
        <f>DropAnalityka[[#This Row],[Sell Drop]]+IF(DropAnalityka[[#This Row],[Drop]]="Scroll", 2000*DropAnalityka[[#This Row],[Quality/Quantity]],0)</f>
        <v>0</v>
      </c>
      <c r="J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1">
      <c r="A535" s="10" t="s">
        <v>204</v>
      </c>
      <c r="B535" t="s">
        <v>9</v>
      </c>
      <c r="C535">
        <v>6</v>
      </c>
      <c r="I535">
        <f>DropAnalityka[[#This Row],[Sell Drop]]+IF(DropAnalityka[[#This Row],[Drop]]="Scroll", 2000*DropAnalityka[[#This Row],[Quality/Quantity]],0)</f>
        <v>0</v>
      </c>
      <c r="J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1">
      <c r="I536">
        <f>DropAnalityka[[#This Row],[Sell Drop]]+IF(DropAnalityka[[#This Row],[Drop]]="Scroll", 2000*DropAnalityka[[#This Row],[Quality/Quantity]],0)</f>
        <v>0</v>
      </c>
      <c r="J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1">
      <c r="I537">
        <f>DropAnalityka[[#This Row],[Sell Drop]]+IF(DropAnalityka[[#This Row],[Drop]]="Scroll", 2000*DropAnalityka[[#This Row],[Quality/Quantity]],0)</f>
        <v>0</v>
      </c>
      <c r="J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1">
      <c r="I538">
        <f>DropAnalityka[[#This Row],[Sell Drop]]+IF(DropAnalityka[[#This Row],[Drop]]="Scroll", 2000*DropAnalityka[[#This Row],[Quality/Quantity]],0)</f>
        <v>0</v>
      </c>
      <c r="J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1">
      <c r="I539">
        <f>DropAnalityka[[#This Row],[Sell Drop]]+IF(DropAnalityka[[#This Row],[Drop]]="Scroll", 2000*DropAnalityka[[#This Row],[Quality/Quantity]],0)</f>
        <v>0</v>
      </c>
      <c r="J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1">
      <c r="I540">
        <f>DropAnalityka[[#This Row],[Sell Drop]]+IF(DropAnalityka[[#This Row],[Drop]]="Scroll", 2000*DropAnalityka[[#This Row],[Quality/Quantity]],0)</f>
        <v>0</v>
      </c>
      <c r="J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1">
      <c r="I541">
        <f>DropAnalityka[[#This Row],[Sell Drop]]+IF(DropAnalityka[[#This Row],[Drop]]="Scroll", 2000*DropAnalityka[[#This Row],[Quality/Quantity]],0)</f>
        <v>0</v>
      </c>
      <c r="J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1">
      <c r="I542">
        <f>DropAnalityka[[#This Row],[Sell Drop]]+IF(DropAnalityka[[#This Row],[Drop]]="Scroll", 2000*DropAnalityka[[#This Row],[Quality/Quantity]],0)</f>
        <v>0</v>
      </c>
      <c r="J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1">
      <c r="I543">
        <f>DropAnalityka[[#This Row],[Sell Drop]]+IF(DropAnalityka[[#This Row],[Drop]]="Scroll", 2000*DropAnalityka[[#This Row],[Quality/Quantity]],0)</f>
        <v>0</v>
      </c>
      <c r="J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1">
      <c r="I544">
        <f>DropAnalityka[[#This Row],[Sell Drop]]+IF(DropAnalityka[[#This Row],[Drop]]="Scroll", 2000*DropAnalityka[[#This Row],[Quality/Quantity]],0)</f>
        <v>0</v>
      </c>
      <c r="J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9:11">
      <c r="I545">
        <f>DropAnalityka[[#This Row],[Sell Drop]]+IF(DropAnalityka[[#This Row],[Drop]]="Scroll", 2000*DropAnalityka[[#This Row],[Quality/Quantity]],0)</f>
        <v>0</v>
      </c>
      <c r="J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9:11">
      <c r="I546">
        <f>DropAnalityka[[#This Row],[Sell Drop]]+IF(DropAnalityka[[#This Row],[Drop]]="Scroll", 2000*DropAnalityka[[#This Row],[Quality/Quantity]],0)</f>
        <v>0</v>
      </c>
      <c r="J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9:11">
      <c r="I547">
        <f>DropAnalityka[[#This Row],[Sell Drop]]+IF(DropAnalityka[[#This Row],[Drop]]="Scroll", 2000*DropAnalityka[[#This Row],[Quality/Quantity]],0)</f>
        <v>0</v>
      </c>
      <c r="J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9:11">
      <c r="I548">
        <f>DropAnalityka[[#This Row],[Sell Drop]]+IF(DropAnalityka[[#This Row],[Drop]]="Scroll", 2000*DropAnalityka[[#This Row],[Quality/Quantity]],0)</f>
        <v>0</v>
      </c>
      <c r="J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9:11">
      <c r="I549">
        <f>DropAnalityka[[#This Row],[Sell Drop]]+IF(DropAnalityka[[#This Row],[Drop]]="Scroll", 2000*DropAnalityka[[#This Row],[Quality/Quantity]],0)</f>
        <v>0</v>
      </c>
      <c r="J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9:11">
      <c r="I550">
        <f>DropAnalityka[[#This Row],[Sell Drop]]+IF(DropAnalityka[[#This Row],[Drop]]="Scroll", 2000*DropAnalityka[[#This Row],[Quality/Quantity]],0)</f>
        <v>0</v>
      </c>
      <c r="J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9:11">
      <c r="I551">
        <f>DropAnalityka[[#This Row],[Sell Drop]]+IF(DropAnalityka[[#This Row],[Drop]]="Scroll", 2000*DropAnalityka[[#This Row],[Quality/Quantity]],0)</f>
        <v>0</v>
      </c>
      <c r="J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9:11">
      <c r="I552">
        <f>DropAnalityka[[#This Row],[Sell Drop]]+IF(DropAnalityka[[#This Row],[Drop]]="Scroll", 2000*DropAnalityka[[#This Row],[Quality/Quantity]],0)</f>
        <v>0</v>
      </c>
      <c r="J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9:11">
      <c r="I553">
        <f>DropAnalityka[[#This Row],[Sell Drop]]+IF(DropAnalityka[[#This Row],[Drop]]="Scroll", 2000*DropAnalityka[[#This Row],[Quality/Quantity]],0)</f>
        <v>0</v>
      </c>
      <c r="J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9:11">
      <c r="I554">
        <f>DropAnalityka[[#This Row],[Sell Drop]]+IF(DropAnalityka[[#This Row],[Drop]]="Scroll", 2000*DropAnalityka[[#This Row],[Quality/Quantity]],0)</f>
        <v>0</v>
      </c>
      <c r="J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9:11">
      <c r="I555">
        <f>DropAnalityka[[#This Row],[Sell Drop]]+IF(DropAnalityka[[#This Row],[Drop]]="Scroll", 2000*DropAnalityka[[#This Row],[Quality/Quantity]],0)</f>
        <v>0</v>
      </c>
      <c r="J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9:11">
      <c r="I556">
        <f>DropAnalityka[[#This Row],[Sell Drop]]+IF(DropAnalityka[[#This Row],[Drop]]="Scroll", 2000*DropAnalityka[[#This Row],[Quality/Quantity]],0)</f>
        <v>0</v>
      </c>
      <c r="J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9:11">
      <c r="I557">
        <f>DropAnalityka[[#This Row],[Sell Drop]]+IF(DropAnalityka[[#This Row],[Drop]]="Scroll", 2000*DropAnalityka[[#This Row],[Quality/Quantity]],0)</f>
        <v>0</v>
      </c>
      <c r="J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9:11">
      <c r="I558">
        <f>DropAnalityka[[#This Row],[Sell Drop]]+IF(DropAnalityka[[#This Row],[Drop]]="Scroll", 2000*DropAnalityka[[#This Row],[Quality/Quantity]],0)</f>
        <v>0</v>
      </c>
      <c r="J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9:11">
      <c r="I559">
        <f>DropAnalityka[[#This Row],[Sell Drop]]+IF(DropAnalityka[[#This Row],[Drop]]="Scroll", 2000*DropAnalityka[[#This Row],[Quality/Quantity]],0)</f>
        <v>0</v>
      </c>
      <c r="J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9:11">
      <c r="I560">
        <f>DropAnalityka[[#This Row],[Sell Drop]]+IF(DropAnalityka[[#This Row],[Drop]]="Scroll", 2000*DropAnalityka[[#This Row],[Quality/Quantity]],0)</f>
        <v>0</v>
      </c>
      <c r="J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9:11">
      <c r="I561">
        <f>DropAnalityka[[#This Row],[Sell Drop]]+IF(DropAnalityka[[#This Row],[Drop]]="Scroll", 2000*DropAnalityka[[#This Row],[Quality/Quantity]],0)</f>
        <v>0</v>
      </c>
      <c r="J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9:11">
      <c r="I562">
        <f>DropAnalityka[[#This Row],[Sell Drop]]+IF(DropAnalityka[[#This Row],[Drop]]="Scroll", 2000*DropAnalityka[[#This Row],[Quality/Quantity]],0)</f>
        <v>0</v>
      </c>
      <c r="J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9:11">
      <c r="I563">
        <f>DropAnalityka[[#This Row],[Sell Drop]]+IF(DropAnalityka[[#This Row],[Drop]]="Scroll", 2000*DropAnalityka[[#This Row],[Quality/Quantity]],0)</f>
        <v>0</v>
      </c>
      <c r="J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9:11">
      <c r="I564">
        <f>DropAnalityka[[#This Row],[Sell Drop]]+IF(DropAnalityka[[#This Row],[Drop]]="Scroll", 2000*DropAnalityka[[#This Row],[Quality/Quantity]],0)</f>
        <v>0</v>
      </c>
      <c r="J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9:11">
      <c r="I565">
        <f>DropAnalityka[[#This Row],[Sell Drop]]+IF(DropAnalityka[[#This Row],[Drop]]="Scroll", 2000*DropAnalityka[[#This Row],[Quality/Quantity]],0)</f>
        <v>0</v>
      </c>
      <c r="J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9:11">
      <c r="I566">
        <f>DropAnalityka[[#This Row],[Sell Drop]]+IF(DropAnalityka[[#This Row],[Drop]]="Scroll", 2000*DropAnalityka[[#This Row],[Quality/Quantity]],0)</f>
        <v>0</v>
      </c>
      <c r="J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9:11">
      <c r="I567">
        <f>DropAnalityka[[#This Row],[Sell Drop]]+IF(DropAnalityka[[#This Row],[Drop]]="Scroll", 2000*DropAnalityka[[#This Row],[Quality/Quantity]],0)</f>
        <v>0</v>
      </c>
      <c r="J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9:11">
      <c r="I568">
        <f>DropAnalityka[[#This Row],[Sell Drop]]+IF(DropAnalityka[[#This Row],[Drop]]="Scroll", 2000*DropAnalityka[[#This Row],[Quality/Quantity]],0)</f>
        <v>0</v>
      </c>
      <c r="J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9:11">
      <c r="I569">
        <f>DropAnalityka[[#This Row],[Sell Drop]]+IF(DropAnalityka[[#This Row],[Drop]]="Scroll", 2000*DropAnalityka[[#This Row],[Quality/Quantity]],0)</f>
        <v>0</v>
      </c>
      <c r="J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9:11">
      <c r="I570">
        <f>DropAnalityka[[#This Row],[Sell Drop]]+IF(DropAnalityka[[#This Row],[Drop]]="Scroll", 2000*DropAnalityka[[#This Row],[Quality/Quantity]],0)</f>
        <v>0</v>
      </c>
      <c r="J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9:11">
      <c r="I571">
        <f>DropAnalityka[[#This Row],[Sell Drop]]+IF(DropAnalityka[[#This Row],[Drop]]="Scroll", 2000*DropAnalityka[[#This Row],[Quality/Quantity]],0)</f>
        <v>0</v>
      </c>
      <c r="J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9:11">
      <c r="I572">
        <f>DropAnalityka[[#This Row],[Sell Drop]]+IF(DropAnalityka[[#This Row],[Drop]]="Scroll", 2000*DropAnalityka[[#This Row],[Quality/Quantity]],0)</f>
        <v>0</v>
      </c>
      <c r="J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9:11">
      <c r="I573">
        <f>DropAnalityka[[#This Row],[Sell Drop]]+IF(DropAnalityka[[#This Row],[Drop]]="Scroll", 2000*DropAnalityka[[#This Row],[Quality/Quantity]],0)</f>
        <v>0</v>
      </c>
      <c r="J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9:11">
      <c r="I574">
        <f>DropAnalityka[[#This Row],[Sell Drop]]+IF(DropAnalityka[[#This Row],[Drop]]="Scroll", 2000*DropAnalityka[[#This Row],[Quality/Quantity]],0)</f>
        <v>0</v>
      </c>
      <c r="J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9:11">
      <c r="I575">
        <f>DropAnalityka[[#This Row],[Sell Drop]]+IF(DropAnalityka[[#This Row],[Drop]]="Scroll", 2000*DropAnalityka[[#This Row],[Quality/Quantity]],0)</f>
        <v>0</v>
      </c>
      <c r="J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9:11">
      <c r="I576">
        <f>DropAnalityka[[#This Row],[Sell Drop]]+IF(DropAnalityka[[#This Row],[Drop]]="Scroll", 2000*DropAnalityka[[#This Row],[Quality/Quantity]],0)</f>
        <v>0</v>
      </c>
      <c r="J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9:11">
      <c r="I577">
        <f>DropAnalityka[[#This Row],[Sell Drop]]+IF(DropAnalityka[[#This Row],[Drop]]="Scroll", 2000*DropAnalityka[[#This Row],[Quality/Quantity]],0)</f>
        <v>0</v>
      </c>
      <c r="J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9:11">
      <c r="I578">
        <f>DropAnalityka[[#This Row],[Sell Drop]]+IF(DropAnalityka[[#This Row],[Drop]]="Scroll", 2000*DropAnalityka[[#This Row],[Quality/Quantity]],0)</f>
        <v>0</v>
      </c>
      <c r="J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9:11">
      <c r="I579">
        <f>DropAnalityka[[#This Row],[Sell Drop]]+IF(DropAnalityka[[#This Row],[Drop]]="Scroll", 2000*DropAnalityka[[#This Row],[Quality/Quantity]],0)</f>
        <v>0</v>
      </c>
      <c r="J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9:11">
      <c r="I580">
        <f>DropAnalityka[[#This Row],[Sell Drop]]+IF(DropAnalityka[[#This Row],[Drop]]="Scroll", 2000*DropAnalityka[[#This Row],[Quality/Quantity]],0)</f>
        <v>0</v>
      </c>
      <c r="J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9:11">
      <c r="I581">
        <f>DropAnalityka[[#This Row],[Sell Drop]]+IF(DropAnalityka[[#This Row],[Drop]]="Scroll", 2000*DropAnalityka[[#This Row],[Quality/Quantity]],0)</f>
        <v>0</v>
      </c>
      <c r="J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9:11">
      <c r="I582">
        <f>DropAnalityka[[#This Row],[Sell Drop]]+IF(DropAnalityka[[#This Row],[Drop]]="Scroll", 2000*DropAnalityka[[#This Row],[Quality/Quantity]],0)</f>
        <v>0</v>
      </c>
      <c r="J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9:11">
      <c r="I583">
        <f>DropAnalityka[[#This Row],[Sell Drop]]+IF(DropAnalityka[[#This Row],[Drop]]="Scroll", 2000*DropAnalityka[[#This Row],[Quality/Quantity]],0)</f>
        <v>0</v>
      </c>
      <c r="J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9:11">
      <c r="I584">
        <f>DropAnalityka[[#This Row],[Sell Drop]]+IF(DropAnalityka[[#This Row],[Drop]]="Scroll", 2000*DropAnalityka[[#This Row],[Quality/Quantity]],0)</f>
        <v>0</v>
      </c>
      <c r="J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9:11">
      <c r="I585">
        <f>DropAnalityka[[#This Row],[Sell Drop]]+IF(DropAnalityka[[#This Row],[Drop]]="Scroll", 2000*DropAnalityka[[#This Row],[Quality/Quantity]],0)</f>
        <v>0</v>
      </c>
      <c r="J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9:11">
      <c r="I586">
        <f>DropAnalityka[[#This Row],[Sell Drop]]+IF(DropAnalityka[[#This Row],[Drop]]="Scroll", 2000*DropAnalityka[[#This Row],[Quality/Quantity]],0)</f>
        <v>0</v>
      </c>
      <c r="J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7" spans="9:11">
      <c r="I587">
        <f>DropAnalityka[[#This Row],[Sell Drop]]+IF(DropAnalityka[[#This Row],[Drop]]="Scroll", 2000*DropAnalityka[[#This Row],[Quality/Quantity]],0)</f>
        <v>0</v>
      </c>
      <c r="J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8" spans="9:11">
      <c r="I588">
        <f>DropAnalityka[[#This Row],[Sell Drop]]+IF(DropAnalityka[[#This Row],[Drop]]="Scroll", 2000*DropAnalityka[[#This Row],[Quality/Quantity]],0)</f>
        <v>0</v>
      </c>
      <c r="J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9:11">
      <c r="I589">
        <f>DropAnalityka[[#This Row],[Sell Drop]]+IF(DropAnalityka[[#This Row],[Drop]]="Scroll", 2000*DropAnalityka[[#This Row],[Quality/Quantity]],0)</f>
        <v>0</v>
      </c>
      <c r="J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9:11">
      <c r="I590">
        <f>DropAnalityka[[#This Row],[Sell Drop]]+IF(DropAnalityka[[#This Row],[Drop]]="Scroll", 2000*DropAnalityka[[#This Row],[Quality/Quantity]],0)</f>
        <v>0</v>
      </c>
      <c r="J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9:11">
      <c r="I591">
        <f>DropAnalityka[[#This Row],[Sell Drop]]+IF(DropAnalityka[[#This Row],[Drop]]="Scroll", 2000*DropAnalityka[[#This Row],[Quality/Quantity]],0)</f>
        <v>0</v>
      </c>
      <c r="J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9:11">
      <c r="I592">
        <f>DropAnalityka[[#This Row],[Sell Drop]]+IF(DropAnalityka[[#This Row],[Drop]]="Scroll", 2000*DropAnalityka[[#This Row],[Quality/Quantity]],0)</f>
        <v>0</v>
      </c>
      <c r="J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9:11">
      <c r="I593">
        <f>DropAnalityka[[#This Row],[Sell Drop]]+IF(DropAnalityka[[#This Row],[Drop]]="Scroll", 2000*DropAnalityka[[#This Row],[Quality/Quantity]],0)</f>
        <v>0</v>
      </c>
      <c r="J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9:11">
      <c r="I594">
        <f>DropAnalityka[[#This Row],[Sell Drop]]+IF(DropAnalityka[[#This Row],[Drop]]="Scroll", 2000*DropAnalityka[[#This Row],[Quality/Quantity]],0)</f>
        <v>0</v>
      </c>
      <c r="J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9:11">
      <c r="I595">
        <f>DropAnalityka[[#This Row],[Sell Drop]]+IF(DropAnalityka[[#This Row],[Drop]]="Scroll", 2000*DropAnalityka[[#This Row],[Quality/Quantity]],0)</f>
        <v>0</v>
      </c>
      <c r="J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9:11">
      <c r="I596">
        <f>DropAnalityka[[#This Row],[Sell Drop]]+IF(DropAnalityka[[#This Row],[Drop]]="Scroll", 2000*DropAnalityka[[#This Row],[Quality/Quantity]],0)</f>
        <v>0</v>
      </c>
      <c r="J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9:11">
      <c r="I597">
        <f>DropAnalityka[[#This Row],[Sell Drop]]+IF(DropAnalityka[[#This Row],[Drop]]="Scroll", 2000*DropAnalityka[[#This Row],[Quality/Quantity]],0)</f>
        <v>0</v>
      </c>
      <c r="J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9:11">
      <c r="I598">
        <f>DropAnalityka[[#This Row],[Sell Drop]]+IF(DropAnalityka[[#This Row],[Drop]]="Scroll", 2000*DropAnalityka[[#This Row],[Quality/Quantity]],0)</f>
        <v>0</v>
      </c>
      <c r="J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9:11">
      <c r="I599">
        <f>DropAnalityka[[#This Row],[Sell Drop]]+IF(DropAnalityka[[#This Row],[Drop]]="Scroll", 2000*DropAnalityka[[#This Row],[Quality/Quantity]],0)</f>
        <v>0</v>
      </c>
      <c r="J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9:11">
      <c r="I600">
        <f>DropAnalityka[[#This Row],[Sell Drop]]+IF(DropAnalityka[[#This Row],[Drop]]="Scroll", 2000*DropAnalityka[[#This Row],[Quality/Quantity]],0)</f>
        <v>0</v>
      </c>
      <c r="J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9:11">
      <c r="I601">
        <f>DropAnalityka[[#This Row],[Sell Drop]]+IF(DropAnalityka[[#This Row],[Drop]]="Scroll", 2000*DropAnalityka[[#This Row],[Quality/Quantity]],0)</f>
        <v>0</v>
      </c>
      <c r="J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9:11">
      <c r="I602">
        <f>DropAnalityka[[#This Row],[Sell Drop]]+IF(DropAnalityka[[#This Row],[Drop]]="Scroll", 2000*DropAnalityka[[#This Row],[Quality/Quantity]],0)</f>
        <v>0</v>
      </c>
      <c r="J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9:11">
      <c r="I603">
        <f>DropAnalityka[[#This Row],[Sell Drop]]+IF(DropAnalityka[[#This Row],[Drop]]="Scroll", 2000*DropAnalityka[[#This Row],[Quality/Quantity]],0)</f>
        <v>0</v>
      </c>
      <c r="J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9:11">
      <c r="I604">
        <f>DropAnalityka[[#This Row],[Sell Drop]]+IF(DropAnalityka[[#This Row],[Drop]]="Scroll", 2000*DropAnalityka[[#This Row],[Quality/Quantity]],0)</f>
        <v>0</v>
      </c>
      <c r="J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5" spans="9:11">
      <c r="I605">
        <f>DropAnalityka[[#This Row],[Sell Drop]]+IF(DropAnalityka[[#This Row],[Drop]]="Scroll", 2000*DropAnalityka[[#This Row],[Quality/Quantity]],0)</f>
        <v>0</v>
      </c>
      <c r="J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9:11">
      <c r="I606">
        <f>DropAnalityka[[#This Row],[Sell Drop]]+IF(DropAnalityka[[#This Row],[Drop]]="Scroll", 2000*DropAnalityka[[#This Row],[Quality/Quantity]],0)</f>
        <v>0</v>
      </c>
      <c r="J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9:11">
      <c r="I607">
        <f>DropAnalityka[[#This Row],[Sell Drop]]+IF(DropAnalityka[[#This Row],[Drop]]="Scroll", 2000*DropAnalityka[[#This Row],[Quality/Quantity]],0)</f>
        <v>0</v>
      </c>
      <c r="J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9:11">
      <c r="I608">
        <f>DropAnalityka[[#This Row],[Sell Drop]]+IF(DropAnalityka[[#This Row],[Drop]]="Scroll", 2000*DropAnalityka[[#This Row],[Quality/Quantity]],0)</f>
        <v>0</v>
      </c>
      <c r="J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9:11">
      <c r="I609">
        <f>DropAnalityka[[#This Row],[Sell Drop]]+IF(DropAnalityka[[#This Row],[Drop]]="Scroll", 2000*DropAnalityka[[#This Row],[Quality/Quantity]],0)</f>
        <v>0</v>
      </c>
      <c r="J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9:11">
      <c r="I610">
        <f>DropAnalityka[[#This Row],[Sell Drop]]+IF(DropAnalityka[[#This Row],[Drop]]="Scroll", 2000*DropAnalityka[[#This Row],[Quality/Quantity]],0)</f>
        <v>0</v>
      </c>
      <c r="J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9:11">
      <c r="I611">
        <f>DropAnalityka[[#This Row],[Sell Drop]]+IF(DropAnalityka[[#This Row],[Drop]]="Scroll", 2000*DropAnalityka[[#This Row],[Quality/Quantity]],0)</f>
        <v>0</v>
      </c>
      <c r="J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2" spans="9:11">
      <c r="I612">
        <f>DropAnalityka[[#This Row],[Sell Drop]]+IF(DropAnalityka[[#This Row],[Drop]]="Scroll", 2000*DropAnalityka[[#This Row],[Quality/Quantity]],0)</f>
        <v>0</v>
      </c>
      <c r="J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9:11">
      <c r="I613">
        <f>DropAnalityka[[#This Row],[Sell Drop]]+IF(DropAnalityka[[#This Row],[Drop]]="Scroll", 2000*DropAnalityka[[#This Row],[Quality/Quantity]],0)</f>
        <v>0</v>
      </c>
      <c r="J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9:11">
      <c r="I614">
        <f>DropAnalityka[[#This Row],[Sell Drop]]+IF(DropAnalityka[[#This Row],[Drop]]="Scroll", 2000*DropAnalityka[[#This Row],[Quality/Quantity]],0)</f>
        <v>0</v>
      </c>
      <c r="J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9:11">
      <c r="I615">
        <f>DropAnalityka[[#This Row],[Sell Drop]]+IF(DropAnalityka[[#This Row],[Drop]]="Scroll", 2000*DropAnalityka[[#This Row],[Quality/Quantity]],0)</f>
        <v>0</v>
      </c>
      <c r="J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9:11">
      <c r="I616">
        <f>DropAnalityka[[#This Row],[Sell Drop]]+IF(DropAnalityka[[#This Row],[Drop]]="Scroll", 2000*DropAnalityka[[#This Row],[Quality/Quantity]],0)</f>
        <v>0</v>
      </c>
      <c r="J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9:11">
      <c r="I617">
        <f>DropAnalityka[[#This Row],[Sell Drop]]+IF(DropAnalityka[[#This Row],[Drop]]="Scroll", 2000*DropAnalityka[[#This Row],[Quality/Quantity]],0)</f>
        <v>0</v>
      </c>
      <c r="J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9:11">
      <c r="I618">
        <f>DropAnalityka[[#This Row],[Sell Drop]]+IF(DropAnalityka[[#This Row],[Drop]]="Scroll", 2000*DropAnalityka[[#This Row],[Quality/Quantity]],0)</f>
        <v>0</v>
      </c>
      <c r="J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9:11">
      <c r="I619">
        <f>DropAnalityka[[#This Row],[Sell Drop]]+IF(DropAnalityka[[#This Row],[Drop]]="Scroll", 2000*DropAnalityka[[#This Row],[Quality/Quantity]],0)</f>
        <v>0</v>
      </c>
      <c r="J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9:11">
      <c r="I620">
        <f>DropAnalityka[[#This Row],[Sell Drop]]+IF(DropAnalityka[[#This Row],[Drop]]="Scroll", 2000*DropAnalityka[[#This Row],[Quality/Quantity]],0)</f>
        <v>0</v>
      </c>
      <c r="J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9:11">
      <c r="I621">
        <f>DropAnalityka[[#This Row],[Sell Drop]]+IF(DropAnalityka[[#This Row],[Drop]]="Scroll", 2000*DropAnalityka[[#This Row],[Quality/Quantity]],0)</f>
        <v>0</v>
      </c>
      <c r="J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9:11">
      <c r="I622">
        <f>DropAnalityka[[#This Row],[Sell Drop]]+IF(DropAnalityka[[#This Row],[Drop]]="Scroll", 2000*DropAnalityka[[#This Row],[Quality/Quantity]],0)</f>
        <v>0</v>
      </c>
      <c r="J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9:11">
      <c r="I623">
        <f>DropAnalityka[[#This Row],[Sell Drop]]+IF(DropAnalityka[[#This Row],[Drop]]="Scroll", 2000*DropAnalityka[[#This Row],[Quality/Quantity]],0)</f>
        <v>0</v>
      </c>
      <c r="J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9:11">
      <c r="I624">
        <f>DropAnalityka[[#This Row],[Sell Drop]]+IF(DropAnalityka[[#This Row],[Drop]]="Scroll", 2000*DropAnalityka[[#This Row],[Quality/Quantity]],0)</f>
        <v>0</v>
      </c>
      <c r="J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9:11">
      <c r="I625">
        <f>DropAnalityka[[#This Row],[Sell Drop]]+IF(DropAnalityka[[#This Row],[Drop]]="Scroll", 2000*DropAnalityka[[#This Row],[Quality/Quantity]],0)</f>
        <v>0</v>
      </c>
      <c r="J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9:11">
      <c r="I626">
        <f>DropAnalityka[[#This Row],[Sell Drop]]+IF(DropAnalityka[[#This Row],[Drop]]="Scroll", 2000*DropAnalityka[[#This Row],[Quality/Quantity]],0)</f>
        <v>0</v>
      </c>
      <c r="J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9:11">
      <c r="I627">
        <f>DropAnalityka[[#This Row],[Sell Drop]]+IF(DropAnalityka[[#This Row],[Drop]]="Scroll", 2000*DropAnalityka[[#This Row],[Quality/Quantity]],0)</f>
        <v>0</v>
      </c>
      <c r="J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9:11">
      <c r="I628">
        <f>DropAnalityka[[#This Row],[Sell Drop]]+IF(DropAnalityka[[#This Row],[Drop]]="Scroll", 2000*DropAnalityka[[#This Row],[Quality/Quantity]],0)</f>
        <v>0</v>
      </c>
      <c r="J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9:11">
      <c r="I629">
        <f>DropAnalityka[[#This Row],[Sell Drop]]+IF(DropAnalityka[[#This Row],[Drop]]="Scroll", 2000*DropAnalityka[[#This Row],[Quality/Quantity]],0)</f>
        <v>0</v>
      </c>
      <c r="J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9:11">
      <c r="I630">
        <f>DropAnalityka[[#This Row],[Sell Drop]]+IF(DropAnalityka[[#This Row],[Drop]]="Scroll", 2000*DropAnalityka[[#This Row],[Quality/Quantity]],0)</f>
        <v>0</v>
      </c>
      <c r="J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9:11">
      <c r="I631">
        <f>DropAnalityka[[#This Row],[Sell Drop]]+IF(DropAnalityka[[#This Row],[Drop]]="Scroll", 2000*DropAnalityka[[#This Row],[Quality/Quantity]],0)</f>
        <v>0</v>
      </c>
      <c r="J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9:11">
      <c r="I632">
        <f>DropAnalityka[[#This Row],[Sell Drop]]+IF(DropAnalityka[[#This Row],[Drop]]="Scroll", 2000*DropAnalityka[[#This Row],[Quality/Quantity]],0)</f>
        <v>0</v>
      </c>
      <c r="J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9:11">
      <c r="I633">
        <f>DropAnalityka[[#This Row],[Sell Drop]]+IF(DropAnalityka[[#This Row],[Drop]]="Scroll", 2000*DropAnalityka[[#This Row],[Quality/Quantity]],0)</f>
        <v>0</v>
      </c>
      <c r="J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9:11">
      <c r="I634">
        <f>DropAnalityka[[#This Row],[Sell Drop]]+IF(DropAnalityka[[#This Row],[Drop]]="Scroll", 2000*DropAnalityka[[#This Row],[Quality/Quantity]],0)</f>
        <v>0</v>
      </c>
      <c r="J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9:11">
      <c r="I635">
        <f>DropAnalityka[[#This Row],[Sell Drop]]+IF(DropAnalityka[[#This Row],[Drop]]="Scroll", 2000*DropAnalityka[[#This Row],[Quality/Quantity]],0)</f>
        <v>0</v>
      </c>
      <c r="J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9:11">
      <c r="I636">
        <f>DropAnalityka[[#This Row],[Sell Drop]]+IF(DropAnalityka[[#This Row],[Drop]]="Scroll", 2000*DropAnalityka[[#This Row],[Quality/Quantity]],0)</f>
        <v>0</v>
      </c>
      <c r="J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9:11">
      <c r="I637">
        <f>DropAnalityka[[#This Row],[Sell Drop]]+IF(DropAnalityka[[#This Row],[Drop]]="Scroll", 2000*DropAnalityka[[#This Row],[Quality/Quantity]],0)</f>
        <v>0</v>
      </c>
      <c r="J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9:11">
      <c r="I638">
        <f>DropAnalityka[[#This Row],[Sell Drop]]+IF(DropAnalityka[[#This Row],[Drop]]="Scroll", 2000*DropAnalityka[[#This Row],[Quality/Quantity]],0)</f>
        <v>0</v>
      </c>
      <c r="J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9:11">
      <c r="I639">
        <f>DropAnalityka[[#This Row],[Sell Drop]]+IF(DropAnalityka[[#This Row],[Drop]]="Scroll", 2000*DropAnalityka[[#This Row],[Quality/Quantity]],0)</f>
        <v>0</v>
      </c>
      <c r="J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9:11">
      <c r="I640">
        <f>DropAnalityka[[#This Row],[Sell Drop]]+IF(DropAnalityka[[#This Row],[Drop]]="Scroll", 2000*DropAnalityka[[#This Row],[Quality/Quantity]],0)</f>
        <v>0</v>
      </c>
      <c r="J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9:11">
      <c r="I641">
        <f>DropAnalityka[[#This Row],[Sell Drop]]+IF(DropAnalityka[[#This Row],[Drop]]="Scroll", 2000*DropAnalityka[[#This Row],[Quality/Quantity]],0)</f>
        <v>0</v>
      </c>
      <c r="J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9:11">
      <c r="I642">
        <f>DropAnalityka[[#This Row],[Sell Drop]]+IF(DropAnalityka[[#This Row],[Drop]]="Scroll", 2000*DropAnalityka[[#This Row],[Quality/Quantity]],0)</f>
        <v>0</v>
      </c>
      <c r="J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9:11">
      <c r="I643">
        <f>DropAnalityka[[#This Row],[Sell Drop]]+IF(DropAnalityka[[#This Row],[Drop]]="Scroll", 2000*DropAnalityka[[#This Row],[Quality/Quantity]],0)</f>
        <v>0</v>
      </c>
      <c r="J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9:11">
      <c r="I644">
        <f>DropAnalityka[[#This Row],[Sell Drop]]+IF(DropAnalityka[[#This Row],[Drop]]="Scroll", 2000*DropAnalityka[[#This Row],[Quality/Quantity]],0)</f>
        <v>0</v>
      </c>
      <c r="J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9:11">
      <c r="I645">
        <f>DropAnalityka[[#This Row],[Sell Drop]]+IF(DropAnalityka[[#This Row],[Drop]]="Scroll", 2000*DropAnalityka[[#This Row],[Quality/Quantity]],0)</f>
        <v>0</v>
      </c>
      <c r="J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9:11">
      <c r="I646">
        <f>DropAnalityka[[#This Row],[Sell Drop]]+IF(DropAnalityka[[#This Row],[Drop]]="Scroll", 2000*DropAnalityka[[#This Row],[Quality/Quantity]],0)</f>
        <v>0</v>
      </c>
      <c r="J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9:11">
      <c r="I647">
        <f>DropAnalityka[[#This Row],[Sell Drop]]+IF(DropAnalityka[[#This Row],[Drop]]="Scroll", 2000*DropAnalityka[[#This Row],[Quality/Quantity]],0)</f>
        <v>0</v>
      </c>
      <c r="J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9:11">
      <c r="I648">
        <f>DropAnalityka[[#This Row],[Sell Drop]]+IF(DropAnalityka[[#This Row],[Drop]]="Scroll", 2000*DropAnalityka[[#This Row],[Quality/Quantity]],0)</f>
        <v>0</v>
      </c>
      <c r="J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9:11">
      <c r="I649">
        <f>DropAnalityka[[#This Row],[Sell Drop]]+IF(DropAnalityka[[#This Row],[Drop]]="Scroll", 2000*DropAnalityka[[#This Row],[Quality/Quantity]],0)</f>
        <v>0</v>
      </c>
      <c r="J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9:11">
      <c r="I650">
        <f>DropAnalityka[[#This Row],[Sell Drop]]+IF(DropAnalityka[[#This Row],[Drop]]="Scroll", 2000*DropAnalityka[[#This Row],[Quality/Quantity]],0)</f>
        <v>0</v>
      </c>
      <c r="J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9:11">
      <c r="I651">
        <f>DropAnalityka[[#This Row],[Sell Drop]]+IF(DropAnalityka[[#This Row],[Drop]]="Scroll", 2000*DropAnalityka[[#This Row],[Quality/Quantity]],0)</f>
        <v>0</v>
      </c>
      <c r="J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9:11">
      <c r="I652">
        <f>DropAnalityka[[#This Row],[Sell Drop]]+IF(DropAnalityka[[#This Row],[Drop]]="Scroll", 2000*DropAnalityka[[#This Row],[Quality/Quantity]],0)</f>
        <v>0</v>
      </c>
      <c r="J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9:11">
      <c r="I653">
        <f>DropAnalityka[[#This Row],[Sell Drop]]+IF(DropAnalityka[[#This Row],[Drop]]="Scroll", 2000*DropAnalityka[[#This Row],[Quality/Quantity]],0)</f>
        <v>0</v>
      </c>
      <c r="J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4" spans="9:11">
      <c r="I654">
        <f>DropAnalityka[[#This Row],[Sell Drop]]+IF(DropAnalityka[[#This Row],[Drop]]="Scroll", 2000*DropAnalityka[[#This Row],[Quality/Quantity]],0)</f>
        <v>0</v>
      </c>
      <c r="J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9:11">
      <c r="I655">
        <f>DropAnalityka[[#This Row],[Sell Drop]]+IF(DropAnalityka[[#This Row],[Drop]]="Scroll", 2000*DropAnalityka[[#This Row],[Quality/Quantity]],0)</f>
        <v>0</v>
      </c>
      <c r="J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9:11">
      <c r="I656">
        <f>DropAnalityka[[#This Row],[Sell Drop]]+IF(DropAnalityka[[#This Row],[Drop]]="Scroll", 2000*DropAnalityka[[#This Row],[Quality/Quantity]],0)</f>
        <v>0</v>
      </c>
      <c r="J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9:11">
      <c r="I657">
        <f>DropAnalityka[[#This Row],[Sell Drop]]+IF(DropAnalityka[[#This Row],[Drop]]="Scroll", 2000*DropAnalityka[[#This Row],[Quality/Quantity]],0)</f>
        <v>0</v>
      </c>
      <c r="J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9:11">
      <c r="I658">
        <f>DropAnalityka[[#This Row],[Sell Drop]]+IF(DropAnalityka[[#This Row],[Drop]]="Scroll", 2000*DropAnalityka[[#This Row],[Quality/Quantity]],0)</f>
        <v>0</v>
      </c>
      <c r="J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9:11">
      <c r="I659">
        <f>DropAnalityka[[#This Row],[Sell Drop]]+IF(DropAnalityka[[#This Row],[Drop]]="Scroll", 2000*DropAnalityka[[#This Row],[Quality/Quantity]],0)</f>
        <v>0</v>
      </c>
      <c r="J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9:11">
      <c r="I660">
        <f>DropAnalityka[[#This Row],[Sell Drop]]+IF(DropAnalityka[[#This Row],[Drop]]="Scroll", 2000*DropAnalityka[[#This Row],[Quality/Quantity]],0)</f>
        <v>0</v>
      </c>
      <c r="J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9:11">
      <c r="I661">
        <f>DropAnalityka[[#This Row],[Sell Drop]]+IF(DropAnalityka[[#This Row],[Drop]]="Scroll", 2000*DropAnalityka[[#This Row],[Quality/Quantity]],0)</f>
        <v>0</v>
      </c>
      <c r="J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9:11">
      <c r="I662">
        <f>DropAnalityka[[#This Row],[Sell Drop]]+IF(DropAnalityka[[#This Row],[Drop]]="Scroll", 2000*DropAnalityka[[#This Row],[Quality/Quantity]],0)</f>
        <v>0</v>
      </c>
      <c r="J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9:11">
      <c r="I663">
        <f>DropAnalityka[[#This Row],[Sell Drop]]+IF(DropAnalityka[[#This Row],[Drop]]="Scroll", 2000*DropAnalityka[[#This Row],[Quality/Quantity]],0)</f>
        <v>0</v>
      </c>
      <c r="J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9:11">
      <c r="I664">
        <f>DropAnalityka[[#This Row],[Sell Drop]]+IF(DropAnalityka[[#This Row],[Drop]]="Scroll", 2000*DropAnalityka[[#This Row],[Quality/Quantity]],0)</f>
        <v>0</v>
      </c>
      <c r="J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9:11">
      <c r="I665">
        <f>DropAnalityka[[#This Row],[Sell Drop]]+IF(DropAnalityka[[#This Row],[Drop]]="Scroll", 2000*DropAnalityka[[#This Row],[Quality/Quantity]],0)</f>
        <v>0</v>
      </c>
      <c r="J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9:11">
      <c r="I666">
        <f>DropAnalityka[[#This Row],[Sell Drop]]+IF(DropAnalityka[[#This Row],[Drop]]="Scroll", 2000*DropAnalityka[[#This Row],[Quality/Quantity]],0)</f>
        <v>0</v>
      </c>
      <c r="J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9:11">
      <c r="I667">
        <f>DropAnalityka[[#This Row],[Sell Drop]]+IF(DropAnalityka[[#This Row],[Drop]]="Scroll", 2000*DropAnalityka[[#This Row],[Quality/Quantity]],0)</f>
        <v>0</v>
      </c>
      <c r="J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9:11">
      <c r="I668">
        <f>DropAnalityka[[#This Row],[Sell Drop]]+IF(DropAnalityka[[#This Row],[Drop]]="Scroll", 2000*DropAnalityka[[#This Row],[Quality/Quantity]],0)</f>
        <v>0</v>
      </c>
      <c r="J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9:11">
      <c r="I669">
        <f>DropAnalityka[[#This Row],[Sell Drop]]+IF(DropAnalityka[[#This Row],[Drop]]="Scroll", 2000*DropAnalityka[[#This Row],[Quality/Quantity]],0)</f>
        <v>0</v>
      </c>
      <c r="J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9:11">
      <c r="I670">
        <f>DropAnalityka[[#This Row],[Sell Drop]]+IF(DropAnalityka[[#This Row],[Drop]]="Scroll", 2000*DropAnalityka[[#This Row],[Quality/Quantity]],0)</f>
        <v>0</v>
      </c>
      <c r="J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9:11">
      <c r="I671">
        <f>DropAnalityka[[#This Row],[Sell Drop]]+IF(DropAnalityka[[#This Row],[Drop]]="Scroll", 2000*DropAnalityka[[#This Row],[Quality/Quantity]],0)</f>
        <v>0</v>
      </c>
      <c r="J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9:11">
      <c r="I672">
        <f>DropAnalityka[[#This Row],[Sell Drop]]+IF(DropAnalityka[[#This Row],[Drop]]="Scroll", 2000*DropAnalityka[[#This Row],[Quality/Quantity]],0)</f>
        <v>0</v>
      </c>
      <c r="J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9:11">
      <c r="I673">
        <f>DropAnalityka[[#This Row],[Sell Drop]]+IF(DropAnalityka[[#This Row],[Drop]]="Scroll", 2000*DropAnalityka[[#This Row],[Quality/Quantity]],0)</f>
        <v>0</v>
      </c>
      <c r="J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9:11">
      <c r="I674">
        <f>DropAnalityka[[#This Row],[Sell Drop]]+IF(DropAnalityka[[#This Row],[Drop]]="Scroll", 2000*DropAnalityka[[#This Row],[Quality/Quantity]],0)</f>
        <v>0</v>
      </c>
      <c r="J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9:11">
      <c r="I675">
        <f>DropAnalityka[[#This Row],[Sell Drop]]+IF(DropAnalityka[[#This Row],[Drop]]="Scroll", 2000*DropAnalityka[[#This Row],[Quality/Quantity]],0)</f>
        <v>0</v>
      </c>
      <c r="J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9:11">
      <c r="I676">
        <f>DropAnalityka[[#This Row],[Sell Drop]]+IF(DropAnalityka[[#This Row],[Drop]]="Scroll", 2000*DropAnalityka[[#This Row],[Quality/Quantity]],0)</f>
        <v>0</v>
      </c>
      <c r="J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9:11">
      <c r="I677">
        <f>DropAnalityka[[#This Row],[Sell Drop]]+IF(DropAnalityka[[#This Row],[Drop]]="Scroll", 2000*DropAnalityka[[#This Row],[Quality/Quantity]],0)</f>
        <v>0</v>
      </c>
      <c r="J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9:11">
      <c r="I678">
        <f>DropAnalityka[[#This Row],[Sell Drop]]+IF(DropAnalityka[[#This Row],[Drop]]="Scroll", 2000*DropAnalityka[[#This Row],[Quality/Quantity]],0)</f>
        <v>0</v>
      </c>
      <c r="J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9:11">
      <c r="I679">
        <f>DropAnalityka[[#This Row],[Sell Drop]]+IF(DropAnalityka[[#This Row],[Drop]]="Scroll", 2000*DropAnalityka[[#This Row],[Quality/Quantity]],0)</f>
        <v>0</v>
      </c>
      <c r="J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9:11">
      <c r="I680">
        <f>DropAnalityka[[#This Row],[Sell Drop]]+IF(DropAnalityka[[#This Row],[Drop]]="Scroll", 2000*DropAnalityka[[#This Row],[Quality/Quantity]],0)</f>
        <v>0</v>
      </c>
      <c r="J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9:11">
      <c r="I681">
        <f>DropAnalityka[[#This Row],[Sell Drop]]+IF(DropAnalityka[[#This Row],[Drop]]="Scroll", 2000*DropAnalityka[[#This Row],[Quality/Quantity]],0)</f>
        <v>0</v>
      </c>
      <c r="J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9:11">
      <c r="I682">
        <f>DropAnalityka[[#This Row],[Sell Drop]]+IF(DropAnalityka[[#This Row],[Drop]]="Scroll", 2000*DropAnalityka[[#This Row],[Quality/Quantity]],0)</f>
        <v>0</v>
      </c>
      <c r="J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9:11">
      <c r="I683">
        <f>DropAnalityka[[#This Row],[Sell Drop]]+IF(DropAnalityka[[#This Row],[Drop]]="Scroll", 2000*DropAnalityka[[#This Row],[Quality/Quantity]],0)</f>
        <v>0</v>
      </c>
      <c r="J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9:11">
      <c r="I684">
        <f>DropAnalityka[[#This Row],[Sell Drop]]+IF(DropAnalityka[[#This Row],[Drop]]="Scroll", 2000*DropAnalityka[[#This Row],[Quality/Quantity]],0)</f>
        <v>0</v>
      </c>
      <c r="J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9:11">
      <c r="I685">
        <f>DropAnalityka[[#This Row],[Sell Drop]]+IF(DropAnalityka[[#This Row],[Drop]]="Scroll", 2000*DropAnalityka[[#This Row],[Quality/Quantity]],0)</f>
        <v>0</v>
      </c>
      <c r="J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9:11">
      <c r="I686">
        <f>DropAnalityka[[#This Row],[Sell Drop]]+IF(DropAnalityka[[#This Row],[Drop]]="Scroll", 2000*DropAnalityka[[#This Row],[Quality/Quantity]],0)</f>
        <v>0</v>
      </c>
      <c r="J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9:11">
      <c r="I687">
        <f>DropAnalityka[[#This Row],[Sell Drop]]+IF(DropAnalityka[[#This Row],[Drop]]="Scroll", 2000*DropAnalityka[[#This Row],[Quality/Quantity]],0)</f>
        <v>0</v>
      </c>
      <c r="J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9:11">
      <c r="I688">
        <f>DropAnalityka[[#This Row],[Sell Drop]]+IF(DropAnalityka[[#This Row],[Drop]]="Scroll", 2000*DropAnalityka[[#This Row],[Quality/Quantity]],0)</f>
        <v>0</v>
      </c>
      <c r="J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9:11">
      <c r="I689">
        <f>DropAnalityka[[#This Row],[Sell Drop]]+IF(DropAnalityka[[#This Row],[Drop]]="Scroll", 2000*DropAnalityka[[#This Row],[Quality/Quantity]],0)</f>
        <v>0</v>
      </c>
      <c r="J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9:11">
      <c r="I690">
        <f>DropAnalityka[[#This Row],[Sell Drop]]+IF(DropAnalityka[[#This Row],[Drop]]="Scroll", 2000*DropAnalityka[[#This Row],[Quality/Quantity]],0)</f>
        <v>0</v>
      </c>
      <c r="J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9:11">
      <c r="I691">
        <f>DropAnalityka[[#This Row],[Sell Drop]]+IF(DropAnalityka[[#This Row],[Drop]]="Scroll", 2000*DropAnalityka[[#This Row],[Quality/Quantity]],0)</f>
        <v>0</v>
      </c>
      <c r="J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9:11">
      <c r="I692">
        <f>DropAnalityka[[#This Row],[Sell Drop]]+IF(DropAnalityka[[#This Row],[Drop]]="Scroll", 2000*DropAnalityka[[#This Row],[Quality/Quantity]],0)</f>
        <v>0</v>
      </c>
      <c r="J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9:11">
      <c r="I693">
        <f>DropAnalityka[[#This Row],[Sell Drop]]+IF(DropAnalityka[[#This Row],[Drop]]="Scroll", 2000*DropAnalityka[[#This Row],[Quality/Quantity]],0)</f>
        <v>0</v>
      </c>
      <c r="J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9:11">
      <c r="I694">
        <f>DropAnalityka[[#This Row],[Sell Drop]]+IF(DropAnalityka[[#This Row],[Drop]]="Scroll", 2000*DropAnalityka[[#This Row],[Quality/Quantity]],0)</f>
        <v>0</v>
      </c>
      <c r="J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9:11">
      <c r="I695">
        <f>DropAnalityka[[#This Row],[Sell Drop]]+IF(DropAnalityka[[#This Row],[Drop]]="Scroll", 2000*DropAnalityka[[#This Row],[Quality/Quantity]],0)</f>
        <v>0</v>
      </c>
      <c r="J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9:11">
      <c r="I696">
        <f>DropAnalityka[[#This Row],[Sell Drop]]+IF(DropAnalityka[[#This Row],[Drop]]="Scroll", 2000*DropAnalityka[[#This Row],[Quality/Quantity]],0)</f>
        <v>0</v>
      </c>
      <c r="J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9:11">
      <c r="I697">
        <f>DropAnalityka[[#This Row],[Sell Drop]]+IF(DropAnalityka[[#This Row],[Drop]]="Scroll", 2000*DropAnalityka[[#This Row],[Quality/Quantity]],0)</f>
        <v>0</v>
      </c>
      <c r="J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9:11">
      <c r="I698">
        <f>DropAnalityka[[#This Row],[Sell Drop]]+IF(DropAnalityka[[#This Row],[Drop]]="Scroll", 2000*DropAnalityka[[#This Row],[Quality/Quantity]],0)</f>
        <v>0</v>
      </c>
      <c r="J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9:11">
      <c r="I699">
        <f>DropAnalityka[[#This Row],[Sell Drop]]+IF(DropAnalityka[[#This Row],[Drop]]="Scroll", 2000*DropAnalityka[[#This Row],[Quality/Quantity]],0)</f>
        <v>0</v>
      </c>
      <c r="J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9:11">
      <c r="I700">
        <f>DropAnalityka[[#This Row],[Sell Drop]]+IF(DropAnalityka[[#This Row],[Drop]]="Scroll", 2000*DropAnalityka[[#This Row],[Quality/Quantity]],0)</f>
        <v>0</v>
      </c>
      <c r="J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9:11">
      <c r="I701">
        <f>DropAnalityka[[#This Row],[Sell Drop]]+IF(DropAnalityka[[#This Row],[Drop]]="Scroll", 2000*DropAnalityka[[#This Row],[Quality/Quantity]],0)</f>
        <v>0</v>
      </c>
      <c r="J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9:11">
      <c r="I702">
        <f>DropAnalityka[[#This Row],[Sell Drop]]+IF(DropAnalityka[[#This Row],[Drop]]="Scroll", 2000*DropAnalityka[[#This Row],[Quality/Quantity]],0)</f>
        <v>0</v>
      </c>
      <c r="J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9:11">
      <c r="I703">
        <f>DropAnalityka[[#This Row],[Sell Drop]]+IF(DropAnalityka[[#This Row],[Drop]]="Scroll", 2000*DropAnalityka[[#This Row],[Quality/Quantity]],0)</f>
        <v>0</v>
      </c>
      <c r="J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9:11">
      <c r="I704">
        <f>DropAnalityka[[#This Row],[Sell Drop]]+IF(DropAnalityka[[#This Row],[Drop]]="Scroll", 2000*DropAnalityka[[#This Row],[Quality/Quantity]],0)</f>
        <v>0</v>
      </c>
      <c r="J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9:11">
      <c r="I705">
        <f>DropAnalityka[[#This Row],[Sell Drop]]+IF(DropAnalityka[[#This Row],[Drop]]="Scroll", 2000*DropAnalityka[[#This Row],[Quality/Quantity]],0)</f>
        <v>0</v>
      </c>
      <c r="J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9:11">
      <c r="I706">
        <f>DropAnalityka[[#This Row],[Sell Drop]]+IF(DropAnalityka[[#This Row],[Drop]]="Scroll", 2000*DropAnalityka[[#This Row],[Quality/Quantity]],0)</f>
        <v>0</v>
      </c>
      <c r="J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9:11">
      <c r="I707">
        <f>DropAnalityka[[#This Row],[Sell Drop]]+IF(DropAnalityka[[#This Row],[Drop]]="Scroll", 2000*DropAnalityka[[#This Row],[Quality/Quantity]],0)</f>
        <v>0</v>
      </c>
      <c r="J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9:11">
      <c r="I708">
        <f>DropAnalityka[[#This Row],[Sell Drop]]+IF(DropAnalityka[[#This Row],[Drop]]="Scroll", 2000*DropAnalityka[[#This Row],[Quality/Quantity]],0)</f>
        <v>0</v>
      </c>
      <c r="J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9:11">
      <c r="I709">
        <f>DropAnalityka[[#This Row],[Sell Drop]]+IF(DropAnalityka[[#This Row],[Drop]]="Scroll", 2000*DropAnalityka[[#This Row],[Quality/Quantity]],0)</f>
        <v>0</v>
      </c>
      <c r="J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9:11">
      <c r="I710">
        <f>DropAnalityka[[#This Row],[Sell Drop]]+IF(DropAnalityka[[#This Row],[Drop]]="Scroll", 2000*DropAnalityka[[#This Row],[Quality/Quantity]],0)</f>
        <v>0</v>
      </c>
      <c r="J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9:11">
      <c r="I711">
        <f>DropAnalityka[[#This Row],[Sell Drop]]+IF(DropAnalityka[[#This Row],[Drop]]="Scroll", 2000*DropAnalityka[[#This Row],[Quality/Quantity]],0)</f>
        <v>0</v>
      </c>
      <c r="J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9:11">
      <c r="I712">
        <f>DropAnalityka[[#This Row],[Sell Drop]]+IF(DropAnalityka[[#This Row],[Drop]]="Scroll", 2000*DropAnalityka[[#This Row],[Quality/Quantity]],0)</f>
        <v>0</v>
      </c>
      <c r="J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9:11">
      <c r="I713">
        <f>DropAnalityka[[#This Row],[Sell Drop]]+IF(DropAnalityka[[#This Row],[Drop]]="Scroll", 2000*DropAnalityka[[#This Row],[Quality/Quantity]],0)</f>
        <v>0</v>
      </c>
      <c r="J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9:11">
      <c r="I714">
        <f>DropAnalityka[[#This Row],[Sell Drop]]+IF(DropAnalityka[[#This Row],[Drop]]="Scroll", 2000*DropAnalityka[[#This Row],[Quality/Quantity]],0)</f>
        <v>0</v>
      </c>
      <c r="J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9:11">
      <c r="I715">
        <f>DropAnalityka[[#This Row],[Sell Drop]]+IF(DropAnalityka[[#This Row],[Drop]]="Scroll", 2000*DropAnalityka[[#This Row],[Quality/Quantity]],0)</f>
        <v>0</v>
      </c>
      <c r="J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9:11">
      <c r="I716">
        <f>DropAnalityka[[#This Row],[Sell Drop]]+IF(DropAnalityka[[#This Row],[Drop]]="Scroll", 2000*DropAnalityka[[#This Row],[Quality/Quantity]],0)</f>
        <v>0</v>
      </c>
      <c r="J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9:11">
      <c r="I717">
        <f>DropAnalityka[[#This Row],[Sell Drop]]+IF(DropAnalityka[[#This Row],[Drop]]="Scroll", 2000*DropAnalityka[[#This Row],[Quality/Quantity]],0)</f>
        <v>0</v>
      </c>
      <c r="J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9:11">
      <c r="I718">
        <f>DropAnalityka[[#This Row],[Sell Drop]]+IF(DropAnalityka[[#This Row],[Drop]]="Scroll", 2000*DropAnalityka[[#This Row],[Quality/Quantity]],0)</f>
        <v>0</v>
      </c>
      <c r="J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9:11">
      <c r="I719">
        <f>DropAnalityka[[#This Row],[Sell Drop]]+IF(DropAnalityka[[#This Row],[Drop]]="Scroll", 2000*DropAnalityka[[#This Row],[Quality/Quantity]],0)</f>
        <v>0</v>
      </c>
      <c r="J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9:11">
      <c r="I720">
        <f>DropAnalityka[[#This Row],[Sell Drop]]+IF(DropAnalityka[[#This Row],[Drop]]="Scroll", 2000*DropAnalityka[[#This Row],[Quality/Quantity]],0)</f>
        <v>0</v>
      </c>
      <c r="J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9:11">
      <c r="I721">
        <f>DropAnalityka[[#This Row],[Sell Drop]]+IF(DropAnalityka[[#This Row],[Drop]]="Scroll", 2000*DropAnalityka[[#This Row],[Quality/Quantity]],0)</f>
        <v>0</v>
      </c>
      <c r="J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9:11">
      <c r="I722">
        <f>DropAnalityka[[#This Row],[Sell Drop]]+IF(DropAnalityka[[#This Row],[Drop]]="Scroll", 2000*DropAnalityka[[#This Row],[Quality/Quantity]],0)</f>
        <v>0</v>
      </c>
      <c r="J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9:11">
      <c r="I723">
        <f>DropAnalityka[[#This Row],[Sell Drop]]+IF(DropAnalityka[[#This Row],[Drop]]="Scroll", 2000*DropAnalityka[[#This Row],[Quality/Quantity]],0)</f>
        <v>0</v>
      </c>
      <c r="J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9:11">
      <c r="I724">
        <f>DropAnalityka[[#This Row],[Sell Drop]]+IF(DropAnalityka[[#This Row],[Drop]]="Scroll", 2000*DropAnalityka[[#This Row],[Quality/Quantity]],0)</f>
        <v>0</v>
      </c>
      <c r="J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9:11">
      <c r="I725">
        <f>DropAnalityka[[#This Row],[Sell Drop]]+IF(DropAnalityka[[#This Row],[Drop]]="Scroll", 2000*DropAnalityka[[#This Row],[Quality/Quantity]],0)</f>
        <v>0</v>
      </c>
      <c r="J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9:11">
      <c r="I726">
        <f>DropAnalityka[[#This Row],[Sell Drop]]+IF(DropAnalityka[[#This Row],[Drop]]="Scroll", 2000*DropAnalityka[[#This Row],[Quality/Quantity]],0)</f>
        <v>0</v>
      </c>
      <c r="J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9:11">
      <c r="I727">
        <f>DropAnalityka[[#This Row],[Sell Drop]]+IF(DropAnalityka[[#This Row],[Drop]]="Scroll", 2000*DropAnalityka[[#This Row],[Quality/Quantity]],0)</f>
        <v>0</v>
      </c>
      <c r="J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9:11">
      <c r="I728">
        <f>DropAnalityka[[#This Row],[Sell Drop]]+IF(DropAnalityka[[#This Row],[Drop]]="Scroll", 2000*DropAnalityka[[#This Row],[Quality/Quantity]],0)</f>
        <v>0</v>
      </c>
      <c r="J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9:11">
      <c r="I729">
        <f>DropAnalityka[[#This Row],[Sell Drop]]+IF(DropAnalityka[[#This Row],[Drop]]="Scroll", 2000*DropAnalityka[[#This Row],[Quality/Quantity]],0)</f>
        <v>0</v>
      </c>
      <c r="J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9:11">
      <c r="I730">
        <f>DropAnalityka[[#This Row],[Sell Drop]]+IF(DropAnalityka[[#This Row],[Drop]]="Scroll", 2000*DropAnalityka[[#This Row],[Quality/Quantity]],0)</f>
        <v>0</v>
      </c>
      <c r="J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9:11">
      <c r="I731">
        <f>DropAnalityka[[#This Row],[Sell Drop]]+IF(DropAnalityka[[#This Row],[Drop]]="Scroll", 2000*DropAnalityka[[#This Row],[Quality/Quantity]],0)</f>
        <v>0</v>
      </c>
      <c r="J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9:11">
      <c r="I732">
        <f>DropAnalityka[[#This Row],[Sell Drop]]+IF(DropAnalityka[[#This Row],[Drop]]="Scroll", 2000*DropAnalityka[[#This Row],[Quality/Quantity]],0)</f>
        <v>0</v>
      </c>
      <c r="J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9:11">
      <c r="I733">
        <f>DropAnalityka[[#This Row],[Sell Drop]]+IF(DropAnalityka[[#This Row],[Drop]]="Scroll", 2000*DropAnalityka[[#This Row],[Quality/Quantity]],0)</f>
        <v>0</v>
      </c>
      <c r="J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9:11">
      <c r="I734">
        <f>DropAnalityka[[#This Row],[Sell Drop]]+IF(DropAnalityka[[#This Row],[Drop]]="Scroll", 2000*DropAnalityka[[#This Row],[Quality/Quantity]],0)</f>
        <v>0</v>
      </c>
      <c r="J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9:11">
      <c r="I735">
        <f>DropAnalityka[[#This Row],[Sell Drop]]+IF(DropAnalityka[[#This Row],[Drop]]="Scroll", 2000*DropAnalityka[[#This Row],[Quality/Quantity]],0)</f>
        <v>0</v>
      </c>
      <c r="J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9:11">
      <c r="I736">
        <f>DropAnalityka[[#This Row],[Sell Drop]]+IF(DropAnalityka[[#This Row],[Drop]]="Scroll", 2000*DropAnalityka[[#This Row],[Quality/Quantity]],0)</f>
        <v>0</v>
      </c>
      <c r="J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1">
      <c r="I737">
        <f>DropAnalityka[[#This Row],[Sell Drop]]+IF(DropAnalityka[[#This Row],[Drop]]="Scroll", 2000*DropAnalityka[[#This Row],[Quality/Quantity]],0)</f>
        <v>0</v>
      </c>
      <c r="J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1">
      <c r="I738">
        <f>DropAnalityka[[#This Row],[Sell Drop]]+IF(DropAnalityka[[#This Row],[Drop]]="Scroll", 2000*DropAnalityka[[#This Row],[Quality/Quantity]],0)</f>
        <v>0</v>
      </c>
      <c r="J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1">
      <c r="I739">
        <f>DropAnalityka[[#This Row],[Sell Drop]]+IF(DropAnalityka[[#This Row],[Drop]]="Scroll", 2000*DropAnalityka[[#This Row],[Quality/Quantity]],0)</f>
        <v>0</v>
      </c>
      <c r="J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0" spans="1:11">
      <c r="I740">
        <f>DropAnalityka[[#This Row],[Sell Drop]]+IF(DropAnalityka[[#This Row],[Drop]]="Scroll", 2000*DropAnalityka[[#This Row],[Quality/Quantity]],0)</f>
        <v>0</v>
      </c>
      <c r="J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1" spans="1:11">
      <c r="I741">
        <f>DropAnalityka[[#This Row],[Sell Drop]]+IF(DropAnalityka[[#This Row],[Drop]]="Scroll", 2000*DropAnalityka[[#This Row],[Quality/Quantity]],0)</f>
        <v>0</v>
      </c>
      <c r="J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2" spans="1:11">
      <c r="I742">
        <f>DropAnalityka[[#This Row],[Sell Drop]]+IF(DropAnalityka[[#This Row],[Drop]]="Scroll", 2000*DropAnalityka[[#This Row],[Quality/Quantity]],0)</f>
        <v>0</v>
      </c>
      <c r="J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3" spans="1:11">
      <c r="A743" s="6"/>
      <c r="B743" s="6"/>
      <c r="C743" s="6"/>
      <c r="D743" s="6"/>
      <c r="E743" s="6"/>
      <c r="F743" s="6"/>
      <c r="G743" s="6"/>
      <c r="H743" s="6"/>
      <c r="I743">
        <f>DropAnalityka[[#This Row],[Sell Drop]]+IF(DropAnalityka[[#This Row],[Drop]]="Scroll", 2000*DropAnalityka[[#This Row],[Quality/Quantity]],0)</f>
        <v>0</v>
      </c>
      <c r="J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D54" sqref="D5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features'!$P$9</f>
        <v>390558.36234058515</v>
      </c>
      <c r="D3">
        <f>'EXP lvls'!O10/Summary!C3</f>
        <v>10.685009981583352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2677473.9931413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3463119.7380489702</v>
      </c>
      <c r="C11" s="1">
        <f t="shared" si="1"/>
        <v>2197075.7632988528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3175655.4006995726</v>
      </c>
      <c r="C12" s="1">
        <f t="shared" si="1"/>
        <v>2134801.9186896472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3056542.0307034589</v>
      </c>
      <c r="C13" s="1">
        <f t="shared" si="1"/>
        <v>2134801.9186896472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2691106.2316715545</v>
      </c>
      <c r="C18" s="1">
        <f t="shared" ref="C18:C21" si="4">($G18+$H18)/($O18-$N18)*M18</f>
        <v>2212931.6367302057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4440.4901960784318</v>
      </c>
      <c r="N18">
        <f>SUMIFS(LocFeatures[[#All],[Energy gain]],LocFeatures[[#All],[Location]],Summary!$I18,LocFeatures[[#All],[LVL]],Summary!$J18,LocFeatures[[#All],[Stage]],Summary!$K18)</f>
        <v>0.97385620915032678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4416524.1516547967</v>
      </c>
      <c r="C19" s="1">
        <f t="shared" si="4"/>
        <v>1815882.6107561796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4440.4901960784318</v>
      </c>
      <c r="N19">
        <f>SUMIFS(LocFeatures[[#All],[Energy gain]],LocFeatures[[#All],[Location]],Summary!$I19,LocFeatures[[#All],[LVL]],Summary!$J19,LocFeatures[[#All],[Stage]],Summary!$K19)</f>
        <v>0.97385620915032678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4049920.2555509005</v>
      </c>
      <c r="C20" s="1">
        <f t="shared" si="4"/>
        <v>1764413.2925743612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4440.4901960784318</v>
      </c>
      <c r="N20">
        <f>SUMIFS(LocFeatures[[#All],[Energy gain]],LocFeatures[[#All],[Location]],Summary!$I20,LocFeatures[[#All],[LVL]],Summary!$J20,LocFeatures[[#All],[Stage]],Summary!$K20)</f>
        <v>0.97385620915032678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3898014.7151235859</v>
      </c>
      <c r="C21" s="1">
        <f t="shared" si="4"/>
        <v>1764413.2925743612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4440.4901960784318</v>
      </c>
      <c r="N21">
        <f>SUMIFS(LocFeatures[[#All],[Energy gain]],LocFeatures[[#All],[Location]],Summary!$I21,LocFeatures[[#All],[LVL]],Summary!$J21,LocFeatures[[#All],[Stage]],Summary!$K21)</f>
        <v>0.97385620915032678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1548304.2450087226</v>
      </c>
      <c r="C22" s="1">
        <f t="shared" ref="C22" si="6">($G22+$H22)/($O22-$N22)*M22</f>
        <v>636595.35375072702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4440.4901960784318</v>
      </c>
      <c r="N22">
        <f>SUMIFS(LocFeatures[[#All],[Energy gain]],LocFeatures[[#All],[Location]],Summary!$I22,LocFeatures[[#All],[LVL]],Summary!$J22,LocFeatures[[#All],[Stage]],Summary!$K22)</f>
        <v>0.97385620915032678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2060827.3146208632</v>
      </c>
      <c r="C23" s="1">
        <f t="shared" ref="C23" si="9">($G23+$H23)/($O23-$N23)*M23</f>
        <v>847322.54503560963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4440.4901960784318</v>
      </c>
      <c r="N23">
        <f>SUMIFS(LocFeatures[[#All],[Energy gain]],LocFeatures[[#All],[Location]],Summary!$I23,LocFeatures[[#All],[LVL]],Summary!$J23,LocFeatures[[#All],[Stage]],Summary!$K23)</f>
        <v>0.97385620915032678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4331579.3464599913</v>
      </c>
      <c r="C24" s="1">
        <f t="shared" ref="C24:C26" si="11">($G24+$H24)/($O24-$N24)*M24</f>
        <v>1780957.0019899455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4440.4901960784318</v>
      </c>
      <c r="N24">
        <f>SUMIFS(LocFeatures[[#All],[Energy gain]],LocFeatures[[#All],[Location]],Summary!$I24,LocFeatures[[#All],[LVL]],Summary!$J24,LocFeatures[[#All],[Stage]],Summary!$K24)</f>
        <v>0.97385620915032678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947603.288646837</v>
      </c>
      <c r="C34" s="1">
        <f t="shared" si="19"/>
        <v>389613.25120444078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4440.4901960784318</v>
      </c>
      <c r="N34">
        <f>SUMIFS(LocFeatures[[#All],[Energy gain]],LocFeatures[[#All],[Location]],Summary!$I34,LocFeatures[[#All],[LVL]],Summary!$J34,LocFeatures[[#All],[Stage]],Summary!$K34)</f>
        <v>0.97385620915032678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719247.42354419769</v>
      </c>
      <c r="C35" s="1">
        <f t="shared" ref="C35:C40" si="23">($G35+$H35)/($O35-$N35)*M35</f>
        <v>591446.5060745707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4440.4901960784318</v>
      </c>
      <c r="N35">
        <f>SUMIFS(LocFeatures[[#All],[Energy gain]],LocFeatures[[#All],[Location]],Summary!$I35,LocFeatures[[#All],[LVL]],Summary!$J35,LocFeatures[[#All],[Stage]],Summary!$K35)</f>
        <v>0.97385620915032678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631223.38901227282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958219.12327093619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958219.12327093619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B5" sqref="B5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223</v>
      </c>
      <c r="C2" t="s">
        <v>196</v>
      </c>
      <c r="D2" t="s">
        <v>201</v>
      </c>
      <c r="E2" t="s">
        <v>202</v>
      </c>
      <c r="F2" t="s">
        <v>226</v>
      </c>
    </row>
    <row r="3" spans="1:6">
      <c r="A3" t="s">
        <v>177</v>
      </c>
      <c r="B3" t="s">
        <v>223</v>
      </c>
      <c r="C3" t="s">
        <v>200</v>
      </c>
      <c r="D3" t="s">
        <v>198</v>
      </c>
      <c r="E3" t="s">
        <v>199</v>
      </c>
      <c r="F3" t="s">
        <v>226</v>
      </c>
    </row>
    <row r="4" spans="1:6">
      <c r="A4" t="s">
        <v>178</v>
      </c>
      <c r="B4" t="s">
        <v>223</v>
      </c>
      <c r="C4" t="s">
        <v>179</v>
      </c>
      <c r="D4" t="s">
        <v>201</v>
      </c>
      <c r="E4" t="s">
        <v>203</v>
      </c>
      <c r="F4" t="s">
        <v>227</v>
      </c>
    </row>
    <row r="5" spans="1:6">
      <c r="A5" t="s">
        <v>181</v>
      </c>
      <c r="B5" t="s">
        <v>180</v>
      </c>
      <c r="C5" t="s">
        <v>196</v>
      </c>
      <c r="D5" t="s">
        <v>218</v>
      </c>
      <c r="E5" t="s">
        <v>197</v>
      </c>
      <c r="F5" t="s">
        <v>227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227</v>
      </c>
    </row>
    <row r="7" spans="1:6">
      <c r="A7" t="s">
        <v>157</v>
      </c>
      <c r="B7" t="s">
        <v>219</v>
      </c>
      <c r="C7" t="s">
        <v>220</v>
      </c>
    </row>
    <row r="8" spans="1:6">
      <c r="A8" t="s">
        <v>221</v>
      </c>
      <c r="B8" t="s">
        <v>185</v>
      </c>
      <c r="C8" t="s">
        <v>98</v>
      </c>
      <c r="D8" t="s">
        <v>222</v>
      </c>
    </row>
    <row r="9" spans="1:6">
      <c r="A9" t="s">
        <v>224</v>
      </c>
      <c r="B9" t="s">
        <v>183</v>
      </c>
      <c r="C9" t="s">
        <v>225</v>
      </c>
      <c r="D9" t="s">
        <v>201</v>
      </c>
      <c r="F9" t="s">
        <v>227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228</v>
      </c>
      <c r="B1" t="s">
        <v>239</v>
      </c>
      <c r="C1" t="s">
        <v>229</v>
      </c>
      <c r="D1" t="s">
        <v>230</v>
      </c>
      <c r="E1" t="s">
        <v>231</v>
      </c>
      <c r="F1" t="s">
        <v>232</v>
      </c>
      <c r="G1" t="s">
        <v>191</v>
      </c>
      <c r="H1" t="s">
        <v>233</v>
      </c>
      <c r="I1" t="s">
        <v>234</v>
      </c>
      <c r="J1" t="s">
        <v>235</v>
      </c>
      <c r="K1" t="s">
        <v>238</v>
      </c>
      <c r="L1" t="s">
        <v>240</v>
      </c>
      <c r="M1" t="s">
        <v>241</v>
      </c>
    </row>
    <row r="2" spans="1:13">
      <c r="A2" t="s">
        <v>236</v>
      </c>
      <c r="C2">
        <v>1</v>
      </c>
      <c r="D2">
        <v>4</v>
      </c>
      <c r="G2">
        <v>3</v>
      </c>
      <c r="J2">
        <v>7</v>
      </c>
    </row>
    <row r="3" spans="1:13">
      <c r="A3" t="s">
        <v>236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237</v>
      </c>
      <c r="C4">
        <v>1</v>
      </c>
      <c r="E4">
        <v>119</v>
      </c>
      <c r="G4">
        <v>3</v>
      </c>
      <c r="H4">
        <v>5</v>
      </c>
      <c r="J4">
        <v>10</v>
      </c>
      <c r="M4" t="s">
        <v>242</v>
      </c>
    </row>
    <row r="5" spans="1:13">
      <c r="A5" t="s">
        <v>236</v>
      </c>
      <c r="B5" t="s">
        <v>29</v>
      </c>
      <c r="C5">
        <v>2</v>
      </c>
      <c r="I5">
        <v>4</v>
      </c>
      <c r="J5">
        <v>24</v>
      </c>
      <c r="L5">
        <v>4</v>
      </c>
      <c r="M5" t="s">
        <v>242</v>
      </c>
    </row>
    <row r="6" spans="1:13">
      <c r="A6" t="s">
        <v>237</v>
      </c>
      <c r="B6" t="s">
        <v>28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236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236</v>
      </c>
      <c r="C8">
        <v>4</v>
      </c>
      <c r="G8">
        <v>6</v>
      </c>
      <c r="H8">
        <v>6</v>
      </c>
    </row>
    <row r="9" spans="1:13">
      <c r="A9" t="s">
        <v>237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236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  <vt:lpstr>Runes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2015-09-29T14:17:27Z</dcterms:modified>
</cp:coreProperties>
</file>