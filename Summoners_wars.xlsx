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tables/table16.xml" ContentType="application/vnd.openxmlformats-officedocument.spreadsheetml.table+xml"/>
  <Override PartName="/xl/pivotTables/pivotTable6.xml" ContentType="application/vnd.openxmlformats-officedocument.spreadsheetml.pivot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tables/table1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 activeTab="1"/>
  </bookViews>
  <sheets>
    <sheet name="Crystals" sheetId="14" r:id="rId1"/>
    <sheet name="EXP lvls" sheetId="1" r:id="rId2"/>
    <sheet name="Arkusz3" sheetId="18" r:id="rId3"/>
    <sheet name="Drop analityka" sheetId="3" r:id="rId4"/>
    <sheet name="Fusion" sheetId="9" r:id="rId5"/>
    <sheet name="Location features" sheetId="4" r:id="rId6"/>
    <sheet name="TabPrz" sheetId="5" r:id="rId7"/>
    <sheet name="Arkusz1" sheetId="15" r:id="rId8"/>
    <sheet name="Runes for DPS" sheetId="6" r:id="rId9"/>
    <sheet name="Runes stats" sheetId="11" r:id="rId10"/>
    <sheet name="Runes DB" sheetId="8" r:id="rId11"/>
    <sheet name="TP_Mon.Runes" sheetId="12" r:id="rId12"/>
    <sheet name="Grind.Summary" sheetId="2" r:id="rId13"/>
    <sheet name="Runes Mon.build" sheetId="7" r:id="rId14"/>
    <sheet name="ToA auto" sheetId="16" r:id="rId15"/>
    <sheet name="Mon.Utilities" sheetId="13" r:id="rId16"/>
    <sheet name="Arkusz2" sheetId="17" r:id="rId17"/>
  </sheets>
  <definedNames>
    <definedName name="_xlnm._FilterDatabase" localSheetId="15" hidden="1">Mon.Utilities!$A$1:$N$1</definedName>
  </definedNames>
  <calcPr calcId="125725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D1461" i="3"/>
  <c r="D1460"/>
  <c r="D1459"/>
  <c r="O18" i="14" l="1"/>
  <c r="C18"/>
  <c r="C17"/>
  <c r="C16"/>
  <c r="C15"/>
  <c r="C14"/>
  <c r="C13"/>
  <c r="G18"/>
  <c r="G16"/>
  <c r="G15"/>
  <c r="Q13"/>
  <c r="R18" l="1"/>
  <c r="P33" i="4" l="1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O19" i="14"/>
  <c r="D2" i="18" l="1"/>
  <c r="R8" i="4" l="1"/>
  <c r="L8"/>
  <c r="K8"/>
  <c r="J8"/>
  <c r="O8" s="1"/>
  <c r="S8" s="1"/>
  <c r="D3" i="18"/>
  <c r="C5"/>
  <c r="C4"/>
  <c r="C2"/>
  <c r="C9" l="1"/>
  <c r="E9" s="1"/>
  <c r="C8"/>
  <c r="C3"/>
  <c r="C7" s="1"/>
  <c r="I2"/>
  <c r="D6"/>
  <c r="D7"/>
  <c r="D4"/>
  <c r="D5" l="1"/>
  <c r="I5" s="1"/>
  <c r="E2"/>
  <c r="C6"/>
  <c r="E6" s="1"/>
  <c r="F6" s="1"/>
  <c r="D8"/>
  <c r="I4"/>
  <c r="E8"/>
  <c r="E4"/>
  <c r="J55" i="6"/>
  <c r="J46"/>
  <c r="F2" i="18" l="1"/>
  <c r="H2" s="1"/>
  <c r="G2"/>
  <c r="F4"/>
  <c r="G4"/>
  <c r="E5"/>
  <c r="F8"/>
  <c r="D9"/>
  <c r="F9" s="1"/>
  <c r="I3"/>
  <c r="E7"/>
  <c r="F7" s="1"/>
  <c r="E3"/>
  <c r="R6" i="4"/>
  <c r="L6"/>
  <c r="K6"/>
  <c r="J6"/>
  <c r="K2" i="17"/>
  <c r="J2"/>
  <c r="I2"/>
  <c r="H2"/>
  <c r="G2"/>
  <c r="H4" i="18" l="1"/>
  <c r="F5"/>
  <c r="H5" s="1"/>
  <c r="G5"/>
  <c r="F3"/>
  <c r="H3" s="1"/>
  <c r="G3"/>
  <c r="O6" i="4"/>
  <c r="S6" s="1"/>
  <c r="D3" i="17"/>
  <c r="B4"/>
  <c r="B3"/>
  <c r="D2"/>
  <c r="Q6" i="3"/>
  <c r="R7" i="4" l="1"/>
  <c r="L7"/>
  <c r="K7"/>
  <c r="J7"/>
  <c r="S7" l="1"/>
  <c r="O7"/>
  <c r="O6" i="14"/>
  <c r="P6"/>
  <c r="M3" i="1"/>
  <c r="O4" s="1"/>
  <c r="O9" i="14" l="1"/>
  <c r="O13"/>
  <c r="P9"/>
  <c r="P13"/>
  <c r="R14" i="4"/>
  <c r="L14"/>
  <c r="K14"/>
  <c r="J14"/>
  <c r="O14" l="1"/>
  <c r="S14" s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G17" i="14" l="1"/>
  <c r="G14"/>
  <c r="G13"/>
  <c r="E8"/>
  <c r="G8" s="1"/>
  <c r="E5"/>
  <c r="E4"/>
  <c r="G4" s="1"/>
  <c r="E3"/>
  <c r="G3" s="1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G3"/>
  <c r="AQ1072" s="1"/>
  <c r="G20" i="14"/>
  <c r="G19"/>
  <c r="G6"/>
  <c r="G7"/>
  <c r="G9"/>
  <c r="G10"/>
  <c r="G11"/>
  <c r="G12"/>
  <c r="G2"/>
  <c r="J4" i="6"/>
  <c r="R4" s="1"/>
  <c r="H4"/>
  <c r="F4" s="1"/>
  <c r="I4"/>
  <c r="G4" s="1"/>
  <c r="C20" i="14"/>
  <c r="C12"/>
  <c r="C19" s="1"/>
  <c r="S2" i="13"/>
  <c r="S3"/>
  <c r="S4"/>
  <c r="S5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34"/>
  <c r="S35"/>
  <c r="S36"/>
  <c r="S37"/>
  <c r="S38"/>
  <c r="S39"/>
  <c r="S40"/>
  <c r="S41"/>
  <c r="S42"/>
  <c r="S43"/>
  <c r="S44"/>
  <c r="S45"/>
  <c r="S46"/>
  <c r="S47"/>
  <c r="S48"/>
  <c r="S49"/>
  <c r="S50"/>
  <c r="S51"/>
  <c r="S52"/>
  <c r="S53"/>
  <c r="S54"/>
  <c r="S55"/>
  <c r="S56"/>
  <c r="S57"/>
  <c r="S58"/>
  <c r="S59"/>
  <c r="S60"/>
  <c r="S61"/>
  <c r="S62"/>
  <c r="S63"/>
  <c r="S64"/>
  <c r="S65"/>
  <c r="S66"/>
  <c r="S67"/>
  <c r="S68"/>
  <c r="S69"/>
  <c r="S70"/>
  <c r="S71"/>
  <c r="S72"/>
  <c r="S73"/>
  <c r="S74"/>
  <c r="S75"/>
  <c r="S76"/>
  <c r="S77"/>
  <c r="S78"/>
  <c r="S79"/>
  <c r="S80"/>
  <c r="S81"/>
  <c r="S82"/>
  <c r="S83"/>
  <c r="S84"/>
  <c r="S85"/>
  <c r="S86"/>
  <c r="S87"/>
  <c r="S88"/>
  <c r="S89"/>
  <c r="S90"/>
  <c r="S91"/>
  <c r="S92"/>
  <c r="S93"/>
  <c r="S94"/>
  <c r="S95"/>
  <c r="S96"/>
  <c r="S97"/>
  <c r="S98"/>
  <c r="S99"/>
  <c r="S100"/>
  <c r="S101"/>
  <c r="S102"/>
  <c r="S103"/>
  <c r="S104"/>
  <c r="S105"/>
  <c r="S106"/>
  <c r="S107"/>
  <c r="S108"/>
  <c r="S109"/>
  <c r="S110"/>
  <c r="S111"/>
  <c r="S112"/>
  <c r="S113"/>
  <c r="S114"/>
  <c r="S115"/>
  <c r="S116"/>
  <c r="S117"/>
  <c r="S118"/>
  <c r="S119"/>
  <c r="S120"/>
  <c r="S121"/>
  <c r="S122"/>
  <c r="S123"/>
  <c r="S124"/>
  <c r="S125"/>
  <c r="S126"/>
  <c r="S127"/>
  <c r="S128"/>
  <c r="S129"/>
  <c r="S130"/>
  <c r="S131"/>
  <c r="S132"/>
  <c r="S133"/>
  <c r="S134"/>
  <c r="S135"/>
  <c r="S136"/>
  <c r="S137"/>
  <c r="S138"/>
  <c r="S139"/>
  <c r="S140"/>
  <c r="S141"/>
  <c r="S142"/>
  <c r="S143"/>
  <c r="S144"/>
  <c r="S145"/>
  <c r="S146"/>
  <c r="S147"/>
  <c r="S148"/>
  <c r="S149"/>
  <c r="S150"/>
  <c r="S151"/>
  <c r="S152"/>
  <c r="S153"/>
  <c r="S154"/>
  <c r="S155"/>
  <c r="S156"/>
  <c r="S157"/>
  <c r="S158"/>
  <c r="S159"/>
  <c r="S160"/>
  <c r="S161"/>
  <c r="S162"/>
  <c r="S163"/>
  <c r="S164"/>
  <c r="S165"/>
  <c r="S166"/>
  <c r="S167"/>
  <c r="S168"/>
  <c r="S169"/>
  <c r="S170"/>
  <c r="S171"/>
  <c r="S172"/>
  <c r="S173"/>
  <c r="S174"/>
  <c r="S175"/>
  <c r="S176"/>
  <c r="S177"/>
  <c r="S178"/>
  <c r="S179"/>
  <c r="S180"/>
  <c r="S181"/>
  <c r="S182"/>
  <c r="S183"/>
  <c r="S184"/>
  <c r="S185"/>
  <c r="S186"/>
  <c r="S187"/>
  <c r="S188"/>
  <c r="S189"/>
  <c r="S190"/>
  <c r="S191"/>
  <c r="S192"/>
  <c r="S193"/>
  <c r="S194"/>
  <c r="S195"/>
  <c r="S196"/>
  <c r="S197"/>
  <c r="S198"/>
  <c r="S199"/>
  <c r="S200"/>
  <c r="S201"/>
  <c r="S202"/>
  <c r="S203"/>
  <c r="S204"/>
  <c r="S205"/>
  <c r="S206"/>
  <c r="S207"/>
  <c r="S208"/>
  <c r="S209"/>
  <c r="S210"/>
  <c r="S211"/>
  <c r="S212"/>
  <c r="S213"/>
  <c r="S214"/>
  <c r="S215"/>
  <c r="S216"/>
  <c r="S217"/>
  <c r="S218"/>
  <c r="S219"/>
  <c r="S220"/>
  <c r="S221"/>
  <c r="S222"/>
  <c r="S223"/>
  <c r="S224"/>
  <c r="S225"/>
  <c r="S226"/>
  <c r="S227"/>
  <c r="S228"/>
  <c r="S229"/>
  <c r="S230"/>
  <c r="S231"/>
  <c r="S232"/>
  <c r="S233"/>
  <c r="S234"/>
  <c r="S235"/>
  <c r="S236"/>
  <c r="S237"/>
  <c r="S238"/>
  <c r="S239"/>
  <c r="S240"/>
  <c r="S241"/>
  <c r="S242"/>
  <c r="S243"/>
  <c r="S244"/>
  <c r="S245"/>
  <c r="S246"/>
  <c r="S247"/>
  <c r="S248"/>
  <c r="S249"/>
  <c r="S250"/>
  <c r="S251"/>
  <c r="S252"/>
  <c r="S253"/>
  <c r="S254"/>
  <c r="S255"/>
  <c r="S256"/>
  <c r="S257"/>
  <c r="S258"/>
  <c r="S259"/>
  <c r="S260"/>
  <c r="S261"/>
  <c r="S262"/>
  <c r="S263"/>
  <c r="S264"/>
  <c r="S265"/>
  <c r="S266"/>
  <c r="S267"/>
  <c r="S268"/>
  <c r="S269"/>
  <c r="S270"/>
  <c r="S271"/>
  <c r="S272"/>
  <c r="S273"/>
  <c r="S274"/>
  <c r="S275"/>
  <c r="S276"/>
  <c r="S277"/>
  <c r="S278"/>
  <c r="S279"/>
  <c r="S280"/>
  <c r="S281"/>
  <c r="S282"/>
  <c r="S283"/>
  <c r="S284"/>
  <c r="S285"/>
  <c r="S286"/>
  <c r="S287"/>
  <c r="S288"/>
  <c r="S289"/>
  <c r="S290"/>
  <c r="S291"/>
  <c r="S292"/>
  <c r="S293"/>
  <c r="S294"/>
  <c r="S295"/>
  <c r="S296"/>
  <c r="S297"/>
  <c r="S298"/>
  <c r="S299"/>
  <c r="S300"/>
  <c r="S301"/>
  <c r="S302"/>
  <c r="S303"/>
  <c r="S304"/>
  <c r="S305"/>
  <c r="S306"/>
  <c r="S307"/>
  <c r="S308"/>
  <c r="S309"/>
  <c r="S310"/>
  <c r="S311"/>
  <c r="S312"/>
  <c r="S313"/>
  <c r="S314"/>
  <c r="S315"/>
  <c r="S316"/>
  <c r="S317"/>
  <c r="S318"/>
  <c r="S319"/>
  <c r="S320"/>
  <c r="S321"/>
  <c r="S322"/>
  <c r="S323"/>
  <c r="S324"/>
  <c r="S325"/>
  <c r="S326"/>
  <c r="S327"/>
  <c r="R2"/>
  <c r="R3"/>
  <c r="R4"/>
  <c r="R5"/>
  <c r="R6"/>
  <c r="R7"/>
  <c r="R8"/>
  <c r="R9"/>
  <c r="R10"/>
  <c r="R11"/>
  <c r="R12"/>
  <c r="R13"/>
  <c r="R14"/>
  <c r="R15"/>
  <c r="R16"/>
  <c r="R17"/>
  <c r="R18"/>
  <c r="R19"/>
  <c r="R20"/>
  <c r="R21"/>
  <c r="R22"/>
  <c r="R23"/>
  <c r="R24"/>
  <c r="R25"/>
  <c r="R26"/>
  <c r="R27"/>
  <c r="R28"/>
  <c r="R29"/>
  <c r="R30"/>
  <c r="R31"/>
  <c r="R32"/>
  <c r="R33"/>
  <c r="R34"/>
  <c r="R35"/>
  <c r="R36"/>
  <c r="R37"/>
  <c r="R38"/>
  <c r="R39"/>
  <c r="R40"/>
  <c r="R41"/>
  <c r="R42"/>
  <c r="R43"/>
  <c r="R44"/>
  <c r="R45"/>
  <c r="R46"/>
  <c r="R47"/>
  <c r="R48"/>
  <c r="R49"/>
  <c r="R50"/>
  <c r="R51"/>
  <c r="R52"/>
  <c r="R53"/>
  <c r="R54"/>
  <c r="R55"/>
  <c r="R56"/>
  <c r="R57"/>
  <c r="R58"/>
  <c r="R59"/>
  <c r="R60"/>
  <c r="R61"/>
  <c r="R62"/>
  <c r="R63"/>
  <c r="R64"/>
  <c r="R65"/>
  <c r="R66"/>
  <c r="R67"/>
  <c r="R68"/>
  <c r="R69"/>
  <c r="R70"/>
  <c r="R71"/>
  <c r="R72"/>
  <c r="R73"/>
  <c r="R74"/>
  <c r="R75"/>
  <c r="R76"/>
  <c r="R77"/>
  <c r="R78"/>
  <c r="R79"/>
  <c r="R80"/>
  <c r="R81"/>
  <c r="R82"/>
  <c r="R83"/>
  <c r="R84"/>
  <c r="R85"/>
  <c r="R86"/>
  <c r="R87"/>
  <c r="R88"/>
  <c r="R89"/>
  <c r="R90"/>
  <c r="R91"/>
  <c r="R92"/>
  <c r="R93"/>
  <c r="R94"/>
  <c r="R95"/>
  <c r="R96"/>
  <c r="R97"/>
  <c r="R98"/>
  <c r="R99"/>
  <c r="R100"/>
  <c r="R101"/>
  <c r="R102"/>
  <c r="R103"/>
  <c r="R104"/>
  <c r="R105"/>
  <c r="R106"/>
  <c r="R107"/>
  <c r="R108"/>
  <c r="R109"/>
  <c r="R110"/>
  <c r="R111"/>
  <c r="R112"/>
  <c r="R113"/>
  <c r="R114"/>
  <c r="R115"/>
  <c r="R116"/>
  <c r="R117"/>
  <c r="R118"/>
  <c r="R119"/>
  <c r="R120"/>
  <c r="R121"/>
  <c r="R122"/>
  <c r="R123"/>
  <c r="R124"/>
  <c r="R125"/>
  <c r="R126"/>
  <c r="R127"/>
  <c r="R128"/>
  <c r="R129"/>
  <c r="R130"/>
  <c r="R131"/>
  <c r="R132"/>
  <c r="R133"/>
  <c r="R134"/>
  <c r="R135"/>
  <c r="R136"/>
  <c r="R137"/>
  <c r="R138"/>
  <c r="R139"/>
  <c r="R140"/>
  <c r="R141"/>
  <c r="R142"/>
  <c r="R143"/>
  <c r="R144"/>
  <c r="R145"/>
  <c r="R146"/>
  <c r="R147"/>
  <c r="R148"/>
  <c r="R149"/>
  <c r="R150"/>
  <c r="R151"/>
  <c r="R152"/>
  <c r="R153"/>
  <c r="R154"/>
  <c r="R155"/>
  <c r="R156"/>
  <c r="R157"/>
  <c r="R158"/>
  <c r="R159"/>
  <c r="R160"/>
  <c r="R161"/>
  <c r="R162"/>
  <c r="R163"/>
  <c r="R164"/>
  <c r="R165"/>
  <c r="R166"/>
  <c r="R167"/>
  <c r="R168"/>
  <c r="R169"/>
  <c r="R170"/>
  <c r="R171"/>
  <c r="R172"/>
  <c r="R173"/>
  <c r="R174"/>
  <c r="R175"/>
  <c r="R176"/>
  <c r="R177"/>
  <c r="R178"/>
  <c r="R179"/>
  <c r="R180"/>
  <c r="R181"/>
  <c r="R182"/>
  <c r="R183"/>
  <c r="R184"/>
  <c r="R185"/>
  <c r="R186"/>
  <c r="R187"/>
  <c r="R188"/>
  <c r="R189"/>
  <c r="R190"/>
  <c r="R191"/>
  <c r="R192"/>
  <c r="R193"/>
  <c r="R194"/>
  <c r="R195"/>
  <c r="R196"/>
  <c r="R197"/>
  <c r="R198"/>
  <c r="R199"/>
  <c r="R200"/>
  <c r="R201"/>
  <c r="R202"/>
  <c r="R203"/>
  <c r="R204"/>
  <c r="R205"/>
  <c r="R206"/>
  <c r="R207"/>
  <c r="R208"/>
  <c r="R209"/>
  <c r="R210"/>
  <c r="R211"/>
  <c r="R212"/>
  <c r="R213"/>
  <c r="R214"/>
  <c r="R215"/>
  <c r="R216"/>
  <c r="R217"/>
  <c r="R218"/>
  <c r="R219"/>
  <c r="R220"/>
  <c r="R221"/>
  <c r="R222"/>
  <c r="R223"/>
  <c r="R224"/>
  <c r="R225"/>
  <c r="R226"/>
  <c r="R227"/>
  <c r="R228"/>
  <c r="R229"/>
  <c r="R230"/>
  <c r="R231"/>
  <c r="R232"/>
  <c r="R233"/>
  <c r="R234"/>
  <c r="R235"/>
  <c r="R236"/>
  <c r="R237"/>
  <c r="R238"/>
  <c r="R239"/>
  <c r="R240"/>
  <c r="R241"/>
  <c r="R242"/>
  <c r="R243"/>
  <c r="R244"/>
  <c r="R245"/>
  <c r="R246"/>
  <c r="R247"/>
  <c r="R248"/>
  <c r="R249"/>
  <c r="R250"/>
  <c r="R251"/>
  <c r="R252"/>
  <c r="R253"/>
  <c r="R254"/>
  <c r="R255"/>
  <c r="R256"/>
  <c r="R257"/>
  <c r="R258"/>
  <c r="R259"/>
  <c r="R260"/>
  <c r="R261"/>
  <c r="R262"/>
  <c r="R263"/>
  <c r="R264"/>
  <c r="R265"/>
  <c r="R266"/>
  <c r="R267"/>
  <c r="R268"/>
  <c r="R269"/>
  <c r="R270"/>
  <c r="R271"/>
  <c r="R272"/>
  <c r="R273"/>
  <c r="R274"/>
  <c r="R275"/>
  <c r="R276"/>
  <c r="R277"/>
  <c r="R278"/>
  <c r="R279"/>
  <c r="R280"/>
  <c r="R281"/>
  <c r="R282"/>
  <c r="R283"/>
  <c r="R284"/>
  <c r="R285"/>
  <c r="R286"/>
  <c r="R287"/>
  <c r="R288"/>
  <c r="R289"/>
  <c r="R290"/>
  <c r="R291"/>
  <c r="R292"/>
  <c r="R293"/>
  <c r="R294"/>
  <c r="R295"/>
  <c r="R296"/>
  <c r="R297"/>
  <c r="R298"/>
  <c r="R299"/>
  <c r="R300"/>
  <c r="R301"/>
  <c r="R302"/>
  <c r="R303"/>
  <c r="R304"/>
  <c r="R305"/>
  <c r="R306"/>
  <c r="R307"/>
  <c r="R308"/>
  <c r="R309"/>
  <c r="R310"/>
  <c r="R311"/>
  <c r="R312"/>
  <c r="R313"/>
  <c r="R314"/>
  <c r="R315"/>
  <c r="R316"/>
  <c r="R317"/>
  <c r="R318"/>
  <c r="R319"/>
  <c r="R320"/>
  <c r="R321"/>
  <c r="R322"/>
  <c r="R323"/>
  <c r="R324"/>
  <c r="R325"/>
  <c r="R326"/>
  <c r="R327"/>
  <c r="Q2"/>
  <c r="Q3"/>
  <c r="Q4"/>
  <c r="Q5"/>
  <c r="Q6"/>
  <c r="Q7"/>
  <c r="Q8"/>
  <c r="Q9"/>
  <c r="Q10"/>
  <c r="Q11"/>
  <c r="Q12"/>
  <c r="Q13"/>
  <c r="Q14"/>
  <c r="Q15"/>
  <c r="Q16"/>
  <c r="Q17"/>
  <c r="Q18"/>
  <c r="Q19"/>
  <c r="Q20"/>
  <c r="Q21"/>
  <c r="Q22"/>
  <c r="Q23"/>
  <c r="Q24"/>
  <c r="Q25"/>
  <c r="Q26"/>
  <c r="Q27"/>
  <c r="Q28"/>
  <c r="Q29"/>
  <c r="Q30"/>
  <c r="Q31"/>
  <c r="Q32"/>
  <c r="Q33"/>
  <c r="Q34"/>
  <c r="Q35"/>
  <c r="Q36"/>
  <c r="Q37"/>
  <c r="Q38"/>
  <c r="Q39"/>
  <c r="Q40"/>
  <c r="Q41"/>
  <c r="Q42"/>
  <c r="Q43"/>
  <c r="Q44"/>
  <c r="Q45"/>
  <c r="Q46"/>
  <c r="Q47"/>
  <c r="Q48"/>
  <c r="Q49"/>
  <c r="Q50"/>
  <c r="Q51"/>
  <c r="Q52"/>
  <c r="Q53"/>
  <c r="Q54"/>
  <c r="Q55"/>
  <c r="Q56"/>
  <c r="Q57"/>
  <c r="Q58"/>
  <c r="Q59"/>
  <c r="Q60"/>
  <c r="Q61"/>
  <c r="Q62"/>
  <c r="Q63"/>
  <c r="Q64"/>
  <c r="Q65"/>
  <c r="Q66"/>
  <c r="Q67"/>
  <c r="Q68"/>
  <c r="Q69"/>
  <c r="Q70"/>
  <c r="Q71"/>
  <c r="Q72"/>
  <c r="Q73"/>
  <c r="Q74"/>
  <c r="Q75"/>
  <c r="Q76"/>
  <c r="Q77"/>
  <c r="Q78"/>
  <c r="Q79"/>
  <c r="Q80"/>
  <c r="Q81"/>
  <c r="Q82"/>
  <c r="Q83"/>
  <c r="Q84"/>
  <c r="Q85"/>
  <c r="Q86"/>
  <c r="Q87"/>
  <c r="Q88"/>
  <c r="Q89"/>
  <c r="Q90"/>
  <c r="Q91"/>
  <c r="Q92"/>
  <c r="Q93"/>
  <c r="Q94"/>
  <c r="Q95"/>
  <c r="Q96"/>
  <c r="Q97"/>
  <c r="Q98"/>
  <c r="Q99"/>
  <c r="Q100"/>
  <c r="Q101"/>
  <c r="Q102"/>
  <c r="Q103"/>
  <c r="Q104"/>
  <c r="Q105"/>
  <c r="Q106"/>
  <c r="Q107"/>
  <c r="Q108"/>
  <c r="Q109"/>
  <c r="Q110"/>
  <c r="Q111"/>
  <c r="Q112"/>
  <c r="Q113"/>
  <c r="Q114"/>
  <c r="Q115"/>
  <c r="Q116"/>
  <c r="Q117"/>
  <c r="Q118"/>
  <c r="Q119"/>
  <c r="Q120"/>
  <c r="Q121"/>
  <c r="Q122"/>
  <c r="Q123"/>
  <c r="Q124"/>
  <c r="Q125"/>
  <c r="Q126"/>
  <c r="Q127"/>
  <c r="Q128"/>
  <c r="Q129"/>
  <c r="Q130"/>
  <c r="Q131"/>
  <c r="Q132"/>
  <c r="Q133"/>
  <c r="Q134"/>
  <c r="Q135"/>
  <c r="Q136"/>
  <c r="Q137"/>
  <c r="Q138"/>
  <c r="Q139"/>
  <c r="Q140"/>
  <c r="Q141"/>
  <c r="Q142"/>
  <c r="Q143"/>
  <c r="Q144"/>
  <c r="Q145"/>
  <c r="Q146"/>
  <c r="Q147"/>
  <c r="Q148"/>
  <c r="Q149"/>
  <c r="Q150"/>
  <c r="Q151"/>
  <c r="Q152"/>
  <c r="Q153"/>
  <c r="Q154"/>
  <c r="Q155"/>
  <c r="Q156"/>
  <c r="Q157"/>
  <c r="Q158"/>
  <c r="Q159"/>
  <c r="Q160"/>
  <c r="Q161"/>
  <c r="Q162"/>
  <c r="Q163"/>
  <c r="Q164"/>
  <c r="Q165"/>
  <c r="Q166"/>
  <c r="Q167"/>
  <c r="Q168"/>
  <c r="Q169"/>
  <c r="Q170"/>
  <c r="Q171"/>
  <c r="Q172"/>
  <c r="Q173"/>
  <c r="Q174"/>
  <c r="Q175"/>
  <c r="Q176"/>
  <c r="Q177"/>
  <c r="Q178"/>
  <c r="Q179"/>
  <c r="Q180"/>
  <c r="Q181"/>
  <c r="Q182"/>
  <c r="Q183"/>
  <c r="Q184"/>
  <c r="Q185"/>
  <c r="Q186"/>
  <c r="Q187"/>
  <c r="Q188"/>
  <c r="Q189"/>
  <c r="Q190"/>
  <c r="Q191"/>
  <c r="Q192"/>
  <c r="Q193"/>
  <c r="Q194"/>
  <c r="Q195"/>
  <c r="Q196"/>
  <c r="Q197"/>
  <c r="Q198"/>
  <c r="Q199"/>
  <c r="Q200"/>
  <c r="Q201"/>
  <c r="Q202"/>
  <c r="Q203"/>
  <c r="Q204"/>
  <c r="Q205"/>
  <c r="Q206"/>
  <c r="Q207"/>
  <c r="Q208"/>
  <c r="Q209"/>
  <c r="Q210"/>
  <c r="Q211"/>
  <c r="Q212"/>
  <c r="Q213"/>
  <c r="Q214"/>
  <c r="Q215"/>
  <c r="Q216"/>
  <c r="Q217"/>
  <c r="Q218"/>
  <c r="Q219"/>
  <c r="Q220"/>
  <c r="Q221"/>
  <c r="Q222"/>
  <c r="Q223"/>
  <c r="Q224"/>
  <c r="Q225"/>
  <c r="Q226"/>
  <c r="Q227"/>
  <c r="Q228"/>
  <c r="Q229"/>
  <c r="Q230"/>
  <c r="Q231"/>
  <c r="Q232"/>
  <c r="Q233"/>
  <c r="Q234"/>
  <c r="Q235"/>
  <c r="Q236"/>
  <c r="Q237"/>
  <c r="Q238"/>
  <c r="Q239"/>
  <c r="Q240"/>
  <c r="Q241"/>
  <c r="Q242"/>
  <c r="Q243"/>
  <c r="Q244"/>
  <c r="Q245"/>
  <c r="Q246"/>
  <c r="Q247"/>
  <c r="Q248"/>
  <c r="Q249"/>
  <c r="Q250"/>
  <c r="Q251"/>
  <c r="Q252"/>
  <c r="Q253"/>
  <c r="Q254"/>
  <c r="Q255"/>
  <c r="Q256"/>
  <c r="Q257"/>
  <c r="Q258"/>
  <c r="Q259"/>
  <c r="Q260"/>
  <c r="Q261"/>
  <c r="Q262"/>
  <c r="Q263"/>
  <c r="Q264"/>
  <c r="Q265"/>
  <c r="Q266"/>
  <c r="Q267"/>
  <c r="Q268"/>
  <c r="Q269"/>
  <c r="Q270"/>
  <c r="Q271"/>
  <c r="Q272"/>
  <c r="Q273"/>
  <c r="Q274"/>
  <c r="Q275"/>
  <c r="Q276"/>
  <c r="Q277"/>
  <c r="Q278"/>
  <c r="Q279"/>
  <c r="Q280"/>
  <c r="Q281"/>
  <c r="Q282"/>
  <c r="Q283"/>
  <c r="Q284"/>
  <c r="Q285"/>
  <c r="Q286"/>
  <c r="Q287"/>
  <c r="Q288"/>
  <c r="Q289"/>
  <c r="Q290"/>
  <c r="Q291"/>
  <c r="Q292"/>
  <c r="Q293"/>
  <c r="Q294"/>
  <c r="Q295"/>
  <c r="Q296"/>
  <c r="Q297"/>
  <c r="Q298"/>
  <c r="Q299"/>
  <c r="Q300"/>
  <c r="Q301"/>
  <c r="Q302"/>
  <c r="Q303"/>
  <c r="Q304"/>
  <c r="Q305"/>
  <c r="Q306"/>
  <c r="Q307"/>
  <c r="Q308"/>
  <c r="Q309"/>
  <c r="Q310"/>
  <c r="Q311"/>
  <c r="Q312"/>
  <c r="Q313"/>
  <c r="Q314"/>
  <c r="Q315"/>
  <c r="Q316"/>
  <c r="Q317"/>
  <c r="Q318"/>
  <c r="Q319"/>
  <c r="Q320"/>
  <c r="Q321"/>
  <c r="Q322"/>
  <c r="Q323"/>
  <c r="Q324"/>
  <c r="Q325"/>
  <c r="Q326"/>
  <c r="Q327"/>
  <c r="T2"/>
  <c r="T3"/>
  <c r="T4"/>
  <c r="T5"/>
  <c r="T6"/>
  <c r="T7"/>
  <c r="T8"/>
  <c r="T9"/>
  <c r="T10"/>
  <c r="T11"/>
  <c r="T12"/>
  <c r="T13"/>
  <c r="T14"/>
  <c r="T15"/>
  <c r="T16"/>
  <c r="T17"/>
  <c r="T18"/>
  <c r="T19"/>
  <c r="T20"/>
  <c r="T21"/>
  <c r="T22"/>
  <c r="T23"/>
  <c r="T24"/>
  <c r="T25"/>
  <c r="T26"/>
  <c r="T27"/>
  <c r="T28"/>
  <c r="T29"/>
  <c r="T30"/>
  <c r="T31"/>
  <c r="T32"/>
  <c r="T33"/>
  <c r="T34"/>
  <c r="T35"/>
  <c r="T36"/>
  <c r="T37"/>
  <c r="T38"/>
  <c r="T39"/>
  <c r="T40"/>
  <c r="T41"/>
  <c r="T42"/>
  <c r="T43"/>
  <c r="T44"/>
  <c r="T45"/>
  <c r="T46"/>
  <c r="T47"/>
  <c r="T48"/>
  <c r="T49"/>
  <c r="T50"/>
  <c r="T51"/>
  <c r="T52"/>
  <c r="T53"/>
  <c r="T54"/>
  <c r="T55"/>
  <c r="T56"/>
  <c r="T57"/>
  <c r="T58"/>
  <c r="T59"/>
  <c r="T60"/>
  <c r="T61"/>
  <c r="T62"/>
  <c r="T63"/>
  <c r="T64"/>
  <c r="T65"/>
  <c r="T66"/>
  <c r="T67"/>
  <c r="T68"/>
  <c r="T69"/>
  <c r="T70"/>
  <c r="T71"/>
  <c r="T72"/>
  <c r="T73"/>
  <c r="T74"/>
  <c r="T75"/>
  <c r="T76"/>
  <c r="T77"/>
  <c r="T78"/>
  <c r="T79"/>
  <c r="T80"/>
  <c r="T81"/>
  <c r="T82"/>
  <c r="T83"/>
  <c r="T84"/>
  <c r="T85"/>
  <c r="T86"/>
  <c r="T87"/>
  <c r="T88"/>
  <c r="T89"/>
  <c r="T90"/>
  <c r="T91"/>
  <c r="T92"/>
  <c r="T93"/>
  <c r="T94"/>
  <c r="T95"/>
  <c r="T96"/>
  <c r="T97"/>
  <c r="T98"/>
  <c r="T99"/>
  <c r="T100"/>
  <c r="T101"/>
  <c r="T102"/>
  <c r="T103"/>
  <c r="T104"/>
  <c r="T105"/>
  <c r="T106"/>
  <c r="T107"/>
  <c r="T108"/>
  <c r="T109"/>
  <c r="T110"/>
  <c r="T111"/>
  <c r="T112"/>
  <c r="T113"/>
  <c r="T114"/>
  <c r="T115"/>
  <c r="T116"/>
  <c r="T117"/>
  <c r="T118"/>
  <c r="T119"/>
  <c r="T120"/>
  <c r="T121"/>
  <c r="T122"/>
  <c r="T123"/>
  <c r="T124"/>
  <c r="T125"/>
  <c r="T126"/>
  <c r="T127"/>
  <c r="T128"/>
  <c r="T129"/>
  <c r="T130"/>
  <c r="T131"/>
  <c r="T132"/>
  <c r="T133"/>
  <c r="T134"/>
  <c r="T135"/>
  <c r="T136"/>
  <c r="T137"/>
  <c r="T138"/>
  <c r="T139"/>
  <c r="T140"/>
  <c r="T141"/>
  <c r="T142"/>
  <c r="T143"/>
  <c r="T144"/>
  <c r="T145"/>
  <c r="T146"/>
  <c r="T147"/>
  <c r="T148"/>
  <c r="T149"/>
  <c r="T150"/>
  <c r="T151"/>
  <c r="T152"/>
  <c r="T153"/>
  <c r="T154"/>
  <c r="T155"/>
  <c r="T156"/>
  <c r="T157"/>
  <c r="T158"/>
  <c r="T159"/>
  <c r="T160"/>
  <c r="T161"/>
  <c r="T162"/>
  <c r="T163"/>
  <c r="T164"/>
  <c r="T165"/>
  <c r="T166"/>
  <c r="T167"/>
  <c r="T168"/>
  <c r="T169"/>
  <c r="T170"/>
  <c r="T171"/>
  <c r="T172"/>
  <c r="T173"/>
  <c r="T174"/>
  <c r="T175"/>
  <c r="T176"/>
  <c r="T177"/>
  <c r="T178"/>
  <c r="T179"/>
  <c r="T180"/>
  <c r="T181"/>
  <c r="T182"/>
  <c r="T183"/>
  <c r="T184"/>
  <c r="T185"/>
  <c r="T186"/>
  <c r="T187"/>
  <c r="T188"/>
  <c r="T189"/>
  <c r="T190"/>
  <c r="T191"/>
  <c r="T192"/>
  <c r="T193"/>
  <c r="T194"/>
  <c r="T195"/>
  <c r="T196"/>
  <c r="T197"/>
  <c r="T198"/>
  <c r="T199"/>
  <c r="T200"/>
  <c r="T201"/>
  <c r="T202"/>
  <c r="T203"/>
  <c r="T204"/>
  <c r="T205"/>
  <c r="T206"/>
  <c r="T207"/>
  <c r="T208"/>
  <c r="T209"/>
  <c r="T210"/>
  <c r="T211"/>
  <c r="T212"/>
  <c r="T213"/>
  <c r="T214"/>
  <c r="T215"/>
  <c r="T216"/>
  <c r="T217"/>
  <c r="T218"/>
  <c r="T219"/>
  <c r="T220"/>
  <c r="T221"/>
  <c r="T222"/>
  <c r="T223"/>
  <c r="T224"/>
  <c r="T225"/>
  <c r="T226"/>
  <c r="T227"/>
  <c r="T228"/>
  <c r="T229"/>
  <c r="T230"/>
  <c r="T231"/>
  <c r="T232"/>
  <c r="T233"/>
  <c r="T234"/>
  <c r="T235"/>
  <c r="T236"/>
  <c r="T237"/>
  <c r="T238"/>
  <c r="T239"/>
  <c r="T240"/>
  <c r="T241"/>
  <c r="T242"/>
  <c r="T243"/>
  <c r="T244"/>
  <c r="T245"/>
  <c r="T246"/>
  <c r="T247"/>
  <c r="T248"/>
  <c r="T249"/>
  <c r="T250"/>
  <c r="T251"/>
  <c r="T252"/>
  <c r="T253"/>
  <c r="T254"/>
  <c r="T255"/>
  <c r="T256"/>
  <c r="T257"/>
  <c r="T258"/>
  <c r="T259"/>
  <c r="T260"/>
  <c r="T261"/>
  <c r="T262"/>
  <c r="T263"/>
  <c r="T264"/>
  <c r="T265"/>
  <c r="T266"/>
  <c r="T267"/>
  <c r="T268"/>
  <c r="T269"/>
  <c r="T270"/>
  <c r="T271"/>
  <c r="T272"/>
  <c r="T273"/>
  <c r="T274"/>
  <c r="T275"/>
  <c r="T276"/>
  <c r="T277"/>
  <c r="T278"/>
  <c r="T279"/>
  <c r="T280"/>
  <c r="T281"/>
  <c r="T282"/>
  <c r="T283"/>
  <c r="T284"/>
  <c r="T285"/>
  <c r="T286"/>
  <c r="T287"/>
  <c r="T288"/>
  <c r="T289"/>
  <c r="T290"/>
  <c r="T291"/>
  <c r="T292"/>
  <c r="T293"/>
  <c r="T294"/>
  <c r="T295"/>
  <c r="T296"/>
  <c r="T297"/>
  <c r="T298"/>
  <c r="T299"/>
  <c r="T300"/>
  <c r="T301"/>
  <c r="T302"/>
  <c r="T303"/>
  <c r="T304"/>
  <c r="T305"/>
  <c r="T306"/>
  <c r="T307"/>
  <c r="T308"/>
  <c r="T309"/>
  <c r="T310"/>
  <c r="T311"/>
  <c r="T312"/>
  <c r="T313"/>
  <c r="T314"/>
  <c r="T315"/>
  <c r="T316"/>
  <c r="T317"/>
  <c r="T318"/>
  <c r="T319"/>
  <c r="T320"/>
  <c r="T321"/>
  <c r="T322"/>
  <c r="T323"/>
  <c r="T324"/>
  <c r="T325"/>
  <c r="T326"/>
  <c r="T327"/>
  <c r="AT101" i="6" l="1"/>
  <c r="AR1174"/>
  <c r="AR1182"/>
  <c r="AR1166"/>
  <c r="AQ1146"/>
  <c r="AQ1114"/>
  <c r="AQ1082"/>
  <c r="AR1190"/>
  <c r="AQ1130"/>
  <c r="AR1178"/>
  <c r="AR1162"/>
  <c r="AQ1138"/>
  <c r="AQ1106"/>
  <c r="AQ1074"/>
  <c r="AR1158"/>
  <c r="AQ1098"/>
  <c r="AQ3"/>
  <c r="AR1186"/>
  <c r="AR1170"/>
  <c r="AQ1154"/>
  <c r="AQ1122"/>
  <c r="AQ1090"/>
  <c r="AT167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22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R55"/>
  <c r="I55"/>
  <c r="G55" s="1"/>
  <c r="H55"/>
  <c r="R46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AT11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R32" i="4"/>
  <c r="J32"/>
  <c r="E32"/>
  <c r="L32" s="1"/>
  <c r="AT13" i="6" l="1"/>
  <c r="AS13"/>
  <c r="AO14"/>
  <c r="AU14" s="1"/>
  <c r="AM13"/>
  <c r="AR10"/>
  <c r="AQ10"/>
  <c r="K32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2" i="4"/>
  <c r="S32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R13" i="4"/>
  <c r="L13"/>
  <c r="K13"/>
  <c r="J13"/>
  <c r="T6" i="5"/>
  <c r="W6"/>
  <c r="V6"/>
  <c r="U6"/>
  <c r="R6"/>
  <c r="S6"/>
  <c r="AT15" i="6" l="1"/>
  <c r="AS15"/>
  <c r="AO16"/>
  <c r="AU16" s="1"/>
  <c r="AM15"/>
  <c r="AQ12"/>
  <c r="AR12"/>
  <c r="I38" i="2"/>
  <c r="J37"/>
  <c r="K37"/>
  <c r="O13" i="4"/>
  <c r="S13" s="1"/>
  <c r="R22"/>
  <c r="L22"/>
  <c r="K22"/>
  <c r="J22"/>
  <c r="K17"/>
  <c r="K16"/>
  <c r="K20"/>
  <c r="K15"/>
  <c r="K21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27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4" i="4" s="1"/>
  <c r="L179" i="3"/>
  <c r="L180"/>
  <c r="L181"/>
  <c r="L182"/>
  <c r="L183"/>
  <c r="L184"/>
  <c r="L185"/>
  <c r="L186"/>
  <c r="L187"/>
  <c r="L188"/>
  <c r="L189"/>
  <c r="M4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7"/>
  <c r="L858"/>
  <c r="L859"/>
  <c r="L860"/>
  <c r="L861"/>
  <c r="L862"/>
  <c r="L863"/>
  <c r="L864"/>
  <c r="L865"/>
  <c r="L866"/>
  <c r="L867"/>
  <c r="L868"/>
  <c r="L869"/>
  <c r="L870"/>
  <c r="L871"/>
  <c r="L872"/>
  <c r="L881"/>
  <c r="L882"/>
  <c r="L883"/>
  <c r="L884"/>
  <c r="L885"/>
  <c r="L886"/>
  <c r="L887"/>
  <c r="L888"/>
  <c r="L889"/>
  <c r="L890"/>
  <c r="L892"/>
  <c r="L893"/>
  <c r="L894"/>
  <c r="L895"/>
  <c r="L896"/>
  <c r="L897"/>
  <c r="L898"/>
  <c r="L899"/>
  <c r="L900"/>
  <c r="L901"/>
  <c r="L902"/>
  <c r="L903"/>
  <c r="L904"/>
  <c r="L905"/>
  <c r="L906"/>
  <c r="L908"/>
  <c r="L909"/>
  <c r="L910"/>
  <c r="L912"/>
  <c r="L913"/>
  <c r="L914"/>
  <c r="L916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4"/>
  <c r="L1225"/>
  <c r="L1226"/>
  <c r="L1227"/>
  <c r="L1228"/>
  <c r="L1229"/>
  <c r="L1230"/>
  <c r="L1232"/>
  <c r="L1233"/>
  <c r="L1234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7"/>
  <c r="K858"/>
  <c r="K859"/>
  <c r="K860"/>
  <c r="K861"/>
  <c r="K862"/>
  <c r="K863"/>
  <c r="K864"/>
  <c r="K865"/>
  <c r="K866"/>
  <c r="K867"/>
  <c r="K868"/>
  <c r="K869"/>
  <c r="K870"/>
  <c r="K871"/>
  <c r="K872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4"/>
  <c r="K1225"/>
  <c r="K1226"/>
  <c r="K1227"/>
  <c r="K1228"/>
  <c r="K1229"/>
  <c r="K1230"/>
  <c r="K1231"/>
  <c r="K1232"/>
  <c r="K1233"/>
  <c r="K1234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2"/>
  <c r="R8"/>
  <c r="K295" s="1"/>
  <c r="T8"/>
  <c r="L295" s="1"/>
  <c r="T5"/>
  <c r="L891" s="1"/>
  <c r="L1370" l="1"/>
  <c r="L1346"/>
  <c r="M7" i="4" s="1"/>
  <c r="K1370" i="3"/>
  <c r="K1346"/>
  <c r="I8" i="4"/>
  <c r="N8" s="1"/>
  <c r="L1327" i="3"/>
  <c r="M8" i="4" s="1"/>
  <c r="K1327" i="3"/>
  <c r="L1231"/>
  <c r="M6" i="4"/>
  <c r="I6"/>
  <c r="N6" s="1"/>
  <c r="K1235" i="3"/>
  <c r="K1223"/>
  <c r="L1235"/>
  <c r="L1223"/>
  <c r="I7" i="4"/>
  <c r="N7" s="1"/>
  <c r="L1114" i="3"/>
  <c r="I14" i="4"/>
  <c r="N14" s="1"/>
  <c r="AT16" i="6"/>
  <c r="AS16"/>
  <c r="AO17"/>
  <c r="AU17" s="1"/>
  <c r="AM16"/>
  <c r="AR13"/>
  <c r="AQ13"/>
  <c r="I32" i="4"/>
  <c r="N32" s="1"/>
  <c r="M32"/>
  <c r="K38" i="2"/>
  <c r="J38"/>
  <c r="M23" i="4"/>
  <c r="K1016" i="3"/>
  <c r="L1016"/>
  <c r="M30" i="4"/>
  <c r="M31"/>
  <c r="M12"/>
  <c r="M15"/>
  <c r="M19"/>
  <c r="M10"/>
  <c r="M9"/>
  <c r="M3"/>
  <c r="M17"/>
  <c r="M11"/>
  <c r="M13"/>
  <c r="M18"/>
  <c r="M29"/>
  <c r="M20"/>
  <c r="M5"/>
  <c r="M28"/>
  <c r="M16"/>
  <c r="M26"/>
  <c r="I13"/>
  <c r="N13" s="1"/>
  <c r="I22"/>
  <c r="N22" s="1"/>
  <c r="O22"/>
  <c r="S22" s="1"/>
  <c r="K878" i="3"/>
  <c r="K874"/>
  <c r="K538"/>
  <c r="L880"/>
  <c r="L876"/>
  <c r="L856"/>
  <c r="M21" i="4" s="1"/>
  <c r="K879" i="3"/>
  <c r="K875"/>
  <c r="L877"/>
  <c r="L873"/>
  <c r="K880"/>
  <c r="K876"/>
  <c r="K856"/>
  <c r="L878"/>
  <c r="L874"/>
  <c r="L538"/>
  <c r="K877"/>
  <c r="K873"/>
  <c r="L879"/>
  <c r="L875"/>
  <c r="L915"/>
  <c r="L911"/>
  <c r="L907"/>
  <c r="R23" i="4"/>
  <c r="J23"/>
  <c r="L23"/>
  <c r="Q32" l="1"/>
  <c r="P32"/>
  <c r="R20" i="14"/>
  <c r="O12"/>
  <c r="O10" s="1"/>
  <c r="Q6" i="4"/>
  <c r="P6"/>
  <c r="Q13"/>
  <c r="P13"/>
  <c r="P23"/>
  <c r="Q8"/>
  <c r="P8"/>
  <c r="Q7"/>
  <c r="P7"/>
  <c r="P12" i="14"/>
  <c r="P10" s="1"/>
  <c r="Q12"/>
  <c r="Q10" s="1"/>
  <c r="M14" i="4"/>
  <c r="AT17" i="6"/>
  <c r="AS17"/>
  <c r="AO18"/>
  <c r="AU18" s="1"/>
  <c r="AM17"/>
  <c r="AR14"/>
  <c r="AQ14"/>
  <c r="M22" i="4"/>
  <c r="M25"/>
  <c r="K23"/>
  <c r="O23"/>
  <c r="S23" s="1"/>
  <c r="Q23"/>
  <c r="R25"/>
  <c r="L25"/>
  <c r="K25"/>
  <c r="J25"/>
  <c r="R15"/>
  <c r="L15"/>
  <c r="J15"/>
  <c r="P15" s="1"/>
  <c r="R21"/>
  <c r="L21"/>
  <c r="J21"/>
  <c r="P21" s="1"/>
  <c r="R20"/>
  <c r="L20"/>
  <c r="J20"/>
  <c r="P20" s="1"/>
  <c r="R17"/>
  <c r="L17"/>
  <c r="J17"/>
  <c r="P17" s="1"/>
  <c r="T4" i="5"/>
  <c r="W5"/>
  <c r="S4"/>
  <c r="T5"/>
  <c r="U5"/>
  <c r="S5"/>
  <c r="U4"/>
  <c r="R5"/>
  <c r="V4"/>
  <c r="V5"/>
  <c r="W4"/>
  <c r="P25" i="4" l="1"/>
  <c r="Q14"/>
  <c r="P14"/>
  <c r="R21" i="14" s="1"/>
  <c r="Q22" i="4"/>
  <c r="P22"/>
  <c r="AT18" i="6"/>
  <c r="AS18"/>
  <c r="AO19"/>
  <c r="AU19" s="1"/>
  <c r="AM18"/>
  <c r="AR15"/>
  <c r="AQ15"/>
  <c r="Q25" i="4"/>
  <c r="O25"/>
  <c r="S25" s="1"/>
  <c r="O15"/>
  <c r="S15" s="1"/>
  <c r="O20"/>
  <c r="O17"/>
  <c r="S17" s="1"/>
  <c r="O21"/>
  <c r="S21" s="1"/>
  <c r="S20"/>
  <c r="Q5" i="5"/>
  <c r="Q4"/>
  <c r="R4"/>
  <c r="F66" i="9" l="1"/>
  <c r="G65"/>
  <c r="G60"/>
  <c r="K66"/>
  <c r="O65"/>
  <c r="O60"/>
  <c r="J60"/>
  <c r="N66"/>
  <c r="N65"/>
  <c r="I62"/>
  <c r="I61"/>
  <c r="M67"/>
  <c r="Q62"/>
  <c r="Q61"/>
  <c r="S66"/>
  <c r="H60"/>
  <c r="H66"/>
  <c r="L65"/>
  <c r="P60"/>
  <c r="P66"/>
  <c r="T65"/>
  <c r="F60"/>
  <c r="F62"/>
  <c r="G61"/>
  <c r="K67"/>
  <c r="K62"/>
  <c r="O61"/>
  <c r="J61"/>
  <c r="J67"/>
  <c r="N62"/>
  <c r="I60"/>
  <c r="M66"/>
  <c r="M65"/>
  <c r="Q60"/>
  <c r="S67"/>
  <c r="S62"/>
  <c r="H67"/>
  <c r="L62"/>
  <c r="L61"/>
  <c r="P67"/>
  <c r="T62"/>
  <c r="T61"/>
  <c r="F65"/>
  <c r="F67"/>
  <c r="G66"/>
  <c r="K65"/>
  <c r="K60"/>
  <c r="O66"/>
  <c r="J66"/>
  <c r="J65"/>
  <c r="N60"/>
  <c r="I67"/>
  <c r="M62"/>
  <c r="M61"/>
  <c r="Q67"/>
  <c r="S65"/>
  <c r="S60"/>
  <c r="H65"/>
  <c r="L60"/>
  <c r="L66"/>
  <c r="P65"/>
  <c r="T60"/>
  <c r="T66"/>
  <c r="F61"/>
  <c r="G67"/>
  <c r="G62"/>
  <c r="K61"/>
  <c r="O67"/>
  <c r="O62"/>
  <c r="J62"/>
  <c r="N61"/>
  <c r="N67"/>
  <c r="I66"/>
  <c r="I65"/>
  <c r="M60"/>
  <c r="Q66"/>
  <c r="Q65"/>
  <c r="S61"/>
  <c r="H62"/>
  <c r="H61"/>
  <c r="L67"/>
  <c r="P62"/>
  <c r="P61"/>
  <c r="T67"/>
  <c r="H94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23" i="4"/>
  <c r="N23" s="1"/>
  <c r="R19"/>
  <c r="L19"/>
  <c r="K19"/>
  <c r="J19"/>
  <c r="P19" s="1"/>
  <c r="J2"/>
  <c r="AT20" i="6" l="1"/>
  <c r="AS20"/>
  <c r="AO21"/>
  <c r="AU21" s="1"/>
  <c r="AM20"/>
  <c r="AR17"/>
  <c r="AQ17"/>
  <c r="I25" i="4"/>
  <c r="N25" s="1"/>
  <c r="Q21"/>
  <c r="I21"/>
  <c r="N21" s="1"/>
  <c r="O20" i="14" s="1"/>
  <c r="I15" i="4"/>
  <c r="N15" s="1"/>
  <c r="Q15"/>
  <c r="O19"/>
  <c r="S19" s="1"/>
  <c r="AT21" i="6" l="1"/>
  <c r="AS21"/>
  <c r="AO22"/>
  <c r="AU22" s="1"/>
  <c r="AM21"/>
  <c r="AR18"/>
  <c r="AQ18"/>
  <c r="K2" i="4"/>
  <c r="R2"/>
  <c r="L2"/>
  <c r="AT22" i="6" l="1"/>
  <c r="AS22"/>
  <c r="AO23"/>
  <c r="AU23" s="1"/>
  <c r="AM22"/>
  <c r="AR19"/>
  <c r="AQ19"/>
  <c r="O2" i="4"/>
  <c r="S2" s="1"/>
  <c r="T24" i="9"/>
  <c r="T26" s="1"/>
  <c r="S24"/>
  <c r="S26" s="1"/>
  <c r="R24"/>
  <c r="Q24"/>
  <c r="P24"/>
  <c r="O24"/>
  <c r="N24"/>
  <c r="M24"/>
  <c r="L24"/>
  <c r="K24"/>
  <c r="J24"/>
  <c r="I24"/>
  <c r="H24"/>
  <c r="H26" s="1"/>
  <c r="G24"/>
  <c r="G26" s="1"/>
  <c r="F24"/>
  <c r="F26" s="1"/>
  <c r="R90" l="1"/>
  <c r="R58"/>
  <c r="R26"/>
  <c r="R29" s="1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AT23" i="6"/>
  <c r="AS23"/>
  <c r="AO24"/>
  <c r="AU24" s="1"/>
  <c r="AM23"/>
  <c r="AQ20"/>
  <c r="AR20"/>
  <c r="M33" i="9"/>
  <c r="L34"/>
  <c r="T35"/>
  <c r="T28"/>
  <c r="T33"/>
  <c r="T29"/>
  <c r="T34"/>
  <c r="T30"/>
  <c r="J28"/>
  <c r="N34"/>
  <c r="N29"/>
  <c r="N35"/>
  <c r="N30"/>
  <c r="R35"/>
  <c r="R28"/>
  <c r="R34"/>
  <c r="R30"/>
  <c r="P34"/>
  <c r="P35"/>
  <c r="P30"/>
  <c r="P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R29" i="4"/>
  <c r="L29"/>
  <c r="K29"/>
  <c r="J29"/>
  <c r="P29" s="1"/>
  <c r="K33" i="9" l="1"/>
  <c r="J34"/>
  <c r="M28"/>
  <c r="R60"/>
  <c r="R61"/>
  <c r="R67"/>
  <c r="U67" s="1"/>
  <c r="R66"/>
  <c r="U66" s="1"/>
  <c r="R65"/>
  <c r="U65" s="1"/>
  <c r="R62"/>
  <c r="N33"/>
  <c r="J33"/>
  <c r="M29"/>
  <c r="R33"/>
  <c r="K34"/>
  <c r="K28"/>
  <c r="K30"/>
  <c r="J35"/>
  <c r="J29"/>
  <c r="I33"/>
  <c r="I28"/>
  <c r="I30"/>
  <c r="I35"/>
  <c r="I34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29" i="4"/>
  <c r="S29" s="1"/>
  <c r="R28"/>
  <c r="R10"/>
  <c r="R9"/>
  <c r="R3"/>
  <c r="R24"/>
  <c r="R11"/>
  <c r="R26"/>
  <c r="R30"/>
  <c r="R27"/>
  <c r="R5"/>
  <c r="R4"/>
  <c r="R12"/>
  <c r="R16"/>
  <c r="R31"/>
  <c r="R18"/>
  <c r="O29" i="1"/>
  <c r="M17"/>
  <c r="M18" s="1"/>
  <c r="J9" i="4"/>
  <c r="J28"/>
  <c r="P28" s="1"/>
  <c r="J10"/>
  <c r="J5"/>
  <c r="P5" s="1"/>
  <c r="J11"/>
  <c r="P11" s="1"/>
  <c r="J24"/>
  <c r="P24" s="1"/>
  <c r="J26"/>
  <c r="P26" s="1"/>
  <c r="J30"/>
  <c r="P30" s="1"/>
  <c r="J4"/>
  <c r="P4" s="1"/>
  <c r="J3"/>
  <c r="P3" s="1"/>
  <c r="J12"/>
  <c r="P12" s="1"/>
  <c r="J16"/>
  <c r="P16" s="1"/>
  <c r="J31"/>
  <c r="P31" s="1"/>
  <c r="J27"/>
  <c r="P27" s="1"/>
  <c r="J18"/>
  <c r="P18" s="1"/>
  <c r="L9"/>
  <c r="L28"/>
  <c r="L10"/>
  <c r="L5"/>
  <c r="L11"/>
  <c r="L24"/>
  <c r="L26"/>
  <c r="L30"/>
  <c r="L4"/>
  <c r="L3"/>
  <c r="L12"/>
  <c r="L16"/>
  <c r="L31"/>
  <c r="L27"/>
  <c r="L18"/>
  <c r="P9" l="1"/>
  <c r="N18" i="14"/>
  <c r="P10" i="4"/>
  <c r="U34" i="9"/>
  <c r="U35"/>
  <c r="U33"/>
  <c r="U97"/>
  <c r="S15" i="1" s="1"/>
  <c r="Q11" i="14" s="1"/>
  <c r="Q9" s="1"/>
  <c r="U99" i="9"/>
  <c r="U98"/>
  <c r="AT25" i="6"/>
  <c r="AS25"/>
  <c r="AO26"/>
  <c r="AU26" s="1"/>
  <c r="AM25"/>
  <c r="AQ22"/>
  <c r="AR22"/>
  <c r="Q35" i="2"/>
  <c r="Q37"/>
  <c r="O37"/>
  <c r="O35"/>
  <c r="O9" i="4"/>
  <c r="S9" s="1"/>
  <c r="O4"/>
  <c r="S4" s="1"/>
  <c r="O11"/>
  <c r="S11" s="1"/>
  <c r="O18"/>
  <c r="S18" s="1"/>
  <c r="O24"/>
  <c r="S24" s="1"/>
  <c r="O28"/>
  <c r="S28" s="1"/>
  <c r="O3"/>
  <c r="S3" s="1"/>
  <c r="O31"/>
  <c r="S31" s="1"/>
  <c r="O12"/>
  <c r="S12" s="1"/>
  <c r="O26"/>
  <c r="S26" s="1"/>
  <c r="O10"/>
  <c r="S10" s="1"/>
  <c r="O27"/>
  <c r="S27" s="1"/>
  <c r="O16"/>
  <c r="S16" s="1"/>
  <c r="O30"/>
  <c r="S30" s="1"/>
  <c r="O5"/>
  <c r="S5" s="1"/>
  <c r="K10"/>
  <c r="N21" i="14" l="1"/>
  <c r="P18"/>
  <c r="Q18" s="1"/>
  <c r="Q21" s="1"/>
  <c r="N19"/>
  <c r="P19" s="1"/>
  <c r="P22" s="1"/>
  <c r="AT26" i="6"/>
  <c r="AS26"/>
  <c r="AO27"/>
  <c r="AU27" s="1"/>
  <c r="AM26"/>
  <c r="AR23"/>
  <c r="AQ23"/>
  <c r="B35" i="2"/>
  <c r="K18" i="4"/>
  <c r="Q20" i="14" l="1"/>
  <c r="Q19"/>
  <c r="AT27" i="6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2" i="4"/>
  <c r="AT29" i="6" l="1"/>
  <c r="AS29"/>
  <c r="AO30"/>
  <c r="AU30" s="1"/>
  <c r="AM29"/>
  <c r="AR26"/>
  <c r="AQ26"/>
  <c r="I24" i="4"/>
  <c r="N24" s="1"/>
  <c r="I4"/>
  <c r="N4" s="1"/>
  <c r="Q27"/>
  <c r="Q24"/>
  <c r="Q4"/>
  <c r="Q20"/>
  <c r="AT30" i="6" l="1"/>
  <c r="AS30"/>
  <c r="AO31"/>
  <c r="AU31" s="1"/>
  <c r="AM30"/>
  <c r="AR27"/>
  <c r="AQ27"/>
  <c r="Q17" i="4"/>
  <c r="M2"/>
  <c r="I5"/>
  <c r="N5" s="1"/>
  <c r="Q19"/>
  <c r="Q10"/>
  <c r="P21" i="14" s="1"/>
  <c r="Q30" i="4"/>
  <c r="Q31"/>
  <c r="Q5"/>
  <c r="Q26"/>
  <c r="Q18"/>
  <c r="Q28"/>
  <c r="Q16"/>
  <c r="Q12"/>
  <c r="Q9"/>
  <c r="Q29"/>
  <c r="Q3"/>
  <c r="Q11"/>
  <c r="I27"/>
  <c r="N27" s="1"/>
  <c r="I17"/>
  <c r="N17" s="1"/>
  <c r="M16" i="1"/>
  <c r="M19" s="1"/>
  <c r="Q2" i="4" l="1"/>
  <c r="P2"/>
  <c r="AT31" i="6"/>
  <c r="AS31"/>
  <c r="AO32"/>
  <c r="AU32" s="1"/>
  <c r="AM31"/>
  <c r="AQ28"/>
  <c r="AR28"/>
  <c r="I20" i="4"/>
  <c r="N20" s="1"/>
  <c r="I2"/>
  <c r="N2" s="1"/>
  <c r="I19"/>
  <c r="N19" s="1"/>
  <c r="I16"/>
  <c r="N16" s="1"/>
  <c r="I12"/>
  <c r="N12" s="1"/>
  <c r="I29"/>
  <c r="N29" s="1"/>
  <c r="I31"/>
  <c r="N31" s="1"/>
  <c r="I30"/>
  <c r="N30" s="1"/>
  <c r="I18"/>
  <c r="N18" s="1"/>
  <c r="I10"/>
  <c r="I26"/>
  <c r="N26" s="1"/>
  <c r="I9"/>
  <c r="N9" s="1"/>
  <c r="I28"/>
  <c r="N28" s="1"/>
  <c r="I11"/>
  <c r="N11" s="1"/>
  <c r="I3"/>
  <c r="N3" s="1"/>
  <c r="O16" i="1"/>
  <c r="M20"/>
  <c r="O18"/>
  <c r="AT32" i="6" l="1"/>
  <c r="AS32"/>
  <c r="AO33"/>
  <c r="AU33" s="1"/>
  <c r="AM32"/>
  <c r="AR29"/>
  <c r="AQ29"/>
  <c r="N10" i="4"/>
  <c r="P35" i="2"/>
  <c r="C35" s="1"/>
  <c r="P37"/>
  <c r="M21" i="1"/>
  <c r="O20"/>
  <c r="W4"/>
  <c r="X4" s="1"/>
  <c r="W5"/>
  <c r="X5" s="1"/>
  <c r="W6"/>
  <c r="X6" s="1"/>
  <c r="W7"/>
  <c r="X7" s="1"/>
  <c r="K30" i="4"/>
  <c r="K31"/>
  <c r="K26"/>
  <c r="K11"/>
  <c r="K27"/>
  <c r="K28"/>
  <c r="K24"/>
  <c r="K3"/>
  <c r="K4"/>
  <c r="K5"/>
  <c r="K9"/>
  <c r="N20" i="14" l="1"/>
  <c r="P20" s="1"/>
  <c r="W8" i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S2" i="6"/>
  <c r="U2" s="1"/>
  <c r="J6"/>
  <c r="J7" s="1"/>
  <c r="J8" s="1"/>
  <c r="J9" s="1"/>
  <c r="Q5"/>
  <c r="W3" i="1"/>
  <c r="X3" s="1"/>
  <c r="W2"/>
  <c r="Q4" l="1"/>
  <c r="O5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Q7" i="1" l="1"/>
  <c r="N32"/>
  <c r="M32" s="1"/>
  <c r="M31"/>
  <c r="O8"/>
  <c r="M9"/>
  <c r="Q9" s="1"/>
  <c r="M8"/>
  <c r="O9" s="1"/>
  <c r="P46" i="6"/>
  <c r="S46" s="1"/>
  <c r="U46" s="1"/>
  <c r="F7"/>
  <c r="N7" s="1"/>
  <c r="Q10"/>
  <c r="R9"/>
  <c r="AQ35"/>
  <c r="AR35"/>
  <c r="H8"/>
  <c r="I7"/>
  <c r="G7" s="1"/>
  <c r="J12"/>
  <c r="M11" i="1"/>
  <c r="Q11" s="1"/>
  <c r="O6" i="6"/>
  <c r="O24" i="2"/>
  <c r="O22"/>
  <c r="O23"/>
  <c r="P23"/>
  <c r="P24"/>
  <c r="P22"/>
  <c r="O7" i="6" l="1"/>
  <c r="O31" i="1"/>
  <c r="N33"/>
  <c r="O33" s="1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37" i="1" l="1"/>
  <c r="P12"/>
  <c r="N34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<sst xmlns="http://schemas.openxmlformats.org/spreadsheetml/2006/main" count="7624" uniqueCount="896">
  <si>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</si>
  <si>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</si>
  <si>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</si>
  <si>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</si>
  <si>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</si>
  <si>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</si>
  <si>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</si>
  <si>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</si>
  <si>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</si>
  <si>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</si>
  <si>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</si>
  <si>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</si>
  <si>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</si>
  <si>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</si>
  <si>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</si>
  <si>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</si>
  <si>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</si>
  <si>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</si>
  <si>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</si>
  <si>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</si>
  <si>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</si>
  <si>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</si>
  <si>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</si>
  <si>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</si>
  <si>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</si>
  <si>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</si>
  <si>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</si>
  <si>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</si>
  <si>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</si>
  <si>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</si>
  <si>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</si>
  <si>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</si>
  <si>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</si>
  <si>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</si>
  <si>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</si>
  <si>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</si>
  <si>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</si>
  <si>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</si>
  <si>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</si>
  <si>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</si>
  <si>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</si>
  <si>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</si>
  <si>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</si>
  <si>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</si>
  <si>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</si>
  <si>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</si>
  <si>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</si>
  <si>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</si>
  <si>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</si>
  <si>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</si>
  <si>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</si>
  <si>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</si>
  <si>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</si>
  <si>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</si>
  <si>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</si>
  <si>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</si>
  <si>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</si>
  <si>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</si>
  <si>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</si>
  <si>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</si>
  <si>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</si>
  <si>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</si>
  <si>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</si>
  <si>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</si>
  <si>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</si>
  <si>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</si>
  <si>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</si>
  <si>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</si>
  <si>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</si>
  <si>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</si>
  <si>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</si>
  <si>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</si>
  <si>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</si>
  <si>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</si>
  <si>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</si>
  <si>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</si>
  <si>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</si>
  <si>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</si>
  <si>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</si>
  <si>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</si>
  <si>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</si>
  <si>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</si>
  <si>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</si>
  <si>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</si>
  <si>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</si>
  <si>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</si>
  <si>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</si>
  <si>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</si>
  <si>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</si>
  <si>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</si>
  <si>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</si>
  <si>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</si>
  <si>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</si>
  <si>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</si>
  <si>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</si>
  <si>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</si>
  <si>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</si>
  <si>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</si>
  <si>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</si>
  <si>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</si>
  <si>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</si>
  <si>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</si>
  <si>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</si>
  <si>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</si>
  <si>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</si>
  <si>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</si>
  <si>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</si>
  <si>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</si>
  <si>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</si>
  <si>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</si>
  <si>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</si>
  <si>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</si>
  <si>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</si>
  <si>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</si>
  <si>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</si>
  <si>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</si>
  <si>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</si>
  <si>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</si>
  <si>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</si>
  <si>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</si>
  <si>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</si>
  <si>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</si>
  <si>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</si>
  <si>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</si>
  <si>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</si>
  <si>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</si>
  <si>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</si>
  <si>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</si>
  <si>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</si>
  <si>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</si>
  <si>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</si>
  <si>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</si>
  <si>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</si>
  <si>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</si>
  <si>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</si>
  <si>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</si>
  <si>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</si>
  <si>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</si>
  <si>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</si>
  <si>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</si>
  <si>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</si>
  <si>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</si>
  <si>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</si>
  <si>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</si>
  <si>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</si>
  <si>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</si>
  <si>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</si>
  <si>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</si>
  <si>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</si>
  <si>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</si>
  <si>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</si>
  <si>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</si>
  <si>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</si>
  <si>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</si>
  <si>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</si>
  <si>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</si>
  <si>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</si>
  <si>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</si>
  <si>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</si>
  <si>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</si>
  <si>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</si>
  <si>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</si>
  <si>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</si>
  <si>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</si>
  <si>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</si>
  <si>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</si>
  <si>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</si>
  <si>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</si>
  <si>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</si>
  <si>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</si>
  <si>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</si>
  <si>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</si>
  <si>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</si>
  <si>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</si>
  <si>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</si>
  <si>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</si>
  <si>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</si>
  <si>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</si>
  <si>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</si>
  <si>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</si>
  <si>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</si>
  <si>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</si>
  <si>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</si>
  <si>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</si>
  <si>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</si>
  <si>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</si>
  <si>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</si>
  <si>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</si>
  <si>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</si>
  <si>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</si>
  <si>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</si>
  <si>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</si>
  <si>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</si>
  <si>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</si>
  <si>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</si>
  <si>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</si>
  <si>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</si>
  <si>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</si>
  <si>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</si>
  <si>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</si>
  <si>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</si>
  <si>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</si>
  <si>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</si>
  <si>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</si>
  <si>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</si>
  <si>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</si>
  <si>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</si>
  <si>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</si>
  <si>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</si>
  <si>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</si>
  <si>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</si>
  <si>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</si>
  <si>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</si>
  <si>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</si>
  <si>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</si>
  <si>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</si>
  <si>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</si>
  <si>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</si>
  <si>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</si>
  <si>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</si>
  <si>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</si>
  <si>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</si>
  <si>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</si>
  <si>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</si>
  <si>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</si>
  <si>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</si>
  <si>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</si>
  <si>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</si>
  <si>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</si>
  <si>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</si>
  <si>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</si>
  <si>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</si>
  <si>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</si>
  <si>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</si>
  <si>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</si>
  <si>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</si>
  <si>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</si>
  <si>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</si>
  <si>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</si>
  <si>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</si>
  <si>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</si>
  <si>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</si>
  <si>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</si>
  <si>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</si>
  <si>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</si>
  <si>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</si>
  <si>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</si>
  <si>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</si>
  <si>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</si>
  <si>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</si>
  <si>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</si>
  <si>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</si>
  <si>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</si>
  <si>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</si>
  <si>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</si>
  <si>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</si>
  <si>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</si>
  <si>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</si>
  <si>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</si>
  <si>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</si>
  <si>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</si>
  <si>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</si>
  <si>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</si>
  <si>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</si>
  <si>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</si>
  <si>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</si>
  <si>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</si>
  <si>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</si>
  <si>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</si>
  <si>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</si>
  <si>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</si>
  <si>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</si>
  <si>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</si>
  <si>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</si>
  <si>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</si>
  <si>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</si>
  <si>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</si>
  <si>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</si>
  <si>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</si>
  <si>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</si>
  <si>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</si>
  <si>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</si>
  <si>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</si>
  <si>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</si>
  <si>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</si>
  <si>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</si>
  <si>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</si>
  <si>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</si>
  <si>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</si>
  <si>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</si>
  <si>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</si>
  <si>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</si>
  <si>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</si>
  <si>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</si>
  <si>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</si>
  <si>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</si>
  <si>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</si>
  <si>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</si>
  <si>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</si>
  <si>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</si>
  <si>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</si>
  <si>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</si>
  <si>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</si>
  <si>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</si>
  <si>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</si>
  <si>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</si>
  <si>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</si>
  <si>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</si>
  <si>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</si>
  <si>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</si>
  <si>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</si>
  <si>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</si>
  <si>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</si>
  <si>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</si>
  <si>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</si>
  <si>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</si>
  <si>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</si>
  <si>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</si>
  <si>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</si>
  <si>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</si>
  <si>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</si>
  <si>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</si>
  <si>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</si>
  <si>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</si>
  <si>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</si>
  <si>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</si>
  <si>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</si>
  <si>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</si>
  <si>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</si>
  <si>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</si>
  <si>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</si>
  <si>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</si>
  <si>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</si>
  <si>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</si>
  <si>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</si>
  <si>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</si>
  <si>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</si>
  <si>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</si>
  <si>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</si>
  <si>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</si>
  <si>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</si>
  <si>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</si>
  <si>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</si>
  <si>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</si>
  <si>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</si>
  <si>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</si>
  <si>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</si>
  <si>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</si>
  <si>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</si>
  <si>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</si>
  <si>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</si>
  <si>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</si>
  <si>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</si>
  <si>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</si>
  <si>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</si>
  <si>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</si>
  <si>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</si>
  <si>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</si>
  <si>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</si>
  <si>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</si>
  <si>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</si>
  <si>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</si>
  <si>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</si>
  <si>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</si>
  <si>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</si>
  <si>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</si>
  <si>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</si>
  <si>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</si>
  <si>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</si>
  <si>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</si>
  <si>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</si>
  <si>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</si>
  <si>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</si>
  <si>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</si>
  <si>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</si>
  <si>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</si>
  <si>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</si>
  <si>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</si>
  <si>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</si>
  <si>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</si>
  <si>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</si>
  <si>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</si>
  <si>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</si>
  <si>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</si>
  <si>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</si>
  <si>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</si>
  <si>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</si>
  <si>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</si>
  <si>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</si>
  <si>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</si>
  <si>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</si>
  <si>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</si>
  <si>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</si>
  <si>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</si>
  <si>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</si>
  <si>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</si>
  <si>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</si>
  <si>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</si>
  <si>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</si>
  <si>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</si>
  <si>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</si>
  <si>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</si>
  <si>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</si>
  <si>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</si>
  <si>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</si>
  <si>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</si>
  <si>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</si>
  <si>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</si>
  <si>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</si>
  <si>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</si>
  <si>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</si>
  <si>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</si>
  <si>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</si>
  <si>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</si>
  <si>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</si>
  <si>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</si>
  <si>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</si>
  <si>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</si>
  <si>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</si>
  <si>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</si>
  <si>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</si>
  <si>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</si>
  <si>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</si>
  <si>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</si>
  <si>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</si>
  <si>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</si>
  <si>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</si>
  <si>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</si>
  <si>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</si>
  <si>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</si>
  <si>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</si>
  <si>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</si>
  <si>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</si>
  <si>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</si>
  <si>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</si>
  <si>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</si>
  <si>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</si>
  <si>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</si>
  <si>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</si>
  <si>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</si>
  <si>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</si>
  <si>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</si>
  <si>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</si>
  <si>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</si>
  <si>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</si>
  <si>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</si>
  <si>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</si>
  <si>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</si>
  <si>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</si>
  <si>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</si>
  <si>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</si>
  <si>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</si>
  <si>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</si>
  <si>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</si>
  <si>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</si>
  <si>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</si>
  <si>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</si>
  <si>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</si>
  <si>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</si>
  <si>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</si>
  <si>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</si>
  <si>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</si>
  <si>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</si>
  <si>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</si>
  <si>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</si>
  <si>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</si>
  <si>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</si>
  <si>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</si>
  <si>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</si>
  <si>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</si>
  <si>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</si>
  <si>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</si>
  <si>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</si>
  <si>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</si>
  <si>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</si>
  <si>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</si>
  <si>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</si>
  <si>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</si>
  <si>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</si>
  <si>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</si>
  <si>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</si>
  <si>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</si>
  <si>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</si>
  <si>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</si>
  <si>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</si>
  <si>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</si>
  <si>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</si>
  <si>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</si>
  <si>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</si>
  <si>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</si>
  <si>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</si>
  <si>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</si>
  <si>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</si>
  <si>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</si>
  <si>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</si>
  <si>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</si>
  <si>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</si>
  <si>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</si>
  <si>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</si>
  <si>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</si>
  <si>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</si>
  <si>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</si>
  <si>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</si>
  <si>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</si>
  <si>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</si>
  <si>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</si>
  <si>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</si>
  <si>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</si>
  <si>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</si>
  <si>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</si>
  <si>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</si>
  <si>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</si>
  <si>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</si>
  <si>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</si>
  <si>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</si>
  <si>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</si>
  <si>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</si>
  <si>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</si>
  <si>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</si>
  <si>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</si>
  <si>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</si>
  <si>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</si>
  <si>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</si>
  <si>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</si>
  <si>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</si>
  <si>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</si>
  <si>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</si>
  <si>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</si>
  <si>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</si>
  <si>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</si>
  <si>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</si>
  <si>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</si>
  <si>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</si>
  <si>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</si>
  <si>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</si>
  <si>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</si>
  <si>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</si>
  <si>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</si>
  <si>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</si>
  <si>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</si>
  <si>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</si>
  <si>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</si>
  <si>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</si>
  <si>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</si>
  <si>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</si>
  <si>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</si>
  <si>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</si>
  <si>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</si>
  <si>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</si>
  <si>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</si>
  <si>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</si>
  <si>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</si>
  <si>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</si>
  <si>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</si>
  <si>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</si>
  <si>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</si>
  <si>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</si>
  <si>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</si>
  <si>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</si>
  <si>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</si>
  <si>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</si>
  <si>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</si>
  <si>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</si>
  <si>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</si>
  <si>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</si>
  <si>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</si>
  <si>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</si>
  <si>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</si>
  <si>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</si>
  <si>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</si>
  <si>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</si>
  <si>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</si>
  <si>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</si>
  <si>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</si>
  <si>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</si>
  <si>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</si>
  <si>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</si>
  <si>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</si>
  <si>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</si>
  <si>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</si>
  <si>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</si>
  <si>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</si>
  <si>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</si>
  <si>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</si>
  <si>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</si>
  <si>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</si>
  <si>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</si>
  <si>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</si>
  <si>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</si>
  <si>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</si>
  <si>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</si>
  <si>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</si>
  <si>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</si>
  <si>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</si>
  <si>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</si>
  <si>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</si>
  <si>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</si>
  <si>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</si>
  <si>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</si>
  <si>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</si>
  <si>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</si>
  <si>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</si>
  <si>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</si>
  <si>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</si>
  <si>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</si>
  <si>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</si>
  <si>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</si>
  <si>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</si>
  <si>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</si>
  <si>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</si>
  <si>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</si>
  <si>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</si>
  <si>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</si>
  <si>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</si>
  <si>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</si>
  <si>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</si>
  <si>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</si>
  <si>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</si>
  <si>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</si>
  <si>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</si>
  <si>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</si>
  <si>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</si>
  <si>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</si>
  <si>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</si>
  <si>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</si>
  <si>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</si>
  <si>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</si>
  <si>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</si>
  <si>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</si>
  <si>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</si>
  <si>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</si>
  <si>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</si>
  <si>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</si>
  <si>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</si>
  <si>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</si>
  <si>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</si>
  <si>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</si>
  <si>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</si>
  <si>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</si>
  <si>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</si>
  <si>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</si>
  <si>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</si>
  <si>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</si>
  <si>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</si>
  <si>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</si>
  <si>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</si>
  <si>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</si>
  <si>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</si>
  <si>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</si>
  <si>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</si>
  <si>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</si>
  <si>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</si>
  <si>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</si>
  <si>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</si>
  <si>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</si>
  <si>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</si>
  <si>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</si>
  <si>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</si>
  <si>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</si>
  <si>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</si>
  <si>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</si>
  <si>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</si>
  <si>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</si>
  <si>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</si>
  <si>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</si>
  <si>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</si>
  <si>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</si>
  <si>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</si>
  <si>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</si>
  <si>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</si>
  <si>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</si>
  <si>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</si>
  <si>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</si>
  <si>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</si>
  <si>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</si>
  <si>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</si>
  <si>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</si>
  <si>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</si>
  <si>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</si>
  <si>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</si>
  <si>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</si>
  <si>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</si>
  <si>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</si>
  <si>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</si>
  <si>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</si>
  <si>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</si>
  <si>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</si>
  <si>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</si>
  <si>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</si>
  <si>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</si>
  <si>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</si>
  <si>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</si>
  <si>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</si>
  <si>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</si>
  <si>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</si>
  <si>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</si>
  <si>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</si>
  <si>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</si>
  <si>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</si>
  <si>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</si>
  <si>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</si>
  <si>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</si>
  <si>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</si>
  <si>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</si>
  <si>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</si>
  <si>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</si>
  <si>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</si>
  <si>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</si>
  <si>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</si>
  <si>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</si>
  <si>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</si>
  <si>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</si>
  <si>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</si>
  <si>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</si>
  <si>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</si>
  <si>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</si>
  <si>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</si>
  <si>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</si>
  <si>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</si>
  <si>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</si>
  <si>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</si>
  <si>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</si>
  <si>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</si>
  <si>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</si>
  <si>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</si>
  <si>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</si>
  <si>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</si>
  <si>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</si>
  <si>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</si>
  <si>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</si>
  <si>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</si>
  <si>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</si>
  <si>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</si>
  <si>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</si>
  <si>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</si>
  <si>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</si>
  <si>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</si>
  <si>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</si>
  <si>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</si>
  <si>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</si>
  <si>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</si>
  <si>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</si>
  <si>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</si>
  <si>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</si>
  <si>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</si>
  <si>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</si>
  <si>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</si>
  <si>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</si>
  <si>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</si>
  <si>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</si>
  <si>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</si>
  <si>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</si>
  <si>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</si>
  <si>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</si>
  <si>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</si>
  <si>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</si>
  <si>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</si>
  <si>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</si>
  <si>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</si>
  <si>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</si>
  <si>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</si>
  <si>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</si>
  <si>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</si>
  <si>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</si>
  <si>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</si>
  <si>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</si>
  <si>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</si>
  <si>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</si>
  <si>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</si>
  <si>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</si>
  <si>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</si>
  <si>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</si>
  <si>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</si>
  <si>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</si>
  <si>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</si>
  <si>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</si>
  <si>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</si>
  <si>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</si>
  <si>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</si>
  <si>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</si>
  <si>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</si>
  <si>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</si>
  <si>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</si>
  <si>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</si>
  <si>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</si>
  <si>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</si>
  <si>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</si>
  <si>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</si>
  <si>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</si>
  <si>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</si>
  <si>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</si>
  <si>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</si>
  <si>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</si>
  <si>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</si>
  <si>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</si>
  <si>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</si>
  <si>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</si>
  <si>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</si>
  <si>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</si>
  <si>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</si>
  <si>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</si>
  <si>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</si>
  <si>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</si>
  <si>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</si>
  <si>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</si>
  <si>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</si>
  <si>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</si>
  <si>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</si>
  <si>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</si>
  <si>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</si>
  <si>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</si>
  <si>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</si>
  <si>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</si>
  <si>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</si>
  <si>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</si>
  <si>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</si>
  <si>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</si>
  <si>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</si>
  <si>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</si>
  <si>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</si>
  <si>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</si>
  <si>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</si>
  <si>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</si>
  <si>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</si>
  <si>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</si>
  <si>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</si>
  <si>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</si>
  <si>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</si>
  <si>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</si>
  <si>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</si>
  <si>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</si>
  <si>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</si>
  <si>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</si>
  <si>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</si>
  <si>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</si>
  <si>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</si>
  <si>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</si>
  <si>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</si>
  <si>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</si>
  <si>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</si>
  <si>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</si>
  <si>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</si>
  <si>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</si>
  <si>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</si>
  <si>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</si>
  <si>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</si>
  <si>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</si>
  <si>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</si>
  <si>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</si>
  <si>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</si>
  <si>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</si>
  <si>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</si>
  <si>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</si>
  <si>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</si>
  <si>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</si>
  <si>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</si>
  <si>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</si>
  <si>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</si>
  <si>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</si>
  <si>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</si>
  <si>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</si>
  <si>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</si>
  <si>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</si>
  <si>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</si>
  <si>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</si>
  <si>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</si>
  <si>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</si>
  <si>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</si>
  <si>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</si>
  <si>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</si>
  <si>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</si>
  <si>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</si>
  <si>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</si>
  <si>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</si>
  <si>
    <t>1Devilmon Cryst cost</t>
  </si>
  <si>
    <t>Devilmon cryst worth</t>
  </si>
  <si>
    <t>Mana gain from Cryst burn</t>
  </si>
  <si>
    <t>Mana gain/zl</t>
  </si>
  <si>
    <t>Faimon Farm</t>
  </si>
  <si>
    <t>1188 XP</t>
  </si>
  <si>
    <t>Halls Cost</t>
  </si>
  <si>
    <t>950 Energy</t>
  </si>
  <si>
    <t>Mana gain</t>
  </si>
  <si>
    <t>Cryst on refills</t>
  </si>
  <si>
    <t>Fod XP worth</t>
  </si>
  <si>
    <t>Total Cost</t>
  </si>
  <si>
    <t>Giant Farm</t>
  </si>
  <si>
    <t>Devil Pack</t>
  </si>
  <si>
    <t>3 devilmon with 15d packs</t>
  </si>
  <si>
    <t>Cryst all gain</t>
  </si>
  <si>
    <t>World boss</t>
  </si>
  <si>
    <t>C</t>
  </si>
  <si>
    <t>ToA NM Manu</t>
  </si>
  <si>
    <t>Baretta+Vero+Ahman+Bella+Koma</t>
  </si>
  <si>
    <t>Shield</t>
  </si>
  <si>
    <t>Resist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</si>
</sst>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5" fillId="0" borderId="0"/>
  </cellStyleXfs>
  <cellXfs count="231">
    <xf numFmtId="0" fontId="0" fillId="0" borderId="0" xfId="0"/>
    <xf numFmtId="4" fontId="0" fillId="0" borderId="0" xfId="0" applyNumberFormat="1"/>
    <xf numFmtId="0" fontId="0" fillId="2" borderId="0" xfId="0" applyFill="1"/>
    <xf numFmtId="0" fontId="6" fillId="3" borderId="1" xfId="0" applyFont="1" applyFill="1" applyBorder="1"/>
    <xf numFmtId="0" fontId="6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7" fillId="0" borderId="10" xfId="0" applyNumberFormat="1" applyFont="1" applyFill="1" applyBorder="1" applyAlignment="1">
      <alignment horizontal="left" wrapText="1"/>
    </xf>
    <xf numFmtId="0" fontId="7" fillId="0" borderId="10" xfId="0" applyFont="1" applyFill="1" applyBorder="1" applyAlignment="1">
      <alignment horizontal="left" wrapText="1"/>
    </xf>
    <xf numFmtId="3" fontId="7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8" fillId="0" borderId="5" xfId="0" applyNumberFormat="1" applyFont="1" applyBorder="1"/>
    <xf numFmtId="0" fontId="8" fillId="0" borderId="4" xfId="0" applyFont="1" applyBorder="1"/>
    <xf numFmtId="0" fontId="8" fillId="0" borderId="3" xfId="0" applyFont="1" applyBorder="1"/>
    <xf numFmtId="165" fontId="8" fillId="0" borderId="14" xfId="0" applyNumberFormat="1" applyFont="1" applyBorder="1"/>
    <xf numFmtId="0" fontId="9" fillId="4" borderId="0" xfId="0" applyFont="1" applyFill="1" applyBorder="1" applyAlignment="1">
      <alignment horizontal="left" vertical="center" wrapText="1"/>
    </xf>
    <xf numFmtId="0" fontId="8" fillId="0" borderId="0" xfId="0" applyFont="1"/>
    <xf numFmtId="4" fontId="7" fillId="0" borderId="10" xfId="0" applyNumberFormat="1" applyFont="1" applyFill="1" applyBorder="1" applyAlignment="1">
      <alignment horizontal="left" wrapText="1"/>
    </xf>
    <xf numFmtId="4" fontId="8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10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8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8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8" fillId="0" borderId="16" xfId="0" applyFont="1" applyFill="1" applyBorder="1"/>
    <xf numFmtId="0" fontId="0" fillId="0" borderId="0" xfId="0" applyAlignment="1">
      <alignment wrapText="1"/>
    </xf>
    <xf numFmtId="0" fontId="8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8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8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8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8" fillId="9" borderId="8" xfId="0" applyFont="1" applyFill="1" applyBorder="1"/>
    <xf numFmtId="0" fontId="0" fillId="9" borderId="5" xfId="0" applyFill="1" applyBorder="1"/>
    <xf numFmtId="0" fontId="8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8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8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7" fillId="4" borderId="0" xfId="0" applyFont="1" applyFill="1" applyBorder="1" applyAlignment="1">
      <alignment horizontal="left" vertical="center" wrapText="1"/>
    </xf>
    <xf numFmtId="0" fontId="7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9" fillId="0" borderId="20" xfId="0" applyFont="1" applyFill="1" applyBorder="1" applyAlignment="1">
      <alignment horizontal="left" vertical="center" wrapText="1"/>
    </xf>
    <xf numFmtId="0" fontId="9" fillId="0" borderId="1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9" fillId="0" borderId="15" xfId="0" applyFont="1" applyFill="1" applyBorder="1" applyAlignment="1">
      <alignment horizontal="left" vertical="center" wrapText="1"/>
    </xf>
    <xf numFmtId="0" fontId="8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2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2" fillId="0" borderId="20" xfId="0" applyFont="1" applyFill="1" applyBorder="1" applyAlignment="1">
      <alignment horizontal="left" wrapText="1"/>
    </xf>
    <xf numFmtId="0" fontId="12" fillId="0" borderId="10" xfId="0" applyFont="1" applyFill="1" applyBorder="1" applyAlignment="1">
      <alignment horizontal="left" wrapText="1"/>
    </xf>
    <xf numFmtId="9" fontId="12" fillId="0" borderId="10" xfId="0" applyNumberFormat="1" applyFont="1" applyFill="1" applyBorder="1" applyAlignment="1">
      <alignment horizontal="left" wrapText="1"/>
    </xf>
    <xf numFmtId="3" fontId="12" fillId="0" borderId="10" xfId="0" applyNumberFormat="1" applyFont="1" applyFill="1" applyBorder="1" applyAlignment="1">
      <alignment horizontal="left" wrapText="1"/>
    </xf>
    <xf numFmtId="4" fontId="12" fillId="0" borderId="10" xfId="0" applyNumberFormat="1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9" fontId="12" fillId="0" borderId="22" xfId="0" applyNumberFormat="1" applyFont="1" applyFill="1" applyBorder="1" applyAlignment="1">
      <alignment horizontal="left" wrapText="1"/>
    </xf>
    <xf numFmtId="3" fontId="12" fillId="0" borderId="22" xfId="0" applyNumberFormat="1" applyFont="1" applyFill="1" applyBorder="1" applyAlignment="1">
      <alignment horizontal="left" wrapText="1"/>
    </xf>
    <xf numFmtId="4" fontId="12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5" fillId="0" borderId="0" xfId="2"/>
    <xf numFmtId="0" fontId="5" fillId="0" borderId="0" xfId="2" applyAlignment="1">
      <alignment vertical="center" wrapText="1"/>
    </xf>
    <xf numFmtId="0" fontId="14" fillId="0" borderId="0" xfId="2" applyFont="1" applyAlignment="1">
      <alignment vertical="center" wrapText="1"/>
    </xf>
    <xf numFmtId="0" fontId="15" fillId="0" borderId="0" xfId="2" applyFont="1" applyAlignment="1">
      <alignment vertical="center" wrapText="1"/>
    </xf>
    <xf numFmtId="0" fontId="5" fillId="13" borderId="0" xfId="2" applyFill="1" applyAlignment="1">
      <alignment vertical="center" wrapText="1"/>
    </xf>
    <xf numFmtId="0" fontId="16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13" fillId="13" borderId="0" xfId="2" applyFont="1" applyFill="1" applyAlignment="1">
      <alignment vertical="center" wrapText="1"/>
    </xf>
    <xf numFmtId="0" fontId="5" fillId="5" borderId="0" xfId="2" applyFill="1" applyAlignment="1">
      <alignment vertical="center" wrapText="1"/>
    </xf>
    <xf numFmtId="0" fontId="15" fillId="4" borderId="0" xfId="2" applyFont="1" applyFill="1" applyAlignment="1">
      <alignment vertical="center" wrapText="1"/>
    </xf>
    <xf numFmtId="0" fontId="16" fillId="13" borderId="0" xfId="2" applyFont="1" applyFill="1" applyAlignment="1">
      <alignment vertical="center" wrapText="1"/>
    </xf>
    <xf numFmtId="0" fontId="5" fillId="0" borderId="0" xfId="2" applyNumberFormat="1" applyAlignment="1">
      <alignment vertical="center" wrapText="1"/>
    </xf>
    <xf numFmtId="0" fontId="5" fillId="13" borderId="0" xfId="2" applyNumberFormat="1" applyFill="1" applyAlignment="1">
      <alignment vertical="center" wrapText="1"/>
    </xf>
    <xf numFmtId="0" fontId="5" fillId="5" borderId="0" xfId="2" applyNumberFormat="1" applyFill="1" applyAlignment="1">
      <alignment vertical="center" wrapText="1"/>
    </xf>
    <xf numFmtId="0" fontId="5" fillId="0" borderId="0" xfId="2" applyFill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6" fillId="0" borderId="0" xfId="2" applyNumberFormat="1" applyFont="1" applyAlignment="1">
      <alignment vertical="center" wrapText="1"/>
    </xf>
    <xf numFmtId="0" fontId="15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8" fillId="0" borderId="7" xfId="0" applyFont="1" applyFill="1" applyBorder="1"/>
    <xf numFmtId="0" fontId="4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3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26" xfId="0" applyBorder="1"/>
    <xf numFmtId="0" fontId="8" fillId="0" borderId="27" xfId="0" applyFont="1" applyBorder="1"/>
    <xf numFmtId="3" fontId="8" fillId="0" borderId="27" xfId="0" applyNumberFormat="1" applyFont="1" applyBorder="1"/>
    <xf numFmtId="4" fontId="0" fillId="0" borderId="26" xfId="0" applyNumberFormat="1" applyBorder="1"/>
    <xf numFmtId="4" fontId="0" fillId="0" borderId="28" xfId="0" applyNumberFormat="1" applyBorder="1"/>
    <xf numFmtId="0" fontId="0" fillId="0" borderId="29" xfId="0" applyBorder="1"/>
    <xf numFmtId="3" fontId="8" fillId="0" borderId="30" xfId="0" applyNumberFormat="1" applyFont="1" applyBorder="1"/>
    <xf numFmtId="0" fontId="2" fillId="0" borderId="0" xfId="2" applyFont="1" applyAlignment="1">
      <alignment vertical="center" wrapText="1"/>
    </xf>
    <xf numFmtId="0" fontId="1" fillId="0" borderId="0" xfId="2" applyFont="1" applyAlignment="1">
      <alignment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2"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3" formatCode="#,##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499E-2"/>
          <c:w val="0.72971464242649309"/>
          <c:h val="0.89097169207608651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dLbls/>
        <c:marker val="1"/>
        <c:axId val="72005504"/>
        <c:axId val="72007040"/>
      </c:lineChart>
      <c:catAx>
        <c:axId val="72005504"/>
        <c:scaling>
          <c:orientation val="minMax"/>
        </c:scaling>
        <c:axPos val="b"/>
        <c:tickLblPos val="nextTo"/>
        <c:crossAx val="72007040"/>
        <c:crosses val="autoZero"/>
        <c:auto val="1"/>
        <c:lblAlgn val="ctr"/>
        <c:lblOffset val="100"/>
      </c:catAx>
      <c:valAx>
        <c:axId val="72007040"/>
        <c:scaling>
          <c:orientation val="minMax"/>
        </c:scaling>
        <c:axPos val="l"/>
        <c:majorGridlines/>
        <c:numFmt formatCode="General" sourceLinked="1"/>
        <c:tickLblPos val="nextTo"/>
        <c:crossAx val="72005504"/>
        <c:crosses val="autoZero"/>
        <c:crossBetween val="between"/>
      </c:valAx>
    </c:plotArea>
    <c:legend>
      <c:legendPos val="r"/>
    </c:legend>
    <c:plotVisOnly val="1"/>
    <c:dispBlanksAs val="gap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6.654743865744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n v="4220"/>
    <n v="1"/>
    <s v="Blue"/>
    <n v="1"/>
    <x v="8"/>
    <n v="11560"/>
    <n v="11560"/>
    <n v="0"/>
    <n v="0"/>
    <m/>
  </r>
  <r>
    <x v="14"/>
    <x v="0"/>
    <x v="10"/>
    <n v="3765"/>
    <n v="0"/>
    <s v="Blue"/>
    <n v="1"/>
    <x v="7"/>
    <n v="3904"/>
    <n v="3904"/>
    <n v="0"/>
    <n v="0"/>
    <m/>
  </r>
  <r>
    <x v="14"/>
    <x v="0"/>
    <x v="10"/>
    <n v="4073"/>
    <n v="3"/>
    <s v="Scroll"/>
    <n v="4"/>
    <x v="2"/>
    <n v="0"/>
    <n v="8000"/>
    <n v="0"/>
    <n v="3200"/>
    <m/>
  </r>
  <r>
    <x v="14"/>
    <x v="0"/>
    <x v="10"/>
    <n v="3957"/>
    <n v="0"/>
    <s v="Violet"/>
    <n v="1"/>
    <x v="8"/>
    <n v="6375"/>
    <n v="6375"/>
    <n v="0"/>
    <n v="0"/>
    <m/>
  </r>
  <r>
    <x v="14"/>
    <x v="0"/>
    <x v="10"/>
    <n v="3704"/>
    <n v="2"/>
    <s v="Blue"/>
    <n v="1"/>
    <x v="8"/>
    <n v="11560"/>
    <n v="11560"/>
    <n v="0"/>
    <n v="0"/>
    <m/>
  </r>
  <r>
    <x v="14"/>
    <x v="0"/>
    <x v="10"/>
    <n v="4168"/>
    <n v="1"/>
    <s v="Rainb"/>
    <n v="1"/>
    <x v="1"/>
    <n v="0"/>
    <n v="0"/>
    <n v="11500"/>
    <n v="35822"/>
    <m/>
  </r>
  <r>
    <x v="14"/>
    <x v="0"/>
    <x v="10"/>
    <n v="4443"/>
    <n v="2"/>
    <s v="Blue"/>
    <n v="1"/>
    <x v="8"/>
    <n v="11560"/>
    <n v="11560"/>
    <n v="0"/>
    <n v="0"/>
    <m/>
  </r>
  <r>
    <x v="14"/>
    <x v="0"/>
    <x v="10"/>
    <n v="4007"/>
    <n v="0"/>
    <s v="Blue"/>
    <n v="1"/>
    <x v="8"/>
    <n v="12240"/>
    <n v="12240"/>
    <n v="0"/>
    <n v="0"/>
    <m/>
  </r>
  <r>
    <x v="14"/>
    <x v="0"/>
    <x v="10"/>
    <n v="4304"/>
    <n v="2"/>
    <s v="Blue"/>
    <n v="1"/>
    <x v="9"/>
    <n v="20288"/>
    <n v="20288"/>
    <n v="0"/>
    <n v="0"/>
    <m/>
  </r>
  <r>
    <x v="14"/>
    <x v="0"/>
    <x v="10"/>
    <n v="3825"/>
    <n v="1"/>
    <s v="Violet"/>
    <n v="1"/>
    <x v="9"/>
    <n v="17118"/>
    <n v="17118"/>
    <n v="0"/>
    <n v="0"/>
    <m/>
  </r>
  <r>
    <x v="14"/>
    <x v="0"/>
    <x v="10"/>
    <n v="3952"/>
    <n v="0"/>
    <s v="Blue"/>
    <n v="1"/>
    <x v="7"/>
    <n v="3445"/>
    <n v="3445"/>
    <n v="0"/>
    <n v="0"/>
    <m/>
  </r>
  <r>
    <x v="14"/>
    <x v="0"/>
    <x v="10"/>
    <n v="3837"/>
    <n v="0"/>
    <s v="Blue"/>
    <n v="1"/>
    <x v="9"/>
    <n v="18861"/>
    <n v="18861"/>
    <n v="0"/>
    <n v="0"/>
    <m/>
  </r>
  <r>
    <x v="14"/>
    <x v="0"/>
    <x v="10"/>
    <n v="3964"/>
    <n v="2"/>
    <s v="Blue"/>
    <n v="1"/>
    <x v="8"/>
    <n v="8075"/>
    <n v="8075"/>
    <n v="0"/>
    <n v="0"/>
    <m/>
  </r>
  <r>
    <x v="14"/>
    <x v="0"/>
    <x v="10"/>
    <n v="3954"/>
    <n v="1"/>
    <s v="Blue"/>
    <n v="1"/>
    <x v="8"/>
    <n v="5440"/>
    <n v="5440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3708"/>
    <n v="2"/>
    <s v="Scroll"/>
    <n v="5"/>
    <x v="2"/>
    <n v="0"/>
    <n v="10000"/>
    <n v="0"/>
    <n v="4000"/>
    <m/>
  </r>
  <r>
    <x v="14"/>
    <x v="0"/>
    <x v="10"/>
    <n v="3596"/>
    <n v="3"/>
    <s v="Blue"/>
    <n v="1"/>
    <x v="9"/>
    <n v="10144"/>
    <n v="10144"/>
    <n v="0"/>
    <n v="0"/>
    <m/>
  </r>
  <r>
    <x v="14"/>
    <x v="0"/>
    <x v="10"/>
    <n v="3997"/>
    <n v="2"/>
    <s v="Rainb"/>
    <n v="1"/>
    <x v="1"/>
    <n v="0"/>
    <n v="0"/>
    <n v="11500"/>
    <n v="35822"/>
    <m/>
  </r>
  <r>
    <x v="14"/>
    <x v="0"/>
    <x v="10"/>
    <n v="4264"/>
    <n v="0"/>
    <s v="Scroll"/>
    <n v="4"/>
    <x v="2"/>
    <n v="0"/>
    <n v="8000"/>
    <n v="0"/>
    <n v="3200"/>
    <m/>
  </r>
  <r>
    <x v="14"/>
    <x v="0"/>
    <x v="10"/>
    <n v="4199"/>
    <n v="3"/>
    <s v="Blue"/>
    <n v="1"/>
    <x v="8"/>
    <n v="5440"/>
    <n v="5440"/>
    <n v="0"/>
    <n v="0"/>
    <m/>
  </r>
  <r>
    <x v="14"/>
    <x v="0"/>
    <x v="10"/>
    <n v="4060"/>
    <n v="2"/>
    <s v="Scroll"/>
    <n v="4"/>
    <x v="2"/>
    <n v="0"/>
    <n v="8000"/>
    <n v="0"/>
    <n v="3200"/>
    <m/>
  </r>
  <r>
    <x v="14"/>
    <x v="0"/>
    <x v="10"/>
    <n v="3943"/>
    <n v="3"/>
    <s v="Scroll"/>
    <n v="4"/>
    <x v="2"/>
    <n v="0"/>
    <n v="8000"/>
    <n v="0"/>
    <n v="3200"/>
    <m/>
  </r>
  <r>
    <x v="14"/>
    <x v="0"/>
    <x v="10"/>
    <n v="4141"/>
    <n v="1"/>
    <s v="Scroll"/>
    <n v="4"/>
    <x v="2"/>
    <n v="0"/>
    <n v="8000"/>
    <n v="0"/>
    <n v="3200"/>
    <m/>
  </r>
  <r>
    <x v="14"/>
    <x v="0"/>
    <x v="10"/>
    <n v="4075"/>
    <n v="0"/>
    <s v="Scroll"/>
    <n v="4"/>
    <x v="2"/>
    <n v="0"/>
    <n v="8000"/>
    <n v="0"/>
    <n v="3200"/>
    <m/>
  </r>
  <r>
    <x v="14"/>
    <x v="0"/>
    <x v="10"/>
    <n v="4269"/>
    <n v="1"/>
    <s v="Blue"/>
    <n v="1"/>
    <x v="7"/>
    <n v="6431"/>
    <n v="6431"/>
    <n v="0"/>
    <n v="0"/>
    <m/>
  </r>
  <r>
    <x v="14"/>
    <x v="0"/>
    <x v="10"/>
    <n v="3888"/>
    <n v="2"/>
    <s v="Scroll"/>
    <n v="5"/>
    <x v="2"/>
    <n v="0"/>
    <n v="10000"/>
    <n v="0"/>
    <n v="4000"/>
    <m/>
  </r>
  <r>
    <x v="14"/>
    <x v="0"/>
    <x v="10"/>
    <n v="3672"/>
    <n v="1"/>
    <s v="Blue"/>
    <n v="1"/>
    <x v="7"/>
    <n v="6120"/>
    <n v="6120"/>
    <n v="0"/>
    <n v="0"/>
    <m/>
  </r>
  <r>
    <x v="14"/>
    <x v="0"/>
    <x v="10"/>
    <n v="3924"/>
    <n v="1"/>
    <s v="Blue"/>
    <n v="1"/>
    <x v="8"/>
    <n v="12920"/>
    <n v="12920"/>
    <n v="0"/>
    <n v="0"/>
    <m/>
  </r>
  <r>
    <x v="14"/>
    <x v="0"/>
    <x v="10"/>
    <n v="4086"/>
    <n v="1"/>
    <s v="Blue"/>
    <n v="1"/>
    <x v="7"/>
    <n v="6120"/>
    <n v="6120"/>
    <n v="0"/>
    <n v="0"/>
    <m/>
  </r>
  <r>
    <x v="14"/>
    <x v="0"/>
    <x v="10"/>
    <n v="3956"/>
    <n v="1"/>
    <s v="Scroll"/>
    <n v="4"/>
    <x v="2"/>
    <n v="0"/>
    <n v="8000"/>
    <n v="0"/>
    <n v="3200"/>
    <m/>
  </r>
  <r>
    <x v="14"/>
    <x v="0"/>
    <x v="10"/>
    <n v="4121"/>
    <n v="2"/>
    <s v="Violet"/>
    <n v="1"/>
    <x v="9"/>
    <n v="27103"/>
    <n v="27103"/>
    <n v="0"/>
    <n v="0"/>
    <m/>
  </r>
  <r>
    <x v="14"/>
    <x v="0"/>
    <x v="10"/>
    <n v="3864"/>
    <n v="1"/>
    <s v="Scroll"/>
    <n v="4"/>
    <x v="2"/>
    <n v="0"/>
    <n v="8000"/>
    <n v="0"/>
    <n v="3200"/>
    <m/>
  </r>
  <r>
    <x v="14"/>
    <x v="0"/>
    <x v="10"/>
    <n v="4144"/>
    <n v="2"/>
    <s v="Blue"/>
    <n v="1"/>
    <x v="7"/>
    <n v="3445"/>
    <n v="3445"/>
    <n v="0"/>
    <n v="0"/>
    <m/>
  </r>
  <r>
    <x v="14"/>
    <x v="0"/>
    <x v="10"/>
    <n v="3884"/>
    <n v="1"/>
    <s v="Blue"/>
    <n v="1"/>
    <x v="7"/>
    <n v="3675"/>
    <n v="3675"/>
    <n v="0"/>
    <n v="0"/>
    <m/>
  </r>
  <r>
    <x v="14"/>
    <x v="0"/>
    <x v="10"/>
    <n v="4186"/>
    <n v="0"/>
    <s v="Violet"/>
    <n v="1"/>
    <x v="8"/>
    <n v="17000"/>
    <n v="17000"/>
    <n v="0"/>
    <n v="0"/>
    <m/>
  </r>
  <r>
    <x v="14"/>
    <x v="0"/>
    <x v="10"/>
    <n v="3886"/>
    <n v="0"/>
    <s v="Scroll"/>
    <n v="5"/>
    <x v="2"/>
    <n v="0"/>
    <n v="10000"/>
    <n v="0"/>
    <n v="4000"/>
    <m/>
  </r>
  <r>
    <x v="14"/>
    <x v="0"/>
    <x v="10"/>
    <n v="4242"/>
    <n v="2"/>
    <s v="Blue"/>
    <n v="1"/>
    <x v="7"/>
    <n v="4364"/>
    <n v="4364"/>
    <n v="0"/>
    <n v="0"/>
    <m/>
  </r>
  <r>
    <x v="14"/>
    <x v="0"/>
    <x v="10"/>
    <n v="4062"/>
    <n v="1"/>
    <s v="Blue"/>
    <n v="1"/>
    <x v="7"/>
    <n v="2940"/>
    <n v="2940"/>
    <n v="0"/>
    <n v="0"/>
    <m/>
  </r>
  <r>
    <x v="14"/>
    <x v="0"/>
    <x v="10"/>
    <n v="4025"/>
    <n v="1"/>
    <s v="Blue"/>
    <n v="1"/>
    <x v="8"/>
    <n v="6800"/>
    <n v="6800"/>
    <n v="0"/>
    <n v="0"/>
    <m/>
  </r>
  <r>
    <x v="14"/>
    <x v="0"/>
    <x v="10"/>
    <n v="4416"/>
    <n v="3"/>
    <s v="Blue"/>
    <n v="1"/>
    <x v="7"/>
    <n v="6615"/>
    <n v="6615"/>
    <n v="0"/>
    <n v="0"/>
    <m/>
  </r>
  <r>
    <x v="14"/>
    <x v="0"/>
    <x v="10"/>
    <n v="3856"/>
    <n v="2"/>
    <s v="Violet"/>
    <n v="1"/>
    <x v="7"/>
    <n v="6615"/>
    <n v="6615"/>
    <n v="0"/>
    <n v="0"/>
    <m/>
  </r>
  <r>
    <x v="14"/>
    <x v="0"/>
    <x v="10"/>
    <n v="4170"/>
    <n v="2"/>
    <s v="Scroll"/>
    <n v="4"/>
    <x v="2"/>
    <n v="0"/>
    <n v="8000"/>
    <n v="0"/>
    <n v="3200"/>
    <m/>
  </r>
  <r>
    <x v="14"/>
    <x v="0"/>
    <x v="10"/>
    <n v="4152"/>
    <n v="1"/>
    <s v="Blue"/>
    <n v="1"/>
    <x v="7"/>
    <n v="6247"/>
    <n v="6247"/>
    <n v="0"/>
    <n v="0"/>
    <m/>
  </r>
  <r>
    <x v="14"/>
    <x v="0"/>
    <x v="10"/>
    <n v="3678"/>
    <n v="0"/>
    <s v="Violet"/>
    <n v="1"/>
    <x v="8"/>
    <n v="10200"/>
    <n v="10200"/>
    <n v="0"/>
    <n v="0"/>
    <m/>
  </r>
  <r>
    <x v="14"/>
    <x v="0"/>
    <x v="10"/>
    <n v="4310"/>
    <n v="2"/>
    <s v="Blue"/>
    <n v="1"/>
    <x v="7"/>
    <n v="5100"/>
    <n v="5100"/>
    <n v="0"/>
    <n v="0"/>
    <m/>
  </r>
  <r>
    <x v="14"/>
    <x v="0"/>
    <x v="10"/>
    <n v="3697"/>
    <n v="0"/>
    <s v="Blue"/>
    <n v="1"/>
    <x v="7"/>
    <n v="2940"/>
    <n v="2940"/>
    <n v="0"/>
    <n v="0"/>
    <m/>
  </r>
  <r>
    <x v="14"/>
    <x v="0"/>
    <x v="10"/>
    <n v="4208"/>
    <n v="1"/>
    <s v="Blue"/>
    <n v="1"/>
    <x v="7"/>
    <n v="5788"/>
    <n v="5788"/>
    <n v="0"/>
    <n v="0"/>
    <m/>
  </r>
  <r>
    <x v="14"/>
    <x v="0"/>
    <x v="10"/>
    <n v="4465"/>
    <n v="2"/>
    <s v="Blue"/>
    <n v="1"/>
    <x v="7"/>
    <n v="4134"/>
    <n v="4134"/>
    <n v="0"/>
    <n v="0"/>
    <m/>
  </r>
  <r>
    <x v="14"/>
    <x v="0"/>
    <x v="10"/>
    <n v="3829"/>
    <n v="2"/>
    <s v="Blue"/>
    <n v="1"/>
    <x v="7"/>
    <n v="6982"/>
    <n v="6982"/>
    <n v="0"/>
    <n v="0"/>
    <m/>
  </r>
  <r>
    <x v="14"/>
    <x v="0"/>
    <x v="10"/>
    <n v="4194"/>
    <n v="0"/>
    <s v="Blue"/>
    <n v="1"/>
    <x v="7"/>
    <n v="3307"/>
    <n v="3307"/>
    <n v="0"/>
    <n v="0"/>
    <m/>
  </r>
  <r>
    <x v="14"/>
    <x v="0"/>
    <x v="10"/>
    <n v="3953"/>
    <n v="0"/>
    <s v="Blue"/>
    <n v="1"/>
    <x v="8"/>
    <n v="6800"/>
    <n v="6800"/>
    <n v="0"/>
    <n v="0"/>
    <m/>
  </r>
  <r>
    <x v="14"/>
    <x v="0"/>
    <x v="10"/>
    <n v="3831"/>
    <n v="0"/>
    <s v="Blue"/>
    <n v="1"/>
    <x v="8"/>
    <n v="5780"/>
    <n v="5780"/>
    <n v="0"/>
    <n v="0"/>
    <m/>
  </r>
  <r>
    <x v="14"/>
    <x v="0"/>
    <x v="10"/>
    <n v="3852"/>
    <n v="0"/>
    <s v="Blue"/>
    <n v="1"/>
    <x v="9"/>
    <n v="17752"/>
    <n v="17752"/>
    <n v="0"/>
    <n v="0"/>
    <m/>
  </r>
  <r>
    <x v="14"/>
    <x v="0"/>
    <x v="10"/>
    <n v="4081"/>
    <n v="2"/>
    <s v="Scroll"/>
    <n v="4"/>
    <x v="2"/>
    <n v="0"/>
    <n v="8000"/>
    <n v="0"/>
    <n v="3200"/>
    <m/>
  </r>
  <r>
    <x v="14"/>
    <x v="0"/>
    <x v="10"/>
    <n v="4016"/>
    <n v="1"/>
    <s v="Blue"/>
    <n v="1"/>
    <x v="7"/>
    <n v="6100"/>
    <n v="6100"/>
    <n v="0"/>
    <n v="0"/>
    <m/>
  </r>
  <r>
    <x v="14"/>
    <x v="0"/>
    <x v="10"/>
    <n v="4213"/>
    <n v="0"/>
    <s v="Blue"/>
    <n v="1"/>
    <x v="8"/>
    <n v="8075"/>
    <n v="8075"/>
    <n v="0"/>
    <n v="0"/>
    <m/>
  </r>
  <r>
    <x v="14"/>
    <x v="0"/>
    <x v="10"/>
    <n v="3708"/>
    <n v="1"/>
    <s v="Violet"/>
    <n v="1"/>
    <x v="7"/>
    <n v="4961"/>
    <n v="4961"/>
    <n v="0"/>
    <n v="0"/>
    <m/>
  </r>
  <r>
    <x v="14"/>
    <x v="0"/>
    <x v="11"/>
    <n v="4889"/>
    <n v="2"/>
    <s v="Blue"/>
    <n v="1"/>
    <x v="8"/>
    <n v="15300"/>
    <n v="15300"/>
    <n v="0"/>
    <n v="0"/>
    <m/>
  </r>
  <r>
    <x v="14"/>
    <x v="0"/>
    <x v="10"/>
    <n v="4352"/>
    <n v="1"/>
    <s v="Blue"/>
    <n v="1"/>
    <x v="9"/>
    <n v="15850"/>
    <n v="15850"/>
    <n v="0"/>
    <n v="0"/>
    <m/>
  </r>
  <r>
    <x v="14"/>
    <x v="0"/>
    <x v="10"/>
    <n v="4128"/>
    <n v="0"/>
    <s v="Blue"/>
    <n v="1"/>
    <x v="8"/>
    <n v="10710"/>
    <n v="10710"/>
    <n v="0"/>
    <n v="0"/>
    <m/>
  </r>
  <r>
    <x v="14"/>
    <x v="0"/>
    <x v="10"/>
    <n v="4086"/>
    <n v="1"/>
    <s v="Blue"/>
    <n v="1"/>
    <x v="7"/>
    <n v="1593"/>
    <n v="1593"/>
    <n v="0"/>
    <n v="0"/>
    <m/>
  </r>
  <r>
    <x v="14"/>
    <x v="0"/>
    <x v="10"/>
    <n v="3994"/>
    <n v="1"/>
    <s v="Scroll"/>
    <n v="5"/>
    <x v="2"/>
    <n v="0"/>
    <n v="10000"/>
    <n v="0"/>
    <n v="4000"/>
    <m/>
  </r>
  <r>
    <x v="14"/>
    <x v="0"/>
    <x v="10"/>
    <n v="3963"/>
    <n v="1"/>
    <s v="Blue"/>
    <n v="1"/>
    <x v="8"/>
    <n v="5440"/>
    <n v="5440"/>
    <n v="0"/>
    <n v="0"/>
    <m/>
  </r>
  <r>
    <x v="14"/>
    <x v="0"/>
    <x v="10"/>
    <n v="4372"/>
    <n v="1"/>
    <s v="Blue"/>
    <n v="1"/>
    <x v="7"/>
    <n v="2756"/>
    <n v="2756"/>
    <n v="0"/>
    <n v="0"/>
    <m/>
  </r>
  <r>
    <x v="14"/>
    <x v="0"/>
    <x v="10"/>
    <n v="4374"/>
    <n v="1"/>
    <s v="Scroll"/>
    <n v="5"/>
    <x v="2"/>
    <n v="0"/>
    <n v="10000"/>
    <n v="0"/>
    <n v="4000"/>
    <m/>
  </r>
  <r>
    <x v="14"/>
    <x v="0"/>
    <x v="10"/>
    <n v="3694"/>
    <n v="1"/>
    <s v="Blue"/>
    <n v="1"/>
    <x v="8"/>
    <n v="10115"/>
    <n v="10115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20" name="Tabela20" displayName="Tabela20" ref="A1:G20" totalsRowShown="0">
  <autoFilter ref="A1:G20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1">
      <calculatedColumnFormula>MAXA(-(4*M1-Tabela6[[#This Row],[Done]]),0)</calculatedColumnFormula>
    </tableColumn>
    <tableColumn id="4" name="XP to gain" dataDxfId="120"/>
    <tableColumn id="6" name="Mana Cost" dataDxfId="119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8"/>
    <tableColumn id="5" name="Kolumna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7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6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5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4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2" name="LocFeatures" displayName="LocFeatures" ref="A1:W94" totalsRowShown="0">
  <autoFilter ref="A1:W94"/>
  <sortState ref="A2:V94">
    <sortCondition ref="A2:A94"/>
    <sortCondition ref="B2:B94"/>
    <sortCondition ref="C2:C94"/>
  </sortState>
  <tableColumns count="23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3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2">
      <calculatedColumnFormula>4*LocFeatures[[#This Row],[XP Gain per member]]</calculatedColumnFormula>
    </tableColumn>
    <tableColumn id="11" name="XP Train Gain"/>
    <tableColumn id="22" name="XP drop" dataDxfId="111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0">
      <calculatedColumnFormula>LocFeatures[[#This Row],[XP Train Gain]]/(LocFeatures[[#This Row],[E. Cost]]-LocFeatures[[#This Row],[Energy gain]])</calculatedColumnFormula>
    </tableColumn>
    <tableColumn id="14" name="Kolumna1" dataDxfId="109">
      <calculatedColumnFormula>LocFeatures[[#This Row],[XP drop]]/(LocFeatures[[#This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ref="A2:A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workbookViewId="0">
      <selection activeCell="N20" sqref="N20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3" max="13" width="12.5" bestFit="1" customWidth="1"/>
    <col min="14" max="14" width="16.25" bestFit="1" customWidth="1"/>
    <col min="15" max="15" width="11.875" bestFit="1" customWidth="1"/>
    <col min="16" max="16" width="11.375" bestFit="1" customWidth="1"/>
    <col min="17" max="17" width="11.875" bestFit="1" customWidth="1"/>
    <col min="18" max="18" width="11.375" bestFit="1" customWidth="1"/>
  </cols>
  <sheetData>
    <row r="1" spans="1:18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8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$G$22/30*J2</f>
        <v>6270</v>
      </c>
      <c r="N2" t="s">
        <v>847</v>
      </c>
      <c r="O2">
        <v>20</v>
      </c>
      <c r="P2">
        <v>70</v>
      </c>
      <c r="Q2">
        <v>750</v>
      </c>
    </row>
    <row r="3" spans="1:18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20" si="0">F3*E3</f>
        <v>90</v>
      </c>
      <c r="J3">
        <v>80</v>
      </c>
      <c r="K3">
        <f>$G$22/30*J3</f>
        <v>6600</v>
      </c>
      <c r="L3">
        <f>(K3-K2)/J2*30/G22</f>
        <v>5.2631578947368425E-2</v>
      </c>
      <c r="N3" t="s">
        <v>848</v>
      </c>
      <c r="O3" s="15">
        <v>0.05</v>
      </c>
    </row>
    <row r="4" spans="1:18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8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8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8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  <c r="Q7">
        <v>199</v>
      </c>
    </row>
    <row r="8" spans="1:18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  <c r="Q8">
        <v>1</v>
      </c>
    </row>
    <row r="9" spans="1:18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  <c r="Q9">
        <f>(Q11+Q2)/Q7</f>
        <v>13.229545304116078</v>
      </c>
    </row>
    <row r="10" spans="1:18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  <c r="N10" t="s">
        <v>877</v>
      </c>
      <c r="O10" s="50">
        <f>O12/O7*(1+O3)</f>
        <v>72855.677045454562</v>
      </c>
      <c r="P10" s="50">
        <f>P12/P7*(1+P3)</f>
        <v>48226.969889982633</v>
      </c>
      <c r="Q10" s="50">
        <f>Q12/Q7*(1+Q3)</f>
        <v>17433.75856555505</v>
      </c>
    </row>
    <row r="11" spans="1:18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  <c r="N11" t="s">
        <v>875</v>
      </c>
      <c r="Q11">
        <f>3*'EXP lvls'!S15</f>
        <v>1882.6795155190996</v>
      </c>
    </row>
    <row r="12" spans="1:18">
      <c r="A12" t="s">
        <v>786</v>
      </c>
      <c r="C12">
        <f t="shared" ref="C12:C17" si="1">24*30</f>
        <v>720</v>
      </c>
      <c r="D12">
        <v>100</v>
      </c>
      <c r="E12">
        <v>100</v>
      </c>
      <c r="F12">
        <v>1</v>
      </c>
      <c r="G12">
        <f t="shared" si="0"/>
        <v>100</v>
      </c>
      <c r="N12" t="s">
        <v>876</v>
      </c>
      <c r="O12" s="50">
        <f>'Location features'!$N$14*(76*O2/30+O4)*O8</f>
        <v>1387727.1818181819</v>
      </c>
      <c r="P12" s="50">
        <f>'Location features'!$N$14*(76*P2/30+P4)*P8</f>
        <v>5678725.7045454551</v>
      </c>
      <c r="Q12" s="50">
        <f>'Location features'!$N$14*76*Q2/30*Q8</f>
        <v>3469317.9545454551</v>
      </c>
    </row>
    <row r="13" spans="1:18">
      <c r="A13" t="s">
        <v>821</v>
      </c>
      <c r="B13">
        <v>5.15</v>
      </c>
      <c r="C13">
        <f t="shared" si="1"/>
        <v>720</v>
      </c>
      <c r="D13">
        <v>10</v>
      </c>
      <c r="E13">
        <v>10</v>
      </c>
      <c r="F13">
        <v>2</v>
      </c>
      <c r="G13">
        <f t="shared" si="0"/>
        <v>20</v>
      </c>
      <c r="N13" t="s">
        <v>889</v>
      </c>
      <c r="O13">
        <f>O8*(O2+O6)</f>
        <v>300</v>
      </c>
      <c r="P13">
        <f>P8*(P2+P6)</f>
        <v>1227.6315789473683</v>
      </c>
      <c r="Q13">
        <f>Q8*(Q2+Q6)</f>
        <v>750</v>
      </c>
    </row>
    <row r="14" spans="1:18">
      <c r="A14" t="s">
        <v>786</v>
      </c>
      <c r="B14">
        <v>25.35</v>
      </c>
      <c r="C14">
        <f t="shared" si="1"/>
        <v>720</v>
      </c>
      <c r="D14">
        <v>20</v>
      </c>
      <c r="E14">
        <v>20</v>
      </c>
      <c r="F14">
        <v>2</v>
      </c>
      <c r="G14">
        <f>F14*E14</f>
        <v>40</v>
      </c>
    </row>
    <row r="15" spans="1:18">
      <c r="A15" t="s">
        <v>786</v>
      </c>
      <c r="B15">
        <v>45.55</v>
      </c>
      <c r="C15">
        <f t="shared" si="1"/>
        <v>720</v>
      </c>
      <c r="D15">
        <v>30</v>
      </c>
      <c r="E15">
        <v>30</v>
      </c>
      <c r="F15">
        <v>2</v>
      </c>
      <c r="G15">
        <f>F15*E15</f>
        <v>60</v>
      </c>
      <c r="N15" s="206" t="s">
        <v>888</v>
      </c>
      <c r="O15" s="207"/>
      <c r="P15" s="208"/>
      <c r="Q15" t="s">
        <v>886</v>
      </c>
      <c r="R15" t="s">
        <v>887</v>
      </c>
    </row>
    <row r="16" spans="1:18" ht="15">
      <c r="A16" t="s">
        <v>786</v>
      </c>
      <c r="B16">
        <v>65.75</v>
      </c>
      <c r="C16">
        <f t="shared" si="1"/>
        <v>720</v>
      </c>
      <c r="D16">
        <v>40</v>
      </c>
      <c r="E16">
        <v>40</v>
      </c>
      <c r="F16">
        <v>2</v>
      </c>
      <c r="G16">
        <f>F16*E16</f>
        <v>80</v>
      </c>
      <c r="N16" s="197" t="s">
        <v>878</v>
      </c>
      <c r="O16" s="6" t="s">
        <v>880</v>
      </c>
      <c r="P16" s="198" t="s">
        <v>885</v>
      </c>
    </row>
    <row r="17" spans="1:18" ht="15">
      <c r="A17" t="s">
        <v>786</v>
      </c>
      <c r="B17">
        <v>80</v>
      </c>
      <c r="C17">
        <f t="shared" si="1"/>
        <v>720</v>
      </c>
      <c r="D17">
        <v>300</v>
      </c>
      <c r="E17">
        <v>300</v>
      </c>
      <c r="F17">
        <v>1</v>
      </c>
      <c r="G17">
        <f>F17*E17</f>
        <v>300</v>
      </c>
      <c r="N17" s="197" t="s">
        <v>879</v>
      </c>
      <c r="O17" s="6" t="s">
        <v>881</v>
      </c>
      <c r="P17" s="198"/>
    </row>
    <row r="18" spans="1:18" ht="15">
      <c r="A18" t="s">
        <v>890</v>
      </c>
      <c r="B18" t="s">
        <v>891</v>
      </c>
      <c r="C18">
        <f>24*7</f>
        <v>168</v>
      </c>
      <c r="D18">
        <v>100</v>
      </c>
      <c r="E18">
        <v>100</v>
      </c>
      <c r="F18">
        <v>4</v>
      </c>
      <c r="G18">
        <f>F18*E18</f>
        <v>400</v>
      </c>
      <c r="M18" t="s">
        <v>280</v>
      </c>
      <c r="N18" s="197">
        <f>(1660)/2.5/3*('Location features'!D10-'Location features'!J10)*3</f>
        <v>2030.1609195402302</v>
      </c>
      <c r="O18" s="6">
        <f>950*3+150</f>
        <v>3000</v>
      </c>
      <c r="P18" s="199">
        <f>SUM(N18,O18)</f>
        <v>5030.1609195402307</v>
      </c>
      <c r="Q18" s="50">
        <f>P18</f>
        <v>5030.1609195402307</v>
      </c>
      <c r="R18">
        <f>76*R19/30</f>
        <v>1900</v>
      </c>
    </row>
    <row r="19" spans="1:18" ht="15">
      <c r="A19" t="s">
        <v>787</v>
      </c>
      <c r="C19">
        <f>C12</f>
        <v>720</v>
      </c>
      <c r="D19">
        <v>100</v>
      </c>
      <c r="E19">
        <v>100</v>
      </c>
      <c r="F19">
        <v>1</v>
      </c>
      <c r="G19">
        <f t="shared" si="0"/>
        <v>100</v>
      </c>
      <c r="M19" t="s">
        <v>883</v>
      </c>
      <c r="N19" s="197">
        <f>N18/76*30</f>
        <v>801.37931034482767</v>
      </c>
      <c r="O19" s="6">
        <f>O18/76*30</f>
        <v>1184.2105263157894</v>
      </c>
      <c r="P19" s="199">
        <f>SUM(N19,O19)</f>
        <v>1985.589836660617</v>
      </c>
      <c r="Q19" s="50">
        <f>P19</f>
        <v>1985.589836660617</v>
      </c>
      <c r="R19">
        <v>750</v>
      </c>
    </row>
    <row r="20" spans="1:18" ht="15">
      <c r="A20" t="s">
        <v>788</v>
      </c>
      <c r="C20">
        <f>24*7</f>
        <v>168</v>
      </c>
      <c r="D20">
        <v>100</v>
      </c>
      <c r="E20">
        <v>100</v>
      </c>
      <c r="F20">
        <v>4</v>
      </c>
      <c r="G20">
        <f t="shared" si="0"/>
        <v>400</v>
      </c>
      <c r="M20" t="s">
        <v>882</v>
      </c>
      <c r="N20" s="200">
        <f>N18*'Location features'!N10-480000*3</f>
        <v>1856576.8275862075</v>
      </c>
      <c r="O20" s="39">
        <f>O18*'Location features'!N21</f>
        <v>2767478.4172661868</v>
      </c>
      <c r="P20" s="199">
        <f>SUM(N20,O20)</f>
        <v>4624055.2448523939</v>
      </c>
      <c r="Q20" s="1">
        <f>'Location features'!$N$14*Crystals!Q18</f>
        <v>9184856.6275862083</v>
      </c>
      <c r="R20" s="1">
        <f>'Location features'!$N$14*Crystals!R18</f>
        <v>3469317.9545454551</v>
      </c>
    </row>
    <row r="21" spans="1:18" ht="15">
      <c r="M21" t="s">
        <v>884</v>
      </c>
      <c r="N21" s="201">
        <f>N18*'Location features'!P10</f>
        <v>493206.98850574717</v>
      </c>
      <c r="O21" s="202">
        <v>0</v>
      </c>
      <c r="P21" s="203">
        <f>SUM(N21,O21)</f>
        <v>493206.98850574717</v>
      </c>
      <c r="Q21" s="1">
        <f>Q18*'Location features'!$P$14</f>
        <v>2492899.355478928</v>
      </c>
      <c r="R21" s="1">
        <f>R18*'Location features'!$P$14</f>
        <v>941621.71969696973</v>
      </c>
    </row>
    <row r="22" spans="1:18" ht="15">
      <c r="F22" s="36" t="s">
        <v>793</v>
      </c>
      <c r="G22" s="36">
        <f>SUM(Tabela20[Cryst/Month])</f>
        <v>2475</v>
      </c>
      <c r="M22" t="s">
        <v>72</v>
      </c>
      <c r="P22">
        <f>(O7+P7)*P19/(15*(O2+P2+P6))</f>
        <v>179.04513350559864</v>
      </c>
      <c r="R22">
        <v>200</v>
      </c>
    </row>
  </sheetData>
  <mergeCells count="1">
    <mergeCell ref="N15:P1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41"/>
  <sheetViews>
    <sheetView tabSelected="1" workbookViewId="0">
      <selection activeCell="M6" sqref="M6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19" max="19" width="18.625" bestFit="1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4</v>
      </c>
      <c r="N3">
        <v>1</v>
      </c>
      <c r="O3" s="43">
        <v>0</v>
      </c>
      <c r="P3" s="1">
        <v>0</v>
      </c>
      <c r="Q3" s="1">
        <f>Tabela6[[#This Row],[Missing]]*22300</f>
        <v>89200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4</v>
      </c>
      <c r="N4">
        <v>0</v>
      </c>
      <c r="O4" s="43">
        <f>MAXA(Tabela6[[#This Row],[Done]]-M3,0)</f>
        <v>0</v>
      </c>
      <c r="P4" s="1">
        <f>M4*$B$5</f>
        <v>759000</v>
      </c>
      <c r="Q4" s="1">
        <f>Tabela6[[#This Row],[Missing]]*9600</f>
        <v>38400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16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4</v>
      </c>
      <c r="N6">
        <v>0</v>
      </c>
      <c r="O6" s="43">
        <f>MAXA(-(M5+M4-O5-Tabela6[[#This Row],[Done]]),0)</f>
        <v>0</v>
      </c>
      <c r="P6" s="1">
        <f>M6*$B$4</f>
        <v>328728</v>
      </c>
      <c r="Q6" s="1">
        <f>Tabela6[[#This Row],[Missing]]*4000</f>
        <v>16000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12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48000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16</v>
      </c>
      <c r="N8">
        <v>0</v>
      </c>
      <c r="O8" s="43">
        <f>MAXA(-(M7+M6-O7-Tabela6[[#This Row],[Done]]),0)</f>
        <v>0</v>
      </c>
      <c r="P8" s="1">
        <f>M8*$B$3</f>
        <v>573152</v>
      </c>
      <c r="Q8" s="1">
        <f>Tabela6[[#This Row],[Missing]]*4000</f>
        <v>64000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32</v>
      </c>
      <c r="N9">
        <v>0</v>
      </c>
      <c r="O9" s="43">
        <f>MAXA(-(2*M7+M8-Tabela6[[#This Row],[Done]]),0)</f>
        <v>0</v>
      </c>
      <c r="P9" s="39"/>
      <c r="Q9" s="39">
        <f>Tabela6[[#This Row],[Missing]]*11000</f>
        <v>352000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1660880</v>
      </c>
      <c r="Q12" s="38">
        <f>SUM(Q3:Q9)</f>
        <v>607600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  <c r="S14" t="s">
        <v>874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  <c r="S15">
        <f>(1190/2.5/3*('Location features'!D9-'Location features'!J9)+Fusion!U97)/76*30</f>
        <v>627.55983850636653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v>0</v>
      </c>
      <c r="N28">
        <v>3</v>
      </c>
      <c r="O28" s="1">
        <f>Tabela610[[#This Row],[Missing]]*$B$6</f>
        <v>0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1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1</v>
      </c>
      <c r="N31">
        <f>O6</f>
        <v>0</v>
      </c>
      <c r="O31" s="1">
        <f>M31*$B$4</f>
        <v>82182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3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4</v>
      </c>
      <c r="N33">
        <f>O8</f>
        <v>0</v>
      </c>
      <c r="O33" s="1">
        <f>M33*$B$3</f>
        <v>143288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v>8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225470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997"/>
  <sheetViews>
    <sheetView zoomScale="85" zoomScaleNormal="85" workbookViewId="0">
      <pane ySplit="1" topLeftCell="A1433" activePane="bottomLeft" state="frozen"/>
      <selection pane="bottomLeft" activeCell="H1461" sqref="H1461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35</v>
      </c>
      <c r="R12" s="43">
        <v>6</v>
      </c>
      <c r="S12" s="43">
        <v>3</v>
      </c>
      <c r="T12" s="43">
        <v>46</v>
      </c>
      <c r="U12" s="43">
        <v>43</v>
      </c>
      <c r="V12" s="43">
        <v>10</v>
      </c>
      <c r="W12" s="43">
        <v>4</v>
      </c>
      <c r="X12" s="43">
        <v>147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24</v>
      </c>
      <c r="R15" s="43">
        <v>4</v>
      </c>
      <c r="S15" s="43">
        <v>2</v>
      </c>
      <c r="T15" s="43">
        <v>35</v>
      </c>
      <c r="U15" s="43">
        <v>32</v>
      </c>
      <c r="V15" s="43">
        <v>9</v>
      </c>
      <c r="W15" s="43">
        <v>4</v>
      </c>
      <c r="X15" s="43">
        <v>110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6</v>
      </c>
      <c r="V16" s="43">
        <v>1</v>
      </c>
      <c r="W16" s="43"/>
      <c r="X16" s="43">
        <v>16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95</v>
      </c>
      <c r="R25" s="43">
        <v>17</v>
      </c>
      <c r="S25" s="43">
        <v>10</v>
      </c>
      <c r="T25" s="43">
        <v>132</v>
      </c>
      <c r="U25" s="43">
        <v>148</v>
      </c>
      <c r="V25" s="43">
        <v>22</v>
      </c>
      <c r="W25" s="43">
        <v>25</v>
      </c>
      <c r="X25" s="43">
        <v>450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D1372">
        <v>3765</v>
      </c>
      <c r="E1372">
        <v>0</v>
      </c>
      <c r="F1372" t="s">
        <v>258</v>
      </c>
      <c r="G1372">
        <v>1</v>
      </c>
      <c r="H1372" t="s">
        <v>27</v>
      </c>
      <c r="I1372">
        <v>3904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D1373">
        <v>4073</v>
      </c>
      <c r="E1373">
        <v>3</v>
      </c>
      <c r="F1373" t="s">
        <v>34</v>
      </c>
      <c r="G1373">
        <v>4</v>
      </c>
      <c r="H1373" t="s">
        <v>17</v>
      </c>
      <c r="I1373">
        <v>0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3200</v>
      </c>
    </row>
    <row r="1374" spans="1:12">
      <c r="A1374" t="s">
        <v>178</v>
      </c>
      <c r="B1374" t="s">
        <v>9</v>
      </c>
      <c r="C1374">
        <v>9</v>
      </c>
      <c r="D1374">
        <v>3957</v>
      </c>
      <c r="E1374">
        <v>0</v>
      </c>
      <c r="F1374" t="s">
        <v>291</v>
      </c>
      <c r="G1374">
        <v>1</v>
      </c>
      <c r="H1374" t="s">
        <v>28</v>
      </c>
      <c r="I1374">
        <v>6375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D1375">
        <v>3704</v>
      </c>
      <c r="E1375">
        <v>2</v>
      </c>
      <c r="F1375" t="s">
        <v>258</v>
      </c>
      <c r="G1375">
        <v>1</v>
      </c>
      <c r="H1375" t="s">
        <v>28</v>
      </c>
      <c r="I1375">
        <v>11560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D1376">
        <v>4168</v>
      </c>
      <c r="E1376">
        <v>1</v>
      </c>
      <c r="F1376" t="s">
        <v>58</v>
      </c>
      <c r="G1376">
        <v>1</v>
      </c>
      <c r="H1376" t="s">
        <v>12</v>
      </c>
      <c r="I1376">
        <v>0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11500</v>
      </c>
      <c r="L1376" s="43">
        <f>IFERROR(SUMIFS(Tabela10[Exp Gain only 2*+],Tabela10[Drop],DropAnalityka[[#This Row],[Drop]],Tabela10[Grade],DropAnalityka[[#This Row],[Grade]])*DropAnalityka[[#This Row],[Quality/Quantity]],0)</f>
        <v>35822</v>
      </c>
    </row>
    <row r="1377" spans="1:12">
      <c r="A1377" t="s">
        <v>178</v>
      </c>
      <c r="B1377" t="s">
        <v>9</v>
      </c>
      <c r="C1377">
        <v>9</v>
      </c>
      <c r="D1377">
        <v>4443</v>
      </c>
      <c r="E1377">
        <v>2</v>
      </c>
      <c r="F1377" t="s">
        <v>258</v>
      </c>
      <c r="G1377">
        <v>1</v>
      </c>
      <c r="H1377" t="s">
        <v>28</v>
      </c>
      <c r="I1377">
        <v>11560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D1378">
        <v>4007</v>
      </c>
      <c r="E1378">
        <v>0</v>
      </c>
      <c r="F1378" t="s">
        <v>258</v>
      </c>
      <c r="G1378">
        <v>1</v>
      </c>
      <c r="H1378" t="s">
        <v>28</v>
      </c>
      <c r="I1378">
        <v>12240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D1379">
        <v>4304</v>
      </c>
      <c r="E1379">
        <v>2</v>
      </c>
      <c r="F1379" t="s">
        <v>258</v>
      </c>
      <c r="G1379">
        <v>1</v>
      </c>
      <c r="H1379" t="s">
        <v>29</v>
      </c>
      <c r="I1379">
        <v>20288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D1380">
        <v>3825</v>
      </c>
      <c r="E1380">
        <v>1</v>
      </c>
      <c r="F1380" t="s">
        <v>291</v>
      </c>
      <c r="G1380">
        <v>1</v>
      </c>
      <c r="H1380" t="s">
        <v>29</v>
      </c>
      <c r="I1380">
        <v>17118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17118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D1381">
        <v>3952</v>
      </c>
      <c r="E1381">
        <v>0</v>
      </c>
      <c r="F1381" t="s">
        <v>258</v>
      </c>
      <c r="G1381">
        <v>1</v>
      </c>
      <c r="H1381" t="s">
        <v>27</v>
      </c>
      <c r="I1381">
        <v>3445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D1382">
        <v>3837</v>
      </c>
      <c r="E1382">
        <v>0</v>
      </c>
      <c r="F1382" t="s">
        <v>258</v>
      </c>
      <c r="G1382">
        <v>1</v>
      </c>
      <c r="H1382" t="s">
        <v>29</v>
      </c>
      <c r="I1382">
        <v>18861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18861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D1383">
        <v>3964</v>
      </c>
      <c r="E1383">
        <v>2</v>
      </c>
      <c r="F1383" t="s">
        <v>258</v>
      </c>
      <c r="G1383">
        <v>1</v>
      </c>
      <c r="H1383" t="s">
        <v>28</v>
      </c>
      <c r="I1383">
        <v>8075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A1384" t="s">
        <v>178</v>
      </c>
      <c r="B1384" t="s">
        <v>9</v>
      </c>
      <c r="C1384">
        <v>9</v>
      </c>
      <c r="D1384">
        <v>3954</v>
      </c>
      <c r="E1384">
        <v>1</v>
      </c>
      <c r="F1384" t="s">
        <v>258</v>
      </c>
      <c r="G1384">
        <v>1</v>
      </c>
      <c r="H1384" t="s">
        <v>28</v>
      </c>
      <c r="I1384">
        <v>5440</v>
      </c>
      <c r="J1384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A1385" t="s">
        <v>178</v>
      </c>
      <c r="B1385" t="s">
        <v>9</v>
      </c>
      <c r="C1385">
        <v>9</v>
      </c>
      <c r="D1385">
        <v>3909</v>
      </c>
      <c r="E1385">
        <v>0</v>
      </c>
      <c r="F1385" t="s">
        <v>34</v>
      </c>
      <c r="G1385">
        <v>5</v>
      </c>
      <c r="H1385" t="s">
        <v>17</v>
      </c>
      <c r="I1385">
        <v>0</v>
      </c>
      <c r="J138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4000</v>
      </c>
    </row>
    <row r="1386" spans="1:12">
      <c r="A1386" t="s">
        <v>178</v>
      </c>
      <c r="B1386" t="s">
        <v>9</v>
      </c>
      <c r="C1386">
        <v>9</v>
      </c>
      <c r="D1386">
        <v>3708</v>
      </c>
      <c r="E1386">
        <v>2</v>
      </c>
      <c r="F1386" t="s">
        <v>34</v>
      </c>
      <c r="G1386">
        <v>5</v>
      </c>
      <c r="H1386" t="s">
        <v>17</v>
      </c>
      <c r="I1386">
        <v>0</v>
      </c>
      <c r="J138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4000</v>
      </c>
    </row>
    <row r="1387" spans="1:12">
      <c r="A1387" t="s">
        <v>178</v>
      </c>
      <c r="B1387" t="s">
        <v>9</v>
      </c>
      <c r="C1387">
        <v>9</v>
      </c>
      <c r="D1387">
        <v>3596</v>
      </c>
      <c r="E1387">
        <v>3</v>
      </c>
      <c r="F1387" t="s">
        <v>258</v>
      </c>
      <c r="G1387">
        <v>1</v>
      </c>
      <c r="H1387" t="s">
        <v>29</v>
      </c>
      <c r="I1387">
        <v>10144</v>
      </c>
      <c r="J138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A1388" t="s">
        <v>178</v>
      </c>
      <c r="B1388" t="s">
        <v>9</v>
      </c>
      <c r="C1388">
        <v>9</v>
      </c>
      <c r="D1388">
        <v>3997</v>
      </c>
      <c r="E1388">
        <v>2</v>
      </c>
      <c r="F1388" t="s">
        <v>58</v>
      </c>
      <c r="G1388">
        <v>1</v>
      </c>
      <c r="H1388" t="s">
        <v>12</v>
      </c>
      <c r="I1388">
        <v>0</v>
      </c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11500</v>
      </c>
      <c r="L1388" s="43">
        <f>IFERROR(SUMIFS(Tabela10[Exp Gain only 2*+],Tabela10[Drop],DropAnalityka[[#This Row],[Drop]],Tabela10[Grade],DropAnalityka[[#This Row],[Grade]])*DropAnalityka[[#This Row],[Quality/Quantity]],0)</f>
        <v>35822</v>
      </c>
    </row>
    <row r="1389" spans="1:12">
      <c r="A1389" t="s">
        <v>178</v>
      </c>
      <c r="B1389" t="s">
        <v>9</v>
      </c>
      <c r="C1389">
        <v>9</v>
      </c>
      <c r="D1389">
        <v>4264</v>
      </c>
      <c r="E1389">
        <v>0</v>
      </c>
      <c r="F1389" t="s">
        <v>34</v>
      </c>
      <c r="G1389">
        <v>4</v>
      </c>
      <c r="H1389" t="s">
        <v>17</v>
      </c>
      <c r="I1389">
        <v>0</v>
      </c>
      <c r="J13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3200</v>
      </c>
    </row>
    <row r="1390" spans="1:12">
      <c r="A1390" t="s">
        <v>178</v>
      </c>
      <c r="B1390" t="s">
        <v>9</v>
      </c>
      <c r="C1390">
        <v>9</v>
      </c>
      <c r="D1390">
        <v>4199</v>
      </c>
      <c r="E1390">
        <v>3</v>
      </c>
      <c r="F1390" t="s">
        <v>258</v>
      </c>
      <c r="G1390">
        <v>1</v>
      </c>
      <c r="H1390" t="s">
        <v>28</v>
      </c>
      <c r="I1390">
        <v>5440</v>
      </c>
      <c r="J139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A1391" t="s">
        <v>178</v>
      </c>
      <c r="B1391" t="s">
        <v>9</v>
      </c>
      <c r="C1391">
        <v>9</v>
      </c>
      <c r="D1391">
        <v>4060</v>
      </c>
      <c r="E1391">
        <v>2</v>
      </c>
      <c r="F1391" t="s">
        <v>34</v>
      </c>
      <c r="G1391">
        <v>4</v>
      </c>
      <c r="H1391" t="s">
        <v>17</v>
      </c>
      <c r="I1391">
        <v>0</v>
      </c>
      <c r="J139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3200</v>
      </c>
    </row>
    <row r="1392" spans="1:12">
      <c r="A1392" t="s">
        <v>178</v>
      </c>
      <c r="B1392" t="s">
        <v>9</v>
      </c>
      <c r="C1392">
        <v>9</v>
      </c>
      <c r="D1392">
        <v>3943</v>
      </c>
      <c r="E1392">
        <v>3</v>
      </c>
      <c r="F1392" t="s">
        <v>34</v>
      </c>
      <c r="G1392">
        <v>4</v>
      </c>
      <c r="H1392" t="s">
        <v>17</v>
      </c>
      <c r="I1392">
        <v>0</v>
      </c>
      <c r="J139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3200</v>
      </c>
    </row>
    <row r="1393" spans="1:12">
      <c r="A1393" t="s">
        <v>178</v>
      </c>
      <c r="B1393" t="s">
        <v>9</v>
      </c>
      <c r="C1393">
        <v>9</v>
      </c>
      <c r="D1393">
        <v>4141</v>
      </c>
      <c r="E1393">
        <v>1</v>
      </c>
      <c r="F1393" t="s">
        <v>34</v>
      </c>
      <c r="G1393">
        <v>4</v>
      </c>
      <c r="H1393" t="s">
        <v>17</v>
      </c>
      <c r="I1393">
        <v>0</v>
      </c>
      <c r="J139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3200</v>
      </c>
    </row>
    <row r="1394" spans="1:12">
      <c r="A1394" t="s">
        <v>178</v>
      </c>
      <c r="B1394" t="s">
        <v>9</v>
      </c>
      <c r="C1394">
        <v>9</v>
      </c>
      <c r="D1394">
        <v>4075</v>
      </c>
      <c r="E1394">
        <v>0</v>
      </c>
      <c r="F1394" t="s">
        <v>34</v>
      </c>
      <c r="G1394">
        <v>4</v>
      </c>
      <c r="H1394" t="s">
        <v>17</v>
      </c>
      <c r="I1394">
        <v>0</v>
      </c>
      <c r="J13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3200</v>
      </c>
    </row>
    <row r="1395" spans="1:12">
      <c r="A1395" t="s">
        <v>178</v>
      </c>
      <c r="B1395" t="s">
        <v>9</v>
      </c>
      <c r="C1395">
        <v>9</v>
      </c>
      <c r="D1395">
        <v>4269</v>
      </c>
      <c r="E1395">
        <v>1</v>
      </c>
      <c r="F1395" t="s">
        <v>258</v>
      </c>
      <c r="G1395">
        <v>1</v>
      </c>
      <c r="H1395" t="s">
        <v>27</v>
      </c>
      <c r="I1395">
        <v>6431</v>
      </c>
      <c r="J1395">
        <f>DropAnalityka[[#This Row],[Sell Drop]]+IFERROR(SUMIFS(Tabela10[Drop Worth],Tabela10[Drop],DropAnalityka[[#This Row],[Drop]],Tabela10[Grade],DropAnalityka[[#This Row],[Grade]])*DropAnalityka[[#This Row],[Quality/Quantity]],0)</f>
        <v>6431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:12">
      <c r="A1396" t="s">
        <v>178</v>
      </c>
      <c r="B1396" t="s">
        <v>9</v>
      </c>
      <c r="C1396">
        <v>9</v>
      </c>
      <c r="D1396">
        <v>3888</v>
      </c>
      <c r="E1396">
        <v>2</v>
      </c>
      <c r="F1396" t="s">
        <v>34</v>
      </c>
      <c r="G1396">
        <v>5</v>
      </c>
      <c r="H1396" t="s">
        <v>17</v>
      </c>
      <c r="I1396">
        <v>0</v>
      </c>
      <c r="J13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4000</v>
      </c>
    </row>
    <row r="1397" spans="1:12">
      <c r="A1397" t="s">
        <v>178</v>
      </c>
      <c r="B1397" t="s">
        <v>9</v>
      </c>
      <c r="C1397">
        <v>9</v>
      </c>
      <c r="D1397">
        <v>3672</v>
      </c>
      <c r="E1397">
        <v>1</v>
      </c>
      <c r="F1397" t="s">
        <v>258</v>
      </c>
      <c r="G1397">
        <v>1</v>
      </c>
      <c r="H1397" t="s">
        <v>27</v>
      </c>
      <c r="I1397">
        <v>6120</v>
      </c>
      <c r="J139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:12">
      <c r="A1398" t="s">
        <v>178</v>
      </c>
      <c r="B1398" t="s">
        <v>9</v>
      </c>
      <c r="C1398">
        <v>9</v>
      </c>
      <c r="D1398">
        <v>3924</v>
      </c>
      <c r="E1398">
        <v>1</v>
      </c>
      <c r="F1398" t="s">
        <v>258</v>
      </c>
      <c r="G1398">
        <v>1</v>
      </c>
      <c r="H1398" t="s">
        <v>28</v>
      </c>
      <c r="I1398">
        <v>12920</v>
      </c>
      <c r="J1398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:12">
      <c r="A1399" t="s">
        <v>178</v>
      </c>
      <c r="B1399" t="s">
        <v>9</v>
      </c>
      <c r="C1399">
        <v>9</v>
      </c>
      <c r="D1399">
        <v>4086</v>
      </c>
      <c r="E1399">
        <v>1</v>
      </c>
      <c r="F1399" t="s">
        <v>258</v>
      </c>
      <c r="G1399">
        <v>1</v>
      </c>
      <c r="H1399" t="s">
        <v>27</v>
      </c>
      <c r="I1399">
        <v>6120</v>
      </c>
      <c r="J139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:12">
      <c r="A1400" t="s">
        <v>178</v>
      </c>
      <c r="B1400" t="s">
        <v>9</v>
      </c>
      <c r="C1400">
        <v>9</v>
      </c>
      <c r="D1400">
        <v>3956</v>
      </c>
      <c r="E1400">
        <v>1</v>
      </c>
      <c r="F1400" t="s">
        <v>34</v>
      </c>
      <c r="G1400">
        <v>4</v>
      </c>
      <c r="H1400" t="s">
        <v>17</v>
      </c>
      <c r="I1400">
        <v>0</v>
      </c>
      <c r="J14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3200</v>
      </c>
    </row>
    <row r="1401" spans="1:12">
      <c r="A1401" t="s">
        <v>178</v>
      </c>
      <c r="B1401" t="s">
        <v>9</v>
      </c>
      <c r="C1401">
        <v>9</v>
      </c>
      <c r="D1401">
        <v>4121</v>
      </c>
      <c r="E1401">
        <v>2</v>
      </c>
      <c r="F1401" t="s">
        <v>291</v>
      </c>
      <c r="G1401">
        <v>1</v>
      </c>
      <c r="H1401" t="s">
        <v>29</v>
      </c>
      <c r="I1401">
        <v>27103</v>
      </c>
      <c r="J140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:12">
      <c r="A1402" t="s">
        <v>178</v>
      </c>
      <c r="B1402" t="s">
        <v>9</v>
      </c>
      <c r="C1402">
        <v>9</v>
      </c>
      <c r="D1402">
        <v>3864</v>
      </c>
      <c r="E1402">
        <v>1</v>
      </c>
      <c r="F1402" t="s">
        <v>34</v>
      </c>
      <c r="G1402">
        <v>4</v>
      </c>
      <c r="H1402" t="s">
        <v>17</v>
      </c>
      <c r="I1402">
        <v>0</v>
      </c>
      <c r="J140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3200</v>
      </c>
    </row>
    <row r="1403" spans="1:12">
      <c r="A1403" t="s">
        <v>178</v>
      </c>
      <c r="B1403" t="s">
        <v>9</v>
      </c>
      <c r="C1403">
        <v>9</v>
      </c>
      <c r="D1403">
        <v>4144</v>
      </c>
      <c r="E1403">
        <v>2</v>
      </c>
      <c r="F1403" t="s">
        <v>258</v>
      </c>
      <c r="G1403">
        <v>1</v>
      </c>
      <c r="H1403" t="s">
        <v>27</v>
      </c>
      <c r="I1403">
        <v>3445</v>
      </c>
      <c r="J140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:12">
      <c r="A1404" t="s">
        <v>178</v>
      </c>
      <c r="B1404" t="s">
        <v>9</v>
      </c>
      <c r="C1404">
        <v>9</v>
      </c>
      <c r="D1404">
        <v>3884</v>
      </c>
      <c r="E1404">
        <v>1</v>
      </c>
      <c r="F1404" t="s">
        <v>258</v>
      </c>
      <c r="G1404">
        <v>1</v>
      </c>
      <c r="H1404" t="s">
        <v>27</v>
      </c>
      <c r="I1404">
        <v>3675</v>
      </c>
      <c r="J140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:12">
      <c r="A1405" t="s">
        <v>178</v>
      </c>
      <c r="B1405" t="s">
        <v>9</v>
      </c>
      <c r="C1405">
        <v>9</v>
      </c>
      <c r="D1405">
        <v>4186</v>
      </c>
      <c r="E1405">
        <v>0</v>
      </c>
      <c r="F1405" t="s">
        <v>291</v>
      </c>
      <c r="G1405">
        <v>1</v>
      </c>
      <c r="H1405" t="s">
        <v>28</v>
      </c>
      <c r="I1405">
        <v>17000</v>
      </c>
      <c r="J1405">
        <f>DropAnalityka[[#This Row],[Sell Drop]]+IFERROR(SUMIFS(Tabela10[Drop Worth],Tabela10[Drop],DropAnalityka[[#This Row],[Drop]],Tabela10[Grade],DropAnalityka[[#This Row],[Grade]])*DropAnalityka[[#This Row],[Quality/Quantity]],0)</f>
        <v>17000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:12">
      <c r="A1406" t="s">
        <v>178</v>
      </c>
      <c r="B1406" t="s">
        <v>9</v>
      </c>
      <c r="C1406">
        <v>9</v>
      </c>
      <c r="D1406">
        <v>3886</v>
      </c>
      <c r="E1406">
        <v>0</v>
      </c>
      <c r="F1406" t="s">
        <v>34</v>
      </c>
      <c r="G1406">
        <v>5</v>
      </c>
      <c r="H1406" t="s">
        <v>17</v>
      </c>
      <c r="I1406">
        <v>0</v>
      </c>
      <c r="J140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4000</v>
      </c>
    </row>
    <row r="1407" spans="1:12">
      <c r="A1407" t="s">
        <v>178</v>
      </c>
      <c r="B1407" t="s">
        <v>9</v>
      </c>
      <c r="C1407">
        <v>9</v>
      </c>
      <c r="D1407">
        <v>4242</v>
      </c>
      <c r="E1407">
        <v>2</v>
      </c>
      <c r="F1407" t="s">
        <v>258</v>
      </c>
      <c r="G1407">
        <v>1</v>
      </c>
      <c r="H1407" t="s">
        <v>27</v>
      </c>
      <c r="I1407">
        <v>4364</v>
      </c>
      <c r="J1407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:12">
      <c r="A1408" t="s">
        <v>178</v>
      </c>
      <c r="B1408" t="s">
        <v>9</v>
      </c>
      <c r="C1408">
        <v>9</v>
      </c>
      <c r="D1408">
        <v>4062</v>
      </c>
      <c r="E1408">
        <v>1</v>
      </c>
      <c r="F1408" t="s">
        <v>258</v>
      </c>
      <c r="G1408">
        <v>1</v>
      </c>
      <c r="H1408" t="s">
        <v>27</v>
      </c>
      <c r="I1408">
        <v>2940</v>
      </c>
      <c r="J140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:12">
      <c r="A1409" t="s">
        <v>178</v>
      </c>
      <c r="B1409" t="s">
        <v>9</v>
      </c>
      <c r="C1409">
        <v>9</v>
      </c>
      <c r="D1409">
        <v>4025</v>
      </c>
      <c r="E1409">
        <v>1</v>
      </c>
      <c r="F1409" t="s">
        <v>258</v>
      </c>
      <c r="G1409">
        <v>1</v>
      </c>
      <c r="H1409" t="s">
        <v>28</v>
      </c>
      <c r="I1409">
        <v>6800</v>
      </c>
      <c r="J140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:12">
      <c r="A1410" t="s">
        <v>178</v>
      </c>
      <c r="B1410" t="s">
        <v>9</v>
      </c>
      <c r="C1410">
        <v>9</v>
      </c>
      <c r="D1410">
        <v>4416</v>
      </c>
      <c r="E1410">
        <v>3</v>
      </c>
      <c r="F1410" t="s">
        <v>258</v>
      </c>
      <c r="G1410">
        <v>1</v>
      </c>
      <c r="H1410" t="s">
        <v>27</v>
      </c>
      <c r="I1410">
        <v>6615</v>
      </c>
      <c r="J1410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:12">
      <c r="A1411" t="s">
        <v>178</v>
      </c>
      <c r="B1411" t="s">
        <v>9</v>
      </c>
      <c r="C1411">
        <v>9</v>
      </c>
      <c r="D1411">
        <v>3856</v>
      </c>
      <c r="E1411">
        <v>2</v>
      </c>
      <c r="F1411" t="s">
        <v>291</v>
      </c>
      <c r="G1411">
        <v>1</v>
      </c>
      <c r="H1411" t="s">
        <v>27</v>
      </c>
      <c r="I1411">
        <v>6615</v>
      </c>
      <c r="J1411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:12">
      <c r="A1412" t="s">
        <v>178</v>
      </c>
      <c r="B1412" t="s">
        <v>9</v>
      </c>
      <c r="C1412">
        <v>9</v>
      </c>
      <c r="D1412">
        <v>4170</v>
      </c>
      <c r="E1412">
        <v>2</v>
      </c>
      <c r="F1412" t="s">
        <v>34</v>
      </c>
      <c r="G1412">
        <v>4</v>
      </c>
      <c r="H1412" t="s">
        <v>17</v>
      </c>
      <c r="I1412">
        <v>0</v>
      </c>
      <c r="J141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3200</v>
      </c>
    </row>
    <row r="1413" spans="1:12">
      <c r="A1413" t="s">
        <v>178</v>
      </c>
      <c r="B1413" t="s">
        <v>9</v>
      </c>
      <c r="C1413">
        <v>9</v>
      </c>
      <c r="D1413">
        <v>4152</v>
      </c>
      <c r="E1413">
        <v>1</v>
      </c>
      <c r="F1413" t="s">
        <v>258</v>
      </c>
      <c r="G1413">
        <v>1</v>
      </c>
      <c r="H1413" t="s">
        <v>27</v>
      </c>
      <c r="I1413">
        <v>6247</v>
      </c>
      <c r="J1413">
        <f>DropAnalityka[[#This Row],[Sell Drop]]+IFERROR(SUMIFS(Tabela10[Drop Worth],Tabela10[Drop],DropAnalityka[[#This Row],[Drop]],Tabela10[Grade],DropAnalityka[[#This Row],[Grade]])*DropAnalityka[[#This Row],[Quality/Quantity]],0)</f>
        <v>6247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:12">
      <c r="A1414" t="s">
        <v>178</v>
      </c>
      <c r="B1414" t="s">
        <v>9</v>
      </c>
      <c r="C1414">
        <v>9</v>
      </c>
      <c r="D1414">
        <v>3678</v>
      </c>
      <c r="E1414">
        <v>0</v>
      </c>
      <c r="F1414" t="s">
        <v>291</v>
      </c>
      <c r="G1414">
        <v>1</v>
      </c>
      <c r="H1414" t="s">
        <v>28</v>
      </c>
      <c r="I1414">
        <v>10200</v>
      </c>
      <c r="J1414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:12">
      <c r="A1415" t="s">
        <v>178</v>
      </c>
      <c r="B1415" t="s">
        <v>9</v>
      </c>
      <c r="C1415">
        <v>9</v>
      </c>
      <c r="D1415">
        <v>4310</v>
      </c>
      <c r="E1415">
        <v>2</v>
      </c>
      <c r="F1415" t="s">
        <v>258</v>
      </c>
      <c r="G1415">
        <v>1</v>
      </c>
      <c r="H1415" t="s">
        <v>27</v>
      </c>
      <c r="I1415">
        <v>5100</v>
      </c>
      <c r="J1415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:12">
      <c r="A1416" t="s">
        <v>178</v>
      </c>
      <c r="B1416" t="s">
        <v>9</v>
      </c>
      <c r="C1416">
        <v>9</v>
      </c>
      <c r="D1416">
        <v>3697</v>
      </c>
      <c r="E1416">
        <v>0</v>
      </c>
      <c r="F1416" t="s">
        <v>258</v>
      </c>
      <c r="G1416">
        <v>1</v>
      </c>
      <c r="H1416" t="s">
        <v>27</v>
      </c>
      <c r="I1416">
        <v>2940</v>
      </c>
      <c r="J141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:12">
      <c r="A1417" t="s">
        <v>178</v>
      </c>
      <c r="B1417" t="s">
        <v>9</v>
      </c>
      <c r="C1417">
        <v>9</v>
      </c>
      <c r="D1417">
        <v>4208</v>
      </c>
      <c r="E1417">
        <v>1</v>
      </c>
      <c r="F1417" t="s">
        <v>258</v>
      </c>
      <c r="G1417">
        <v>1</v>
      </c>
      <c r="H1417" t="s">
        <v>27</v>
      </c>
      <c r="I1417">
        <v>5788</v>
      </c>
      <c r="J1417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:12">
      <c r="A1418" t="s">
        <v>178</v>
      </c>
      <c r="B1418" t="s">
        <v>9</v>
      </c>
      <c r="C1418">
        <v>9</v>
      </c>
      <c r="D1418">
        <v>4465</v>
      </c>
      <c r="E1418">
        <v>2</v>
      </c>
      <c r="F1418" t="s">
        <v>258</v>
      </c>
      <c r="G1418">
        <v>1</v>
      </c>
      <c r="H1418" t="s">
        <v>27</v>
      </c>
      <c r="I1418">
        <v>4134</v>
      </c>
      <c r="J1418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:12">
      <c r="A1419" t="s">
        <v>178</v>
      </c>
      <c r="B1419" t="s">
        <v>9</v>
      </c>
      <c r="C1419">
        <v>9</v>
      </c>
      <c r="D1419">
        <v>3829</v>
      </c>
      <c r="E1419">
        <v>2</v>
      </c>
      <c r="F1419" t="s">
        <v>258</v>
      </c>
      <c r="G1419">
        <v>1</v>
      </c>
      <c r="H1419" t="s">
        <v>27</v>
      </c>
      <c r="I1419">
        <v>6982</v>
      </c>
      <c r="J1419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:12">
      <c r="A1420" t="s">
        <v>178</v>
      </c>
      <c r="B1420" t="s">
        <v>9</v>
      </c>
      <c r="C1420">
        <v>9</v>
      </c>
      <c r="D1420">
        <v>4194</v>
      </c>
      <c r="E1420">
        <v>0</v>
      </c>
      <c r="F1420" t="s">
        <v>258</v>
      </c>
      <c r="G1420">
        <v>1</v>
      </c>
      <c r="H1420" t="s">
        <v>27</v>
      </c>
      <c r="I1420">
        <v>3307</v>
      </c>
      <c r="J14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:12">
      <c r="A1421" t="s">
        <v>178</v>
      </c>
      <c r="B1421" t="s">
        <v>9</v>
      </c>
      <c r="C1421">
        <v>9</v>
      </c>
      <c r="D1421">
        <v>3953</v>
      </c>
      <c r="E1421">
        <v>0</v>
      </c>
      <c r="F1421" t="s">
        <v>258</v>
      </c>
      <c r="G1421">
        <v>1</v>
      </c>
      <c r="H1421" t="s">
        <v>28</v>
      </c>
      <c r="I1421">
        <v>6800</v>
      </c>
      <c r="J142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:12">
      <c r="A1422" t="s">
        <v>178</v>
      </c>
      <c r="B1422" t="s">
        <v>9</v>
      </c>
      <c r="C1422">
        <v>9</v>
      </c>
      <c r="D1422">
        <v>3831</v>
      </c>
      <c r="E1422">
        <v>0</v>
      </c>
      <c r="F1422" t="s">
        <v>258</v>
      </c>
      <c r="G1422">
        <v>1</v>
      </c>
      <c r="H1422" t="s">
        <v>28</v>
      </c>
      <c r="I1422">
        <v>5780</v>
      </c>
      <c r="J1422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:12">
      <c r="A1423" t="s">
        <v>178</v>
      </c>
      <c r="B1423" t="s">
        <v>9</v>
      </c>
      <c r="C1423">
        <v>9</v>
      </c>
      <c r="D1423">
        <v>3852</v>
      </c>
      <c r="E1423">
        <v>0</v>
      </c>
      <c r="F1423" t="s">
        <v>258</v>
      </c>
      <c r="G1423">
        <v>1</v>
      </c>
      <c r="H1423" t="s">
        <v>29</v>
      </c>
      <c r="I1423">
        <v>17752</v>
      </c>
      <c r="J1423">
        <f>DropAnalityka[[#This Row],[Sell Drop]]+IFERROR(SUMIFS(Tabela10[Drop Worth],Tabela10[Drop],DropAnalityka[[#This Row],[Drop]],Tabela10[Grade],DropAnalityka[[#This Row],[Grade]])*DropAnalityka[[#This Row],[Quality/Quantity]],0)</f>
        <v>17752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:12">
      <c r="A1424" t="s">
        <v>178</v>
      </c>
      <c r="B1424" t="s">
        <v>9</v>
      </c>
      <c r="C1424">
        <v>9</v>
      </c>
      <c r="D1424">
        <v>4081</v>
      </c>
      <c r="E1424">
        <v>2</v>
      </c>
      <c r="F1424" t="s">
        <v>34</v>
      </c>
      <c r="G1424">
        <v>4</v>
      </c>
      <c r="H1424" t="s">
        <v>17</v>
      </c>
      <c r="I1424">
        <v>0</v>
      </c>
      <c r="J14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3200</v>
      </c>
    </row>
    <row r="1425" spans="1:12">
      <c r="A1425" t="s">
        <v>178</v>
      </c>
      <c r="B1425" t="s">
        <v>9</v>
      </c>
      <c r="C1425">
        <v>9</v>
      </c>
      <c r="D1425">
        <v>4016</v>
      </c>
      <c r="E1425">
        <v>1</v>
      </c>
      <c r="F1425" t="s">
        <v>258</v>
      </c>
      <c r="G1425">
        <v>1</v>
      </c>
      <c r="H1425" t="s">
        <v>27</v>
      </c>
      <c r="I1425">
        <v>6100</v>
      </c>
      <c r="J1425">
        <f>DropAnalityka[[#This Row],[Sell Drop]]+IFERROR(SUMIFS(Tabela10[Drop Worth],Tabela10[Drop],DropAnalityka[[#This Row],[Drop]],Tabela10[Grade],DropAnalityka[[#This Row],[Grade]])*DropAnalityka[[#This Row],[Quality/Quantity]],0)</f>
        <v>6100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:12">
      <c r="A1426" t="s">
        <v>178</v>
      </c>
      <c r="B1426" t="s">
        <v>9</v>
      </c>
      <c r="C1426">
        <v>9</v>
      </c>
      <c r="D1426">
        <v>4213</v>
      </c>
      <c r="E1426">
        <v>0</v>
      </c>
      <c r="F1426" t="s">
        <v>258</v>
      </c>
      <c r="G1426">
        <v>1</v>
      </c>
      <c r="H1426" t="s">
        <v>28</v>
      </c>
      <c r="I1426">
        <v>8075</v>
      </c>
      <c r="J142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:12">
      <c r="A1427" t="s">
        <v>178</v>
      </c>
      <c r="B1427" t="s">
        <v>9</v>
      </c>
      <c r="C1427">
        <v>9</v>
      </c>
      <c r="D1427">
        <v>3708</v>
      </c>
      <c r="E1427">
        <v>1</v>
      </c>
      <c r="F1427" t="s">
        <v>291</v>
      </c>
      <c r="G1427">
        <v>1</v>
      </c>
      <c r="H1427" t="s">
        <v>27</v>
      </c>
      <c r="I1427">
        <v>4961</v>
      </c>
      <c r="J1427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:12">
      <c r="A1428" t="s">
        <v>178</v>
      </c>
      <c r="B1428" t="s">
        <v>9</v>
      </c>
      <c r="C1428">
        <v>10</v>
      </c>
      <c r="D1428">
        <v>4889</v>
      </c>
      <c r="E1428">
        <v>2</v>
      </c>
      <c r="F1428" t="s">
        <v>258</v>
      </c>
      <c r="G1428">
        <v>1</v>
      </c>
      <c r="H1428" t="s">
        <v>28</v>
      </c>
      <c r="I1428">
        <v>15300</v>
      </c>
      <c r="J1428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:12">
      <c r="A1429" t="s">
        <v>178</v>
      </c>
      <c r="B1429" t="s">
        <v>9</v>
      </c>
      <c r="C1429">
        <v>9</v>
      </c>
      <c r="D1429">
        <v>4352</v>
      </c>
      <c r="E1429">
        <v>1</v>
      </c>
      <c r="F1429" t="s">
        <v>258</v>
      </c>
      <c r="G1429">
        <v>1</v>
      </c>
      <c r="H1429" t="s">
        <v>29</v>
      </c>
      <c r="I1429">
        <v>15850</v>
      </c>
      <c r="J1429">
        <f>DropAnalityka[[#This Row],[Sell Drop]]+IFERROR(SUMIFS(Tabela10[Drop Worth],Tabela10[Drop],DropAnalityka[[#This Row],[Drop]],Tabela10[Grade],DropAnalityka[[#This Row],[Grade]])*DropAnalityka[[#This Row],[Quality/Quantity]],0)</f>
        <v>15850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:12">
      <c r="A1430" t="s">
        <v>178</v>
      </c>
      <c r="B1430" t="s">
        <v>9</v>
      </c>
      <c r="C1430">
        <v>9</v>
      </c>
      <c r="D1430">
        <v>4128</v>
      </c>
      <c r="E1430">
        <v>0</v>
      </c>
      <c r="F1430" t="s">
        <v>258</v>
      </c>
      <c r="G1430">
        <v>1</v>
      </c>
      <c r="H1430" t="s">
        <v>28</v>
      </c>
      <c r="I1430">
        <v>10710</v>
      </c>
      <c r="J1430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:12">
      <c r="A1431" t="s">
        <v>178</v>
      </c>
      <c r="B1431" t="s">
        <v>9</v>
      </c>
      <c r="C1431">
        <v>9</v>
      </c>
      <c r="D1431">
        <v>4086</v>
      </c>
      <c r="E1431">
        <v>1</v>
      </c>
      <c r="F1431" t="s">
        <v>258</v>
      </c>
      <c r="G1431">
        <v>1</v>
      </c>
      <c r="H1431" t="s">
        <v>27</v>
      </c>
      <c r="I1431">
        <v>1593</v>
      </c>
      <c r="J1431">
        <f>DropAnalityka[[#This Row],[Sell Drop]]+IFERROR(SUMIFS(Tabela10[Drop Worth],Tabela10[Drop],DropAnalityka[[#This Row],[Drop]],Tabela10[Grade],DropAnalityka[[#This Row],[Grade]])*DropAnalityka[[#This Row],[Quality/Quantity]],0)</f>
        <v>1593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:12">
      <c r="A1432" t="s">
        <v>178</v>
      </c>
      <c r="B1432" t="s">
        <v>9</v>
      </c>
      <c r="C1432">
        <v>9</v>
      </c>
      <c r="D1432">
        <v>3994</v>
      </c>
      <c r="E1432">
        <v>1</v>
      </c>
      <c r="F1432" t="s">
        <v>34</v>
      </c>
      <c r="G1432">
        <v>5</v>
      </c>
      <c r="H1432" t="s">
        <v>17</v>
      </c>
      <c r="I1432">
        <v>0</v>
      </c>
      <c r="J14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4000</v>
      </c>
    </row>
    <row r="1433" spans="1:12">
      <c r="A1433" t="s">
        <v>178</v>
      </c>
      <c r="B1433" t="s">
        <v>9</v>
      </c>
      <c r="C1433">
        <v>9</v>
      </c>
      <c r="D1433">
        <v>3963</v>
      </c>
      <c r="E1433">
        <v>1</v>
      </c>
      <c r="F1433" t="s">
        <v>258</v>
      </c>
      <c r="G1433">
        <v>1</v>
      </c>
      <c r="H1433" t="s">
        <v>28</v>
      </c>
      <c r="I1433">
        <v>5440</v>
      </c>
      <c r="J143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:12">
      <c r="A1434" t="s">
        <v>178</v>
      </c>
      <c r="B1434" t="s">
        <v>9</v>
      </c>
      <c r="C1434">
        <v>9</v>
      </c>
      <c r="D1434">
        <v>4372</v>
      </c>
      <c r="E1434">
        <v>1</v>
      </c>
      <c r="F1434" t="s">
        <v>258</v>
      </c>
      <c r="G1434">
        <v>1</v>
      </c>
      <c r="H1434" t="s">
        <v>27</v>
      </c>
      <c r="I1434">
        <v>2756</v>
      </c>
      <c r="J1434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:12">
      <c r="A1435" t="s">
        <v>178</v>
      </c>
      <c r="B1435" t="s">
        <v>9</v>
      </c>
      <c r="C1435">
        <v>9</v>
      </c>
      <c r="D1435">
        <v>4374</v>
      </c>
      <c r="E1435">
        <v>1</v>
      </c>
      <c r="F1435" t="s">
        <v>34</v>
      </c>
      <c r="G1435">
        <v>5</v>
      </c>
      <c r="H1435" t="s">
        <v>17</v>
      </c>
      <c r="I1435">
        <v>0</v>
      </c>
      <c r="J14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4000</v>
      </c>
    </row>
    <row r="1436" spans="1:12">
      <c r="A1436" t="s">
        <v>178</v>
      </c>
      <c r="B1436" t="s">
        <v>9</v>
      </c>
      <c r="C1436">
        <v>9</v>
      </c>
      <c r="D1436">
        <v>3694</v>
      </c>
      <c r="E1436">
        <v>1</v>
      </c>
      <c r="F1436" t="s">
        <v>258</v>
      </c>
      <c r="G1436">
        <v>1</v>
      </c>
      <c r="H1436" t="s">
        <v>28</v>
      </c>
      <c r="I1436">
        <v>10115</v>
      </c>
      <c r="J1436">
        <f>DropAnalityka[[#This Row],[Sell Drop]]+IFERROR(SUMIFS(Tabela10[Drop Worth],Tabela10[Drop],DropAnalityka[[#This Row],[Drop]],Tabela10[Grade],DropAnalityka[[#This Row],[Grade]])*DropAnalityka[[#This Row],[Quality/Quantity]],0)</f>
        <v>10115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:12">
      <c r="A1437" t="s">
        <v>178</v>
      </c>
      <c r="B1437" t="s">
        <v>9</v>
      </c>
      <c r="C1437">
        <v>9</v>
      </c>
      <c r="D1437">
        <v>4084</v>
      </c>
      <c r="E1437">
        <v>0</v>
      </c>
      <c r="F1437" t="s">
        <v>291</v>
      </c>
      <c r="G1437">
        <v>1</v>
      </c>
      <c r="H1437" t="s">
        <v>27</v>
      </c>
      <c r="I1437">
        <v>7350</v>
      </c>
      <c r="J143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:12">
      <c r="A1438" t="s">
        <v>178</v>
      </c>
      <c r="B1438" t="s">
        <v>9</v>
      </c>
      <c r="C1438">
        <v>9</v>
      </c>
      <c r="D1438">
        <v>3768</v>
      </c>
      <c r="E1438">
        <v>1</v>
      </c>
      <c r="F1438" t="s">
        <v>258</v>
      </c>
      <c r="G1438">
        <v>1</v>
      </c>
      <c r="H1438" t="s">
        <v>27</v>
      </c>
      <c r="I1438">
        <v>5512</v>
      </c>
      <c r="J143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:12">
      <c r="A1439" t="s">
        <v>178</v>
      </c>
      <c r="B1439" t="s">
        <v>9</v>
      </c>
      <c r="C1439">
        <v>9</v>
      </c>
      <c r="D1439">
        <v>4434</v>
      </c>
      <c r="E1439">
        <v>0</v>
      </c>
      <c r="F1439" t="s">
        <v>34</v>
      </c>
      <c r="G1439">
        <v>4</v>
      </c>
      <c r="H1439" t="s">
        <v>17</v>
      </c>
      <c r="I1439">
        <v>0</v>
      </c>
      <c r="J143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3200</v>
      </c>
    </row>
    <row r="1440" spans="1:12">
      <c r="A1440" t="s">
        <v>178</v>
      </c>
      <c r="B1440" t="s">
        <v>9</v>
      </c>
      <c r="C1440">
        <v>9</v>
      </c>
      <c r="D1440">
        <v>4089</v>
      </c>
      <c r="E1440">
        <v>0</v>
      </c>
      <c r="F1440" t="s">
        <v>258</v>
      </c>
      <c r="G1440">
        <v>1</v>
      </c>
      <c r="H1440" t="s">
        <v>28</v>
      </c>
      <c r="I1440">
        <v>5100</v>
      </c>
      <c r="J144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:13">
      <c r="A1441" t="s">
        <v>178</v>
      </c>
      <c r="B1441" t="s">
        <v>9</v>
      </c>
      <c r="C1441">
        <v>10</v>
      </c>
      <c r="D1441">
        <v>4511</v>
      </c>
      <c r="E1441">
        <v>2</v>
      </c>
      <c r="F1441" t="s">
        <v>34</v>
      </c>
      <c r="G1441">
        <v>5</v>
      </c>
      <c r="H1441" t="s">
        <v>17</v>
      </c>
      <c r="I1441">
        <v>0</v>
      </c>
      <c r="J14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4000</v>
      </c>
    </row>
    <row r="1442" spans="1:13">
      <c r="A1442" t="s">
        <v>178</v>
      </c>
      <c r="B1442" t="s">
        <v>9</v>
      </c>
      <c r="C1442">
        <v>10</v>
      </c>
      <c r="D1442">
        <v>4119</v>
      </c>
      <c r="E1442">
        <v>0</v>
      </c>
      <c r="F1442" t="s">
        <v>291</v>
      </c>
      <c r="G1442">
        <v>1</v>
      </c>
      <c r="H1442" t="s">
        <v>28</v>
      </c>
      <c r="I1442">
        <v>15300</v>
      </c>
      <c r="J144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:13">
      <c r="A1443" t="s">
        <v>178</v>
      </c>
      <c r="B1443" t="s">
        <v>9</v>
      </c>
      <c r="C1443">
        <v>10</v>
      </c>
      <c r="D1443">
        <v>4592</v>
      </c>
      <c r="E1443">
        <v>2</v>
      </c>
      <c r="F1443" t="s">
        <v>291</v>
      </c>
      <c r="G1443">
        <v>1</v>
      </c>
      <c r="H1443" t="s">
        <v>28</v>
      </c>
      <c r="I1443">
        <v>8670</v>
      </c>
      <c r="J1443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:13">
      <c r="A1444" t="s">
        <v>178</v>
      </c>
      <c r="B1444" t="s">
        <v>9</v>
      </c>
      <c r="C1444">
        <v>10</v>
      </c>
      <c r="D1444">
        <v>1084</v>
      </c>
      <c r="E1444">
        <v>3</v>
      </c>
      <c r="F1444">
        <v>0</v>
      </c>
      <c r="G1444">
        <v>0</v>
      </c>
      <c r="H1444">
        <v>0</v>
      </c>
      <c r="I1444">
        <v>0</v>
      </c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  <c r="M1444" t="s">
        <v>261</v>
      </c>
    </row>
    <row r="1445" spans="1:13">
      <c r="A1445" t="s">
        <v>178</v>
      </c>
      <c r="B1445" t="s">
        <v>9</v>
      </c>
      <c r="C1445">
        <v>10</v>
      </c>
      <c r="D1445">
        <v>4409</v>
      </c>
      <c r="E1445">
        <v>2</v>
      </c>
      <c r="F1445" t="s">
        <v>34</v>
      </c>
      <c r="G1445">
        <v>5</v>
      </c>
      <c r="H1445" t="s">
        <v>17</v>
      </c>
      <c r="I1445">
        <v>0</v>
      </c>
      <c r="J144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4000</v>
      </c>
    </row>
    <row r="1446" spans="1:13">
      <c r="A1446" t="s">
        <v>178</v>
      </c>
      <c r="B1446" t="s">
        <v>9</v>
      </c>
      <c r="C1446">
        <v>10</v>
      </c>
      <c r="D1446">
        <v>4227</v>
      </c>
      <c r="E1446">
        <v>0</v>
      </c>
      <c r="F1446" t="s">
        <v>34</v>
      </c>
      <c r="G1446">
        <v>4</v>
      </c>
      <c r="H1446" t="s">
        <v>17</v>
      </c>
      <c r="I1446">
        <v>0</v>
      </c>
      <c r="J144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3200</v>
      </c>
    </row>
    <row r="1447" spans="1:13">
      <c r="A1447" t="s">
        <v>178</v>
      </c>
      <c r="B1447" t="s">
        <v>9</v>
      </c>
      <c r="C1447">
        <v>10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  <c r="M1447" t="s">
        <v>261</v>
      </c>
    </row>
    <row r="1448" spans="1:13">
      <c r="A1448" t="s">
        <v>178</v>
      </c>
      <c r="B1448" t="s">
        <v>9</v>
      </c>
      <c r="C1448">
        <v>10</v>
      </c>
      <c r="D1448">
        <v>5081</v>
      </c>
      <c r="E1448">
        <v>1</v>
      </c>
      <c r="F1448" t="s">
        <v>258</v>
      </c>
      <c r="G1448">
        <v>1</v>
      </c>
      <c r="H1448" t="s">
        <v>28</v>
      </c>
      <c r="I1448">
        <v>5780</v>
      </c>
      <c r="J144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  <c r="M1448" t="s">
        <v>893</v>
      </c>
    </row>
    <row r="1449" spans="1:13">
      <c r="A1449" t="s">
        <v>178</v>
      </c>
      <c r="B1449" t="s">
        <v>9</v>
      </c>
      <c r="C1449">
        <v>10</v>
      </c>
      <c r="D1449">
        <v>4851</v>
      </c>
      <c r="E1449">
        <v>2</v>
      </c>
      <c r="F1449" t="s">
        <v>34</v>
      </c>
      <c r="G1449">
        <v>5</v>
      </c>
      <c r="H1449" t="s">
        <v>17</v>
      </c>
      <c r="I1449">
        <v>0</v>
      </c>
      <c r="J14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4000</v>
      </c>
    </row>
    <row r="1450" spans="1:13">
      <c r="A1450" t="s">
        <v>178</v>
      </c>
      <c r="B1450" t="s">
        <v>9</v>
      </c>
      <c r="C1450">
        <v>10</v>
      </c>
      <c r="D1450">
        <v>4678</v>
      </c>
      <c r="E1450">
        <v>1</v>
      </c>
      <c r="F1450" t="s">
        <v>258</v>
      </c>
      <c r="G1450">
        <v>1</v>
      </c>
      <c r="H1450" t="s">
        <v>28</v>
      </c>
      <c r="I1450">
        <v>7650</v>
      </c>
      <c r="J1450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:13">
      <c r="A1451" t="s">
        <v>178</v>
      </c>
      <c r="B1451" t="s">
        <v>9</v>
      </c>
      <c r="C1451">
        <v>10</v>
      </c>
      <c r="D1451">
        <v>4734</v>
      </c>
      <c r="E1451">
        <v>1</v>
      </c>
      <c r="F1451" t="s">
        <v>58</v>
      </c>
      <c r="G1451">
        <v>1</v>
      </c>
      <c r="H1451" t="s">
        <v>26</v>
      </c>
      <c r="I1451">
        <v>0</v>
      </c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34500</v>
      </c>
      <c r="L1451" s="43">
        <f>IFERROR(SUMIFS(Tabela10[Exp Gain only 2*+],Tabela10[Drop],DropAnalityka[[#This Row],[Drop]],Tabela10[Grade],DropAnalityka[[#This Row],[Grade]])*DropAnalityka[[#This Row],[Quality/Quantity]],0)</f>
        <v>118004</v>
      </c>
    </row>
    <row r="1452" spans="1:13">
      <c r="A1452" t="s">
        <v>178</v>
      </c>
      <c r="B1452" t="s">
        <v>9</v>
      </c>
      <c r="C1452">
        <v>10</v>
      </c>
      <c r="D1452">
        <v>4456</v>
      </c>
      <c r="E1452">
        <v>1</v>
      </c>
      <c r="F1452" t="s">
        <v>291</v>
      </c>
      <c r="G1452">
        <v>1</v>
      </c>
      <c r="H1452" t="s">
        <v>28</v>
      </c>
      <c r="I1452">
        <v>11475</v>
      </c>
      <c r="J1452">
        <f>DropAnalityka[[#This Row],[Sell Drop]]+IFERROR(SUMIFS(Tabela10[Drop Worth],Tabela10[Drop],DropAnalityka[[#This Row],[Drop]],Tabela10[Grade],DropAnalityka[[#This Row],[Grade]])*DropAnalityka[[#This Row],[Quality/Quantity]],0)</f>
        <v>11475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  <c r="M1452" t="s">
        <v>190</v>
      </c>
    </row>
    <row r="1453" spans="1:13">
      <c r="A1453" t="s">
        <v>178</v>
      </c>
      <c r="B1453" t="s">
        <v>9</v>
      </c>
      <c r="C1453">
        <v>10</v>
      </c>
      <c r="D1453">
        <v>4601</v>
      </c>
      <c r="F1453" t="s">
        <v>318</v>
      </c>
      <c r="G1453">
        <v>1</v>
      </c>
      <c r="H1453" t="s">
        <v>27</v>
      </c>
      <c r="I1453">
        <v>9600</v>
      </c>
      <c r="J1453">
        <f>DropAnalityka[[#This Row],[Sell Drop]]+IFERROR(SUMIFS(Tabela10[Drop Worth],Tabela10[Drop],DropAnalityka[[#This Row],[Drop]],Tabela10[Grade],DropAnalityka[[#This Row],[Grade]])*DropAnalityka[[#This Row],[Quality/Quantity]],0)</f>
        <v>9600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  <c r="M1453" t="s">
        <v>894</v>
      </c>
    </row>
    <row r="1454" spans="1:13">
      <c r="A1454" t="s">
        <v>178</v>
      </c>
      <c r="B1454" t="s">
        <v>9</v>
      </c>
      <c r="C1454">
        <v>10</v>
      </c>
      <c r="D1454">
        <v>4829</v>
      </c>
      <c r="E1454">
        <v>0</v>
      </c>
      <c r="F1454" t="s">
        <v>258</v>
      </c>
      <c r="G1454">
        <v>1</v>
      </c>
      <c r="H1454" t="s">
        <v>28</v>
      </c>
      <c r="I1454">
        <v>8925</v>
      </c>
      <c r="J1454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  <c r="M1454" t="s">
        <v>333</v>
      </c>
    </row>
    <row r="1455" spans="1:13">
      <c r="A1455" t="s">
        <v>178</v>
      </c>
      <c r="B1455" t="s">
        <v>9</v>
      </c>
      <c r="C1455">
        <v>10</v>
      </c>
      <c r="D1455">
        <v>814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  <c r="M1455" t="s">
        <v>261</v>
      </c>
    </row>
    <row r="1456" spans="1:13">
      <c r="A1456" t="s">
        <v>178</v>
      </c>
      <c r="B1456" t="s">
        <v>9</v>
      </c>
      <c r="C1456">
        <v>10</v>
      </c>
      <c r="D1456">
        <v>4868</v>
      </c>
      <c r="E1456">
        <v>0</v>
      </c>
      <c r="F1456" t="s">
        <v>318</v>
      </c>
      <c r="G1456">
        <v>1</v>
      </c>
      <c r="H1456" t="s">
        <v>28</v>
      </c>
      <c r="I1456">
        <v>11560</v>
      </c>
      <c r="J145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  <c r="M1456" t="s">
        <v>895</v>
      </c>
    </row>
    <row r="1457" spans="1:13">
      <c r="A1457" t="s">
        <v>178</v>
      </c>
      <c r="B1457" t="s">
        <v>9</v>
      </c>
      <c r="C1457">
        <v>10</v>
      </c>
      <c r="D1457">
        <v>4836</v>
      </c>
      <c r="E1457">
        <v>0</v>
      </c>
      <c r="F1457" t="s">
        <v>258</v>
      </c>
      <c r="G1457">
        <v>1</v>
      </c>
      <c r="H1457" t="s">
        <v>28</v>
      </c>
      <c r="I1457">
        <v>11900</v>
      </c>
      <c r="J1457">
        <f>DropAnalityka[[#This Row],[Sell Drop]]+IFERROR(SUMIFS(Tabela10[Drop Worth],Tabela10[Drop],DropAnalityka[[#This Row],[Drop]],Tabela10[Grade],DropAnalityka[[#This Row],[Grade]])*DropAnalityka[[#This Row],[Quality/Quantity]],0)</f>
        <v>11900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  <c r="M1457" t="s">
        <v>894</v>
      </c>
    </row>
    <row r="1458" spans="1:13">
      <c r="A1458" t="s">
        <v>178</v>
      </c>
      <c r="B1458" t="s">
        <v>9</v>
      </c>
      <c r="C1458">
        <v>10</v>
      </c>
      <c r="D1458">
        <v>5295</v>
      </c>
      <c r="E1458">
        <v>0</v>
      </c>
      <c r="F1458" t="s">
        <v>34</v>
      </c>
      <c r="G1458">
        <v>4</v>
      </c>
      <c r="H1458" t="s">
        <v>17</v>
      </c>
      <c r="I1458">
        <v>0</v>
      </c>
      <c r="J14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3200</v>
      </c>
    </row>
    <row r="1459" spans="1:13">
      <c r="A1459" t="s">
        <v>178</v>
      </c>
      <c r="B1459" t="s">
        <v>9</v>
      </c>
      <c r="C1459">
        <v>10</v>
      </c>
      <c r="D1459">
        <f>9994/2</f>
        <v>4997</v>
      </c>
      <c r="E1459">
        <v>0</v>
      </c>
      <c r="F1459" t="s">
        <v>291</v>
      </c>
      <c r="G1459">
        <v>1</v>
      </c>
      <c r="H1459" t="s">
        <v>28</v>
      </c>
      <c r="I1459">
        <v>13600</v>
      </c>
      <c r="J1459">
        <f>DropAnalityka[[#This Row],[Sell Drop]]+IFERROR(SUMIFS(Tabela10[Drop Worth],Tabela10[Drop],DropAnalityka[[#This Row],[Drop]],Tabela10[Grade],DropAnalityka[[#This Row],[Grade]])*DropAnalityka[[#This Row],[Quality/Quantity]],0)</f>
        <v>13600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  <c r="M1459" t="s">
        <v>333</v>
      </c>
    </row>
    <row r="1460" spans="1:13">
      <c r="A1460" t="s">
        <v>178</v>
      </c>
      <c r="B1460" t="s">
        <v>9</v>
      </c>
      <c r="C1460">
        <v>10</v>
      </c>
      <c r="D1460">
        <f>9539/2</f>
        <v>4769.5</v>
      </c>
      <c r="E1460">
        <v>0</v>
      </c>
      <c r="F1460" t="s">
        <v>34</v>
      </c>
      <c r="G1460">
        <v>4</v>
      </c>
      <c r="H1460" t="s">
        <v>17</v>
      </c>
      <c r="I1460">
        <v>0</v>
      </c>
      <c r="J14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3200</v>
      </c>
    </row>
    <row r="1461" spans="1:13">
      <c r="A1461" t="s">
        <v>178</v>
      </c>
      <c r="B1461" t="s">
        <v>9</v>
      </c>
      <c r="C1461">
        <v>10</v>
      </c>
      <c r="D1461">
        <f>9591/2</f>
        <v>4795.5</v>
      </c>
      <c r="E1461">
        <v>0</v>
      </c>
      <c r="F1461" t="s">
        <v>291</v>
      </c>
      <c r="G1461">
        <v>1</v>
      </c>
      <c r="H1461" t="s">
        <v>29</v>
      </c>
      <c r="I1461">
        <v>25360</v>
      </c>
      <c r="J1461">
        <f>DropAnalityka[[#This Row],[Sell Drop]]+IFERROR(SUMIFS(Tabela10[Drop Worth],Tabela10[Drop],DropAnalityka[[#This Row],[Drop]],Tabela10[Grade],DropAnalityka[[#This Row],[Grade]])*DropAnalityka[[#This Row],[Quality/Quantity]],0)</f>
        <v>25360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  <c r="M1461" t="s">
        <v>153</v>
      </c>
    </row>
    <row r="1462" spans="1:13">
      <c r="A1462" t="s">
        <v>178</v>
      </c>
      <c r="B1462" t="s">
        <v>9</v>
      </c>
      <c r="C1462">
        <v>10</v>
      </c>
      <c r="D1462">
        <v>4681</v>
      </c>
      <c r="E1462">
        <v>0</v>
      </c>
      <c r="F1462" t="s">
        <v>258</v>
      </c>
      <c r="G1462">
        <v>1</v>
      </c>
      <c r="H1462" t="s">
        <v>28</v>
      </c>
      <c r="I1462">
        <v>7650</v>
      </c>
      <c r="J146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  <c r="M1462" t="s">
        <v>190</v>
      </c>
    </row>
    <row r="1463" spans="1:13">
      <c r="A1463" t="s">
        <v>178</v>
      </c>
      <c r="B1463" t="s">
        <v>9</v>
      </c>
      <c r="C1463">
        <v>10</v>
      </c>
      <c r="D1463">
        <v>4583</v>
      </c>
      <c r="E1463">
        <v>2</v>
      </c>
      <c r="F1463" t="s">
        <v>34</v>
      </c>
      <c r="G1463">
        <v>4</v>
      </c>
      <c r="H1463" t="s">
        <v>17</v>
      </c>
      <c r="I1463">
        <v>0</v>
      </c>
      <c r="J146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3200</v>
      </c>
    </row>
    <row r="1464" spans="1:13">
      <c r="A1464" t="s">
        <v>178</v>
      </c>
      <c r="B1464" t="s">
        <v>9</v>
      </c>
      <c r="C1464">
        <v>10</v>
      </c>
      <c r="D1464">
        <v>4399</v>
      </c>
      <c r="E1464">
        <v>1</v>
      </c>
      <c r="F1464" t="s">
        <v>258</v>
      </c>
      <c r="G1464">
        <v>1</v>
      </c>
      <c r="H1464" t="s">
        <v>28</v>
      </c>
      <c r="I1464">
        <v>3445</v>
      </c>
      <c r="J146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  <c r="M1464" t="s">
        <v>895</v>
      </c>
    </row>
    <row r="1465" spans="1:13">
      <c r="A1465" t="s">
        <v>178</v>
      </c>
      <c r="B1465" t="s">
        <v>9</v>
      </c>
      <c r="C1465">
        <v>10</v>
      </c>
      <c r="D1465">
        <v>5013</v>
      </c>
      <c r="E1465">
        <v>4</v>
      </c>
      <c r="F1465" t="s">
        <v>34</v>
      </c>
      <c r="G1465">
        <v>4</v>
      </c>
      <c r="H1465" t="s">
        <v>17</v>
      </c>
      <c r="I1465">
        <v>0</v>
      </c>
      <c r="J146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3200</v>
      </c>
    </row>
    <row r="1466" spans="1:13">
      <c r="A1466" t="s">
        <v>178</v>
      </c>
      <c r="B1466" t="s">
        <v>9</v>
      </c>
      <c r="C1466">
        <v>10</v>
      </c>
      <c r="D1466">
        <v>4722</v>
      </c>
      <c r="E1466">
        <v>3</v>
      </c>
      <c r="F1466" t="s">
        <v>258</v>
      </c>
      <c r="G1466">
        <v>1</v>
      </c>
      <c r="H1466" t="s">
        <v>28</v>
      </c>
      <c r="I1466">
        <v>10200</v>
      </c>
      <c r="J146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  <c r="M1466" t="s">
        <v>153</v>
      </c>
    </row>
    <row r="1467" spans="1:13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:13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:13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:13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:13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:13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4:U99"/>
  <sheetViews>
    <sheetView topLeftCell="A49" zoomScale="85" zoomScaleNormal="85" workbookViewId="0">
      <selection activeCell="C79" sqref="C7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17" t="s">
        <v>249</v>
      </c>
      <c r="G5" s="218"/>
      <c r="H5" s="219"/>
      <c r="I5" s="220" t="s">
        <v>250</v>
      </c>
      <c r="J5" s="221"/>
      <c r="K5" s="222"/>
      <c r="L5" s="223" t="s">
        <v>18</v>
      </c>
      <c r="M5" s="224"/>
      <c r="N5" s="225"/>
      <c r="O5" s="226" t="s">
        <v>252</v>
      </c>
      <c r="P5" s="227"/>
      <c r="Q5" s="228"/>
      <c r="R5" s="214" t="s">
        <v>251</v>
      </c>
      <c r="S5" s="215"/>
      <c r="T5" s="216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212" t="s">
        <v>281</v>
      </c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3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209" t="s">
        <v>280</v>
      </c>
      <c r="H32" s="210"/>
      <c r="I32" s="210"/>
      <c r="J32" s="210"/>
      <c r="K32" s="210"/>
      <c r="L32" s="210"/>
      <c r="M32" s="210"/>
      <c r="N32" s="210"/>
      <c r="O32" s="210"/>
      <c r="P32" s="210"/>
      <c r="Q32" s="210"/>
      <c r="R32" s="210"/>
      <c r="S32" s="210"/>
      <c r="T32" s="211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17" t="s">
        <v>249</v>
      </c>
      <c r="G37" s="218"/>
      <c r="H37" s="219"/>
      <c r="I37" s="220" t="s">
        <v>250</v>
      </c>
      <c r="J37" s="221"/>
      <c r="K37" s="222"/>
      <c r="L37" s="223" t="s">
        <v>18</v>
      </c>
      <c r="M37" s="224"/>
      <c r="N37" s="225"/>
      <c r="O37" s="226" t="s">
        <v>252</v>
      </c>
      <c r="P37" s="227"/>
      <c r="Q37" s="228"/>
      <c r="R37" s="214" t="s">
        <v>251</v>
      </c>
      <c r="S37" s="215"/>
      <c r="T37" s="216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189</v>
      </c>
      <c r="G57" s="77">
        <v>4</v>
      </c>
      <c r="H57" s="77">
        <v>8</v>
      </c>
      <c r="I57" s="85">
        <v>94</v>
      </c>
      <c r="J57" s="85">
        <v>17</v>
      </c>
      <c r="K57" s="85">
        <v>24</v>
      </c>
      <c r="L57" s="93">
        <v>76</v>
      </c>
      <c r="M57" s="93">
        <v>19</v>
      </c>
      <c r="N57" s="93">
        <v>30</v>
      </c>
      <c r="O57" s="111">
        <v>285</v>
      </c>
      <c r="P57" s="111">
        <v>3</v>
      </c>
      <c r="Q57" s="111">
        <v>48</v>
      </c>
      <c r="R57" s="101">
        <v>70</v>
      </c>
      <c r="S57" s="101">
        <v>45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3">MAXA(G56-G57,0)</f>
        <v>88</v>
      </c>
      <c r="H58" s="80">
        <f t="shared" si="3"/>
        <v>22</v>
      </c>
      <c r="I58" s="88">
        <f t="shared" si="3"/>
        <v>0</v>
      </c>
      <c r="J58" s="88">
        <f t="shared" si="3"/>
        <v>48</v>
      </c>
      <c r="K58" s="88">
        <f t="shared" si="3"/>
        <v>0</v>
      </c>
      <c r="L58" s="96">
        <f t="shared" si="3"/>
        <v>0</v>
      </c>
      <c r="M58" s="96">
        <f t="shared" si="3"/>
        <v>52</v>
      </c>
      <c r="N58" s="96">
        <f t="shared" si="3"/>
        <v>0</v>
      </c>
      <c r="O58" s="114">
        <f t="shared" si="3"/>
        <v>0</v>
      </c>
      <c r="P58" s="114">
        <f t="shared" si="3"/>
        <v>152</v>
      </c>
      <c r="Q58" s="114">
        <f t="shared" si="3"/>
        <v>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212" t="s">
        <v>281</v>
      </c>
      <c r="H59" s="212"/>
      <c r="I59" s="212"/>
      <c r="J59" s="212"/>
      <c r="K59" s="212"/>
      <c r="L59" s="212"/>
      <c r="M59" s="212"/>
      <c r="N59" s="212"/>
      <c r="O59" s="212"/>
      <c r="P59" s="212"/>
      <c r="Q59" s="212"/>
      <c r="R59" s="212"/>
      <c r="S59" s="212"/>
      <c r="T59" s="213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157.61194029850745</v>
      </c>
      <c r="H60" s="126">
        <f>H$58/VLOOKUP(H$38,Tabela11[#All],6,FALSE)</f>
        <v>82.5</v>
      </c>
      <c r="I60" s="126">
        <f>I$58/VLOOKUP(I$38,Tabela11[#All],6,FALSE)</f>
        <v>0</v>
      </c>
      <c r="J60" s="126">
        <f>J$58/VLOOKUP(J$38,Tabela11[#All],6,FALSE)</f>
        <v>85.970149253731336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93.134328358208947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272.23880597014926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402.28571428571428</v>
      </c>
      <c r="H61" s="126">
        <f>H$58/VLOOKUP(H$38,Tabela11[#All],5,FALSE)</f>
        <v>100.57142857142857</v>
      </c>
      <c r="I61" s="126">
        <f>I$58/VLOOKUP(I$38,Tabela11[#All],5,FALSE)</f>
        <v>0</v>
      </c>
      <c r="J61" s="126">
        <f>J$58/VLOOKUP(J$38,Tabela11[#All],5,FALSE)</f>
        <v>219.42857142857142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237.71428571428572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694.85714285714289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159.35135135135133</v>
      </c>
      <c r="H62" s="128">
        <f>H$58/VLOOKUP(H$38,Tabela11[#All],4,FALSE)</f>
        <v>163.77777777777777</v>
      </c>
      <c r="I62" s="128">
        <f>I$58/VLOOKUP(I$38,Tabela11[#All],4,FALSE)</f>
        <v>0</v>
      </c>
      <c r="J62" s="128">
        <f>J$58/VLOOKUP(J$38,Tabela11[#All],4,FALSE)</f>
        <v>86.918918918918919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94.162162162162161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275.24324324324323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209" t="s">
        <v>280</v>
      </c>
      <c r="H64" s="210"/>
      <c r="I64" s="210"/>
      <c r="J64" s="210"/>
      <c r="K64" s="210"/>
      <c r="L64" s="210"/>
      <c r="M64" s="210"/>
      <c r="N64" s="210"/>
      <c r="O64" s="210"/>
      <c r="P64" s="210"/>
      <c r="Q64" s="210"/>
      <c r="R64" s="210"/>
      <c r="S64" s="210"/>
      <c r="T64" s="211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980.34626865671635</v>
      </c>
      <c r="H65" s="126">
        <f>H$58/VLOOKUP(H$38,Tabela11[#All],6,FALSE)*(7-12*0.065)</f>
        <v>513.15</v>
      </c>
      <c r="I65" s="126">
        <f>I$58/VLOOKUP(I$38,Tabela11[#All],6,FALSE)*(7-12*0.065)</f>
        <v>0</v>
      </c>
      <c r="J65" s="126">
        <f>J$58/VLOOKUP(J$38,Tabela11[#All],6,FALSE)*(7-12*0.065)</f>
        <v>534.73432835820893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579.29552238805968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1693.3253731343284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3787.7014925373132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2502.2171428571428</v>
      </c>
      <c r="H66" s="126">
        <f>H$58/VLOOKUP(H$38,Tabela11[#All],5,FALSE)*(7-12*0.065)</f>
        <v>625.5542857142857</v>
      </c>
      <c r="I66" s="126">
        <f>I$58/VLOOKUP(I$38,Tabela11[#All],5,FALSE)*(7-12*0.065)</f>
        <v>0</v>
      </c>
      <c r="J66" s="126">
        <f>J$58/VLOOKUP(J$38,Tabela11[#All],5,FALSE)*(7-12*0.065)</f>
        <v>1364.8457142857142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1478.5828571428572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4322.011428571429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9667.6571428571442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831.81405405405383</v>
      </c>
      <c r="H67" s="128">
        <f>H$58/VLOOKUP(H$38,Tabela11[#All],4,FALSE)*(6-12*0.065)</f>
        <v>854.92</v>
      </c>
      <c r="I67" s="128">
        <f>I$58/VLOOKUP(I$38,Tabela11[#All],4,FALSE)*(6-12*0.065)</f>
        <v>0</v>
      </c>
      <c r="J67" s="128">
        <f>J$58/VLOOKUP(J$38,Tabela11[#All],4,FALSE)*(6-12*0.065)</f>
        <v>453.71675675675675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491.52648648648648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1436.7697297297295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3236.9329729729725</v>
      </c>
    </row>
    <row r="68" spans="1:21" ht="15" thickBot="1"/>
    <row r="69" spans="1:21" ht="15" thickBot="1">
      <c r="F69" s="217" t="s">
        <v>249</v>
      </c>
      <c r="G69" s="218"/>
      <c r="H69" s="219"/>
      <c r="I69" s="220" t="s">
        <v>250</v>
      </c>
      <c r="J69" s="221"/>
      <c r="K69" s="222"/>
      <c r="L69" s="223" t="s">
        <v>18</v>
      </c>
      <c r="M69" s="224"/>
      <c r="N69" s="225"/>
      <c r="O69" s="226" t="s">
        <v>252</v>
      </c>
      <c r="P69" s="227"/>
      <c r="Q69" s="228"/>
      <c r="R69" s="214" t="s">
        <v>251</v>
      </c>
      <c r="S69" s="215"/>
      <c r="T69" s="216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/>
      <c r="H71" s="78"/>
      <c r="I71" s="84"/>
      <c r="J71" s="85"/>
      <c r="K71" s="86"/>
      <c r="L71" s="92"/>
      <c r="M71" s="93"/>
      <c r="N71" s="94"/>
      <c r="O71" s="110"/>
      <c r="P71" s="111"/>
      <c r="Q71" s="112"/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4</v>
      </c>
      <c r="D72" s="64"/>
      <c r="E72" s="53"/>
      <c r="F72" s="76"/>
      <c r="G72" s="77"/>
      <c r="H72" s="78"/>
      <c r="I72" s="84"/>
      <c r="J72" s="85"/>
      <c r="K72" s="86"/>
      <c r="L72" s="92">
        <v>10</v>
      </c>
      <c r="M72" s="93">
        <v>15</v>
      </c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3</v>
      </c>
      <c r="D73" s="64"/>
      <c r="E73" s="53"/>
      <c r="F73" s="76"/>
      <c r="G73" s="77"/>
      <c r="H73" s="78"/>
      <c r="I73" s="84"/>
      <c r="J73" s="85"/>
      <c r="K73" s="86"/>
      <c r="L73" s="92">
        <v>10</v>
      </c>
      <c r="M73" s="93">
        <v>15</v>
      </c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4</v>
      </c>
      <c r="D74" s="64"/>
      <c r="E74" s="53"/>
      <c r="F74" s="76">
        <v>5</v>
      </c>
      <c r="G74" s="77">
        <v>20</v>
      </c>
      <c r="H74" s="78"/>
      <c r="I74" s="84"/>
      <c r="J74" s="85"/>
      <c r="K74" s="86"/>
      <c r="L74" s="92"/>
      <c r="M74" s="93"/>
      <c r="N74" s="94"/>
      <c r="O74" s="110">
        <v>5</v>
      </c>
      <c r="P74" s="111">
        <v>15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3</v>
      </c>
      <c r="D75" s="64"/>
      <c r="E75" s="53"/>
      <c r="F75" s="76"/>
      <c r="G75" s="77"/>
      <c r="H75" s="78"/>
      <c r="I75" s="84">
        <v>20</v>
      </c>
      <c r="J75" s="85"/>
      <c r="K75" s="86"/>
      <c r="L75" s="92"/>
      <c r="M75" s="93"/>
      <c r="N75" s="94"/>
      <c r="O75" s="110">
        <v>10</v>
      </c>
      <c r="P75" s="111">
        <v>2</v>
      </c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/>
      <c r="N76" s="94"/>
      <c r="O76" s="110"/>
      <c r="P76" s="111"/>
      <c r="Q76" s="112"/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0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/>
      <c r="G79" s="77"/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/>
      <c r="K81" s="86"/>
      <c r="L81" s="92"/>
      <c r="M81" s="93"/>
      <c r="N81" s="94"/>
      <c r="O81" s="110"/>
      <c r="P81" s="111"/>
      <c r="Q81" s="112"/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/>
      <c r="J82" s="85"/>
      <c r="K82" s="86"/>
      <c r="L82" s="92"/>
      <c r="M82" s="93"/>
      <c r="N82" s="94"/>
      <c r="O82" s="110"/>
      <c r="P82" s="111"/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/>
      <c r="J83" s="85"/>
      <c r="K83" s="86"/>
      <c r="L83" s="92"/>
      <c r="M83" s="93"/>
      <c r="N83" s="94"/>
      <c r="O83" s="110"/>
      <c r="P83" s="111"/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/>
      <c r="M84" s="93"/>
      <c r="N84" s="94"/>
      <c r="O84" s="110"/>
      <c r="P84" s="111"/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/>
      <c r="G85" s="77"/>
      <c r="H85" s="78"/>
      <c r="I85" s="84"/>
      <c r="J85" s="85"/>
      <c r="K85" s="86"/>
      <c r="L85" s="92"/>
      <c r="M85" s="93"/>
      <c r="N85" s="94"/>
      <c r="O85" s="110"/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/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/>
      <c r="Q87" s="112"/>
      <c r="R87" s="100"/>
      <c r="S87" s="101"/>
      <c r="T87" s="102"/>
    </row>
    <row r="88" spans="1:21">
      <c r="E88" s="59" t="s">
        <v>255</v>
      </c>
      <c r="F88" s="79">
        <f>SUM(F71:F87)</f>
        <v>5</v>
      </c>
      <c r="G88" s="79">
        <f t="shared" ref="G88:T88" si="4">SUM(G71:G87)</f>
        <v>20</v>
      </c>
      <c r="H88" s="79">
        <f t="shared" si="4"/>
        <v>0</v>
      </c>
      <c r="I88" s="87">
        <f t="shared" si="4"/>
        <v>20</v>
      </c>
      <c r="J88" s="87">
        <f t="shared" si="4"/>
        <v>0</v>
      </c>
      <c r="K88" s="87">
        <f t="shared" si="4"/>
        <v>0</v>
      </c>
      <c r="L88" s="95">
        <f t="shared" si="4"/>
        <v>20</v>
      </c>
      <c r="M88" s="95">
        <f t="shared" si="4"/>
        <v>30</v>
      </c>
      <c r="N88" s="95">
        <f t="shared" si="4"/>
        <v>0</v>
      </c>
      <c r="O88" s="113">
        <f t="shared" si="4"/>
        <v>25</v>
      </c>
      <c r="P88" s="113">
        <f t="shared" si="4"/>
        <v>37</v>
      </c>
      <c r="Q88" s="113">
        <f t="shared" si="4"/>
        <v>0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256</v>
      </c>
      <c r="F89" s="77">
        <v>0</v>
      </c>
      <c r="G89" s="77">
        <v>0</v>
      </c>
      <c r="H89" s="77">
        <v>0</v>
      </c>
      <c r="I89" s="85">
        <v>0</v>
      </c>
      <c r="J89" s="85">
        <v>0</v>
      </c>
      <c r="K89" s="85">
        <v>0</v>
      </c>
      <c r="L89" s="93">
        <v>0</v>
      </c>
      <c r="M89" s="93">
        <v>0</v>
      </c>
      <c r="N89" s="93">
        <v>0</v>
      </c>
      <c r="O89" s="111">
        <v>0</v>
      </c>
      <c r="P89" s="111">
        <v>0</v>
      </c>
      <c r="Q89" s="111">
        <v>0</v>
      </c>
      <c r="R89" s="101">
        <v>0</v>
      </c>
      <c r="S89" s="101">
        <v>0</v>
      </c>
      <c r="T89" s="102">
        <v>0</v>
      </c>
    </row>
    <row r="90" spans="1:21" ht="15.75" thickBot="1">
      <c r="E90" s="68" t="s">
        <v>116</v>
      </c>
      <c r="F90" s="80">
        <f>MAXA(F88-F89,0)</f>
        <v>5</v>
      </c>
      <c r="G90" s="80">
        <f t="shared" ref="G90:T90" si="5">MAXA(G88-G89,0)</f>
        <v>20</v>
      </c>
      <c r="H90" s="80">
        <f t="shared" si="5"/>
        <v>0</v>
      </c>
      <c r="I90" s="88">
        <f t="shared" si="5"/>
        <v>20</v>
      </c>
      <c r="J90" s="88">
        <f t="shared" si="5"/>
        <v>0</v>
      </c>
      <c r="K90" s="88">
        <f t="shared" si="5"/>
        <v>0</v>
      </c>
      <c r="L90" s="96">
        <f t="shared" si="5"/>
        <v>20</v>
      </c>
      <c r="M90" s="96">
        <f t="shared" si="5"/>
        <v>30</v>
      </c>
      <c r="N90" s="96">
        <f t="shared" si="5"/>
        <v>0</v>
      </c>
      <c r="O90" s="114">
        <f t="shared" si="5"/>
        <v>25</v>
      </c>
      <c r="P90" s="114">
        <f t="shared" si="5"/>
        <v>37</v>
      </c>
      <c r="Q90" s="114">
        <f t="shared" si="5"/>
        <v>0</v>
      </c>
      <c r="R90" s="104">
        <f t="shared" si="5"/>
        <v>0</v>
      </c>
      <c r="S90" s="104">
        <f t="shared" si="5"/>
        <v>0</v>
      </c>
      <c r="T90" s="106">
        <f t="shared" si="5"/>
        <v>0</v>
      </c>
    </row>
    <row r="91" spans="1:21">
      <c r="E91" s="61"/>
      <c r="F91" s="51"/>
      <c r="G91" s="212" t="s">
        <v>281</v>
      </c>
      <c r="H91" s="212"/>
      <c r="I91" s="212"/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3"/>
    </row>
    <row r="92" spans="1:21">
      <c r="E92" s="5">
        <v>9</v>
      </c>
      <c r="F92" s="6">
        <f>F$90/VLOOKUP(F$6,Tabela11[#All],6,FALSE)</f>
        <v>4.4776119402985071</v>
      </c>
      <c r="G92" s="118">
        <f>G$90/VLOOKUP(G$6,Tabela11[#All],6,FALSE)</f>
        <v>35.820895522388057</v>
      </c>
      <c r="H92" s="118">
        <f>H$90/VLOOKUP(H$6,Tabela11[#All],6,FALSE)</f>
        <v>0</v>
      </c>
      <c r="I92" s="118">
        <f>I$90/VLOOKUP(I$6,Tabela11[#All],6,FALSE)</f>
        <v>17.910447761194028</v>
      </c>
      <c r="J92" s="118">
        <f>J$90/VLOOKUP(J$6,Tabela11[#All],6,FALSE)</f>
        <v>0</v>
      </c>
      <c r="K92" s="118">
        <f>K$90/VLOOKUP(K$6,Tabela11[#All],6,FALSE)</f>
        <v>0</v>
      </c>
      <c r="L92" s="118">
        <f>L$90/VLOOKUP(L$6,Tabela11[#All],6,FALSE)</f>
        <v>17.910447761194028</v>
      </c>
      <c r="M92" s="118">
        <f>M$90/VLOOKUP(M$6,Tabela11[#All],6,FALSE)</f>
        <v>53.731343283582085</v>
      </c>
      <c r="N92" s="118">
        <f>N$90/VLOOKUP(N$6,Tabela11[#All],6,FALSE)</f>
        <v>0</v>
      </c>
      <c r="O92" s="118">
        <f>O$90/VLOOKUP(O$6,Tabela11[#All],6,FALSE)</f>
        <v>22.388059701492537</v>
      </c>
      <c r="P92" s="118">
        <f>P$90/VLOOKUP(P$6,Tabela11[#All],6,FALSE)</f>
        <v>66.268656716417908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3.7209302325581395</v>
      </c>
      <c r="G93" s="118">
        <f>G$90/VLOOKUP(G$6,Tabela11[#All],5,FALSE)</f>
        <v>91.428571428571431</v>
      </c>
      <c r="H93" s="118">
        <f>H$90/VLOOKUP(H$6,Tabela11[#All],5,FALSE)</f>
        <v>0</v>
      </c>
      <c r="I93" s="118">
        <f>I$90/VLOOKUP(I$6,Tabela11[#All],5,FALSE)</f>
        <v>14.883720930232558</v>
      </c>
      <c r="J93" s="118">
        <f>J$90/VLOOKUP(J$6,Tabela11[#All],5,FALSE)</f>
        <v>0</v>
      </c>
      <c r="K93" s="118">
        <f>K$90/VLOOKUP(K$6,Tabela11[#All],5,FALSE)</f>
        <v>0</v>
      </c>
      <c r="L93" s="118">
        <f>L$90/VLOOKUP(L$6,Tabela11[#All],5,FALSE)</f>
        <v>14.883720930232558</v>
      </c>
      <c r="M93" s="118">
        <f>M$90/VLOOKUP(M$6,Tabela11[#All],5,FALSE)</f>
        <v>137.14285714285714</v>
      </c>
      <c r="N93" s="118">
        <f>N$90/VLOOKUP(N$6,Tabela11[#All],5,FALSE)</f>
        <v>0</v>
      </c>
      <c r="O93" s="118">
        <f>O$90/VLOOKUP(O$6,Tabela11[#All],5,FALSE)</f>
        <v>18.604651162790699</v>
      </c>
      <c r="P93" s="118">
        <f>P$90/VLOOKUP(P$6,Tabela11[#All],5,FALSE)</f>
        <v>169.14285714285714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3.5263157894736841</v>
      </c>
      <c r="G94" s="120">
        <f>G$90/VLOOKUP(G$6,Tabela11[#All],4,FALSE)</f>
        <v>36.21621621621621</v>
      </c>
      <c r="H94" s="120">
        <f>H$90/VLOOKUP(H$6,Tabela11[#All],4,FALSE)</f>
        <v>0</v>
      </c>
      <c r="I94" s="120">
        <f>I$90/VLOOKUP(I$6,Tabela11[#All],4,FALSE)</f>
        <v>14.105263157894736</v>
      </c>
      <c r="J94" s="120">
        <f>J$90/VLOOKUP(J$6,Tabela11[#All],4,FALSE)</f>
        <v>0</v>
      </c>
      <c r="K94" s="120">
        <f>K$90/VLOOKUP(K$6,Tabela11[#All],4,FALSE)</f>
        <v>0</v>
      </c>
      <c r="L94" s="120">
        <f>L$90/VLOOKUP(L$6,Tabela11[#All],4,FALSE)</f>
        <v>14.105263157894736</v>
      </c>
      <c r="M94" s="120">
        <f>M$90/VLOOKUP(M$6,Tabela11[#All],4,FALSE)</f>
        <v>54.324324324324323</v>
      </c>
      <c r="N94" s="120">
        <f>N$90/VLOOKUP(N$6,Tabela11[#All],4,FALSE)</f>
        <v>0</v>
      </c>
      <c r="O94" s="120">
        <f>O$90/VLOOKUP(O$6,Tabela11[#All],4,FALSE)</f>
        <v>17.631578947368421</v>
      </c>
      <c r="P94" s="120">
        <f>P$90/VLOOKUP(P$6,Tabela11[#All],4,FALSE)</f>
        <v>67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209" t="s">
        <v>280</v>
      </c>
      <c r="H96" s="210"/>
      <c r="I96" s="210"/>
      <c r="J96" s="210"/>
      <c r="K96" s="210"/>
      <c r="L96" s="210"/>
      <c r="M96" s="210"/>
      <c r="N96" s="210"/>
      <c r="O96" s="210"/>
      <c r="P96" s="210"/>
      <c r="Q96" s="210"/>
      <c r="R96" s="210"/>
      <c r="S96" s="210"/>
      <c r="T96" s="211"/>
      <c r="U96" s="122" t="s">
        <v>282</v>
      </c>
    </row>
    <row r="97" spans="5:21">
      <c r="E97" s="5">
        <v>9</v>
      </c>
      <c r="F97" s="6">
        <f>F$90/VLOOKUP(F$6,Tabela11[#All],6,FALSE)*(7-12*0.065)</f>
        <v>27.850746268656714</v>
      </c>
      <c r="G97" s="126">
        <f>G$90/VLOOKUP(G$6,Tabela11[#All],6,FALSE)*(7-12*0.065)</f>
        <v>222.80597014925371</v>
      </c>
      <c r="H97" s="126">
        <f>H$90/VLOOKUP(H$6,Tabela11[#All],6,FALSE)*(7-12*0.065)</f>
        <v>0</v>
      </c>
      <c r="I97" s="126">
        <f>I$90/VLOOKUP(I$6,Tabela11[#All],6,FALSE)*(7-12*0.065)</f>
        <v>111.40298507462686</v>
      </c>
      <c r="J97" s="126">
        <f>J$90/VLOOKUP(J$6,Tabela11[#All],6,FALSE)*(7-12*0.065)</f>
        <v>0</v>
      </c>
      <c r="K97" s="126">
        <f>K$90/VLOOKUP(K$6,Tabela11[#All],6,FALSE)*(7-12*0.065)</f>
        <v>0</v>
      </c>
      <c r="L97" s="126">
        <f>L$90/VLOOKUP(L$6,Tabela11[#All],6,FALSE)*(7-12*0.065)</f>
        <v>111.40298507462686</v>
      </c>
      <c r="M97" s="126">
        <f>M$90/VLOOKUP(M$6,Tabela11[#All],6,FALSE)*(7-12*0.065)</f>
        <v>334.20895522388054</v>
      </c>
      <c r="N97" s="126">
        <f>N$90/VLOOKUP(N$6,Tabela11[#All],6,FALSE)*(7-12*0.065)</f>
        <v>0</v>
      </c>
      <c r="O97" s="126">
        <f>O$90/VLOOKUP(O$6,Tabela11[#All],6,FALSE)*(7-12*0.065)</f>
        <v>139.25373134328356</v>
      </c>
      <c r="P97" s="126">
        <f>P$90/VLOOKUP(P$6,Tabela11[#All],6,FALSE)*(7-12*0.065)</f>
        <v>412.19104477611938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1080.6089552238805</v>
      </c>
    </row>
    <row r="98" spans="5:21">
      <c r="E98" s="5">
        <v>8</v>
      </c>
      <c r="F98" s="6">
        <f>F$90/VLOOKUP(F$6,Tabela11[#All],5,FALSE)*(7-12*0.065)</f>
        <v>23.144186046511628</v>
      </c>
      <c r="G98" s="126">
        <f>G$90/VLOOKUP(G$6,Tabela11[#All],5,FALSE)*(7-12*0.065)</f>
        <v>568.68571428571431</v>
      </c>
      <c r="H98" s="126">
        <f>H$90/VLOOKUP(H$6,Tabela11[#All],5,FALSE)*(7-12*0.065)</f>
        <v>0</v>
      </c>
      <c r="I98" s="126">
        <f>I$90/VLOOKUP(I$6,Tabela11[#All],5,FALSE)*(7-12*0.065)</f>
        <v>92.576744186046511</v>
      </c>
      <c r="J98" s="126">
        <f>J$90/VLOOKUP(J$6,Tabela11[#All],5,FALSE)*(7-12*0.065)</f>
        <v>0</v>
      </c>
      <c r="K98" s="126">
        <f>K$90/VLOOKUP(K$6,Tabela11[#All],5,FALSE)*(7-12*0.065)</f>
        <v>0</v>
      </c>
      <c r="L98" s="126">
        <f>L$90/VLOOKUP(L$6,Tabela11[#All],5,FALSE)*(7-12*0.065)</f>
        <v>92.576744186046511</v>
      </c>
      <c r="M98" s="126">
        <f>M$90/VLOOKUP(M$6,Tabela11[#All],5,FALSE)*(7-12*0.065)</f>
        <v>853.02857142857135</v>
      </c>
      <c r="N98" s="126">
        <f>N$90/VLOOKUP(N$6,Tabela11[#All],5,FALSE)*(7-12*0.065)</f>
        <v>0</v>
      </c>
      <c r="O98" s="126">
        <f>O$90/VLOOKUP(O$6,Tabela11[#All],5,FALSE)*(7-12*0.065)</f>
        <v>115.72093023255815</v>
      </c>
      <c r="P98" s="126">
        <f>P$90/VLOOKUP(P$6,Tabela11[#All],5,FALSE)*(7-12*0.065)</f>
        <v>1052.0685714285714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2566.3596013289034</v>
      </c>
    </row>
    <row r="99" spans="5:21" ht="15" thickBot="1">
      <c r="E99" s="7">
        <v>7</v>
      </c>
      <c r="F99" s="8">
        <f>F$90/VLOOKUP(F$6,Tabela11[#All],4,FALSE)*(6-12*0.065)</f>
        <v>18.407368421052631</v>
      </c>
      <c r="G99" s="128">
        <f>G$90/VLOOKUP(G$6,Tabela11[#All],4,FALSE)*(6-12*0.065)</f>
        <v>189.04864864864862</v>
      </c>
      <c r="H99" s="128">
        <f>H$90/VLOOKUP(H$6,Tabela11[#All],4,FALSE)*(6-12*0.065)</f>
        <v>0</v>
      </c>
      <c r="I99" s="128">
        <f>I$90/VLOOKUP(I$6,Tabela11[#All],4,FALSE)*(6-12*0.065)</f>
        <v>73.629473684210524</v>
      </c>
      <c r="J99" s="128">
        <f>J$90/VLOOKUP(J$6,Tabela11[#All],4,FALSE)*(6-12*0.065)</f>
        <v>0</v>
      </c>
      <c r="K99" s="128">
        <f>K$90/VLOOKUP(K$6,Tabela11[#All],4,FALSE)*(6-12*0.065)</f>
        <v>0</v>
      </c>
      <c r="L99" s="128">
        <f>L$90/VLOOKUP(L$6,Tabela11[#All],4,FALSE)*(6-12*0.065)</f>
        <v>73.629473684210524</v>
      </c>
      <c r="M99" s="128">
        <f>M$90/VLOOKUP(M$6,Tabela11[#All],4,FALSE)*(6-12*0.065)</f>
        <v>283.57297297297293</v>
      </c>
      <c r="N99" s="128">
        <f>N$90/VLOOKUP(N$6,Tabela11[#All],4,FALSE)*(6-12*0.065)</f>
        <v>0</v>
      </c>
      <c r="O99" s="128">
        <f>O$90/VLOOKUP(O$6,Tabela11[#All],4,FALSE)*(6-12*0.065)</f>
        <v>92.036842105263148</v>
      </c>
      <c r="P99" s="128">
        <f>P$90/VLOOKUP(P$6,Tabela11[#All],4,FALSE)*(6-12*0.065)</f>
        <v>349.74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895.99109530583212</v>
      </c>
    </row>
  </sheetData>
  <mergeCells count="21"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  <mergeCell ref="F37:H37"/>
    <mergeCell ref="I37:K37"/>
    <mergeCell ref="L37:N37"/>
    <mergeCell ref="O37:Q37"/>
    <mergeCell ref="R37:T37"/>
    <mergeCell ref="G32:T32"/>
    <mergeCell ref="G27:T27"/>
    <mergeCell ref="R5:T5"/>
    <mergeCell ref="F5:H5"/>
    <mergeCell ref="I5:K5"/>
    <mergeCell ref="L5:N5"/>
    <mergeCell ref="O5:Q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W94"/>
  <sheetViews>
    <sheetView zoomScale="85" zoomScaleNormal="85" workbookViewId="0">
      <selection activeCell="P14" sqref="P1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6" width="14.25" customWidth="1"/>
    <col min="17" max="17" width="12" customWidth="1"/>
    <col min="19" max="19" width="19.125" bestFit="1" customWidth="1"/>
    <col min="21" max="21" width="20.125" bestFit="1" customWidth="1"/>
  </cols>
  <sheetData>
    <row r="1" spans="1:23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33</v>
      </c>
      <c r="Q1" s="67" t="s">
        <v>24</v>
      </c>
      <c r="R1" s="67" t="s">
        <v>245</v>
      </c>
      <c r="S1" s="67" t="s">
        <v>257</v>
      </c>
      <c r="T1" s="67" t="s">
        <v>130</v>
      </c>
      <c r="U1" s="67" t="s">
        <v>129</v>
      </c>
      <c r="V1" t="s">
        <v>132</v>
      </c>
      <c r="W1" t="s">
        <v>133</v>
      </c>
    </row>
    <row r="2" spans="1:23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LocFeatures[[#This Row],[XP drop]]/(LocFeatures[[#This Row],[E. Cost]]-LocFeatures[[#This Row],[Energy gain]])</f>
        <v>472.05825242718447</v>
      </c>
      <c r="Q2" s="50">
        <f>(LocFeatures[[#This Row],[XP Train Gain]]+LocFeatures[[#This Row],[XP drop]])/(LocFeatures[[#This Row],[E. Cost]]-LocFeatures[[#This Row],[Energy gain]])</f>
        <v>1771.3203883495146</v>
      </c>
      <c r="R2" s="47">
        <f>COUNTIFS(DropAnalityka[Location],LocFeatures[[#This Row],[Location]],DropAnalityka[LVL],LocFeatures[[#This Row],[LVL]],DropAnalityka[Stage],LocFeatures[[#This Row],[Stage]])</f>
        <v>32</v>
      </c>
      <c r="S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3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LocFeatures[[#This Row],[XP drop]]/(LocFeatures[[#This Row],[E. Cost]]-LocFeatures[[#This Row],[Energy gain]])</f>
        <v>82.75862068965516</v>
      </c>
      <c r="Q3" s="50">
        <f>(LocFeatures[[#This Row],[XP Train Gain]]+LocFeatures[[#This Row],[XP drop]])/(LocFeatures[[#This Row],[E. Cost]]-LocFeatures[[#This Row],[Energy gain]])</f>
        <v>1216.3152709359606</v>
      </c>
      <c r="R3" s="47">
        <f>COUNTIFS(DropAnalityka[Location],LocFeatures[[#This Row],[Location]],DropAnalityka[LVL],LocFeatures[[#This Row],[LVL]],DropAnalityka[Stage],LocFeatures[[#This Row],[Stage]])</f>
        <v>96</v>
      </c>
      <c r="S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U3" s="10"/>
      <c r="V3" s="10"/>
      <c r="W3" s="10"/>
    </row>
    <row r="4" spans="1:23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LocFeatures[[#This Row],[XP drop]]/(LocFeatures[[#This Row],[E. Cost]]-LocFeatures[[#This Row],[Energy gain]])</f>
        <v>0</v>
      </c>
      <c r="Q4" s="50">
        <f>(LocFeatures[[#This Row],[XP Train Gain]]+LocFeatures[[#This Row],[XP drop]])/(LocFeatures[[#This Row],[E. Cost]]-LocFeatures[[#This Row],[Energy gain]])</f>
        <v>804</v>
      </c>
      <c r="R4" s="47">
        <f>COUNTIFS(DropAnalityka[Location],LocFeatures[[#This Row],[Location]],DropAnalityka[LVL],LocFeatures[[#This Row],[LVL]],DropAnalityka[Stage],LocFeatures[[#This Row],[Stage]])</f>
        <v>1</v>
      </c>
      <c r="S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T4"/>
    </row>
    <row r="5" spans="1:23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LocFeatures[[#This Row],[XP drop]]/(LocFeatures[[#This Row],[E. Cost]]-LocFeatures[[#This Row],[Energy gain]])</f>
        <v>0</v>
      </c>
      <c r="Q5" s="50">
        <f>(LocFeatures[[#This Row],[XP Train Gain]]+LocFeatures[[#This Row],[XP drop]])/(LocFeatures[[#This Row],[E. Cost]]-LocFeatures[[#This Row],[Energy gain]])</f>
        <v>804</v>
      </c>
      <c r="R5" s="47">
        <f>COUNTIFS(DropAnalityka[Location],LocFeatures[[#This Row],[Location]],DropAnalityka[LVL],LocFeatures[[#This Row],[LVL]],DropAnalityka[Stage],LocFeatures[[#This Row],[Stage]])</f>
        <v>2</v>
      </c>
      <c r="S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T5"/>
    </row>
    <row r="6" spans="1:23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LocFeatures[[#This Row],[XP drop]]/(LocFeatures[[#This Row],[E. Cost]]-LocFeatures[[#This Row],[Energy gain]])</f>
        <v>448.60937500000006</v>
      </c>
      <c r="Q6" s="50">
        <f>(LocFeatures[[#This Row],[XP Train Gain]]+LocFeatures[[#This Row],[XP drop]])/(LocFeatures[[#This Row],[E. Cost]]-LocFeatures[[#This Row],[Energy gain]])</f>
        <v>448.60937500000006</v>
      </c>
      <c r="R6" s="47">
        <f>COUNTIFS(DropAnalityka[Location],LocFeatures[[#This Row],[Location]],DropAnalityka[LVL],LocFeatures[[#This Row],[LVL]],DropAnalityka[Stage],LocFeatures[[#This Row],[Stage]])</f>
        <v>18</v>
      </c>
      <c r="S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T6"/>
      <c r="U6"/>
      <c r="V6"/>
      <c r="W6"/>
    </row>
    <row r="7" spans="1:23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12550.254545454545</v>
      </c>
      <c r="J7" s="19">
        <f>AVERAGEIFS(DropAnalityka[Energy Drop],DropAnalityka[Location],LocFeatures[[#This Row],[Location]],DropAnalityka[LVL],LocFeatures[[#This Row],[LVL]],DropAnalityka[Stage],LocFeatures[[#This Row],[Stage]])</f>
        <v>1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2158.7390909090909</v>
      </c>
      <c r="N7" s="50">
        <f>LocFeatures[[#This Row],[Drop worth gain]]/(LocFeatures[[#This Row],[E. Cost]]-LocFeatures[[#This Row],[Energy gain]])</f>
        <v>1792.8935064935065</v>
      </c>
      <c r="O7" s="50">
        <f>LocFeatures[[#This Row],[XP Train Gain]]/(LocFeatures[[#This Row],[E. Cost]]-LocFeatures[[#This Row],[Energy gain]])</f>
        <v>0</v>
      </c>
      <c r="P7" s="50">
        <f>LocFeatures[[#This Row],[XP drop]]/(LocFeatures[[#This Row],[E. Cost]]-LocFeatures[[#This Row],[Energy gain]])</f>
        <v>308.39129870129869</v>
      </c>
      <c r="Q7" s="50">
        <f>(LocFeatures[[#This Row],[XP Train Gain]]+LocFeatures[[#This Row],[XP drop]])/(LocFeatures[[#This Row],[E. Cost]]-LocFeatures[[#This Row],[Energy gain]])</f>
        <v>308.39129870129869</v>
      </c>
      <c r="R7" s="47">
        <f>COUNTIFS(DropAnalityka[Location],LocFeatures[[#This Row],[Location]],DropAnalityka[LVL],LocFeatures[[#This Row],[LVL]],DropAnalityka[Stage],LocFeatures[[#This Row],[Stage]])</f>
        <v>110</v>
      </c>
      <c r="S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4889.6106493506495</v>
      </c>
      <c r="T7"/>
      <c r="U7"/>
      <c r="V7"/>
      <c r="W7"/>
    </row>
    <row r="8" spans="1:23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14057.797619047618</v>
      </c>
      <c r="J8" s="19">
        <f>AVERAGEIFS(DropAnalityka[Energy Drop],DropAnalityka[Location],LocFeatures[[#This Row],[Location]],DropAnalityka[LVL],LocFeatures[[#This Row],[LVL]],DropAnalityka[Stage],LocFeatures[[#This Row],[Stage]])</f>
        <v>1.0731707317073171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4812.2059523809521</v>
      </c>
      <c r="N8" s="50">
        <f>LocFeatures[[#This Row],[Drop worth gain]]/(LocFeatures[[#This Row],[E. Cost]]-LocFeatures[[#This Row],[Energy gain]])</f>
        <v>2029.4707830315224</v>
      </c>
      <c r="O8" s="50">
        <f>LocFeatures[[#This Row],[XP Train Gain]]/(LocFeatures[[#This Row],[E. Cost]]-LocFeatures[[#This Row],[Energy gain]])</f>
        <v>0</v>
      </c>
      <c r="P8" s="50">
        <f>LocFeatures[[#This Row],[XP drop]]/(LocFeatures[[#This Row],[E. Cost]]-LocFeatures[[#This Row],[Energy gain]])</f>
        <v>694.71987340710928</v>
      </c>
      <c r="Q8" s="50">
        <f>(LocFeatures[[#This Row],[XP Train Gain]]+LocFeatures[[#This Row],[XP drop]])/(LocFeatures[[#This Row],[E. Cost]]-LocFeatures[[#This Row],[Energy gain]])</f>
        <v>694.71987340710928</v>
      </c>
      <c r="R8" s="47">
        <f>COUNTIFS(DropAnalityka[Location],LocFeatures[[#This Row],[Location]],DropAnalityka[LVL],LocFeatures[[#This Row],[LVL]],DropAnalityka[Stage],LocFeatures[[#This Row],[Stage]])</f>
        <v>42</v>
      </c>
      <c r="S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5000.0751173708913</v>
      </c>
      <c r="T8"/>
      <c r="U8"/>
      <c r="V8"/>
      <c r="W8"/>
    </row>
    <row r="9" spans="1:23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LocFeatures[[#This Row],[XP drop]]/(LocFeatures[[#This Row],[E. Cost]]-LocFeatures[[#This Row],[Energy gain]])</f>
        <v>588.72463768115938</v>
      </c>
      <c r="Q9" s="50">
        <f>(LocFeatures[[#This Row],[XP Train Gain]]+LocFeatures[[#This Row],[XP drop]])/(LocFeatures[[#This Row],[E. Cost]]-LocFeatures[[#This Row],[Energy gain]])</f>
        <v>1781.5072463768115</v>
      </c>
      <c r="R9" s="47">
        <f>COUNTIFS(DropAnalityka[Location],LocFeatures[[#This Row],[Location]],DropAnalityka[LVL],LocFeatures[[#This Row],[LVL]],DropAnalityka[Stage],LocFeatures[[#This Row],[Stage]])</f>
        <v>43</v>
      </c>
      <c r="S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T9"/>
    </row>
    <row r="10" spans="1:23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LocFeatures[[#This Row],[XP drop]]/(LocFeatures[[#This Row],[E. Cost]]-LocFeatures[[#This Row],[Energy gain]])</f>
        <v>242.93984962406014</v>
      </c>
      <c r="Q10" s="50">
        <f>(LocFeatures[[#This Row],[XP Train Gain]]+LocFeatures[[#This Row],[XP drop]])/(LocFeatures[[#This Row],[E. Cost]]-LocFeatures[[#This Row],[Energy gain]])</f>
        <v>1494.9548872180453</v>
      </c>
      <c r="R10" s="43">
        <f>COUNTIFS(DropAnalityka[Location],LocFeatures[[#This Row],[Location]],DropAnalityka[LVL],LocFeatures[[#This Row],[LVL]],DropAnalityka[Stage],LocFeatures[[#This Row],[Stage]])</f>
        <v>87</v>
      </c>
      <c r="S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T10">
        <v>58</v>
      </c>
      <c r="U10" s="10" t="s">
        <v>246</v>
      </c>
      <c r="V10"/>
      <c r="W10"/>
    </row>
    <row r="11" spans="1:23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LocFeatures[[#This Row],[XP drop]]/(LocFeatures[[#This Row],[E. Cost]]-LocFeatures[[#This Row],[Energy gain]])</f>
        <v>106.97674418604652</v>
      </c>
      <c r="Q11" s="50">
        <f>(LocFeatures[[#This Row],[XP Train Gain]]+LocFeatures[[#This Row],[XP drop]])/(LocFeatures[[#This Row],[E. Cost]]-LocFeatures[[#This Row],[Energy gain]])</f>
        <v>1175.0465116279067</v>
      </c>
      <c r="R11" s="47">
        <f>COUNTIFS(DropAnalityka[Location],LocFeatures[[#This Row],[Location]],DropAnalityka[LVL],LocFeatures[[#This Row],[LVL]],DropAnalityka[Stage],LocFeatures[[#This Row],[Stage]])</f>
        <v>81</v>
      </c>
      <c r="S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T11"/>
    </row>
    <row r="12" spans="1:23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LocFeatures[[#This Row],[XP drop]]/(LocFeatures[[#This Row],[E. Cost]]-LocFeatures[[#This Row],[Energy gain]])</f>
        <v>339.64530612244897</v>
      </c>
      <c r="Q12" s="50">
        <f>(LocFeatures[[#This Row],[XP Train Gain]]+LocFeatures[[#This Row],[XP drop]])/(LocFeatures[[#This Row],[E. Cost]]-LocFeatures[[#This Row],[Energy gain]])</f>
        <v>339.64530612244897</v>
      </c>
      <c r="R12" s="47">
        <f>COUNTIFS(DropAnalityka[Location],LocFeatures[[#This Row],[Location]],DropAnalityka[LVL],LocFeatures[[#This Row],[LVL]],DropAnalityka[Stage],LocFeatures[[#This Row],[Stage]])</f>
        <v>50</v>
      </c>
      <c r="S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3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LocFeatures[[#This Row],[XP drop]]/(LocFeatures[[#This Row],[E. Cost]]-LocFeatures[[#This Row],[Energy gain]])</f>
        <v>134.51327433628319</v>
      </c>
      <c r="Q13" s="50">
        <f>(LocFeatures[[#This Row],[XP Train Gain]]+LocFeatures[[#This Row],[XP drop]])/(LocFeatures[[#This Row],[E. Cost]]-LocFeatures[[#This Row],[Energy gain]])</f>
        <v>134.51327433628319</v>
      </c>
      <c r="R13" s="43">
        <f>COUNTIFS(DropAnalityka[Location],LocFeatures[[#This Row],[Location]],DropAnalityka[LVL],LocFeatures[[#This Row],[LVL]],DropAnalityka[Stage],LocFeatures[[#This Row],[Stage]])</f>
        <v>37</v>
      </c>
      <c r="S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3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LocFeatures[[#This Row],[XP drop]]/(LocFeatures[[#This Row],[E. Cost]]-LocFeatures[[#This Row],[Energy gain]])</f>
        <v>495.59037878787882</v>
      </c>
      <c r="Q14" s="50">
        <f>(LocFeatures[[#This Row],[XP Train Gain]]+LocFeatures[[#This Row],[XP drop]])/(LocFeatures[[#This Row],[E. Cost]]-LocFeatures[[#This Row],[Energy gain]])</f>
        <v>495.59037878787882</v>
      </c>
      <c r="R14" s="47">
        <f>COUNTIFS(DropAnalityka[Location],LocFeatures[[#This Row],[Location]],DropAnalityka[LVL],LocFeatures[[#This Row],[LVL]],DropAnalityka[Stage],LocFeatures[[#This Row],[Stage]])</f>
        <v>187</v>
      </c>
      <c r="S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3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LocFeatures[[#This Row],[XP drop]]/(LocFeatures[[#This Row],[E. Cost]]-LocFeatures[[#This Row],[Energy gain]])</f>
        <v>435.13953488372096</v>
      </c>
      <c r="Q15" s="50">
        <f>(LocFeatures[[#This Row],[XP Train Gain]]+LocFeatures[[#This Row],[XP drop]])/(LocFeatures[[#This Row],[E. Cost]]-LocFeatures[[#This Row],[Energy gain]])</f>
        <v>737.47674418604652</v>
      </c>
      <c r="R15" s="43">
        <f>COUNTIFS(DropAnalityka[Location],LocFeatures[[#This Row],[Location]],DropAnalityka[LVL],LocFeatures[[#This Row],[LVL]],DropAnalityka[Stage],LocFeatures[[#This Row],[Stage]])</f>
        <v>27</v>
      </c>
      <c r="S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3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LocFeatures[[#This Row],[XP drop]]/(LocFeatures[[#This Row],[E. Cost]]-LocFeatures[[#This Row],[Energy gain]])</f>
        <v>266.66666666666669</v>
      </c>
      <c r="Q16" s="50">
        <f>(LocFeatures[[#This Row],[XP Train Gain]]+LocFeatures[[#This Row],[XP drop]])/(LocFeatures[[#This Row],[E. Cost]]-LocFeatures[[#This Row],[Energy gain]])</f>
        <v>573.9666666666667</v>
      </c>
      <c r="R16" s="47">
        <f>COUNTIFS(DropAnalityka[Location],LocFeatures[[#This Row],[Location]],DropAnalityka[LVL],LocFeatures[[#This Row],[LVL]],DropAnalityka[Stage],LocFeatures[[#This Row],[Stage]])</f>
        <v>7</v>
      </c>
      <c r="S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U16" s="10"/>
      <c r="V16" s="10"/>
      <c r="W16" s="10"/>
    </row>
    <row r="17" spans="1:23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LocFeatures[[#This Row],[XP drop]]/(LocFeatures[[#This Row],[E. Cost]]-LocFeatures[[#This Row],[Energy gain]])</f>
        <v>0</v>
      </c>
      <c r="Q17" s="50">
        <f>(LocFeatures[[#This Row],[XP Train Gain]]+LocFeatures[[#This Row],[XP drop]])/(LocFeatures[[#This Row],[E. Cost]]-LocFeatures[[#This Row],[Energy gain]])</f>
        <v>361.125</v>
      </c>
      <c r="R17" s="43">
        <f>COUNTIFS(DropAnalityka[Location],LocFeatures[[#This Row],[Location]],DropAnalityka[LVL],LocFeatures[[#This Row],[LVL]],DropAnalityka[Stage],LocFeatures[[#This Row],[Stage]])</f>
        <v>3</v>
      </c>
      <c r="S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3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LocFeatures[[#This Row],[XP drop]]/(LocFeatures[[#This Row],[E. Cost]]-LocFeatures[[#This Row],[Energy gain]])</f>
        <v>163.75595238095241</v>
      </c>
      <c r="Q18" s="50">
        <f>(LocFeatures[[#This Row],[XP Train Gain]]+LocFeatures[[#This Row],[XP drop]])/(LocFeatures[[#This Row],[E. Cost]]-LocFeatures[[#This Row],[Energy gain]])</f>
        <v>504.75595238095241</v>
      </c>
      <c r="R18" s="47">
        <f>COUNTIFS(DropAnalityka[Location],LocFeatures[[#This Row],[Location]],DropAnalityka[LVL],LocFeatures[[#This Row],[LVL]],DropAnalityka[Stage],LocFeatures[[#This Row],[Stage]])</f>
        <v>62</v>
      </c>
      <c r="S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3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LocFeatures[[#This Row],[XP drop]]/(LocFeatures[[#This Row],[E. Cost]]-LocFeatures[[#This Row],[Energy gain]])</f>
        <v>492.39473684210532</v>
      </c>
      <c r="Q19" s="50">
        <f>(LocFeatures[[#This Row],[XP Train Gain]]+LocFeatures[[#This Row],[XP drop]])/(LocFeatures[[#This Row],[E. Cost]]-LocFeatures[[#This Row],[Energy gain]])</f>
        <v>492.39473684210532</v>
      </c>
      <c r="R19" s="43">
        <f>COUNTIFS(DropAnalityka[Location],LocFeatures[[#This Row],[Location]],DropAnalityka[LVL],LocFeatures[[#This Row],[LVL]],DropAnalityka[Stage],LocFeatures[[#This Row],[Stage]])</f>
        <v>25</v>
      </c>
      <c r="S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3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LocFeatures[[#This Row],[XP drop]]/(LocFeatures[[#This Row],[E. Cost]]-LocFeatures[[#This Row],[Energy gain]])</f>
        <v>151.72413793103448</v>
      </c>
      <c r="Q20" s="50">
        <f>(LocFeatures[[#This Row],[XP Train Gain]]+LocFeatures[[#This Row],[XP drop]])/(LocFeatures[[#This Row],[E. Cost]]-LocFeatures[[#This Row],[Energy gain]])</f>
        <v>472.72413793103448</v>
      </c>
      <c r="R20" s="43">
        <f>COUNTIFS(DropAnalityka[Location],LocFeatures[[#This Row],[Location]],DropAnalityka[LVL],LocFeatures[[#This Row],[LVL]],DropAnalityka[Stage],LocFeatures[[#This Row],[Stage]])</f>
        <v>29</v>
      </c>
      <c r="S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3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LocFeatures[[#This Row],[XP drop]]/(LocFeatures[[#This Row],[E. Cost]]-LocFeatures[[#This Row],[Energy gain]])</f>
        <v>400.27014388489209</v>
      </c>
      <c r="Q21" s="50">
        <f>(LocFeatures[[#This Row],[XP Train Gain]]+LocFeatures[[#This Row],[XP drop]])/(LocFeatures[[#This Row],[E. Cost]]-LocFeatures[[#This Row],[Energy gain]])</f>
        <v>709.72338129496404</v>
      </c>
      <c r="R21" s="43">
        <f>COUNTIFS(DropAnalityka[Location],LocFeatures[[#This Row],[Location]],DropAnalityka[LVL],LocFeatures[[#This Row],[LVL]],DropAnalityka[Stage],LocFeatures[[#This Row],[Stage]])</f>
        <v>67</v>
      </c>
      <c r="S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3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LocFeatures[[#This Row],[XP drop]]/(LocFeatures[[#This Row],[E. Cost]]-LocFeatures[[#This Row],[Energy gain]])</f>
        <v>968.39678284182321</v>
      </c>
      <c r="Q22" s="50">
        <f>(LocFeatures[[#This Row],[XP Train Gain]]+LocFeatures[[#This Row],[XP drop]])/(LocFeatures[[#This Row],[E. Cost]]-LocFeatures[[#This Row],[Energy gain]])</f>
        <v>1335.0080428954425</v>
      </c>
      <c r="R22" s="43">
        <f>COUNTIFS(DropAnalityka[Location],LocFeatures[[#This Row],[Location]],DropAnalityka[LVL],LocFeatures[[#This Row],[LVL]],DropAnalityka[Stage],LocFeatures[[#This Row],[Stage]])</f>
        <v>71</v>
      </c>
      <c r="S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3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LocFeatures[[#This Row],[XP drop]]/(LocFeatures[[#This Row],[E. Cost]]-LocFeatures[[#This Row],[Energy gain]])</f>
        <v>0</v>
      </c>
      <c r="Q23" s="50">
        <f>(LocFeatures[[#This Row],[XP Train Gain]]+LocFeatures[[#This Row],[XP drop]])/(LocFeatures[[#This Row],[E. Cost]]-LocFeatures[[#This Row],[Energy gain]])</f>
        <v>1379.1891891891894</v>
      </c>
      <c r="R23" s="43">
        <f>COUNTIFS(DropAnalityka[Location],LocFeatures[[#This Row],[Location]],DropAnalityka[LVL],LocFeatures[[#This Row],[LVL]],DropAnalityka[Stage],LocFeatures[[#This Row],[Stage]])</f>
        <v>27</v>
      </c>
      <c r="S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3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LocFeatures[[#This Row],[XP drop]]/(LocFeatures[[#This Row],[E. Cost]]-LocFeatures[[#This Row],[Energy gain]])</f>
        <v>8955.5</v>
      </c>
      <c r="Q24" s="50">
        <f>(LocFeatures[[#This Row],[XP Train Gain]]+LocFeatures[[#This Row],[XP drop]])/(LocFeatures[[#This Row],[E. Cost]]-LocFeatures[[#This Row],[Energy gain]])</f>
        <v>10080.5</v>
      </c>
      <c r="R24" s="47">
        <f>COUNTIFS(DropAnalityka[Location],LocFeatures[[#This Row],[Location]],DropAnalityka[LVL],LocFeatures[[#This Row],[LVL]],DropAnalityka[Stage],LocFeatures[[#This Row],[Stage]])</f>
        <v>1</v>
      </c>
      <c r="S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U24" s="10"/>
      <c r="V24" s="10"/>
      <c r="W24" s="10"/>
    </row>
    <row r="25" spans="1:23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LocFeatures[[#This Row],[XP drop]]/(LocFeatures[[#This Row],[E. Cost]]-LocFeatures[[#This Row],[Energy gain]])</f>
        <v>716.44</v>
      </c>
      <c r="Q25" s="50">
        <f>(LocFeatures[[#This Row],[XP Train Gain]]+LocFeatures[[#This Row],[XP drop]])/(LocFeatures[[#This Row],[E. Cost]]-LocFeatures[[#This Row],[Energy gain]])</f>
        <v>716.44</v>
      </c>
      <c r="R25" s="43">
        <f>COUNTIFS(DropAnalityka[Location],LocFeatures[[#This Row],[Location]],DropAnalityka[LVL],LocFeatures[[#This Row],[LVL]],DropAnalityka[Stage],LocFeatures[[#This Row],[Stage]])</f>
        <v>8</v>
      </c>
      <c r="S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3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LocFeatures[[#This Row],[XP drop]]/(LocFeatures[[#This Row],[E. Cost]]-LocFeatures[[#This Row],[Energy gain]])</f>
        <v>350.73493975903614</v>
      </c>
      <c r="Q26" s="50">
        <f>(LocFeatures[[#This Row],[XP Train Gain]]+LocFeatures[[#This Row],[XP drop]])/(LocFeatures[[#This Row],[E. Cost]]-LocFeatures[[#This Row],[Energy gain]])</f>
        <v>1402.433734939759</v>
      </c>
      <c r="R26" s="47">
        <f>COUNTIFS(DropAnalityka[Location],LocFeatures[[#This Row],[Location]],DropAnalityka[LVL],LocFeatures[[#This Row],[LVL]],DropAnalityka[Stage],LocFeatures[[#This Row],[Stage]])</f>
        <v>53</v>
      </c>
      <c r="S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U26" s="10"/>
      <c r="V26" s="10"/>
      <c r="W26" s="10"/>
    </row>
    <row r="27" spans="1:23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LocFeatures[[#This Row],[XP drop]]/(LocFeatures[[#This Row],[E. Cost]]-LocFeatures[[#This Row],[Energy gain]])</f>
        <v>0</v>
      </c>
      <c r="Q27" s="50">
        <f>(LocFeatures[[#This Row],[XP Train Gain]]+LocFeatures[[#This Row],[XP drop]])/(LocFeatures[[#This Row],[E. Cost]]-LocFeatures[[#This Row],[Energy gain]])</f>
        <v>837</v>
      </c>
      <c r="R27" s="47">
        <f>COUNTIFS(DropAnalityka[Location],LocFeatures[[#This Row],[Location]],DropAnalityka[LVL],LocFeatures[[#This Row],[LVL]],DropAnalityka[Stage],LocFeatures[[#This Row],[Stage]])</f>
        <v>1</v>
      </c>
      <c r="S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U27" s="10"/>
      <c r="V27" s="10"/>
      <c r="W27" s="10"/>
    </row>
    <row r="28" spans="1:23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LocFeatures[[#This Row],[XP drop]]/(LocFeatures[[#This Row],[E. Cost]]-LocFeatures[[#This Row],[Energy gain]])</f>
        <v>308.91228070175441</v>
      </c>
      <c r="Q28" s="50">
        <f>(LocFeatures[[#This Row],[XP Train Gain]]+LocFeatures[[#This Row],[XP drop]])/(LocFeatures[[#This Row],[E. Cost]]-LocFeatures[[#This Row],[Energy gain]])</f>
        <v>1652.4529505582138</v>
      </c>
      <c r="R28" s="47">
        <f>COUNTIFS(DropAnalityka[Location],LocFeatures[[#This Row],[Location]],DropAnalityka[LVL],LocFeatures[[#This Row],[LVL]],DropAnalityka[Stage],LocFeatures[[#This Row],[Stage]])</f>
        <v>156</v>
      </c>
      <c r="S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U28" s="10"/>
      <c r="V28" s="10"/>
      <c r="W28" s="10"/>
    </row>
    <row r="29" spans="1:23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LocFeatures[[#This Row],[XP drop]]/(LocFeatures[[#This Row],[E. Cost]]-LocFeatures[[#This Row],[Energy gain]])</f>
        <v>96</v>
      </c>
      <c r="Q29" s="50">
        <f>(LocFeatures[[#This Row],[XP Train Gain]]+LocFeatures[[#This Row],[XP drop]])/(LocFeatures[[#This Row],[E. Cost]]-LocFeatures[[#This Row],[Energy gain]])</f>
        <v>1392</v>
      </c>
      <c r="R29" s="47">
        <f>COUNTIFS(DropAnalityka[Location],LocFeatures[[#This Row],[Location]],DropAnalityka[LVL],LocFeatures[[#This Row],[LVL]],DropAnalityka[Stage],LocFeatures[[#This Row],[Stage]])</f>
        <v>18</v>
      </c>
      <c r="S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T29">
        <v>92</v>
      </c>
      <c r="U29" s="10" t="s">
        <v>246</v>
      </c>
    </row>
    <row r="30" spans="1:23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LocFeatures[[#This Row],[XP drop]]/(LocFeatures[[#This Row],[E. Cost]]-LocFeatures[[#This Row],[Energy gain]])</f>
        <v>80.898876404494388</v>
      </c>
      <c r="Q30" s="50">
        <f>(LocFeatures[[#This Row],[XP Train Gain]]+LocFeatures[[#This Row],[XP drop]])/(LocFeatures[[#This Row],[E. Cost]]-LocFeatures[[#This Row],[Energy gain]])</f>
        <v>968.15730337078639</v>
      </c>
      <c r="R30" s="43">
        <f>COUNTIFS(DropAnalityka[Location],LocFeatures[[#This Row],[Location]],DropAnalityka[LVL],LocFeatures[[#This Row],[LVL]],DropAnalityka[Stage],LocFeatures[[#This Row],[Stage]])</f>
        <v>41</v>
      </c>
      <c r="S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3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LocFeatures[[#This Row],[XP drop]]/(LocFeatures[[#This Row],[E. Cost]]-LocFeatures[[#This Row],[Energy gain]])</f>
        <v>80.898876404494388</v>
      </c>
      <c r="Q31" s="50">
        <f>(LocFeatures[[#This Row],[XP Train Gain]]+LocFeatures[[#This Row],[XP drop]])/(LocFeatures[[#This Row],[E. Cost]]-LocFeatures[[#This Row],[Energy gain]])</f>
        <v>80.898876404494388</v>
      </c>
      <c r="R31" s="43">
        <f>COUNTIFS(DropAnalityka[Location],LocFeatures[[#This Row],[Location]],DropAnalityka[LVL],LocFeatures[[#This Row],[LVL]],DropAnalityka[Stage],LocFeatures[[#This Row],[Stage]])</f>
        <v>41</v>
      </c>
      <c r="S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3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LocFeatures[[#This Row],[XP drop]]/(LocFeatures[[#This Row],[E. Cost]]-LocFeatures[[#This Row],[Energy gain]])</f>
        <v>0</v>
      </c>
      <c r="Q32" s="50">
        <f>(LocFeatures[[#This Row],[XP Train Gain]]+LocFeatures[[#This Row],[XP drop]])/(LocFeatures[[#This Row],[E. Cost]]-LocFeatures[[#This Row],[Energy gain]])</f>
        <v>1097.28</v>
      </c>
      <c r="R32" s="43">
        <f>COUNTIFS(DropAnalityka[Location],LocFeatures[[#This Row],[Location]],DropAnalityka[LVL],LocFeatures[[#This Row],[LVL]],DropAnalityka[Stage],LocFeatures[[#This Row],[Stage]])</f>
        <v>8</v>
      </c>
      <c r="S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8">
      <c r="I33" s="43"/>
      <c r="M33" s="43"/>
      <c r="O33" s="48"/>
      <c r="P33" s="48" t="e">
        <f>LocFeatures[[#This Row],[XP drop]]/(LocFeatures[[#This Row],[E. Cost]]-LocFeatures[[#This Row],[Energy gain]])</f>
        <v>#DIV/0!</v>
      </c>
      <c r="R33" s="43"/>
    </row>
    <row r="34" spans="9:18">
      <c r="I34" s="43"/>
      <c r="M34" s="43"/>
      <c r="O34" s="48"/>
      <c r="P34" s="48" t="e">
        <f>LocFeatures[[#This Row],[XP drop]]/(LocFeatures[[#This Row],[E. Cost]]-LocFeatures[[#This Row],[Energy gain]])</f>
        <v>#DIV/0!</v>
      </c>
      <c r="R34" s="43"/>
    </row>
    <row r="35" spans="9:18">
      <c r="I35" s="43"/>
      <c r="M35" s="43"/>
      <c r="O35" s="48"/>
      <c r="P35" s="48" t="e">
        <f>LocFeatures[[#This Row],[XP drop]]/(LocFeatures[[#This Row],[E. Cost]]-LocFeatures[[#This Row],[Energy gain]])</f>
        <v>#DIV/0!</v>
      </c>
      <c r="R35" s="43"/>
    </row>
    <row r="36" spans="9:18">
      <c r="I36" s="43"/>
      <c r="M36" s="43"/>
      <c r="O36" s="48"/>
      <c r="P36" s="48" t="e">
        <f>LocFeatures[[#This Row],[XP drop]]/(LocFeatures[[#This Row],[E. Cost]]-LocFeatures[[#This Row],[Energy gain]])</f>
        <v>#DIV/0!</v>
      </c>
      <c r="R36" s="43"/>
    </row>
    <row r="37" spans="9:18">
      <c r="I37" s="43"/>
      <c r="M37" s="43"/>
      <c r="O37" s="48"/>
      <c r="P37" s="48" t="e">
        <f>LocFeatures[[#This Row],[XP drop]]/(LocFeatures[[#This Row],[E. Cost]]-LocFeatures[[#This Row],[Energy gain]])</f>
        <v>#DIV/0!</v>
      </c>
      <c r="R37" s="43"/>
    </row>
    <row r="38" spans="9:18">
      <c r="I38" s="43"/>
      <c r="M38" s="43"/>
      <c r="O38" s="48"/>
      <c r="P38" s="48" t="e">
        <f>LocFeatures[[#This Row],[XP drop]]/(LocFeatures[[#This Row],[E. Cost]]-LocFeatures[[#This Row],[Energy gain]])</f>
        <v>#DIV/0!</v>
      </c>
      <c r="R38" s="43"/>
    </row>
    <row r="39" spans="9:18">
      <c r="I39" s="43"/>
      <c r="M39" s="43"/>
      <c r="O39" s="48"/>
      <c r="P39" s="48" t="e">
        <f>LocFeatures[[#This Row],[XP drop]]/(LocFeatures[[#This Row],[E. Cost]]-LocFeatures[[#This Row],[Energy gain]])</f>
        <v>#DIV/0!</v>
      </c>
      <c r="R39" s="43"/>
    </row>
    <row r="40" spans="9:18">
      <c r="I40" s="43"/>
      <c r="M40" s="43"/>
      <c r="O40" s="48"/>
      <c r="P40" s="48" t="e">
        <f>LocFeatures[[#This Row],[XP drop]]/(LocFeatures[[#This Row],[E. Cost]]-LocFeatures[[#This Row],[Energy gain]])</f>
        <v>#DIV/0!</v>
      </c>
      <c r="R40" s="43"/>
    </row>
    <row r="41" spans="9:18">
      <c r="I41" s="43"/>
      <c r="M41" s="43"/>
      <c r="O41" s="48"/>
      <c r="P41" s="48" t="e">
        <f>LocFeatures[[#This Row],[XP drop]]/(LocFeatures[[#This Row],[E. Cost]]-LocFeatures[[#This Row],[Energy gain]])</f>
        <v>#DIV/0!</v>
      </c>
      <c r="R41" s="43"/>
    </row>
    <row r="42" spans="9:18">
      <c r="I42" s="43"/>
      <c r="M42" s="43"/>
      <c r="O42" s="48"/>
      <c r="P42" s="48" t="e">
        <f>LocFeatures[[#This Row],[XP drop]]/(LocFeatures[[#This Row],[E. Cost]]-LocFeatures[[#This Row],[Energy gain]])</f>
        <v>#DIV/0!</v>
      </c>
      <c r="R42" s="43"/>
    </row>
    <row r="43" spans="9:18">
      <c r="I43" s="43"/>
      <c r="M43" s="43"/>
      <c r="O43" s="48"/>
      <c r="P43" s="48" t="e">
        <f>LocFeatures[[#This Row],[XP drop]]/(LocFeatures[[#This Row],[E. Cost]]-LocFeatures[[#This Row],[Energy gain]])</f>
        <v>#DIV/0!</v>
      </c>
      <c r="R43" s="43"/>
    </row>
    <row r="44" spans="9:18">
      <c r="I44" s="43"/>
      <c r="M44" s="43"/>
      <c r="O44" s="48"/>
      <c r="P44" s="48" t="e">
        <f>LocFeatures[[#This Row],[XP drop]]/(LocFeatures[[#This Row],[E. Cost]]-LocFeatures[[#This Row],[Energy gain]])</f>
        <v>#DIV/0!</v>
      </c>
      <c r="R44" s="43"/>
    </row>
    <row r="45" spans="9:18">
      <c r="I45" s="43"/>
      <c r="M45" s="43"/>
      <c r="O45" s="48"/>
      <c r="P45" s="48" t="e">
        <f>LocFeatures[[#This Row],[XP drop]]/(LocFeatures[[#This Row],[E. Cost]]-LocFeatures[[#This Row],[Energy gain]])</f>
        <v>#DIV/0!</v>
      </c>
      <c r="R45" s="43"/>
    </row>
    <row r="46" spans="9:18">
      <c r="I46" s="43"/>
      <c r="M46" s="43"/>
      <c r="O46" s="48"/>
      <c r="P46" s="48" t="e">
        <f>LocFeatures[[#This Row],[XP drop]]/(LocFeatures[[#This Row],[E. Cost]]-LocFeatures[[#This Row],[Energy gain]])</f>
        <v>#DIV/0!</v>
      </c>
      <c r="R46" s="43"/>
    </row>
    <row r="47" spans="9:18">
      <c r="I47" s="43"/>
      <c r="M47" s="43"/>
      <c r="O47" s="48"/>
      <c r="P47" s="48" t="e">
        <f>LocFeatures[[#This Row],[XP drop]]/(LocFeatures[[#This Row],[E. Cost]]-LocFeatures[[#This Row],[Energy gain]])</f>
        <v>#DIV/0!</v>
      </c>
      <c r="R47" s="43"/>
    </row>
    <row r="48" spans="9:18">
      <c r="I48" s="43"/>
      <c r="M48" s="43"/>
      <c r="O48" s="48"/>
      <c r="P48" s="48" t="e">
        <f>LocFeatures[[#This Row],[XP drop]]/(LocFeatures[[#This Row],[E. Cost]]-LocFeatures[[#This Row],[Energy gain]])</f>
        <v>#DIV/0!</v>
      </c>
      <c r="R48" s="43"/>
    </row>
    <row r="49" spans="9:18">
      <c r="I49" s="43"/>
      <c r="M49" s="43"/>
      <c r="O49" s="48"/>
      <c r="P49" s="48" t="e">
        <f>LocFeatures[[#This Row],[XP drop]]/(LocFeatures[[#This Row],[E. Cost]]-LocFeatures[[#This Row],[Energy gain]])</f>
        <v>#DIV/0!</v>
      </c>
      <c r="R49" s="43"/>
    </row>
    <row r="50" spans="9:18">
      <c r="I50" s="43"/>
      <c r="M50" s="43"/>
      <c r="O50" s="48"/>
      <c r="P50" s="48" t="e">
        <f>LocFeatures[[#This Row],[XP drop]]/(LocFeatures[[#This Row],[E. Cost]]-LocFeatures[[#This Row],[Energy gain]])</f>
        <v>#DIV/0!</v>
      </c>
      <c r="R50" s="43"/>
    </row>
    <row r="51" spans="9:18">
      <c r="I51" s="43"/>
      <c r="M51" s="43"/>
      <c r="O51" s="48"/>
      <c r="P51" s="48" t="e">
        <f>LocFeatures[[#This Row],[XP drop]]/(LocFeatures[[#This Row],[E. Cost]]-LocFeatures[[#This Row],[Energy gain]])</f>
        <v>#DIV/0!</v>
      </c>
      <c r="R51" s="43"/>
    </row>
    <row r="52" spans="9:18">
      <c r="I52" s="43"/>
      <c r="M52" s="43"/>
      <c r="O52" s="48"/>
      <c r="P52" s="48" t="e">
        <f>LocFeatures[[#This Row],[XP drop]]/(LocFeatures[[#This Row],[E. Cost]]-LocFeatures[[#This Row],[Energy gain]])</f>
        <v>#DIV/0!</v>
      </c>
      <c r="R52" s="43"/>
    </row>
    <row r="53" spans="9:18">
      <c r="I53" s="43"/>
      <c r="M53" s="43"/>
      <c r="O53" s="48"/>
      <c r="P53" s="48" t="e">
        <f>LocFeatures[[#This Row],[XP drop]]/(LocFeatures[[#This Row],[E. Cost]]-LocFeatures[[#This Row],[Energy gain]])</f>
        <v>#DIV/0!</v>
      </c>
      <c r="R53" s="43"/>
    </row>
    <row r="54" spans="9:18">
      <c r="I54" s="43"/>
      <c r="M54" s="43"/>
      <c r="O54" s="48"/>
      <c r="P54" s="48" t="e">
        <f>LocFeatures[[#This Row],[XP drop]]/(LocFeatures[[#This Row],[E. Cost]]-LocFeatures[[#This Row],[Energy gain]])</f>
        <v>#DIV/0!</v>
      </c>
      <c r="R54" s="43"/>
    </row>
    <row r="55" spans="9:18">
      <c r="I55" s="43"/>
      <c r="M55" s="43"/>
      <c r="O55" s="48"/>
      <c r="P55" s="48" t="e">
        <f>LocFeatures[[#This Row],[XP drop]]/(LocFeatures[[#This Row],[E. Cost]]-LocFeatures[[#This Row],[Energy gain]])</f>
        <v>#DIV/0!</v>
      </c>
      <c r="R55" s="43"/>
    </row>
    <row r="56" spans="9:18">
      <c r="I56" s="43"/>
      <c r="M56" s="43"/>
      <c r="O56" s="48"/>
      <c r="P56" s="48" t="e">
        <f>LocFeatures[[#This Row],[XP drop]]/(LocFeatures[[#This Row],[E. Cost]]-LocFeatures[[#This Row],[Energy gain]])</f>
        <v>#DIV/0!</v>
      </c>
      <c r="R56" s="43"/>
    </row>
    <row r="57" spans="9:18">
      <c r="I57" s="43"/>
      <c r="M57" s="43"/>
      <c r="O57" s="48"/>
      <c r="P57" s="48" t="e">
        <f>LocFeatures[[#This Row],[XP drop]]/(LocFeatures[[#This Row],[E. Cost]]-LocFeatures[[#This Row],[Energy gain]])</f>
        <v>#DIV/0!</v>
      </c>
      <c r="R57" s="43"/>
    </row>
    <row r="58" spans="9:18">
      <c r="I58" s="43"/>
      <c r="M58" s="43"/>
      <c r="O58" s="48"/>
      <c r="P58" s="48" t="e">
        <f>LocFeatures[[#This Row],[XP drop]]/(LocFeatures[[#This Row],[E. Cost]]-LocFeatures[[#This Row],[Energy gain]])</f>
        <v>#DIV/0!</v>
      </c>
      <c r="R58" s="43"/>
    </row>
    <row r="59" spans="9:18">
      <c r="I59" s="43"/>
      <c r="M59" s="43"/>
      <c r="O59" s="48"/>
      <c r="P59" s="48" t="e">
        <f>LocFeatures[[#This Row],[XP drop]]/(LocFeatures[[#This Row],[E. Cost]]-LocFeatures[[#This Row],[Energy gain]])</f>
        <v>#DIV/0!</v>
      </c>
      <c r="R59" s="43"/>
    </row>
    <row r="60" spans="9:18">
      <c r="I60" s="43"/>
      <c r="M60" s="43"/>
      <c r="O60" s="48"/>
      <c r="P60" s="48" t="e">
        <f>LocFeatures[[#This Row],[XP drop]]/(LocFeatures[[#This Row],[E. Cost]]-LocFeatures[[#This Row],[Energy gain]])</f>
        <v>#DIV/0!</v>
      </c>
      <c r="R60" s="43"/>
    </row>
    <row r="61" spans="9:18">
      <c r="I61" s="43"/>
      <c r="M61" s="43"/>
      <c r="O61" s="48"/>
      <c r="P61" s="48" t="e">
        <f>LocFeatures[[#This Row],[XP drop]]/(LocFeatures[[#This Row],[E. Cost]]-LocFeatures[[#This Row],[Energy gain]])</f>
        <v>#DIV/0!</v>
      </c>
      <c r="R61" s="43"/>
    </row>
    <row r="62" spans="9:18">
      <c r="I62" s="43"/>
      <c r="M62" s="43"/>
      <c r="O62" s="48"/>
      <c r="P62" s="48" t="e">
        <f>LocFeatures[[#This Row],[XP drop]]/(LocFeatures[[#This Row],[E. Cost]]-LocFeatures[[#This Row],[Energy gain]])</f>
        <v>#DIV/0!</v>
      </c>
      <c r="R62" s="43"/>
    </row>
    <row r="63" spans="9:18">
      <c r="I63" s="43"/>
      <c r="M63" s="43"/>
      <c r="O63" s="48"/>
      <c r="P63" s="48" t="e">
        <f>LocFeatures[[#This Row],[XP drop]]/(LocFeatures[[#This Row],[E. Cost]]-LocFeatures[[#This Row],[Energy gain]])</f>
        <v>#DIV/0!</v>
      </c>
      <c r="R63" s="43"/>
    </row>
    <row r="64" spans="9:18">
      <c r="I64" s="43"/>
      <c r="M64" s="43"/>
      <c r="O64" s="48"/>
      <c r="P64" s="48" t="e">
        <f>LocFeatures[[#This Row],[XP drop]]/(LocFeatures[[#This Row],[E. Cost]]-LocFeatures[[#This Row],[Energy gain]])</f>
        <v>#DIV/0!</v>
      </c>
      <c r="R64" s="43"/>
    </row>
    <row r="65" spans="9:18">
      <c r="I65" s="43"/>
      <c r="M65" s="43"/>
      <c r="O65" s="48"/>
      <c r="P65" s="48" t="e">
        <f>LocFeatures[[#This Row],[XP drop]]/(LocFeatures[[#This Row],[E. Cost]]-LocFeatures[[#This Row],[Energy gain]])</f>
        <v>#DIV/0!</v>
      </c>
      <c r="R65" s="43"/>
    </row>
    <row r="66" spans="9:18">
      <c r="I66" s="43"/>
      <c r="M66" s="43"/>
      <c r="O66" s="48"/>
      <c r="P66" s="48" t="e">
        <f>LocFeatures[[#This Row],[XP drop]]/(LocFeatures[[#This Row],[E. Cost]]-LocFeatures[[#This Row],[Energy gain]])</f>
        <v>#DIV/0!</v>
      </c>
      <c r="R66" s="43"/>
    </row>
    <row r="67" spans="9:18">
      <c r="I67" s="43"/>
      <c r="M67" s="43"/>
      <c r="O67" s="48"/>
      <c r="P67" s="48" t="e">
        <f>LocFeatures[[#This Row],[XP drop]]/(LocFeatures[[#This Row],[E. Cost]]-LocFeatures[[#This Row],[Energy gain]])</f>
        <v>#DIV/0!</v>
      </c>
      <c r="R67" s="43"/>
    </row>
    <row r="68" spans="9:18">
      <c r="I68" s="43"/>
      <c r="M68" s="43"/>
      <c r="O68" s="48"/>
      <c r="P68" s="48" t="e">
        <f>LocFeatures[[#This Row],[XP drop]]/(LocFeatures[[#This Row],[E. Cost]]-LocFeatures[[#This Row],[Energy gain]])</f>
        <v>#DIV/0!</v>
      </c>
      <c r="R68" s="43"/>
    </row>
    <row r="69" spans="9:18">
      <c r="I69" s="43"/>
      <c r="M69" s="43"/>
      <c r="O69" s="48"/>
      <c r="P69" s="48" t="e">
        <f>LocFeatures[[#This Row],[XP drop]]/(LocFeatures[[#This Row],[E. Cost]]-LocFeatures[[#This Row],[Energy gain]])</f>
        <v>#DIV/0!</v>
      </c>
      <c r="R69" s="43"/>
    </row>
    <row r="70" spans="9:18">
      <c r="I70" s="43"/>
      <c r="M70" s="43"/>
      <c r="O70" s="48"/>
      <c r="P70" s="48" t="e">
        <f>LocFeatures[[#This Row],[XP drop]]/(LocFeatures[[#This Row],[E. Cost]]-LocFeatures[[#This Row],[Energy gain]])</f>
        <v>#DIV/0!</v>
      </c>
      <c r="R70" s="43"/>
    </row>
    <row r="71" spans="9:18">
      <c r="I71" s="43"/>
      <c r="M71" s="43"/>
      <c r="O71" s="48"/>
      <c r="P71" s="48" t="e">
        <f>LocFeatures[[#This Row],[XP drop]]/(LocFeatures[[#This Row],[E. Cost]]-LocFeatures[[#This Row],[Energy gain]])</f>
        <v>#DIV/0!</v>
      </c>
      <c r="R71" s="43"/>
    </row>
    <row r="72" spans="9:18">
      <c r="I72" s="43"/>
      <c r="M72" s="43"/>
      <c r="O72" s="48"/>
      <c r="P72" s="48" t="e">
        <f>LocFeatures[[#This Row],[XP drop]]/(LocFeatures[[#This Row],[E. Cost]]-LocFeatures[[#This Row],[Energy gain]])</f>
        <v>#DIV/0!</v>
      </c>
      <c r="R72" s="43"/>
    </row>
    <row r="73" spans="9:18">
      <c r="I73" s="43"/>
      <c r="M73" s="43"/>
      <c r="O73" s="48"/>
      <c r="P73" s="48" t="e">
        <f>LocFeatures[[#This Row],[XP drop]]/(LocFeatures[[#This Row],[E. Cost]]-LocFeatures[[#This Row],[Energy gain]])</f>
        <v>#DIV/0!</v>
      </c>
      <c r="R73" s="43"/>
    </row>
    <row r="74" spans="9:18">
      <c r="I74" s="43"/>
      <c r="M74" s="43"/>
      <c r="O74" s="48"/>
      <c r="P74" s="48" t="e">
        <f>LocFeatures[[#This Row],[XP drop]]/(LocFeatures[[#This Row],[E. Cost]]-LocFeatures[[#This Row],[Energy gain]])</f>
        <v>#DIV/0!</v>
      </c>
      <c r="R74" s="43"/>
    </row>
    <row r="75" spans="9:18">
      <c r="I75" s="43"/>
      <c r="M75" s="43"/>
      <c r="O75" s="48"/>
      <c r="P75" s="48" t="e">
        <f>LocFeatures[[#This Row],[XP drop]]/(LocFeatures[[#This Row],[E. Cost]]-LocFeatures[[#This Row],[Energy gain]])</f>
        <v>#DIV/0!</v>
      </c>
      <c r="R75" s="43"/>
    </row>
    <row r="76" spans="9:18">
      <c r="I76" s="43"/>
      <c r="M76" s="43"/>
      <c r="O76" s="48"/>
      <c r="P76" s="48" t="e">
        <f>LocFeatures[[#This Row],[XP drop]]/(LocFeatures[[#This Row],[E. Cost]]-LocFeatures[[#This Row],[Energy gain]])</f>
        <v>#DIV/0!</v>
      </c>
      <c r="R76" s="43"/>
    </row>
    <row r="77" spans="9:18">
      <c r="I77" s="43"/>
      <c r="M77" s="43"/>
      <c r="O77" s="48"/>
      <c r="P77" s="48" t="e">
        <f>LocFeatures[[#This Row],[XP drop]]/(LocFeatures[[#This Row],[E. Cost]]-LocFeatures[[#This Row],[Energy gain]])</f>
        <v>#DIV/0!</v>
      </c>
      <c r="R77" s="43"/>
    </row>
    <row r="78" spans="9:18">
      <c r="I78" s="43"/>
      <c r="M78" s="43"/>
      <c r="O78" s="48"/>
      <c r="P78" s="48" t="e">
        <f>LocFeatures[[#This Row],[XP drop]]/(LocFeatures[[#This Row],[E. Cost]]-LocFeatures[[#This Row],[Energy gain]])</f>
        <v>#DIV/0!</v>
      </c>
      <c r="R78" s="43"/>
    </row>
    <row r="79" spans="9:18">
      <c r="I79" s="43"/>
      <c r="M79" s="43"/>
      <c r="O79" s="48"/>
      <c r="P79" s="48" t="e">
        <f>LocFeatures[[#This Row],[XP drop]]/(LocFeatures[[#This Row],[E. Cost]]-LocFeatures[[#This Row],[Energy gain]])</f>
        <v>#DIV/0!</v>
      </c>
      <c r="R79" s="43"/>
    </row>
    <row r="80" spans="9:18">
      <c r="I80" s="43"/>
      <c r="M80" s="43"/>
      <c r="O80" s="48"/>
      <c r="P80" s="48" t="e">
        <f>LocFeatures[[#This Row],[XP drop]]/(LocFeatures[[#This Row],[E. Cost]]-LocFeatures[[#This Row],[Energy gain]])</f>
        <v>#DIV/0!</v>
      </c>
      <c r="R80" s="43"/>
    </row>
    <row r="81" spans="9:18">
      <c r="I81" s="43"/>
      <c r="M81" s="43"/>
      <c r="O81" s="48"/>
      <c r="P81" s="48" t="e">
        <f>LocFeatures[[#This Row],[XP drop]]/(LocFeatures[[#This Row],[E. Cost]]-LocFeatures[[#This Row],[Energy gain]])</f>
        <v>#DIV/0!</v>
      </c>
      <c r="R81" s="43"/>
    </row>
    <row r="82" spans="9:18">
      <c r="I82" s="43"/>
      <c r="M82" s="43"/>
      <c r="O82" s="48"/>
      <c r="P82" s="48" t="e">
        <f>LocFeatures[[#This Row],[XP drop]]/(LocFeatures[[#This Row],[E. Cost]]-LocFeatures[[#This Row],[Energy gain]])</f>
        <v>#DIV/0!</v>
      </c>
      <c r="R82" s="43"/>
    </row>
    <row r="83" spans="9:18">
      <c r="I83" s="43"/>
      <c r="M83" s="43"/>
      <c r="O83" s="48"/>
      <c r="P83" s="48" t="e">
        <f>LocFeatures[[#This Row],[XP drop]]/(LocFeatures[[#This Row],[E. Cost]]-LocFeatures[[#This Row],[Energy gain]])</f>
        <v>#DIV/0!</v>
      </c>
      <c r="R83" s="43"/>
    </row>
    <row r="84" spans="9:18">
      <c r="I84" s="43"/>
      <c r="M84" s="43"/>
      <c r="O84" s="48"/>
      <c r="P84" s="48" t="e">
        <f>LocFeatures[[#This Row],[XP drop]]/(LocFeatures[[#This Row],[E. Cost]]-LocFeatures[[#This Row],[Energy gain]])</f>
        <v>#DIV/0!</v>
      </c>
      <c r="R84" s="43"/>
    </row>
    <row r="85" spans="9:18">
      <c r="I85" s="43"/>
      <c r="M85" s="43"/>
      <c r="O85" s="48"/>
      <c r="P85" s="48" t="e">
        <f>LocFeatures[[#This Row],[XP drop]]/(LocFeatures[[#This Row],[E. Cost]]-LocFeatures[[#This Row],[Energy gain]])</f>
        <v>#DIV/0!</v>
      </c>
      <c r="R85" s="43"/>
    </row>
    <row r="86" spans="9:18">
      <c r="I86" s="43"/>
      <c r="M86" s="43"/>
      <c r="O86" s="48"/>
      <c r="P86" s="48" t="e">
        <f>LocFeatures[[#This Row],[XP drop]]/(LocFeatures[[#This Row],[E. Cost]]-LocFeatures[[#This Row],[Energy gain]])</f>
        <v>#DIV/0!</v>
      </c>
      <c r="R86" s="43"/>
    </row>
    <row r="87" spans="9:18">
      <c r="I87" s="43"/>
      <c r="M87" s="43"/>
      <c r="O87" s="48"/>
      <c r="P87" s="48" t="e">
        <f>LocFeatures[[#This Row],[XP drop]]/(LocFeatures[[#This Row],[E. Cost]]-LocFeatures[[#This Row],[Energy gain]])</f>
        <v>#DIV/0!</v>
      </c>
      <c r="R87" s="43"/>
    </row>
    <row r="88" spans="9:18">
      <c r="I88" s="43"/>
      <c r="M88" s="43"/>
      <c r="O88" s="48"/>
      <c r="P88" s="48" t="e">
        <f>LocFeatures[[#This Row],[XP drop]]/(LocFeatures[[#This Row],[E. Cost]]-LocFeatures[[#This Row],[Energy gain]])</f>
        <v>#DIV/0!</v>
      </c>
      <c r="R88" s="43"/>
    </row>
    <row r="89" spans="9:18">
      <c r="I89" s="43"/>
      <c r="M89" s="43"/>
      <c r="O89" s="48"/>
      <c r="P89" s="48" t="e">
        <f>LocFeatures[[#This Row],[XP drop]]/(LocFeatures[[#This Row],[E. Cost]]-LocFeatures[[#This Row],[Energy gain]])</f>
        <v>#DIV/0!</v>
      </c>
      <c r="R89" s="43"/>
    </row>
    <row r="90" spans="9:18">
      <c r="I90" s="43"/>
      <c r="M90" s="43"/>
      <c r="O90" s="48"/>
      <c r="P90" s="48" t="e">
        <f>LocFeatures[[#This Row],[XP drop]]/(LocFeatures[[#This Row],[E. Cost]]-LocFeatures[[#This Row],[Energy gain]])</f>
        <v>#DIV/0!</v>
      </c>
      <c r="R90" s="43"/>
    </row>
    <row r="91" spans="9:18">
      <c r="I91" s="43"/>
      <c r="M91" s="43"/>
      <c r="O91" s="48"/>
      <c r="P91" s="48" t="e">
        <f>LocFeatures[[#This Row],[XP drop]]/(LocFeatures[[#This Row],[E. Cost]]-LocFeatures[[#This Row],[Energy gain]])</f>
        <v>#DIV/0!</v>
      </c>
      <c r="R91" s="43"/>
    </row>
    <row r="92" spans="9:18">
      <c r="I92" s="43"/>
      <c r="M92" s="43"/>
      <c r="O92" s="48"/>
      <c r="P92" s="48" t="e">
        <f>LocFeatures[[#This Row],[XP drop]]/(LocFeatures[[#This Row],[E. Cost]]-LocFeatures[[#This Row],[Energy gain]])</f>
        <v>#DIV/0!</v>
      </c>
      <c r="R92" s="43"/>
    </row>
    <row r="93" spans="9:18">
      <c r="I93" s="43"/>
      <c r="M93" s="43"/>
      <c r="O93" s="48"/>
      <c r="P93" s="48" t="e">
        <f>LocFeatures[[#This Row],[XP drop]]/(LocFeatures[[#This Row],[E. Cost]]-LocFeatures[[#This Row],[Energy gain]])</f>
        <v>#DIV/0!</v>
      </c>
      <c r="R93" s="43"/>
    </row>
    <row r="94" spans="9:18">
      <c r="I94" s="43"/>
      <c r="M94" s="43"/>
      <c r="O94" s="48"/>
      <c r="P94" s="48" t="e">
        <f>LocFeatures[[#This Row],[XP drop]]/(LocFeatures[[#This Row],[E. Cost]]-LocFeatures[[#This Row],[Energy gain]])</f>
        <v>#DIV/0!</v>
      </c>
      <c r="R94" s="4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29" t="s">
        <v>273</v>
      </c>
      <c r="S2" s="229"/>
      <c r="T2" s="229"/>
      <c r="U2" s="229"/>
      <c r="V2" s="229"/>
      <c r="W2" s="229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30" t="s">
        <v>315</v>
      </c>
      <c r="X19" s="230"/>
      <c r="Y19" s="230"/>
      <c r="Z19" s="230"/>
      <c r="AA19" s="230"/>
      <c r="AB19" s="230"/>
      <c r="AC19" s="230"/>
      <c r="AD19" s="230"/>
      <c r="AE19" s="230"/>
      <c r="AF19" s="230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features'!$Q$4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A8" sqref="A8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53</v>
      </c>
    </row>
    <row r="7" spans="1:8">
      <c r="A7" t="s">
        <v>892</v>
      </c>
      <c r="C7" t="s">
        <v>822</v>
      </c>
      <c r="D7" t="s">
        <v>224</v>
      </c>
      <c r="E7" t="s">
        <v>150</v>
      </c>
      <c r="F7" t="s">
        <v>149</v>
      </c>
      <c r="G7" t="s">
        <v>144</v>
      </c>
      <c r="H7">
        <v>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T327"/>
  <sheetViews>
    <sheetView workbookViewId="0">
      <pane ySplit="1" topLeftCell="A69" activePane="bottomLeft" state="frozen"/>
      <selection pane="bottomLeft" activeCell="C81" sqref="C81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</v>
      </c>
      <c r="B2" s="175" t="s">
        <v>764</v>
      </c>
      <c r="C2" s="175" t="s">
        <v>763</v>
      </c>
      <c r="D2" s="175">
        <v>2</v>
      </c>
      <c r="E2" s="175" t="s">
        <v>18</v>
      </c>
      <c r="F2" s="175">
        <v>1</v>
      </c>
      <c r="G2" s="175">
        <v>2</v>
      </c>
      <c r="H2" s="175">
        <v>4</v>
      </c>
      <c r="I2" s="175">
        <v>1</v>
      </c>
      <c r="J2" s="175">
        <v>1</v>
      </c>
      <c r="K2" s="175">
        <v>1</v>
      </c>
      <c r="L2" s="175">
        <v>1</v>
      </c>
      <c r="M2" s="175">
        <v>1</v>
      </c>
      <c r="N2" s="175" t="s">
        <v>445</v>
      </c>
      <c r="O2" s="175"/>
      <c r="P2" s="175"/>
      <c r="Q2" s="184">
        <f>SUM(Tabela2[[#This Row],[G]]+Tabela2[[#This Row],[D]]+Tabela2[[#This Row],[N]]+Tabela2[[#This Row],[HM]])</f>
        <v>8</v>
      </c>
      <c r="R2" s="184">
        <f>SUM(Tabela2[[#This Row],[AO]]+Tabela2[[#This Row],[AD]]+Tabela2[[#This Row],[GWO]]+Tabela2[[#This Row],[GWD]])</f>
        <v>4</v>
      </c>
      <c r="S2" s="184">
        <f>Tabela2[[#This Row],[GWO]]+Tabela2[[#This Row],[GWD]]</f>
        <v>2</v>
      </c>
      <c r="T2" s="180">
        <f>SUM(Tabela2[[#This Row],[G]:[GWD]])</f>
        <v>12</v>
      </c>
    </row>
    <row r="3" spans="1:20">
      <c r="A3" s="183">
        <v>2</v>
      </c>
      <c r="B3" s="175" t="s">
        <v>762</v>
      </c>
      <c r="C3" s="175" t="s">
        <v>712</v>
      </c>
      <c r="D3" s="175">
        <v>2</v>
      </c>
      <c r="E3" s="175" t="s">
        <v>18</v>
      </c>
      <c r="F3" s="175">
        <v>1</v>
      </c>
      <c r="G3" s="175">
        <v>1</v>
      </c>
      <c r="H3" s="175">
        <v>1</v>
      </c>
      <c r="I3" s="175">
        <v>1</v>
      </c>
      <c r="J3" s="175">
        <v>1</v>
      </c>
      <c r="K3" s="175">
        <v>1</v>
      </c>
      <c r="L3" s="175">
        <v>1</v>
      </c>
      <c r="M3" s="175">
        <v>1</v>
      </c>
      <c r="N3" s="170"/>
      <c r="O3" s="170"/>
      <c r="P3" s="170"/>
      <c r="Q3" s="180">
        <f>SUM(Tabela2[[#This Row],[G]]+Tabela2[[#This Row],[D]]+Tabela2[[#This Row],[N]]+Tabela2[[#This Row],[HM]])</f>
        <v>4</v>
      </c>
      <c r="R3" s="180">
        <f>SUM(Tabela2[[#This Row],[AO]]+Tabela2[[#This Row],[AD]]+Tabela2[[#This Row],[GWO]]+Tabela2[[#This Row],[GWD]])</f>
        <v>4</v>
      </c>
      <c r="S3" s="180">
        <f>Tabela2[[#This Row],[GWO]]+Tabela2[[#This Row],[GWD]]</f>
        <v>2</v>
      </c>
      <c r="T3" s="180">
        <f>SUM(Tabela2[[#This Row],[G]:[GWD]])</f>
        <v>8</v>
      </c>
    </row>
    <row r="4" spans="1:20">
      <c r="A4" s="183">
        <v>3</v>
      </c>
      <c r="B4" s="175" t="s">
        <v>761</v>
      </c>
      <c r="C4" s="175" t="s">
        <v>287</v>
      </c>
      <c r="D4" s="175">
        <v>2</v>
      </c>
      <c r="E4" s="175" t="s">
        <v>18</v>
      </c>
      <c r="F4" s="175">
        <v>1</v>
      </c>
      <c r="G4" s="175">
        <v>1</v>
      </c>
      <c r="H4" s="175">
        <v>1</v>
      </c>
      <c r="I4" s="175">
        <v>1</v>
      </c>
      <c r="J4" s="175">
        <v>1</v>
      </c>
      <c r="K4" s="175">
        <v>1</v>
      </c>
      <c r="L4" s="175">
        <v>1</v>
      </c>
      <c r="M4" s="175">
        <v>1</v>
      </c>
      <c r="N4" s="175" t="s">
        <v>445</v>
      </c>
      <c r="O4" s="175"/>
      <c r="P4" s="175"/>
      <c r="Q4" s="184">
        <f>SUM(Tabela2[[#This Row],[G]]+Tabela2[[#This Row],[D]]+Tabela2[[#This Row],[N]]+Tabela2[[#This Row],[HM]])</f>
        <v>4</v>
      </c>
      <c r="R4" s="184">
        <f>SUM(Tabela2[[#This Row],[AO]]+Tabela2[[#This Row],[AD]]+Tabela2[[#This Row],[GWO]]+Tabela2[[#This Row],[GWD]])</f>
        <v>4</v>
      </c>
      <c r="S4" s="184">
        <f>Tabela2[[#This Row],[GWO]]+Tabela2[[#This Row],[GWD]]</f>
        <v>2</v>
      </c>
      <c r="T4" s="181">
        <f>SUM(Tabela2[[#This Row],[G]:[GWD]])</f>
        <v>8</v>
      </c>
    </row>
    <row r="5" spans="1:20">
      <c r="A5" s="183">
        <v>4</v>
      </c>
      <c r="B5" s="175" t="s">
        <v>209</v>
      </c>
      <c r="C5" s="175" t="s">
        <v>760</v>
      </c>
      <c r="D5" s="175">
        <v>2</v>
      </c>
      <c r="E5" s="175" t="s">
        <v>18</v>
      </c>
      <c r="F5" s="175">
        <v>1</v>
      </c>
      <c r="G5" s="175">
        <v>4</v>
      </c>
      <c r="H5" s="175">
        <v>1</v>
      </c>
      <c r="I5" s="175">
        <v>5</v>
      </c>
      <c r="J5" s="175">
        <v>1</v>
      </c>
      <c r="K5" s="175">
        <v>1</v>
      </c>
      <c r="L5" s="175">
        <v>4</v>
      </c>
      <c r="M5" s="175">
        <v>1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7</v>
      </c>
      <c r="R5" s="180">
        <f>SUM(Tabela2[[#This Row],[AO]]+Tabela2[[#This Row],[AD]]+Tabela2[[#This Row],[GWO]]+Tabela2[[#This Row],[GWD]])</f>
        <v>11</v>
      </c>
      <c r="S5" s="180">
        <f>Tabela2[[#This Row],[GWO]]+Tabela2[[#This Row],[GWD]]</f>
        <v>5</v>
      </c>
      <c r="T5" s="180">
        <f>SUM(Tabela2[[#This Row],[G]:[GWD]])</f>
        <v>18</v>
      </c>
    </row>
    <row r="6" spans="1:20">
      <c r="A6" s="183">
        <v>5</v>
      </c>
      <c r="B6" s="175" t="s">
        <v>759</v>
      </c>
      <c r="C6" s="175" t="s">
        <v>721</v>
      </c>
      <c r="D6" s="175">
        <v>2</v>
      </c>
      <c r="E6" s="175" t="s">
        <v>18</v>
      </c>
      <c r="F6" s="175">
        <v>1</v>
      </c>
      <c r="G6" s="175">
        <v>1</v>
      </c>
      <c r="H6" s="175">
        <v>1</v>
      </c>
      <c r="I6" s="175">
        <v>1</v>
      </c>
      <c r="J6" s="175">
        <v>1</v>
      </c>
      <c r="K6" s="175">
        <v>1</v>
      </c>
      <c r="L6" s="175">
        <v>1</v>
      </c>
      <c r="M6" s="175">
        <v>1</v>
      </c>
      <c r="N6" s="170"/>
      <c r="O6" s="170"/>
      <c r="P6" s="170"/>
      <c r="Q6" s="180">
        <f>SUM(Tabela2[[#This Row],[G]]+Tabela2[[#This Row],[D]]+Tabela2[[#This Row],[N]]+Tabela2[[#This Row],[HM]])</f>
        <v>4</v>
      </c>
      <c r="R6" s="180">
        <f>SUM(Tabela2[[#This Row],[AO]]+Tabela2[[#This Row],[AD]]+Tabela2[[#This Row],[GWO]]+Tabela2[[#This Row],[GWD]])</f>
        <v>4</v>
      </c>
      <c r="S6" s="180">
        <f>Tabela2[[#This Row],[GWO]]+Tabela2[[#This Row],[GWD]]</f>
        <v>2</v>
      </c>
      <c r="T6" s="180">
        <f>SUM(Tabela2[[#This Row],[G]:[GWD]])</f>
        <v>8</v>
      </c>
    </row>
    <row r="7" spans="1:20">
      <c r="A7" s="183">
        <v>6</v>
      </c>
      <c r="B7" s="175" t="s">
        <v>758</v>
      </c>
      <c r="C7" s="175" t="s">
        <v>757</v>
      </c>
      <c r="D7" s="175">
        <v>2</v>
      </c>
      <c r="E7" s="175" t="s">
        <v>18</v>
      </c>
      <c r="F7" s="175">
        <v>1</v>
      </c>
      <c r="G7" s="175">
        <v>1</v>
      </c>
      <c r="H7" s="175">
        <v>1</v>
      </c>
      <c r="I7" s="175">
        <v>1</v>
      </c>
      <c r="J7" s="175">
        <v>1</v>
      </c>
      <c r="K7" s="175">
        <v>1</v>
      </c>
      <c r="L7" s="175">
        <v>1</v>
      </c>
      <c r="M7" s="175">
        <v>1</v>
      </c>
      <c r="N7" s="170"/>
      <c r="O7" s="170"/>
      <c r="P7" s="170"/>
      <c r="Q7" s="180">
        <f>SUM(Tabela2[[#This Row],[G]]+Tabela2[[#This Row],[D]]+Tabela2[[#This Row],[N]]+Tabela2[[#This Row],[HM]])</f>
        <v>4</v>
      </c>
      <c r="R7" s="180">
        <f>SUM(Tabela2[[#This Row],[AO]]+Tabela2[[#This Row],[AD]]+Tabela2[[#This Row],[GWO]]+Tabela2[[#This Row],[GWD]])</f>
        <v>4</v>
      </c>
      <c r="S7" s="180">
        <f>Tabela2[[#This Row],[GWO]]+Tabela2[[#This Row],[GWD]]</f>
        <v>2</v>
      </c>
      <c r="T7" s="180">
        <f>SUM(Tabela2[[#This Row],[G]:[GWD]])</f>
        <v>8</v>
      </c>
    </row>
    <row r="8" spans="1:20">
      <c r="A8" s="183">
        <v>7</v>
      </c>
      <c r="B8" s="175" t="s">
        <v>756</v>
      </c>
      <c r="C8" s="175" t="s">
        <v>555</v>
      </c>
      <c r="D8" s="175">
        <v>2</v>
      </c>
      <c r="E8" s="175" t="s">
        <v>18</v>
      </c>
      <c r="F8" s="175">
        <v>1</v>
      </c>
      <c r="G8" s="175">
        <v>1</v>
      </c>
      <c r="H8" s="175">
        <v>1</v>
      </c>
      <c r="I8" s="175">
        <v>1</v>
      </c>
      <c r="J8" s="175">
        <v>1</v>
      </c>
      <c r="K8" s="175">
        <v>1</v>
      </c>
      <c r="L8" s="175">
        <v>1</v>
      </c>
      <c r="M8" s="175">
        <v>1</v>
      </c>
      <c r="N8" s="170"/>
      <c r="O8" s="170"/>
      <c r="P8" s="170"/>
      <c r="Q8" s="180">
        <f>SUM(Tabela2[[#This Row],[G]]+Tabela2[[#This Row],[D]]+Tabela2[[#This Row],[N]]+Tabela2[[#This Row],[HM]])</f>
        <v>4</v>
      </c>
      <c r="R8" s="180">
        <f>SUM(Tabela2[[#This Row],[AO]]+Tabela2[[#This Row],[AD]]+Tabela2[[#This Row],[GWO]]+Tabela2[[#This Row],[GWD]])</f>
        <v>4</v>
      </c>
      <c r="S8" s="180">
        <f>Tabela2[[#This Row],[GWO]]+Tabela2[[#This Row],[GWD]]</f>
        <v>2</v>
      </c>
      <c r="T8" s="180">
        <f>SUM(Tabela2[[#This Row],[G]:[GWD]])</f>
        <v>8</v>
      </c>
    </row>
    <row r="9" spans="1:20">
      <c r="A9" s="183">
        <v>8</v>
      </c>
      <c r="B9" s="175" t="s">
        <v>755</v>
      </c>
      <c r="C9" s="175" t="s">
        <v>548</v>
      </c>
      <c r="D9" s="175">
        <v>2</v>
      </c>
      <c r="E9" s="175" t="s">
        <v>18</v>
      </c>
      <c r="F9" s="175">
        <v>1</v>
      </c>
      <c r="G9" s="175">
        <v>1</v>
      </c>
      <c r="H9" s="175">
        <v>4</v>
      </c>
      <c r="I9" s="175">
        <v>1</v>
      </c>
      <c r="J9" s="175">
        <v>1</v>
      </c>
      <c r="K9" s="175">
        <v>1</v>
      </c>
      <c r="L9" s="175">
        <v>1</v>
      </c>
      <c r="M9" s="175">
        <v>1</v>
      </c>
      <c r="N9" s="170"/>
      <c r="O9" s="170"/>
      <c r="P9" s="170"/>
      <c r="Q9" s="180">
        <f>SUM(Tabela2[[#This Row],[G]]+Tabela2[[#This Row],[D]]+Tabela2[[#This Row],[N]]+Tabela2[[#This Row],[HM]])</f>
        <v>7</v>
      </c>
      <c r="R9" s="180">
        <f>SUM(Tabela2[[#This Row],[AO]]+Tabela2[[#This Row],[AD]]+Tabela2[[#This Row],[GWO]]+Tabela2[[#This Row],[GWD]])</f>
        <v>4</v>
      </c>
      <c r="S9" s="180">
        <f>Tabela2[[#This Row],[GWO]]+Tabela2[[#This Row],[GWD]]</f>
        <v>2</v>
      </c>
      <c r="T9" s="180">
        <f>SUM(Tabela2[[#This Row],[G]:[GWD]])</f>
        <v>11</v>
      </c>
    </row>
    <row r="10" spans="1:20">
      <c r="A10" s="183">
        <v>9</v>
      </c>
      <c r="B10" s="175" t="s">
        <v>754</v>
      </c>
      <c r="C10" s="175" t="s">
        <v>753</v>
      </c>
      <c r="D10" s="175">
        <v>2</v>
      </c>
      <c r="E10" s="175" t="s">
        <v>18</v>
      </c>
      <c r="F10" s="175">
        <v>1</v>
      </c>
      <c r="G10" s="175">
        <v>1</v>
      </c>
      <c r="H10" s="175">
        <v>1</v>
      </c>
      <c r="I10" s="175">
        <v>1</v>
      </c>
      <c r="J10" s="175">
        <v>1</v>
      </c>
      <c r="K10" s="175">
        <v>1</v>
      </c>
      <c r="L10" s="175">
        <v>1</v>
      </c>
      <c r="M10" s="175">
        <v>1</v>
      </c>
      <c r="N10" s="170"/>
      <c r="O10" s="170"/>
      <c r="P10" s="170"/>
      <c r="Q10" s="180">
        <f>SUM(Tabela2[[#This Row],[G]]+Tabela2[[#This Row],[D]]+Tabela2[[#This Row],[N]]+Tabela2[[#This Row],[HM]])</f>
        <v>4</v>
      </c>
      <c r="R10" s="180">
        <f>SUM(Tabela2[[#This Row],[AO]]+Tabela2[[#This Row],[AD]]+Tabela2[[#This Row],[GWO]]+Tabela2[[#This Row],[GWD]])</f>
        <v>4</v>
      </c>
      <c r="S10" s="180">
        <f>Tabela2[[#This Row],[GWO]]+Tabela2[[#This Row],[GWD]]</f>
        <v>2</v>
      </c>
      <c r="T10" s="180">
        <f>SUM(Tabela2[[#This Row],[G]:[GWD]])</f>
        <v>8</v>
      </c>
    </row>
    <row r="11" spans="1:20">
      <c r="A11" s="183">
        <v>10</v>
      </c>
      <c r="B11" s="174" t="s">
        <v>752</v>
      </c>
      <c r="C11" s="174" t="s">
        <v>714</v>
      </c>
      <c r="D11" s="174">
        <v>2</v>
      </c>
      <c r="E11" s="174" t="s">
        <v>249</v>
      </c>
      <c r="F11" s="174">
        <v>2</v>
      </c>
      <c r="G11" s="174">
        <v>1</v>
      </c>
      <c r="H11" s="174">
        <v>2</v>
      </c>
      <c r="I11" s="174">
        <v>1</v>
      </c>
      <c r="J11" s="174">
        <v>1</v>
      </c>
      <c r="K11" s="174">
        <v>1</v>
      </c>
      <c r="L11" s="174">
        <v>1</v>
      </c>
      <c r="M11" s="174">
        <v>1</v>
      </c>
      <c r="N11" s="170"/>
      <c r="O11" s="170"/>
      <c r="P11" s="170"/>
      <c r="Q11" s="180">
        <f>SUM(Tabela2[[#This Row],[G]]+Tabela2[[#This Row],[D]]+Tabela2[[#This Row],[N]]+Tabela2[[#This Row],[HM]])</f>
        <v>6</v>
      </c>
      <c r="R11" s="180">
        <f>SUM(Tabela2[[#This Row],[AO]]+Tabela2[[#This Row],[AD]]+Tabela2[[#This Row],[GWO]]+Tabela2[[#This Row],[GWD]])</f>
        <v>4</v>
      </c>
      <c r="S11" s="180">
        <f>Tabela2[[#This Row],[GWO]]+Tabela2[[#This Row],[GWD]]</f>
        <v>2</v>
      </c>
      <c r="T11" s="180">
        <f>SUM(Tabela2[[#This Row],[G]:[GWD]])</f>
        <v>10</v>
      </c>
    </row>
    <row r="12" spans="1:20">
      <c r="A12" s="183">
        <v>11</v>
      </c>
      <c r="B12" s="174" t="s">
        <v>751</v>
      </c>
      <c r="C12" s="174" t="s">
        <v>712</v>
      </c>
      <c r="D12" s="174">
        <v>2</v>
      </c>
      <c r="E12" s="174" t="s">
        <v>249</v>
      </c>
      <c r="F12" s="174">
        <v>1</v>
      </c>
      <c r="G12" s="174">
        <v>1</v>
      </c>
      <c r="H12" s="174">
        <v>1</v>
      </c>
      <c r="I12" s="174">
        <v>1</v>
      </c>
      <c r="J12" s="174">
        <v>1</v>
      </c>
      <c r="K12" s="174">
        <v>1</v>
      </c>
      <c r="L12" s="174">
        <v>1</v>
      </c>
      <c r="M12" s="174">
        <v>1</v>
      </c>
      <c r="N12" s="174" t="s">
        <v>445</v>
      </c>
      <c r="O12" s="174"/>
      <c r="P12" s="174"/>
      <c r="Q12" s="185">
        <f>SUM(Tabela2[[#This Row],[G]]+Tabela2[[#This Row],[D]]+Tabela2[[#This Row],[N]]+Tabela2[[#This Row],[HM]])</f>
        <v>4</v>
      </c>
      <c r="R12" s="185">
        <f>SUM(Tabela2[[#This Row],[AO]]+Tabela2[[#This Row],[AD]]+Tabela2[[#This Row],[GWO]]+Tabela2[[#This Row],[GWD]])</f>
        <v>4</v>
      </c>
      <c r="S12" s="185">
        <f>Tabela2[[#This Row],[GWO]]+Tabela2[[#This Row],[GWD]]</f>
        <v>2</v>
      </c>
      <c r="T12" s="180">
        <f>SUM(Tabela2[[#This Row],[G]:[GWD]])</f>
        <v>8</v>
      </c>
    </row>
    <row r="13" spans="1:20">
      <c r="A13" s="183">
        <v>12</v>
      </c>
      <c r="B13" s="174" t="s">
        <v>750</v>
      </c>
      <c r="C13" s="174" t="s">
        <v>706</v>
      </c>
      <c r="D13" s="174">
        <v>2</v>
      </c>
      <c r="E13" s="174" t="s">
        <v>249</v>
      </c>
      <c r="F13" s="174">
        <v>1</v>
      </c>
      <c r="G13" s="174">
        <v>1</v>
      </c>
      <c r="H13" s="174">
        <v>1</v>
      </c>
      <c r="I13" s="174">
        <v>1</v>
      </c>
      <c r="J13" s="174">
        <v>1</v>
      </c>
      <c r="K13" s="174">
        <v>1</v>
      </c>
      <c r="L13" s="174">
        <v>1</v>
      </c>
      <c r="M13" s="174">
        <v>1</v>
      </c>
      <c r="N13" s="170"/>
      <c r="O13" s="170"/>
      <c r="P13" s="170"/>
      <c r="Q13" s="180">
        <f>SUM(Tabela2[[#This Row],[G]]+Tabela2[[#This Row],[D]]+Tabela2[[#This Row],[N]]+Tabela2[[#This Row],[HM]])</f>
        <v>4</v>
      </c>
      <c r="R13" s="180">
        <f>SUM(Tabela2[[#This Row],[AO]]+Tabela2[[#This Row],[AD]]+Tabela2[[#This Row],[GWO]]+Tabela2[[#This Row],[GWD]])</f>
        <v>4</v>
      </c>
      <c r="S13" s="180">
        <f>Tabela2[[#This Row],[GWO]]+Tabela2[[#This Row],[GWD]]</f>
        <v>2</v>
      </c>
      <c r="T13" s="180">
        <f>SUM(Tabela2[[#This Row],[G]:[GWD]])</f>
        <v>8</v>
      </c>
    </row>
    <row r="14" spans="1:20">
      <c r="A14" s="183">
        <v>13</v>
      </c>
      <c r="B14" s="174" t="s">
        <v>749</v>
      </c>
      <c r="C14" s="174" t="s">
        <v>594</v>
      </c>
      <c r="D14" s="174">
        <v>2</v>
      </c>
      <c r="E14" s="174" t="s">
        <v>249</v>
      </c>
      <c r="F14" s="174">
        <v>1</v>
      </c>
      <c r="G14" s="174">
        <v>2</v>
      </c>
      <c r="H14" s="174">
        <v>1</v>
      </c>
      <c r="I14" s="174">
        <v>1</v>
      </c>
      <c r="J14" s="174">
        <v>1</v>
      </c>
      <c r="K14" s="174">
        <v>1</v>
      </c>
      <c r="L14" s="174">
        <v>1</v>
      </c>
      <c r="M14" s="174">
        <v>1</v>
      </c>
      <c r="N14" s="170"/>
      <c r="O14" s="170"/>
      <c r="P14" s="170"/>
      <c r="Q14" s="180">
        <f>SUM(Tabela2[[#This Row],[G]]+Tabela2[[#This Row],[D]]+Tabela2[[#This Row],[N]]+Tabela2[[#This Row],[HM]])</f>
        <v>5</v>
      </c>
      <c r="R14" s="180">
        <f>SUM(Tabela2[[#This Row],[AO]]+Tabela2[[#This Row],[AD]]+Tabela2[[#This Row],[GWO]]+Tabela2[[#This Row],[GWD]])</f>
        <v>4</v>
      </c>
      <c r="S14" s="180">
        <f>Tabela2[[#This Row],[GWO]]+Tabela2[[#This Row],[GWD]]</f>
        <v>2</v>
      </c>
      <c r="T14" s="180">
        <f>SUM(Tabela2[[#This Row],[G]:[GWD]])</f>
        <v>9</v>
      </c>
    </row>
    <row r="15" spans="1:20">
      <c r="A15" s="183">
        <v>14</v>
      </c>
      <c r="B15" s="174" t="s">
        <v>748</v>
      </c>
      <c r="C15" s="174" t="s">
        <v>747</v>
      </c>
      <c r="D15" s="174">
        <v>2</v>
      </c>
      <c r="E15" s="174" t="s">
        <v>249</v>
      </c>
      <c r="F15" s="174">
        <v>1</v>
      </c>
      <c r="G15" s="174">
        <v>1</v>
      </c>
      <c r="H15" s="174">
        <v>1</v>
      </c>
      <c r="I15" s="174">
        <v>1</v>
      </c>
      <c r="J15" s="174">
        <v>1</v>
      </c>
      <c r="K15" s="174">
        <v>1</v>
      </c>
      <c r="L15" s="174">
        <v>1</v>
      </c>
      <c r="M15" s="174">
        <v>1</v>
      </c>
      <c r="N15" s="170"/>
      <c r="O15" s="170"/>
      <c r="P15" s="170"/>
      <c r="Q15" s="180">
        <f>SUM(Tabela2[[#This Row],[G]]+Tabela2[[#This Row],[D]]+Tabela2[[#This Row],[N]]+Tabela2[[#This Row],[HM]])</f>
        <v>4</v>
      </c>
      <c r="R15" s="180">
        <f>SUM(Tabela2[[#This Row],[AO]]+Tabela2[[#This Row],[AD]]+Tabela2[[#This Row],[GWO]]+Tabela2[[#This Row],[GWD]])</f>
        <v>4</v>
      </c>
      <c r="S15" s="180">
        <f>Tabela2[[#This Row],[GWO]]+Tabela2[[#This Row],[GWD]]</f>
        <v>2</v>
      </c>
      <c r="T15" s="180">
        <f>SUM(Tabela2[[#This Row],[G]:[GWD]])</f>
        <v>8</v>
      </c>
    </row>
    <row r="16" spans="1:20">
      <c r="A16" s="183">
        <v>15</v>
      </c>
      <c r="B16" s="174" t="s">
        <v>746</v>
      </c>
      <c r="C16" s="174" t="s">
        <v>735</v>
      </c>
      <c r="D16" s="174">
        <v>2</v>
      </c>
      <c r="E16" s="174" t="s">
        <v>249</v>
      </c>
      <c r="F16" s="174">
        <v>1</v>
      </c>
      <c r="G16" s="174">
        <v>1</v>
      </c>
      <c r="H16" s="174">
        <v>1</v>
      </c>
      <c r="I16" s="174">
        <v>1</v>
      </c>
      <c r="J16" s="174">
        <v>1</v>
      </c>
      <c r="K16" s="174">
        <v>1</v>
      </c>
      <c r="L16" s="174">
        <v>1</v>
      </c>
      <c r="M16" s="174">
        <v>1</v>
      </c>
      <c r="N16" s="170"/>
      <c r="O16" s="170"/>
      <c r="P16" s="170"/>
      <c r="Q16" s="180">
        <f>SUM(Tabela2[[#This Row],[G]]+Tabela2[[#This Row],[D]]+Tabela2[[#This Row],[N]]+Tabela2[[#This Row],[HM]])</f>
        <v>4</v>
      </c>
      <c r="R16" s="180">
        <f>SUM(Tabela2[[#This Row],[AO]]+Tabela2[[#This Row],[AD]]+Tabela2[[#This Row],[GWO]]+Tabela2[[#This Row],[GWD]])</f>
        <v>4</v>
      </c>
      <c r="S16" s="180">
        <f>Tabela2[[#This Row],[GWO]]+Tabela2[[#This Row],[GWD]]</f>
        <v>2</v>
      </c>
      <c r="T16" s="180">
        <f>SUM(Tabela2[[#This Row],[G]:[GWD]])</f>
        <v>8</v>
      </c>
    </row>
    <row r="17" spans="1:20">
      <c r="A17" s="183">
        <v>16</v>
      </c>
      <c r="B17" s="174" t="s">
        <v>745</v>
      </c>
      <c r="C17" s="174" t="s">
        <v>710</v>
      </c>
      <c r="D17" s="174">
        <v>2</v>
      </c>
      <c r="E17" s="174" t="s">
        <v>249</v>
      </c>
      <c r="F17" s="174">
        <v>1</v>
      </c>
      <c r="G17" s="174">
        <v>1</v>
      </c>
      <c r="H17" s="174">
        <v>1</v>
      </c>
      <c r="I17" s="174">
        <v>1</v>
      </c>
      <c r="J17" s="174">
        <v>1</v>
      </c>
      <c r="K17" s="174">
        <v>1</v>
      </c>
      <c r="L17" s="174">
        <v>1</v>
      </c>
      <c r="M17" s="174">
        <v>1</v>
      </c>
      <c r="N17" s="170"/>
      <c r="O17" s="170"/>
      <c r="P17" s="170"/>
      <c r="Q17" s="180">
        <f>SUM(Tabela2[[#This Row],[G]]+Tabela2[[#This Row],[D]]+Tabela2[[#This Row],[N]]+Tabela2[[#This Row],[HM]])</f>
        <v>4</v>
      </c>
      <c r="R17" s="180">
        <f>SUM(Tabela2[[#This Row],[AO]]+Tabela2[[#This Row],[AD]]+Tabela2[[#This Row],[GWO]]+Tabela2[[#This Row],[GWD]])</f>
        <v>4</v>
      </c>
      <c r="S17" s="180">
        <f>Tabela2[[#This Row],[GWO]]+Tabela2[[#This Row],[GWD]]</f>
        <v>2</v>
      </c>
      <c r="T17" s="180">
        <f>SUM(Tabela2[[#This Row],[G]:[GWD]])</f>
        <v>8</v>
      </c>
    </row>
    <row r="18" spans="1:20">
      <c r="A18" s="183">
        <v>17</v>
      </c>
      <c r="B18" s="174" t="s">
        <v>744</v>
      </c>
      <c r="C18" s="174" t="s">
        <v>708</v>
      </c>
      <c r="D18" s="174">
        <v>2</v>
      </c>
      <c r="E18" s="174" t="s">
        <v>249</v>
      </c>
      <c r="F18" s="174">
        <v>1</v>
      </c>
      <c r="G18" s="174">
        <v>1</v>
      </c>
      <c r="H18" s="174">
        <v>1</v>
      </c>
      <c r="I18" s="174">
        <v>1</v>
      </c>
      <c r="J18" s="174">
        <v>1</v>
      </c>
      <c r="K18" s="174">
        <v>1</v>
      </c>
      <c r="L18" s="174">
        <v>1</v>
      </c>
      <c r="M18" s="174">
        <v>1</v>
      </c>
      <c r="N18" s="170"/>
      <c r="O18" s="170"/>
      <c r="P18" s="170"/>
      <c r="Q18" s="180">
        <f>SUM(Tabela2[[#This Row],[G]]+Tabela2[[#This Row],[D]]+Tabela2[[#This Row],[N]]+Tabela2[[#This Row],[HM]])</f>
        <v>4</v>
      </c>
      <c r="R18" s="180">
        <f>SUM(Tabela2[[#This Row],[AO]]+Tabela2[[#This Row],[AD]]+Tabela2[[#This Row],[GWO]]+Tabela2[[#This Row],[GWD]])</f>
        <v>4</v>
      </c>
      <c r="S18" s="180">
        <f>Tabela2[[#This Row],[GWO]]+Tabela2[[#This Row],[GWD]]</f>
        <v>2</v>
      </c>
      <c r="T18" s="180">
        <f>SUM(Tabela2[[#This Row],[G]:[GWD]])</f>
        <v>8</v>
      </c>
    </row>
    <row r="19" spans="1:20">
      <c r="A19" s="183">
        <v>18</v>
      </c>
      <c r="B19" s="174" t="s">
        <v>743</v>
      </c>
      <c r="C19" s="174" t="s">
        <v>716</v>
      </c>
      <c r="D19" s="174">
        <v>2</v>
      </c>
      <c r="E19" s="174" t="s">
        <v>249</v>
      </c>
      <c r="F19" s="174">
        <v>1</v>
      </c>
      <c r="G19" s="174">
        <v>2</v>
      </c>
      <c r="H19" s="174">
        <v>1</v>
      </c>
      <c r="I19" s="174">
        <v>1</v>
      </c>
      <c r="J19" s="174">
        <v>1</v>
      </c>
      <c r="K19" s="174">
        <v>1</v>
      </c>
      <c r="L19" s="174">
        <v>2</v>
      </c>
      <c r="M19" s="174">
        <v>2</v>
      </c>
      <c r="N19" s="170"/>
      <c r="O19" s="170"/>
      <c r="P19" s="170"/>
      <c r="Q19" s="180">
        <f>SUM(Tabela2[[#This Row],[G]]+Tabela2[[#This Row],[D]]+Tabela2[[#This Row],[N]]+Tabela2[[#This Row],[HM]])</f>
        <v>5</v>
      </c>
      <c r="R19" s="180">
        <f>SUM(Tabela2[[#This Row],[AO]]+Tabela2[[#This Row],[AD]]+Tabela2[[#This Row],[GWO]]+Tabela2[[#This Row],[GWD]])</f>
        <v>6</v>
      </c>
      <c r="S19" s="180">
        <f>Tabela2[[#This Row],[GWO]]+Tabela2[[#This Row],[GWD]]</f>
        <v>4</v>
      </c>
      <c r="T19" s="180">
        <f>SUM(Tabela2[[#This Row],[G]:[GWD]])</f>
        <v>11</v>
      </c>
    </row>
    <row r="20" spans="1:20">
      <c r="A20" s="183">
        <v>19</v>
      </c>
      <c r="B20" s="174" t="s">
        <v>146</v>
      </c>
      <c r="C20" s="174" t="s">
        <v>725</v>
      </c>
      <c r="D20" s="174">
        <v>2</v>
      </c>
      <c r="E20" s="174" t="s">
        <v>249</v>
      </c>
      <c r="F20" s="174">
        <v>3</v>
      </c>
      <c r="G20" s="174">
        <v>4</v>
      </c>
      <c r="H20" s="174">
        <v>1</v>
      </c>
      <c r="I20" s="174">
        <v>3</v>
      </c>
      <c r="J20" s="174">
        <v>3</v>
      </c>
      <c r="K20" s="174">
        <v>3</v>
      </c>
      <c r="L20" s="174">
        <v>3</v>
      </c>
      <c r="M20" s="174">
        <v>3</v>
      </c>
      <c r="N20" s="174" t="s">
        <v>445</v>
      </c>
      <c r="O20" s="174" t="s">
        <v>204</v>
      </c>
      <c r="P20" s="174"/>
      <c r="Q20" s="185">
        <f>SUM(Tabela2[[#This Row],[G]]+Tabela2[[#This Row],[D]]+Tabela2[[#This Row],[N]]+Tabela2[[#This Row],[HM]])</f>
        <v>11</v>
      </c>
      <c r="R20" s="185">
        <f>SUM(Tabela2[[#This Row],[AO]]+Tabela2[[#This Row],[AD]]+Tabela2[[#This Row],[GWO]]+Tabela2[[#This Row],[GWD]])</f>
        <v>12</v>
      </c>
      <c r="S20" s="185">
        <f>Tabela2[[#This Row],[GWO]]+Tabela2[[#This Row],[GWD]]</f>
        <v>6</v>
      </c>
      <c r="T20" s="180">
        <f>SUM(Tabela2[[#This Row],[G]:[GWD]])</f>
        <v>23</v>
      </c>
    </row>
    <row r="21" spans="1:20">
      <c r="A21" s="183">
        <v>20</v>
      </c>
      <c r="B21" s="174" t="s">
        <v>742</v>
      </c>
      <c r="C21" s="174" t="s">
        <v>729</v>
      </c>
      <c r="D21" s="174">
        <v>2</v>
      </c>
      <c r="E21" s="174" t="s">
        <v>249</v>
      </c>
      <c r="F21" s="174">
        <v>1</v>
      </c>
      <c r="G21" s="174">
        <v>1</v>
      </c>
      <c r="H21" s="174">
        <v>1</v>
      </c>
      <c r="I21" s="174">
        <v>1</v>
      </c>
      <c r="J21" s="174">
        <v>1</v>
      </c>
      <c r="K21" s="174">
        <v>1</v>
      </c>
      <c r="L21" s="174">
        <v>1</v>
      </c>
      <c r="M21" s="174">
        <v>1</v>
      </c>
      <c r="N21" s="170"/>
      <c r="O21" s="170"/>
      <c r="P21" s="170"/>
      <c r="Q21" s="180">
        <f>SUM(Tabela2[[#This Row],[G]]+Tabela2[[#This Row],[D]]+Tabela2[[#This Row],[N]]+Tabela2[[#This Row],[HM]])</f>
        <v>4</v>
      </c>
      <c r="R21" s="180">
        <f>SUM(Tabela2[[#This Row],[AO]]+Tabela2[[#This Row],[AD]]+Tabela2[[#This Row],[GWO]]+Tabela2[[#This Row],[GWD]])</f>
        <v>4</v>
      </c>
      <c r="S21" s="180">
        <f>Tabela2[[#This Row],[GWO]]+Tabela2[[#This Row],[GWD]]</f>
        <v>2</v>
      </c>
      <c r="T21" s="180">
        <f>SUM(Tabela2[[#This Row],[G]:[GWD]])</f>
        <v>8</v>
      </c>
    </row>
    <row r="22" spans="1:20">
      <c r="A22" s="183">
        <v>21</v>
      </c>
      <c r="B22" s="172" t="s">
        <v>741</v>
      </c>
      <c r="C22" s="172" t="s">
        <v>714</v>
      </c>
      <c r="D22" s="172">
        <v>2</v>
      </c>
      <c r="E22" s="172" t="s">
        <v>250</v>
      </c>
      <c r="F22" s="172">
        <v>1</v>
      </c>
      <c r="G22" s="172">
        <v>1</v>
      </c>
      <c r="H22" s="172">
        <v>1</v>
      </c>
      <c r="I22" s="172">
        <v>1</v>
      </c>
      <c r="J22" s="172">
        <v>1</v>
      </c>
      <c r="K22" s="172">
        <v>1</v>
      </c>
      <c r="L22" s="172">
        <v>1</v>
      </c>
      <c r="M22" s="172">
        <v>1</v>
      </c>
      <c r="N22" s="170"/>
      <c r="O22" s="170"/>
      <c r="P22" s="170"/>
      <c r="Q22" s="180">
        <f>SUM(Tabela2[[#This Row],[G]]+Tabela2[[#This Row],[D]]+Tabela2[[#This Row],[N]]+Tabela2[[#This Row],[HM]])</f>
        <v>4</v>
      </c>
      <c r="R22" s="180">
        <f>SUM(Tabela2[[#This Row],[AO]]+Tabela2[[#This Row],[AD]]+Tabela2[[#This Row],[GWO]]+Tabela2[[#This Row],[GWD]])</f>
        <v>4</v>
      </c>
      <c r="S22" s="180">
        <f>Tabela2[[#This Row],[GWO]]+Tabela2[[#This Row],[GWD]]</f>
        <v>2</v>
      </c>
      <c r="T22" s="180">
        <f>SUM(Tabela2[[#This Row],[G]:[GWD]])</f>
        <v>8</v>
      </c>
    </row>
    <row r="23" spans="1:20">
      <c r="A23" s="183">
        <v>22</v>
      </c>
      <c r="B23" s="172" t="s">
        <v>150</v>
      </c>
      <c r="C23" s="172" t="s">
        <v>712</v>
      </c>
      <c r="D23" s="172">
        <v>2</v>
      </c>
      <c r="E23" s="172" t="s">
        <v>250</v>
      </c>
      <c r="F23" s="172">
        <v>5</v>
      </c>
      <c r="G23" s="172">
        <v>1</v>
      </c>
      <c r="H23" s="172">
        <v>1</v>
      </c>
      <c r="I23" s="172">
        <v>1</v>
      </c>
      <c r="J23" s="172">
        <v>1</v>
      </c>
      <c r="K23" s="172">
        <v>1</v>
      </c>
      <c r="L23" s="172">
        <v>1</v>
      </c>
      <c r="M23" s="172">
        <v>1</v>
      </c>
      <c r="N23" s="170"/>
      <c r="O23" s="170"/>
      <c r="P23" s="170"/>
      <c r="Q23" s="180">
        <f>SUM(Tabela2[[#This Row],[G]]+Tabela2[[#This Row],[D]]+Tabela2[[#This Row],[N]]+Tabela2[[#This Row],[HM]])</f>
        <v>8</v>
      </c>
      <c r="R23" s="180">
        <f>SUM(Tabela2[[#This Row],[AO]]+Tabela2[[#This Row],[AD]]+Tabela2[[#This Row],[GWO]]+Tabela2[[#This Row],[GWD]])</f>
        <v>4</v>
      </c>
      <c r="S23" s="180">
        <f>Tabela2[[#This Row],[GWO]]+Tabela2[[#This Row],[GWD]]</f>
        <v>2</v>
      </c>
      <c r="T23" s="180">
        <f>SUM(Tabela2[[#This Row],[G]:[GWD]])</f>
        <v>12</v>
      </c>
    </row>
    <row r="24" spans="1:20">
      <c r="A24" s="183">
        <v>23</v>
      </c>
      <c r="B24" s="172" t="s">
        <v>740</v>
      </c>
      <c r="C24" s="172" t="s">
        <v>706</v>
      </c>
      <c r="D24" s="172">
        <v>2</v>
      </c>
      <c r="E24" s="172" t="s">
        <v>250</v>
      </c>
      <c r="F24" s="172">
        <v>2</v>
      </c>
      <c r="G24" s="172">
        <v>1</v>
      </c>
      <c r="H24" s="172">
        <v>2</v>
      </c>
      <c r="I24" s="172">
        <v>1</v>
      </c>
      <c r="J24" s="172">
        <v>1</v>
      </c>
      <c r="K24" s="172">
        <v>1</v>
      </c>
      <c r="L24" s="172">
        <v>1</v>
      </c>
      <c r="M24" s="172">
        <v>1</v>
      </c>
      <c r="N24" s="170"/>
      <c r="O24" s="194" t="s">
        <v>204</v>
      </c>
      <c r="P24" s="194"/>
      <c r="Q24" s="180">
        <f>SUM(Tabela2[[#This Row],[G]]+Tabela2[[#This Row],[D]]+Tabela2[[#This Row],[N]]+Tabela2[[#This Row],[HM]])</f>
        <v>6</v>
      </c>
      <c r="R24" s="180">
        <f>SUM(Tabela2[[#This Row],[AO]]+Tabela2[[#This Row],[AD]]+Tabela2[[#This Row],[GWO]]+Tabela2[[#This Row],[GWD]])</f>
        <v>4</v>
      </c>
      <c r="S24" s="180">
        <f>Tabela2[[#This Row],[GWO]]+Tabela2[[#This Row],[GWD]]</f>
        <v>2</v>
      </c>
      <c r="T24" s="180">
        <f>SUM(Tabela2[[#This Row],[G]:[GWD]])</f>
        <v>10</v>
      </c>
    </row>
    <row r="25" spans="1:20">
      <c r="A25" s="183">
        <v>24</v>
      </c>
      <c r="B25" s="172" t="s">
        <v>739</v>
      </c>
      <c r="C25" s="172" t="s">
        <v>594</v>
      </c>
      <c r="D25" s="172">
        <v>2</v>
      </c>
      <c r="E25" s="172" t="s">
        <v>250</v>
      </c>
      <c r="F25" s="172">
        <v>1</v>
      </c>
      <c r="G25" s="172">
        <v>1</v>
      </c>
      <c r="H25" s="172">
        <v>1</v>
      </c>
      <c r="I25" s="172">
        <v>1</v>
      </c>
      <c r="J25" s="172">
        <v>1</v>
      </c>
      <c r="K25" s="172">
        <v>1</v>
      </c>
      <c r="L25" s="172">
        <v>1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4</v>
      </c>
      <c r="R25" s="180">
        <f>SUM(Tabela2[[#This Row],[AO]]+Tabela2[[#This Row],[AD]]+Tabela2[[#This Row],[GWO]]+Tabela2[[#This Row],[GWD]])</f>
        <v>4</v>
      </c>
      <c r="S25" s="180">
        <f>Tabela2[[#This Row],[GWO]]+Tabela2[[#This Row],[GWD]]</f>
        <v>2</v>
      </c>
      <c r="T25" s="180">
        <f>SUM(Tabela2[[#This Row],[G]:[GWD]])</f>
        <v>8</v>
      </c>
    </row>
    <row r="26" spans="1:20">
      <c r="A26" s="183">
        <v>25</v>
      </c>
      <c r="B26" s="172" t="s">
        <v>738</v>
      </c>
      <c r="C26" s="172" t="s">
        <v>737</v>
      </c>
      <c r="D26" s="172">
        <v>2</v>
      </c>
      <c r="E26" s="172" t="s">
        <v>250</v>
      </c>
      <c r="F26" s="172">
        <v>1</v>
      </c>
      <c r="G26" s="172">
        <v>1</v>
      </c>
      <c r="H26" s="172">
        <v>1</v>
      </c>
      <c r="I26" s="172">
        <v>1</v>
      </c>
      <c r="J26" s="172">
        <v>1</v>
      </c>
      <c r="K26" s="172">
        <v>1</v>
      </c>
      <c r="L26" s="172">
        <v>1</v>
      </c>
      <c r="M26" s="172">
        <v>1</v>
      </c>
      <c r="N26" s="170"/>
      <c r="O26" s="170"/>
      <c r="P26" s="170"/>
      <c r="Q26" s="180">
        <f>SUM(Tabela2[[#This Row],[G]]+Tabela2[[#This Row],[D]]+Tabela2[[#This Row],[N]]+Tabela2[[#This Row],[HM]])</f>
        <v>4</v>
      </c>
      <c r="R26" s="180">
        <f>SUM(Tabela2[[#This Row],[AO]]+Tabela2[[#This Row],[AD]]+Tabela2[[#This Row],[GWO]]+Tabela2[[#This Row],[GWD]])</f>
        <v>4</v>
      </c>
      <c r="S26" s="180">
        <f>Tabela2[[#This Row],[GWO]]+Tabela2[[#This Row],[GWD]]</f>
        <v>2</v>
      </c>
      <c r="T26" s="180">
        <f>SUM(Tabela2[[#This Row],[G]:[GWD]])</f>
        <v>8</v>
      </c>
    </row>
    <row r="27" spans="1:20">
      <c r="A27" s="183">
        <v>26</v>
      </c>
      <c r="B27" s="172" t="s">
        <v>736</v>
      </c>
      <c r="C27" s="172" t="s">
        <v>735</v>
      </c>
      <c r="D27" s="172">
        <v>2</v>
      </c>
      <c r="E27" s="172" t="s">
        <v>250</v>
      </c>
      <c r="F27" s="172">
        <v>1</v>
      </c>
      <c r="G27" s="172">
        <v>1</v>
      </c>
      <c r="H27" s="172">
        <v>1</v>
      </c>
      <c r="I27" s="172">
        <v>1</v>
      </c>
      <c r="J27" s="172">
        <v>1</v>
      </c>
      <c r="K27" s="172">
        <v>1</v>
      </c>
      <c r="L27" s="172">
        <v>1</v>
      </c>
      <c r="M27" s="172">
        <v>1</v>
      </c>
      <c r="N27" s="172" t="s">
        <v>445</v>
      </c>
      <c r="O27" s="172"/>
      <c r="P27" s="172"/>
      <c r="Q27" s="186">
        <f>SUM(Tabela2[[#This Row],[G]]+Tabela2[[#This Row],[D]]+Tabela2[[#This Row],[N]]+Tabela2[[#This Row],[HM]])</f>
        <v>4</v>
      </c>
      <c r="R27" s="186">
        <f>SUM(Tabela2[[#This Row],[AO]]+Tabela2[[#This Row],[AD]]+Tabela2[[#This Row],[GWO]]+Tabela2[[#This Row],[GWD]])</f>
        <v>4</v>
      </c>
      <c r="S27" s="186">
        <f>Tabela2[[#This Row],[GWO]]+Tabela2[[#This Row],[GWD]]</f>
        <v>2</v>
      </c>
      <c r="T27" s="180">
        <f>SUM(Tabela2[[#This Row],[G]:[GWD]])</f>
        <v>8</v>
      </c>
    </row>
    <row r="28" spans="1:20">
      <c r="A28" s="183">
        <v>27</v>
      </c>
      <c r="B28" s="172" t="s">
        <v>734</v>
      </c>
      <c r="C28" s="172" t="s">
        <v>708</v>
      </c>
      <c r="D28" s="172">
        <v>2</v>
      </c>
      <c r="E28" s="172" t="s">
        <v>250</v>
      </c>
      <c r="F28" s="172">
        <v>1</v>
      </c>
      <c r="G28" s="172">
        <v>1</v>
      </c>
      <c r="H28" s="172">
        <v>4</v>
      </c>
      <c r="I28" s="172">
        <v>1</v>
      </c>
      <c r="J28" s="172">
        <v>1</v>
      </c>
      <c r="K28" s="172">
        <v>1</v>
      </c>
      <c r="L28" s="172">
        <v>1</v>
      </c>
      <c r="M28" s="172">
        <v>1</v>
      </c>
      <c r="N28" s="170"/>
      <c r="O28" s="170"/>
      <c r="P28" s="170"/>
      <c r="Q28" s="180">
        <f>SUM(Tabela2[[#This Row],[G]]+Tabela2[[#This Row],[D]]+Tabela2[[#This Row],[N]]+Tabela2[[#This Row],[HM]])</f>
        <v>7</v>
      </c>
      <c r="R28" s="180">
        <f>SUM(Tabela2[[#This Row],[AO]]+Tabela2[[#This Row],[AD]]+Tabela2[[#This Row],[GWO]]+Tabela2[[#This Row],[GWD]])</f>
        <v>4</v>
      </c>
      <c r="S28" s="180">
        <f>Tabela2[[#This Row],[GWO]]+Tabela2[[#This Row],[GWD]]</f>
        <v>2</v>
      </c>
      <c r="T28" s="180">
        <f>SUM(Tabela2[[#This Row],[G]:[GWD]])</f>
        <v>11</v>
      </c>
    </row>
    <row r="29" spans="1:20">
      <c r="A29" s="183">
        <v>28</v>
      </c>
      <c r="B29" s="172" t="s">
        <v>733</v>
      </c>
      <c r="C29" s="172" t="s">
        <v>716</v>
      </c>
      <c r="D29" s="172">
        <v>2</v>
      </c>
      <c r="E29" s="172" t="s">
        <v>250</v>
      </c>
      <c r="F29" s="172">
        <v>1</v>
      </c>
      <c r="G29" s="172">
        <v>1</v>
      </c>
      <c r="H29" s="172">
        <v>1</v>
      </c>
      <c r="I29" s="172">
        <v>1</v>
      </c>
      <c r="J29" s="172">
        <v>1</v>
      </c>
      <c r="K29" s="172">
        <v>1</v>
      </c>
      <c r="L29" s="172">
        <v>1</v>
      </c>
      <c r="M29" s="172">
        <v>1</v>
      </c>
      <c r="N29" s="172" t="s">
        <v>445</v>
      </c>
      <c r="O29" s="172"/>
      <c r="P29" s="172"/>
      <c r="Q29" s="186">
        <f>SUM(Tabela2[[#This Row],[G]]+Tabela2[[#This Row],[D]]+Tabela2[[#This Row],[N]]+Tabela2[[#This Row],[HM]])</f>
        <v>4</v>
      </c>
      <c r="R29" s="186">
        <f>SUM(Tabela2[[#This Row],[AO]]+Tabela2[[#This Row],[AD]]+Tabela2[[#This Row],[GWO]]+Tabela2[[#This Row],[GWD]])</f>
        <v>4</v>
      </c>
      <c r="S29" s="186">
        <f>Tabela2[[#This Row],[GWO]]+Tabela2[[#This Row],[GWD]]</f>
        <v>2</v>
      </c>
      <c r="T29" s="180">
        <f>SUM(Tabela2[[#This Row],[G]:[GWD]])</f>
        <v>8</v>
      </c>
    </row>
    <row r="30" spans="1:20">
      <c r="A30" s="183">
        <v>29</v>
      </c>
      <c r="B30" s="172" t="s">
        <v>732</v>
      </c>
      <c r="C30" s="172" t="s">
        <v>725</v>
      </c>
      <c r="D30" s="172">
        <v>2</v>
      </c>
      <c r="E30" s="172" t="s">
        <v>250</v>
      </c>
      <c r="F30" s="172">
        <v>1</v>
      </c>
      <c r="G30" s="172">
        <v>1</v>
      </c>
      <c r="H30" s="172">
        <v>1</v>
      </c>
      <c r="I30" s="172">
        <v>1</v>
      </c>
      <c r="J30" s="172">
        <v>1</v>
      </c>
      <c r="K30" s="172">
        <v>1</v>
      </c>
      <c r="L30" s="172">
        <v>1</v>
      </c>
      <c r="M30" s="172">
        <v>1</v>
      </c>
      <c r="N30" s="170"/>
      <c r="O30" s="170"/>
      <c r="P30" s="170"/>
      <c r="Q30" s="180">
        <f>SUM(Tabela2[[#This Row],[G]]+Tabela2[[#This Row],[D]]+Tabela2[[#This Row],[N]]+Tabela2[[#This Row],[HM]])</f>
        <v>4</v>
      </c>
      <c r="R30" s="180">
        <f>SUM(Tabela2[[#This Row],[AO]]+Tabela2[[#This Row],[AD]]+Tabela2[[#This Row],[GWO]]+Tabela2[[#This Row],[GWD]])</f>
        <v>4</v>
      </c>
      <c r="S30" s="180">
        <f>Tabela2[[#This Row],[GWO]]+Tabela2[[#This Row],[GWD]]</f>
        <v>2</v>
      </c>
      <c r="T30" s="180">
        <f>SUM(Tabela2[[#This Row],[G]:[GWD]])</f>
        <v>8</v>
      </c>
    </row>
    <row r="31" spans="1:20" ht="30">
      <c r="A31" s="183">
        <v>30</v>
      </c>
      <c r="B31" s="172" t="s">
        <v>731</v>
      </c>
      <c r="C31" s="172" t="s">
        <v>671</v>
      </c>
      <c r="D31" s="172">
        <v>2</v>
      </c>
      <c r="E31" s="172" t="s">
        <v>250</v>
      </c>
      <c r="F31" s="172">
        <v>1</v>
      </c>
      <c r="G31" s="172">
        <v>1</v>
      </c>
      <c r="H31" s="172">
        <v>1</v>
      </c>
      <c r="I31" s="172">
        <v>1</v>
      </c>
      <c r="J31" s="172">
        <v>1</v>
      </c>
      <c r="K31" s="172">
        <v>1</v>
      </c>
      <c r="L31" s="172">
        <v>1</v>
      </c>
      <c r="M31" s="172">
        <v>1</v>
      </c>
      <c r="N31" s="172" t="s">
        <v>445</v>
      </c>
      <c r="O31" s="172"/>
      <c r="P31" s="172"/>
      <c r="Q31" s="186">
        <f>SUM(Tabela2[[#This Row],[G]]+Tabela2[[#This Row],[D]]+Tabela2[[#This Row],[N]]+Tabela2[[#This Row],[HM]])</f>
        <v>4</v>
      </c>
      <c r="R31" s="186">
        <f>SUM(Tabela2[[#This Row],[AO]]+Tabela2[[#This Row],[AD]]+Tabela2[[#This Row],[GWO]]+Tabela2[[#This Row],[GWD]])</f>
        <v>4</v>
      </c>
      <c r="S31" s="186">
        <f>Tabela2[[#This Row],[GWO]]+Tabela2[[#This Row],[GWD]]</f>
        <v>2</v>
      </c>
      <c r="T31" s="180">
        <f>SUM(Tabela2[[#This Row],[G]:[GWD]])</f>
        <v>8</v>
      </c>
    </row>
    <row r="32" spans="1:20">
      <c r="A32" s="183">
        <v>31</v>
      </c>
      <c r="B32" s="172" t="s">
        <v>730</v>
      </c>
      <c r="C32" s="172" t="s">
        <v>729</v>
      </c>
      <c r="D32" s="172">
        <v>2</v>
      </c>
      <c r="E32" s="172" t="s">
        <v>250</v>
      </c>
      <c r="F32" s="172">
        <v>1</v>
      </c>
      <c r="G32" s="172">
        <v>1</v>
      </c>
      <c r="H32" s="172">
        <v>1</v>
      </c>
      <c r="I32" s="172">
        <v>1</v>
      </c>
      <c r="J32" s="172">
        <v>1</v>
      </c>
      <c r="K32" s="172">
        <v>1</v>
      </c>
      <c r="L32" s="172">
        <v>1</v>
      </c>
      <c r="M32" s="172">
        <v>1</v>
      </c>
      <c r="N32" s="170"/>
      <c r="O32" s="170"/>
      <c r="P32" s="170"/>
      <c r="Q32" s="180">
        <f>SUM(Tabela2[[#This Row],[G]]+Tabela2[[#This Row],[D]]+Tabela2[[#This Row],[N]]+Tabela2[[#This Row],[HM]])</f>
        <v>4</v>
      </c>
      <c r="R32" s="180">
        <f>SUM(Tabela2[[#This Row],[AO]]+Tabela2[[#This Row],[AD]]+Tabela2[[#This Row],[GWO]]+Tabela2[[#This Row],[GWD]])</f>
        <v>4</v>
      </c>
      <c r="S32" s="180">
        <f>Tabela2[[#This Row],[GWO]]+Tabela2[[#This Row],[GWD]]</f>
        <v>2</v>
      </c>
      <c r="T32" s="180">
        <f>SUM(Tabela2[[#This Row],[G]:[GWD]])</f>
        <v>8</v>
      </c>
    </row>
    <row r="33" spans="1:20">
      <c r="A33" s="183">
        <v>32</v>
      </c>
      <c r="B33" s="172" t="s">
        <v>728</v>
      </c>
      <c r="C33" s="172" t="s">
        <v>693</v>
      </c>
      <c r="D33" s="172">
        <v>2</v>
      </c>
      <c r="E33" s="172" t="s">
        <v>250</v>
      </c>
      <c r="F33" s="172">
        <v>1</v>
      </c>
      <c r="G33" s="172">
        <v>1</v>
      </c>
      <c r="H33" s="172">
        <v>1</v>
      </c>
      <c r="I33" s="172">
        <v>1</v>
      </c>
      <c r="J33" s="172">
        <v>1</v>
      </c>
      <c r="K33" s="172">
        <v>1</v>
      </c>
      <c r="L33" s="172">
        <v>1</v>
      </c>
      <c r="M33" s="172">
        <v>1</v>
      </c>
      <c r="N33" s="170"/>
      <c r="O33" s="170"/>
      <c r="P33" s="170"/>
      <c r="Q33" s="180">
        <f>SUM(Tabela2[[#This Row],[G]]+Tabela2[[#This Row],[D]]+Tabela2[[#This Row],[N]]+Tabela2[[#This Row],[HM]])</f>
        <v>4</v>
      </c>
      <c r="R33" s="180">
        <f>SUM(Tabela2[[#This Row],[AO]]+Tabela2[[#This Row],[AD]]+Tabela2[[#This Row],[GWO]]+Tabela2[[#This Row],[GWD]])</f>
        <v>4</v>
      </c>
      <c r="S33" s="180">
        <f>Tabela2[[#This Row],[GWO]]+Tabela2[[#This Row],[GWD]]</f>
        <v>2</v>
      </c>
      <c r="T33" s="180">
        <f>SUM(Tabela2[[#This Row],[G]:[GWD]])</f>
        <v>8</v>
      </c>
    </row>
    <row r="34" spans="1:20">
      <c r="A34" s="183">
        <v>33</v>
      </c>
      <c r="B34" s="172" t="s">
        <v>134</v>
      </c>
      <c r="C34" s="172" t="s">
        <v>721</v>
      </c>
      <c r="D34" s="172">
        <v>2</v>
      </c>
      <c r="E34" s="172" t="s">
        <v>250</v>
      </c>
      <c r="F34" s="172">
        <v>2</v>
      </c>
      <c r="G34" s="172">
        <v>1</v>
      </c>
      <c r="H34" s="172">
        <v>1</v>
      </c>
      <c r="I34" s="172">
        <v>3</v>
      </c>
      <c r="J34" s="172">
        <v>3</v>
      </c>
      <c r="K34" s="172">
        <v>1</v>
      </c>
      <c r="L34" s="172">
        <v>5</v>
      </c>
      <c r="M34" s="172">
        <v>3</v>
      </c>
      <c r="N34" s="170"/>
      <c r="O34" s="170" t="s">
        <v>204</v>
      </c>
      <c r="P34" s="170"/>
      <c r="Q34" s="180">
        <f>SUM(Tabela2[[#This Row],[G]]+Tabela2[[#This Row],[D]]+Tabela2[[#This Row],[N]]+Tabela2[[#This Row],[HM]])</f>
        <v>5</v>
      </c>
      <c r="R34" s="180">
        <f>SUM(Tabela2[[#This Row],[AO]]+Tabela2[[#This Row],[AD]]+Tabela2[[#This Row],[GWO]]+Tabela2[[#This Row],[GWD]])</f>
        <v>14</v>
      </c>
      <c r="S34" s="180">
        <f>Tabela2[[#This Row],[GWO]]+Tabela2[[#This Row],[GWD]]</f>
        <v>8</v>
      </c>
      <c r="T34" s="180">
        <f>SUM(Tabela2[[#This Row],[G]:[GWD]])</f>
        <v>19</v>
      </c>
    </row>
    <row r="35" spans="1:20">
      <c r="A35" s="183">
        <v>34</v>
      </c>
      <c r="B35" s="171" t="s">
        <v>727</v>
      </c>
      <c r="C35" s="171" t="s">
        <v>716</v>
      </c>
      <c r="D35" s="171">
        <v>2</v>
      </c>
      <c r="E35" s="171" t="s">
        <v>251</v>
      </c>
      <c r="F35" s="171">
        <v>1</v>
      </c>
      <c r="G35" s="171">
        <v>1</v>
      </c>
      <c r="H35" s="171">
        <v>1</v>
      </c>
      <c r="I35" s="171">
        <v>1</v>
      </c>
      <c r="J35" s="171">
        <v>1</v>
      </c>
      <c r="K35" s="171">
        <v>1</v>
      </c>
      <c r="L35" s="171">
        <v>1</v>
      </c>
      <c r="M35" s="171">
        <v>1</v>
      </c>
      <c r="N35" s="170"/>
      <c r="O35" s="170"/>
      <c r="P35" s="170"/>
      <c r="Q35" s="180">
        <f>SUM(Tabela2[[#This Row],[G]]+Tabela2[[#This Row],[D]]+Tabela2[[#This Row],[N]]+Tabela2[[#This Row],[HM]])</f>
        <v>4</v>
      </c>
      <c r="R35" s="180">
        <f>SUM(Tabela2[[#This Row],[AO]]+Tabela2[[#This Row],[AD]]+Tabela2[[#This Row],[GWO]]+Tabela2[[#This Row],[GWD]])</f>
        <v>4</v>
      </c>
      <c r="S35" s="180">
        <f>Tabela2[[#This Row],[GWO]]+Tabela2[[#This Row],[GWD]]</f>
        <v>2</v>
      </c>
      <c r="T35" s="180">
        <f>SUM(Tabela2[[#This Row],[G]:[GWD]])</f>
        <v>8</v>
      </c>
    </row>
    <row r="36" spans="1:20">
      <c r="A36" s="183">
        <v>35</v>
      </c>
      <c r="B36" s="171" t="s">
        <v>726</v>
      </c>
      <c r="C36" s="171" t="s">
        <v>725</v>
      </c>
      <c r="D36" s="171">
        <v>2</v>
      </c>
      <c r="E36" s="171" t="s">
        <v>251</v>
      </c>
      <c r="F36" s="171">
        <v>1</v>
      </c>
      <c r="G36" s="171">
        <v>1</v>
      </c>
      <c r="H36" s="171">
        <v>1</v>
      </c>
      <c r="I36" s="171">
        <v>1</v>
      </c>
      <c r="J36" s="171">
        <v>1</v>
      </c>
      <c r="K36" s="171">
        <v>1</v>
      </c>
      <c r="L36" s="171">
        <v>1</v>
      </c>
      <c r="M36" s="171">
        <v>1</v>
      </c>
      <c r="N36" s="170"/>
      <c r="O36" s="170"/>
      <c r="P36" s="170"/>
      <c r="Q36" s="180">
        <f>SUM(Tabela2[[#This Row],[G]]+Tabela2[[#This Row],[D]]+Tabela2[[#This Row],[N]]+Tabela2[[#This Row],[HM]])</f>
        <v>4</v>
      </c>
      <c r="R36" s="180">
        <f>SUM(Tabela2[[#This Row],[AO]]+Tabela2[[#This Row],[AD]]+Tabela2[[#This Row],[GWO]]+Tabela2[[#This Row],[GWD]])</f>
        <v>4</v>
      </c>
      <c r="S36" s="180">
        <f>Tabela2[[#This Row],[GWO]]+Tabela2[[#This Row],[GWD]]</f>
        <v>2</v>
      </c>
      <c r="T36" s="180">
        <f>SUM(Tabela2[[#This Row],[G]:[GWD]])</f>
        <v>8</v>
      </c>
    </row>
    <row r="37" spans="1:20">
      <c r="A37" s="183">
        <v>36</v>
      </c>
      <c r="B37" s="171" t="s">
        <v>724</v>
      </c>
      <c r="C37" s="171" t="s">
        <v>714</v>
      </c>
      <c r="D37" s="171">
        <v>2</v>
      </c>
      <c r="E37" s="171" t="s">
        <v>251</v>
      </c>
      <c r="F37" s="171">
        <v>1</v>
      </c>
      <c r="G37" s="171">
        <v>1</v>
      </c>
      <c r="H37" s="171">
        <v>1</v>
      </c>
      <c r="I37" s="171">
        <v>1</v>
      </c>
      <c r="J37" s="171">
        <v>1</v>
      </c>
      <c r="K37" s="171">
        <v>1</v>
      </c>
      <c r="L37" s="171">
        <v>1</v>
      </c>
      <c r="M37" s="171">
        <v>1</v>
      </c>
      <c r="N37" s="170"/>
      <c r="O37" s="170"/>
      <c r="P37" s="170"/>
      <c r="Q37" s="180">
        <f>SUM(Tabela2[[#This Row],[G]]+Tabela2[[#This Row],[D]]+Tabela2[[#This Row],[N]]+Tabela2[[#This Row],[HM]])</f>
        <v>4</v>
      </c>
      <c r="R37" s="180">
        <f>SUM(Tabela2[[#This Row],[AO]]+Tabela2[[#This Row],[AD]]+Tabela2[[#This Row],[GWO]]+Tabela2[[#This Row],[GWD]])</f>
        <v>4</v>
      </c>
      <c r="S37" s="180">
        <f>Tabela2[[#This Row],[GWO]]+Tabela2[[#This Row],[GWD]]</f>
        <v>2</v>
      </c>
      <c r="T37" s="180">
        <f>SUM(Tabela2[[#This Row],[G]:[GWD]])</f>
        <v>8</v>
      </c>
    </row>
    <row r="38" spans="1:20">
      <c r="A38" s="183">
        <v>37</v>
      </c>
      <c r="B38" s="171" t="s">
        <v>723</v>
      </c>
      <c r="C38" s="171" t="s">
        <v>712</v>
      </c>
      <c r="D38" s="171">
        <v>2</v>
      </c>
      <c r="E38" s="171" t="s">
        <v>251</v>
      </c>
      <c r="F38" s="171">
        <v>1</v>
      </c>
      <c r="G38" s="171">
        <v>1</v>
      </c>
      <c r="H38" s="171">
        <v>1</v>
      </c>
      <c r="I38" s="171">
        <v>1</v>
      </c>
      <c r="J38" s="171">
        <v>1</v>
      </c>
      <c r="K38" s="171">
        <v>1</v>
      </c>
      <c r="L38" s="171">
        <v>1</v>
      </c>
      <c r="M38" s="171">
        <v>1</v>
      </c>
      <c r="N38" s="170"/>
      <c r="O38" s="170"/>
      <c r="P38" s="170"/>
      <c r="Q38" s="180">
        <f>SUM(Tabela2[[#This Row],[G]]+Tabela2[[#This Row],[D]]+Tabela2[[#This Row],[N]]+Tabela2[[#This Row],[HM]])</f>
        <v>4</v>
      </c>
      <c r="R38" s="180">
        <f>SUM(Tabela2[[#This Row],[AO]]+Tabela2[[#This Row],[AD]]+Tabela2[[#This Row],[GWO]]+Tabela2[[#This Row],[GWD]])</f>
        <v>4</v>
      </c>
      <c r="S38" s="180">
        <f>Tabela2[[#This Row],[GWO]]+Tabela2[[#This Row],[GWD]]</f>
        <v>2</v>
      </c>
      <c r="T38" s="180">
        <f>SUM(Tabela2[[#This Row],[G]:[GWD]])</f>
        <v>8</v>
      </c>
    </row>
    <row r="39" spans="1:20">
      <c r="A39" s="183">
        <v>38</v>
      </c>
      <c r="B39" s="171" t="s">
        <v>722</v>
      </c>
      <c r="C39" s="171" t="s">
        <v>721</v>
      </c>
      <c r="D39" s="171">
        <v>2</v>
      </c>
      <c r="E39" s="171" t="s">
        <v>251</v>
      </c>
      <c r="F39" s="171">
        <v>1</v>
      </c>
      <c r="G39" s="171">
        <v>1</v>
      </c>
      <c r="H39" s="171">
        <v>1</v>
      </c>
      <c r="I39" s="171">
        <v>1</v>
      </c>
      <c r="J39" s="171">
        <v>1</v>
      </c>
      <c r="K39" s="171">
        <v>1</v>
      </c>
      <c r="L39" s="171">
        <v>1</v>
      </c>
      <c r="M39" s="171">
        <v>1</v>
      </c>
      <c r="N39" s="170"/>
      <c r="O39" s="170"/>
      <c r="P39" s="170"/>
      <c r="Q39" s="180">
        <f>SUM(Tabela2[[#This Row],[G]]+Tabela2[[#This Row],[D]]+Tabela2[[#This Row],[N]]+Tabela2[[#This Row],[HM]])</f>
        <v>4</v>
      </c>
      <c r="R39" s="180">
        <f>SUM(Tabela2[[#This Row],[AO]]+Tabela2[[#This Row],[AD]]+Tabela2[[#This Row],[GWO]]+Tabela2[[#This Row],[GWD]])</f>
        <v>4</v>
      </c>
      <c r="S39" s="180">
        <f>Tabela2[[#This Row],[GWO]]+Tabela2[[#This Row],[GWD]]</f>
        <v>2</v>
      </c>
      <c r="T39" s="180">
        <f>SUM(Tabela2[[#This Row],[G]:[GWD]])</f>
        <v>8</v>
      </c>
    </row>
    <row r="40" spans="1:20">
      <c r="A40" s="183">
        <v>39</v>
      </c>
      <c r="B40" s="171" t="s">
        <v>720</v>
      </c>
      <c r="C40" s="171" t="s">
        <v>693</v>
      </c>
      <c r="D40" s="171">
        <v>2</v>
      </c>
      <c r="E40" s="171" t="s">
        <v>251</v>
      </c>
      <c r="F40" s="171">
        <v>1</v>
      </c>
      <c r="G40" s="171">
        <v>1</v>
      </c>
      <c r="H40" s="171">
        <v>1</v>
      </c>
      <c r="I40" s="171">
        <v>1</v>
      </c>
      <c r="J40" s="171">
        <v>1</v>
      </c>
      <c r="K40" s="171">
        <v>1</v>
      </c>
      <c r="L40" s="171">
        <v>1</v>
      </c>
      <c r="M40" s="171">
        <v>1</v>
      </c>
      <c r="N40" s="170"/>
      <c r="O40" s="170"/>
      <c r="P40" s="170"/>
      <c r="Q40" s="180">
        <f>SUM(Tabela2[[#This Row],[G]]+Tabela2[[#This Row],[D]]+Tabela2[[#This Row],[N]]+Tabela2[[#This Row],[HM]])</f>
        <v>4</v>
      </c>
      <c r="R40" s="180">
        <f>SUM(Tabela2[[#This Row],[AO]]+Tabela2[[#This Row],[AD]]+Tabela2[[#This Row],[GWO]]+Tabela2[[#This Row],[GWD]])</f>
        <v>4</v>
      </c>
      <c r="S40" s="180">
        <f>Tabela2[[#This Row],[GWO]]+Tabela2[[#This Row],[GWD]]</f>
        <v>2</v>
      </c>
      <c r="T40" s="180">
        <f>SUM(Tabela2[[#This Row],[G]:[GWD]])</f>
        <v>8</v>
      </c>
    </row>
    <row r="41" spans="1:20">
      <c r="A41" s="183">
        <v>40</v>
      </c>
      <c r="B41" s="171" t="s">
        <v>719</v>
      </c>
      <c r="C41" s="171" t="s">
        <v>710</v>
      </c>
      <c r="D41" s="171">
        <v>2</v>
      </c>
      <c r="E41" s="171" t="s">
        <v>251</v>
      </c>
      <c r="F41" s="171">
        <v>1</v>
      </c>
      <c r="G41" s="171">
        <v>1</v>
      </c>
      <c r="H41" s="171">
        <v>1</v>
      </c>
      <c r="I41" s="171">
        <v>1</v>
      </c>
      <c r="J41" s="171">
        <v>1</v>
      </c>
      <c r="K41" s="171">
        <v>3</v>
      </c>
      <c r="L41" s="171">
        <v>1</v>
      </c>
      <c r="M41" s="171">
        <v>1</v>
      </c>
      <c r="N41" s="170"/>
      <c r="O41" s="170"/>
      <c r="P41" s="170"/>
      <c r="Q41" s="180">
        <f>SUM(Tabela2[[#This Row],[G]]+Tabela2[[#This Row],[D]]+Tabela2[[#This Row],[N]]+Tabela2[[#This Row],[HM]])</f>
        <v>6</v>
      </c>
      <c r="R41" s="180">
        <f>SUM(Tabela2[[#This Row],[AO]]+Tabela2[[#This Row],[AD]]+Tabela2[[#This Row],[GWO]]+Tabela2[[#This Row],[GWD]])</f>
        <v>4</v>
      </c>
      <c r="S41" s="180">
        <f>Tabela2[[#This Row],[GWO]]+Tabela2[[#This Row],[GWD]]</f>
        <v>2</v>
      </c>
      <c r="T41" s="180">
        <f>SUM(Tabela2[[#This Row],[G]:[GWD]])</f>
        <v>10</v>
      </c>
    </row>
    <row r="42" spans="1:20">
      <c r="A42" s="183">
        <v>41</v>
      </c>
      <c r="B42" s="170" t="s">
        <v>718</v>
      </c>
      <c r="C42" s="170" t="s">
        <v>594</v>
      </c>
      <c r="D42" s="170">
        <v>2</v>
      </c>
      <c r="E42" s="170" t="s">
        <v>272</v>
      </c>
      <c r="F42" s="170">
        <v>1</v>
      </c>
      <c r="G42" s="170">
        <v>1</v>
      </c>
      <c r="H42" s="170">
        <v>1</v>
      </c>
      <c r="I42" s="170">
        <v>1</v>
      </c>
      <c r="J42" s="170">
        <v>1</v>
      </c>
      <c r="K42" s="170">
        <v>1</v>
      </c>
      <c r="L42" s="170">
        <v>1</v>
      </c>
      <c r="M42" s="170">
        <v>1</v>
      </c>
      <c r="N42" s="170"/>
      <c r="O42" s="170"/>
      <c r="P42" s="170"/>
      <c r="Q42" s="180">
        <f>SUM(Tabela2[[#This Row],[G]]+Tabela2[[#This Row],[D]]+Tabela2[[#This Row],[N]]+Tabela2[[#This Row],[HM]])</f>
        <v>4</v>
      </c>
      <c r="R42" s="180">
        <f>SUM(Tabela2[[#This Row],[AO]]+Tabela2[[#This Row],[AD]]+Tabela2[[#This Row],[GWO]]+Tabela2[[#This Row],[GWD]])</f>
        <v>4</v>
      </c>
      <c r="S42" s="180">
        <f>Tabela2[[#This Row],[GWO]]+Tabela2[[#This Row],[GWD]]</f>
        <v>2</v>
      </c>
      <c r="T42" s="180">
        <f>SUM(Tabela2[[#This Row],[G]:[GWD]])</f>
        <v>8</v>
      </c>
    </row>
    <row r="43" spans="1:20">
      <c r="A43" s="183">
        <v>42</v>
      </c>
      <c r="B43" s="170" t="s">
        <v>717</v>
      </c>
      <c r="C43" s="170" t="s">
        <v>716</v>
      </c>
      <c r="D43" s="170">
        <v>2</v>
      </c>
      <c r="E43" s="170" t="s">
        <v>272</v>
      </c>
      <c r="F43" s="170">
        <v>1</v>
      </c>
      <c r="G43" s="170">
        <v>1</v>
      </c>
      <c r="H43" s="170">
        <v>1</v>
      </c>
      <c r="I43" s="170">
        <v>1</v>
      </c>
      <c r="J43" s="170">
        <v>1</v>
      </c>
      <c r="K43" s="170">
        <v>1</v>
      </c>
      <c r="L43" s="170">
        <v>1</v>
      </c>
      <c r="M43" s="170">
        <v>1</v>
      </c>
      <c r="N43" s="170"/>
      <c r="O43" s="170"/>
      <c r="P43" s="170"/>
      <c r="Q43" s="180">
        <f>SUM(Tabela2[[#This Row],[G]]+Tabela2[[#This Row],[D]]+Tabela2[[#This Row],[N]]+Tabela2[[#This Row],[HM]])</f>
        <v>4</v>
      </c>
      <c r="R43" s="180">
        <f>SUM(Tabela2[[#This Row],[AO]]+Tabela2[[#This Row],[AD]]+Tabela2[[#This Row],[GWO]]+Tabela2[[#This Row],[GWD]])</f>
        <v>4</v>
      </c>
      <c r="S43" s="180">
        <f>Tabela2[[#This Row],[GWO]]+Tabela2[[#This Row],[GWD]]</f>
        <v>2</v>
      </c>
      <c r="T43" s="180">
        <f>SUM(Tabela2[[#This Row],[G]:[GWD]])</f>
        <v>8</v>
      </c>
    </row>
    <row r="44" spans="1:20">
      <c r="A44" s="183">
        <v>43</v>
      </c>
      <c r="B44" s="170" t="s">
        <v>715</v>
      </c>
      <c r="C44" s="170" t="s">
        <v>714</v>
      </c>
      <c r="D44" s="170">
        <v>2</v>
      </c>
      <c r="E44" s="170" t="s">
        <v>272</v>
      </c>
      <c r="F44" s="170">
        <v>1</v>
      </c>
      <c r="G44" s="170">
        <v>1</v>
      </c>
      <c r="H44" s="170">
        <v>1</v>
      </c>
      <c r="I44" s="170">
        <v>1</v>
      </c>
      <c r="J44" s="170">
        <v>1</v>
      </c>
      <c r="K44" s="170">
        <v>1</v>
      </c>
      <c r="L44" s="170">
        <v>1</v>
      </c>
      <c r="M44" s="170">
        <v>1</v>
      </c>
      <c r="N44" s="170"/>
      <c r="O44" s="170"/>
      <c r="P44" s="170"/>
      <c r="Q44" s="180">
        <f>SUM(Tabela2[[#This Row],[G]]+Tabela2[[#This Row],[D]]+Tabela2[[#This Row],[N]]+Tabela2[[#This Row],[HM]])</f>
        <v>4</v>
      </c>
      <c r="R44" s="180">
        <f>SUM(Tabela2[[#This Row],[AO]]+Tabela2[[#This Row],[AD]]+Tabela2[[#This Row],[GWO]]+Tabela2[[#This Row],[GWD]])</f>
        <v>4</v>
      </c>
      <c r="S44" s="180">
        <f>Tabela2[[#This Row],[GWO]]+Tabela2[[#This Row],[GWD]]</f>
        <v>2</v>
      </c>
      <c r="T44" s="180">
        <f>SUM(Tabela2[[#This Row],[G]:[GWD]])</f>
        <v>8</v>
      </c>
    </row>
    <row r="45" spans="1:20">
      <c r="A45" s="183">
        <v>44</v>
      </c>
      <c r="B45" s="170" t="s">
        <v>713</v>
      </c>
      <c r="C45" s="170" t="s">
        <v>712</v>
      </c>
      <c r="D45" s="170">
        <v>2</v>
      </c>
      <c r="E45" s="170" t="s">
        <v>272</v>
      </c>
      <c r="F45" s="170">
        <v>1</v>
      </c>
      <c r="G45" s="170">
        <v>1</v>
      </c>
      <c r="H45" s="170">
        <v>1</v>
      </c>
      <c r="I45" s="170">
        <v>1</v>
      </c>
      <c r="J45" s="170">
        <v>1</v>
      </c>
      <c r="K45" s="170">
        <v>1</v>
      </c>
      <c r="L45" s="170">
        <v>1</v>
      </c>
      <c r="M45" s="170">
        <v>1</v>
      </c>
      <c r="N45" s="170"/>
      <c r="O45" s="170"/>
      <c r="P45" s="170"/>
      <c r="Q45" s="180">
        <f>SUM(Tabela2[[#This Row],[G]]+Tabela2[[#This Row],[D]]+Tabela2[[#This Row],[N]]+Tabela2[[#This Row],[HM]])</f>
        <v>4</v>
      </c>
      <c r="R45" s="180">
        <f>SUM(Tabela2[[#This Row],[AO]]+Tabela2[[#This Row],[AD]]+Tabela2[[#This Row],[GWO]]+Tabela2[[#This Row],[GWD]])</f>
        <v>4</v>
      </c>
      <c r="S45" s="180">
        <f>Tabela2[[#This Row],[GWO]]+Tabela2[[#This Row],[GWD]]</f>
        <v>2</v>
      </c>
      <c r="T45" s="180">
        <f>SUM(Tabela2[[#This Row],[G]:[GWD]])</f>
        <v>8</v>
      </c>
    </row>
    <row r="46" spans="1:20">
      <c r="A46" s="183">
        <v>45</v>
      </c>
      <c r="B46" s="170" t="s">
        <v>711</v>
      </c>
      <c r="C46" s="170" t="s">
        <v>710</v>
      </c>
      <c r="D46" s="170">
        <v>2</v>
      </c>
      <c r="E46" s="170" t="s">
        <v>272</v>
      </c>
      <c r="F46" s="170">
        <v>1</v>
      </c>
      <c r="G46" s="170">
        <v>1</v>
      </c>
      <c r="H46" s="170">
        <v>1</v>
      </c>
      <c r="I46" s="170">
        <v>1</v>
      </c>
      <c r="J46" s="170">
        <v>1</v>
      </c>
      <c r="K46" s="170">
        <v>1</v>
      </c>
      <c r="L46" s="170">
        <v>1</v>
      </c>
      <c r="M46" s="170">
        <v>1</v>
      </c>
      <c r="N46" s="170"/>
      <c r="O46" s="170"/>
      <c r="P46" s="170"/>
      <c r="Q46" s="180">
        <f>SUM(Tabela2[[#This Row],[G]]+Tabela2[[#This Row],[D]]+Tabela2[[#This Row],[N]]+Tabela2[[#This Row],[HM]])</f>
        <v>4</v>
      </c>
      <c r="R46" s="180">
        <f>SUM(Tabela2[[#This Row],[AO]]+Tabela2[[#This Row],[AD]]+Tabela2[[#This Row],[GWO]]+Tabela2[[#This Row],[GWD]])</f>
        <v>4</v>
      </c>
      <c r="S46" s="180">
        <f>Tabela2[[#This Row],[GWO]]+Tabela2[[#This Row],[GWD]]</f>
        <v>2</v>
      </c>
      <c r="T46" s="180">
        <f>SUM(Tabela2[[#This Row],[G]:[GWD]])</f>
        <v>8</v>
      </c>
    </row>
    <row r="47" spans="1:20">
      <c r="A47" s="183">
        <v>46</v>
      </c>
      <c r="B47" s="170" t="s">
        <v>709</v>
      </c>
      <c r="C47" s="170" t="s">
        <v>708</v>
      </c>
      <c r="D47" s="170">
        <v>2</v>
      </c>
      <c r="E47" s="170" t="s">
        <v>272</v>
      </c>
      <c r="F47" s="170">
        <v>1</v>
      </c>
      <c r="G47" s="170">
        <v>1</v>
      </c>
      <c r="H47" s="170">
        <v>1</v>
      </c>
      <c r="I47" s="170">
        <v>1</v>
      </c>
      <c r="J47" s="170">
        <v>1</v>
      </c>
      <c r="K47" s="170">
        <v>1</v>
      </c>
      <c r="L47" s="170">
        <v>1</v>
      </c>
      <c r="M47" s="170">
        <v>1</v>
      </c>
      <c r="N47" s="170"/>
      <c r="O47" s="170"/>
      <c r="P47" s="170"/>
      <c r="Q47" s="180">
        <f>SUM(Tabela2[[#This Row],[G]]+Tabela2[[#This Row],[D]]+Tabela2[[#This Row],[N]]+Tabela2[[#This Row],[HM]])</f>
        <v>4</v>
      </c>
      <c r="R47" s="180">
        <f>SUM(Tabela2[[#This Row],[AO]]+Tabela2[[#This Row],[AD]]+Tabela2[[#This Row],[GWO]]+Tabela2[[#This Row],[GWD]])</f>
        <v>4</v>
      </c>
      <c r="S47" s="180">
        <f>Tabela2[[#This Row],[GWO]]+Tabela2[[#This Row],[GWD]]</f>
        <v>2</v>
      </c>
      <c r="T47" s="180">
        <f>SUM(Tabela2[[#This Row],[G]:[GWD]])</f>
        <v>8</v>
      </c>
    </row>
    <row r="48" spans="1:20">
      <c r="A48" s="183">
        <v>47</v>
      </c>
      <c r="B48" s="170" t="s">
        <v>707</v>
      </c>
      <c r="C48" s="170" t="s">
        <v>706</v>
      </c>
      <c r="D48" s="170">
        <v>2</v>
      </c>
      <c r="E48" s="170" t="s">
        <v>272</v>
      </c>
      <c r="F48" s="170">
        <v>1</v>
      </c>
      <c r="G48" s="170">
        <v>1</v>
      </c>
      <c r="H48" s="170">
        <v>3</v>
      </c>
      <c r="I48" s="170">
        <v>1</v>
      </c>
      <c r="J48" s="170">
        <v>1</v>
      </c>
      <c r="K48" s="170">
        <v>1</v>
      </c>
      <c r="L48" s="170">
        <v>1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4</v>
      </c>
      <c r="S48" s="180">
        <f>Tabela2[[#This Row],[GWO]]+Tabela2[[#This Row],[GWD]]</f>
        <v>2</v>
      </c>
      <c r="T48" s="180">
        <f>SUM(Tabela2[[#This Row],[G]:[GWD]])</f>
        <v>10</v>
      </c>
    </row>
    <row r="49" spans="1:20">
      <c r="A49" s="183">
        <v>48</v>
      </c>
      <c r="B49" s="175" t="s">
        <v>705</v>
      </c>
      <c r="C49" s="175" t="s">
        <v>704</v>
      </c>
      <c r="D49" s="175">
        <v>3</v>
      </c>
      <c r="E49" s="175" t="s">
        <v>18</v>
      </c>
      <c r="F49" s="175">
        <v>1</v>
      </c>
      <c r="G49" s="175">
        <v>2</v>
      </c>
      <c r="H49" s="175">
        <v>1</v>
      </c>
      <c r="I49" s="175">
        <v>3</v>
      </c>
      <c r="J49" s="175">
        <v>1</v>
      </c>
      <c r="K49" s="175">
        <v>1</v>
      </c>
      <c r="L49" s="175">
        <v>3</v>
      </c>
      <c r="M49" s="175">
        <v>1</v>
      </c>
      <c r="N49" s="170"/>
      <c r="O49" s="170"/>
      <c r="P49" s="170"/>
      <c r="Q49" s="180">
        <f>SUM(Tabela2[[#This Row],[G]]+Tabela2[[#This Row],[D]]+Tabela2[[#This Row],[N]]+Tabela2[[#This Row],[HM]])</f>
        <v>5</v>
      </c>
      <c r="R49" s="180">
        <f>SUM(Tabela2[[#This Row],[AO]]+Tabela2[[#This Row],[AD]]+Tabela2[[#This Row],[GWO]]+Tabela2[[#This Row],[GWD]])</f>
        <v>8</v>
      </c>
      <c r="S49" s="180">
        <f>Tabela2[[#This Row],[GWO]]+Tabela2[[#This Row],[GWD]]</f>
        <v>4</v>
      </c>
      <c r="T49" s="180">
        <f>SUM(Tabela2[[#This Row],[G]:[GWD]])</f>
        <v>13</v>
      </c>
    </row>
    <row r="50" spans="1:20" ht="30">
      <c r="A50" s="183">
        <v>49</v>
      </c>
      <c r="B50" s="175" t="s">
        <v>703</v>
      </c>
      <c r="C50" s="175" t="s">
        <v>572</v>
      </c>
      <c r="D50" s="175">
        <v>3</v>
      </c>
      <c r="E50" s="175" t="s">
        <v>18</v>
      </c>
      <c r="F50" s="175">
        <v>1</v>
      </c>
      <c r="G50" s="175">
        <v>2</v>
      </c>
      <c r="H50" s="175">
        <v>1</v>
      </c>
      <c r="I50" s="175">
        <v>2</v>
      </c>
      <c r="J50" s="175">
        <v>2</v>
      </c>
      <c r="K50" s="175">
        <v>2</v>
      </c>
      <c r="L50" s="175">
        <v>2</v>
      </c>
      <c r="M50" s="175">
        <v>2</v>
      </c>
      <c r="N50" s="170"/>
      <c r="O50" s="170"/>
      <c r="P50" s="170"/>
      <c r="Q50" s="180">
        <f>SUM(Tabela2[[#This Row],[G]]+Tabela2[[#This Row],[D]]+Tabela2[[#This Row],[N]]+Tabela2[[#This Row],[HM]])</f>
        <v>6</v>
      </c>
      <c r="R50" s="180">
        <f>SUM(Tabela2[[#This Row],[AO]]+Tabela2[[#This Row],[AD]]+Tabela2[[#This Row],[GWO]]+Tabela2[[#This Row],[GWD]])</f>
        <v>8</v>
      </c>
      <c r="S50" s="180">
        <f>Tabela2[[#This Row],[GWO]]+Tabela2[[#This Row],[GWD]]</f>
        <v>4</v>
      </c>
      <c r="T50" s="180">
        <f>SUM(Tabela2[[#This Row],[G]:[GWD]])</f>
        <v>14</v>
      </c>
    </row>
    <row r="51" spans="1:20">
      <c r="A51" s="183">
        <v>50</v>
      </c>
      <c r="B51" s="175" t="s">
        <v>702</v>
      </c>
      <c r="C51" s="175" t="s">
        <v>701</v>
      </c>
      <c r="D51" s="175">
        <v>3</v>
      </c>
      <c r="E51" s="175" t="s">
        <v>18</v>
      </c>
      <c r="F51" s="175">
        <v>1</v>
      </c>
      <c r="G51" s="175">
        <v>1</v>
      </c>
      <c r="H51" s="175">
        <v>2</v>
      </c>
      <c r="I51" s="175">
        <v>2</v>
      </c>
      <c r="J51" s="175">
        <v>2</v>
      </c>
      <c r="K51" s="175">
        <v>1</v>
      </c>
      <c r="L51" s="175">
        <v>2</v>
      </c>
      <c r="M51" s="175">
        <v>2</v>
      </c>
      <c r="N51" s="170"/>
      <c r="O51" s="170"/>
      <c r="P51" s="170"/>
      <c r="Q51" s="180">
        <f>SUM(Tabela2[[#This Row],[G]]+Tabela2[[#This Row],[D]]+Tabela2[[#This Row],[N]]+Tabela2[[#This Row],[HM]])</f>
        <v>5</v>
      </c>
      <c r="R51" s="180">
        <f>SUM(Tabela2[[#This Row],[AO]]+Tabela2[[#This Row],[AD]]+Tabela2[[#This Row],[GWO]]+Tabela2[[#This Row],[GWD]])</f>
        <v>8</v>
      </c>
      <c r="S51" s="180">
        <f>Tabela2[[#This Row],[GWO]]+Tabela2[[#This Row],[GWD]]</f>
        <v>4</v>
      </c>
      <c r="T51" s="180">
        <f>SUM(Tabela2[[#This Row],[G]:[GWD]])</f>
        <v>13</v>
      </c>
    </row>
    <row r="52" spans="1:20" ht="30">
      <c r="A52" s="183">
        <v>51</v>
      </c>
      <c r="B52" s="175" t="s">
        <v>700</v>
      </c>
      <c r="C52" s="175" t="s">
        <v>570</v>
      </c>
      <c r="D52" s="175">
        <v>3</v>
      </c>
      <c r="E52" s="175" t="s">
        <v>18</v>
      </c>
      <c r="F52" s="175">
        <v>1</v>
      </c>
      <c r="G52" s="175">
        <v>1</v>
      </c>
      <c r="H52" s="175">
        <v>1</v>
      </c>
      <c r="I52" s="175">
        <v>2</v>
      </c>
      <c r="J52" s="175">
        <v>1</v>
      </c>
      <c r="K52" s="175">
        <v>1</v>
      </c>
      <c r="L52" s="175">
        <v>3</v>
      </c>
      <c r="M52" s="175">
        <v>1</v>
      </c>
      <c r="N52" s="175" t="s">
        <v>445</v>
      </c>
      <c r="O52" s="175"/>
      <c r="P52" s="175"/>
      <c r="Q52" s="184">
        <f>SUM(Tabela2[[#This Row],[G]]+Tabela2[[#This Row],[D]]+Tabela2[[#This Row],[N]]+Tabela2[[#This Row],[HM]])</f>
        <v>4</v>
      </c>
      <c r="R52" s="184">
        <f>SUM(Tabela2[[#This Row],[AO]]+Tabela2[[#This Row],[AD]]+Tabela2[[#This Row],[GWO]]+Tabela2[[#This Row],[GWD]])</f>
        <v>7</v>
      </c>
      <c r="S52" s="184">
        <f>Tabela2[[#This Row],[GWO]]+Tabela2[[#This Row],[GWD]]</f>
        <v>4</v>
      </c>
      <c r="T52" s="180">
        <f>SUM(Tabela2[[#This Row],[G]:[GWD]])</f>
        <v>11</v>
      </c>
    </row>
    <row r="53" spans="1:20" ht="30">
      <c r="A53" s="183">
        <v>52</v>
      </c>
      <c r="B53" s="175" t="s">
        <v>699</v>
      </c>
      <c r="C53" s="175" t="s">
        <v>568</v>
      </c>
      <c r="D53" s="175">
        <v>3</v>
      </c>
      <c r="E53" s="175" t="s">
        <v>18</v>
      </c>
      <c r="F53" s="175">
        <v>1</v>
      </c>
      <c r="G53" s="175">
        <v>3</v>
      </c>
      <c r="H53" s="175">
        <v>5</v>
      </c>
      <c r="I53" s="175">
        <v>4</v>
      </c>
      <c r="J53" s="175">
        <v>2</v>
      </c>
      <c r="K53" s="175">
        <v>1</v>
      </c>
      <c r="L53" s="175">
        <v>5</v>
      </c>
      <c r="M53" s="175">
        <v>2</v>
      </c>
      <c r="N53" s="170"/>
      <c r="O53" s="170" t="s">
        <v>783</v>
      </c>
      <c r="P53" s="194" t="s">
        <v>204</v>
      </c>
      <c r="Q53" s="180">
        <f>SUM(Tabela2[[#This Row],[G]]+Tabela2[[#This Row],[D]]+Tabela2[[#This Row],[N]]+Tabela2[[#This Row],[HM]])</f>
        <v>10</v>
      </c>
      <c r="R53" s="180">
        <f>SUM(Tabela2[[#This Row],[AO]]+Tabela2[[#This Row],[AD]]+Tabela2[[#This Row],[GWO]]+Tabela2[[#This Row],[GWD]])</f>
        <v>13</v>
      </c>
      <c r="S53" s="180">
        <f>Tabela2[[#This Row],[GWO]]+Tabela2[[#This Row],[GWD]]</f>
        <v>7</v>
      </c>
      <c r="T53" s="180">
        <f>SUM(Tabela2[[#This Row],[G]:[GWD]])</f>
        <v>23</v>
      </c>
    </row>
    <row r="54" spans="1:20" ht="30">
      <c r="A54" s="183">
        <v>53</v>
      </c>
      <c r="B54" s="175" t="s">
        <v>698</v>
      </c>
      <c r="C54" s="175" t="s">
        <v>566</v>
      </c>
      <c r="D54" s="175">
        <v>3</v>
      </c>
      <c r="E54" s="175" t="s">
        <v>18</v>
      </c>
      <c r="F54" s="175">
        <v>1</v>
      </c>
      <c r="G54" s="175">
        <v>1</v>
      </c>
      <c r="H54" s="175">
        <v>1</v>
      </c>
      <c r="I54" s="175">
        <v>2</v>
      </c>
      <c r="J54" s="175">
        <v>2</v>
      </c>
      <c r="K54" s="175">
        <v>1</v>
      </c>
      <c r="L54" s="175">
        <v>3</v>
      </c>
      <c r="M54" s="175">
        <v>2</v>
      </c>
      <c r="N54" s="170"/>
      <c r="O54" s="170" t="s">
        <v>204</v>
      </c>
      <c r="P54" s="170"/>
      <c r="Q54" s="180">
        <f>SUM(Tabela2[[#This Row],[G]]+Tabela2[[#This Row],[D]]+Tabela2[[#This Row],[N]]+Tabela2[[#This Row],[HM]])</f>
        <v>4</v>
      </c>
      <c r="R54" s="180">
        <f>SUM(Tabela2[[#This Row],[AO]]+Tabela2[[#This Row],[AD]]+Tabela2[[#This Row],[GWO]]+Tabela2[[#This Row],[GWD]])</f>
        <v>9</v>
      </c>
      <c r="S54" s="180">
        <f>Tabela2[[#This Row],[GWO]]+Tabela2[[#This Row],[GWD]]</f>
        <v>5</v>
      </c>
      <c r="T54" s="180">
        <f>SUM(Tabela2[[#This Row],[G]:[GWD]])</f>
        <v>13</v>
      </c>
    </row>
    <row r="55" spans="1:20">
      <c r="A55" s="183">
        <v>54</v>
      </c>
      <c r="B55" s="175" t="s">
        <v>697</v>
      </c>
      <c r="C55" s="175" t="s">
        <v>565</v>
      </c>
      <c r="D55" s="175">
        <v>3</v>
      </c>
      <c r="E55" s="175" t="s">
        <v>18</v>
      </c>
      <c r="F55" s="175">
        <v>1</v>
      </c>
      <c r="G55" s="175">
        <v>1</v>
      </c>
      <c r="H55" s="175">
        <v>2</v>
      </c>
      <c r="I55" s="175">
        <v>1</v>
      </c>
      <c r="J55" s="175">
        <v>1</v>
      </c>
      <c r="K55" s="175">
        <v>1</v>
      </c>
      <c r="L55" s="175">
        <v>3</v>
      </c>
      <c r="M55" s="175">
        <v>1</v>
      </c>
      <c r="N55" s="170"/>
      <c r="O55" s="170"/>
      <c r="P55" s="170"/>
      <c r="Q55" s="180">
        <f>SUM(Tabela2[[#This Row],[G]]+Tabela2[[#This Row],[D]]+Tabela2[[#This Row],[N]]+Tabela2[[#This Row],[HM]])</f>
        <v>5</v>
      </c>
      <c r="R55" s="180">
        <f>SUM(Tabela2[[#This Row],[AO]]+Tabela2[[#This Row],[AD]]+Tabela2[[#This Row],[GWO]]+Tabela2[[#This Row],[GWD]])</f>
        <v>6</v>
      </c>
      <c r="S55" s="180">
        <f>Tabela2[[#This Row],[GWO]]+Tabela2[[#This Row],[GWD]]</f>
        <v>4</v>
      </c>
      <c r="T55" s="180">
        <f>SUM(Tabela2[[#This Row],[G]:[GWD]])</f>
        <v>11</v>
      </c>
    </row>
    <row r="56" spans="1:20" ht="30">
      <c r="A56" s="183">
        <v>55</v>
      </c>
      <c r="B56" s="175" t="s">
        <v>696</v>
      </c>
      <c r="C56" s="175" t="s">
        <v>695</v>
      </c>
      <c r="D56" s="175">
        <v>3</v>
      </c>
      <c r="E56" s="175" t="s">
        <v>18</v>
      </c>
      <c r="F56" s="175">
        <v>1</v>
      </c>
      <c r="G56" s="175">
        <v>1</v>
      </c>
      <c r="H56" s="175">
        <v>1</v>
      </c>
      <c r="I56" s="175">
        <v>1</v>
      </c>
      <c r="J56" s="175">
        <v>1</v>
      </c>
      <c r="K56" s="175">
        <v>1</v>
      </c>
      <c r="L56" s="175">
        <v>1</v>
      </c>
      <c r="M56" s="175">
        <v>1</v>
      </c>
      <c r="N56" s="170"/>
      <c r="O56" s="170"/>
      <c r="P56" s="170"/>
      <c r="Q56" s="180">
        <f>SUM(Tabela2[[#This Row],[G]]+Tabela2[[#This Row],[D]]+Tabela2[[#This Row],[N]]+Tabela2[[#This Row],[HM]])</f>
        <v>4</v>
      </c>
      <c r="R56" s="180">
        <f>SUM(Tabela2[[#This Row],[AO]]+Tabela2[[#This Row],[AD]]+Tabela2[[#This Row],[GWO]]+Tabela2[[#This Row],[GWD]])</f>
        <v>4</v>
      </c>
      <c r="S56" s="180">
        <f>Tabela2[[#This Row],[GWO]]+Tabela2[[#This Row],[GWD]]</f>
        <v>2</v>
      </c>
      <c r="T56" s="180">
        <f>SUM(Tabela2[[#This Row],[G]:[GWD]])</f>
        <v>8</v>
      </c>
    </row>
    <row r="57" spans="1:20">
      <c r="A57" s="183">
        <v>56</v>
      </c>
      <c r="B57" s="175" t="s">
        <v>694</v>
      </c>
      <c r="C57" s="175" t="s">
        <v>693</v>
      </c>
      <c r="D57" s="175">
        <v>3</v>
      </c>
      <c r="E57" s="175" t="s">
        <v>18</v>
      </c>
      <c r="F57" s="175">
        <v>1</v>
      </c>
      <c r="G57" s="175">
        <v>1</v>
      </c>
      <c r="H57" s="175">
        <v>1</v>
      </c>
      <c r="I57" s="175">
        <v>1</v>
      </c>
      <c r="J57" s="175">
        <v>1</v>
      </c>
      <c r="K57" s="175">
        <v>1</v>
      </c>
      <c r="L57" s="175">
        <v>1</v>
      </c>
      <c r="M57" s="175">
        <v>1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4</v>
      </c>
      <c r="S57" s="180">
        <f>Tabela2[[#This Row],[GWO]]+Tabela2[[#This Row],[GWD]]</f>
        <v>2</v>
      </c>
      <c r="T57" s="180">
        <f>SUM(Tabela2[[#This Row],[G]:[GWD]])</f>
        <v>8</v>
      </c>
    </row>
    <row r="58" spans="1:20">
      <c r="A58" s="183">
        <v>57</v>
      </c>
      <c r="B58" s="175" t="s">
        <v>692</v>
      </c>
      <c r="C58" s="175" t="s">
        <v>283</v>
      </c>
      <c r="D58" s="175">
        <v>3</v>
      </c>
      <c r="E58" s="175" t="s">
        <v>18</v>
      </c>
      <c r="F58" s="175">
        <v>1</v>
      </c>
      <c r="G58" s="175">
        <v>1</v>
      </c>
      <c r="H58" s="175">
        <v>1</v>
      </c>
      <c r="I58" s="175">
        <v>1</v>
      </c>
      <c r="J58" s="175">
        <v>2</v>
      </c>
      <c r="K58" s="175">
        <v>1</v>
      </c>
      <c r="L58" s="175">
        <v>1</v>
      </c>
      <c r="M58" s="175">
        <v>1</v>
      </c>
      <c r="N58" s="170"/>
      <c r="O58" s="170"/>
      <c r="P58" s="170"/>
      <c r="Q58" s="180">
        <f>SUM(Tabela2[[#This Row],[G]]+Tabela2[[#This Row],[D]]+Tabela2[[#This Row],[N]]+Tabela2[[#This Row],[HM]])</f>
        <v>4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2</v>
      </c>
      <c r="T58" s="180">
        <f>SUM(Tabela2[[#This Row],[G]:[GWD]])</f>
        <v>9</v>
      </c>
    </row>
    <row r="59" spans="1:20">
      <c r="A59" s="183">
        <v>58</v>
      </c>
      <c r="B59" s="175" t="s">
        <v>691</v>
      </c>
      <c r="C59" s="175" t="s">
        <v>690</v>
      </c>
      <c r="D59" s="175">
        <v>3</v>
      </c>
      <c r="E59" s="175" t="s">
        <v>18</v>
      </c>
      <c r="F59" s="175">
        <v>3</v>
      </c>
      <c r="G59" s="175">
        <v>5</v>
      </c>
      <c r="H59" s="175">
        <v>1</v>
      </c>
      <c r="I59" s="175">
        <v>2</v>
      </c>
      <c r="J59" s="175">
        <v>2</v>
      </c>
      <c r="K59" s="175">
        <v>4</v>
      </c>
      <c r="L59" s="175">
        <v>2</v>
      </c>
      <c r="M59" s="175">
        <v>2</v>
      </c>
      <c r="N59" s="170"/>
      <c r="O59" s="170" t="s">
        <v>204</v>
      </c>
      <c r="P59" s="170"/>
      <c r="Q59" s="180">
        <f>SUM(Tabela2[[#This Row],[G]]+Tabela2[[#This Row],[D]]+Tabela2[[#This Row],[N]]+Tabela2[[#This Row],[HM]])</f>
        <v>13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21</v>
      </c>
    </row>
    <row r="60" spans="1:20" ht="30">
      <c r="A60" s="183">
        <v>59</v>
      </c>
      <c r="B60" s="175" t="s">
        <v>689</v>
      </c>
      <c r="C60" s="175" t="s">
        <v>688</v>
      </c>
      <c r="D60" s="175">
        <v>3</v>
      </c>
      <c r="E60" s="175" t="s">
        <v>18</v>
      </c>
      <c r="F60" s="175">
        <v>1</v>
      </c>
      <c r="G60" s="175">
        <v>1</v>
      </c>
      <c r="H60" s="175">
        <v>1</v>
      </c>
      <c r="I60" s="175">
        <v>2</v>
      </c>
      <c r="J60" s="175">
        <v>1</v>
      </c>
      <c r="K60" s="175">
        <v>1</v>
      </c>
      <c r="L60" s="175">
        <v>2</v>
      </c>
      <c r="M60" s="175">
        <v>1</v>
      </c>
      <c r="N60" s="170"/>
      <c r="O60" s="170" t="s">
        <v>204</v>
      </c>
      <c r="P60" s="170"/>
      <c r="Q60" s="180">
        <f>SUM(Tabela2[[#This Row],[G]]+Tabela2[[#This Row],[D]]+Tabela2[[#This Row],[N]]+Tabela2[[#This Row],[HM]])</f>
        <v>4</v>
      </c>
      <c r="R60" s="180">
        <f>SUM(Tabela2[[#This Row],[AO]]+Tabela2[[#This Row],[AD]]+Tabela2[[#This Row],[GWO]]+Tabela2[[#This Row],[GWD]])</f>
        <v>6</v>
      </c>
      <c r="S60" s="180">
        <f>Tabela2[[#This Row],[GWO]]+Tabela2[[#This Row],[GWD]]</f>
        <v>3</v>
      </c>
      <c r="T60" s="180">
        <f>SUM(Tabela2[[#This Row],[G]:[GWD]])</f>
        <v>10</v>
      </c>
    </row>
    <row r="61" spans="1:20">
      <c r="A61" s="183">
        <v>60</v>
      </c>
      <c r="B61" s="175" t="s">
        <v>687</v>
      </c>
      <c r="C61" s="175" t="s">
        <v>546</v>
      </c>
      <c r="D61" s="175">
        <v>3</v>
      </c>
      <c r="E61" s="175" t="s">
        <v>18</v>
      </c>
      <c r="F61" s="175">
        <v>1</v>
      </c>
      <c r="G61" s="175">
        <v>1</v>
      </c>
      <c r="H61" s="175">
        <v>3</v>
      </c>
      <c r="I61" s="175">
        <v>1</v>
      </c>
      <c r="J61" s="175">
        <v>1</v>
      </c>
      <c r="K61" s="175">
        <v>1</v>
      </c>
      <c r="L61" s="175">
        <v>1</v>
      </c>
      <c r="M61" s="175">
        <v>1</v>
      </c>
      <c r="N61" s="170"/>
      <c r="O61" s="170"/>
      <c r="P61" s="170"/>
      <c r="Q61" s="180">
        <f>SUM(Tabela2[[#This Row],[G]]+Tabela2[[#This Row],[D]]+Tabela2[[#This Row],[N]]+Tabela2[[#This Row],[HM]])</f>
        <v>6</v>
      </c>
      <c r="R61" s="180">
        <f>SUM(Tabela2[[#This Row],[AO]]+Tabela2[[#This Row],[AD]]+Tabela2[[#This Row],[GWO]]+Tabela2[[#This Row],[GWD]])</f>
        <v>4</v>
      </c>
      <c r="S61" s="180">
        <f>Tabela2[[#This Row],[GWO]]+Tabela2[[#This Row],[GWD]]</f>
        <v>2</v>
      </c>
      <c r="T61" s="180">
        <f>SUM(Tabela2[[#This Row],[G]:[GWD]])</f>
        <v>10</v>
      </c>
    </row>
    <row r="62" spans="1:20" ht="30">
      <c r="A62" s="183">
        <v>61</v>
      </c>
      <c r="B62" s="175" t="s">
        <v>686</v>
      </c>
      <c r="C62" s="175" t="s">
        <v>685</v>
      </c>
      <c r="D62" s="175">
        <v>3</v>
      </c>
      <c r="E62" s="175" t="s">
        <v>18</v>
      </c>
      <c r="F62" s="175">
        <v>1</v>
      </c>
      <c r="G62" s="175">
        <v>1</v>
      </c>
      <c r="H62" s="175">
        <v>1</v>
      </c>
      <c r="I62" s="175">
        <v>4</v>
      </c>
      <c r="J62" s="175">
        <v>1</v>
      </c>
      <c r="K62" s="175">
        <v>1</v>
      </c>
      <c r="L62" s="175">
        <v>4</v>
      </c>
      <c r="M62" s="175">
        <v>1</v>
      </c>
      <c r="N62" s="175" t="s">
        <v>445</v>
      </c>
      <c r="O62" s="175" t="s">
        <v>204</v>
      </c>
      <c r="P62" s="175"/>
      <c r="Q62" s="184">
        <f>SUM(Tabela2[[#This Row],[G]]+Tabela2[[#This Row],[D]]+Tabela2[[#This Row],[N]]+Tabela2[[#This Row],[HM]])</f>
        <v>4</v>
      </c>
      <c r="R62" s="184">
        <f>SUM(Tabela2[[#This Row],[AO]]+Tabela2[[#This Row],[AD]]+Tabela2[[#This Row],[GWO]]+Tabela2[[#This Row],[GWD]])</f>
        <v>10</v>
      </c>
      <c r="S62" s="184">
        <f>Tabela2[[#This Row],[GWO]]+Tabela2[[#This Row],[GWD]]</f>
        <v>5</v>
      </c>
      <c r="T62" s="180">
        <f>SUM(Tabela2[[#This Row],[G]:[GWD]])</f>
        <v>14</v>
      </c>
    </row>
    <row r="63" spans="1:20" ht="30">
      <c r="A63" s="183">
        <v>62</v>
      </c>
      <c r="B63" s="175" t="s">
        <v>684</v>
      </c>
      <c r="C63" s="175" t="s">
        <v>542</v>
      </c>
      <c r="D63" s="175">
        <v>3</v>
      </c>
      <c r="E63" s="175" t="s">
        <v>18</v>
      </c>
      <c r="F63" s="175">
        <v>1</v>
      </c>
      <c r="G63" s="175">
        <v>1</v>
      </c>
      <c r="H63" s="175">
        <v>2</v>
      </c>
      <c r="I63" s="175">
        <v>1</v>
      </c>
      <c r="J63" s="175">
        <v>1</v>
      </c>
      <c r="K63" s="175">
        <v>1</v>
      </c>
      <c r="L63" s="175">
        <v>1</v>
      </c>
      <c r="M63" s="175">
        <v>1</v>
      </c>
      <c r="N63" s="170"/>
      <c r="O63" s="170"/>
      <c r="P63" s="170"/>
      <c r="Q63" s="180">
        <f>SUM(Tabela2[[#This Row],[G]]+Tabela2[[#This Row],[D]]+Tabela2[[#This Row],[N]]+Tabela2[[#This Row],[HM]])</f>
        <v>5</v>
      </c>
      <c r="R63" s="180">
        <f>SUM(Tabela2[[#This Row],[AO]]+Tabela2[[#This Row],[AD]]+Tabela2[[#This Row],[GWO]]+Tabela2[[#This Row],[GWD]])</f>
        <v>4</v>
      </c>
      <c r="S63" s="180">
        <f>Tabela2[[#This Row],[GWO]]+Tabela2[[#This Row],[GWD]]</f>
        <v>2</v>
      </c>
      <c r="T63" s="180">
        <f>SUM(Tabela2[[#This Row],[G]:[GWD]])</f>
        <v>9</v>
      </c>
    </row>
    <row r="64" spans="1:20">
      <c r="A64" s="183">
        <v>63</v>
      </c>
      <c r="B64" s="175" t="s">
        <v>683</v>
      </c>
      <c r="C64" s="175" t="s">
        <v>540</v>
      </c>
      <c r="D64" s="175">
        <v>3</v>
      </c>
      <c r="E64" s="175" t="s">
        <v>18</v>
      </c>
      <c r="F64" s="175">
        <v>1</v>
      </c>
      <c r="G64" s="175">
        <v>1</v>
      </c>
      <c r="H64" s="175">
        <v>1</v>
      </c>
      <c r="I64" s="175">
        <v>1</v>
      </c>
      <c r="J64" s="175">
        <v>1</v>
      </c>
      <c r="K64" s="175">
        <v>1</v>
      </c>
      <c r="L64" s="175">
        <v>1</v>
      </c>
      <c r="M64" s="175">
        <v>1</v>
      </c>
      <c r="N64" s="170"/>
      <c r="O64" s="170"/>
      <c r="P64" s="170"/>
      <c r="Q64" s="180">
        <f>SUM(Tabela2[[#This Row],[G]]+Tabela2[[#This Row],[D]]+Tabela2[[#This Row],[N]]+Tabela2[[#This Row],[HM]])</f>
        <v>4</v>
      </c>
      <c r="R64" s="180">
        <f>SUM(Tabela2[[#This Row],[AO]]+Tabela2[[#This Row],[AD]]+Tabela2[[#This Row],[GWO]]+Tabela2[[#This Row],[GWD]])</f>
        <v>4</v>
      </c>
      <c r="S64" s="180">
        <f>Tabela2[[#This Row],[GWO]]+Tabela2[[#This Row],[GWD]]</f>
        <v>2</v>
      </c>
      <c r="T64" s="180">
        <f>SUM(Tabela2[[#This Row],[G]:[GWD]])</f>
        <v>8</v>
      </c>
    </row>
    <row r="65" spans="1:20">
      <c r="A65" s="183">
        <v>64</v>
      </c>
      <c r="B65" s="175" t="s">
        <v>208</v>
      </c>
      <c r="C65" s="175" t="s">
        <v>358</v>
      </c>
      <c r="D65" s="175">
        <v>3</v>
      </c>
      <c r="E65" s="175" t="s">
        <v>18</v>
      </c>
      <c r="F65" s="175">
        <v>1</v>
      </c>
      <c r="G65" s="175">
        <v>1</v>
      </c>
      <c r="H65" s="175">
        <v>4</v>
      </c>
      <c r="I65" s="175">
        <v>3</v>
      </c>
      <c r="J65" s="175">
        <v>2</v>
      </c>
      <c r="K65" s="175">
        <v>1</v>
      </c>
      <c r="L65" s="175">
        <v>4</v>
      </c>
      <c r="M65" s="175">
        <v>2</v>
      </c>
      <c r="N65" s="170"/>
      <c r="O65" s="170" t="s">
        <v>204</v>
      </c>
      <c r="P65" s="170"/>
      <c r="Q65" s="180">
        <f>SUM(Tabela2[[#This Row],[G]]+Tabela2[[#This Row],[D]]+Tabela2[[#This Row],[N]]+Tabela2[[#This Row],[HM]])</f>
        <v>7</v>
      </c>
      <c r="R65" s="180">
        <f>SUM(Tabela2[[#This Row],[AO]]+Tabela2[[#This Row],[AD]]+Tabela2[[#This Row],[GWO]]+Tabela2[[#This Row],[GWD]])</f>
        <v>11</v>
      </c>
      <c r="S65" s="180">
        <f>Tabela2[[#This Row],[GWO]]+Tabela2[[#This Row],[GWD]]</f>
        <v>6</v>
      </c>
      <c r="T65" s="180">
        <f>SUM(Tabela2[[#This Row],[G]:[GWD]])</f>
        <v>18</v>
      </c>
    </row>
    <row r="66" spans="1:20" ht="30">
      <c r="A66" s="183">
        <v>65</v>
      </c>
      <c r="B66" s="175" t="s">
        <v>682</v>
      </c>
      <c r="C66" s="175" t="s">
        <v>538</v>
      </c>
      <c r="D66" s="175">
        <v>3</v>
      </c>
      <c r="E66" s="175" t="s">
        <v>18</v>
      </c>
      <c r="F66" s="175">
        <v>1</v>
      </c>
      <c r="G66" s="175">
        <v>1</v>
      </c>
      <c r="H66" s="175">
        <v>1</v>
      </c>
      <c r="I66" s="175">
        <v>1</v>
      </c>
      <c r="J66" s="175">
        <v>2</v>
      </c>
      <c r="K66" s="175">
        <v>1</v>
      </c>
      <c r="L66" s="175">
        <v>1</v>
      </c>
      <c r="M66" s="175">
        <v>2</v>
      </c>
      <c r="N66" s="175" t="s">
        <v>445</v>
      </c>
      <c r="O66" s="175" t="s">
        <v>204</v>
      </c>
      <c r="P66" s="175"/>
      <c r="Q66" s="184">
        <f>SUM(Tabela2[[#This Row],[G]]+Tabela2[[#This Row],[D]]+Tabela2[[#This Row],[N]]+Tabela2[[#This Row],[HM]])</f>
        <v>4</v>
      </c>
      <c r="R66" s="184">
        <f>SUM(Tabela2[[#This Row],[AO]]+Tabela2[[#This Row],[AD]]+Tabela2[[#This Row],[GWO]]+Tabela2[[#This Row],[GWD]])</f>
        <v>6</v>
      </c>
      <c r="S66" s="184">
        <f>Tabela2[[#This Row],[GWO]]+Tabela2[[#This Row],[GWD]]</f>
        <v>3</v>
      </c>
      <c r="T66" s="180">
        <f>SUM(Tabela2[[#This Row],[G]:[GWD]])</f>
        <v>10</v>
      </c>
    </row>
    <row r="67" spans="1:20">
      <c r="A67" s="183">
        <v>66</v>
      </c>
      <c r="B67" s="175" t="s">
        <v>681</v>
      </c>
      <c r="C67" s="175" t="s">
        <v>680</v>
      </c>
      <c r="D67" s="175">
        <v>3</v>
      </c>
      <c r="E67" s="175" t="s">
        <v>18</v>
      </c>
      <c r="F67" s="175">
        <v>1</v>
      </c>
      <c r="G67" s="175">
        <v>1</v>
      </c>
      <c r="H67" s="175">
        <v>1</v>
      </c>
      <c r="I67" s="175">
        <v>1</v>
      </c>
      <c r="J67" s="175">
        <v>1</v>
      </c>
      <c r="K67" s="175">
        <v>1</v>
      </c>
      <c r="L67" s="175">
        <v>1</v>
      </c>
      <c r="M67" s="175">
        <v>1</v>
      </c>
      <c r="N67" s="170"/>
      <c r="O67" s="170"/>
      <c r="P67" s="170"/>
      <c r="Q67" s="180">
        <f>SUM(Tabela2[[#This Row],[G]]+Tabela2[[#This Row],[D]]+Tabela2[[#This Row],[N]]+Tabela2[[#This Row],[HM]])</f>
        <v>4</v>
      </c>
      <c r="R67" s="180">
        <f>SUM(Tabela2[[#This Row],[AO]]+Tabela2[[#This Row],[AD]]+Tabela2[[#This Row],[GWO]]+Tabela2[[#This Row],[GWD]])</f>
        <v>4</v>
      </c>
      <c r="S67" s="180">
        <f>Tabela2[[#This Row],[GWO]]+Tabela2[[#This Row],[GWD]]</f>
        <v>2</v>
      </c>
      <c r="T67" s="180">
        <f>SUM(Tabela2[[#This Row],[G]:[GWD]])</f>
        <v>8</v>
      </c>
    </row>
    <row r="68" spans="1:20">
      <c r="A68" s="183">
        <v>67</v>
      </c>
      <c r="B68" s="175" t="s">
        <v>679</v>
      </c>
      <c r="C68" s="175" t="s">
        <v>678</v>
      </c>
      <c r="D68" s="175">
        <v>3</v>
      </c>
      <c r="E68" s="175" t="s">
        <v>18</v>
      </c>
      <c r="F68" s="175">
        <v>1</v>
      </c>
      <c r="G68" s="175">
        <v>1</v>
      </c>
      <c r="H68" s="175">
        <v>1</v>
      </c>
      <c r="I68" s="175">
        <v>1</v>
      </c>
      <c r="J68" s="175">
        <v>1</v>
      </c>
      <c r="K68" s="175">
        <v>1</v>
      </c>
      <c r="L68" s="175">
        <v>1</v>
      </c>
      <c r="M68" s="175">
        <v>1</v>
      </c>
      <c r="N68" s="175" t="s">
        <v>445</v>
      </c>
      <c r="O68" s="175"/>
      <c r="P68" s="175"/>
      <c r="Q68" s="184">
        <f>SUM(Tabela2[[#This Row],[G]]+Tabela2[[#This Row],[D]]+Tabela2[[#This Row],[N]]+Tabela2[[#This Row],[HM]])</f>
        <v>4</v>
      </c>
      <c r="R68" s="184">
        <f>SUM(Tabela2[[#This Row],[AO]]+Tabela2[[#This Row],[AD]]+Tabela2[[#This Row],[GWO]]+Tabela2[[#This Row],[GWD]])</f>
        <v>4</v>
      </c>
      <c r="S68" s="184">
        <f>Tabela2[[#This Row],[GWO]]+Tabela2[[#This Row],[GWD]]</f>
        <v>2</v>
      </c>
      <c r="T68" s="180">
        <f>SUM(Tabela2[[#This Row],[G]:[GWD]])</f>
        <v>8</v>
      </c>
    </row>
    <row r="69" spans="1:20" ht="30">
      <c r="A69" s="183">
        <v>68</v>
      </c>
      <c r="B69" s="175" t="s">
        <v>677</v>
      </c>
      <c r="C69" s="175" t="s">
        <v>534</v>
      </c>
      <c r="D69" s="175">
        <v>3</v>
      </c>
      <c r="E69" s="175" t="s">
        <v>18</v>
      </c>
      <c r="F69" s="175">
        <v>1</v>
      </c>
      <c r="G69" s="175">
        <v>1</v>
      </c>
      <c r="H69" s="175">
        <v>1</v>
      </c>
      <c r="I69" s="175">
        <v>1</v>
      </c>
      <c r="J69" s="175">
        <v>1</v>
      </c>
      <c r="K69" s="175">
        <v>1</v>
      </c>
      <c r="L69" s="175">
        <v>1</v>
      </c>
      <c r="M69" s="175">
        <v>1</v>
      </c>
      <c r="N69" s="170"/>
      <c r="O69" s="170"/>
      <c r="P69" s="170"/>
      <c r="Q69" s="180">
        <f>SUM(Tabela2[[#This Row],[G]]+Tabela2[[#This Row],[D]]+Tabela2[[#This Row],[N]]+Tabela2[[#This Row],[HM]])</f>
        <v>4</v>
      </c>
      <c r="R69" s="180">
        <f>SUM(Tabela2[[#This Row],[AO]]+Tabela2[[#This Row],[AD]]+Tabela2[[#This Row],[GWO]]+Tabela2[[#This Row],[GWD]])</f>
        <v>4</v>
      </c>
      <c r="S69" s="180">
        <f>Tabela2[[#This Row],[GWO]]+Tabela2[[#This Row],[GWD]]</f>
        <v>2</v>
      </c>
      <c r="T69" s="180">
        <f>SUM(Tabela2[[#This Row],[G]:[GWD]])</f>
        <v>8</v>
      </c>
    </row>
    <row r="70" spans="1:20" ht="30">
      <c r="A70" s="183">
        <v>69</v>
      </c>
      <c r="B70" s="175" t="s">
        <v>676</v>
      </c>
      <c r="C70" s="175" t="s">
        <v>532</v>
      </c>
      <c r="D70" s="175">
        <v>3</v>
      </c>
      <c r="E70" s="175" t="s">
        <v>18</v>
      </c>
      <c r="F70" s="175">
        <v>1</v>
      </c>
      <c r="G70" s="175">
        <v>1</v>
      </c>
      <c r="H70" s="175">
        <v>1</v>
      </c>
      <c r="I70" s="175">
        <v>1</v>
      </c>
      <c r="J70" s="175">
        <v>1</v>
      </c>
      <c r="K70" s="175">
        <v>1</v>
      </c>
      <c r="L70" s="175">
        <v>1</v>
      </c>
      <c r="M70" s="175">
        <v>1</v>
      </c>
      <c r="N70" s="175" t="s">
        <v>445</v>
      </c>
      <c r="O70" s="175"/>
      <c r="P70" s="175"/>
      <c r="Q70" s="184">
        <f>SUM(Tabela2[[#This Row],[G]]+Tabela2[[#This Row],[D]]+Tabela2[[#This Row],[N]]+Tabela2[[#This Row],[HM]])</f>
        <v>4</v>
      </c>
      <c r="R70" s="184">
        <f>SUM(Tabela2[[#This Row],[AO]]+Tabela2[[#This Row],[AD]]+Tabela2[[#This Row],[GWO]]+Tabela2[[#This Row],[GWD]])</f>
        <v>4</v>
      </c>
      <c r="S70" s="184">
        <f>Tabela2[[#This Row],[GWO]]+Tabela2[[#This Row],[GWD]]</f>
        <v>2</v>
      </c>
      <c r="T70" s="180">
        <f>SUM(Tabela2[[#This Row],[G]:[GWD]])</f>
        <v>8</v>
      </c>
    </row>
    <row r="71" spans="1:20" ht="30">
      <c r="A71" s="183">
        <v>70</v>
      </c>
      <c r="B71" s="175" t="s">
        <v>675</v>
      </c>
      <c r="C71" s="175" t="s">
        <v>530</v>
      </c>
      <c r="D71" s="175">
        <v>3</v>
      </c>
      <c r="E71" s="175" t="s">
        <v>18</v>
      </c>
      <c r="F71" s="175">
        <v>1</v>
      </c>
      <c r="G71" s="175">
        <v>1</v>
      </c>
      <c r="H71" s="175">
        <v>1</v>
      </c>
      <c r="I71" s="175">
        <v>1</v>
      </c>
      <c r="J71" s="175">
        <v>1</v>
      </c>
      <c r="K71" s="175">
        <v>1</v>
      </c>
      <c r="L71" s="175">
        <v>1</v>
      </c>
      <c r="M71" s="175">
        <v>1</v>
      </c>
      <c r="N71" s="170"/>
      <c r="O71" s="170"/>
      <c r="P71" s="170"/>
      <c r="Q71" s="180">
        <f>SUM(Tabela2[[#This Row],[G]]+Tabela2[[#This Row],[D]]+Tabela2[[#This Row],[N]]+Tabela2[[#This Row],[HM]])</f>
        <v>4</v>
      </c>
      <c r="R71" s="180">
        <f>SUM(Tabela2[[#This Row],[AO]]+Tabela2[[#This Row],[AD]]+Tabela2[[#This Row],[GWO]]+Tabela2[[#This Row],[GWD]])</f>
        <v>4</v>
      </c>
      <c r="S71" s="180">
        <f>Tabela2[[#This Row],[GWO]]+Tabela2[[#This Row],[GWD]]</f>
        <v>2</v>
      </c>
      <c r="T71" s="180">
        <f>SUM(Tabela2[[#This Row],[G]:[GWD]])</f>
        <v>8</v>
      </c>
    </row>
    <row r="72" spans="1:20" ht="30">
      <c r="A72" s="183">
        <v>71</v>
      </c>
      <c r="B72" s="175" t="s">
        <v>674</v>
      </c>
      <c r="C72" s="175" t="s">
        <v>528</v>
      </c>
      <c r="D72" s="175">
        <v>3</v>
      </c>
      <c r="E72" s="175" t="s">
        <v>18</v>
      </c>
      <c r="F72" s="175">
        <v>1</v>
      </c>
      <c r="G72" s="175">
        <v>1</v>
      </c>
      <c r="H72" s="175">
        <v>1</v>
      </c>
      <c r="I72" s="175">
        <v>1</v>
      </c>
      <c r="J72" s="175">
        <v>1</v>
      </c>
      <c r="K72" s="175">
        <v>1</v>
      </c>
      <c r="L72" s="175">
        <v>1</v>
      </c>
      <c r="M72" s="175">
        <v>1</v>
      </c>
      <c r="N72" s="170"/>
      <c r="O72" s="170"/>
      <c r="P72" s="170"/>
      <c r="Q72" s="180">
        <f>SUM(Tabela2[[#This Row],[G]]+Tabela2[[#This Row],[D]]+Tabela2[[#This Row],[N]]+Tabela2[[#This Row],[HM]])</f>
        <v>4</v>
      </c>
      <c r="R72" s="180">
        <f>SUM(Tabela2[[#This Row],[AO]]+Tabela2[[#This Row],[AD]]+Tabela2[[#This Row],[GWO]]+Tabela2[[#This Row],[GWD]])</f>
        <v>4</v>
      </c>
      <c r="S72" s="180">
        <f>Tabela2[[#This Row],[GWO]]+Tabela2[[#This Row],[GWD]]</f>
        <v>2</v>
      </c>
      <c r="T72" s="180">
        <f>SUM(Tabela2[[#This Row],[G]:[GWD]])</f>
        <v>8</v>
      </c>
    </row>
    <row r="73" spans="1:20" ht="30">
      <c r="A73" s="183">
        <v>72</v>
      </c>
      <c r="B73" s="175" t="s">
        <v>673</v>
      </c>
      <c r="C73" s="175" t="s">
        <v>526</v>
      </c>
      <c r="D73" s="175">
        <v>3</v>
      </c>
      <c r="E73" s="175" t="s">
        <v>18</v>
      </c>
      <c r="F73" s="175">
        <v>1</v>
      </c>
      <c r="G73" s="175">
        <v>1</v>
      </c>
      <c r="H73" s="175">
        <v>1</v>
      </c>
      <c r="I73" s="175">
        <v>1</v>
      </c>
      <c r="J73" s="175">
        <v>1</v>
      </c>
      <c r="K73" s="175">
        <v>1</v>
      </c>
      <c r="L73" s="175">
        <v>1</v>
      </c>
      <c r="M73" s="175">
        <v>1</v>
      </c>
      <c r="N73" s="170"/>
      <c r="O73" s="170"/>
      <c r="P73" s="170"/>
      <c r="Q73" s="180">
        <f>SUM(Tabela2[[#This Row],[G]]+Tabela2[[#This Row],[D]]+Tabela2[[#This Row],[N]]+Tabela2[[#This Row],[HM]])</f>
        <v>4</v>
      </c>
      <c r="R73" s="180">
        <f>SUM(Tabela2[[#This Row],[AO]]+Tabela2[[#This Row],[AD]]+Tabela2[[#This Row],[GWO]]+Tabela2[[#This Row],[GWD]])</f>
        <v>4</v>
      </c>
      <c r="S73" s="180">
        <f>Tabela2[[#This Row],[GWO]]+Tabela2[[#This Row],[GWD]]</f>
        <v>2</v>
      </c>
      <c r="T73" s="180">
        <f>SUM(Tabela2[[#This Row],[G]:[GWD]])</f>
        <v>8</v>
      </c>
    </row>
    <row r="74" spans="1:20" ht="30">
      <c r="A74" s="183">
        <v>73</v>
      </c>
      <c r="B74" s="175" t="s">
        <v>672</v>
      </c>
      <c r="C74" s="175" t="s">
        <v>671</v>
      </c>
      <c r="D74" s="175">
        <v>3</v>
      </c>
      <c r="E74" s="175" t="s">
        <v>18</v>
      </c>
      <c r="F74" s="175">
        <v>1</v>
      </c>
      <c r="G74" s="175">
        <v>1</v>
      </c>
      <c r="H74" s="175">
        <v>1</v>
      </c>
      <c r="I74" s="175">
        <v>1</v>
      </c>
      <c r="J74" s="175">
        <v>1</v>
      </c>
      <c r="K74" s="175">
        <v>1</v>
      </c>
      <c r="L74" s="175">
        <v>1</v>
      </c>
      <c r="M74" s="175">
        <v>1</v>
      </c>
      <c r="N74" s="175" t="s">
        <v>445</v>
      </c>
      <c r="O74" s="175"/>
      <c r="P74" s="175"/>
      <c r="Q74" s="184">
        <f>SUM(Tabela2[[#This Row],[G]]+Tabela2[[#This Row],[D]]+Tabela2[[#This Row],[N]]+Tabela2[[#This Row],[HM]])</f>
        <v>4</v>
      </c>
      <c r="R74" s="184">
        <f>SUM(Tabela2[[#This Row],[AO]]+Tabela2[[#This Row],[AD]]+Tabela2[[#This Row],[GWO]]+Tabela2[[#This Row],[GWD]])</f>
        <v>4</v>
      </c>
      <c r="S74" s="184">
        <f>Tabela2[[#This Row],[GWO]]+Tabela2[[#This Row],[GWD]]</f>
        <v>2</v>
      </c>
      <c r="T74" s="180">
        <f>SUM(Tabela2[[#This Row],[G]:[GWD]])</f>
        <v>8</v>
      </c>
    </row>
    <row r="75" spans="1:20">
      <c r="A75" s="183">
        <v>74</v>
      </c>
      <c r="B75" s="175" t="s">
        <v>670</v>
      </c>
      <c r="C75" s="175" t="s">
        <v>284</v>
      </c>
      <c r="D75" s="175">
        <v>3</v>
      </c>
      <c r="E75" s="175" t="s">
        <v>18</v>
      </c>
      <c r="F75" s="175">
        <v>1</v>
      </c>
      <c r="G75" s="175">
        <v>1</v>
      </c>
      <c r="H75" s="175">
        <v>1</v>
      </c>
      <c r="I75" s="175">
        <v>3</v>
      </c>
      <c r="J75" s="175">
        <v>3</v>
      </c>
      <c r="K75" s="175">
        <v>1</v>
      </c>
      <c r="L75" s="175">
        <v>2</v>
      </c>
      <c r="M75" s="175">
        <v>1</v>
      </c>
      <c r="N75" s="175" t="s">
        <v>445</v>
      </c>
      <c r="O75" s="175"/>
      <c r="P75" s="175"/>
      <c r="Q75" s="184">
        <f>SUM(Tabela2[[#This Row],[G]]+Tabela2[[#This Row],[D]]+Tabela2[[#This Row],[N]]+Tabela2[[#This Row],[HM]])</f>
        <v>4</v>
      </c>
      <c r="R75" s="184">
        <f>SUM(Tabela2[[#This Row],[AO]]+Tabela2[[#This Row],[AD]]+Tabela2[[#This Row],[GWO]]+Tabela2[[#This Row],[GWD]])</f>
        <v>9</v>
      </c>
      <c r="S75" s="184">
        <f>Tabela2[[#This Row],[GWO]]+Tabela2[[#This Row],[GWD]]</f>
        <v>3</v>
      </c>
      <c r="T75" s="180">
        <f>SUM(Tabela2[[#This Row],[G]:[GWD]])</f>
        <v>13</v>
      </c>
    </row>
    <row r="76" spans="1:20">
      <c r="A76" s="183">
        <v>75</v>
      </c>
      <c r="B76" s="175" t="s">
        <v>669</v>
      </c>
      <c r="C76" s="175" t="s">
        <v>376</v>
      </c>
      <c r="D76" s="175">
        <v>3</v>
      </c>
      <c r="E76" s="175" t="s">
        <v>18</v>
      </c>
      <c r="F76" s="175">
        <v>1</v>
      </c>
      <c r="G76" s="175">
        <v>1</v>
      </c>
      <c r="H76" s="175">
        <v>1</v>
      </c>
      <c r="I76" s="175">
        <v>1</v>
      </c>
      <c r="J76" s="175">
        <v>1</v>
      </c>
      <c r="K76" s="175">
        <v>1</v>
      </c>
      <c r="L76" s="175">
        <v>1</v>
      </c>
      <c r="M76" s="175">
        <v>1</v>
      </c>
      <c r="N76" s="170"/>
      <c r="O76" s="170"/>
      <c r="P76" s="170"/>
      <c r="Q76" s="180">
        <f>SUM(Tabela2[[#This Row],[G]]+Tabela2[[#This Row],[D]]+Tabela2[[#This Row],[N]]+Tabela2[[#This Row],[HM]])</f>
        <v>4</v>
      </c>
      <c r="R76" s="180">
        <f>SUM(Tabela2[[#This Row],[AO]]+Tabela2[[#This Row],[AD]]+Tabela2[[#This Row],[GWO]]+Tabela2[[#This Row],[GWD]])</f>
        <v>4</v>
      </c>
      <c r="S76" s="180">
        <f>Tabela2[[#This Row],[GWO]]+Tabela2[[#This Row],[GWD]]</f>
        <v>2</v>
      </c>
      <c r="T76" s="180">
        <f>SUM(Tabela2[[#This Row],[G]:[GWD]])</f>
        <v>8</v>
      </c>
    </row>
    <row r="77" spans="1:20">
      <c r="A77" s="183">
        <v>76</v>
      </c>
      <c r="B77" s="175" t="s">
        <v>668</v>
      </c>
      <c r="C77" s="175" t="s">
        <v>267</v>
      </c>
      <c r="D77" s="175">
        <v>3</v>
      </c>
      <c r="E77" s="175" t="s">
        <v>18</v>
      </c>
      <c r="F77" s="175">
        <v>1</v>
      </c>
      <c r="G77" s="175">
        <v>1</v>
      </c>
      <c r="H77" s="175">
        <v>1</v>
      </c>
      <c r="I77" s="175">
        <v>2</v>
      </c>
      <c r="J77" s="175">
        <v>2</v>
      </c>
      <c r="K77" s="175">
        <v>1</v>
      </c>
      <c r="L77" s="175">
        <v>1</v>
      </c>
      <c r="M77" s="175">
        <v>1</v>
      </c>
      <c r="N77" s="170"/>
      <c r="O77" s="170"/>
      <c r="P77" s="170"/>
      <c r="Q77" s="180">
        <f>SUM(Tabela2[[#This Row],[G]]+Tabela2[[#This Row],[D]]+Tabela2[[#This Row],[N]]+Tabela2[[#This Row],[HM]])</f>
        <v>4</v>
      </c>
      <c r="R77" s="180">
        <f>SUM(Tabela2[[#This Row],[AO]]+Tabela2[[#This Row],[AD]]+Tabela2[[#This Row],[GWO]]+Tabela2[[#This Row],[GWD]])</f>
        <v>6</v>
      </c>
      <c r="S77" s="180">
        <f>Tabela2[[#This Row],[GWO]]+Tabela2[[#This Row],[GWD]]</f>
        <v>2</v>
      </c>
      <c r="T77" s="180">
        <f>SUM(Tabela2[[#This Row],[G]:[GWD]])</f>
        <v>10</v>
      </c>
    </row>
    <row r="78" spans="1:20">
      <c r="A78" s="183">
        <v>77</v>
      </c>
      <c r="B78" s="175" t="s">
        <v>667</v>
      </c>
      <c r="C78" s="175" t="s">
        <v>521</v>
      </c>
      <c r="D78" s="175">
        <v>3</v>
      </c>
      <c r="E78" s="175" t="s">
        <v>18</v>
      </c>
      <c r="F78" s="175">
        <v>1</v>
      </c>
      <c r="G78" s="175">
        <v>1</v>
      </c>
      <c r="H78" s="175">
        <v>1</v>
      </c>
      <c r="I78" s="175">
        <v>1</v>
      </c>
      <c r="J78" s="175">
        <v>1</v>
      </c>
      <c r="K78" s="175">
        <v>1</v>
      </c>
      <c r="L78" s="175">
        <v>1</v>
      </c>
      <c r="M78" s="175">
        <v>1</v>
      </c>
      <c r="N78" s="175" t="s">
        <v>445</v>
      </c>
      <c r="O78" s="175"/>
      <c r="P78" s="175"/>
      <c r="Q78" s="184">
        <f>SUM(Tabela2[[#This Row],[G]]+Tabela2[[#This Row],[D]]+Tabela2[[#This Row],[N]]+Tabela2[[#This Row],[HM]])</f>
        <v>4</v>
      </c>
      <c r="R78" s="184">
        <f>SUM(Tabela2[[#This Row],[AO]]+Tabela2[[#This Row],[AD]]+Tabela2[[#This Row],[GWO]]+Tabela2[[#This Row],[GWD]])</f>
        <v>4</v>
      </c>
      <c r="S78" s="184">
        <f>Tabela2[[#This Row],[GWO]]+Tabela2[[#This Row],[GWD]]</f>
        <v>2</v>
      </c>
      <c r="T78" s="180">
        <f>SUM(Tabela2[[#This Row],[G]:[GWD]])</f>
        <v>8</v>
      </c>
    </row>
    <row r="79" spans="1:20">
      <c r="A79" s="183">
        <v>78</v>
      </c>
      <c r="B79" s="175" t="s">
        <v>666</v>
      </c>
      <c r="C79" s="175" t="s">
        <v>578</v>
      </c>
      <c r="D79" s="175">
        <v>3</v>
      </c>
      <c r="E79" s="175" t="s">
        <v>18</v>
      </c>
      <c r="F79" s="175">
        <v>1</v>
      </c>
      <c r="G79" s="175">
        <v>1</v>
      </c>
      <c r="H79" s="175">
        <v>2</v>
      </c>
      <c r="I79" s="175">
        <v>1</v>
      </c>
      <c r="J79" s="175">
        <v>1</v>
      </c>
      <c r="K79" s="175">
        <v>1</v>
      </c>
      <c r="L79" s="175">
        <v>1</v>
      </c>
      <c r="M79" s="175">
        <v>1</v>
      </c>
      <c r="N79" s="170"/>
      <c r="O79" s="170"/>
      <c r="P79" s="170"/>
      <c r="Q79" s="180">
        <f>SUM(Tabela2[[#This Row],[G]]+Tabela2[[#This Row],[D]]+Tabela2[[#This Row],[N]]+Tabela2[[#This Row],[HM]])</f>
        <v>5</v>
      </c>
      <c r="R79" s="180">
        <f>SUM(Tabela2[[#This Row],[AO]]+Tabela2[[#This Row],[AD]]+Tabela2[[#This Row],[GWO]]+Tabela2[[#This Row],[GWD]])</f>
        <v>4</v>
      </c>
      <c r="S79" s="180">
        <f>Tabela2[[#This Row],[GWO]]+Tabela2[[#This Row],[GWD]]</f>
        <v>2</v>
      </c>
      <c r="T79" s="180">
        <f>SUM(Tabela2[[#This Row],[G]:[GWD]])</f>
        <v>9</v>
      </c>
    </row>
    <row r="80" spans="1:20">
      <c r="A80" s="183">
        <v>79</v>
      </c>
      <c r="B80" s="174" t="s">
        <v>665</v>
      </c>
      <c r="C80" s="174" t="s">
        <v>574</v>
      </c>
      <c r="D80" s="174">
        <v>3</v>
      </c>
      <c r="E80" s="174" t="s">
        <v>249</v>
      </c>
      <c r="F80" s="174">
        <v>2</v>
      </c>
      <c r="G80" s="174">
        <v>2</v>
      </c>
      <c r="H80" s="174">
        <v>3</v>
      </c>
      <c r="I80" s="174">
        <v>3</v>
      </c>
      <c r="J80" s="174">
        <v>1</v>
      </c>
      <c r="K80" s="174">
        <v>2</v>
      </c>
      <c r="L80" s="174">
        <v>2</v>
      </c>
      <c r="M80" s="174">
        <v>1</v>
      </c>
      <c r="N80" s="170"/>
      <c r="O80" s="170"/>
      <c r="P80" s="170"/>
      <c r="Q80" s="180">
        <f>SUM(Tabela2[[#This Row],[G]]+Tabela2[[#This Row],[D]]+Tabela2[[#This Row],[N]]+Tabela2[[#This Row],[HM]])</f>
        <v>9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16</v>
      </c>
    </row>
    <row r="81" spans="1:20" ht="30">
      <c r="A81" s="183">
        <v>80</v>
      </c>
      <c r="B81" s="174" t="s">
        <v>664</v>
      </c>
      <c r="C81" s="174" t="s">
        <v>572</v>
      </c>
      <c r="D81" s="174">
        <v>3</v>
      </c>
      <c r="E81" s="174" t="s">
        <v>249</v>
      </c>
      <c r="F81" s="174">
        <v>3</v>
      </c>
      <c r="G81" s="174">
        <v>3</v>
      </c>
      <c r="H81" s="174">
        <v>1</v>
      </c>
      <c r="I81" s="174">
        <v>1</v>
      </c>
      <c r="J81" s="174">
        <v>3</v>
      </c>
      <c r="K81" s="174">
        <v>4</v>
      </c>
      <c r="L81" s="174">
        <v>4</v>
      </c>
      <c r="M81" s="174">
        <v>2</v>
      </c>
      <c r="N81" s="170"/>
      <c r="O81" s="205" t="s">
        <v>204</v>
      </c>
      <c r="P81" s="194"/>
      <c r="Q81" s="180">
        <f>SUM(Tabela2[[#This Row],[G]]+Tabela2[[#This Row],[D]]+Tabela2[[#This Row],[N]]+Tabela2[[#This Row],[HM]])</f>
        <v>11</v>
      </c>
      <c r="R81" s="180">
        <f>SUM(Tabela2[[#This Row],[AO]]+Tabela2[[#This Row],[AD]]+Tabela2[[#This Row],[GWO]]+Tabela2[[#This Row],[GWD]])</f>
        <v>10</v>
      </c>
      <c r="S81" s="180">
        <f>Tabela2[[#This Row],[GWO]]+Tabela2[[#This Row],[GWD]]</f>
        <v>6</v>
      </c>
      <c r="T81" s="180">
        <f>SUM(Tabela2[[#This Row],[G]:[GWD]])</f>
        <v>21</v>
      </c>
    </row>
    <row r="82" spans="1:20">
      <c r="A82" s="183">
        <v>81</v>
      </c>
      <c r="B82" s="174" t="s">
        <v>663</v>
      </c>
      <c r="C82" s="174" t="s">
        <v>290</v>
      </c>
      <c r="D82" s="174">
        <v>3</v>
      </c>
      <c r="E82" s="174" t="s">
        <v>249</v>
      </c>
      <c r="F82" s="174">
        <v>1</v>
      </c>
      <c r="G82" s="174">
        <v>1</v>
      </c>
      <c r="H82" s="174">
        <v>1</v>
      </c>
      <c r="I82" s="174">
        <v>1</v>
      </c>
      <c r="J82" s="174">
        <v>1</v>
      </c>
      <c r="K82" s="174">
        <v>1</v>
      </c>
      <c r="L82" s="174">
        <v>1</v>
      </c>
      <c r="M82" s="174">
        <v>1</v>
      </c>
      <c r="N82" s="174" t="s">
        <v>445</v>
      </c>
      <c r="O82" s="174"/>
      <c r="P82" s="174"/>
      <c r="Q82" s="185">
        <f>SUM(Tabela2[[#This Row],[G]]+Tabela2[[#This Row],[D]]+Tabela2[[#This Row],[N]]+Tabela2[[#This Row],[HM]])</f>
        <v>4</v>
      </c>
      <c r="R82" s="185">
        <f>SUM(Tabela2[[#This Row],[AO]]+Tabela2[[#This Row],[AD]]+Tabela2[[#This Row],[GWO]]+Tabela2[[#This Row],[GWD]])</f>
        <v>4</v>
      </c>
      <c r="S82" s="185">
        <f>Tabela2[[#This Row],[GWO]]+Tabela2[[#This Row],[GWD]]</f>
        <v>2</v>
      </c>
      <c r="T82" s="180">
        <f>SUM(Tabela2[[#This Row],[G]:[GWD]])</f>
        <v>8</v>
      </c>
    </row>
    <row r="83" spans="1:20" ht="30">
      <c r="A83" s="183">
        <v>82</v>
      </c>
      <c r="B83" s="174" t="s">
        <v>662</v>
      </c>
      <c r="C83" s="174" t="s">
        <v>568</v>
      </c>
      <c r="D83" s="174">
        <v>3</v>
      </c>
      <c r="E83" s="174" t="s">
        <v>249</v>
      </c>
      <c r="F83" s="174">
        <v>1</v>
      </c>
      <c r="G83" s="174">
        <v>1</v>
      </c>
      <c r="H83" s="174">
        <v>2</v>
      </c>
      <c r="I83" s="174">
        <v>3</v>
      </c>
      <c r="J83" s="174">
        <v>3</v>
      </c>
      <c r="K83" s="174">
        <v>1</v>
      </c>
      <c r="L83" s="174">
        <v>2</v>
      </c>
      <c r="M83" s="174">
        <v>1</v>
      </c>
      <c r="N83" s="170"/>
      <c r="O83" s="170"/>
      <c r="P83" s="170"/>
      <c r="Q83" s="180">
        <f>SUM(Tabela2[[#This Row],[G]]+Tabela2[[#This Row],[D]]+Tabela2[[#This Row],[N]]+Tabela2[[#This Row],[HM]])</f>
        <v>5</v>
      </c>
      <c r="R83" s="180">
        <f>SUM(Tabela2[[#This Row],[AO]]+Tabela2[[#This Row],[AD]]+Tabela2[[#This Row],[GWO]]+Tabela2[[#This Row],[GWD]])</f>
        <v>9</v>
      </c>
      <c r="S83" s="180">
        <f>Tabela2[[#This Row],[GWO]]+Tabela2[[#This Row],[GWD]]</f>
        <v>3</v>
      </c>
      <c r="T83" s="180">
        <f>SUM(Tabela2[[#This Row],[G]:[GWD]])</f>
        <v>14</v>
      </c>
    </row>
    <row r="84" spans="1:20" ht="30">
      <c r="A84" s="183">
        <v>83</v>
      </c>
      <c r="B84" s="174" t="s">
        <v>661</v>
      </c>
      <c r="C84" s="174" t="s">
        <v>566</v>
      </c>
      <c r="D84" s="174">
        <v>3</v>
      </c>
      <c r="E84" s="174" t="s">
        <v>249</v>
      </c>
      <c r="F84" s="174">
        <v>1</v>
      </c>
      <c r="G84" s="174">
        <v>3</v>
      </c>
      <c r="H84" s="174">
        <v>1</v>
      </c>
      <c r="I84" s="174">
        <v>1</v>
      </c>
      <c r="J84" s="174">
        <v>1</v>
      </c>
      <c r="K84" s="174">
        <v>1</v>
      </c>
      <c r="L84" s="174">
        <v>1</v>
      </c>
      <c r="M84" s="174">
        <v>1</v>
      </c>
      <c r="N84" s="170"/>
      <c r="O84" s="170"/>
      <c r="P84" s="170"/>
      <c r="Q84" s="180">
        <f>SUM(Tabela2[[#This Row],[G]]+Tabela2[[#This Row],[D]]+Tabela2[[#This Row],[N]]+Tabela2[[#This Row],[HM]])</f>
        <v>6</v>
      </c>
      <c r="R84" s="180">
        <f>SUM(Tabela2[[#This Row],[AO]]+Tabela2[[#This Row],[AD]]+Tabela2[[#This Row],[GWO]]+Tabela2[[#This Row],[GWD]])</f>
        <v>4</v>
      </c>
      <c r="S84" s="180">
        <f>Tabela2[[#This Row],[GWO]]+Tabela2[[#This Row],[GWD]]</f>
        <v>2</v>
      </c>
      <c r="T84" s="180">
        <f>SUM(Tabela2[[#This Row],[G]:[GWD]])</f>
        <v>10</v>
      </c>
    </row>
    <row r="85" spans="1:20">
      <c r="A85" s="183">
        <v>84</v>
      </c>
      <c r="B85" s="174" t="s">
        <v>660</v>
      </c>
      <c r="C85" s="174" t="s">
        <v>565</v>
      </c>
      <c r="D85" s="174">
        <v>3</v>
      </c>
      <c r="E85" s="174" t="s">
        <v>249</v>
      </c>
      <c r="F85" s="174">
        <v>1</v>
      </c>
      <c r="G85" s="174">
        <v>1</v>
      </c>
      <c r="H85" s="174">
        <v>4</v>
      </c>
      <c r="I85" s="174">
        <v>2</v>
      </c>
      <c r="J85" s="174">
        <v>1</v>
      </c>
      <c r="K85" s="174">
        <v>1</v>
      </c>
      <c r="L85" s="174">
        <v>3</v>
      </c>
      <c r="M85" s="174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85</v>
      </c>
      <c r="B86" s="174" t="s">
        <v>659</v>
      </c>
      <c r="C86" s="174" t="s">
        <v>570</v>
      </c>
      <c r="D86" s="174">
        <v>3</v>
      </c>
      <c r="E86" s="174" t="s">
        <v>249</v>
      </c>
      <c r="F86" s="174">
        <v>1</v>
      </c>
      <c r="G86" s="174">
        <v>1</v>
      </c>
      <c r="H86" s="174">
        <v>1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4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10</v>
      </c>
    </row>
    <row r="87" spans="1:20" ht="30">
      <c r="A87" s="183">
        <v>86</v>
      </c>
      <c r="B87" s="174" t="s">
        <v>658</v>
      </c>
      <c r="C87" s="174" t="s">
        <v>412</v>
      </c>
      <c r="D87" s="174">
        <v>3</v>
      </c>
      <c r="E87" s="174" t="s">
        <v>249</v>
      </c>
      <c r="F87" s="174">
        <v>1</v>
      </c>
      <c r="G87" s="174">
        <v>1</v>
      </c>
      <c r="H87" s="174">
        <v>1</v>
      </c>
      <c r="I87" s="174">
        <v>1</v>
      </c>
      <c r="J87" s="174">
        <v>3</v>
      </c>
      <c r="K87" s="174">
        <v>1</v>
      </c>
      <c r="L87" s="174">
        <v>1</v>
      </c>
      <c r="M87" s="174">
        <v>1</v>
      </c>
      <c r="N87" s="170"/>
      <c r="O87" s="170"/>
      <c r="P87" s="170"/>
      <c r="Q87" s="180">
        <f>SUM(Tabela2[[#This Row],[G]]+Tabela2[[#This Row],[D]]+Tabela2[[#This Row],[N]]+Tabela2[[#This Row],[HM]])</f>
        <v>4</v>
      </c>
      <c r="R87" s="180">
        <f>SUM(Tabela2[[#This Row],[AO]]+Tabela2[[#This Row],[AD]]+Tabela2[[#This Row],[GWO]]+Tabela2[[#This Row],[GWD]])</f>
        <v>6</v>
      </c>
      <c r="S87" s="180">
        <f>Tabela2[[#This Row],[GWO]]+Tabela2[[#This Row],[GWD]]</f>
        <v>2</v>
      </c>
      <c r="T87" s="180">
        <f>SUM(Tabela2[[#This Row],[G]:[GWD]])</f>
        <v>10</v>
      </c>
    </row>
    <row r="88" spans="1:20" ht="30">
      <c r="A88" s="183">
        <v>87</v>
      </c>
      <c r="B88" s="174" t="s">
        <v>657</v>
      </c>
      <c r="C88" s="174" t="s">
        <v>563</v>
      </c>
      <c r="D88" s="174">
        <v>3</v>
      </c>
      <c r="E88" s="174" t="s">
        <v>249</v>
      </c>
      <c r="F88" s="174">
        <v>1</v>
      </c>
      <c r="G88" s="174">
        <v>1</v>
      </c>
      <c r="H88" s="174">
        <v>1</v>
      </c>
      <c r="I88" s="174">
        <v>1</v>
      </c>
      <c r="J88" s="174">
        <v>1</v>
      </c>
      <c r="K88" s="174">
        <v>1</v>
      </c>
      <c r="L88" s="174">
        <v>1</v>
      </c>
      <c r="M88" s="174">
        <v>1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4</v>
      </c>
      <c r="S88" s="180">
        <f>Tabela2[[#This Row],[GWO]]+Tabela2[[#This Row],[GWD]]</f>
        <v>2</v>
      </c>
      <c r="T88" s="180">
        <f>SUM(Tabela2[[#This Row],[G]:[GWD]])</f>
        <v>8</v>
      </c>
    </row>
    <row r="89" spans="1:20">
      <c r="A89" s="183">
        <v>88</v>
      </c>
      <c r="B89" s="174" t="s">
        <v>656</v>
      </c>
      <c r="C89" s="174" t="s">
        <v>559</v>
      </c>
      <c r="D89" s="174">
        <v>3</v>
      </c>
      <c r="E89" s="174" t="s">
        <v>249</v>
      </c>
      <c r="F89" s="174">
        <v>1</v>
      </c>
      <c r="G89" s="174">
        <v>1</v>
      </c>
      <c r="H89" s="174">
        <v>1</v>
      </c>
      <c r="I89" s="174">
        <v>1</v>
      </c>
      <c r="J89" s="174">
        <v>1</v>
      </c>
      <c r="K89" s="174">
        <v>1</v>
      </c>
      <c r="L89" s="174">
        <v>1</v>
      </c>
      <c r="M89" s="174">
        <v>1</v>
      </c>
      <c r="N89" s="170"/>
      <c r="O89" s="170"/>
      <c r="P89" s="170"/>
      <c r="Q89" s="180">
        <f>SUM(Tabela2[[#This Row],[G]]+Tabela2[[#This Row],[D]]+Tabela2[[#This Row],[N]]+Tabela2[[#This Row],[HM]])</f>
        <v>4</v>
      </c>
      <c r="R89" s="180">
        <f>SUM(Tabela2[[#This Row],[AO]]+Tabela2[[#This Row],[AD]]+Tabela2[[#This Row],[GWO]]+Tabela2[[#This Row],[GWD]])</f>
        <v>4</v>
      </c>
      <c r="S89" s="180">
        <f>Tabela2[[#This Row],[GWO]]+Tabela2[[#This Row],[GWD]]</f>
        <v>2</v>
      </c>
      <c r="T89" s="180">
        <f>SUM(Tabela2[[#This Row],[G]:[GWD]])</f>
        <v>8</v>
      </c>
    </row>
    <row r="90" spans="1:20">
      <c r="A90" s="183">
        <v>89</v>
      </c>
      <c r="B90" s="174" t="s">
        <v>655</v>
      </c>
      <c r="C90" s="174" t="s">
        <v>283</v>
      </c>
      <c r="D90" s="174">
        <v>3</v>
      </c>
      <c r="E90" s="174" t="s">
        <v>249</v>
      </c>
      <c r="F90" s="174">
        <v>1</v>
      </c>
      <c r="G90" s="174">
        <v>1</v>
      </c>
      <c r="H90" s="174">
        <v>1</v>
      </c>
      <c r="I90" s="174">
        <v>1</v>
      </c>
      <c r="J90" s="174">
        <v>2</v>
      </c>
      <c r="K90" s="174">
        <v>1</v>
      </c>
      <c r="L90" s="174">
        <v>1</v>
      </c>
      <c r="M90" s="174">
        <v>1</v>
      </c>
      <c r="N90" s="174" t="s">
        <v>445</v>
      </c>
      <c r="O90" s="174"/>
      <c r="P90" s="174"/>
      <c r="Q90" s="185">
        <f>SUM(Tabela2[[#This Row],[G]]+Tabela2[[#This Row],[D]]+Tabela2[[#This Row],[N]]+Tabela2[[#This Row],[HM]])</f>
        <v>4</v>
      </c>
      <c r="R90" s="185">
        <f>SUM(Tabela2[[#This Row],[AO]]+Tabela2[[#This Row],[AD]]+Tabela2[[#This Row],[GWO]]+Tabela2[[#This Row],[GWD]])</f>
        <v>5</v>
      </c>
      <c r="S90" s="185">
        <f>Tabela2[[#This Row],[GWO]]+Tabela2[[#This Row],[GWD]]</f>
        <v>2</v>
      </c>
      <c r="T90" s="180">
        <f>SUM(Tabela2[[#This Row],[G]:[GWD]])</f>
        <v>9</v>
      </c>
    </row>
    <row r="91" spans="1:20">
      <c r="A91" s="183">
        <v>90</v>
      </c>
      <c r="B91" s="174" t="s">
        <v>654</v>
      </c>
      <c r="C91" s="174" t="s">
        <v>552</v>
      </c>
      <c r="D91" s="174">
        <v>3</v>
      </c>
      <c r="E91" s="174" t="s">
        <v>249</v>
      </c>
      <c r="F91" s="174">
        <v>1</v>
      </c>
      <c r="G91" s="174">
        <v>1</v>
      </c>
      <c r="H91" s="174">
        <v>1</v>
      </c>
      <c r="I91" s="174">
        <v>1</v>
      </c>
      <c r="J91" s="174">
        <v>1</v>
      </c>
      <c r="K91" s="174">
        <v>1</v>
      </c>
      <c r="L91" s="174">
        <v>1</v>
      </c>
      <c r="M91" s="174">
        <v>1</v>
      </c>
      <c r="N91" s="174" t="s">
        <v>445</v>
      </c>
      <c r="O91" s="174"/>
      <c r="P91" s="174"/>
      <c r="Q91" s="185">
        <f>SUM(Tabela2[[#This Row],[G]]+Tabela2[[#This Row],[D]]+Tabela2[[#This Row],[N]]+Tabela2[[#This Row],[HM]])</f>
        <v>4</v>
      </c>
      <c r="R91" s="185">
        <f>SUM(Tabela2[[#This Row],[AO]]+Tabela2[[#This Row],[AD]]+Tabela2[[#This Row],[GWO]]+Tabela2[[#This Row],[GWD]])</f>
        <v>4</v>
      </c>
      <c r="S91" s="185">
        <f>Tabela2[[#This Row],[GWO]]+Tabela2[[#This Row],[GWD]]</f>
        <v>2</v>
      </c>
      <c r="T91" s="180">
        <f>SUM(Tabela2[[#This Row],[G]:[GWD]])</f>
        <v>8</v>
      </c>
    </row>
    <row r="92" spans="1:20" ht="30">
      <c r="A92" s="183">
        <v>91</v>
      </c>
      <c r="B92" s="174" t="s">
        <v>653</v>
      </c>
      <c r="C92" s="174" t="s">
        <v>550</v>
      </c>
      <c r="D92" s="174">
        <v>3</v>
      </c>
      <c r="E92" s="174" t="s">
        <v>249</v>
      </c>
      <c r="F92" s="174">
        <v>2</v>
      </c>
      <c r="G92" s="174">
        <v>2</v>
      </c>
      <c r="H92" s="174">
        <v>1</v>
      </c>
      <c r="I92" s="174">
        <v>1</v>
      </c>
      <c r="J92" s="174">
        <v>1</v>
      </c>
      <c r="K92" s="174">
        <v>5</v>
      </c>
      <c r="L92" s="174">
        <v>1</v>
      </c>
      <c r="M92" s="174">
        <v>1</v>
      </c>
      <c r="N92" s="174" t="s">
        <v>445</v>
      </c>
      <c r="O92" s="174" t="s">
        <v>204</v>
      </c>
      <c r="P92" s="174"/>
      <c r="Q92" s="185">
        <f>SUM(Tabela2[[#This Row],[G]]+Tabela2[[#This Row],[D]]+Tabela2[[#This Row],[N]]+Tabela2[[#This Row],[HM]])</f>
        <v>10</v>
      </c>
      <c r="R92" s="185">
        <f>SUM(Tabela2[[#This Row],[AO]]+Tabela2[[#This Row],[AD]]+Tabela2[[#This Row],[GWO]]+Tabela2[[#This Row],[GWD]])</f>
        <v>4</v>
      </c>
      <c r="S92" s="185">
        <f>Tabela2[[#This Row],[GWO]]+Tabela2[[#This Row],[GWD]]</f>
        <v>2</v>
      </c>
      <c r="T92" s="180">
        <f>SUM(Tabela2[[#This Row],[G]:[GWD]])</f>
        <v>14</v>
      </c>
    </row>
    <row r="93" spans="1:20">
      <c r="A93" s="183">
        <v>92</v>
      </c>
      <c r="B93" s="174" t="s">
        <v>652</v>
      </c>
      <c r="C93" s="174" t="s">
        <v>546</v>
      </c>
      <c r="D93" s="174">
        <v>3</v>
      </c>
      <c r="E93" s="174" t="s">
        <v>249</v>
      </c>
      <c r="F93" s="174">
        <v>1</v>
      </c>
      <c r="G93" s="174">
        <v>1</v>
      </c>
      <c r="H93" s="174">
        <v>1</v>
      </c>
      <c r="I93" s="174">
        <v>1</v>
      </c>
      <c r="J93" s="174">
        <v>1</v>
      </c>
      <c r="K93" s="174">
        <v>1</v>
      </c>
      <c r="L93" s="174">
        <v>1</v>
      </c>
      <c r="M93" s="174">
        <v>1</v>
      </c>
      <c r="N93" s="174" t="s">
        <v>445</v>
      </c>
      <c r="O93" s="174"/>
      <c r="P93" s="174"/>
      <c r="Q93" s="185">
        <f>SUM(Tabela2[[#This Row],[G]]+Tabela2[[#This Row],[D]]+Tabela2[[#This Row],[N]]+Tabela2[[#This Row],[HM]])</f>
        <v>4</v>
      </c>
      <c r="R93" s="185">
        <f>SUM(Tabela2[[#This Row],[AO]]+Tabela2[[#This Row],[AD]]+Tabela2[[#This Row],[GWO]]+Tabela2[[#This Row],[GWD]])</f>
        <v>4</v>
      </c>
      <c r="S93" s="185">
        <f>Tabela2[[#This Row],[GWO]]+Tabela2[[#This Row],[GWD]]</f>
        <v>2</v>
      </c>
      <c r="T93" s="180">
        <f>SUM(Tabela2[[#This Row],[G]:[GWD]])</f>
        <v>8</v>
      </c>
    </row>
    <row r="94" spans="1:20" ht="30">
      <c r="A94" s="183">
        <v>93</v>
      </c>
      <c r="B94" s="174" t="s">
        <v>651</v>
      </c>
      <c r="C94" s="174" t="s">
        <v>544</v>
      </c>
      <c r="D94" s="174">
        <v>3</v>
      </c>
      <c r="E94" s="174" t="s">
        <v>249</v>
      </c>
      <c r="F94" s="174">
        <v>1</v>
      </c>
      <c r="G94" s="174">
        <v>1</v>
      </c>
      <c r="H94" s="174">
        <v>1</v>
      </c>
      <c r="I94" s="174">
        <v>2</v>
      </c>
      <c r="J94" s="174">
        <v>1</v>
      </c>
      <c r="K94" s="174">
        <v>1</v>
      </c>
      <c r="L94" s="174">
        <v>2</v>
      </c>
      <c r="M94" s="174">
        <v>1</v>
      </c>
      <c r="N94" s="170"/>
      <c r="O94" s="170"/>
      <c r="P94" s="170"/>
      <c r="Q94" s="180">
        <f>SUM(Tabela2[[#This Row],[G]]+Tabela2[[#This Row],[D]]+Tabela2[[#This Row],[N]]+Tabela2[[#This Row],[HM]])</f>
        <v>4</v>
      </c>
      <c r="R94" s="180">
        <f>SUM(Tabela2[[#This Row],[AO]]+Tabela2[[#This Row],[AD]]+Tabela2[[#This Row],[GWO]]+Tabela2[[#This Row],[GWD]])</f>
        <v>6</v>
      </c>
      <c r="S94" s="180">
        <f>Tabela2[[#This Row],[GWO]]+Tabela2[[#This Row],[GWD]]</f>
        <v>3</v>
      </c>
      <c r="T94" s="180">
        <f>SUM(Tabela2[[#This Row],[G]:[GWD]])</f>
        <v>10</v>
      </c>
    </row>
    <row r="95" spans="1:20" ht="30">
      <c r="A95" s="183">
        <v>94</v>
      </c>
      <c r="B95" s="174" t="s">
        <v>650</v>
      </c>
      <c r="C95" s="174" t="s">
        <v>542</v>
      </c>
      <c r="D95" s="174">
        <v>3</v>
      </c>
      <c r="E95" s="174" t="s">
        <v>249</v>
      </c>
      <c r="F95" s="174">
        <v>1</v>
      </c>
      <c r="G95" s="174">
        <v>1</v>
      </c>
      <c r="H95" s="174">
        <v>1</v>
      </c>
      <c r="I95" s="174">
        <v>1</v>
      </c>
      <c r="J95" s="174">
        <v>1</v>
      </c>
      <c r="K95" s="174">
        <v>1</v>
      </c>
      <c r="L95" s="174">
        <v>1</v>
      </c>
      <c r="M95" s="174">
        <v>1</v>
      </c>
      <c r="N95" s="170"/>
      <c r="O95" s="170"/>
      <c r="P95" s="170"/>
      <c r="Q95" s="180">
        <f>SUM(Tabela2[[#This Row],[G]]+Tabela2[[#This Row],[D]]+Tabela2[[#This Row],[N]]+Tabela2[[#This Row],[HM]])</f>
        <v>4</v>
      </c>
      <c r="R95" s="180">
        <f>SUM(Tabela2[[#This Row],[AO]]+Tabela2[[#This Row],[AD]]+Tabela2[[#This Row],[GWO]]+Tabela2[[#This Row],[GWD]])</f>
        <v>4</v>
      </c>
      <c r="S95" s="180">
        <f>Tabela2[[#This Row],[GWO]]+Tabela2[[#This Row],[GWD]]</f>
        <v>2</v>
      </c>
      <c r="T95" s="180">
        <f>SUM(Tabela2[[#This Row],[G]:[GWD]])</f>
        <v>8</v>
      </c>
    </row>
    <row r="96" spans="1:20">
      <c r="A96" s="183">
        <v>95</v>
      </c>
      <c r="B96" s="174" t="s">
        <v>649</v>
      </c>
      <c r="C96" s="174" t="s">
        <v>540</v>
      </c>
      <c r="D96" s="174">
        <v>3</v>
      </c>
      <c r="E96" s="174" t="s">
        <v>249</v>
      </c>
      <c r="F96" s="174">
        <v>1</v>
      </c>
      <c r="G96" s="174">
        <v>1</v>
      </c>
      <c r="H96" s="174">
        <v>1</v>
      </c>
      <c r="I96" s="174">
        <v>1</v>
      </c>
      <c r="J96" s="174">
        <v>1</v>
      </c>
      <c r="K96" s="174">
        <v>1</v>
      </c>
      <c r="L96" s="174">
        <v>1</v>
      </c>
      <c r="M96" s="174">
        <v>1</v>
      </c>
      <c r="N96" s="170"/>
      <c r="O96" s="170"/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4</v>
      </c>
      <c r="S96" s="180">
        <f>Tabela2[[#This Row],[GWO]]+Tabela2[[#This Row],[GWD]]</f>
        <v>2</v>
      </c>
      <c r="T96" s="180">
        <f>SUM(Tabela2[[#This Row],[G]:[GWD]])</f>
        <v>8</v>
      </c>
    </row>
    <row r="97" spans="1:20">
      <c r="A97" s="183">
        <v>96</v>
      </c>
      <c r="B97" s="174" t="s">
        <v>648</v>
      </c>
      <c r="C97" s="174" t="s">
        <v>358</v>
      </c>
      <c r="D97" s="174">
        <v>3</v>
      </c>
      <c r="E97" s="174" t="s">
        <v>249</v>
      </c>
      <c r="F97" s="174">
        <v>1</v>
      </c>
      <c r="G97" s="174">
        <v>1</v>
      </c>
      <c r="H97" s="174">
        <v>1</v>
      </c>
      <c r="I97" s="174">
        <v>1</v>
      </c>
      <c r="J97" s="174">
        <v>1</v>
      </c>
      <c r="K97" s="174">
        <v>1</v>
      </c>
      <c r="L97" s="174">
        <v>1</v>
      </c>
      <c r="M97" s="174">
        <v>1</v>
      </c>
      <c r="N97" s="174" t="s">
        <v>445</v>
      </c>
      <c r="O97" s="174"/>
      <c r="P97" s="174"/>
      <c r="Q97" s="185">
        <f>SUM(Tabela2[[#This Row],[G]]+Tabela2[[#This Row],[D]]+Tabela2[[#This Row],[N]]+Tabela2[[#This Row],[HM]])</f>
        <v>4</v>
      </c>
      <c r="R97" s="185">
        <f>SUM(Tabela2[[#This Row],[AO]]+Tabela2[[#This Row],[AD]]+Tabela2[[#This Row],[GWO]]+Tabela2[[#This Row],[GWD]])</f>
        <v>4</v>
      </c>
      <c r="S97" s="185">
        <f>Tabela2[[#This Row],[GWO]]+Tabela2[[#This Row],[GWD]]</f>
        <v>2</v>
      </c>
      <c r="T97" s="180">
        <f>SUM(Tabela2[[#This Row],[G]:[GWD]])</f>
        <v>8</v>
      </c>
    </row>
    <row r="98" spans="1:20" ht="30">
      <c r="A98" s="183">
        <v>97</v>
      </c>
      <c r="B98" s="174" t="s">
        <v>647</v>
      </c>
      <c r="C98" s="174" t="s">
        <v>538</v>
      </c>
      <c r="D98" s="174">
        <v>3</v>
      </c>
      <c r="E98" s="174" t="s">
        <v>249</v>
      </c>
      <c r="F98" s="174">
        <v>1</v>
      </c>
      <c r="G98" s="174">
        <v>1</v>
      </c>
      <c r="H98" s="174">
        <v>1</v>
      </c>
      <c r="I98" s="174">
        <v>1</v>
      </c>
      <c r="J98" s="174">
        <v>1</v>
      </c>
      <c r="K98" s="174">
        <v>1</v>
      </c>
      <c r="L98" s="174">
        <v>1</v>
      </c>
      <c r="M98" s="174">
        <v>1</v>
      </c>
      <c r="N98" s="170"/>
      <c r="O98" s="191" t="s">
        <v>204</v>
      </c>
      <c r="P98" s="191"/>
      <c r="Q98" s="180">
        <f>SUM(Tabela2[[#This Row],[G]]+Tabela2[[#This Row],[D]]+Tabela2[[#This Row],[N]]+Tabela2[[#This Row],[HM]])</f>
        <v>4</v>
      </c>
      <c r="R98" s="180">
        <f>SUM(Tabela2[[#This Row],[AO]]+Tabela2[[#This Row],[AD]]+Tabela2[[#This Row],[GWO]]+Tabela2[[#This Row],[GWD]])</f>
        <v>4</v>
      </c>
      <c r="S98" s="180">
        <f>Tabela2[[#This Row],[GWO]]+Tabela2[[#This Row],[GWD]]</f>
        <v>2</v>
      </c>
      <c r="T98" s="180">
        <f>SUM(Tabela2[[#This Row],[G]:[GWD]])</f>
        <v>8</v>
      </c>
    </row>
    <row r="99" spans="1:20">
      <c r="A99" s="183">
        <v>98</v>
      </c>
      <c r="B99" s="174" t="s">
        <v>646</v>
      </c>
      <c r="C99" s="174" t="s">
        <v>536</v>
      </c>
      <c r="D99" s="174">
        <v>3</v>
      </c>
      <c r="E99" s="174" t="s">
        <v>249</v>
      </c>
      <c r="F99" s="174">
        <v>1</v>
      </c>
      <c r="G99" s="174">
        <v>3</v>
      </c>
      <c r="H99" s="174">
        <v>1</v>
      </c>
      <c r="I99" s="174">
        <v>1</v>
      </c>
      <c r="J99" s="174">
        <v>1</v>
      </c>
      <c r="K99" s="174">
        <v>1</v>
      </c>
      <c r="L99" s="174">
        <v>1</v>
      </c>
      <c r="M99" s="174">
        <v>1</v>
      </c>
      <c r="N99" s="170"/>
      <c r="O99" s="170"/>
      <c r="P99" s="170"/>
      <c r="Q99" s="180">
        <f>SUM(Tabela2[[#This Row],[G]]+Tabela2[[#This Row],[D]]+Tabela2[[#This Row],[N]]+Tabela2[[#This Row],[HM]])</f>
        <v>6</v>
      </c>
      <c r="R99" s="180">
        <f>SUM(Tabela2[[#This Row],[AO]]+Tabela2[[#This Row],[AD]]+Tabela2[[#This Row],[GWO]]+Tabela2[[#This Row],[GWD]])</f>
        <v>4</v>
      </c>
      <c r="S99" s="180">
        <f>Tabela2[[#This Row],[GWO]]+Tabela2[[#This Row],[GWD]]</f>
        <v>2</v>
      </c>
      <c r="T99" s="180">
        <f>SUM(Tabela2[[#This Row],[G]:[GWD]])</f>
        <v>10</v>
      </c>
    </row>
    <row r="100" spans="1:20" ht="30">
      <c r="A100" s="183">
        <v>99</v>
      </c>
      <c r="B100" s="174" t="s">
        <v>645</v>
      </c>
      <c r="C100" s="174" t="s">
        <v>400</v>
      </c>
      <c r="D100" s="174">
        <v>3</v>
      </c>
      <c r="E100" s="174" t="s">
        <v>249</v>
      </c>
      <c r="F100" s="174">
        <v>1</v>
      </c>
      <c r="G100" s="174">
        <v>1</v>
      </c>
      <c r="H100" s="174">
        <v>1</v>
      </c>
      <c r="I100" s="174">
        <v>1</v>
      </c>
      <c r="J100" s="174">
        <v>1</v>
      </c>
      <c r="K100" s="174">
        <v>1</v>
      </c>
      <c r="L100" s="174">
        <v>1</v>
      </c>
      <c r="M100" s="174">
        <v>1</v>
      </c>
      <c r="N100" s="174" t="s">
        <v>445</v>
      </c>
      <c r="O100" s="174"/>
      <c r="P100" s="174"/>
      <c r="Q100" s="185">
        <f>SUM(Tabela2[[#This Row],[G]]+Tabela2[[#This Row],[D]]+Tabela2[[#This Row],[N]]+Tabela2[[#This Row],[HM]])</f>
        <v>4</v>
      </c>
      <c r="R100" s="185">
        <f>SUM(Tabela2[[#This Row],[AO]]+Tabela2[[#This Row],[AD]]+Tabela2[[#This Row],[GWO]]+Tabela2[[#This Row],[GWD]])</f>
        <v>4</v>
      </c>
      <c r="S100" s="185">
        <f>Tabela2[[#This Row],[GWO]]+Tabela2[[#This Row],[GWD]]</f>
        <v>2</v>
      </c>
      <c r="T100" s="180">
        <f>SUM(Tabela2[[#This Row],[G]:[GWD]])</f>
        <v>8</v>
      </c>
    </row>
    <row r="101" spans="1:20" ht="30">
      <c r="A101" s="183">
        <v>100</v>
      </c>
      <c r="B101" s="179" t="s">
        <v>644</v>
      </c>
      <c r="C101" s="174" t="s">
        <v>534</v>
      </c>
      <c r="D101" s="174">
        <v>3</v>
      </c>
      <c r="E101" s="174" t="s">
        <v>249</v>
      </c>
      <c r="F101" s="174">
        <v>1</v>
      </c>
      <c r="G101" s="174">
        <v>1</v>
      </c>
      <c r="H101" s="174">
        <v>1</v>
      </c>
      <c r="I101" s="174">
        <v>1</v>
      </c>
      <c r="J101" s="174">
        <v>1</v>
      </c>
      <c r="K101" s="174">
        <v>1</v>
      </c>
      <c r="L101" s="174">
        <v>1</v>
      </c>
      <c r="M101" s="174">
        <v>1</v>
      </c>
      <c r="N101" s="170"/>
      <c r="O101" s="170"/>
      <c r="P101" s="170"/>
      <c r="Q101" s="180">
        <f>SUM(Tabela2[[#This Row],[G]]+Tabela2[[#This Row],[D]]+Tabela2[[#This Row],[N]]+Tabela2[[#This Row],[HM]])</f>
        <v>4</v>
      </c>
      <c r="R101" s="180">
        <f>SUM(Tabela2[[#This Row],[AO]]+Tabela2[[#This Row],[AD]]+Tabela2[[#This Row],[GWO]]+Tabela2[[#This Row],[GWD]])</f>
        <v>4</v>
      </c>
      <c r="S101" s="180">
        <f>Tabela2[[#This Row],[GWO]]+Tabela2[[#This Row],[GWD]]</f>
        <v>2</v>
      </c>
      <c r="T101" s="180">
        <f>SUM(Tabela2[[#This Row],[G]:[GWD]])</f>
        <v>8</v>
      </c>
    </row>
    <row r="102" spans="1:20" ht="30">
      <c r="A102" s="183">
        <v>101</v>
      </c>
      <c r="B102" s="174" t="s">
        <v>643</v>
      </c>
      <c r="C102" s="174" t="s">
        <v>532</v>
      </c>
      <c r="D102" s="174">
        <v>3</v>
      </c>
      <c r="E102" s="174" t="s">
        <v>249</v>
      </c>
      <c r="F102" s="174">
        <v>1</v>
      </c>
      <c r="G102" s="174">
        <v>1</v>
      </c>
      <c r="H102" s="174">
        <v>1</v>
      </c>
      <c r="I102" s="174">
        <v>1</v>
      </c>
      <c r="J102" s="174">
        <v>1</v>
      </c>
      <c r="K102" s="174">
        <v>1</v>
      </c>
      <c r="L102" s="174">
        <v>1</v>
      </c>
      <c r="M102" s="174">
        <v>1</v>
      </c>
      <c r="N102" s="174" t="s">
        <v>445</v>
      </c>
      <c r="O102" s="174"/>
      <c r="P102" s="174"/>
      <c r="Q102" s="185">
        <f>SUM(Tabela2[[#This Row],[G]]+Tabela2[[#This Row],[D]]+Tabela2[[#This Row],[N]]+Tabela2[[#This Row],[HM]])</f>
        <v>4</v>
      </c>
      <c r="R102" s="185">
        <f>SUM(Tabela2[[#This Row],[AO]]+Tabela2[[#This Row],[AD]]+Tabela2[[#This Row],[GWO]]+Tabela2[[#This Row],[GWD]])</f>
        <v>4</v>
      </c>
      <c r="S102" s="185">
        <f>Tabela2[[#This Row],[GWO]]+Tabela2[[#This Row],[GWD]]</f>
        <v>2</v>
      </c>
      <c r="T102" s="180">
        <f>SUM(Tabela2[[#This Row],[G]:[GWD]])</f>
        <v>8</v>
      </c>
    </row>
    <row r="103" spans="1:20" ht="30">
      <c r="A103" s="183">
        <v>102</v>
      </c>
      <c r="B103" s="174" t="s">
        <v>642</v>
      </c>
      <c r="C103" s="174" t="s">
        <v>530</v>
      </c>
      <c r="D103" s="174">
        <v>3</v>
      </c>
      <c r="E103" s="174" t="s">
        <v>249</v>
      </c>
      <c r="F103" s="174">
        <v>1</v>
      </c>
      <c r="G103" s="174">
        <v>1</v>
      </c>
      <c r="H103" s="174">
        <v>1</v>
      </c>
      <c r="I103" s="174">
        <v>1</v>
      </c>
      <c r="J103" s="174">
        <v>1</v>
      </c>
      <c r="K103" s="174">
        <v>1</v>
      </c>
      <c r="L103" s="174">
        <v>1</v>
      </c>
      <c r="M103" s="174">
        <v>1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4</v>
      </c>
      <c r="S103" s="180">
        <f>Tabela2[[#This Row],[GWO]]+Tabela2[[#This Row],[GWD]]</f>
        <v>2</v>
      </c>
      <c r="T103" s="180">
        <f>SUM(Tabela2[[#This Row],[G]:[GWD]])</f>
        <v>8</v>
      </c>
    </row>
    <row r="104" spans="1:20" ht="30">
      <c r="A104" s="183">
        <v>103</v>
      </c>
      <c r="B104" s="174" t="s">
        <v>641</v>
      </c>
      <c r="C104" s="174" t="s">
        <v>528</v>
      </c>
      <c r="D104" s="174">
        <v>3</v>
      </c>
      <c r="E104" s="174" t="s">
        <v>249</v>
      </c>
      <c r="F104" s="174">
        <v>3</v>
      </c>
      <c r="G104" s="174">
        <v>4</v>
      </c>
      <c r="H104" s="174">
        <v>1</v>
      </c>
      <c r="I104" s="174">
        <v>4</v>
      </c>
      <c r="J104" s="174">
        <v>2</v>
      </c>
      <c r="K104" s="174">
        <v>2</v>
      </c>
      <c r="L104" s="174">
        <v>4</v>
      </c>
      <c r="M104" s="174">
        <v>2</v>
      </c>
      <c r="N104" s="170"/>
      <c r="O104" s="170" t="s">
        <v>204</v>
      </c>
      <c r="P104" s="170"/>
      <c r="Q104" s="180">
        <f>SUM(Tabela2[[#This Row],[G]]+Tabela2[[#This Row],[D]]+Tabela2[[#This Row],[N]]+Tabela2[[#This Row],[HM]])</f>
        <v>10</v>
      </c>
      <c r="R104" s="180">
        <f>SUM(Tabela2[[#This Row],[AO]]+Tabela2[[#This Row],[AD]]+Tabela2[[#This Row],[GWO]]+Tabela2[[#This Row],[GWD]])</f>
        <v>12</v>
      </c>
      <c r="S104" s="180">
        <f>Tabela2[[#This Row],[GWO]]+Tabela2[[#This Row],[GWD]]</f>
        <v>6</v>
      </c>
      <c r="T104" s="180">
        <f>SUM(Tabela2[[#This Row],[G]:[GWD]])</f>
        <v>22</v>
      </c>
    </row>
    <row r="105" spans="1:20" ht="30">
      <c r="A105" s="183">
        <v>104</v>
      </c>
      <c r="B105" s="174" t="s">
        <v>640</v>
      </c>
      <c r="C105" s="174" t="s">
        <v>526</v>
      </c>
      <c r="D105" s="174">
        <v>3</v>
      </c>
      <c r="E105" s="174" t="s">
        <v>249</v>
      </c>
      <c r="F105" s="174">
        <v>1</v>
      </c>
      <c r="G105" s="174">
        <v>1</v>
      </c>
      <c r="H105" s="174">
        <v>1</v>
      </c>
      <c r="I105" s="174">
        <v>1</v>
      </c>
      <c r="J105" s="174">
        <v>1</v>
      </c>
      <c r="K105" s="174">
        <v>1</v>
      </c>
      <c r="L105" s="174">
        <v>1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4</v>
      </c>
      <c r="R105" s="180">
        <f>SUM(Tabela2[[#This Row],[AO]]+Tabela2[[#This Row],[AD]]+Tabela2[[#This Row],[GWO]]+Tabela2[[#This Row],[GWD]])</f>
        <v>4</v>
      </c>
      <c r="S105" s="180">
        <f>Tabela2[[#This Row],[GWO]]+Tabela2[[#This Row],[GWD]]</f>
        <v>2</v>
      </c>
      <c r="T105" s="180">
        <f>SUM(Tabela2[[#This Row],[G]:[GWD]])</f>
        <v>8</v>
      </c>
    </row>
    <row r="106" spans="1:20">
      <c r="A106" s="183">
        <v>105</v>
      </c>
      <c r="B106" s="174" t="s">
        <v>639</v>
      </c>
      <c r="C106" s="174" t="s">
        <v>284</v>
      </c>
      <c r="D106" s="174">
        <v>3</v>
      </c>
      <c r="E106" s="174" t="s">
        <v>249</v>
      </c>
      <c r="F106" s="174">
        <v>1</v>
      </c>
      <c r="G106" s="174">
        <v>1</v>
      </c>
      <c r="H106" s="174">
        <v>1</v>
      </c>
      <c r="I106" s="174">
        <v>1</v>
      </c>
      <c r="J106" s="174">
        <v>1</v>
      </c>
      <c r="K106" s="174">
        <v>1</v>
      </c>
      <c r="L106" s="174">
        <v>1</v>
      </c>
      <c r="M106" s="174">
        <v>1</v>
      </c>
      <c r="N106" s="170"/>
      <c r="O106" s="170"/>
      <c r="P106" s="194" t="s">
        <v>204</v>
      </c>
      <c r="Q106" s="180">
        <f>SUM(Tabela2[[#This Row],[G]]+Tabela2[[#This Row],[D]]+Tabela2[[#This Row],[N]]+Tabela2[[#This Row],[HM]])</f>
        <v>4</v>
      </c>
      <c r="R106" s="180">
        <f>SUM(Tabela2[[#This Row],[AO]]+Tabela2[[#This Row],[AD]]+Tabela2[[#This Row],[GWO]]+Tabela2[[#This Row],[GWD]])</f>
        <v>4</v>
      </c>
      <c r="S106" s="180">
        <f>Tabela2[[#This Row],[GWO]]+Tabela2[[#This Row],[GWD]]</f>
        <v>2</v>
      </c>
      <c r="T106" s="180">
        <f>SUM(Tabela2[[#This Row],[G]:[GWD]])</f>
        <v>8</v>
      </c>
    </row>
    <row r="107" spans="1:20">
      <c r="A107" s="183">
        <v>106</v>
      </c>
      <c r="B107" s="174" t="s">
        <v>638</v>
      </c>
      <c r="C107" s="174" t="s">
        <v>523</v>
      </c>
      <c r="D107" s="174">
        <v>3</v>
      </c>
      <c r="E107" s="174" t="s">
        <v>249</v>
      </c>
      <c r="F107" s="174">
        <v>1</v>
      </c>
      <c r="G107" s="174">
        <v>1</v>
      </c>
      <c r="H107" s="174">
        <v>1</v>
      </c>
      <c r="I107" s="174">
        <v>1</v>
      </c>
      <c r="J107" s="174">
        <v>1</v>
      </c>
      <c r="K107" s="174">
        <v>1</v>
      </c>
      <c r="L107" s="174">
        <v>1</v>
      </c>
      <c r="M107" s="174">
        <v>1</v>
      </c>
      <c r="N107" s="170"/>
      <c r="O107" s="170"/>
      <c r="P107" s="170"/>
      <c r="Q107" s="180">
        <f>SUM(Tabela2[[#This Row],[G]]+Tabela2[[#This Row],[D]]+Tabela2[[#This Row],[N]]+Tabela2[[#This Row],[HM]])</f>
        <v>4</v>
      </c>
      <c r="R107" s="180">
        <f>SUM(Tabela2[[#This Row],[AO]]+Tabela2[[#This Row],[AD]]+Tabela2[[#This Row],[GWO]]+Tabela2[[#This Row],[GWD]])</f>
        <v>4</v>
      </c>
      <c r="S107" s="180">
        <f>Tabela2[[#This Row],[GWO]]+Tabela2[[#This Row],[GWD]]</f>
        <v>2</v>
      </c>
      <c r="T107" s="180">
        <f>SUM(Tabela2[[#This Row],[G]:[GWD]])</f>
        <v>8</v>
      </c>
    </row>
    <row r="108" spans="1:20">
      <c r="A108" s="183">
        <v>107</v>
      </c>
      <c r="B108" s="174" t="s">
        <v>637</v>
      </c>
      <c r="C108" s="174" t="s">
        <v>521</v>
      </c>
      <c r="D108" s="174">
        <v>3</v>
      </c>
      <c r="E108" s="174" t="s">
        <v>249</v>
      </c>
      <c r="F108" s="174">
        <v>2</v>
      </c>
      <c r="G108" s="174">
        <v>3</v>
      </c>
      <c r="H108" s="174">
        <v>3</v>
      </c>
      <c r="I108" s="174">
        <v>3</v>
      </c>
      <c r="J108" s="174">
        <v>3</v>
      </c>
      <c r="K108" s="174">
        <v>1</v>
      </c>
      <c r="L108" s="174">
        <v>4</v>
      </c>
      <c r="M108" s="174">
        <v>3</v>
      </c>
      <c r="N108" s="170"/>
      <c r="O108" s="170"/>
      <c r="P108" s="194" t="s">
        <v>204</v>
      </c>
      <c r="Q108" s="180">
        <f>SUM(Tabela2[[#This Row],[G]]+Tabela2[[#This Row],[D]]+Tabela2[[#This Row],[N]]+Tabela2[[#This Row],[HM]])</f>
        <v>9</v>
      </c>
      <c r="R108" s="180">
        <f>SUM(Tabela2[[#This Row],[AO]]+Tabela2[[#This Row],[AD]]+Tabela2[[#This Row],[GWO]]+Tabela2[[#This Row],[GWD]])</f>
        <v>13</v>
      </c>
      <c r="S108" s="180">
        <f>Tabela2[[#This Row],[GWO]]+Tabela2[[#This Row],[GWD]]</f>
        <v>7</v>
      </c>
      <c r="T108" s="180">
        <f>SUM(Tabela2[[#This Row],[G]:[GWD]])</f>
        <v>22</v>
      </c>
    </row>
    <row r="109" spans="1:20">
      <c r="A109" s="183">
        <v>108</v>
      </c>
      <c r="B109" s="172" t="s">
        <v>636</v>
      </c>
      <c r="C109" s="172" t="s">
        <v>574</v>
      </c>
      <c r="D109" s="172">
        <v>3</v>
      </c>
      <c r="E109" s="172" t="s">
        <v>250</v>
      </c>
      <c r="F109" s="172">
        <v>1</v>
      </c>
      <c r="G109" s="172">
        <v>1</v>
      </c>
      <c r="H109" s="172">
        <v>2</v>
      </c>
      <c r="I109" s="172">
        <v>1</v>
      </c>
      <c r="J109" s="172">
        <v>1</v>
      </c>
      <c r="K109" s="172">
        <v>1</v>
      </c>
      <c r="L109" s="172">
        <v>1</v>
      </c>
      <c r="M109" s="172">
        <v>1</v>
      </c>
      <c r="N109" s="172" t="s">
        <v>445</v>
      </c>
      <c r="O109" s="172"/>
      <c r="P109" s="172"/>
      <c r="Q109" s="186">
        <f>SUM(Tabela2[[#This Row],[G]]+Tabela2[[#This Row],[D]]+Tabela2[[#This Row],[N]]+Tabela2[[#This Row],[HM]])</f>
        <v>5</v>
      </c>
      <c r="R109" s="186">
        <f>SUM(Tabela2[[#This Row],[AO]]+Tabela2[[#This Row],[AD]]+Tabela2[[#This Row],[GWO]]+Tabela2[[#This Row],[GWD]])</f>
        <v>4</v>
      </c>
      <c r="S109" s="186">
        <f>Tabela2[[#This Row],[GWO]]+Tabela2[[#This Row],[GWD]]</f>
        <v>2</v>
      </c>
      <c r="T109" s="180">
        <f>SUM(Tabela2[[#This Row],[G]:[GWD]])</f>
        <v>9</v>
      </c>
    </row>
    <row r="110" spans="1:20" ht="30">
      <c r="A110" s="183">
        <v>109</v>
      </c>
      <c r="B110" s="172" t="s">
        <v>635</v>
      </c>
      <c r="C110" s="172" t="s">
        <v>572</v>
      </c>
      <c r="D110" s="172">
        <v>3</v>
      </c>
      <c r="E110" s="172" t="s">
        <v>250</v>
      </c>
      <c r="F110" s="172">
        <v>2</v>
      </c>
      <c r="G110" s="172">
        <v>1</v>
      </c>
      <c r="H110" s="172">
        <v>1</v>
      </c>
      <c r="I110" s="172">
        <v>1</v>
      </c>
      <c r="J110" s="172">
        <v>1</v>
      </c>
      <c r="K110" s="172">
        <v>1</v>
      </c>
      <c r="L110" s="172">
        <v>1</v>
      </c>
      <c r="M110" s="172">
        <v>1</v>
      </c>
      <c r="N110" s="170"/>
      <c r="O110" s="170"/>
      <c r="P110" s="170"/>
      <c r="Q110" s="180">
        <f>SUM(Tabela2[[#This Row],[G]]+Tabela2[[#This Row],[D]]+Tabela2[[#This Row],[N]]+Tabela2[[#This Row],[HM]])</f>
        <v>5</v>
      </c>
      <c r="R110" s="180">
        <f>SUM(Tabela2[[#This Row],[AO]]+Tabela2[[#This Row],[AD]]+Tabela2[[#This Row],[GWO]]+Tabela2[[#This Row],[GWD]])</f>
        <v>4</v>
      </c>
      <c r="S110" s="180">
        <f>Tabela2[[#This Row],[GWO]]+Tabela2[[#This Row],[GWD]]</f>
        <v>2</v>
      </c>
      <c r="T110" s="180">
        <f>SUM(Tabela2[[#This Row],[G]:[GWD]])</f>
        <v>9</v>
      </c>
    </row>
    <row r="111" spans="1:20">
      <c r="A111" s="183">
        <v>110</v>
      </c>
      <c r="B111" s="172" t="s">
        <v>634</v>
      </c>
      <c r="C111" s="172" t="s">
        <v>290</v>
      </c>
      <c r="D111" s="172">
        <v>3</v>
      </c>
      <c r="E111" s="172" t="s">
        <v>250</v>
      </c>
      <c r="F111" s="172">
        <v>1</v>
      </c>
      <c r="G111" s="172">
        <v>1</v>
      </c>
      <c r="H111" s="172">
        <v>1</v>
      </c>
      <c r="I111" s="172">
        <v>1</v>
      </c>
      <c r="J111" s="172">
        <v>1</v>
      </c>
      <c r="K111" s="172">
        <v>1</v>
      </c>
      <c r="L111" s="172">
        <v>1</v>
      </c>
      <c r="M111" s="172">
        <v>1</v>
      </c>
      <c r="N111" s="172" t="s">
        <v>445</v>
      </c>
      <c r="O111" s="172"/>
      <c r="P111" s="172"/>
      <c r="Q111" s="186">
        <f>SUM(Tabela2[[#This Row],[G]]+Tabela2[[#This Row],[D]]+Tabela2[[#This Row],[N]]+Tabela2[[#This Row],[HM]])</f>
        <v>4</v>
      </c>
      <c r="R111" s="186">
        <f>SUM(Tabela2[[#This Row],[AO]]+Tabela2[[#This Row],[AD]]+Tabela2[[#This Row],[GWO]]+Tabela2[[#This Row],[GWD]])</f>
        <v>4</v>
      </c>
      <c r="S111" s="186">
        <f>Tabela2[[#This Row],[GWO]]+Tabela2[[#This Row],[GWD]]</f>
        <v>2</v>
      </c>
      <c r="T111" s="180">
        <f>SUM(Tabela2[[#This Row],[G]:[GWD]])</f>
        <v>8</v>
      </c>
    </row>
    <row r="112" spans="1:20" ht="30">
      <c r="A112" s="183">
        <v>111</v>
      </c>
      <c r="B112" s="178" t="s">
        <v>633</v>
      </c>
      <c r="C112" s="172" t="s">
        <v>570</v>
      </c>
      <c r="D112" s="172">
        <v>3</v>
      </c>
      <c r="E112" s="172" t="s">
        <v>250</v>
      </c>
      <c r="F112" s="172">
        <v>1</v>
      </c>
      <c r="G112" s="172">
        <v>1</v>
      </c>
      <c r="H112" s="172">
        <v>1</v>
      </c>
      <c r="I112" s="172">
        <v>1</v>
      </c>
      <c r="J112" s="172">
        <v>1</v>
      </c>
      <c r="K112" s="172">
        <v>1</v>
      </c>
      <c r="L112" s="172">
        <v>1</v>
      </c>
      <c r="M112" s="172">
        <v>1</v>
      </c>
      <c r="N112" s="170"/>
      <c r="O112" s="170"/>
      <c r="P112" s="170"/>
      <c r="Q112" s="180">
        <f>SUM(Tabela2[[#This Row],[G]]+Tabela2[[#This Row],[D]]+Tabela2[[#This Row],[N]]+Tabela2[[#This Row],[HM]])</f>
        <v>4</v>
      </c>
      <c r="R112" s="180">
        <f>SUM(Tabela2[[#This Row],[AO]]+Tabela2[[#This Row],[AD]]+Tabela2[[#This Row],[GWO]]+Tabela2[[#This Row],[GWD]])</f>
        <v>4</v>
      </c>
      <c r="S112" s="180">
        <f>Tabela2[[#This Row],[GWO]]+Tabela2[[#This Row],[GWD]]</f>
        <v>2</v>
      </c>
      <c r="T112" s="180">
        <f>SUM(Tabela2[[#This Row],[G]:[GWD]])</f>
        <v>8</v>
      </c>
    </row>
    <row r="113" spans="1:20" ht="30">
      <c r="A113" s="183">
        <v>112</v>
      </c>
      <c r="B113" s="172" t="s">
        <v>632</v>
      </c>
      <c r="C113" s="172" t="s">
        <v>568</v>
      </c>
      <c r="D113" s="172">
        <v>3</v>
      </c>
      <c r="E113" s="172" t="s">
        <v>250</v>
      </c>
      <c r="F113" s="172">
        <v>1</v>
      </c>
      <c r="G113" s="172">
        <v>1</v>
      </c>
      <c r="H113" s="172">
        <v>2</v>
      </c>
      <c r="I113" s="172">
        <v>2</v>
      </c>
      <c r="J113" s="172">
        <v>1</v>
      </c>
      <c r="K113" s="172">
        <v>1</v>
      </c>
      <c r="L113" s="172">
        <v>2</v>
      </c>
      <c r="M113" s="172">
        <v>1</v>
      </c>
      <c r="N113" s="170"/>
      <c r="O113" s="170"/>
      <c r="P113" s="170"/>
      <c r="Q113" s="180">
        <f>SUM(Tabela2[[#This Row],[G]]+Tabela2[[#This Row],[D]]+Tabela2[[#This Row],[N]]+Tabela2[[#This Row],[HM]])</f>
        <v>5</v>
      </c>
      <c r="R113" s="180">
        <f>SUM(Tabela2[[#This Row],[AO]]+Tabela2[[#This Row],[AD]]+Tabela2[[#This Row],[GWO]]+Tabela2[[#This Row],[GWD]])</f>
        <v>6</v>
      </c>
      <c r="S113" s="180">
        <f>Tabela2[[#This Row],[GWO]]+Tabela2[[#This Row],[GWD]]</f>
        <v>3</v>
      </c>
      <c r="T113" s="180">
        <f>SUM(Tabela2[[#This Row],[G]:[GWD]])</f>
        <v>11</v>
      </c>
    </row>
    <row r="114" spans="1:20" ht="30">
      <c r="A114" s="183">
        <v>113</v>
      </c>
      <c r="B114" s="172" t="s">
        <v>631</v>
      </c>
      <c r="C114" s="172" t="s">
        <v>566</v>
      </c>
      <c r="D114" s="172">
        <v>3</v>
      </c>
      <c r="E114" s="172" t="s">
        <v>250</v>
      </c>
      <c r="F114" s="172">
        <v>1</v>
      </c>
      <c r="G114" s="172">
        <v>1</v>
      </c>
      <c r="H114" s="172">
        <v>1</v>
      </c>
      <c r="I114" s="172">
        <v>1</v>
      </c>
      <c r="J114" s="172">
        <v>1</v>
      </c>
      <c r="K114" s="172">
        <v>1</v>
      </c>
      <c r="L114" s="172">
        <v>1</v>
      </c>
      <c r="M114" s="172">
        <v>1</v>
      </c>
      <c r="N114" s="170"/>
      <c r="O114" s="170"/>
      <c r="P114" s="170"/>
      <c r="Q114" s="180">
        <f>SUM(Tabela2[[#This Row],[G]]+Tabela2[[#This Row],[D]]+Tabela2[[#This Row],[N]]+Tabela2[[#This Row],[HM]])</f>
        <v>4</v>
      </c>
      <c r="R114" s="180">
        <f>SUM(Tabela2[[#This Row],[AO]]+Tabela2[[#This Row],[AD]]+Tabela2[[#This Row],[GWO]]+Tabela2[[#This Row],[GWD]])</f>
        <v>4</v>
      </c>
      <c r="S114" s="180">
        <f>Tabela2[[#This Row],[GWO]]+Tabela2[[#This Row],[GWD]]</f>
        <v>2</v>
      </c>
      <c r="T114" s="180">
        <f>SUM(Tabela2[[#This Row],[G]:[GWD]])</f>
        <v>8</v>
      </c>
    </row>
    <row r="115" spans="1:20">
      <c r="A115" s="183">
        <v>114</v>
      </c>
      <c r="B115" s="172" t="s">
        <v>630</v>
      </c>
      <c r="C115" s="172" t="s">
        <v>565</v>
      </c>
      <c r="D115" s="172">
        <v>3</v>
      </c>
      <c r="E115" s="172" t="s">
        <v>250</v>
      </c>
      <c r="F115" s="172">
        <v>1</v>
      </c>
      <c r="G115" s="172">
        <v>1</v>
      </c>
      <c r="H115" s="172">
        <v>2</v>
      </c>
      <c r="I115" s="172">
        <v>2</v>
      </c>
      <c r="J115" s="172">
        <v>1</v>
      </c>
      <c r="K115" s="172">
        <v>1</v>
      </c>
      <c r="L115" s="172">
        <v>2</v>
      </c>
      <c r="M115" s="172">
        <v>1</v>
      </c>
      <c r="N115" s="170"/>
      <c r="O115" s="170"/>
      <c r="P115" s="170"/>
      <c r="Q115" s="180">
        <f>SUM(Tabela2[[#This Row],[G]]+Tabela2[[#This Row],[D]]+Tabela2[[#This Row],[N]]+Tabela2[[#This Row],[HM]])</f>
        <v>5</v>
      </c>
      <c r="R115" s="180">
        <f>SUM(Tabela2[[#This Row],[AO]]+Tabela2[[#This Row],[AD]]+Tabela2[[#This Row],[GWO]]+Tabela2[[#This Row],[GWD]])</f>
        <v>6</v>
      </c>
      <c r="S115" s="180">
        <f>Tabela2[[#This Row],[GWO]]+Tabela2[[#This Row],[GWD]]</f>
        <v>3</v>
      </c>
      <c r="T115" s="180">
        <f>SUM(Tabela2[[#This Row],[G]:[GWD]])</f>
        <v>11</v>
      </c>
    </row>
    <row r="116" spans="1:20" ht="30">
      <c r="A116" s="183">
        <v>115</v>
      </c>
      <c r="B116" s="172" t="s">
        <v>629</v>
      </c>
      <c r="C116" s="172" t="s">
        <v>563</v>
      </c>
      <c r="D116" s="172">
        <v>3</v>
      </c>
      <c r="E116" s="172" t="s">
        <v>250</v>
      </c>
      <c r="F116" s="172">
        <v>1</v>
      </c>
      <c r="G116" s="172">
        <v>1</v>
      </c>
      <c r="H116" s="172">
        <v>1</v>
      </c>
      <c r="I116" s="172">
        <v>1</v>
      </c>
      <c r="J116" s="172">
        <v>1</v>
      </c>
      <c r="K116" s="172">
        <v>1</v>
      </c>
      <c r="L116" s="172">
        <v>1</v>
      </c>
      <c r="M116" s="172">
        <v>1</v>
      </c>
      <c r="N116" s="170"/>
      <c r="O116" s="170"/>
      <c r="P116" s="170"/>
      <c r="Q116" s="180">
        <f>SUM(Tabela2[[#This Row],[G]]+Tabela2[[#This Row],[D]]+Tabela2[[#This Row],[N]]+Tabela2[[#This Row],[HM]])</f>
        <v>4</v>
      </c>
      <c r="R116" s="180">
        <f>SUM(Tabela2[[#This Row],[AO]]+Tabela2[[#This Row],[AD]]+Tabela2[[#This Row],[GWO]]+Tabela2[[#This Row],[GWD]])</f>
        <v>4</v>
      </c>
      <c r="S116" s="180">
        <f>Tabela2[[#This Row],[GWO]]+Tabela2[[#This Row],[GWD]]</f>
        <v>2</v>
      </c>
      <c r="T116" s="180">
        <f>SUM(Tabela2[[#This Row],[G]:[GWD]])</f>
        <v>8</v>
      </c>
    </row>
    <row r="117" spans="1:20" ht="30">
      <c r="A117" s="183">
        <v>116</v>
      </c>
      <c r="B117" s="172" t="s">
        <v>628</v>
      </c>
      <c r="C117" s="172" t="s">
        <v>412</v>
      </c>
      <c r="D117" s="172">
        <v>3</v>
      </c>
      <c r="E117" s="172" t="s">
        <v>250</v>
      </c>
      <c r="F117" s="172">
        <v>3</v>
      </c>
      <c r="G117" s="172">
        <v>2</v>
      </c>
      <c r="H117" s="172">
        <v>1</v>
      </c>
      <c r="I117" s="172">
        <v>1</v>
      </c>
      <c r="J117" s="172">
        <v>3</v>
      </c>
      <c r="K117" s="172">
        <v>2</v>
      </c>
      <c r="L117" s="172">
        <v>3</v>
      </c>
      <c r="M117" s="172">
        <v>2</v>
      </c>
      <c r="N117" s="173"/>
      <c r="O117" s="173" t="s">
        <v>204</v>
      </c>
      <c r="P117" s="173"/>
      <c r="Q117" s="181">
        <f>SUM(Tabela2[[#This Row],[G]]+Tabela2[[#This Row],[D]]+Tabela2[[#This Row],[N]]+Tabela2[[#This Row],[HM]])</f>
        <v>8</v>
      </c>
      <c r="R117" s="181">
        <f>SUM(Tabela2[[#This Row],[AO]]+Tabela2[[#This Row],[AD]]+Tabela2[[#This Row],[GWO]]+Tabela2[[#This Row],[GWD]])</f>
        <v>9</v>
      </c>
      <c r="S117" s="181">
        <f>Tabela2[[#This Row],[GWO]]+Tabela2[[#This Row],[GWD]]</f>
        <v>5</v>
      </c>
      <c r="T117" s="181">
        <f>SUM(Tabela2[[#This Row],[G]:[GWD]])</f>
        <v>17</v>
      </c>
    </row>
    <row r="118" spans="1:20">
      <c r="A118" s="183">
        <v>117</v>
      </c>
      <c r="B118" s="172" t="s">
        <v>627</v>
      </c>
      <c r="C118" s="172" t="s">
        <v>283</v>
      </c>
      <c r="D118" s="172">
        <v>3</v>
      </c>
      <c r="E118" s="172" t="s">
        <v>250</v>
      </c>
      <c r="F118" s="172">
        <v>2</v>
      </c>
      <c r="G118" s="172">
        <v>1</v>
      </c>
      <c r="H118" s="172">
        <v>1</v>
      </c>
      <c r="I118" s="172">
        <v>2</v>
      </c>
      <c r="J118" s="172">
        <v>1</v>
      </c>
      <c r="K118" s="172">
        <v>1</v>
      </c>
      <c r="L118" s="172">
        <v>3</v>
      </c>
      <c r="M118" s="172">
        <v>1</v>
      </c>
      <c r="N118" s="170"/>
      <c r="O118" s="170"/>
      <c r="P118" s="170"/>
      <c r="Q118" s="180">
        <f>SUM(Tabela2[[#This Row],[G]]+Tabela2[[#This Row],[D]]+Tabela2[[#This Row],[N]]+Tabela2[[#This Row],[HM]])</f>
        <v>5</v>
      </c>
      <c r="R118" s="180">
        <f>SUM(Tabela2[[#This Row],[AO]]+Tabela2[[#This Row],[AD]]+Tabela2[[#This Row],[GWO]]+Tabela2[[#This Row],[GWD]])</f>
        <v>7</v>
      </c>
      <c r="S118" s="180">
        <f>Tabela2[[#This Row],[GWO]]+Tabela2[[#This Row],[GWD]]</f>
        <v>4</v>
      </c>
      <c r="T118" s="180">
        <f>SUM(Tabela2[[#This Row],[G]:[GWD]])</f>
        <v>12</v>
      </c>
    </row>
    <row r="119" spans="1:20">
      <c r="A119" s="183">
        <v>118</v>
      </c>
      <c r="B119" s="172" t="s">
        <v>149</v>
      </c>
      <c r="C119" s="172" t="s">
        <v>552</v>
      </c>
      <c r="D119" s="172">
        <v>3</v>
      </c>
      <c r="E119" s="172" t="s">
        <v>250</v>
      </c>
      <c r="F119" s="172">
        <v>5</v>
      </c>
      <c r="G119" s="172">
        <v>4</v>
      </c>
      <c r="H119" s="172">
        <v>3</v>
      </c>
      <c r="I119" s="172">
        <v>5</v>
      </c>
      <c r="J119" s="172">
        <v>5</v>
      </c>
      <c r="K119" s="172">
        <v>5</v>
      </c>
      <c r="L119" s="172">
        <v>4</v>
      </c>
      <c r="M119" s="172">
        <v>3</v>
      </c>
      <c r="N119" s="170"/>
      <c r="O119" s="170" t="s">
        <v>204</v>
      </c>
      <c r="P119" s="170"/>
      <c r="Q119" s="180">
        <f>SUM(Tabela2[[#This Row],[G]]+Tabela2[[#This Row],[D]]+Tabela2[[#This Row],[N]]+Tabela2[[#This Row],[HM]])</f>
        <v>17</v>
      </c>
      <c r="R119" s="180">
        <f>SUM(Tabela2[[#This Row],[AO]]+Tabela2[[#This Row],[AD]]+Tabela2[[#This Row],[GWO]]+Tabela2[[#This Row],[GWD]])</f>
        <v>17</v>
      </c>
      <c r="S119" s="180">
        <f>Tabela2[[#This Row],[GWO]]+Tabela2[[#This Row],[GWD]]</f>
        <v>7</v>
      </c>
      <c r="T119" s="180">
        <f>SUM(Tabela2[[#This Row],[G]:[GWD]])</f>
        <v>34</v>
      </c>
    </row>
    <row r="120" spans="1:20" ht="30">
      <c r="A120" s="183">
        <v>119</v>
      </c>
      <c r="B120" s="172" t="s">
        <v>626</v>
      </c>
      <c r="C120" s="172" t="s">
        <v>550</v>
      </c>
      <c r="D120" s="172">
        <v>3</v>
      </c>
      <c r="E120" s="172" t="s">
        <v>250</v>
      </c>
      <c r="F120" s="172">
        <v>1</v>
      </c>
      <c r="G120" s="172">
        <v>1</v>
      </c>
      <c r="H120" s="172">
        <v>1</v>
      </c>
      <c r="I120" s="172">
        <v>1</v>
      </c>
      <c r="J120" s="172">
        <v>1</v>
      </c>
      <c r="K120" s="172">
        <v>1</v>
      </c>
      <c r="L120" s="172">
        <v>1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4</v>
      </c>
      <c r="R120" s="180">
        <f>SUM(Tabela2[[#This Row],[AO]]+Tabela2[[#This Row],[AD]]+Tabela2[[#This Row],[GWO]]+Tabela2[[#This Row],[GWD]])</f>
        <v>4</v>
      </c>
      <c r="S120" s="180">
        <f>Tabela2[[#This Row],[GWO]]+Tabela2[[#This Row],[GWD]]</f>
        <v>2</v>
      </c>
      <c r="T120" s="180">
        <f>SUM(Tabela2[[#This Row],[G]:[GWD]])</f>
        <v>8</v>
      </c>
    </row>
    <row r="121" spans="1:20">
      <c r="A121" s="183">
        <v>120</v>
      </c>
      <c r="B121" s="172" t="s">
        <v>625</v>
      </c>
      <c r="C121" s="172" t="s">
        <v>546</v>
      </c>
      <c r="D121" s="172">
        <v>3</v>
      </c>
      <c r="E121" s="172" t="s">
        <v>250</v>
      </c>
      <c r="F121" s="172">
        <v>1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1</v>
      </c>
      <c r="M121" s="172">
        <v>1</v>
      </c>
      <c r="N121" s="172" t="s">
        <v>445</v>
      </c>
      <c r="O121" s="172"/>
      <c r="P121" s="172"/>
      <c r="Q121" s="186">
        <f>SUM(Tabela2[[#This Row],[G]]+Tabela2[[#This Row],[D]]+Tabela2[[#This Row],[N]]+Tabela2[[#This Row],[HM]])</f>
        <v>4</v>
      </c>
      <c r="R121" s="186">
        <f>SUM(Tabela2[[#This Row],[AO]]+Tabela2[[#This Row],[AD]]+Tabela2[[#This Row],[GWO]]+Tabela2[[#This Row],[GWD]])</f>
        <v>4</v>
      </c>
      <c r="S121" s="186">
        <f>Tabela2[[#This Row],[GWO]]+Tabela2[[#This Row],[GWD]]</f>
        <v>2</v>
      </c>
      <c r="T121" s="180">
        <f>SUM(Tabela2[[#This Row],[G]:[GWD]])</f>
        <v>8</v>
      </c>
    </row>
    <row r="122" spans="1:20" ht="30">
      <c r="A122" s="183">
        <v>121</v>
      </c>
      <c r="B122" s="172" t="s">
        <v>624</v>
      </c>
      <c r="C122" s="172" t="s">
        <v>544</v>
      </c>
      <c r="D122" s="172">
        <v>3</v>
      </c>
      <c r="E122" s="172" t="s">
        <v>250</v>
      </c>
      <c r="F122" s="172">
        <v>1</v>
      </c>
      <c r="G122" s="172">
        <v>1</v>
      </c>
      <c r="H122" s="172">
        <v>1</v>
      </c>
      <c r="I122" s="172">
        <v>1</v>
      </c>
      <c r="J122" s="172">
        <v>1</v>
      </c>
      <c r="K122" s="172">
        <v>1</v>
      </c>
      <c r="L122" s="172">
        <v>1</v>
      </c>
      <c r="M122" s="172">
        <v>1</v>
      </c>
      <c r="N122" s="170"/>
      <c r="O122" s="170"/>
      <c r="P122" s="170"/>
      <c r="Q122" s="180">
        <f>SUM(Tabela2[[#This Row],[G]]+Tabela2[[#This Row],[D]]+Tabela2[[#This Row],[N]]+Tabela2[[#This Row],[HM]])</f>
        <v>4</v>
      </c>
      <c r="R122" s="180">
        <f>SUM(Tabela2[[#This Row],[AO]]+Tabela2[[#This Row],[AD]]+Tabela2[[#This Row],[GWO]]+Tabela2[[#This Row],[GWD]])</f>
        <v>4</v>
      </c>
      <c r="S122" s="180">
        <f>Tabela2[[#This Row],[GWO]]+Tabela2[[#This Row],[GWD]]</f>
        <v>2</v>
      </c>
      <c r="T122" s="180">
        <f>SUM(Tabela2[[#This Row],[G]:[GWD]])</f>
        <v>8</v>
      </c>
    </row>
    <row r="123" spans="1:20" ht="30">
      <c r="A123" s="183">
        <v>122</v>
      </c>
      <c r="B123" s="172" t="s">
        <v>623</v>
      </c>
      <c r="C123" s="172" t="s">
        <v>542</v>
      </c>
      <c r="D123" s="172">
        <v>3</v>
      </c>
      <c r="E123" s="172" t="s">
        <v>250</v>
      </c>
      <c r="F123" s="172">
        <v>1</v>
      </c>
      <c r="G123" s="172">
        <v>1</v>
      </c>
      <c r="H123" s="172">
        <v>1</v>
      </c>
      <c r="I123" s="172">
        <v>1</v>
      </c>
      <c r="J123" s="172">
        <v>1</v>
      </c>
      <c r="K123" s="172">
        <v>1</v>
      </c>
      <c r="L123" s="172">
        <v>1</v>
      </c>
      <c r="M123" s="172">
        <v>1</v>
      </c>
      <c r="N123" s="170"/>
      <c r="O123" s="170"/>
      <c r="P123" s="170"/>
      <c r="Q123" s="180">
        <f>SUM(Tabela2[[#This Row],[G]]+Tabela2[[#This Row],[D]]+Tabela2[[#This Row],[N]]+Tabela2[[#This Row],[HM]])</f>
        <v>4</v>
      </c>
      <c r="R123" s="180">
        <f>SUM(Tabela2[[#This Row],[AO]]+Tabela2[[#This Row],[AD]]+Tabela2[[#This Row],[GWO]]+Tabela2[[#This Row],[GWD]])</f>
        <v>4</v>
      </c>
      <c r="S123" s="180">
        <f>Tabela2[[#This Row],[GWO]]+Tabela2[[#This Row],[GWD]]</f>
        <v>2</v>
      </c>
      <c r="T123" s="180">
        <f>SUM(Tabela2[[#This Row],[G]:[GWD]])</f>
        <v>8</v>
      </c>
    </row>
    <row r="124" spans="1:20">
      <c r="A124" s="183">
        <v>123</v>
      </c>
      <c r="B124" s="172" t="s">
        <v>622</v>
      </c>
      <c r="C124" s="172" t="s">
        <v>540</v>
      </c>
      <c r="D124" s="172">
        <v>3</v>
      </c>
      <c r="E124" s="172" t="s">
        <v>250</v>
      </c>
      <c r="F124" s="172">
        <v>1</v>
      </c>
      <c r="G124" s="172">
        <v>1</v>
      </c>
      <c r="H124" s="172">
        <v>1</v>
      </c>
      <c r="I124" s="172">
        <v>1</v>
      </c>
      <c r="J124" s="172">
        <v>1</v>
      </c>
      <c r="K124" s="172">
        <v>1</v>
      </c>
      <c r="L124" s="172">
        <v>1</v>
      </c>
      <c r="M124" s="172">
        <v>1</v>
      </c>
      <c r="N124" s="172" t="s">
        <v>445</v>
      </c>
      <c r="O124" s="172"/>
      <c r="P124" s="172"/>
      <c r="Q124" s="186">
        <f>SUM(Tabela2[[#This Row],[G]]+Tabela2[[#This Row],[D]]+Tabela2[[#This Row],[N]]+Tabela2[[#This Row],[HM]])</f>
        <v>4</v>
      </c>
      <c r="R124" s="186">
        <f>SUM(Tabela2[[#This Row],[AO]]+Tabela2[[#This Row],[AD]]+Tabela2[[#This Row],[GWO]]+Tabela2[[#This Row],[GWD]])</f>
        <v>4</v>
      </c>
      <c r="S124" s="186">
        <f>Tabela2[[#This Row],[GWO]]+Tabela2[[#This Row],[GWD]]</f>
        <v>2</v>
      </c>
      <c r="T124" s="180">
        <f>SUM(Tabela2[[#This Row],[G]:[GWD]])</f>
        <v>8</v>
      </c>
    </row>
    <row r="125" spans="1:20">
      <c r="A125" s="183">
        <v>124</v>
      </c>
      <c r="B125" s="172" t="s">
        <v>621</v>
      </c>
      <c r="C125" s="172" t="s">
        <v>358</v>
      </c>
      <c r="D125" s="172">
        <v>3</v>
      </c>
      <c r="E125" s="172" t="s">
        <v>250</v>
      </c>
      <c r="F125" s="172">
        <v>1</v>
      </c>
      <c r="G125" s="172">
        <v>1</v>
      </c>
      <c r="H125" s="172">
        <v>1</v>
      </c>
      <c r="I125" s="172">
        <v>1</v>
      </c>
      <c r="J125" s="172">
        <v>1</v>
      </c>
      <c r="K125" s="172">
        <v>1</v>
      </c>
      <c r="L125" s="172">
        <v>1</v>
      </c>
      <c r="M125" s="172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4</v>
      </c>
      <c r="S125" s="180">
        <f>Tabela2[[#This Row],[GWO]]+Tabela2[[#This Row],[GWD]]</f>
        <v>2</v>
      </c>
      <c r="T125" s="180">
        <f>SUM(Tabela2[[#This Row],[G]:[GWD]])</f>
        <v>8</v>
      </c>
    </row>
    <row r="126" spans="1:20" ht="30">
      <c r="A126" s="183">
        <v>125</v>
      </c>
      <c r="B126" s="172" t="s">
        <v>620</v>
      </c>
      <c r="C126" s="172" t="s">
        <v>538</v>
      </c>
      <c r="D126" s="172">
        <v>3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3</v>
      </c>
      <c r="J126" s="172">
        <v>1</v>
      </c>
      <c r="K126" s="172">
        <v>1</v>
      </c>
      <c r="L126" s="172">
        <v>5</v>
      </c>
      <c r="M126" s="172">
        <v>1</v>
      </c>
      <c r="N126" s="170"/>
      <c r="O126" s="170" t="s">
        <v>204</v>
      </c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10</v>
      </c>
      <c r="S126" s="180">
        <f>Tabela2[[#This Row],[GWO]]+Tabela2[[#This Row],[GWD]]</f>
        <v>6</v>
      </c>
      <c r="T126" s="180">
        <f>SUM(Tabela2[[#This Row],[G]:[GWD]])</f>
        <v>16</v>
      </c>
    </row>
    <row r="127" spans="1:20">
      <c r="A127" s="183">
        <v>126</v>
      </c>
      <c r="B127" s="172" t="s">
        <v>619</v>
      </c>
      <c r="C127" s="172" t="s">
        <v>536</v>
      </c>
      <c r="D127" s="172">
        <v>3</v>
      </c>
      <c r="E127" s="172" t="s">
        <v>250</v>
      </c>
      <c r="F127" s="172">
        <v>2</v>
      </c>
      <c r="G127" s="172">
        <v>1</v>
      </c>
      <c r="H127" s="172">
        <v>1</v>
      </c>
      <c r="I127" s="172">
        <v>1</v>
      </c>
      <c r="J127" s="172">
        <v>1</v>
      </c>
      <c r="K127" s="172">
        <v>1</v>
      </c>
      <c r="L127" s="172">
        <v>1</v>
      </c>
      <c r="M127" s="172">
        <v>1</v>
      </c>
      <c r="N127" s="172" t="s">
        <v>445</v>
      </c>
      <c r="O127" s="172"/>
      <c r="P127" s="172"/>
      <c r="Q127" s="186">
        <f>SUM(Tabela2[[#This Row],[G]]+Tabela2[[#This Row],[D]]+Tabela2[[#This Row],[N]]+Tabela2[[#This Row],[HM]])</f>
        <v>5</v>
      </c>
      <c r="R127" s="186">
        <f>SUM(Tabela2[[#This Row],[AO]]+Tabela2[[#This Row],[AD]]+Tabela2[[#This Row],[GWO]]+Tabela2[[#This Row],[GWD]])</f>
        <v>4</v>
      </c>
      <c r="S127" s="186">
        <f>Tabela2[[#This Row],[GWO]]+Tabela2[[#This Row],[GWD]]</f>
        <v>2</v>
      </c>
      <c r="T127" s="180">
        <f>SUM(Tabela2[[#This Row],[G]:[GWD]])</f>
        <v>9</v>
      </c>
    </row>
    <row r="128" spans="1:20" ht="30">
      <c r="A128" s="183">
        <v>127</v>
      </c>
      <c r="B128" s="172" t="s">
        <v>618</v>
      </c>
      <c r="C128" s="172" t="s">
        <v>400</v>
      </c>
      <c r="D128" s="172">
        <v>3</v>
      </c>
      <c r="E128" s="172" t="s">
        <v>250</v>
      </c>
      <c r="F128" s="172">
        <v>1</v>
      </c>
      <c r="G128" s="172">
        <v>1</v>
      </c>
      <c r="H128" s="172">
        <v>1</v>
      </c>
      <c r="I128" s="172">
        <v>1</v>
      </c>
      <c r="J128" s="172">
        <v>1</v>
      </c>
      <c r="K128" s="172">
        <v>1</v>
      </c>
      <c r="L128" s="172">
        <v>1</v>
      </c>
      <c r="M128" s="172">
        <v>1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4</v>
      </c>
      <c r="S128" s="180">
        <f>Tabela2[[#This Row],[GWO]]+Tabela2[[#This Row],[GWD]]</f>
        <v>2</v>
      </c>
      <c r="T128" s="180">
        <f>SUM(Tabela2[[#This Row],[G]:[GWD]])</f>
        <v>8</v>
      </c>
    </row>
    <row r="129" spans="1:20" ht="30">
      <c r="A129" s="183">
        <v>128</v>
      </c>
      <c r="B129" s="172" t="s">
        <v>617</v>
      </c>
      <c r="C129" s="172" t="s">
        <v>534</v>
      </c>
      <c r="D129" s="172">
        <v>3</v>
      </c>
      <c r="E129" s="172" t="s">
        <v>250</v>
      </c>
      <c r="F129" s="172">
        <v>1</v>
      </c>
      <c r="G129" s="172">
        <v>1</v>
      </c>
      <c r="H129" s="172">
        <v>1</v>
      </c>
      <c r="I129" s="172">
        <v>1</v>
      </c>
      <c r="J129" s="172">
        <v>1</v>
      </c>
      <c r="K129" s="172">
        <v>1</v>
      </c>
      <c r="L129" s="172">
        <v>1</v>
      </c>
      <c r="M129" s="172">
        <v>1</v>
      </c>
      <c r="N129" s="170"/>
      <c r="O129" s="170"/>
      <c r="P129" s="170"/>
      <c r="Q129" s="180">
        <f>SUM(Tabela2[[#This Row],[G]]+Tabela2[[#This Row],[D]]+Tabela2[[#This Row],[N]]+Tabela2[[#This Row],[HM]])</f>
        <v>4</v>
      </c>
      <c r="R129" s="180">
        <f>SUM(Tabela2[[#This Row],[AO]]+Tabela2[[#This Row],[AD]]+Tabela2[[#This Row],[GWO]]+Tabela2[[#This Row],[GWD]])</f>
        <v>4</v>
      </c>
      <c r="S129" s="180">
        <f>Tabela2[[#This Row],[GWO]]+Tabela2[[#This Row],[GWD]]</f>
        <v>2</v>
      </c>
      <c r="T129" s="180">
        <f>SUM(Tabela2[[#This Row],[G]:[GWD]])</f>
        <v>8</v>
      </c>
    </row>
    <row r="130" spans="1:20" ht="30">
      <c r="A130" s="183">
        <v>129</v>
      </c>
      <c r="B130" s="172" t="s">
        <v>616</v>
      </c>
      <c r="C130" s="172" t="s">
        <v>532</v>
      </c>
      <c r="D130" s="172">
        <v>3</v>
      </c>
      <c r="E130" s="172" t="s">
        <v>250</v>
      </c>
      <c r="F130" s="172">
        <v>1</v>
      </c>
      <c r="G130" s="172">
        <v>1</v>
      </c>
      <c r="H130" s="172">
        <v>1</v>
      </c>
      <c r="I130" s="172">
        <v>1</v>
      </c>
      <c r="J130" s="172">
        <v>1</v>
      </c>
      <c r="K130" s="172">
        <v>1</v>
      </c>
      <c r="L130" s="172">
        <v>1</v>
      </c>
      <c r="M130" s="172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4</v>
      </c>
      <c r="S130" s="180">
        <f>Tabela2[[#This Row],[GWO]]+Tabela2[[#This Row],[GWD]]</f>
        <v>2</v>
      </c>
      <c r="T130" s="180">
        <f>SUM(Tabela2[[#This Row],[G]:[GWD]])</f>
        <v>8</v>
      </c>
    </row>
    <row r="131" spans="1:20" ht="30">
      <c r="A131" s="183">
        <v>130</v>
      </c>
      <c r="B131" s="172" t="s">
        <v>615</v>
      </c>
      <c r="C131" s="172" t="s">
        <v>530</v>
      </c>
      <c r="D131" s="172">
        <v>3</v>
      </c>
      <c r="E131" s="172" t="s">
        <v>250</v>
      </c>
      <c r="F131" s="172">
        <v>1</v>
      </c>
      <c r="G131" s="172">
        <v>1</v>
      </c>
      <c r="H131" s="172">
        <v>1</v>
      </c>
      <c r="I131" s="172">
        <v>1</v>
      </c>
      <c r="J131" s="172">
        <v>1</v>
      </c>
      <c r="K131" s="172">
        <v>1</v>
      </c>
      <c r="L131" s="172">
        <v>1</v>
      </c>
      <c r="M131" s="172">
        <v>1</v>
      </c>
      <c r="N131" s="172" t="s">
        <v>445</v>
      </c>
      <c r="O131" s="172"/>
      <c r="P131" s="172"/>
      <c r="Q131" s="186">
        <f>SUM(Tabela2[[#This Row],[G]]+Tabela2[[#This Row],[D]]+Tabela2[[#This Row],[N]]+Tabela2[[#This Row],[HM]])</f>
        <v>4</v>
      </c>
      <c r="R131" s="186">
        <f>SUM(Tabela2[[#This Row],[AO]]+Tabela2[[#This Row],[AD]]+Tabela2[[#This Row],[GWO]]+Tabela2[[#This Row],[GWD]])</f>
        <v>4</v>
      </c>
      <c r="S131" s="186">
        <f>Tabela2[[#This Row],[GWO]]+Tabela2[[#This Row],[GWD]]</f>
        <v>2</v>
      </c>
      <c r="T131" s="180">
        <f>SUM(Tabela2[[#This Row],[G]:[GWD]])</f>
        <v>8</v>
      </c>
    </row>
    <row r="132" spans="1:20" ht="30">
      <c r="A132" s="183">
        <v>131</v>
      </c>
      <c r="B132" s="172" t="s">
        <v>614</v>
      </c>
      <c r="C132" s="172" t="s">
        <v>528</v>
      </c>
      <c r="D132" s="172">
        <v>3</v>
      </c>
      <c r="E132" s="172" t="s">
        <v>250</v>
      </c>
      <c r="F132" s="172">
        <v>1</v>
      </c>
      <c r="G132" s="172">
        <v>1</v>
      </c>
      <c r="H132" s="172">
        <v>1</v>
      </c>
      <c r="I132" s="172">
        <v>1</v>
      </c>
      <c r="J132" s="172">
        <v>1</v>
      </c>
      <c r="K132" s="172">
        <v>1</v>
      </c>
      <c r="L132" s="172">
        <v>1</v>
      </c>
      <c r="M132" s="172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4</v>
      </c>
      <c r="S132" s="180">
        <f>Tabela2[[#This Row],[GWO]]+Tabela2[[#This Row],[GWD]]</f>
        <v>2</v>
      </c>
      <c r="T132" s="180">
        <f>SUM(Tabela2[[#This Row],[G]:[GWD]])</f>
        <v>8</v>
      </c>
    </row>
    <row r="133" spans="1:20" ht="30">
      <c r="A133" s="183">
        <v>132</v>
      </c>
      <c r="B133" s="172" t="s">
        <v>613</v>
      </c>
      <c r="C133" s="172" t="s">
        <v>526</v>
      </c>
      <c r="D133" s="172">
        <v>3</v>
      </c>
      <c r="E133" s="172" t="s">
        <v>250</v>
      </c>
      <c r="F133" s="172">
        <v>1</v>
      </c>
      <c r="G133" s="172">
        <v>1</v>
      </c>
      <c r="H133" s="172">
        <v>1</v>
      </c>
      <c r="I133" s="172">
        <v>1</v>
      </c>
      <c r="J133" s="172">
        <v>1</v>
      </c>
      <c r="K133" s="172">
        <v>1</v>
      </c>
      <c r="L133" s="172">
        <v>1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4</v>
      </c>
      <c r="R133" s="180">
        <f>SUM(Tabela2[[#This Row],[AO]]+Tabela2[[#This Row],[AD]]+Tabela2[[#This Row],[GWO]]+Tabela2[[#This Row],[GWD]])</f>
        <v>4</v>
      </c>
      <c r="S133" s="180">
        <f>Tabela2[[#This Row],[GWO]]+Tabela2[[#This Row],[GWD]]</f>
        <v>2</v>
      </c>
      <c r="T133" s="180">
        <f>SUM(Tabela2[[#This Row],[G]:[GWD]])</f>
        <v>8</v>
      </c>
    </row>
    <row r="134" spans="1:20">
      <c r="A134" s="183">
        <v>133</v>
      </c>
      <c r="B134" s="172" t="s">
        <v>612</v>
      </c>
      <c r="C134" s="172" t="s">
        <v>284</v>
      </c>
      <c r="D134" s="172">
        <v>3</v>
      </c>
      <c r="E134" s="172" t="s">
        <v>250</v>
      </c>
      <c r="F134" s="172">
        <v>2</v>
      </c>
      <c r="G134" s="172">
        <v>1</v>
      </c>
      <c r="H134" s="172">
        <v>3</v>
      </c>
      <c r="I134" s="172">
        <v>2</v>
      </c>
      <c r="J134" s="172">
        <v>1</v>
      </c>
      <c r="K134" s="172">
        <v>1</v>
      </c>
      <c r="L134" s="172">
        <v>3</v>
      </c>
      <c r="M134" s="172">
        <v>1</v>
      </c>
      <c r="N134" s="170"/>
      <c r="O134" s="170"/>
      <c r="P134" s="194" t="s">
        <v>204</v>
      </c>
      <c r="Q134" s="180">
        <f>SUM(Tabela2[[#This Row],[G]]+Tabela2[[#This Row],[D]]+Tabela2[[#This Row],[N]]+Tabela2[[#This Row],[HM]])</f>
        <v>7</v>
      </c>
      <c r="R134" s="180">
        <f>SUM(Tabela2[[#This Row],[AO]]+Tabela2[[#This Row],[AD]]+Tabela2[[#This Row],[GWO]]+Tabela2[[#This Row],[GWD]])</f>
        <v>7</v>
      </c>
      <c r="S134" s="180">
        <f>Tabela2[[#This Row],[GWO]]+Tabela2[[#This Row],[GWD]]</f>
        <v>4</v>
      </c>
      <c r="T134" s="180">
        <f>SUM(Tabela2[[#This Row],[G]:[GWD]])</f>
        <v>14</v>
      </c>
    </row>
    <row r="135" spans="1:20">
      <c r="A135" s="183">
        <v>134</v>
      </c>
      <c r="B135" s="172" t="s">
        <v>611</v>
      </c>
      <c r="C135" s="172" t="s">
        <v>521</v>
      </c>
      <c r="D135" s="172">
        <v>3</v>
      </c>
      <c r="E135" s="172" t="s">
        <v>250</v>
      </c>
      <c r="F135" s="172">
        <v>1</v>
      </c>
      <c r="G135" s="172">
        <v>1</v>
      </c>
      <c r="H135" s="172">
        <v>1</v>
      </c>
      <c r="I135" s="172">
        <v>1</v>
      </c>
      <c r="J135" s="172">
        <v>1</v>
      </c>
      <c r="K135" s="172">
        <v>1</v>
      </c>
      <c r="L135" s="172">
        <v>1</v>
      </c>
      <c r="M135" s="172">
        <v>1</v>
      </c>
      <c r="N135" s="172" t="s">
        <v>445</v>
      </c>
      <c r="O135" s="172"/>
      <c r="P135" s="172"/>
      <c r="Q135" s="186">
        <f>SUM(Tabela2[[#This Row],[G]]+Tabela2[[#This Row],[D]]+Tabela2[[#This Row],[N]]+Tabela2[[#This Row],[HM]])</f>
        <v>4</v>
      </c>
      <c r="R135" s="186">
        <f>SUM(Tabela2[[#This Row],[AO]]+Tabela2[[#This Row],[AD]]+Tabela2[[#This Row],[GWO]]+Tabela2[[#This Row],[GWD]])</f>
        <v>4</v>
      </c>
      <c r="S135" s="186">
        <f>Tabela2[[#This Row],[GWO]]+Tabela2[[#This Row],[GWD]]</f>
        <v>2</v>
      </c>
      <c r="T135" s="180">
        <f>SUM(Tabela2[[#This Row],[G]:[GWD]])</f>
        <v>8</v>
      </c>
    </row>
    <row r="136" spans="1:20">
      <c r="A136" s="183">
        <v>135</v>
      </c>
      <c r="B136" s="171" t="s">
        <v>610</v>
      </c>
      <c r="C136" s="171" t="s">
        <v>574</v>
      </c>
      <c r="D136" s="171">
        <v>3</v>
      </c>
      <c r="E136" s="171" t="s">
        <v>251</v>
      </c>
      <c r="F136" s="171">
        <v>1</v>
      </c>
      <c r="G136" s="171">
        <v>1</v>
      </c>
      <c r="H136" s="171">
        <v>1</v>
      </c>
      <c r="I136" s="171">
        <v>2</v>
      </c>
      <c r="J136" s="171">
        <v>1</v>
      </c>
      <c r="K136" s="171">
        <v>1</v>
      </c>
      <c r="L136" s="171">
        <v>2</v>
      </c>
      <c r="M136" s="171">
        <v>1</v>
      </c>
      <c r="N136" s="170"/>
      <c r="O136" s="170"/>
      <c r="P136" s="170"/>
      <c r="Q136" s="180">
        <f>SUM(Tabela2[[#This Row],[G]]+Tabela2[[#This Row],[D]]+Tabela2[[#This Row],[N]]+Tabela2[[#This Row],[HM]])</f>
        <v>4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3</v>
      </c>
      <c r="T136" s="180">
        <f>SUM(Tabela2[[#This Row],[G]:[GWD]])</f>
        <v>10</v>
      </c>
    </row>
    <row r="137" spans="1:20" ht="30">
      <c r="A137" s="183">
        <v>136</v>
      </c>
      <c r="B137" s="171" t="s">
        <v>609</v>
      </c>
      <c r="C137" s="171" t="s">
        <v>572</v>
      </c>
      <c r="D137" s="171">
        <v>3</v>
      </c>
      <c r="E137" s="171" t="s">
        <v>251</v>
      </c>
      <c r="F137" s="171">
        <v>2</v>
      </c>
      <c r="G137" s="171">
        <v>2</v>
      </c>
      <c r="H137" s="171">
        <v>1</v>
      </c>
      <c r="I137" s="171">
        <v>3</v>
      </c>
      <c r="J137" s="171">
        <v>1</v>
      </c>
      <c r="K137" s="171">
        <v>4</v>
      </c>
      <c r="L137" s="171">
        <v>3</v>
      </c>
      <c r="M137" s="171">
        <v>2</v>
      </c>
      <c r="N137" s="170"/>
      <c r="O137" s="170"/>
      <c r="P137" s="194" t="s">
        <v>204</v>
      </c>
      <c r="Q137" s="180">
        <f>SUM(Tabela2[[#This Row],[G]]+Tabela2[[#This Row],[D]]+Tabela2[[#This Row],[N]]+Tabela2[[#This Row],[HM]])</f>
        <v>9</v>
      </c>
      <c r="R137" s="180">
        <f>SUM(Tabela2[[#This Row],[AO]]+Tabela2[[#This Row],[AD]]+Tabela2[[#This Row],[GWO]]+Tabela2[[#This Row],[GWD]])</f>
        <v>9</v>
      </c>
      <c r="S137" s="180">
        <f>Tabela2[[#This Row],[GWO]]+Tabela2[[#This Row],[GWD]]</f>
        <v>5</v>
      </c>
      <c r="T137" s="180">
        <f>SUM(Tabela2[[#This Row],[G]:[GWD]])</f>
        <v>18</v>
      </c>
    </row>
    <row r="138" spans="1:20">
      <c r="A138" s="183">
        <v>137</v>
      </c>
      <c r="B138" s="171" t="s">
        <v>608</v>
      </c>
      <c r="C138" s="171" t="s">
        <v>290</v>
      </c>
      <c r="D138" s="171">
        <v>3</v>
      </c>
      <c r="E138" s="171" t="s">
        <v>251</v>
      </c>
      <c r="F138" s="171">
        <v>1</v>
      </c>
      <c r="G138" s="171">
        <v>1</v>
      </c>
      <c r="H138" s="171">
        <v>1</v>
      </c>
      <c r="I138" s="171">
        <v>1</v>
      </c>
      <c r="J138" s="171">
        <v>1</v>
      </c>
      <c r="K138" s="171">
        <v>1</v>
      </c>
      <c r="L138" s="171">
        <v>1</v>
      </c>
      <c r="M138" s="171">
        <v>1</v>
      </c>
      <c r="N138" s="170"/>
      <c r="O138" s="170"/>
      <c r="P138" s="170"/>
      <c r="Q138" s="180">
        <f>SUM(Tabela2[[#This Row],[G]]+Tabela2[[#This Row],[D]]+Tabela2[[#This Row],[N]]+Tabela2[[#This Row],[HM]])</f>
        <v>4</v>
      </c>
      <c r="R138" s="180">
        <f>SUM(Tabela2[[#This Row],[AO]]+Tabela2[[#This Row],[AD]]+Tabela2[[#This Row],[GWO]]+Tabela2[[#This Row],[GWD]])</f>
        <v>4</v>
      </c>
      <c r="S138" s="180">
        <f>Tabela2[[#This Row],[GWO]]+Tabela2[[#This Row],[GWD]]</f>
        <v>2</v>
      </c>
      <c r="T138" s="180">
        <f>SUM(Tabela2[[#This Row],[G]:[GWD]])</f>
        <v>8</v>
      </c>
    </row>
    <row r="139" spans="1:20" ht="30">
      <c r="A139" s="183">
        <v>138</v>
      </c>
      <c r="B139" s="171" t="s">
        <v>607</v>
      </c>
      <c r="C139" s="171" t="s">
        <v>570</v>
      </c>
      <c r="D139" s="171">
        <v>3</v>
      </c>
      <c r="E139" s="171" t="s">
        <v>251</v>
      </c>
      <c r="F139" s="171">
        <v>1</v>
      </c>
      <c r="G139" s="171">
        <v>1</v>
      </c>
      <c r="H139" s="171">
        <v>1</v>
      </c>
      <c r="I139" s="171">
        <v>1</v>
      </c>
      <c r="J139" s="171">
        <v>1</v>
      </c>
      <c r="K139" s="171">
        <v>1</v>
      </c>
      <c r="L139" s="171">
        <v>1</v>
      </c>
      <c r="M139" s="171">
        <v>1</v>
      </c>
      <c r="N139" s="170"/>
      <c r="O139" s="170"/>
      <c r="P139" s="170"/>
      <c r="Q139" s="180">
        <f>SUM(Tabela2[[#This Row],[G]]+Tabela2[[#This Row],[D]]+Tabela2[[#This Row],[N]]+Tabela2[[#This Row],[HM]])</f>
        <v>4</v>
      </c>
      <c r="R139" s="180">
        <f>SUM(Tabela2[[#This Row],[AO]]+Tabela2[[#This Row],[AD]]+Tabela2[[#This Row],[GWO]]+Tabela2[[#This Row],[GWD]])</f>
        <v>4</v>
      </c>
      <c r="S139" s="180">
        <f>Tabela2[[#This Row],[GWO]]+Tabela2[[#This Row],[GWD]]</f>
        <v>2</v>
      </c>
      <c r="T139" s="180">
        <f>SUM(Tabela2[[#This Row],[G]:[GWD]])</f>
        <v>8</v>
      </c>
    </row>
    <row r="140" spans="1:20" ht="30">
      <c r="A140" s="183">
        <v>139</v>
      </c>
      <c r="B140" s="171" t="s">
        <v>606</v>
      </c>
      <c r="C140" s="171" t="s">
        <v>568</v>
      </c>
      <c r="D140" s="171">
        <v>3</v>
      </c>
      <c r="E140" s="171" t="s">
        <v>251</v>
      </c>
      <c r="F140" s="171">
        <v>1</v>
      </c>
      <c r="G140" s="171">
        <v>1</v>
      </c>
      <c r="H140" s="171">
        <v>1</v>
      </c>
      <c r="I140" s="171">
        <v>1</v>
      </c>
      <c r="J140" s="171">
        <v>1</v>
      </c>
      <c r="K140" s="171">
        <v>1</v>
      </c>
      <c r="L140" s="171">
        <v>1</v>
      </c>
      <c r="M140" s="171">
        <v>1</v>
      </c>
      <c r="N140" s="170"/>
      <c r="O140" s="170"/>
      <c r="P140" s="170"/>
      <c r="Q140" s="180">
        <f>SUM(Tabela2[[#This Row],[G]]+Tabela2[[#This Row],[D]]+Tabela2[[#This Row],[N]]+Tabela2[[#This Row],[HM]])</f>
        <v>4</v>
      </c>
      <c r="R140" s="180">
        <f>SUM(Tabela2[[#This Row],[AO]]+Tabela2[[#This Row],[AD]]+Tabela2[[#This Row],[GWO]]+Tabela2[[#This Row],[GWD]])</f>
        <v>4</v>
      </c>
      <c r="S140" s="180">
        <f>Tabela2[[#This Row],[GWO]]+Tabela2[[#This Row],[GWD]]</f>
        <v>2</v>
      </c>
      <c r="T140" s="180">
        <f>SUM(Tabela2[[#This Row],[G]:[GWD]])</f>
        <v>8</v>
      </c>
    </row>
    <row r="141" spans="1:20" ht="30">
      <c r="A141" s="183">
        <v>140</v>
      </c>
      <c r="B141" s="171" t="s">
        <v>605</v>
      </c>
      <c r="C141" s="171" t="s">
        <v>566</v>
      </c>
      <c r="D141" s="171">
        <v>3</v>
      </c>
      <c r="E141" s="171" t="s">
        <v>251</v>
      </c>
      <c r="F141" s="171">
        <v>1</v>
      </c>
      <c r="G141" s="171">
        <v>1</v>
      </c>
      <c r="H141" s="171">
        <v>1</v>
      </c>
      <c r="I141" s="171">
        <v>1</v>
      </c>
      <c r="J141" s="171">
        <v>1</v>
      </c>
      <c r="K141" s="171">
        <v>1</v>
      </c>
      <c r="L141" s="171">
        <v>1</v>
      </c>
      <c r="M141" s="171">
        <v>1</v>
      </c>
      <c r="N141" s="170"/>
      <c r="O141" s="170"/>
      <c r="P141" s="170"/>
      <c r="Q141" s="180">
        <f>SUM(Tabela2[[#This Row],[G]]+Tabela2[[#This Row],[D]]+Tabela2[[#This Row],[N]]+Tabela2[[#This Row],[HM]])</f>
        <v>4</v>
      </c>
      <c r="R141" s="180">
        <f>SUM(Tabela2[[#This Row],[AO]]+Tabela2[[#This Row],[AD]]+Tabela2[[#This Row],[GWO]]+Tabela2[[#This Row],[GWD]])</f>
        <v>4</v>
      </c>
      <c r="S141" s="180">
        <f>Tabela2[[#This Row],[GWO]]+Tabela2[[#This Row],[GWD]]</f>
        <v>2</v>
      </c>
      <c r="T141" s="180">
        <f>SUM(Tabela2[[#This Row],[G]:[GWD]])</f>
        <v>8</v>
      </c>
    </row>
    <row r="142" spans="1:20">
      <c r="A142" s="183">
        <v>141</v>
      </c>
      <c r="B142" s="171" t="s">
        <v>604</v>
      </c>
      <c r="C142" s="171" t="s">
        <v>565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1</v>
      </c>
      <c r="K142" s="171">
        <v>1</v>
      </c>
      <c r="L142" s="171">
        <v>1</v>
      </c>
      <c r="M142" s="171">
        <v>1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4</v>
      </c>
      <c r="S142" s="180">
        <f>Tabela2[[#This Row],[GWO]]+Tabela2[[#This Row],[GWD]]</f>
        <v>2</v>
      </c>
      <c r="T142" s="180">
        <f>SUM(Tabela2[[#This Row],[G]:[GWD]])</f>
        <v>8</v>
      </c>
    </row>
    <row r="143" spans="1:20" ht="30">
      <c r="A143" s="183">
        <v>142</v>
      </c>
      <c r="B143" s="171" t="s">
        <v>603</v>
      </c>
      <c r="C143" s="171" t="s">
        <v>563</v>
      </c>
      <c r="D143" s="171">
        <v>3</v>
      </c>
      <c r="E143" s="171" t="s">
        <v>251</v>
      </c>
      <c r="F143" s="171">
        <v>1</v>
      </c>
      <c r="G143" s="171">
        <v>1</v>
      </c>
      <c r="H143" s="171">
        <v>1</v>
      </c>
      <c r="I143" s="171">
        <v>1</v>
      </c>
      <c r="J143" s="171">
        <v>1</v>
      </c>
      <c r="K143" s="171">
        <v>1</v>
      </c>
      <c r="L143" s="171">
        <v>1</v>
      </c>
      <c r="M143" s="171">
        <v>1</v>
      </c>
      <c r="N143" s="170"/>
      <c r="O143" s="170"/>
      <c r="P143" s="170"/>
      <c r="Q143" s="180">
        <f>SUM(Tabela2[[#This Row],[G]]+Tabela2[[#This Row],[D]]+Tabela2[[#This Row],[N]]+Tabela2[[#This Row],[HM]])</f>
        <v>4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8</v>
      </c>
    </row>
    <row r="144" spans="1:20">
      <c r="A144" s="183">
        <v>143</v>
      </c>
      <c r="B144" s="171" t="s">
        <v>602</v>
      </c>
      <c r="C144" s="171" t="s">
        <v>561</v>
      </c>
      <c r="D144" s="171">
        <v>3</v>
      </c>
      <c r="E144" s="171" t="s">
        <v>251</v>
      </c>
      <c r="F144" s="171">
        <v>1</v>
      </c>
      <c r="G144" s="171">
        <v>1</v>
      </c>
      <c r="H144" s="171">
        <v>1</v>
      </c>
      <c r="I144" s="171">
        <v>1</v>
      </c>
      <c r="J144" s="171">
        <v>1</v>
      </c>
      <c r="K144" s="171">
        <v>2</v>
      </c>
      <c r="L144" s="171">
        <v>1</v>
      </c>
      <c r="M144" s="171">
        <v>1</v>
      </c>
      <c r="N144" s="170"/>
      <c r="O144" s="170"/>
      <c r="P144" s="170"/>
      <c r="Q144" s="180">
        <f>SUM(Tabela2[[#This Row],[G]]+Tabela2[[#This Row],[D]]+Tabela2[[#This Row],[N]]+Tabela2[[#This Row],[HM]])</f>
        <v>5</v>
      </c>
      <c r="R144" s="180">
        <f>SUM(Tabela2[[#This Row],[AO]]+Tabela2[[#This Row],[AD]]+Tabela2[[#This Row],[GWO]]+Tabela2[[#This Row],[GWD]])</f>
        <v>4</v>
      </c>
      <c r="S144" s="180">
        <f>Tabela2[[#This Row],[GWO]]+Tabela2[[#This Row],[GWD]]</f>
        <v>2</v>
      </c>
      <c r="T144" s="180">
        <f>SUM(Tabela2[[#This Row],[G]:[GWD]])</f>
        <v>9</v>
      </c>
    </row>
    <row r="145" spans="1:20" ht="30">
      <c r="A145" s="183">
        <v>144</v>
      </c>
      <c r="B145" s="171" t="s">
        <v>601</v>
      </c>
      <c r="C145" s="171" t="s">
        <v>412</v>
      </c>
      <c r="D145" s="171">
        <v>3</v>
      </c>
      <c r="E145" s="171" t="s">
        <v>251</v>
      </c>
      <c r="F145" s="171">
        <v>1</v>
      </c>
      <c r="G145" s="171">
        <v>1</v>
      </c>
      <c r="H145" s="171">
        <v>1</v>
      </c>
      <c r="I145" s="171">
        <v>1</v>
      </c>
      <c r="J145" s="171">
        <v>1</v>
      </c>
      <c r="K145" s="171">
        <v>2</v>
      </c>
      <c r="L145" s="171">
        <v>2</v>
      </c>
      <c r="M145" s="171">
        <v>1</v>
      </c>
      <c r="N145" s="170"/>
      <c r="O145" s="170"/>
      <c r="P145" s="170"/>
      <c r="Q145" s="180">
        <f>SUM(Tabela2[[#This Row],[G]]+Tabela2[[#This Row],[D]]+Tabela2[[#This Row],[N]]+Tabela2[[#This Row],[HM]])</f>
        <v>5</v>
      </c>
      <c r="R145" s="180">
        <f>SUM(Tabela2[[#This Row],[AO]]+Tabela2[[#This Row],[AD]]+Tabela2[[#This Row],[GWO]]+Tabela2[[#This Row],[GWD]])</f>
        <v>5</v>
      </c>
      <c r="S145" s="180">
        <f>Tabela2[[#This Row],[GWO]]+Tabela2[[#This Row],[GWD]]</f>
        <v>3</v>
      </c>
      <c r="T145" s="180">
        <f>SUM(Tabela2[[#This Row],[G]:[GWD]])</f>
        <v>10</v>
      </c>
    </row>
    <row r="146" spans="1:20">
      <c r="A146" s="183">
        <v>145</v>
      </c>
      <c r="B146" s="171" t="s">
        <v>600</v>
      </c>
      <c r="C146" s="171" t="s">
        <v>283</v>
      </c>
      <c r="D146" s="171">
        <v>3</v>
      </c>
      <c r="E146" s="171" t="s">
        <v>251</v>
      </c>
      <c r="F146" s="171">
        <v>1</v>
      </c>
      <c r="G146" s="171">
        <v>1</v>
      </c>
      <c r="H146" s="171">
        <v>1</v>
      </c>
      <c r="I146" s="171">
        <v>1</v>
      </c>
      <c r="J146" s="171">
        <v>1</v>
      </c>
      <c r="K146" s="171">
        <v>2</v>
      </c>
      <c r="L146" s="171">
        <v>1</v>
      </c>
      <c r="M146" s="171">
        <v>1</v>
      </c>
      <c r="N146" s="170"/>
      <c r="O146" s="170"/>
      <c r="P146" s="170"/>
      <c r="Q146" s="180">
        <f>SUM(Tabela2[[#This Row],[G]]+Tabela2[[#This Row],[D]]+Tabela2[[#This Row],[N]]+Tabela2[[#This Row],[HM]])</f>
        <v>5</v>
      </c>
      <c r="R146" s="180">
        <f>SUM(Tabela2[[#This Row],[AO]]+Tabela2[[#This Row],[AD]]+Tabela2[[#This Row],[GWO]]+Tabela2[[#This Row],[GWD]])</f>
        <v>4</v>
      </c>
      <c r="S146" s="180">
        <f>Tabela2[[#This Row],[GWO]]+Tabela2[[#This Row],[GWD]]</f>
        <v>2</v>
      </c>
      <c r="T146" s="180">
        <f>SUM(Tabela2[[#This Row],[G]:[GWD]])</f>
        <v>9</v>
      </c>
    </row>
    <row r="147" spans="1:20">
      <c r="A147" s="183">
        <v>146</v>
      </c>
      <c r="B147" s="171" t="s">
        <v>599</v>
      </c>
      <c r="C147" s="171" t="s">
        <v>552</v>
      </c>
      <c r="D147" s="171">
        <v>3</v>
      </c>
      <c r="E147" s="171" t="s">
        <v>251</v>
      </c>
      <c r="F147" s="171">
        <v>2</v>
      </c>
      <c r="G147" s="171">
        <v>1</v>
      </c>
      <c r="H147" s="171">
        <v>1</v>
      </c>
      <c r="I147" s="171">
        <v>2</v>
      </c>
      <c r="J147" s="171">
        <v>2</v>
      </c>
      <c r="K147" s="171">
        <v>3</v>
      </c>
      <c r="L147" s="171">
        <v>2</v>
      </c>
      <c r="M147" s="171">
        <v>1</v>
      </c>
      <c r="N147" s="170"/>
      <c r="O147" s="170"/>
      <c r="P147" s="170"/>
      <c r="Q147" s="180">
        <f>SUM(Tabela2[[#This Row],[G]]+Tabela2[[#This Row],[D]]+Tabela2[[#This Row],[N]]+Tabela2[[#This Row],[HM]])</f>
        <v>7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3</v>
      </c>
      <c r="T147" s="180">
        <f>SUM(Tabela2[[#This Row],[G]:[GWD]])</f>
        <v>14</v>
      </c>
    </row>
    <row r="148" spans="1:20" ht="30">
      <c r="A148" s="183">
        <v>147</v>
      </c>
      <c r="B148" s="171" t="s">
        <v>598</v>
      </c>
      <c r="C148" s="171" t="s">
        <v>550</v>
      </c>
      <c r="D148" s="171">
        <v>3</v>
      </c>
      <c r="E148" s="171" t="s">
        <v>251</v>
      </c>
      <c r="F148" s="171">
        <v>1</v>
      </c>
      <c r="G148" s="171">
        <v>1</v>
      </c>
      <c r="H148" s="171">
        <v>3</v>
      </c>
      <c r="I148" s="171">
        <v>2</v>
      </c>
      <c r="J148" s="171">
        <v>1</v>
      </c>
      <c r="K148" s="171">
        <v>5</v>
      </c>
      <c r="L148" s="171">
        <v>2</v>
      </c>
      <c r="M148" s="171">
        <v>1</v>
      </c>
      <c r="N148" s="170"/>
      <c r="O148" s="170"/>
      <c r="P148" s="194" t="s">
        <v>204</v>
      </c>
      <c r="Q148" s="180">
        <f>SUM(Tabela2[[#This Row],[G]]+Tabela2[[#This Row],[D]]+Tabela2[[#This Row],[N]]+Tabela2[[#This Row],[HM]])</f>
        <v>10</v>
      </c>
      <c r="R148" s="180">
        <f>SUM(Tabela2[[#This Row],[AO]]+Tabela2[[#This Row],[AD]]+Tabela2[[#This Row],[GWO]]+Tabela2[[#This Row],[GWD]])</f>
        <v>6</v>
      </c>
      <c r="S148" s="180">
        <f>Tabela2[[#This Row],[GWO]]+Tabela2[[#This Row],[GWD]]</f>
        <v>3</v>
      </c>
      <c r="T148" s="180">
        <f>SUM(Tabela2[[#This Row],[G]:[GWD]])</f>
        <v>16</v>
      </c>
    </row>
    <row r="149" spans="1:20">
      <c r="A149" s="183">
        <v>148</v>
      </c>
      <c r="B149" s="171" t="s">
        <v>597</v>
      </c>
      <c r="C149" s="171" t="s">
        <v>548</v>
      </c>
      <c r="D149" s="171">
        <v>3</v>
      </c>
      <c r="E149" s="171" t="s">
        <v>251</v>
      </c>
      <c r="F149" s="171">
        <v>1</v>
      </c>
      <c r="G149" s="171">
        <v>1</v>
      </c>
      <c r="H149" s="171">
        <v>3</v>
      </c>
      <c r="I149" s="171">
        <v>1</v>
      </c>
      <c r="J149" s="171">
        <v>1</v>
      </c>
      <c r="K149" s="171">
        <v>1</v>
      </c>
      <c r="L149" s="171">
        <v>1</v>
      </c>
      <c r="M149" s="171">
        <v>1</v>
      </c>
      <c r="N149" s="170"/>
      <c r="O149" s="170"/>
      <c r="P149" s="170"/>
      <c r="Q149" s="180">
        <f>SUM(Tabela2[[#This Row],[G]]+Tabela2[[#This Row],[D]]+Tabela2[[#This Row],[N]]+Tabela2[[#This Row],[HM]])</f>
        <v>6</v>
      </c>
      <c r="R149" s="180">
        <f>SUM(Tabela2[[#This Row],[AO]]+Tabela2[[#This Row],[AD]]+Tabela2[[#This Row],[GWO]]+Tabela2[[#This Row],[GWD]])</f>
        <v>4</v>
      </c>
      <c r="S149" s="180">
        <f>Tabela2[[#This Row],[GWO]]+Tabela2[[#This Row],[GWD]]</f>
        <v>2</v>
      </c>
      <c r="T149" s="180">
        <f>SUM(Tabela2[[#This Row],[G]:[GWD]])</f>
        <v>10</v>
      </c>
    </row>
    <row r="150" spans="1:20">
      <c r="A150" s="183">
        <v>149</v>
      </c>
      <c r="B150" s="171" t="s">
        <v>596</v>
      </c>
      <c r="C150" s="171" t="s">
        <v>546</v>
      </c>
      <c r="D150" s="171">
        <v>3</v>
      </c>
      <c r="E150" s="171" t="s">
        <v>251</v>
      </c>
      <c r="F150" s="171">
        <v>1</v>
      </c>
      <c r="G150" s="171">
        <v>1</v>
      </c>
      <c r="H150" s="171">
        <v>1</v>
      </c>
      <c r="I150" s="171">
        <v>1</v>
      </c>
      <c r="J150" s="171">
        <v>1</v>
      </c>
      <c r="K150" s="171">
        <v>1</v>
      </c>
      <c r="L150" s="171">
        <v>1</v>
      </c>
      <c r="M150" s="171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4</v>
      </c>
      <c r="S150" s="180">
        <f>Tabela2[[#This Row],[GWO]]+Tabela2[[#This Row],[GWD]]</f>
        <v>2</v>
      </c>
      <c r="T150" s="180">
        <f>SUM(Tabela2[[#This Row],[G]:[GWD]])</f>
        <v>8</v>
      </c>
    </row>
    <row r="151" spans="1:20">
      <c r="A151" s="183">
        <v>150</v>
      </c>
      <c r="B151" s="171" t="s">
        <v>595</v>
      </c>
      <c r="C151" s="171" t="s">
        <v>594</v>
      </c>
      <c r="D151" s="171">
        <v>3</v>
      </c>
      <c r="E151" s="171" t="s">
        <v>251</v>
      </c>
      <c r="F151" s="171">
        <v>1</v>
      </c>
      <c r="G151" s="171">
        <v>1</v>
      </c>
      <c r="H151" s="171">
        <v>1</v>
      </c>
      <c r="I151" s="171">
        <v>1</v>
      </c>
      <c r="J151" s="171">
        <v>1</v>
      </c>
      <c r="K151" s="171">
        <v>1</v>
      </c>
      <c r="L151" s="171">
        <v>1</v>
      </c>
      <c r="M151" s="171">
        <v>1</v>
      </c>
      <c r="N151" s="170"/>
      <c r="O151" s="170"/>
      <c r="P151" s="170"/>
      <c r="Q151" s="180">
        <f>SUM(Tabela2[[#This Row],[G]]+Tabela2[[#This Row],[D]]+Tabela2[[#This Row],[N]]+Tabela2[[#This Row],[HM]])</f>
        <v>4</v>
      </c>
      <c r="R151" s="180">
        <f>SUM(Tabela2[[#This Row],[AO]]+Tabela2[[#This Row],[AD]]+Tabela2[[#This Row],[GWO]]+Tabela2[[#This Row],[GWD]])</f>
        <v>4</v>
      </c>
      <c r="S151" s="180">
        <f>Tabela2[[#This Row],[GWO]]+Tabela2[[#This Row],[GWD]]</f>
        <v>2</v>
      </c>
      <c r="T151" s="180">
        <f>SUM(Tabela2[[#This Row],[G]:[GWD]])</f>
        <v>8</v>
      </c>
    </row>
    <row r="152" spans="1:20" ht="30">
      <c r="A152" s="183">
        <v>151</v>
      </c>
      <c r="B152" s="171" t="s">
        <v>593</v>
      </c>
      <c r="C152" s="171" t="s">
        <v>544</v>
      </c>
      <c r="D152" s="171">
        <v>3</v>
      </c>
      <c r="E152" s="171" t="s">
        <v>251</v>
      </c>
      <c r="F152" s="171">
        <v>1</v>
      </c>
      <c r="G152" s="171">
        <v>1</v>
      </c>
      <c r="H152" s="171">
        <v>1</v>
      </c>
      <c r="I152" s="171">
        <v>1</v>
      </c>
      <c r="J152" s="171">
        <v>1</v>
      </c>
      <c r="K152" s="171">
        <v>1</v>
      </c>
      <c r="L152" s="171">
        <v>1</v>
      </c>
      <c r="M152" s="171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4</v>
      </c>
      <c r="S152" s="180">
        <f>Tabela2[[#This Row],[GWO]]+Tabela2[[#This Row],[GWD]]</f>
        <v>2</v>
      </c>
      <c r="T152" s="180">
        <f>SUM(Tabela2[[#This Row],[G]:[GWD]])</f>
        <v>8</v>
      </c>
    </row>
    <row r="153" spans="1:20" ht="30">
      <c r="A153" s="183">
        <v>152</v>
      </c>
      <c r="B153" s="171" t="s">
        <v>592</v>
      </c>
      <c r="C153" s="171" t="s">
        <v>542</v>
      </c>
      <c r="D153" s="171">
        <v>3</v>
      </c>
      <c r="E153" s="171" t="s">
        <v>251</v>
      </c>
      <c r="F153" s="171">
        <v>1</v>
      </c>
      <c r="G153" s="171">
        <v>1</v>
      </c>
      <c r="H153" s="171">
        <v>1</v>
      </c>
      <c r="I153" s="171">
        <v>1</v>
      </c>
      <c r="J153" s="171">
        <v>1</v>
      </c>
      <c r="K153" s="171">
        <v>1</v>
      </c>
      <c r="L153" s="171">
        <v>1</v>
      </c>
      <c r="M153" s="171">
        <v>1</v>
      </c>
      <c r="N153" s="170"/>
      <c r="O153" s="170"/>
      <c r="P153" s="170"/>
      <c r="Q153" s="180">
        <f>SUM(Tabela2[[#This Row],[G]]+Tabela2[[#This Row],[D]]+Tabela2[[#This Row],[N]]+Tabela2[[#This Row],[HM]])</f>
        <v>4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8</v>
      </c>
    </row>
    <row r="154" spans="1:20">
      <c r="A154" s="183">
        <v>153</v>
      </c>
      <c r="B154" s="171" t="s">
        <v>591</v>
      </c>
      <c r="C154" s="171" t="s">
        <v>540</v>
      </c>
      <c r="D154" s="171">
        <v>3</v>
      </c>
      <c r="E154" s="171" t="s">
        <v>251</v>
      </c>
      <c r="F154" s="171">
        <v>1</v>
      </c>
      <c r="G154" s="171">
        <v>1</v>
      </c>
      <c r="H154" s="171">
        <v>1</v>
      </c>
      <c r="I154" s="171">
        <v>1</v>
      </c>
      <c r="J154" s="171">
        <v>1</v>
      </c>
      <c r="K154" s="171">
        <v>1</v>
      </c>
      <c r="L154" s="171">
        <v>1</v>
      </c>
      <c r="M154" s="171">
        <v>1</v>
      </c>
      <c r="N154" s="170"/>
      <c r="O154" s="170"/>
      <c r="P154" s="170"/>
      <c r="Q154" s="180">
        <f>SUM(Tabela2[[#This Row],[G]]+Tabela2[[#This Row],[D]]+Tabela2[[#This Row],[N]]+Tabela2[[#This Row],[HM]])</f>
        <v>4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8</v>
      </c>
    </row>
    <row r="155" spans="1:20">
      <c r="A155" s="183">
        <v>154</v>
      </c>
      <c r="B155" s="171" t="s">
        <v>590</v>
      </c>
      <c r="C155" s="171" t="s">
        <v>358</v>
      </c>
      <c r="D155" s="171">
        <v>3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1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4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8</v>
      </c>
    </row>
    <row r="156" spans="1:20" ht="30">
      <c r="A156" s="183">
        <v>155</v>
      </c>
      <c r="B156" s="171" t="s">
        <v>589</v>
      </c>
      <c r="C156" s="171" t="s">
        <v>538</v>
      </c>
      <c r="D156" s="171">
        <v>3</v>
      </c>
      <c r="E156" s="171" t="s">
        <v>251</v>
      </c>
      <c r="F156" s="171">
        <v>1</v>
      </c>
      <c r="G156" s="171">
        <v>1</v>
      </c>
      <c r="H156" s="171">
        <v>1</v>
      </c>
      <c r="I156" s="171">
        <v>1</v>
      </c>
      <c r="J156" s="171">
        <v>1</v>
      </c>
      <c r="K156" s="171">
        <v>1</v>
      </c>
      <c r="L156" s="171">
        <v>1</v>
      </c>
      <c r="M156" s="171">
        <v>1</v>
      </c>
      <c r="N156" s="170"/>
      <c r="O156" s="170"/>
      <c r="P156" s="170"/>
      <c r="Q156" s="180">
        <f>SUM(Tabela2[[#This Row],[G]]+Tabela2[[#This Row],[D]]+Tabela2[[#This Row],[N]]+Tabela2[[#This Row],[HM]])</f>
        <v>4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8</v>
      </c>
    </row>
    <row r="157" spans="1:20">
      <c r="A157" s="183">
        <v>156</v>
      </c>
      <c r="B157" s="171" t="s">
        <v>588</v>
      </c>
      <c r="C157" s="171" t="s">
        <v>536</v>
      </c>
      <c r="D157" s="171">
        <v>3</v>
      </c>
      <c r="E157" s="171" t="s">
        <v>251</v>
      </c>
      <c r="F157" s="171">
        <v>2</v>
      </c>
      <c r="G157" s="171">
        <v>2</v>
      </c>
      <c r="H157" s="171">
        <v>1</v>
      </c>
      <c r="I157" s="171">
        <v>1</v>
      </c>
      <c r="J157" s="171">
        <v>1</v>
      </c>
      <c r="K157" s="171">
        <v>3</v>
      </c>
      <c r="L157" s="171">
        <v>2</v>
      </c>
      <c r="M157" s="171">
        <v>1</v>
      </c>
      <c r="N157" s="170"/>
      <c r="O157" s="170"/>
      <c r="P157" s="170"/>
      <c r="Q157" s="180">
        <f>SUM(Tabela2[[#This Row],[G]]+Tabela2[[#This Row],[D]]+Tabela2[[#This Row],[N]]+Tabela2[[#This Row],[HM]])</f>
        <v>8</v>
      </c>
      <c r="R157" s="180">
        <f>SUM(Tabela2[[#This Row],[AO]]+Tabela2[[#This Row],[AD]]+Tabela2[[#This Row],[GWO]]+Tabela2[[#This Row],[GWD]])</f>
        <v>5</v>
      </c>
      <c r="S157" s="180">
        <f>Tabela2[[#This Row],[GWO]]+Tabela2[[#This Row],[GWD]]</f>
        <v>3</v>
      </c>
      <c r="T157" s="180">
        <f>SUM(Tabela2[[#This Row],[G]:[GWD]])</f>
        <v>13</v>
      </c>
    </row>
    <row r="158" spans="1:20" ht="30">
      <c r="A158" s="183">
        <v>157</v>
      </c>
      <c r="B158" s="171" t="s">
        <v>587</v>
      </c>
      <c r="C158" s="171" t="s">
        <v>534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1</v>
      </c>
      <c r="J158" s="171">
        <v>1</v>
      </c>
      <c r="K158" s="171">
        <v>1</v>
      </c>
      <c r="L158" s="171">
        <v>1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4</v>
      </c>
      <c r="S158" s="180">
        <f>Tabela2[[#This Row],[GWO]]+Tabela2[[#This Row],[GWD]]</f>
        <v>2</v>
      </c>
      <c r="T158" s="180">
        <f>SUM(Tabela2[[#This Row],[G]:[GWD]])</f>
        <v>8</v>
      </c>
    </row>
    <row r="159" spans="1:20" ht="30">
      <c r="A159" s="183">
        <v>158</v>
      </c>
      <c r="B159" s="171" t="s">
        <v>586</v>
      </c>
      <c r="C159" s="171" t="s">
        <v>532</v>
      </c>
      <c r="D159" s="171">
        <v>3</v>
      </c>
      <c r="E159" s="171" t="s">
        <v>251</v>
      </c>
      <c r="F159" s="171">
        <v>1</v>
      </c>
      <c r="G159" s="171">
        <v>1</v>
      </c>
      <c r="H159" s="171">
        <v>1</v>
      </c>
      <c r="I159" s="171">
        <v>1</v>
      </c>
      <c r="J159" s="171">
        <v>1</v>
      </c>
      <c r="K159" s="171">
        <v>1</v>
      </c>
      <c r="L159" s="171">
        <v>1</v>
      </c>
      <c r="M159" s="171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4</v>
      </c>
      <c r="S159" s="180">
        <f>Tabela2[[#This Row],[GWO]]+Tabela2[[#This Row],[GWD]]</f>
        <v>2</v>
      </c>
      <c r="T159" s="180">
        <f>SUM(Tabela2[[#This Row],[G]:[GWD]])</f>
        <v>8</v>
      </c>
    </row>
    <row r="160" spans="1:20" ht="30">
      <c r="A160" s="183">
        <v>159</v>
      </c>
      <c r="B160" s="171" t="s">
        <v>585</v>
      </c>
      <c r="C160" s="171" t="s">
        <v>530</v>
      </c>
      <c r="D160" s="171">
        <v>3</v>
      </c>
      <c r="E160" s="171" t="s">
        <v>251</v>
      </c>
      <c r="F160" s="171">
        <v>1</v>
      </c>
      <c r="G160" s="171">
        <v>1</v>
      </c>
      <c r="H160" s="171">
        <v>1</v>
      </c>
      <c r="I160" s="171">
        <v>1</v>
      </c>
      <c r="J160" s="171">
        <v>1</v>
      </c>
      <c r="K160" s="171">
        <v>1</v>
      </c>
      <c r="L160" s="171">
        <v>1</v>
      </c>
      <c r="M160" s="171">
        <v>1</v>
      </c>
      <c r="N160" s="170"/>
      <c r="O160" s="170"/>
      <c r="P160" s="170"/>
      <c r="Q160" s="180">
        <f>SUM(Tabela2[[#This Row],[G]]+Tabela2[[#This Row],[D]]+Tabela2[[#This Row],[N]]+Tabela2[[#This Row],[HM]])</f>
        <v>4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8</v>
      </c>
    </row>
    <row r="161" spans="1:20" ht="30">
      <c r="A161" s="183">
        <v>160</v>
      </c>
      <c r="B161" s="171" t="s">
        <v>584</v>
      </c>
      <c r="C161" s="171" t="s">
        <v>528</v>
      </c>
      <c r="D161" s="171">
        <v>3</v>
      </c>
      <c r="E161" s="171" t="s">
        <v>251</v>
      </c>
      <c r="F161" s="171">
        <v>1</v>
      </c>
      <c r="G161" s="171">
        <v>1</v>
      </c>
      <c r="H161" s="171">
        <v>1</v>
      </c>
      <c r="I161" s="171">
        <v>1</v>
      </c>
      <c r="J161" s="171">
        <v>1</v>
      </c>
      <c r="K161" s="171">
        <v>1</v>
      </c>
      <c r="L161" s="171">
        <v>1</v>
      </c>
      <c r="M161" s="171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4</v>
      </c>
      <c r="S161" s="180">
        <f>Tabela2[[#This Row],[GWO]]+Tabela2[[#This Row],[GWD]]</f>
        <v>2</v>
      </c>
      <c r="T161" s="180">
        <f>SUM(Tabela2[[#This Row],[G]:[GWD]])</f>
        <v>8</v>
      </c>
    </row>
    <row r="162" spans="1:20" ht="30">
      <c r="A162" s="183">
        <v>161</v>
      </c>
      <c r="B162" s="171" t="s">
        <v>583</v>
      </c>
      <c r="C162" s="171" t="s">
        <v>526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1</v>
      </c>
      <c r="L162" s="171">
        <v>1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4</v>
      </c>
      <c r="R162" s="180">
        <f>SUM(Tabela2[[#This Row],[AO]]+Tabela2[[#This Row],[AD]]+Tabela2[[#This Row],[GWO]]+Tabela2[[#This Row],[GWD]])</f>
        <v>4</v>
      </c>
      <c r="S162" s="180">
        <f>Tabela2[[#This Row],[GWO]]+Tabela2[[#This Row],[GWD]]</f>
        <v>2</v>
      </c>
      <c r="T162" s="180">
        <f>SUM(Tabela2[[#This Row],[G]:[GWD]])</f>
        <v>8</v>
      </c>
    </row>
    <row r="163" spans="1:20">
      <c r="A163" s="183">
        <v>162</v>
      </c>
      <c r="B163" s="171" t="s">
        <v>582</v>
      </c>
      <c r="C163" s="171" t="s">
        <v>284</v>
      </c>
      <c r="D163" s="171">
        <v>3</v>
      </c>
      <c r="E163" s="171" t="s">
        <v>251</v>
      </c>
      <c r="F163" s="171">
        <v>1</v>
      </c>
      <c r="G163" s="171">
        <v>1</v>
      </c>
      <c r="H163" s="171">
        <v>1</v>
      </c>
      <c r="I163" s="171">
        <v>1</v>
      </c>
      <c r="J163" s="171">
        <v>1</v>
      </c>
      <c r="K163" s="171">
        <v>1</v>
      </c>
      <c r="L163" s="171">
        <v>1</v>
      </c>
      <c r="M163" s="171">
        <v>1</v>
      </c>
      <c r="N163" s="170"/>
      <c r="O163" s="170"/>
      <c r="P163" s="170"/>
      <c r="Q163" s="180">
        <f>SUM(Tabela2[[#This Row],[G]]+Tabela2[[#This Row],[D]]+Tabela2[[#This Row],[N]]+Tabela2[[#This Row],[HM]])</f>
        <v>4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8</v>
      </c>
    </row>
    <row r="164" spans="1:20">
      <c r="A164" s="183">
        <v>163</v>
      </c>
      <c r="B164" s="171" t="s">
        <v>581</v>
      </c>
      <c r="C164" s="171" t="s">
        <v>376</v>
      </c>
      <c r="D164" s="171">
        <v>3</v>
      </c>
      <c r="E164" s="171" t="s">
        <v>251</v>
      </c>
      <c r="F164" s="171">
        <v>1</v>
      </c>
      <c r="G164" s="171">
        <v>1</v>
      </c>
      <c r="H164" s="171">
        <v>1</v>
      </c>
      <c r="I164" s="171">
        <v>1</v>
      </c>
      <c r="J164" s="171">
        <v>1</v>
      </c>
      <c r="K164" s="171">
        <v>1</v>
      </c>
      <c r="L164" s="171">
        <v>1</v>
      </c>
      <c r="M164" s="171">
        <v>1</v>
      </c>
      <c r="N164" s="170"/>
      <c r="O164" s="170"/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4</v>
      </c>
      <c r="S164" s="180">
        <f>Tabela2[[#This Row],[GWO]]+Tabela2[[#This Row],[GWD]]</f>
        <v>2</v>
      </c>
      <c r="T164" s="180">
        <f>SUM(Tabela2[[#This Row],[G]:[GWD]])</f>
        <v>8</v>
      </c>
    </row>
    <row r="165" spans="1:20">
      <c r="A165" s="183">
        <v>164</v>
      </c>
      <c r="B165" s="171" t="s">
        <v>580</v>
      </c>
      <c r="C165" s="171" t="s">
        <v>267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1</v>
      </c>
      <c r="I165" s="171">
        <v>2</v>
      </c>
      <c r="J165" s="171">
        <v>3</v>
      </c>
      <c r="K165" s="171">
        <v>2</v>
      </c>
      <c r="L165" s="171">
        <v>3</v>
      </c>
      <c r="M165" s="171">
        <v>3</v>
      </c>
      <c r="N165" s="170"/>
      <c r="O165" s="170"/>
      <c r="P165" s="170"/>
      <c r="Q165" s="180">
        <f>SUM(Tabela2[[#This Row],[G]]+Tabela2[[#This Row],[D]]+Tabela2[[#This Row],[N]]+Tabela2[[#This Row],[HM]])</f>
        <v>5</v>
      </c>
      <c r="R165" s="180">
        <f>SUM(Tabela2[[#This Row],[AO]]+Tabela2[[#This Row],[AD]]+Tabela2[[#This Row],[GWO]]+Tabela2[[#This Row],[GWD]])</f>
        <v>11</v>
      </c>
      <c r="S165" s="180">
        <f>Tabela2[[#This Row],[GWO]]+Tabela2[[#This Row],[GWD]]</f>
        <v>6</v>
      </c>
      <c r="T165" s="180">
        <f>SUM(Tabela2[[#This Row],[G]:[GWD]])</f>
        <v>16</v>
      </c>
    </row>
    <row r="166" spans="1:20">
      <c r="A166" s="183">
        <v>165</v>
      </c>
      <c r="B166" s="171" t="s">
        <v>579</v>
      </c>
      <c r="C166" s="171" t="s">
        <v>578</v>
      </c>
      <c r="D166" s="171">
        <v>3</v>
      </c>
      <c r="E166" s="171" t="s">
        <v>251</v>
      </c>
      <c r="F166" s="171">
        <v>1</v>
      </c>
      <c r="G166" s="171">
        <v>1</v>
      </c>
      <c r="H166" s="171">
        <v>1</v>
      </c>
      <c r="I166" s="171">
        <v>1</v>
      </c>
      <c r="J166" s="171">
        <v>1</v>
      </c>
      <c r="K166" s="171">
        <v>1</v>
      </c>
      <c r="L166" s="171">
        <v>1</v>
      </c>
      <c r="M166" s="171">
        <v>1</v>
      </c>
      <c r="N166" s="170"/>
      <c r="O166" s="170"/>
      <c r="P166" s="170"/>
      <c r="Q166" s="180">
        <f>SUM(Tabela2[[#This Row],[G]]+Tabela2[[#This Row],[D]]+Tabela2[[#This Row],[N]]+Tabela2[[#This Row],[HM]])</f>
        <v>4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8</v>
      </c>
    </row>
    <row r="167" spans="1:20">
      <c r="A167" s="183">
        <v>166</v>
      </c>
      <c r="B167" s="171" t="s">
        <v>577</v>
      </c>
      <c r="C167" s="171" t="s">
        <v>521</v>
      </c>
      <c r="D167" s="171">
        <v>3</v>
      </c>
      <c r="E167" s="171" t="s">
        <v>251</v>
      </c>
      <c r="F167" s="171">
        <v>1</v>
      </c>
      <c r="G167" s="171">
        <v>1</v>
      </c>
      <c r="H167" s="171">
        <v>1</v>
      </c>
      <c r="I167" s="171">
        <v>1</v>
      </c>
      <c r="J167" s="171">
        <v>2</v>
      </c>
      <c r="K167" s="171">
        <v>1</v>
      </c>
      <c r="L167" s="171">
        <v>1</v>
      </c>
      <c r="M167" s="171">
        <v>3</v>
      </c>
      <c r="N167" s="170"/>
      <c r="O167" s="170"/>
      <c r="P167" s="170"/>
      <c r="Q167" s="180">
        <f>SUM(Tabela2[[#This Row],[G]]+Tabela2[[#This Row],[D]]+Tabela2[[#This Row],[N]]+Tabela2[[#This Row],[HM]])</f>
        <v>4</v>
      </c>
      <c r="R167" s="180">
        <f>SUM(Tabela2[[#This Row],[AO]]+Tabela2[[#This Row],[AD]]+Tabela2[[#This Row],[GWO]]+Tabela2[[#This Row],[GWD]])</f>
        <v>7</v>
      </c>
      <c r="S167" s="180">
        <f>Tabela2[[#This Row],[GWO]]+Tabela2[[#This Row],[GWD]]</f>
        <v>4</v>
      </c>
      <c r="T167" s="180">
        <f>SUM(Tabela2[[#This Row],[G]:[GWD]])</f>
        <v>11</v>
      </c>
    </row>
    <row r="168" spans="1:20">
      <c r="A168" s="183">
        <v>167</v>
      </c>
      <c r="B168" s="171" t="s">
        <v>576</v>
      </c>
      <c r="C168" s="171" t="s">
        <v>287</v>
      </c>
      <c r="D168" s="171">
        <v>3</v>
      </c>
      <c r="E168" s="171" t="s">
        <v>251</v>
      </c>
      <c r="F168" s="171">
        <v>1</v>
      </c>
      <c r="G168" s="171">
        <v>1</v>
      </c>
      <c r="H168" s="171">
        <v>1</v>
      </c>
      <c r="I168" s="171">
        <v>1</v>
      </c>
      <c r="J168" s="171">
        <v>1</v>
      </c>
      <c r="K168" s="171">
        <v>1</v>
      </c>
      <c r="L168" s="171">
        <v>1</v>
      </c>
      <c r="M168" s="171">
        <v>1</v>
      </c>
      <c r="N168" s="171" t="s">
        <v>445</v>
      </c>
      <c r="O168" s="171"/>
      <c r="P168" s="171"/>
      <c r="Q168" s="187">
        <f>SUM(Tabela2[[#This Row],[G]]+Tabela2[[#This Row],[D]]+Tabela2[[#This Row],[N]]+Tabela2[[#This Row],[HM]])</f>
        <v>4</v>
      </c>
      <c r="R168" s="187">
        <f>SUM(Tabela2[[#This Row],[AO]]+Tabela2[[#This Row],[AD]]+Tabela2[[#This Row],[GWO]]+Tabela2[[#This Row],[GWD]])</f>
        <v>4</v>
      </c>
      <c r="S168" s="187">
        <f>Tabela2[[#This Row],[GWO]]+Tabela2[[#This Row],[GWD]]</f>
        <v>2</v>
      </c>
      <c r="T168" s="180">
        <f>SUM(Tabela2[[#This Row],[G]:[GWD]])</f>
        <v>8</v>
      </c>
    </row>
    <row r="169" spans="1:20">
      <c r="A169" s="183">
        <v>168</v>
      </c>
      <c r="B169" s="170" t="s">
        <v>575</v>
      </c>
      <c r="C169" s="170" t="s">
        <v>574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2</v>
      </c>
      <c r="I169" s="170">
        <v>1</v>
      </c>
      <c r="J169" s="170">
        <v>1</v>
      </c>
      <c r="K169" s="170">
        <v>1</v>
      </c>
      <c r="L169" s="170">
        <v>1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5</v>
      </c>
      <c r="R169" s="180">
        <f>SUM(Tabela2[[#This Row],[AO]]+Tabela2[[#This Row],[AD]]+Tabela2[[#This Row],[GWO]]+Tabela2[[#This Row],[GWD]])</f>
        <v>4</v>
      </c>
      <c r="S169" s="180">
        <f>Tabela2[[#This Row],[GWO]]+Tabela2[[#This Row],[GWD]]</f>
        <v>2</v>
      </c>
      <c r="T169" s="180">
        <f>SUM(Tabela2[[#This Row],[G]:[GWD]])</f>
        <v>9</v>
      </c>
    </row>
    <row r="170" spans="1:20" ht="30">
      <c r="A170" s="183">
        <v>169</v>
      </c>
      <c r="B170" s="170" t="s">
        <v>573</v>
      </c>
      <c r="C170" s="170" t="s">
        <v>572</v>
      </c>
      <c r="D170" s="170">
        <v>3</v>
      </c>
      <c r="E170" s="170" t="s">
        <v>272</v>
      </c>
      <c r="F170" s="170">
        <v>1</v>
      </c>
      <c r="G170" s="170">
        <v>1</v>
      </c>
      <c r="H170" s="170">
        <v>1</v>
      </c>
      <c r="I170" s="170">
        <v>1</v>
      </c>
      <c r="J170" s="170">
        <v>1</v>
      </c>
      <c r="K170" s="170">
        <v>1</v>
      </c>
      <c r="L170" s="170">
        <v>4</v>
      </c>
      <c r="M170" s="170">
        <v>2</v>
      </c>
      <c r="N170" s="170"/>
      <c r="O170" s="170"/>
      <c r="P170" s="170"/>
      <c r="Q170" s="180">
        <f>SUM(Tabela2[[#This Row],[G]]+Tabela2[[#This Row],[D]]+Tabela2[[#This Row],[N]]+Tabela2[[#This Row],[HM]])</f>
        <v>4</v>
      </c>
      <c r="R170" s="180">
        <f>SUM(Tabela2[[#This Row],[AO]]+Tabela2[[#This Row],[AD]]+Tabela2[[#This Row],[GWO]]+Tabela2[[#This Row],[GWD]])</f>
        <v>8</v>
      </c>
      <c r="S170" s="180">
        <f>Tabela2[[#This Row],[GWO]]+Tabela2[[#This Row],[GWD]]</f>
        <v>6</v>
      </c>
      <c r="T170" s="180">
        <f>SUM(Tabela2[[#This Row],[G]:[GWD]])</f>
        <v>12</v>
      </c>
    </row>
    <row r="171" spans="1:20">
      <c r="A171" s="183">
        <v>170</v>
      </c>
      <c r="B171" s="170" t="s">
        <v>186</v>
      </c>
      <c r="C171" s="170" t="s">
        <v>290</v>
      </c>
      <c r="D171" s="170">
        <v>3</v>
      </c>
      <c r="E171" s="170" t="s">
        <v>272</v>
      </c>
      <c r="F171" s="170">
        <v>3</v>
      </c>
      <c r="G171" s="170">
        <v>3</v>
      </c>
      <c r="H171" s="170">
        <v>1</v>
      </c>
      <c r="I171" s="170">
        <v>2</v>
      </c>
      <c r="J171" s="170">
        <v>2</v>
      </c>
      <c r="K171" s="170">
        <v>3</v>
      </c>
      <c r="L171" s="170">
        <v>2</v>
      </c>
      <c r="M171" s="170">
        <v>2</v>
      </c>
      <c r="N171" s="170"/>
      <c r="O171" s="170" t="s">
        <v>204</v>
      </c>
      <c r="P171" s="170"/>
      <c r="Q171" s="180">
        <f>SUM(Tabela2[[#This Row],[G]]+Tabela2[[#This Row],[D]]+Tabela2[[#This Row],[N]]+Tabela2[[#This Row],[HM]])</f>
        <v>10</v>
      </c>
      <c r="R171" s="180">
        <f>SUM(Tabela2[[#This Row],[AO]]+Tabela2[[#This Row],[AD]]+Tabela2[[#This Row],[GWO]]+Tabela2[[#This Row],[GWD]])</f>
        <v>8</v>
      </c>
      <c r="S171" s="180">
        <f>Tabela2[[#This Row],[GWO]]+Tabela2[[#This Row],[GWD]]</f>
        <v>4</v>
      </c>
      <c r="T171" s="180">
        <f>SUM(Tabela2[[#This Row],[G]:[GWD]])</f>
        <v>18</v>
      </c>
    </row>
    <row r="172" spans="1:20" ht="30">
      <c r="A172" s="183">
        <v>171</v>
      </c>
      <c r="B172" s="170" t="s">
        <v>571</v>
      </c>
      <c r="C172" s="170" t="s">
        <v>570</v>
      </c>
      <c r="D172" s="170">
        <v>3</v>
      </c>
      <c r="E172" s="170" t="s">
        <v>272</v>
      </c>
      <c r="F172" s="170">
        <v>1</v>
      </c>
      <c r="G172" s="170">
        <v>2</v>
      </c>
      <c r="H172" s="170">
        <v>3</v>
      </c>
      <c r="I172" s="170">
        <v>1</v>
      </c>
      <c r="J172" s="170">
        <v>1</v>
      </c>
      <c r="K172" s="170">
        <v>2</v>
      </c>
      <c r="L172" s="170">
        <v>1</v>
      </c>
      <c r="M172" s="170">
        <v>1</v>
      </c>
      <c r="N172" s="170"/>
      <c r="O172" s="170"/>
      <c r="P172" s="170"/>
      <c r="Q172" s="180">
        <f>SUM(Tabela2[[#This Row],[G]]+Tabela2[[#This Row],[D]]+Tabela2[[#This Row],[N]]+Tabela2[[#This Row],[HM]])</f>
        <v>8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12</v>
      </c>
    </row>
    <row r="173" spans="1:20" ht="30">
      <c r="A173" s="183">
        <v>172</v>
      </c>
      <c r="B173" s="170" t="s">
        <v>569</v>
      </c>
      <c r="C173" s="170" t="s">
        <v>568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1</v>
      </c>
      <c r="I173" s="170">
        <v>1</v>
      </c>
      <c r="J173" s="170">
        <v>1</v>
      </c>
      <c r="K173" s="170">
        <v>1</v>
      </c>
      <c r="L173" s="170">
        <v>1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4</v>
      </c>
      <c r="R173" s="180">
        <f>SUM(Tabela2[[#This Row],[AO]]+Tabela2[[#This Row],[AD]]+Tabela2[[#This Row],[GWO]]+Tabela2[[#This Row],[GWD]])</f>
        <v>4</v>
      </c>
      <c r="S173" s="180">
        <f>Tabela2[[#This Row],[GWO]]+Tabela2[[#This Row],[GWD]]</f>
        <v>2</v>
      </c>
      <c r="T173" s="180">
        <f>SUM(Tabela2[[#This Row],[G]:[GWD]])</f>
        <v>8</v>
      </c>
    </row>
    <row r="174" spans="1:20" ht="30">
      <c r="A174" s="183">
        <v>173</v>
      </c>
      <c r="B174" s="170" t="s">
        <v>567</v>
      </c>
      <c r="C174" s="170" t="s">
        <v>566</v>
      </c>
      <c r="D174" s="170">
        <v>3</v>
      </c>
      <c r="E174" s="170" t="s">
        <v>272</v>
      </c>
      <c r="F174" s="170">
        <v>1</v>
      </c>
      <c r="G174" s="170">
        <v>1</v>
      </c>
      <c r="H174" s="170">
        <v>1</v>
      </c>
      <c r="I174" s="170">
        <v>1</v>
      </c>
      <c r="J174" s="170">
        <v>1</v>
      </c>
      <c r="K174" s="170">
        <v>1</v>
      </c>
      <c r="L174" s="170">
        <v>1</v>
      </c>
      <c r="M174" s="170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4</v>
      </c>
      <c r="S174" s="180">
        <f>Tabela2[[#This Row],[GWO]]+Tabela2[[#This Row],[GWD]]</f>
        <v>2</v>
      </c>
      <c r="T174" s="180">
        <f>SUM(Tabela2[[#This Row],[G]:[GWD]])</f>
        <v>8</v>
      </c>
    </row>
    <row r="175" spans="1:20">
      <c r="A175" s="183">
        <v>174</v>
      </c>
      <c r="B175" s="177" t="s">
        <v>565</v>
      </c>
      <c r="C175" s="177" t="s">
        <v>565</v>
      </c>
      <c r="D175" s="177">
        <v>3</v>
      </c>
      <c r="E175" s="177" t="s">
        <v>272</v>
      </c>
      <c r="F175" s="177"/>
      <c r="G175" s="177"/>
      <c r="H175" s="177"/>
      <c r="I175" s="177"/>
      <c r="J175" s="177"/>
      <c r="K175" s="177"/>
      <c r="L175" s="177"/>
      <c r="M175" s="177"/>
      <c r="N175" s="177"/>
      <c r="O175" s="177"/>
      <c r="P175" s="177"/>
      <c r="Q175" s="182">
        <f>SUM(Tabela2[[#This Row],[G]]+Tabela2[[#This Row],[D]]+Tabela2[[#This Row],[N]]+Tabela2[[#This Row],[HM]])</f>
        <v>0</v>
      </c>
      <c r="R175" s="182">
        <f>SUM(Tabela2[[#This Row],[AO]]+Tabela2[[#This Row],[AD]]+Tabela2[[#This Row],[GWO]]+Tabela2[[#This Row],[GWD]])</f>
        <v>0</v>
      </c>
      <c r="S175" s="182">
        <f>Tabela2[[#This Row],[GWO]]+Tabela2[[#This Row],[GWD]]</f>
        <v>0</v>
      </c>
      <c r="T175" s="182">
        <f>SUM(Tabela2[[#This Row],[G]:[GWD]])</f>
        <v>0</v>
      </c>
    </row>
    <row r="176" spans="1:20" ht="30">
      <c r="A176" s="183">
        <v>175</v>
      </c>
      <c r="B176" s="170" t="s">
        <v>564</v>
      </c>
      <c r="C176" s="170" t="s">
        <v>563</v>
      </c>
      <c r="D176" s="170">
        <v>3</v>
      </c>
      <c r="E176" s="170" t="s">
        <v>272</v>
      </c>
      <c r="F176" s="170">
        <v>1</v>
      </c>
      <c r="G176" s="170">
        <v>1</v>
      </c>
      <c r="H176" s="170">
        <v>1</v>
      </c>
      <c r="I176" s="170">
        <v>1</v>
      </c>
      <c r="J176" s="170">
        <v>1</v>
      </c>
      <c r="K176" s="170">
        <v>1</v>
      </c>
      <c r="L176" s="170">
        <v>1</v>
      </c>
      <c r="M176" s="170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4</v>
      </c>
      <c r="S176" s="180">
        <f>Tabela2[[#This Row],[GWO]]+Tabela2[[#This Row],[GWD]]</f>
        <v>2</v>
      </c>
      <c r="T176" s="180">
        <f>SUM(Tabela2[[#This Row],[G]:[GWD]])</f>
        <v>8</v>
      </c>
    </row>
    <row r="177" spans="1:20">
      <c r="A177" s="183">
        <v>176</v>
      </c>
      <c r="B177" s="170" t="s">
        <v>562</v>
      </c>
      <c r="C177" s="170" t="s">
        <v>561</v>
      </c>
      <c r="D177" s="170">
        <v>3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1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5</v>
      </c>
      <c r="S177" s="180">
        <f>Tabela2[[#This Row],[GWO]]+Tabela2[[#This Row],[GWD]]</f>
        <v>3</v>
      </c>
      <c r="T177" s="180">
        <f>SUM(Tabela2[[#This Row],[G]:[GWD]])</f>
        <v>9</v>
      </c>
    </row>
    <row r="178" spans="1:20">
      <c r="A178" s="183">
        <v>177</v>
      </c>
      <c r="B178" s="170" t="s">
        <v>560</v>
      </c>
      <c r="C178" s="170" t="s">
        <v>559</v>
      </c>
      <c r="D178" s="170">
        <v>3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1</v>
      </c>
      <c r="J178" s="170">
        <v>1</v>
      </c>
      <c r="K178" s="170">
        <v>3</v>
      </c>
      <c r="L178" s="170">
        <v>1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6</v>
      </c>
      <c r="R178" s="180">
        <f>SUM(Tabela2[[#This Row],[AO]]+Tabela2[[#This Row],[AD]]+Tabela2[[#This Row],[GWO]]+Tabela2[[#This Row],[GWD]])</f>
        <v>4</v>
      </c>
      <c r="S178" s="180">
        <f>Tabela2[[#This Row],[GWO]]+Tabela2[[#This Row],[GWD]]</f>
        <v>2</v>
      </c>
      <c r="T178" s="180">
        <f>SUM(Tabela2[[#This Row],[G]:[GWD]])</f>
        <v>10</v>
      </c>
    </row>
    <row r="179" spans="1:20" ht="30">
      <c r="A179" s="183">
        <v>178</v>
      </c>
      <c r="B179" s="170" t="s">
        <v>558</v>
      </c>
      <c r="C179" s="170" t="s">
        <v>557</v>
      </c>
      <c r="D179" s="170">
        <v>3</v>
      </c>
      <c r="E179" s="170" t="s">
        <v>272</v>
      </c>
      <c r="F179" s="170">
        <v>1</v>
      </c>
      <c r="G179" s="170">
        <v>1</v>
      </c>
      <c r="H179" s="170">
        <v>1</v>
      </c>
      <c r="I179" s="170">
        <v>1</v>
      </c>
      <c r="J179" s="170">
        <v>1</v>
      </c>
      <c r="K179" s="170">
        <v>1</v>
      </c>
      <c r="L179" s="170">
        <v>1</v>
      </c>
      <c r="M179" s="170">
        <v>1</v>
      </c>
      <c r="N179" s="170"/>
      <c r="O179" s="170"/>
      <c r="P179" s="170"/>
      <c r="Q179" s="180">
        <f>SUM(Tabela2[[#This Row],[G]]+Tabela2[[#This Row],[D]]+Tabela2[[#This Row],[N]]+Tabela2[[#This Row],[HM]])</f>
        <v>4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8</v>
      </c>
    </row>
    <row r="180" spans="1:20">
      <c r="A180" s="183">
        <v>179</v>
      </c>
      <c r="B180" s="170" t="s">
        <v>556</v>
      </c>
      <c r="C180" s="170" t="s">
        <v>555</v>
      </c>
      <c r="D180" s="170">
        <v>3</v>
      </c>
      <c r="E180" s="170" t="s">
        <v>272</v>
      </c>
      <c r="F180" s="170">
        <v>2</v>
      </c>
      <c r="G180" s="170">
        <v>2</v>
      </c>
      <c r="H180" s="170">
        <v>1</v>
      </c>
      <c r="I180" s="170">
        <v>2</v>
      </c>
      <c r="J180" s="170">
        <v>2</v>
      </c>
      <c r="K180" s="170">
        <v>1</v>
      </c>
      <c r="L180" s="170">
        <v>2</v>
      </c>
      <c r="M180" s="170">
        <v>1</v>
      </c>
      <c r="N180" s="170"/>
      <c r="O180" s="170"/>
      <c r="P180" s="170"/>
      <c r="Q180" s="180">
        <f>SUM(Tabela2[[#This Row],[G]]+Tabela2[[#This Row],[D]]+Tabela2[[#This Row],[N]]+Tabela2[[#This Row],[HM]])</f>
        <v>6</v>
      </c>
      <c r="R180" s="180">
        <f>SUM(Tabela2[[#This Row],[AO]]+Tabela2[[#This Row],[AD]]+Tabela2[[#This Row],[GWO]]+Tabela2[[#This Row],[GWD]])</f>
        <v>7</v>
      </c>
      <c r="S180" s="180">
        <f>Tabela2[[#This Row],[GWO]]+Tabela2[[#This Row],[GWD]]</f>
        <v>3</v>
      </c>
      <c r="T180" s="180">
        <f>SUM(Tabela2[[#This Row],[G]:[GWD]])</f>
        <v>13</v>
      </c>
    </row>
    <row r="181" spans="1:20">
      <c r="A181" s="183">
        <v>180</v>
      </c>
      <c r="B181" s="170" t="s">
        <v>554</v>
      </c>
      <c r="C181" s="170" t="s">
        <v>283</v>
      </c>
      <c r="D181" s="170">
        <v>3</v>
      </c>
      <c r="E181" s="170" t="s">
        <v>272</v>
      </c>
      <c r="F181" s="170">
        <v>1</v>
      </c>
      <c r="G181" s="170">
        <v>1</v>
      </c>
      <c r="H181" s="170">
        <v>1</v>
      </c>
      <c r="I181" s="170">
        <v>2</v>
      </c>
      <c r="J181" s="170">
        <v>1</v>
      </c>
      <c r="K181" s="170">
        <v>4</v>
      </c>
      <c r="L181" s="170">
        <v>3</v>
      </c>
      <c r="M181" s="170">
        <v>2</v>
      </c>
      <c r="N181" s="170"/>
      <c r="O181" s="170"/>
      <c r="P181" s="170"/>
      <c r="Q181" s="180">
        <f>SUM(Tabela2[[#This Row],[G]]+Tabela2[[#This Row],[D]]+Tabela2[[#This Row],[N]]+Tabela2[[#This Row],[HM]])</f>
        <v>7</v>
      </c>
      <c r="R181" s="180">
        <f>SUM(Tabela2[[#This Row],[AO]]+Tabela2[[#This Row],[AD]]+Tabela2[[#This Row],[GWO]]+Tabela2[[#This Row],[GWD]])</f>
        <v>8</v>
      </c>
      <c r="S181" s="180">
        <f>Tabela2[[#This Row],[GWO]]+Tabela2[[#This Row],[GWD]]</f>
        <v>5</v>
      </c>
      <c r="T181" s="180">
        <f>SUM(Tabela2[[#This Row],[G]:[GWD]])</f>
        <v>15</v>
      </c>
    </row>
    <row r="182" spans="1:20">
      <c r="A182" s="183">
        <v>181</v>
      </c>
      <c r="B182" s="170" t="s">
        <v>553</v>
      </c>
      <c r="C182" s="170" t="s">
        <v>552</v>
      </c>
      <c r="D182" s="170">
        <v>3</v>
      </c>
      <c r="E182" s="170" t="s">
        <v>272</v>
      </c>
      <c r="F182" s="170">
        <v>1</v>
      </c>
      <c r="G182" s="170">
        <v>1</v>
      </c>
      <c r="H182" s="170">
        <v>1</v>
      </c>
      <c r="I182" s="170">
        <v>1</v>
      </c>
      <c r="J182" s="170">
        <v>1</v>
      </c>
      <c r="K182" s="170">
        <v>1</v>
      </c>
      <c r="L182" s="170">
        <v>1</v>
      </c>
      <c r="M182" s="170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4</v>
      </c>
      <c r="S182" s="180">
        <f>Tabela2[[#This Row],[GWO]]+Tabela2[[#This Row],[GWD]]</f>
        <v>2</v>
      </c>
      <c r="T182" s="180">
        <f>SUM(Tabela2[[#This Row],[G]:[GWD]])</f>
        <v>8</v>
      </c>
    </row>
    <row r="183" spans="1:20" ht="30">
      <c r="A183" s="183">
        <v>182</v>
      </c>
      <c r="B183" s="170" t="s">
        <v>551</v>
      </c>
      <c r="C183" s="170" t="s">
        <v>550</v>
      </c>
      <c r="D183" s="170">
        <v>3</v>
      </c>
      <c r="E183" s="170" t="s">
        <v>272</v>
      </c>
      <c r="F183" s="170">
        <v>1</v>
      </c>
      <c r="G183" s="170">
        <v>1</v>
      </c>
      <c r="H183" s="170">
        <v>1</v>
      </c>
      <c r="I183" s="170">
        <v>3</v>
      </c>
      <c r="J183" s="170">
        <v>1</v>
      </c>
      <c r="K183" s="170">
        <v>3</v>
      </c>
      <c r="L183" s="170">
        <v>2</v>
      </c>
      <c r="M183" s="170">
        <v>1</v>
      </c>
      <c r="N183" s="170"/>
      <c r="O183" s="170"/>
      <c r="P183" s="170"/>
      <c r="Q183" s="180">
        <f>SUM(Tabela2[[#This Row],[G]]+Tabela2[[#This Row],[D]]+Tabela2[[#This Row],[N]]+Tabela2[[#This Row],[HM]])</f>
        <v>6</v>
      </c>
      <c r="R183" s="180">
        <f>SUM(Tabela2[[#This Row],[AO]]+Tabela2[[#This Row],[AD]]+Tabela2[[#This Row],[GWO]]+Tabela2[[#This Row],[GWD]])</f>
        <v>7</v>
      </c>
      <c r="S183" s="180">
        <f>Tabela2[[#This Row],[GWO]]+Tabela2[[#This Row],[GWD]]</f>
        <v>3</v>
      </c>
      <c r="T183" s="180">
        <f>SUM(Tabela2[[#This Row],[G]:[GWD]])</f>
        <v>13</v>
      </c>
    </row>
    <row r="184" spans="1:20">
      <c r="A184" s="183">
        <v>183</v>
      </c>
      <c r="B184" s="170" t="s">
        <v>549</v>
      </c>
      <c r="C184" s="170" t="s">
        <v>548</v>
      </c>
      <c r="D184" s="170">
        <v>3</v>
      </c>
      <c r="E184" s="170" t="s">
        <v>272</v>
      </c>
      <c r="F184" s="170">
        <v>1</v>
      </c>
      <c r="G184" s="170">
        <v>1</v>
      </c>
      <c r="H184" s="170">
        <v>3</v>
      </c>
      <c r="I184" s="170">
        <v>1</v>
      </c>
      <c r="J184" s="170">
        <v>1</v>
      </c>
      <c r="K184" s="170">
        <v>1</v>
      </c>
      <c r="L184" s="170">
        <v>1</v>
      </c>
      <c r="M184" s="170">
        <v>1</v>
      </c>
      <c r="N184" s="170"/>
      <c r="O184" s="170"/>
      <c r="P184" s="170"/>
      <c r="Q184" s="180">
        <f>SUM(Tabela2[[#This Row],[G]]+Tabela2[[#This Row],[D]]+Tabela2[[#This Row],[N]]+Tabela2[[#This Row],[HM]])</f>
        <v>6</v>
      </c>
      <c r="R184" s="180">
        <f>SUM(Tabela2[[#This Row],[AO]]+Tabela2[[#This Row],[AD]]+Tabela2[[#This Row],[GWO]]+Tabela2[[#This Row],[GWD]])</f>
        <v>4</v>
      </c>
      <c r="S184" s="180">
        <f>Tabela2[[#This Row],[GWO]]+Tabela2[[#This Row],[GWD]]</f>
        <v>2</v>
      </c>
      <c r="T184" s="180">
        <f>SUM(Tabela2[[#This Row],[G]:[GWD]])</f>
        <v>10</v>
      </c>
    </row>
    <row r="185" spans="1:20">
      <c r="A185" s="183">
        <v>184</v>
      </c>
      <c r="B185" s="170" t="s">
        <v>547</v>
      </c>
      <c r="C185" s="170" t="s">
        <v>546</v>
      </c>
      <c r="D185" s="170">
        <v>3</v>
      </c>
      <c r="E185" s="170" t="s">
        <v>272</v>
      </c>
      <c r="F185" s="170">
        <v>2</v>
      </c>
      <c r="G185" s="170">
        <v>2</v>
      </c>
      <c r="H185" s="170">
        <v>2</v>
      </c>
      <c r="I185" s="170">
        <v>2</v>
      </c>
      <c r="J185" s="170">
        <v>2</v>
      </c>
      <c r="K185" s="170">
        <v>1</v>
      </c>
      <c r="L185" s="170">
        <v>2</v>
      </c>
      <c r="M185" s="170">
        <v>1</v>
      </c>
      <c r="N185" s="170"/>
      <c r="O185" s="170"/>
      <c r="P185" s="170"/>
      <c r="Q185" s="180">
        <f>SUM(Tabela2[[#This Row],[G]]+Tabela2[[#This Row],[D]]+Tabela2[[#This Row],[N]]+Tabela2[[#This Row],[HM]])</f>
        <v>7</v>
      </c>
      <c r="R185" s="180">
        <f>SUM(Tabela2[[#This Row],[AO]]+Tabela2[[#This Row],[AD]]+Tabela2[[#This Row],[GWO]]+Tabela2[[#This Row],[GWD]])</f>
        <v>7</v>
      </c>
      <c r="S185" s="180">
        <f>Tabela2[[#This Row],[GWO]]+Tabela2[[#This Row],[GWD]]</f>
        <v>3</v>
      </c>
      <c r="T185" s="180">
        <f>SUM(Tabela2[[#This Row],[G]:[GWD]])</f>
        <v>14</v>
      </c>
    </row>
    <row r="186" spans="1:20" ht="30">
      <c r="A186" s="183">
        <v>185</v>
      </c>
      <c r="B186" s="170" t="s">
        <v>545</v>
      </c>
      <c r="C186" s="170" t="s">
        <v>544</v>
      </c>
      <c r="D186" s="170">
        <v>3</v>
      </c>
      <c r="E186" s="170" t="s">
        <v>272</v>
      </c>
      <c r="F186" s="170">
        <v>1</v>
      </c>
      <c r="G186" s="170">
        <v>1</v>
      </c>
      <c r="H186" s="170">
        <v>1</v>
      </c>
      <c r="I186" s="170">
        <v>2</v>
      </c>
      <c r="J186" s="170">
        <v>1</v>
      </c>
      <c r="K186" s="170">
        <v>1</v>
      </c>
      <c r="L186" s="170">
        <v>2</v>
      </c>
      <c r="M186" s="170">
        <v>1</v>
      </c>
      <c r="N186" s="170"/>
      <c r="O186" s="170"/>
      <c r="P186" s="170"/>
      <c r="Q186" s="180">
        <f>SUM(Tabela2[[#This Row],[G]]+Tabela2[[#This Row],[D]]+Tabela2[[#This Row],[N]]+Tabela2[[#This Row],[HM]])</f>
        <v>4</v>
      </c>
      <c r="R186" s="180">
        <f>SUM(Tabela2[[#This Row],[AO]]+Tabela2[[#This Row],[AD]]+Tabela2[[#This Row],[GWO]]+Tabela2[[#This Row],[GWD]])</f>
        <v>6</v>
      </c>
      <c r="S186" s="180">
        <f>Tabela2[[#This Row],[GWO]]+Tabela2[[#This Row],[GWD]]</f>
        <v>3</v>
      </c>
      <c r="T186" s="180">
        <f>SUM(Tabela2[[#This Row],[G]:[GWD]])</f>
        <v>10</v>
      </c>
    </row>
    <row r="187" spans="1:20" ht="30">
      <c r="A187" s="183">
        <v>186</v>
      </c>
      <c r="B187" s="170" t="s">
        <v>543</v>
      </c>
      <c r="C187" s="170" t="s">
        <v>542</v>
      </c>
      <c r="D187" s="170">
        <v>3</v>
      </c>
      <c r="E187" s="170" t="s">
        <v>272</v>
      </c>
      <c r="F187" s="170">
        <v>1</v>
      </c>
      <c r="G187" s="170">
        <v>1</v>
      </c>
      <c r="H187" s="170">
        <v>1</v>
      </c>
      <c r="I187" s="170">
        <v>1</v>
      </c>
      <c r="J187" s="170">
        <v>1</v>
      </c>
      <c r="K187" s="170">
        <v>1</v>
      </c>
      <c r="L187" s="170">
        <v>1</v>
      </c>
      <c r="M187" s="170">
        <v>1</v>
      </c>
      <c r="N187" s="170"/>
      <c r="O187" s="170"/>
      <c r="P187" s="170"/>
      <c r="Q187" s="180">
        <f>SUM(Tabela2[[#This Row],[G]]+Tabela2[[#This Row],[D]]+Tabela2[[#This Row],[N]]+Tabela2[[#This Row],[HM]])</f>
        <v>4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8</v>
      </c>
    </row>
    <row r="188" spans="1:20">
      <c r="A188" s="183">
        <v>187</v>
      </c>
      <c r="B188" s="170" t="s">
        <v>541</v>
      </c>
      <c r="C188" s="170" t="s">
        <v>540</v>
      </c>
      <c r="D188" s="170">
        <v>3</v>
      </c>
      <c r="E188" s="170" t="s">
        <v>272</v>
      </c>
      <c r="F188" s="170">
        <v>1</v>
      </c>
      <c r="G188" s="170">
        <v>1</v>
      </c>
      <c r="H188" s="170">
        <v>1</v>
      </c>
      <c r="I188" s="170">
        <v>1</v>
      </c>
      <c r="J188" s="170">
        <v>1</v>
      </c>
      <c r="K188" s="170">
        <v>1</v>
      </c>
      <c r="L188" s="170">
        <v>1</v>
      </c>
      <c r="M188" s="170">
        <v>1</v>
      </c>
      <c r="N188" s="170"/>
      <c r="O188" s="170"/>
      <c r="P188" s="170"/>
      <c r="Q188" s="180">
        <f>SUM(Tabela2[[#This Row],[G]]+Tabela2[[#This Row],[D]]+Tabela2[[#This Row],[N]]+Tabela2[[#This Row],[HM]])</f>
        <v>4</v>
      </c>
      <c r="R188" s="180">
        <f>SUM(Tabela2[[#This Row],[AO]]+Tabela2[[#This Row],[AD]]+Tabela2[[#This Row],[GWO]]+Tabela2[[#This Row],[GWD]])</f>
        <v>4</v>
      </c>
      <c r="S188" s="180">
        <f>Tabela2[[#This Row],[GWO]]+Tabela2[[#This Row],[GWD]]</f>
        <v>2</v>
      </c>
      <c r="T188" s="180">
        <f>SUM(Tabela2[[#This Row],[G]:[GWD]])</f>
        <v>8</v>
      </c>
    </row>
    <row r="189" spans="1:20">
      <c r="A189" s="183">
        <v>188</v>
      </c>
      <c r="B189" s="170" t="s">
        <v>144</v>
      </c>
      <c r="C189" s="170" t="s">
        <v>358</v>
      </c>
      <c r="D189" s="170">
        <v>3</v>
      </c>
      <c r="E189" s="170" t="s">
        <v>272</v>
      </c>
      <c r="F189" s="170">
        <v>5</v>
      </c>
      <c r="G189" s="170">
        <v>5</v>
      </c>
      <c r="H189" s="170">
        <v>4</v>
      </c>
      <c r="I189" s="170">
        <v>3</v>
      </c>
      <c r="J189" s="170">
        <v>5</v>
      </c>
      <c r="K189" s="170">
        <v>4</v>
      </c>
      <c r="L189" s="170">
        <v>5</v>
      </c>
      <c r="M189" s="170">
        <v>4</v>
      </c>
      <c r="N189" s="170"/>
      <c r="O189" s="170" t="s">
        <v>204</v>
      </c>
      <c r="P189" s="170"/>
      <c r="Q189" s="180">
        <f>SUM(Tabela2[[#This Row],[G]]+Tabela2[[#This Row],[D]]+Tabela2[[#This Row],[N]]+Tabela2[[#This Row],[HM]])</f>
        <v>18</v>
      </c>
      <c r="R189" s="180">
        <f>SUM(Tabela2[[#This Row],[AO]]+Tabela2[[#This Row],[AD]]+Tabela2[[#This Row],[GWO]]+Tabela2[[#This Row],[GWD]])</f>
        <v>17</v>
      </c>
      <c r="S189" s="180">
        <f>Tabela2[[#This Row],[GWO]]+Tabela2[[#This Row],[GWD]]</f>
        <v>9</v>
      </c>
      <c r="T189" s="180">
        <f>SUM(Tabela2[[#This Row],[G]:[GWD]])</f>
        <v>35</v>
      </c>
    </row>
    <row r="190" spans="1:20" ht="30">
      <c r="A190" s="183">
        <v>189</v>
      </c>
      <c r="B190" s="170" t="s">
        <v>539</v>
      </c>
      <c r="C190" s="170" t="s">
        <v>538</v>
      </c>
      <c r="D190" s="170">
        <v>3</v>
      </c>
      <c r="E190" s="170" t="s">
        <v>272</v>
      </c>
      <c r="F190" s="170">
        <v>1</v>
      </c>
      <c r="G190" s="170">
        <v>1</v>
      </c>
      <c r="H190" s="170">
        <v>1</v>
      </c>
      <c r="I190" s="170">
        <v>2</v>
      </c>
      <c r="J190" s="170">
        <v>1</v>
      </c>
      <c r="K190" s="170">
        <v>1</v>
      </c>
      <c r="L190" s="170">
        <v>2</v>
      </c>
      <c r="M190" s="170">
        <v>1</v>
      </c>
      <c r="N190" s="170"/>
      <c r="O190" s="170"/>
      <c r="P190" s="170"/>
      <c r="Q190" s="180">
        <f>SUM(Tabela2[[#This Row],[G]]+Tabela2[[#This Row],[D]]+Tabela2[[#This Row],[N]]+Tabela2[[#This Row],[HM]])</f>
        <v>4</v>
      </c>
      <c r="R190" s="180">
        <f>SUM(Tabela2[[#This Row],[AO]]+Tabela2[[#This Row],[AD]]+Tabela2[[#This Row],[GWO]]+Tabela2[[#This Row],[GWD]])</f>
        <v>6</v>
      </c>
      <c r="S190" s="180">
        <f>Tabela2[[#This Row],[GWO]]+Tabela2[[#This Row],[GWD]]</f>
        <v>3</v>
      </c>
      <c r="T190" s="180">
        <f>SUM(Tabela2[[#This Row],[G]:[GWD]])</f>
        <v>10</v>
      </c>
    </row>
    <row r="191" spans="1:20">
      <c r="A191" s="183">
        <v>190</v>
      </c>
      <c r="B191" s="170" t="s">
        <v>537</v>
      </c>
      <c r="C191" s="170" t="s">
        <v>536</v>
      </c>
      <c r="D191" s="170">
        <v>3</v>
      </c>
      <c r="E191" s="170" t="s">
        <v>272</v>
      </c>
      <c r="F191" s="170">
        <v>1</v>
      </c>
      <c r="G191" s="170">
        <v>1</v>
      </c>
      <c r="H191" s="170">
        <v>2</v>
      </c>
      <c r="I191" s="170">
        <v>1</v>
      </c>
      <c r="J191" s="170">
        <v>1</v>
      </c>
      <c r="K191" s="170">
        <v>1</v>
      </c>
      <c r="L191" s="170">
        <v>2</v>
      </c>
      <c r="M191" s="170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5</v>
      </c>
      <c r="S191" s="180">
        <f>Tabela2[[#This Row],[GWO]]+Tabela2[[#This Row],[GWD]]</f>
        <v>3</v>
      </c>
      <c r="T191" s="180">
        <f>SUM(Tabela2[[#This Row],[G]:[GWD]])</f>
        <v>10</v>
      </c>
    </row>
    <row r="192" spans="1:20" ht="30">
      <c r="A192" s="183">
        <v>191</v>
      </c>
      <c r="B192" s="170" t="s">
        <v>535</v>
      </c>
      <c r="C192" s="170" t="s">
        <v>534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1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4</v>
      </c>
      <c r="S192" s="180">
        <f>Tabela2[[#This Row],[GWO]]+Tabela2[[#This Row],[GWD]]</f>
        <v>2</v>
      </c>
      <c r="T192" s="180">
        <f>SUM(Tabela2[[#This Row],[G]:[GWD]])</f>
        <v>8</v>
      </c>
    </row>
    <row r="193" spans="1:20" ht="30">
      <c r="A193" s="183">
        <v>192</v>
      </c>
      <c r="B193" s="170" t="s">
        <v>533</v>
      </c>
      <c r="C193" s="170" t="s">
        <v>532</v>
      </c>
      <c r="D193" s="170">
        <v>3</v>
      </c>
      <c r="E193" s="170" t="s">
        <v>272</v>
      </c>
      <c r="F193" s="170">
        <v>1</v>
      </c>
      <c r="G193" s="170">
        <v>1</v>
      </c>
      <c r="H193" s="170">
        <v>1</v>
      </c>
      <c r="I193" s="170">
        <v>1</v>
      </c>
      <c r="J193" s="170">
        <v>1</v>
      </c>
      <c r="K193" s="170">
        <v>1</v>
      </c>
      <c r="L193" s="170">
        <v>1</v>
      </c>
      <c r="M193" s="170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4</v>
      </c>
      <c r="S193" s="180">
        <f>Tabela2[[#This Row],[GWO]]+Tabela2[[#This Row],[GWD]]</f>
        <v>2</v>
      </c>
      <c r="T193" s="180">
        <f>SUM(Tabela2[[#This Row],[G]:[GWD]])</f>
        <v>8</v>
      </c>
    </row>
    <row r="194" spans="1:20" ht="30">
      <c r="A194" s="183">
        <v>193</v>
      </c>
      <c r="B194" s="170" t="s">
        <v>531</v>
      </c>
      <c r="C194" s="170" t="s">
        <v>530</v>
      </c>
      <c r="D194" s="170">
        <v>3</v>
      </c>
      <c r="E194" s="170" t="s">
        <v>272</v>
      </c>
      <c r="F194" s="170">
        <v>1</v>
      </c>
      <c r="G194" s="170">
        <v>1</v>
      </c>
      <c r="H194" s="170">
        <v>1</v>
      </c>
      <c r="I194" s="170">
        <v>1</v>
      </c>
      <c r="J194" s="170">
        <v>1</v>
      </c>
      <c r="K194" s="170">
        <v>1</v>
      </c>
      <c r="L194" s="170">
        <v>1</v>
      </c>
      <c r="M194" s="170">
        <v>1</v>
      </c>
      <c r="N194" s="170"/>
      <c r="O194" s="170"/>
      <c r="P194" s="170"/>
      <c r="Q194" s="180">
        <f>SUM(Tabela2[[#This Row],[G]]+Tabela2[[#This Row],[D]]+Tabela2[[#This Row],[N]]+Tabela2[[#This Row],[HM]])</f>
        <v>4</v>
      </c>
      <c r="R194" s="180">
        <f>SUM(Tabela2[[#This Row],[AO]]+Tabela2[[#This Row],[AD]]+Tabela2[[#This Row],[GWO]]+Tabela2[[#This Row],[GWD]])</f>
        <v>4</v>
      </c>
      <c r="S194" s="180">
        <f>Tabela2[[#This Row],[GWO]]+Tabela2[[#This Row],[GWD]]</f>
        <v>2</v>
      </c>
      <c r="T194" s="180">
        <f>SUM(Tabela2[[#This Row],[G]:[GWD]])</f>
        <v>8</v>
      </c>
    </row>
    <row r="195" spans="1:20" ht="30">
      <c r="A195" s="183">
        <v>194</v>
      </c>
      <c r="B195" s="170" t="s">
        <v>529</v>
      </c>
      <c r="C195" s="170" t="s">
        <v>528</v>
      </c>
      <c r="D195" s="170">
        <v>3</v>
      </c>
      <c r="E195" s="170" t="s">
        <v>272</v>
      </c>
      <c r="F195" s="170">
        <v>1</v>
      </c>
      <c r="G195" s="170">
        <v>1</v>
      </c>
      <c r="H195" s="170">
        <v>1</v>
      </c>
      <c r="I195" s="170">
        <v>1</v>
      </c>
      <c r="J195" s="170">
        <v>1</v>
      </c>
      <c r="K195" s="170">
        <v>2</v>
      </c>
      <c r="L195" s="170">
        <v>1</v>
      </c>
      <c r="M195" s="170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195</v>
      </c>
      <c r="B196" s="170" t="s">
        <v>527</v>
      </c>
      <c r="C196" s="170" t="s">
        <v>526</v>
      </c>
      <c r="D196" s="170">
        <v>3</v>
      </c>
      <c r="E196" s="170" t="s">
        <v>272</v>
      </c>
      <c r="F196" s="170">
        <v>1</v>
      </c>
      <c r="G196" s="170">
        <v>1</v>
      </c>
      <c r="H196" s="170">
        <v>1</v>
      </c>
      <c r="I196" s="170">
        <v>1</v>
      </c>
      <c r="J196" s="170">
        <v>1</v>
      </c>
      <c r="K196" s="170">
        <v>1</v>
      </c>
      <c r="L196" s="170">
        <v>1</v>
      </c>
      <c r="M196" s="170">
        <v>1</v>
      </c>
      <c r="N196" s="170"/>
      <c r="O196" s="170"/>
      <c r="P196" s="170"/>
      <c r="Q196" s="180">
        <f>SUM(Tabela2[[#This Row],[G]]+Tabela2[[#This Row],[D]]+Tabela2[[#This Row],[N]]+Tabela2[[#This Row],[HM]])</f>
        <v>4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8</v>
      </c>
    </row>
    <row r="197" spans="1:20">
      <c r="A197" s="183">
        <v>196</v>
      </c>
      <c r="B197" s="170" t="s">
        <v>525</v>
      </c>
      <c r="C197" s="170" t="s">
        <v>284</v>
      </c>
      <c r="D197" s="170">
        <v>3</v>
      </c>
      <c r="E197" s="170" t="s">
        <v>272</v>
      </c>
      <c r="F197" s="170">
        <v>1</v>
      </c>
      <c r="G197" s="170">
        <v>1</v>
      </c>
      <c r="H197" s="170">
        <v>1</v>
      </c>
      <c r="I197" s="170">
        <v>1</v>
      </c>
      <c r="J197" s="170">
        <v>1</v>
      </c>
      <c r="K197" s="170">
        <v>1</v>
      </c>
      <c r="L197" s="170">
        <v>1</v>
      </c>
      <c r="M197" s="170">
        <v>1</v>
      </c>
      <c r="N197" s="170"/>
      <c r="O197" s="170"/>
      <c r="P197" s="170"/>
      <c r="Q197" s="180">
        <f>SUM(Tabela2[[#This Row],[G]]+Tabela2[[#This Row],[D]]+Tabela2[[#This Row],[N]]+Tabela2[[#This Row],[HM]])</f>
        <v>4</v>
      </c>
      <c r="R197" s="180">
        <f>SUM(Tabela2[[#This Row],[AO]]+Tabela2[[#This Row],[AD]]+Tabela2[[#This Row],[GWO]]+Tabela2[[#This Row],[GWD]])</f>
        <v>4</v>
      </c>
      <c r="S197" s="180">
        <f>Tabela2[[#This Row],[GWO]]+Tabela2[[#This Row],[GWD]]</f>
        <v>2</v>
      </c>
      <c r="T197" s="180">
        <f>SUM(Tabela2[[#This Row],[G]:[GWD]])</f>
        <v>8</v>
      </c>
    </row>
    <row r="198" spans="1:20">
      <c r="A198" s="183">
        <v>197</v>
      </c>
      <c r="B198" s="170" t="s">
        <v>145</v>
      </c>
      <c r="C198" s="170" t="s">
        <v>267</v>
      </c>
      <c r="D198" s="170">
        <v>3</v>
      </c>
      <c r="E198" s="170" t="s">
        <v>272</v>
      </c>
      <c r="F198" s="170">
        <v>4</v>
      </c>
      <c r="G198" s="170">
        <v>2</v>
      </c>
      <c r="H198" s="170">
        <v>1</v>
      </c>
      <c r="I198" s="170">
        <v>3</v>
      </c>
      <c r="J198" s="170">
        <v>4</v>
      </c>
      <c r="K198" s="170">
        <v>3</v>
      </c>
      <c r="L198" s="170">
        <v>4</v>
      </c>
      <c r="M198" s="170">
        <v>4</v>
      </c>
      <c r="N198" s="170"/>
      <c r="O198" s="170" t="s">
        <v>204</v>
      </c>
      <c r="P198" s="170"/>
      <c r="Q198" s="180">
        <f>SUM(Tabela2[[#This Row],[G]]+Tabela2[[#This Row],[D]]+Tabela2[[#This Row],[N]]+Tabela2[[#This Row],[HM]])</f>
        <v>10</v>
      </c>
      <c r="R198" s="180">
        <f>SUM(Tabela2[[#This Row],[AO]]+Tabela2[[#This Row],[AD]]+Tabela2[[#This Row],[GWO]]+Tabela2[[#This Row],[GWD]])</f>
        <v>15</v>
      </c>
      <c r="S198" s="180">
        <f>Tabela2[[#This Row],[GWO]]+Tabela2[[#This Row],[GWD]]</f>
        <v>8</v>
      </c>
      <c r="T198" s="180">
        <f>SUM(Tabela2[[#This Row],[G]:[GWD]])</f>
        <v>25</v>
      </c>
    </row>
    <row r="199" spans="1:20">
      <c r="A199" s="183">
        <v>198</v>
      </c>
      <c r="B199" s="170" t="s">
        <v>524</v>
      </c>
      <c r="C199" s="170" t="s">
        <v>523</v>
      </c>
      <c r="D199" s="170">
        <v>3</v>
      </c>
      <c r="E199" s="170" t="s">
        <v>272</v>
      </c>
      <c r="F199" s="170">
        <v>1</v>
      </c>
      <c r="G199" s="170">
        <v>1</v>
      </c>
      <c r="H199" s="170">
        <v>1</v>
      </c>
      <c r="I199" s="170">
        <v>1</v>
      </c>
      <c r="J199" s="170">
        <v>1</v>
      </c>
      <c r="K199" s="170">
        <v>1</v>
      </c>
      <c r="L199" s="170">
        <v>1</v>
      </c>
      <c r="M199" s="170">
        <v>1</v>
      </c>
      <c r="N199" s="170"/>
      <c r="O199" s="170"/>
      <c r="P199" s="170"/>
      <c r="Q199" s="180">
        <f>SUM(Tabela2[[#This Row],[G]]+Tabela2[[#This Row],[D]]+Tabela2[[#This Row],[N]]+Tabela2[[#This Row],[HM]])</f>
        <v>4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8</v>
      </c>
    </row>
    <row r="200" spans="1:20">
      <c r="A200" s="183">
        <v>199</v>
      </c>
      <c r="B200" s="170" t="s">
        <v>522</v>
      </c>
      <c r="C200" s="170" t="s">
        <v>521</v>
      </c>
      <c r="D200" s="170">
        <v>3</v>
      </c>
      <c r="E200" s="170" t="s">
        <v>272</v>
      </c>
      <c r="F200" s="170">
        <v>1</v>
      </c>
      <c r="G200" s="170">
        <v>2</v>
      </c>
      <c r="H200" s="170">
        <v>4</v>
      </c>
      <c r="I200" s="170">
        <v>3</v>
      </c>
      <c r="J200" s="170">
        <v>4</v>
      </c>
      <c r="K200" s="170">
        <v>1</v>
      </c>
      <c r="L200" s="170">
        <v>4</v>
      </c>
      <c r="M200" s="170">
        <v>3</v>
      </c>
      <c r="N200" s="170"/>
      <c r="O200" s="170"/>
      <c r="P200" s="194" t="s">
        <v>204</v>
      </c>
      <c r="Q200" s="180">
        <f>SUM(Tabela2[[#This Row],[G]]+Tabela2[[#This Row],[D]]+Tabela2[[#This Row],[N]]+Tabela2[[#This Row],[HM]])</f>
        <v>8</v>
      </c>
      <c r="R200" s="180">
        <f>SUM(Tabela2[[#This Row],[AO]]+Tabela2[[#This Row],[AD]]+Tabela2[[#This Row],[GWO]]+Tabela2[[#This Row],[GWD]])</f>
        <v>14</v>
      </c>
      <c r="S200" s="180">
        <f>Tabela2[[#This Row],[GWO]]+Tabela2[[#This Row],[GWD]]</f>
        <v>7</v>
      </c>
      <c r="T200" s="180">
        <f>SUM(Tabela2[[#This Row],[G]:[GWD]])</f>
        <v>22</v>
      </c>
    </row>
    <row r="201" spans="1:20">
      <c r="A201" s="183">
        <v>200</v>
      </c>
      <c r="B201" s="176" t="s">
        <v>520</v>
      </c>
      <c r="C201" s="175" t="s">
        <v>419</v>
      </c>
      <c r="D201" s="175">
        <v>4</v>
      </c>
      <c r="E201" s="175" t="s">
        <v>18</v>
      </c>
      <c r="F201" s="175">
        <v>1</v>
      </c>
      <c r="G201" s="175">
        <v>3</v>
      </c>
      <c r="H201" s="175">
        <v>3</v>
      </c>
      <c r="I201" s="175">
        <v>3</v>
      </c>
      <c r="J201" s="175">
        <v>1</v>
      </c>
      <c r="K201" s="175">
        <v>1</v>
      </c>
      <c r="L201" s="175">
        <v>3</v>
      </c>
      <c r="M201" s="175">
        <v>1</v>
      </c>
      <c r="N201" s="170"/>
      <c r="O201" s="170"/>
      <c r="P201" s="170"/>
      <c r="Q201" s="180">
        <f>SUM(Tabela2[[#This Row],[G]]+Tabela2[[#This Row],[D]]+Tabela2[[#This Row],[N]]+Tabela2[[#This Row],[HM]])</f>
        <v>8</v>
      </c>
      <c r="R201" s="180">
        <f>SUM(Tabela2[[#This Row],[AO]]+Tabela2[[#This Row],[AD]]+Tabela2[[#This Row],[GWO]]+Tabela2[[#This Row],[GWD]])</f>
        <v>8</v>
      </c>
      <c r="S201" s="180">
        <f>Tabela2[[#This Row],[GWO]]+Tabela2[[#This Row],[GWD]]</f>
        <v>4</v>
      </c>
      <c r="T201" s="180">
        <f>SUM(Tabela2[[#This Row],[G]:[GWD]])</f>
        <v>16</v>
      </c>
    </row>
    <row r="202" spans="1:20" ht="30">
      <c r="A202" s="183">
        <v>201</v>
      </c>
      <c r="B202" s="176" t="s">
        <v>519</v>
      </c>
      <c r="C202" s="175" t="s">
        <v>441</v>
      </c>
      <c r="D202" s="175">
        <v>4</v>
      </c>
      <c r="E202" s="175" t="s">
        <v>18</v>
      </c>
      <c r="F202" s="175">
        <v>1</v>
      </c>
      <c r="G202" s="175">
        <v>1</v>
      </c>
      <c r="H202" s="175">
        <v>2</v>
      </c>
      <c r="I202" s="175">
        <v>3</v>
      </c>
      <c r="J202" s="175">
        <v>1</v>
      </c>
      <c r="K202" s="175">
        <v>1</v>
      </c>
      <c r="L202" s="175">
        <v>3</v>
      </c>
      <c r="M202" s="175">
        <v>1</v>
      </c>
      <c r="N202" s="170"/>
      <c r="O202" s="170"/>
      <c r="P202" s="170"/>
      <c r="Q202" s="180">
        <f>SUM(Tabela2[[#This Row],[G]]+Tabela2[[#This Row],[D]]+Tabela2[[#This Row],[N]]+Tabela2[[#This Row],[HM]])</f>
        <v>5</v>
      </c>
      <c r="R202" s="180">
        <f>SUM(Tabela2[[#This Row],[AO]]+Tabela2[[#This Row],[AD]]+Tabela2[[#This Row],[GWO]]+Tabela2[[#This Row],[GWD]])</f>
        <v>8</v>
      </c>
      <c r="S202" s="180">
        <f>Tabela2[[#This Row],[GWO]]+Tabela2[[#This Row],[GWD]]</f>
        <v>4</v>
      </c>
      <c r="T202" s="180">
        <f>SUM(Tabela2[[#This Row],[G]:[GWD]])</f>
        <v>13</v>
      </c>
    </row>
    <row r="203" spans="1:20" ht="30">
      <c r="A203" s="183">
        <v>202</v>
      </c>
      <c r="B203" s="175" t="s">
        <v>518</v>
      </c>
      <c r="C203" s="175" t="s">
        <v>415</v>
      </c>
      <c r="D203" s="175">
        <v>4</v>
      </c>
      <c r="E203" s="175" t="s">
        <v>18</v>
      </c>
      <c r="F203" s="175">
        <v>1</v>
      </c>
      <c r="G203" s="175">
        <v>1</v>
      </c>
      <c r="H203" s="175">
        <v>1</v>
      </c>
      <c r="I203" s="175">
        <v>2</v>
      </c>
      <c r="J203" s="175">
        <v>3</v>
      </c>
      <c r="K203" s="175">
        <v>3</v>
      </c>
      <c r="L203" s="175">
        <v>3</v>
      </c>
      <c r="M203" s="175">
        <v>3</v>
      </c>
      <c r="N203" s="170"/>
      <c r="O203" s="170"/>
      <c r="P203" s="170"/>
      <c r="Q203" s="180">
        <f>SUM(Tabela2[[#This Row],[G]]+Tabela2[[#This Row],[D]]+Tabela2[[#This Row],[N]]+Tabela2[[#This Row],[HM]])</f>
        <v>6</v>
      </c>
      <c r="R203" s="180">
        <f>SUM(Tabela2[[#This Row],[AO]]+Tabela2[[#This Row],[AD]]+Tabela2[[#This Row],[GWO]]+Tabela2[[#This Row],[GWD]])</f>
        <v>11</v>
      </c>
      <c r="S203" s="180">
        <f>Tabela2[[#This Row],[GWO]]+Tabela2[[#This Row],[GWD]]</f>
        <v>6</v>
      </c>
      <c r="T203" s="180">
        <f>SUM(Tabela2[[#This Row],[G]:[GWD]])</f>
        <v>17</v>
      </c>
    </row>
    <row r="204" spans="1:20" ht="30">
      <c r="A204" s="183">
        <v>203</v>
      </c>
      <c r="B204" s="175" t="s">
        <v>517</v>
      </c>
      <c r="C204" s="175" t="s">
        <v>357</v>
      </c>
      <c r="D204" s="175">
        <v>4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2</v>
      </c>
      <c r="J204" s="175">
        <v>2</v>
      </c>
      <c r="K204" s="175">
        <v>1</v>
      </c>
      <c r="L204" s="175">
        <v>4</v>
      </c>
      <c r="M204" s="175">
        <v>3</v>
      </c>
      <c r="N204" s="170"/>
      <c r="O204" s="170" t="s">
        <v>204</v>
      </c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11</v>
      </c>
      <c r="S204" s="180">
        <f>Tabela2[[#This Row],[GWO]]+Tabela2[[#This Row],[GWD]]</f>
        <v>7</v>
      </c>
      <c r="T204" s="180">
        <f>SUM(Tabela2[[#This Row],[G]:[GWD]])</f>
        <v>15</v>
      </c>
    </row>
    <row r="205" spans="1:20" ht="30">
      <c r="A205" s="183">
        <v>204</v>
      </c>
      <c r="B205" s="175" t="s">
        <v>516</v>
      </c>
      <c r="C205" s="175" t="s">
        <v>412</v>
      </c>
      <c r="D205" s="175">
        <v>4</v>
      </c>
      <c r="E205" s="175" t="s">
        <v>18</v>
      </c>
      <c r="F205" s="175">
        <v>1</v>
      </c>
      <c r="G205" s="175">
        <v>1</v>
      </c>
      <c r="H205" s="175">
        <v>1</v>
      </c>
      <c r="I205" s="175">
        <v>3</v>
      </c>
      <c r="J205" s="175">
        <v>5</v>
      </c>
      <c r="K205" s="175">
        <v>3</v>
      </c>
      <c r="L205" s="175">
        <v>4</v>
      </c>
      <c r="M205" s="175">
        <v>4</v>
      </c>
      <c r="N205" s="170"/>
      <c r="O205" s="170"/>
      <c r="P205" s="170"/>
      <c r="Q205" s="180">
        <f>SUM(Tabela2[[#This Row],[G]]+Tabela2[[#This Row],[D]]+Tabela2[[#This Row],[N]]+Tabela2[[#This Row],[HM]])</f>
        <v>6</v>
      </c>
      <c r="R205" s="180">
        <f>SUM(Tabela2[[#This Row],[AO]]+Tabela2[[#This Row],[AD]]+Tabela2[[#This Row],[GWO]]+Tabela2[[#This Row],[GWD]])</f>
        <v>16</v>
      </c>
      <c r="S205" s="180">
        <f>Tabela2[[#This Row],[GWO]]+Tabela2[[#This Row],[GWD]]</f>
        <v>8</v>
      </c>
      <c r="T205" s="180">
        <f>SUM(Tabela2[[#This Row],[G]:[GWD]])</f>
        <v>22</v>
      </c>
    </row>
    <row r="206" spans="1:20">
      <c r="A206" s="183">
        <v>205</v>
      </c>
      <c r="B206" s="175" t="s">
        <v>515</v>
      </c>
      <c r="C206" s="175" t="s">
        <v>210</v>
      </c>
      <c r="D206" s="175">
        <v>4</v>
      </c>
      <c r="E206" s="175" t="s">
        <v>18</v>
      </c>
      <c r="F206" s="175">
        <v>1</v>
      </c>
      <c r="G206" s="175">
        <v>1</v>
      </c>
      <c r="H206" s="175">
        <v>1</v>
      </c>
      <c r="I206" s="175">
        <v>3</v>
      </c>
      <c r="J206" s="175">
        <v>1</v>
      </c>
      <c r="K206" s="175">
        <v>1</v>
      </c>
      <c r="L206" s="175">
        <v>3</v>
      </c>
      <c r="M206" s="175">
        <v>1</v>
      </c>
      <c r="N206" s="175" t="s">
        <v>445</v>
      </c>
      <c r="O206" s="175"/>
      <c r="P206" s="175"/>
      <c r="Q206" s="184">
        <f>SUM(Tabela2[[#This Row],[G]]+Tabela2[[#This Row],[D]]+Tabela2[[#This Row],[N]]+Tabela2[[#This Row],[HM]])</f>
        <v>4</v>
      </c>
      <c r="R206" s="184">
        <f>SUM(Tabela2[[#This Row],[AO]]+Tabela2[[#This Row],[AD]]+Tabela2[[#This Row],[GWO]]+Tabela2[[#This Row],[GWD]])</f>
        <v>8</v>
      </c>
      <c r="S206" s="184">
        <f>Tabela2[[#This Row],[GWO]]+Tabela2[[#This Row],[GWD]]</f>
        <v>4</v>
      </c>
      <c r="T206" s="180">
        <f>SUM(Tabela2[[#This Row],[G]:[GWD]])</f>
        <v>12</v>
      </c>
    </row>
    <row r="207" spans="1:20" ht="30">
      <c r="A207" s="183">
        <v>206</v>
      </c>
      <c r="B207" s="175" t="s">
        <v>514</v>
      </c>
      <c r="C207" s="175" t="s">
        <v>409</v>
      </c>
      <c r="D207" s="175">
        <v>4</v>
      </c>
      <c r="E207" s="175" t="s">
        <v>18</v>
      </c>
      <c r="F207" s="175">
        <v>1</v>
      </c>
      <c r="G207" s="175">
        <v>1</v>
      </c>
      <c r="H207" s="175">
        <v>4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7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11</v>
      </c>
    </row>
    <row r="208" spans="1:20" ht="30">
      <c r="A208" s="183">
        <v>207</v>
      </c>
      <c r="B208" s="175" t="s">
        <v>513</v>
      </c>
      <c r="C208" s="175" t="s">
        <v>407</v>
      </c>
      <c r="D208" s="175">
        <v>4</v>
      </c>
      <c r="E208" s="175" t="s">
        <v>18</v>
      </c>
      <c r="F208" s="175">
        <v>1</v>
      </c>
      <c r="G208" s="175">
        <v>1</v>
      </c>
      <c r="H208" s="175">
        <v>3</v>
      </c>
      <c r="I208" s="175">
        <v>1</v>
      </c>
      <c r="J208" s="175">
        <v>1</v>
      </c>
      <c r="K208" s="175">
        <v>1</v>
      </c>
      <c r="L208" s="175">
        <v>1</v>
      </c>
      <c r="M208" s="175">
        <v>1</v>
      </c>
      <c r="N208" s="170"/>
      <c r="O208" s="170"/>
      <c r="P208" s="170"/>
      <c r="Q208" s="180">
        <f>SUM(Tabela2[[#This Row],[G]]+Tabela2[[#This Row],[D]]+Tabela2[[#This Row],[N]]+Tabela2[[#This Row],[HM]])</f>
        <v>6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10</v>
      </c>
    </row>
    <row r="209" spans="1:20">
      <c r="A209" s="183">
        <v>208</v>
      </c>
      <c r="B209" s="175" t="s">
        <v>512</v>
      </c>
      <c r="C209" s="175" t="s">
        <v>405</v>
      </c>
      <c r="D209" s="175">
        <v>4</v>
      </c>
      <c r="E209" s="175" t="s">
        <v>18</v>
      </c>
      <c r="F209" s="175">
        <v>1</v>
      </c>
      <c r="G209" s="175">
        <v>1</v>
      </c>
      <c r="H209" s="175">
        <v>1</v>
      </c>
      <c r="I209" s="175">
        <v>1</v>
      </c>
      <c r="J209" s="175">
        <v>1</v>
      </c>
      <c r="K209" s="175">
        <v>1</v>
      </c>
      <c r="L209" s="175">
        <v>1</v>
      </c>
      <c r="M209" s="175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 ht="30">
      <c r="A210" s="183">
        <v>209</v>
      </c>
      <c r="B210" s="175" t="s">
        <v>511</v>
      </c>
      <c r="C210" s="175" t="s">
        <v>403</v>
      </c>
      <c r="D210" s="175">
        <v>4</v>
      </c>
      <c r="E210" s="175" t="s">
        <v>18</v>
      </c>
      <c r="F210" s="175">
        <v>1</v>
      </c>
      <c r="G210" s="175">
        <v>2</v>
      </c>
      <c r="H210" s="175">
        <v>2</v>
      </c>
      <c r="I210" s="175">
        <v>3</v>
      </c>
      <c r="J210" s="175">
        <v>1</v>
      </c>
      <c r="K210" s="175">
        <v>1</v>
      </c>
      <c r="L210" s="175">
        <v>3</v>
      </c>
      <c r="M210" s="175">
        <v>1</v>
      </c>
      <c r="N210" s="170"/>
      <c r="O210" s="170"/>
      <c r="P210" s="170"/>
      <c r="Q210" s="180">
        <f>SUM(Tabela2[[#This Row],[G]]+Tabela2[[#This Row],[D]]+Tabela2[[#This Row],[N]]+Tabela2[[#This Row],[HM]])</f>
        <v>6</v>
      </c>
      <c r="R210" s="180">
        <f>SUM(Tabela2[[#This Row],[AO]]+Tabela2[[#This Row],[AD]]+Tabela2[[#This Row],[GWO]]+Tabela2[[#This Row],[GWD]])</f>
        <v>8</v>
      </c>
      <c r="S210" s="180">
        <f>Tabela2[[#This Row],[GWO]]+Tabela2[[#This Row],[GWD]]</f>
        <v>4</v>
      </c>
      <c r="T210" s="180">
        <f>SUM(Tabela2[[#This Row],[G]:[GWD]])</f>
        <v>14</v>
      </c>
    </row>
    <row r="211" spans="1:20">
      <c r="A211" s="183">
        <v>210</v>
      </c>
      <c r="B211" s="175" t="s">
        <v>510</v>
      </c>
      <c r="C211" s="175" t="s">
        <v>398</v>
      </c>
      <c r="D211" s="175">
        <v>4</v>
      </c>
      <c r="E211" s="175" t="s">
        <v>18</v>
      </c>
      <c r="F211" s="175">
        <v>1</v>
      </c>
      <c r="G211" s="175">
        <v>3</v>
      </c>
      <c r="H211" s="175">
        <v>1</v>
      </c>
      <c r="I211" s="175">
        <v>3</v>
      </c>
      <c r="J211" s="175">
        <v>3</v>
      </c>
      <c r="K211" s="175">
        <v>2</v>
      </c>
      <c r="L211" s="175">
        <v>3</v>
      </c>
      <c r="M211" s="175">
        <v>2</v>
      </c>
      <c r="N211" s="170"/>
      <c r="O211" s="170"/>
      <c r="P211" s="170"/>
      <c r="Q211" s="180">
        <f>SUM(Tabela2[[#This Row],[G]]+Tabela2[[#This Row],[D]]+Tabela2[[#This Row],[N]]+Tabela2[[#This Row],[HM]])</f>
        <v>7</v>
      </c>
      <c r="R211" s="180">
        <f>SUM(Tabela2[[#This Row],[AO]]+Tabela2[[#This Row],[AD]]+Tabela2[[#This Row],[GWO]]+Tabela2[[#This Row],[GWD]])</f>
        <v>11</v>
      </c>
      <c r="S211" s="180">
        <f>Tabela2[[#This Row],[GWO]]+Tabela2[[#This Row],[GWD]]</f>
        <v>5</v>
      </c>
      <c r="T211" s="180">
        <f>SUM(Tabela2[[#This Row],[G]:[GWD]])</f>
        <v>18</v>
      </c>
    </row>
    <row r="212" spans="1:20" ht="30">
      <c r="A212" s="183">
        <v>211</v>
      </c>
      <c r="B212" s="175" t="s">
        <v>509</v>
      </c>
      <c r="C212" s="175" t="s">
        <v>396</v>
      </c>
      <c r="D212" s="175">
        <v>4</v>
      </c>
      <c r="E212" s="175" t="s">
        <v>18</v>
      </c>
      <c r="F212" s="175">
        <v>1</v>
      </c>
      <c r="G212" s="175">
        <v>4</v>
      </c>
      <c r="H212" s="175">
        <v>3</v>
      </c>
      <c r="I212" s="175">
        <v>3</v>
      </c>
      <c r="J212" s="175">
        <v>2</v>
      </c>
      <c r="K212" s="175">
        <v>1</v>
      </c>
      <c r="L212" s="175">
        <v>3</v>
      </c>
      <c r="M212" s="175">
        <v>2</v>
      </c>
      <c r="N212" s="170"/>
      <c r="O212" s="170"/>
      <c r="P212" s="170"/>
      <c r="Q212" s="180">
        <f>SUM(Tabela2[[#This Row],[G]]+Tabela2[[#This Row],[D]]+Tabela2[[#This Row],[N]]+Tabela2[[#This Row],[HM]])</f>
        <v>9</v>
      </c>
      <c r="R212" s="180">
        <f>SUM(Tabela2[[#This Row],[AO]]+Tabela2[[#This Row],[AD]]+Tabela2[[#This Row],[GWO]]+Tabela2[[#This Row],[GWD]])</f>
        <v>10</v>
      </c>
      <c r="S212" s="180">
        <f>Tabela2[[#This Row],[GWO]]+Tabela2[[#This Row],[GWD]]</f>
        <v>5</v>
      </c>
      <c r="T212" s="180">
        <f>SUM(Tabela2[[#This Row],[G]:[GWD]])</f>
        <v>19</v>
      </c>
    </row>
    <row r="213" spans="1:20" ht="30">
      <c r="A213" s="183">
        <v>212</v>
      </c>
      <c r="B213" s="175" t="s">
        <v>508</v>
      </c>
      <c r="C213" s="175" t="s">
        <v>394</v>
      </c>
      <c r="D213" s="175">
        <v>4</v>
      </c>
      <c r="E213" s="175" t="s">
        <v>18</v>
      </c>
      <c r="F213" s="175">
        <v>1</v>
      </c>
      <c r="G213" s="175">
        <v>3</v>
      </c>
      <c r="H213" s="175">
        <v>3</v>
      </c>
      <c r="I213" s="175">
        <v>3</v>
      </c>
      <c r="J213" s="175">
        <v>1</v>
      </c>
      <c r="K213" s="175">
        <v>1</v>
      </c>
      <c r="L213" s="175">
        <v>3</v>
      </c>
      <c r="M213" s="175">
        <v>1</v>
      </c>
      <c r="N213" s="170"/>
      <c r="O213" s="170"/>
      <c r="P213" s="170"/>
      <c r="Q213" s="180">
        <f>SUM(Tabela2[[#This Row],[G]]+Tabela2[[#This Row],[D]]+Tabela2[[#This Row],[N]]+Tabela2[[#This Row],[HM]])</f>
        <v>8</v>
      </c>
      <c r="R213" s="180">
        <f>SUM(Tabela2[[#This Row],[AO]]+Tabela2[[#This Row],[AD]]+Tabela2[[#This Row],[GWO]]+Tabela2[[#This Row],[GWD]])</f>
        <v>8</v>
      </c>
      <c r="S213" s="180">
        <f>Tabela2[[#This Row],[GWO]]+Tabela2[[#This Row],[GWD]]</f>
        <v>4</v>
      </c>
      <c r="T213" s="180">
        <f>SUM(Tabela2[[#This Row],[G]:[GWD]])</f>
        <v>16</v>
      </c>
    </row>
    <row r="214" spans="1:20" ht="30">
      <c r="A214" s="183">
        <v>213</v>
      </c>
      <c r="B214" s="175" t="s">
        <v>507</v>
      </c>
      <c r="C214" s="175" t="s">
        <v>392</v>
      </c>
      <c r="D214" s="175">
        <v>4</v>
      </c>
      <c r="E214" s="175" t="s">
        <v>18</v>
      </c>
      <c r="F214" s="175">
        <v>1</v>
      </c>
      <c r="G214" s="175">
        <v>1</v>
      </c>
      <c r="H214" s="175">
        <v>5</v>
      </c>
      <c r="I214" s="175">
        <v>3</v>
      </c>
      <c r="J214" s="175">
        <v>1</v>
      </c>
      <c r="K214" s="175">
        <v>1</v>
      </c>
      <c r="L214" s="175">
        <v>3</v>
      </c>
      <c r="M214" s="175">
        <v>1</v>
      </c>
      <c r="N214" s="173"/>
      <c r="O214" s="173"/>
      <c r="P214" s="173"/>
      <c r="Q214" s="181">
        <f>SUM(Tabela2[[#This Row],[G]]+Tabela2[[#This Row],[D]]+Tabela2[[#This Row],[N]]+Tabela2[[#This Row],[HM]])</f>
        <v>8</v>
      </c>
      <c r="R214" s="181">
        <f>SUM(Tabela2[[#This Row],[AO]]+Tabela2[[#This Row],[AD]]+Tabela2[[#This Row],[GWO]]+Tabela2[[#This Row],[GWD]])</f>
        <v>8</v>
      </c>
      <c r="S214" s="181">
        <f>Tabela2[[#This Row],[GWO]]+Tabela2[[#This Row],[GWD]]</f>
        <v>4</v>
      </c>
      <c r="T214" s="181">
        <f>SUM(Tabela2[[#This Row],[G]:[GWD]])</f>
        <v>16</v>
      </c>
    </row>
    <row r="215" spans="1:20">
      <c r="A215" s="183">
        <v>214</v>
      </c>
      <c r="B215" s="175" t="s">
        <v>506</v>
      </c>
      <c r="C215" s="175" t="s">
        <v>215</v>
      </c>
      <c r="D215" s="175">
        <v>4</v>
      </c>
      <c r="E215" s="175" t="s">
        <v>18</v>
      </c>
      <c r="F215" s="175">
        <v>1</v>
      </c>
      <c r="G215" s="175">
        <v>1</v>
      </c>
      <c r="H215" s="175">
        <v>1</v>
      </c>
      <c r="I215" s="175">
        <v>1</v>
      </c>
      <c r="J215" s="175">
        <v>1</v>
      </c>
      <c r="K215" s="175">
        <v>1</v>
      </c>
      <c r="L215" s="175">
        <v>1</v>
      </c>
      <c r="M215" s="175">
        <v>1</v>
      </c>
      <c r="N215" s="170"/>
      <c r="O215" s="170"/>
      <c r="P215" s="170"/>
      <c r="Q215" s="180">
        <f>SUM(Tabela2[[#This Row],[G]]+Tabela2[[#This Row],[D]]+Tabela2[[#This Row],[N]]+Tabela2[[#This Row],[HM]])</f>
        <v>4</v>
      </c>
      <c r="R215" s="180">
        <f>SUM(Tabela2[[#This Row],[AO]]+Tabela2[[#This Row],[AD]]+Tabela2[[#This Row],[GWO]]+Tabela2[[#This Row],[GWD]])</f>
        <v>4</v>
      </c>
      <c r="S215" s="180">
        <f>Tabela2[[#This Row],[GWO]]+Tabela2[[#This Row],[GWD]]</f>
        <v>2</v>
      </c>
      <c r="T215" s="180">
        <f>SUM(Tabela2[[#This Row],[G]:[GWD]])</f>
        <v>8</v>
      </c>
    </row>
    <row r="216" spans="1:20" ht="30">
      <c r="A216" s="183">
        <v>215</v>
      </c>
      <c r="B216" s="175" t="s">
        <v>505</v>
      </c>
      <c r="C216" s="175" t="s">
        <v>344</v>
      </c>
      <c r="D216" s="175">
        <v>4</v>
      </c>
      <c r="E216" s="175" t="s">
        <v>18</v>
      </c>
      <c r="F216" s="175">
        <v>1</v>
      </c>
      <c r="G216" s="175">
        <v>2</v>
      </c>
      <c r="H216" s="175">
        <v>1</v>
      </c>
      <c r="I216" s="175">
        <v>3</v>
      </c>
      <c r="J216" s="175">
        <v>1</v>
      </c>
      <c r="K216" s="175">
        <v>1</v>
      </c>
      <c r="L216" s="175">
        <v>4</v>
      </c>
      <c r="M216" s="175">
        <v>1</v>
      </c>
      <c r="N216" s="170"/>
      <c r="O216" s="170"/>
      <c r="P216" s="170"/>
      <c r="Q216" s="180">
        <f>SUM(Tabela2[[#This Row],[G]]+Tabela2[[#This Row],[D]]+Tabela2[[#This Row],[N]]+Tabela2[[#This Row],[HM]])</f>
        <v>5</v>
      </c>
      <c r="R216" s="180">
        <f>SUM(Tabela2[[#This Row],[AO]]+Tabela2[[#This Row],[AD]]+Tabela2[[#This Row],[GWO]]+Tabela2[[#This Row],[GWD]])</f>
        <v>9</v>
      </c>
      <c r="S216" s="180">
        <f>Tabela2[[#This Row],[GWO]]+Tabela2[[#This Row],[GWD]]</f>
        <v>5</v>
      </c>
      <c r="T216" s="180">
        <f>SUM(Tabela2[[#This Row],[G]:[GWD]])</f>
        <v>14</v>
      </c>
    </row>
    <row r="217" spans="1:20">
      <c r="A217" s="183">
        <v>216</v>
      </c>
      <c r="B217" s="175" t="s">
        <v>504</v>
      </c>
      <c r="C217" s="175" t="s">
        <v>388</v>
      </c>
      <c r="D217" s="175">
        <v>4</v>
      </c>
      <c r="E217" s="175" t="s">
        <v>18</v>
      </c>
      <c r="F217" s="175">
        <v>1</v>
      </c>
      <c r="G217" s="175">
        <v>3</v>
      </c>
      <c r="H217" s="175">
        <v>3</v>
      </c>
      <c r="I217" s="175">
        <v>3</v>
      </c>
      <c r="J217" s="175">
        <v>1</v>
      </c>
      <c r="K217" s="175">
        <v>2</v>
      </c>
      <c r="L217" s="175">
        <v>2</v>
      </c>
      <c r="M217" s="175">
        <v>1</v>
      </c>
      <c r="N217" s="170"/>
      <c r="O217" s="170"/>
      <c r="P217" s="170"/>
      <c r="Q217" s="180">
        <f>SUM(Tabela2[[#This Row],[G]]+Tabela2[[#This Row],[D]]+Tabela2[[#This Row],[N]]+Tabela2[[#This Row],[HM]])</f>
        <v>9</v>
      </c>
      <c r="R217" s="180">
        <f>SUM(Tabela2[[#This Row],[AO]]+Tabela2[[#This Row],[AD]]+Tabela2[[#This Row],[GWO]]+Tabela2[[#This Row],[GWD]])</f>
        <v>7</v>
      </c>
      <c r="S217" s="180">
        <f>Tabela2[[#This Row],[GWO]]+Tabela2[[#This Row],[GWD]]</f>
        <v>3</v>
      </c>
      <c r="T217" s="180">
        <f>SUM(Tabela2[[#This Row],[G]:[GWD]])</f>
        <v>16</v>
      </c>
    </row>
    <row r="218" spans="1:20" ht="30">
      <c r="A218" s="183">
        <v>217</v>
      </c>
      <c r="B218" s="175" t="s">
        <v>503</v>
      </c>
      <c r="C218" s="175" t="s">
        <v>386</v>
      </c>
      <c r="D218" s="175">
        <v>4</v>
      </c>
      <c r="E218" s="175" t="s">
        <v>18</v>
      </c>
      <c r="F218" s="175">
        <v>1</v>
      </c>
      <c r="G218" s="175">
        <v>1</v>
      </c>
      <c r="H218" s="175">
        <v>1</v>
      </c>
      <c r="I218" s="175">
        <v>2</v>
      </c>
      <c r="J218" s="175">
        <v>1</v>
      </c>
      <c r="K218" s="175">
        <v>1</v>
      </c>
      <c r="L218" s="175">
        <v>3</v>
      </c>
      <c r="M218" s="175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7</v>
      </c>
      <c r="S218" s="180">
        <f>Tabela2[[#This Row],[GWO]]+Tabela2[[#This Row],[GWD]]</f>
        <v>4</v>
      </c>
      <c r="T218" s="180">
        <f>SUM(Tabela2[[#This Row],[G]:[GWD]])</f>
        <v>11</v>
      </c>
    </row>
    <row r="219" spans="1:20">
      <c r="A219" s="183">
        <v>218</v>
      </c>
      <c r="B219" s="175" t="s">
        <v>502</v>
      </c>
      <c r="C219" s="175" t="s">
        <v>384</v>
      </c>
      <c r="D219" s="175">
        <v>4</v>
      </c>
      <c r="E219" s="175" t="s">
        <v>18</v>
      </c>
      <c r="F219" s="175">
        <v>2</v>
      </c>
      <c r="G219" s="175">
        <v>5</v>
      </c>
      <c r="H219" s="175">
        <v>2</v>
      </c>
      <c r="I219" s="175">
        <v>3</v>
      </c>
      <c r="J219" s="175">
        <v>2</v>
      </c>
      <c r="K219" s="175">
        <v>4</v>
      </c>
      <c r="L219" s="175">
        <v>4</v>
      </c>
      <c r="M219" s="175">
        <v>2</v>
      </c>
      <c r="N219" s="170"/>
      <c r="O219" s="170"/>
      <c r="P219" s="170"/>
      <c r="Q219" s="180">
        <f>SUM(Tabela2[[#This Row],[G]]+Tabela2[[#This Row],[D]]+Tabela2[[#This Row],[N]]+Tabela2[[#This Row],[HM]])</f>
        <v>13</v>
      </c>
      <c r="R219" s="180">
        <f>SUM(Tabela2[[#This Row],[AO]]+Tabela2[[#This Row],[AD]]+Tabela2[[#This Row],[GWO]]+Tabela2[[#This Row],[GWD]])</f>
        <v>11</v>
      </c>
      <c r="S219" s="180">
        <f>Tabela2[[#This Row],[GWO]]+Tabela2[[#This Row],[GWD]]</f>
        <v>6</v>
      </c>
      <c r="T219" s="180">
        <f>SUM(Tabela2[[#This Row],[G]:[GWD]])</f>
        <v>24</v>
      </c>
    </row>
    <row r="220" spans="1:20">
      <c r="A220" s="183">
        <v>219</v>
      </c>
      <c r="B220" s="175" t="s">
        <v>501</v>
      </c>
      <c r="C220" s="175" t="s">
        <v>382</v>
      </c>
      <c r="D220" s="175">
        <v>4</v>
      </c>
      <c r="E220" s="175" t="s">
        <v>18</v>
      </c>
      <c r="F220" s="175">
        <v>1</v>
      </c>
      <c r="G220" s="175">
        <v>1</v>
      </c>
      <c r="H220" s="175">
        <v>1</v>
      </c>
      <c r="I220" s="175">
        <v>2</v>
      </c>
      <c r="J220" s="175">
        <v>1</v>
      </c>
      <c r="K220" s="175">
        <v>1</v>
      </c>
      <c r="L220" s="175">
        <v>3</v>
      </c>
      <c r="M220" s="175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7</v>
      </c>
      <c r="S220" s="180">
        <f>Tabela2[[#This Row],[GWO]]+Tabela2[[#This Row],[GWD]]</f>
        <v>4</v>
      </c>
      <c r="T220" s="180">
        <f>SUM(Tabela2[[#This Row],[G]:[GWD]])</f>
        <v>11</v>
      </c>
    </row>
    <row r="221" spans="1:20" ht="30">
      <c r="A221" s="183">
        <v>220</v>
      </c>
      <c r="B221" s="175" t="s">
        <v>500</v>
      </c>
      <c r="C221" s="175" t="s">
        <v>451</v>
      </c>
      <c r="D221" s="175">
        <v>4</v>
      </c>
      <c r="E221" s="175" t="s">
        <v>18</v>
      </c>
      <c r="F221" s="175">
        <v>1</v>
      </c>
      <c r="G221" s="175">
        <v>1</v>
      </c>
      <c r="H221" s="175">
        <v>5</v>
      </c>
      <c r="I221" s="175">
        <v>3</v>
      </c>
      <c r="J221" s="175">
        <v>1</v>
      </c>
      <c r="K221" s="175">
        <v>1</v>
      </c>
      <c r="L221" s="175">
        <v>3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8</v>
      </c>
      <c r="R221" s="180">
        <f>SUM(Tabela2[[#This Row],[AO]]+Tabela2[[#This Row],[AD]]+Tabela2[[#This Row],[GWO]]+Tabela2[[#This Row],[GWD]])</f>
        <v>8</v>
      </c>
      <c r="S221" s="180">
        <f>Tabela2[[#This Row],[GWO]]+Tabela2[[#This Row],[GWD]]</f>
        <v>4</v>
      </c>
      <c r="T221" s="180">
        <f>SUM(Tabela2[[#This Row],[G]:[GWD]])</f>
        <v>16</v>
      </c>
    </row>
    <row r="222" spans="1:20">
      <c r="A222" s="183">
        <v>221</v>
      </c>
      <c r="B222" s="175" t="s">
        <v>499</v>
      </c>
      <c r="C222" s="175" t="s">
        <v>227</v>
      </c>
      <c r="D222" s="175">
        <v>4</v>
      </c>
      <c r="E222" s="175" t="s">
        <v>18</v>
      </c>
      <c r="F222" s="175">
        <v>1</v>
      </c>
      <c r="G222" s="175">
        <v>1</v>
      </c>
      <c r="H222" s="175">
        <v>1</v>
      </c>
      <c r="I222" s="175">
        <v>2</v>
      </c>
      <c r="J222" s="175">
        <v>1</v>
      </c>
      <c r="K222" s="175">
        <v>1</v>
      </c>
      <c r="L222" s="175">
        <v>2</v>
      </c>
      <c r="M222" s="175">
        <v>1</v>
      </c>
      <c r="N222" s="175" t="s">
        <v>445</v>
      </c>
      <c r="O222" s="175"/>
      <c r="P222" s="175"/>
      <c r="Q222" s="184">
        <f>SUM(Tabela2[[#This Row],[G]]+Tabela2[[#This Row],[D]]+Tabela2[[#This Row],[N]]+Tabela2[[#This Row],[HM]])</f>
        <v>4</v>
      </c>
      <c r="R222" s="184">
        <f>SUM(Tabela2[[#This Row],[AO]]+Tabela2[[#This Row],[AD]]+Tabela2[[#This Row],[GWO]]+Tabela2[[#This Row],[GWD]])</f>
        <v>6</v>
      </c>
      <c r="S222" s="184">
        <f>Tabela2[[#This Row],[GWO]]+Tabela2[[#This Row],[GWD]]</f>
        <v>3</v>
      </c>
      <c r="T222" s="180">
        <f>SUM(Tabela2[[#This Row],[G]:[GWD]])</f>
        <v>10</v>
      </c>
    </row>
    <row r="223" spans="1:20">
      <c r="A223" s="183">
        <v>222</v>
      </c>
      <c r="B223" s="175" t="s">
        <v>343</v>
      </c>
      <c r="C223" s="175" t="s">
        <v>225</v>
      </c>
      <c r="D223" s="175">
        <v>4</v>
      </c>
      <c r="E223" s="175" t="s">
        <v>18</v>
      </c>
      <c r="F223" s="175">
        <v>1</v>
      </c>
      <c r="G223" s="175">
        <v>4</v>
      </c>
      <c r="H223" s="175">
        <v>1</v>
      </c>
      <c r="I223" s="175">
        <v>3</v>
      </c>
      <c r="J223" s="175">
        <v>1</v>
      </c>
      <c r="K223" s="175">
        <v>5</v>
      </c>
      <c r="L223" s="175">
        <v>3</v>
      </c>
      <c r="M223" s="175">
        <v>1</v>
      </c>
      <c r="N223" s="175" t="s">
        <v>445</v>
      </c>
      <c r="O223" s="175" t="s">
        <v>204</v>
      </c>
      <c r="P223" s="175"/>
      <c r="Q223" s="184">
        <f>SUM(Tabela2[[#This Row],[G]]+Tabela2[[#This Row],[D]]+Tabela2[[#This Row],[N]]+Tabela2[[#This Row],[HM]])</f>
        <v>11</v>
      </c>
      <c r="R223" s="184">
        <f>SUM(Tabela2[[#This Row],[AO]]+Tabela2[[#This Row],[AD]]+Tabela2[[#This Row],[GWO]]+Tabela2[[#This Row],[GWD]])</f>
        <v>8</v>
      </c>
      <c r="S223" s="184">
        <f>Tabela2[[#This Row],[GWO]]+Tabela2[[#This Row],[GWD]]</f>
        <v>4</v>
      </c>
      <c r="T223" s="180">
        <f>SUM(Tabela2[[#This Row],[G]:[GWD]])</f>
        <v>19</v>
      </c>
    </row>
    <row r="224" spans="1:20">
      <c r="A224" s="183">
        <v>223</v>
      </c>
      <c r="B224" s="175" t="s">
        <v>498</v>
      </c>
      <c r="C224" s="175" t="s">
        <v>378</v>
      </c>
      <c r="D224" s="175">
        <v>4</v>
      </c>
      <c r="E224" s="175" t="s">
        <v>18</v>
      </c>
      <c r="F224" s="175">
        <v>1</v>
      </c>
      <c r="G224" s="175">
        <v>1</v>
      </c>
      <c r="H224" s="175">
        <v>1</v>
      </c>
      <c r="I224" s="175">
        <v>1</v>
      </c>
      <c r="J224" s="175">
        <v>1</v>
      </c>
      <c r="K224" s="175">
        <v>1</v>
      </c>
      <c r="L224" s="175">
        <v>1</v>
      </c>
      <c r="M224" s="175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>
      <c r="A225" s="183">
        <v>224</v>
      </c>
      <c r="B225" s="175" t="s">
        <v>497</v>
      </c>
      <c r="C225" s="175" t="s">
        <v>226</v>
      </c>
      <c r="D225" s="175">
        <v>4</v>
      </c>
      <c r="E225" s="175" t="s">
        <v>18</v>
      </c>
      <c r="F225" s="175">
        <v>1</v>
      </c>
      <c r="G225" s="175">
        <v>3</v>
      </c>
      <c r="H225" s="175">
        <v>1</v>
      </c>
      <c r="I225" s="175">
        <v>1</v>
      </c>
      <c r="J225" s="175">
        <v>1</v>
      </c>
      <c r="K225" s="175">
        <v>2</v>
      </c>
      <c r="L225" s="175">
        <v>1</v>
      </c>
      <c r="M225" s="175">
        <v>1</v>
      </c>
      <c r="N225" s="170"/>
      <c r="O225" s="170"/>
      <c r="P225" s="170"/>
      <c r="Q225" s="180">
        <f>SUM(Tabela2[[#This Row],[G]]+Tabela2[[#This Row],[D]]+Tabela2[[#This Row],[N]]+Tabela2[[#This Row],[HM]])</f>
        <v>7</v>
      </c>
      <c r="R225" s="180">
        <f>SUM(Tabela2[[#This Row],[AO]]+Tabela2[[#This Row],[AD]]+Tabela2[[#This Row],[GWO]]+Tabela2[[#This Row],[GWD]])</f>
        <v>4</v>
      </c>
      <c r="S225" s="180">
        <f>Tabela2[[#This Row],[GWO]]+Tabela2[[#This Row],[GWD]]</f>
        <v>2</v>
      </c>
      <c r="T225" s="180">
        <f>SUM(Tabela2[[#This Row],[G]:[GWD]])</f>
        <v>11</v>
      </c>
    </row>
    <row r="226" spans="1:20">
      <c r="A226" s="183">
        <v>225</v>
      </c>
      <c r="B226" s="175" t="s">
        <v>496</v>
      </c>
      <c r="C226" s="175" t="s">
        <v>184</v>
      </c>
      <c r="D226" s="175">
        <v>4</v>
      </c>
      <c r="E226" s="175" t="s">
        <v>18</v>
      </c>
      <c r="F226" s="175">
        <v>3</v>
      </c>
      <c r="G226" s="175">
        <v>5</v>
      </c>
      <c r="H226" s="175">
        <v>3</v>
      </c>
      <c r="I226" s="175">
        <v>5</v>
      </c>
      <c r="J226" s="175">
        <v>5</v>
      </c>
      <c r="K226" s="175">
        <v>5</v>
      </c>
      <c r="L226" s="175">
        <v>4</v>
      </c>
      <c r="M226" s="175">
        <v>5</v>
      </c>
      <c r="N226" s="170"/>
      <c r="O226" s="170"/>
      <c r="P226" s="170"/>
      <c r="Q226" s="180">
        <f>SUM(Tabela2[[#This Row],[G]]+Tabela2[[#This Row],[D]]+Tabela2[[#This Row],[N]]+Tabela2[[#This Row],[HM]])</f>
        <v>16</v>
      </c>
      <c r="R226" s="180">
        <f>SUM(Tabela2[[#This Row],[AO]]+Tabela2[[#This Row],[AD]]+Tabela2[[#This Row],[GWO]]+Tabela2[[#This Row],[GWD]])</f>
        <v>19</v>
      </c>
      <c r="S226" s="180">
        <f>Tabela2[[#This Row],[GWO]]+Tabela2[[#This Row],[GWD]]</f>
        <v>9</v>
      </c>
      <c r="T226" s="180">
        <f>SUM(Tabela2[[#This Row],[G]:[GWD]])</f>
        <v>35</v>
      </c>
    </row>
    <row r="227" spans="1:20">
      <c r="A227" s="183">
        <v>226</v>
      </c>
      <c r="B227" s="174" t="s">
        <v>495</v>
      </c>
      <c r="C227" s="174" t="s">
        <v>419</v>
      </c>
      <c r="D227" s="174">
        <v>4</v>
      </c>
      <c r="E227" s="174" t="s">
        <v>249</v>
      </c>
      <c r="F227" s="174">
        <v>1</v>
      </c>
      <c r="G227" s="174">
        <v>1</v>
      </c>
      <c r="H227" s="174">
        <v>1</v>
      </c>
      <c r="I227" s="174">
        <v>1</v>
      </c>
      <c r="J227" s="174">
        <v>1</v>
      </c>
      <c r="K227" s="174">
        <v>1</v>
      </c>
      <c r="L227" s="174">
        <v>3</v>
      </c>
      <c r="M227" s="174">
        <v>1</v>
      </c>
      <c r="N227" s="170"/>
      <c r="O227" s="194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6</v>
      </c>
      <c r="S227" s="180">
        <f>Tabela2[[#This Row],[GWO]]+Tabela2[[#This Row],[GWD]]</f>
        <v>4</v>
      </c>
      <c r="T227" s="180">
        <f>SUM(Tabela2[[#This Row],[G]:[GWD]])</f>
        <v>10</v>
      </c>
    </row>
    <row r="228" spans="1:20" ht="30">
      <c r="A228" s="183">
        <v>227</v>
      </c>
      <c r="B228" s="174" t="s">
        <v>494</v>
      </c>
      <c r="C228" s="174" t="s">
        <v>441</v>
      </c>
      <c r="D228" s="174">
        <v>4</v>
      </c>
      <c r="E228" s="174" t="s">
        <v>249</v>
      </c>
      <c r="F228" s="174">
        <v>1</v>
      </c>
      <c r="G228" s="174">
        <v>3</v>
      </c>
      <c r="H228" s="174">
        <v>3</v>
      </c>
      <c r="I228" s="174">
        <v>2</v>
      </c>
      <c r="J228" s="174">
        <v>1</v>
      </c>
      <c r="K228" s="174">
        <v>1</v>
      </c>
      <c r="L228" s="174">
        <v>2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8</v>
      </c>
      <c r="R228" s="180">
        <f>SUM(Tabela2[[#This Row],[AO]]+Tabela2[[#This Row],[AD]]+Tabela2[[#This Row],[GWO]]+Tabela2[[#This Row],[GWD]])</f>
        <v>6</v>
      </c>
      <c r="S228" s="180">
        <f>Tabela2[[#This Row],[GWO]]+Tabela2[[#This Row],[GWD]]</f>
        <v>3</v>
      </c>
      <c r="T228" s="180">
        <f>SUM(Tabela2[[#This Row],[G]:[GWD]])</f>
        <v>14</v>
      </c>
    </row>
    <row r="229" spans="1:20" ht="30">
      <c r="A229" s="183">
        <v>228</v>
      </c>
      <c r="B229" s="174" t="s">
        <v>493</v>
      </c>
      <c r="C229" s="174" t="s">
        <v>415</v>
      </c>
      <c r="D229" s="174">
        <v>4</v>
      </c>
      <c r="E229" s="174" t="s">
        <v>249</v>
      </c>
      <c r="F229" s="174">
        <v>2</v>
      </c>
      <c r="G229" s="174">
        <v>3</v>
      </c>
      <c r="H229" s="174">
        <v>1</v>
      </c>
      <c r="I229" s="174">
        <v>4</v>
      </c>
      <c r="J229" s="174">
        <v>5</v>
      </c>
      <c r="K229" s="174">
        <v>1</v>
      </c>
      <c r="L229" s="174">
        <v>5</v>
      </c>
      <c r="M229" s="174">
        <v>5</v>
      </c>
      <c r="N229" s="170"/>
      <c r="O229" s="170" t="s">
        <v>204</v>
      </c>
      <c r="P229" s="170"/>
      <c r="Q229" s="180">
        <f>SUM(Tabela2[[#This Row],[G]]+Tabela2[[#This Row],[D]]+Tabela2[[#This Row],[N]]+Tabela2[[#This Row],[HM]])</f>
        <v>7</v>
      </c>
      <c r="R229" s="180">
        <f>SUM(Tabela2[[#This Row],[AO]]+Tabela2[[#This Row],[AD]]+Tabela2[[#This Row],[GWO]]+Tabela2[[#This Row],[GWD]])</f>
        <v>19</v>
      </c>
      <c r="S229" s="180">
        <f>Tabela2[[#This Row],[GWO]]+Tabela2[[#This Row],[GWD]]</f>
        <v>10</v>
      </c>
      <c r="T229" s="180">
        <f>SUM(Tabela2[[#This Row],[G]:[GWD]])</f>
        <v>26</v>
      </c>
    </row>
    <row r="230" spans="1:20" ht="30">
      <c r="A230" s="183">
        <v>229</v>
      </c>
      <c r="B230" s="174" t="s">
        <v>492</v>
      </c>
      <c r="C230" s="174" t="s">
        <v>357</v>
      </c>
      <c r="D230" s="174">
        <v>4</v>
      </c>
      <c r="E230" s="174" t="s">
        <v>249</v>
      </c>
      <c r="F230" s="174">
        <v>1</v>
      </c>
      <c r="G230" s="174">
        <v>2</v>
      </c>
      <c r="H230" s="174">
        <v>1</v>
      </c>
      <c r="I230" s="174">
        <v>2</v>
      </c>
      <c r="J230" s="174">
        <v>2</v>
      </c>
      <c r="K230" s="174">
        <v>2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6</v>
      </c>
      <c r="R230" s="180">
        <f>SUM(Tabela2[[#This Row],[AO]]+Tabela2[[#This Row],[AD]]+Tabela2[[#This Row],[GWO]]+Tabela2[[#This Row],[GWD]])</f>
        <v>6</v>
      </c>
      <c r="S230" s="180">
        <f>Tabela2[[#This Row],[GWO]]+Tabela2[[#This Row],[GWD]]</f>
        <v>2</v>
      </c>
      <c r="T230" s="180">
        <f>SUM(Tabela2[[#This Row],[G]:[GWD]])</f>
        <v>12</v>
      </c>
    </row>
    <row r="231" spans="1:20">
      <c r="A231" s="183">
        <v>230</v>
      </c>
      <c r="B231" s="174" t="s">
        <v>491</v>
      </c>
      <c r="C231" s="174" t="s">
        <v>210</v>
      </c>
      <c r="D231" s="174">
        <v>4</v>
      </c>
      <c r="E231" s="174" t="s">
        <v>249</v>
      </c>
      <c r="F231" s="174">
        <v>1</v>
      </c>
      <c r="G231" s="174">
        <v>1</v>
      </c>
      <c r="H231" s="174">
        <v>1</v>
      </c>
      <c r="I231" s="174">
        <v>2</v>
      </c>
      <c r="J231" s="174">
        <v>3</v>
      </c>
      <c r="K231" s="174">
        <v>1</v>
      </c>
      <c r="L231" s="174">
        <v>3</v>
      </c>
      <c r="M231" s="174">
        <v>4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12</v>
      </c>
      <c r="S231" s="180">
        <f>Tabela2[[#This Row],[GWO]]+Tabela2[[#This Row],[GWD]]</f>
        <v>7</v>
      </c>
      <c r="T231" s="180">
        <f>SUM(Tabela2[[#This Row],[G]:[GWD]])</f>
        <v>16</v>
      </c>
    </row>
    <row r="232" spans="1:20" ht="30">
      <c r="A232" s="183">
        <v>231</v>
      </c>
      <c r="B232" s="174" t="s">
        <v>490</v>
      </c>
      <c r="C232" s="174" t="s">
        <v>409</v>
      </c>
      <c r="D232" s="174">
        <v>4</v>
      </c>
      <c r="E232" s="174" t="s">
        <v>249</v>
      </c>
      <c r="F232" s="174">
        <v>1</v>
      </c>
      <c r="G232" s="174">
        <v>1</v>
      </c>
      <c r="H232" s="174">
        <v>3</v>
      </c>
      <c r="I232" s="174">
        <v>4</v>
      </c>
      <c r="J232" s="174">
        <v>1</v>
      </c>
      <c r="K232" s="174">
        <v>3</v>
      </c>
      <c r="L232" s="174">
        <v>3</v>
      </c>
      <c r="M232" s="174">
        <v>1</v>
      </c>
      <c r="N232" s="170"/>
      <c r="O232" s="170"/>
      <c r="P232" s="170"/>
      <c r="Q232" s="180">
        <f>SUM(Tabela2[[#This Row],[G]]+Tabela2[[#This Row],[D]]+Tabela2[[#This Row],[N]]+Tabela2[[#This Row],[HM]])</f>
        <v>8</v>
      </c>
      <c r="R232" s="180">
        <f>SUM(Tabela2[[#This Row],[AO]]+Tabela2[[#This Row],[AD]]+Tabela2[[#This Row],[GWO]]+Tabela2[[#This Row],[GWD]])</f>
        <v>9</v>
      </c>
      <c r="S232" s="180">
        <f>Tabela2[[#This Row],[GWO]]+Tabela2[[#This Row],[GWD]]</f>
        <v>4</v>
      </c>
      <c r="T232" s="180">
        <f>SUM(Tabela2[[#This Row],[G]:[GWD]])</f>
        <v>17</v>
      </c>
    </row>
    <row r="233" spans="1:20" ht="30">
      <c r="A233" s="183">
        <v>232</v>
      </c>
      <c r="B233" s="174" t="s">
        <v>489</v>
      </c>
      <c r="C233" s="174" t="s">
        <v>407</v>
      </c>
      <c r="D233" s="174">
        <v>4</v>
      </c>
      <c r="E233" s="174" t="s">
        <v>249</v>
      </c>
      <c r="F233" s="174">
        <v>1</v>
      </c>
      <c r="G233" s="174">
        <v>1</v>
      </c>
      <c r="H233" s="174">
        <v>3</v>
      </c>
      <c r="I233" s="174">
        <v>2</v>
      </c>
      <c r="J233" s="174">
        <v>1</v>
      </c>
      <c r="K233" s="174">
        <v>1</v>
      </c>
      <c r="L233" s="174">
        <v>2</v>
      </c>
      <c r="M233" s="174">
        <v>1</v>
      </c>
      <c r="N233" s="170"/>
      <c r="O233" s="170"/>
      <c r="P233" s="170"/>
      <c r="Q233" s="180">
        <f>SUM(Tabela2[[#This Row],[G]]+Tabela2[[#This Row],[D]]+Tabela2[[#This Row],[N]]+Tabela2[[#This Row],[HM]])</f>
        <v>6</v>
      </c>
      <c r="R233" s="180">
        <f>SUM(Tabela2[[#This Row],[AO]]+Tabela2[[#This Row],[AD]]+Tabela2[[#This Row],[GWO]]+Tabela2[[#This Row],[GWD]])</f>
        <v>6</v>
      </c>
      <c r="S233" s="180">
        <f>Tabela2[[#This Row],[GWO]]+Tabela2[[#This Row],[GWD]]</f>
        <v>3</v>
      </c>
      <c r="T233" s="180">
        <f>SUM(Tabela2[[#This Row],[G]:[GWD]])</f>
        <v>12</v>
      </c>
    </row>
    <row r="234" spans="1:20">
      <c r="A234" s="183">
        <v>233</v>
      </c>
      <c r="B234" s="174" t="s">
        <v>488</v>
      </c>
      <c r="C234" s="174" t="s">
        <v>405</v>
      </c>
      <c r="D234" s="174">
        <v>4</v>
      </c>
      <c r="E234" s="174" t="s">
        <v>249</v>
      </c>
      <c r="F234" s="174">
        <v>1</v>
      </c>
      <c r="G234" s="174">
        <v>1</v>
      </c>
      <c r="H234" s="174">
        <v>1</v>
      </c>
      <c r="I234" s="174">
        <v>1</v>
      </c>
      <c r="J234" s="174">
        <v>1</v>
      </c>
      <c r="K234" s="174">
        <v>1</v>
      </c>
      <c r="L234" s="174">
        <v>1</v>
      </c>
      <c r="M234" s="174">
        <v>1</v>
      </c>
      <c r="N234" s="170"/>
      <c r="O234" s="170"/>
      <c r="P234" s="170"/>
      <c r="Q234" s="180">
        <f>SUM(Tabela2[[#This Row],[G]]+Tabela2[[#This Row],[D]]+Tabela2[[#This Row],[N]]+Tabela2[[#This Row],[HM]])</f>
        <v>4</v>
      </c>
      <c r="R234" s="180">
        <f>SUM(Tabela2[[#This Row],[AO]]+Tabela2[[#This Row],[AD]]+Tabela2[[#This Row],[GWO]]+Tabela2[[#This Row],[GWD]])</f>
        <v>4</v>
      </c>
      <c r="S234" s="180">
        <f>Tabela2[[#This Row],[GWO]]+Tabela2[[#This Row],[GWD]]</f>
        <v>2</v>
      </c>
      <c r="T234" s="180">
        <f>SUM(Tabela2[[#This Row],[G]:[GWD]])</f>
        <v>8</v>
      </c>
    </row>
    <row r="235" spans="1:20" ht="30">
      <c r="A235" s="183">
        <v>234</v>
      </c>
      <c r="B235" s="174" t="s">
        <v>246</v>
      </c>
      <c r="C235" s="174" t="s">
        <v>403</v>
      </c>
      <c r="D235" s="174">
        <v>4</v>
      </c>
      <c r="E235" s="174" t="s">
        <v>249</v>
      </c>
      <c r="F235" s="174">
        <v>1</v>
      </c>
      <c r="G235" s="174">
        <v>1</v>
      </c>
      <c r="H235" s="174">
        <v>3</v>
      </c>
      <c r="I235" s="174">
        <v>2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6</v>
      </c>
      <c r="R235" s="180">
        <f>SUM(Tabela2[[#This Row],[AO]]+Tabela2[[#This Row],[AD]]+Tabela2[[#This Row],[GWO]]+Tabela2[[#This Row],[GWD]])</f>
        <v>5</v>
      </c>
      <c r="S235" s="180">
        <f>Tabela2[[#This Row],[GWO]]+Tabela2[[#This Row],[GWD]]</f>
        <v>2</v>
      </c>
      <c r="T235" s="180">
        <f>SUM(Tabela2[[#This Row],[G]:[GWD]])</f>
        <v>11</v>
      </c>
    </row>
    <row r="236" spans="1:20">
      <c r="A236" s="183">
        <v>235</v>
      </c>
      <c r="B236" s="174" t="s">
        <v>487</v>
      </c>
      <c r="C236" s="174" t="s">
        <v>398</v>
      </c>
      <c r="D236" s="174">
        <v>4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2</v>
      </c>
      <c r="L236" s="174">
        <v>1</v>
      </c>
      <c r="M236" s="174">
        <v>1</v>
      </c>
      <c r="N236" s="170"/>
      <c r="O236" s="170"/>
      <c r="P236" s="170"/>
      <c r="Q236" s="180">
        <f>SUM(Tabela2[[#This Row],[G]]+Tabela2[[#This Row],[D]]+Tabela2[[#This Row],[N]]+Tabela2[[#This Row],[HM]])</f>
        <v>5</v>
      </c>
      <c r="R236" s="180">
        <f>SUM(Tabela2[[#This Row],[AO]]+Tabela2[[#This Row],[AD]]+Tabela2[[#This Row],[GWO]]+Tabela2[[#This Row],[GWD]])</f>
        <v>4</v>
      </c>
      <c r="S236" s="180">
        <f>Tabela2[[#This Row],[GWO]]+Tabela2[[#This Row],[GWD]]</f>
        <v>2</v>
      </c>
      <c r="T236" s="180">
        <f>SUM(Tabela2[[#This Row],[G]:[GWD]])</f>
        <v>9</v>
      </c>
    </row>
    <row r="237" spans="1:20" ht="30">
      <c r="A237" s="183">
        <v>236</v>
      </c>
      <c r="B237" s="174" t="s">
        <v>486</v>
      </c>
      <c r="C237" s="174" t="s">
        <v>396</v>
      </c>
      <c r="D237" s="174">
        <v>4</v>
      </c>
      <c r="E237" s="174" t="s">
        <v>249</v>
      </c>
      <c r="F237" s="174">
        <v>2</v>
      </c>
      <c r="G237" s="174">
        <v>2</v>
      </c>
      <c r="H237" s="174">
        <v>4</v>
      </c>
      <c r="I237" s="174">
        <v>1</v>
      </c>
      <c r="J237" s="174">
        <v>1</v>
      </c>
      <c r="K237" s="174">
        <v>3</v>
      </c>
      <c r="L237" s="174">
        <v>1</v>
      </c>
      <c r="M237" s="174">
        <v>2</v>
      </c>
      <c r="N237" s="170"/>
      <c r="O237" s="194" t="s">
        <v>204</v>
      </c>
      <c r="P237" s="194"/>
      <c r="Q237" s="180">
        <f>SUM(Tabela2[[#This Row],[G]]+Tabela2[[#This Row],[D]]+Tabela2[[#This Row],[N]]+Tabela2[[#This Row],[HM]])</f>
        <v>11</v>
      </c>
      <c r="R237" s="180">
        <f>SUM(Tabela2[[#This Row],[AO]]+Tabela2[[#This Row],[AD]]+Tabela2[[#This Row],[GWO]]+Tabela2[[#This Row],[GWD]])</f>
        <v>5</v>
      </c>
      <c r="S237" s="180">
        <f>Tabela2[[#This Row],[GWO]]+Tabela2[[#This Row],[GWD]]</f>
        <v>3</v>
      </c>
      <c r="T237" s="180">
        <f>SUM(Tabela2[[#This Row],[G]:[GWD]])</f>
        <v>16</v>
      </c>
    </row>
    <row r="238" spans="1:20" ht="30">
      <c r="A238" s="183">
        <v>237</v>
      </c>
      <c r="B238" s="174" t="s">
        <v>485</v>
      </c>
      <c r="C238" s="174" t="s">
        <v>394</v>
      </c>
      <c r="D238" s="174">
        <v>4</v>
      </c>
      <c r="E238" s="174" t="s">
        <v>249</v>
      </c>
      <c r="F238" s="174">
        <v>1</v>
      </c>
      <c r="G238" s="174">
        <v>4</v>
      </c>
      <c r="H238" s="174">
        <v>1</v>
      </c>
      <c r="I238" s="174">
        <v>1</v>
      </c>
      <c r="J238" s="174">
        <v>1</v>
      </c>
      <c r="K238" s="174">
        <v>1</v>
      </c>
      <c r="L238" s="174">
        <v>3</v>
      </c>
      <c r="M238" s="174">
        <v>1</v>
      </c>
      <c r="N238" s="170"/>
      <c r="O238" s="170"/>
      <c r="P238" s="170"/>
      <c r="Q238" s="180">
        <f>SUM(Tabela2[[#This Row],[G]]+Tabela2[[#This Row],[D]]+Tabela2[[#This Row],[N]]+Tabela2[[#This Row],[HM]])</f>
        <v>7</v>
      </c>
      <c r="R238" s="180">
        <f>SUM(Tabela2[[#This Row],[AO]]+Tabela2[[#This Row],[AD]]+Tabela2[[#This Row],[GWO]]+Tabela2[[#This Row],[GWD]])</f>
        <v>6</v>
      </c>
      <c r="S238" s="180">
        <f>Tabela2[[#This Row],[GWO]]+Tabela2[[#This Row],[GWD]]</f>
        <v>4</v>
      </c>
      <c r="T238" s="180">
        <f>SUM(Tabela2[[#This Row],[G]:[GWD]])</f>
        <v>13</v>
      </c>
    </row>
    <row r="239" spans="1:20" ht="30">
      <c r="A239" s="183">
        <v>238</v>
      </c>
      <c r="B239" s="174" t="s">
        <v>484</v>
      </c>
      <c r="C239" s="174" t="s">
        <v>392</v>
      </c>
      <c r="D239" s="174">
        <v>4</v>
      </c>
      <c r="E239" s="174" t="s">
        <v>249</v>
      </c>
      <c r="F239" s="174">
        <v>1</v>
      </c>
      <c r="G239" s="174">
        <v>1</v>
      </c>
      <c r="H239" s="174">
        <v>3</v>
      </c>
      <c r="I239" s="174">
        <v>3</v>
      </c>
      <c r="J239" s="174">
        <v>1</v>
      </c>
      <c r="K239" s="174">
        <v>1</v>
      </c>
      <c r="L239" s="174">
        <v>2</v>
      </c>
      <c r="M239" s="174">
        <v>1</v>
      </c>
      <c r="N239" s="170"/>
      <c r="O239" s="170"/>
      <c r="P239" s="170"/>
      <c r="Q239" s="180">
        <f>SUM(Tabela2[[#This Row],[G]]+Tabela2[[#This Row],[D]]+Tabela2[[#This Row],[N]]+Tabela2[[#This Row],[HM]])</f>
        <v>6</v>
      </c>
      <c r="R239" s="180">
        <f>SUM(Tabela2[[#This Row],[AO]]+Tabela2[[#This Row],[AD]]+Tabela2[[#This Row],[GWO]]+Tabela2[[#This Row],[GWD]])</f>
        <v>7</v>
      </c>
      <c r="S239" s="180">
        <f>Tabela2[[#This Row],[GWO]]+Tabela2[[#This Row],[GWD]]</f>
        <v>3</v>
      </c>
      <c r="T239" s="180">
        <f>SUM(Tabela2[[#This Row],[G]:[GWD]])</f>
        <v>13</v>
      </c>
    </row>
    <row r="240" spans="1:20">
      <c r="A240" s="183">
        <v>239</v>
      </c>
      <c r="B240" s="174" t="s">
        <v>483</v>
      </c>
      <c r="C240" s="174" t="s">
        <v>215</v>
      </c>
      <c r="D240" s="174">
        <v>4</v>
      </c>
      <c r="E240" s="174" t="s">
        <v>249</v>
      </c>
      <c r="F240" s="174">
        <v>1</v>
      </c>
      <c r="G240" s="174">
        <v>1</v>
      </c>
      <c r="H240" s="174">
        <v>1</v>
      </c>
      <c r="I240" s="174">
        <v>1</v>
      </c>
      <c r="J240" s="174">
        <v>1</v>
      </c>
      <c r="K240" s="174">
        <v>1</v>
      </c>
      <c r="L240" s="174">
        <v>1</v>
      </c>
      <c r="M240" s="174">
        <v>1</v>
      </c>
      <c r="N240" s="174" t="s">
        <v>445</v>
      </c>
      <c r="O240" s="174"/>
      <c r="P240" s="174"/>
      <c r="Q240" s="185">
        <f>SUM(Tabela2[[#This Row],[G]]+Tabela2[[#This Row],[D]]+Tabela2[[#This Row],[N]]+Tabela2[[#This Row],[HM]])</f>
        <v>4</v>
      </c>
      <c r="R240" s="185">
        <f>SUM(Tabela2[[#This Row],[AO]]+Tabela2[[#This Row],[AD]]+Tabela2[[#This Row],[GWO]]+Tabela2[[#This Row],[GWD]])</f>
        <v>4</v>
      </c>
      <c r="S240" s="185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240</v>
      </c>
      <c r="B241" s="174" t="s">
        <v>482</v>
      </c>
      <c r="C241" s="174" t="s">
        <v>344</v>
      </c>
      <c r="D241" s="174">
        <v>4</v>
      </c>
      <c r="E241" s="174" t="s">
        <v>249</v>
      </c>
      <c r="F241" s="174">
        <v>1</v>
      </c>
      <c r="G241" s="174">
        <v>2</v>
      </c>
      <c r="H241" s="174">
        <v>1</v>
      </c>
      <c r="I241" s="174">
        <v>5</v>
      </c>
      <c r="J241" s="174">
        <v>3</v>
      </c>
      <c r="K241" s="174">
        <v>3</v>
      </c>
      <c r="L241" s="174">
        <v>5</v>
      </c>
      <c r="M241" s="174">
        <v>2</v>
      </c>
      <c r="N241" s="170"/>
      <c r="O241" s="170"/>
      <c r="P241" s="170"/>
      <c r="Q241" s="180">
        <f>SUM(Tabela2[[#This Row],[G]]+Tabela2[[#This Row],[D]]+Tabela2[[#This Row],[N]]+Tabela2[[#This Row],[HM]])</f>
        <v>7</v>
      </c>
      <c r="R241" s="180">
        <f>SUM(Tabela2[[#This Row],[AO]]+Tabela2[[#This Row],[AD]]+Tabela2[[#This Row],[GWO]]+Tabela2[[#This Row],[GWD]])</f>
        <v>15</v>
      </c>
      <c r="S241" s="180">
        <f>Tabela2[[#This Row],[GWO]]+Tabela2[[#This Row],[GWD]]</f>
        <v>7</v>
      </c>
      <c r="T241" s="180">
        <f>SUM(Tabela2[[#This Row],[G]:[GWD]])</f>
        <v>22</v>
      </c>
    </row>
    <row r="242" spans="1:20">
      <c r="A242" s="183">
        <v>241</v>
      </c>
      <c r="B242" s="174" t="s">
        <v>481</v>
      </c>
      <c r="C242" s="174" t="s">
        <v>388</v>
      </c>
      <c r="D242" s="174">
        <v>4</v>
      </c>
      <c r="E242" s="174" t="s">
        <v>249</v>
      </c>
      <c r="F242" s="174">
        <v>1</v>
      </c>
      <c r="G242" s="174">
        <v>1</v>
      </c>
      <c r="H242" s="174">
        <v>3</v>
      </c>
      <c r="I242" s="174">
        <v>4</v>
      </c>
      <c r="J242" s="174">
        <v>1</v>
      </c>
      <c r="K242" s="174">
        <v>1</v>
      </c>
      <c r="L242" s="174">
        <v>4</v>
      </c>
      <c r="M242" s="174">
        <v>1</v>
      </c>
      <c r="N242" s="170"/>
      <c r="O242" s="170"/>
      <c r="P242" s="170"/>
      <c r="Q242" s="180">
        <f>SUM(Tabela2[[#This Row],[G]]+Tabela2[[#This Row],[D]]+Tabela2[[#This Row],[N]]+Tabela2[[#This Row],[HM]])</f>
        <v>6</v>
      </c>
      <c r="R242" s="180">
        <f>SUM(Tabela2[[#This Row],[AO]]+Tabela2[[#This Row],[AD]]+Tabela2[[#This Row],[GWO]]+Tabela2[[#This Row],[GWD]])</f>
        <v>10</v>
      </c>
      <c r="S242" s="180">
        <f>Tabela2[[#This Row],[GWO]]+Tabela2[[#This Row],[GWD]]</f>
        <v>5</v>
      </c>
      <c r="T242" s="180">
        <f>SUM(Tabela2[[#This Row],[G]:[GWD]])</f>
        <v>16</v>
      </c>
    </row>
    <row r="243" spans="1:20" ht="30">
      <c r="A243" s="183">
        <v>242</v>
      </c>
      <c r="B243" s="174" t="s">
        <v>480</v>
      </c>
      <c r="C243" s="174" t="s">
        <v>386</v>
      </c>
      <c r="D243" s="174">
        <v>4</v>
      </c>
      <c r="E243" s="174" t="s">
        <v>249</v>
      </c>
      <c r="F243" s="174">
        <v>5</v>
      </c>
      <c r="G243" s="174">
        <v>5</v>
      </c>
      <c r="H243" s="174">
        <v>1</v>
      </c>
      <c r="I243" s="174">
        <v>5</v>
      </c>
      <c r="J243" s="174">
        <v>2</v>
      </c>
      <c r="K243" s="174">
        <v>1</v>
      </c>
      <c r="L243" s="174">
        <v>5</v>
      </c>
      <c r="M243" s="174">
        <v>5</v>
      </c>
      <c r="N243" s="170"/>
      <c r="O243" s="170"/>
      <c r="P243" s="170"/>
      <c r="Q243" s="180">
        <f>SUM(Tabela2[[#This Row],[G]]+Tabela2[[#This Row],[D]]+Tabela2[[#This Row],[N]]+Tabela2[[#This Row],[HM]])</f>
        <v>12</v>
      </c>
      <c r="R243" s="180">
        <f>SUM(Tabela2[[#This Row],[AO]]+Tabela2[[#This Row],[AD]]+Tabela2[[#This Row],[GWO]]+Tabela2[[#This Row],[GWD]])</f>
        <v>17</v>
      </c>
      <c r="S243" s="180">
        <f>Tabela2[[#This Row],[GWO]]+Tabela2[[#This Row],[GWD]]</f>
        <v>10</v>
      </c>
      <c r="T243" s="180">
        <f>SUM(Tabela2[[#This Row],[G]:[GWD]])</f>
        <v>29</v>
      </c>
    </row>
    <row r="244" spans="1:20">
      <c r="A244" s="183">
        <v>243</v>
      </c>
      <c r="B244" s="174" t="s">
        <v>479</v>
      </c>
      <c r="C244" s="174" t="s">
        <v>384</v>
      </c>
      <c r="D244" s="174">
        <v>4</v>
      </c>
      <c r="E244" s="174" t="s">
        <v>249</v>
      </c>
      <c r="F244" s="174">
        <v>2</v>
      </c>
      <c r="G244" s="174">
        <v>4</v>
      </c>
      <c r="H244" s="174">
        <v>1</v>
      </c>
      <c r="I244" s="174">
        <v>2</v>
      </c>
      <c r="J244" s="174">
        <v>1</v>
      </c>
      <c r="K244" s="174">
        <v>1</v>
      </c>
      <c r="L244" s="174">
        <v>4</v>
      </c>
      <c r="M244" s="174">
        <v>1</v>
      </c>
      <c r="N244" s="170"/>
      <c r="O244" s="170" t="s">
        <v>204</v>
      </c>
      <c r="P244" s="170"/>
      <c r="Q244" s="180">
        <f>SUM(Tabela2[[#This Row],[G]]+Tabela2[[#This Row],[D]]+Tabela2[[#This Row],[N]]+Tabela2[[#This Row],[HM]])</f>
        <v>8</v>
      </c>
      <c r="R244" s="180">
        <f>SUM(Tabela2[[#This Row],[AO]]+Tabela2[[#This Row],[AD]]+Tabela2[[#This Row],[GWO]]+Tabela2[[#This Row],[GWD]])</f>
        <v>8</v>
      </c>
      <c r="S244" s="180">
        <f>Tabela2[[#This Row],[GWO]]+Tabela2[[#This Row],[GWD]]</f>
        <v>5</v>
      </c>
      <c r="T244" s="180">
        <f>SUM(Tabela2[[#This Row],[G]:[GWD]])</f>
        <v>16</v>
      </c>
    </row>
    <row r="245" spans="1:20">
      <c r="A245" s="183">
        <v>244</v>
      </c>
      <c r="B245" s="174" t="s">
        <v>478</v>
      </c>
      <c r="C245" s="174" t="s">
        <v>382</v>
      </c>
      <c r="D245" s="174">
        <v>4</v>
      </c>
      <c r="E245" s="174" t="s">
        <v>249</v>
      </c>
      <c r="F245" s="174">
        <v>1</v>
      </c>
      <c r="G245" s="174">
        <v>1</v>
      </c>
      <c r="H245" s="174">
        <v>1</v>
      </c>
      <c r="I245" s="174">
        <v>1</v>
      </c>
      <c r="J245" s="174">
        <v>1</v>
      </c>
      <c r="K245" s="174">
        <v>1</v>
      </c>
      <c r="L245" s="174">
        <v>3</v>
      </c>
      <c r="M245" s="174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6</v>
      </c>
      <c r="S245" s="180">
        <f>Tabela2[[#This Row],[GWO]]+Tabela2[[#This Row],[GWD]]</f>
        <v>4</v>
      </c>
      <c r="T245" s="180">
        <f>SUM(Tabela2[[#This Row],[G]:[GWD]])</f>
        <v>10</v>
      </c>
    </row>
    <row r="246" spans="1:20" ht="30">
      <c r="A246" s="183">
        <v>245</v>
      </c>
      <c r="B246" s="174" t="s">
        <v>477</v>
      </c>
      <c r="C246" s="174" t="s">
        <v>451</v>
      </c>
      <c r="D246" s="174">
        <v>4</v>
      </c>
      <c r="E246" s="174" t="s">
        <v>249</v>
      </c>
      <c r="F246" s="174">
        <v>1</v>
      </c>
      <c r="G246" s="174">
        <v>1</v>
      </c>
      <c r="H246" s="174">
        <v>1</v>
      </c>
      <c r="I246" s="174">
        <v>1</v>
      </c>
      <c r="J246" s="174">
        <v>2</v>
      </c>
      <c r="K246" s="174">
        <v>3</v>
      </c>
      <c r="L246" s="174">
        <v>2</v>
      </c>
      <c r="M246" s="174">
        <v>2</v>
      </c>
      <c r="N246" s="170"/>
      <c r="O246" s="170"/>
      <c r="P246" s="170"/>
      <c r="Q246" s="180">
        <f>SUM(Tabela2[[#This Row],[G]]+Tabela2[[#This Row],[D]]+Tabela2[[#This Row],[N]]+Tabela2[[#This Row],[HM]])</f>
        <v>6</v>
      </c>
      <c r="R246" s="180">
        <f>SUM(Tabela2[[#This Row],[AO]]+Tabela2[[#This Row],[AD]]+Tabela2[[#This Row],[GWO]]+Tabela2[[#This Row],[GWD]])</f>
        <v>7</v>
      </c>
      <c r="S246" s="180">
        <f>Tabela2[[#This Row],[GWO]]+Tabela2[[#This Row],[GWD]]</f>
        <v>4</v>
      </c>
      <c r="T246" s="180">
        <f>SUM(Tabela2[[#This Row],[G]:[GWD]])</f>
        <v>13</v>
      </c>
    </row>
    <row r="247" spans="1:20">
      <c r="A247" s="183">
        <v>246</v>
      </c>
      <c r="B247" s="174" t="s">
        <v>476</v>
      </c>
      <c r="C247" s="174" t="s">
        <v>227</v>
      </c>
      <c r="D247" s="174">
        <v>4</v>
      </c>
      <c r="E247" s="174" t="s">
        <v>249</v>
      </c>
      <c r="F247" s="174">
        <v>1</v>
      </c>
      <c r="G247" s="174">
        <v>1</v>
      </c>
      <c r="H247" s="174">
        <v>2</v>
      </c>
      <c r="I247" s="174">
        <v>3</v>
      </c>
      <c r="J247" s="174">
        <v>3</v>
      </c>
      <c r="K247" s="174">
        <v>1</v>
      </c>
      <c r="L247" s="174">
        <v>1</v>
      </c>
      <c r="M247" s="174">
        <v>1</v>
      </c>
      <c r="N247" s="170"/>
      <c r="O247" s="170"/>
      <c r="P247" s="170"/>
      <c r="Q247" s="180">
        <f>SUM(Tabela2[[#This Row],[G]]+Tabela2[[#This Row],[D]]+Tabela2[[#This Row],[N]]+Tabela2[[#This Row],[HM]])</f>
        <v>5</v>
      </c>
      <c r="R247" s="180">
        <f>SUM(Tabela2[[#This Row],[AO]]+Tabela2[[#This Row],[AD]]+Tabela2[[#This Row],[GWO]]+Tabela2[[#This Row],[GWD]])</f>
        <v>8</v>
      </c>
      <c r="S247" s="180">
        <f>Tabela2[[#This Row],[GWO]]+Tabela2[[#This Row],[GWD]]</f>
        <v>2</v>
      </c>
      <c r="T247" s="180">
        <f>SUM(Tabela2[[#This Row],[G]:[GWD]])</f>
        <v>13</v>
      </c>
    </row>
    <row r="248" spans="1:20">
      <c r="A248" s="183">
        <v>247</v>
      </c>
      <c r="B248" s="174" t="s">
        <v>475</v>
      </c>
      <c r="C248" s="174" t="s">
        <v>225</v>
      </c>
      <c r="D248" s="174">
        <v>4</v>
      </c>
      <c r="E248" s="174" t="s">
        <v>249</v>
      </c>
      <c r="F248" s="174">
        <v>1</v>
      </c>
      <c r="G248" s="174">
        <v>2</v>
      </c>
      <c r="H248" s="174">
        <v>1</v>
      </c>
      <c r="I248" s="174">
        <v>4</v>
      </c>
      <c r="J248" s="174">
        <v>5</v>
      </c>
      <c r="K248" s="174">
        <v>5</v>
      </c>
      <c r="L248" s="174">
        <v>3</v>
      </c>
      <c r="M248" s="174">
        <v>3</v>
      </c>
      <c r="N248" s="170"/>
      <c r="O248" s="205" t="s">
        <v>204</v>
      </c>
      <c r="P248" s="170"/>
      <c r="Q248" s="180">
        <f>SUM(Tabela2[[#This Row],[G]]+Tabela2[[#This Row],[D]]+Tabela2[[#This Row],[N]]+Tabela2[[#This Row],[HM]])</f>
        <v>9</v>
      </c>
      <c r="R248" s="180">
        <f>SUM(Tabela2[[#This Row],[AO]]+Tabela2[[#This Row],[AD]]+Tabela2[[#This Row],[GWO]]+Tabela2[[#This Row],[GWD]])</f>
        <v>15</v>
      </c>
      <c r="S248" s="180">
        <f>Tabela2[[#This Row],[GWO]]+Tabela2[[#This Row],[GWD]]</f>
        <v>6</v>
      </c>
      <c r="T248" s="180">
        <f>SUM(Tabela2[[#This Row],[G]:[GWD]])</f>
        <v>24</v>
      </c>
    </row>
    <row r="249" spans="1:20">
      <c r="A249" s="183">
        <v>248</v>
      </c>
      <c r="B249" s="174" t="s">
        <v>474</v>
      </c>
      <c r="C249" s="174" t="s">
        <v>378</v>
      </c>
      <c r="D249" s="174">
        <v>4</v>
      </c>
      <c r="E249" s="174" t="s">
        <v>249</v>
      </c>
      <c r="F249" s="174">
        <v>2</v>
      </c>
      <c r="G249" s="174">
        <v>3</v>
      </c>
      <c r="H249" s="174">
        <v>1</v>
      </c>
      <c r="I249" s="174">
        <v>1</v>
      </c>
      <c r="J249" s="174">
        <v>1</v>
      </c>
      <c r="K249" s="174">
        <v>1</v>
      </c>
      <c r="L249" s="174">
        <v>3</v>
      </c>
      <c r="M249" s="174">
        <v>1</v>
      </c>
      <c r="N249" s="170"/>
      <c r="O249" s="170"/>
      <c r="P249" s="170"/>
      <c r="Q249" s="180">
        <f>SUM(Tabela2[[#This Row],[G]]+Tabela2[[#This Row],[D]]+Tabela2[[#This Row],[N]]+Tabela2[[#This Row],[HM]])</f>
        <v>7</v>
      </c>
      <c r="R249" s="180">
        <f>SUM(Tabela2[[#This Row],[AO]]+Tabela2[[#This Row],[AD]]+Tabela2[[#This Row],[GWO]]+Tabela2[[#This Row],[GWD]])</f>
        <v>6</v>
      </c>
      <c r="S249" s="180">
        <f>Tabela2[[#This Row],[GWO]]+Tabela2[[#This Row],[GWD]]</f>
        <v>4</v>
      </c>
      <c r="T249" s="180">
        <f>SUM(Tabela2[[#This Row],[G]:[GWD]])</f>
        <v>13</v>
      </c>
    </row>
    <row r="250" spans="1:20">
      <c r="A250" s="183">
        <v>249</v>
      </c>
      <c r="B250" s="174" t="s">
        <v>473</v>
      </c>
      <c r="C250" s="174" t="s">
        <v>226</v>
      </c>
      <c r="D250" s="174">
        <v>4</v>
      </c>
      <c r="E250" s="174" t="s">
        <v>249</v>
      </c>
      <c r="F250" s="174">
        <v>1</v>
      </c>
      <c r="G250" s="174">
        <v>2</v>
      </c>
      <c r="H250" s="174">
        <v>1</v>
      </c>
      <c r="I250" s="174">
        <v>1</v>
      </c>
      <c r="J250" s="174">
        <v>1</v>
      </c>
      <c r="K250" s="174">
        <v>1</v>
      </c>
      <c r="L250" s="174">
        <v>2</v>
      </c>
      <c r="M250" s="174">
        <v>1</v>
      </c>
      <c r="N250" s="174" t="s">
        <v>445</v>
      </c>
      <c r="O250" s="174"/>
      <c r="P250" s="174"/>
      <c r="Q250" s="185">
        <f>SUM(Tabela2[[#This Row],[G]]+Tabela2[[#This Row],[D]]+Tabela2[[#This Row],[N]]+Tabela2[[#This Row],[HM]])</f>
        <v>5</v>
      </c>
      <c r="R250" s="185">
        <f>SUM(Tabela2[[#This Row],[AO]]+Tabela2[[#This Row],[AD]]+Tabela2[[#This Row],[GWO]]+Tabela2[[#This Row],[GWD]])</f>
        <v>5</v>
      </c>
      <c r="S250" s="185">
        <f>Tabela2[[#This Row],[GWO]]+Tabela2[[#This Row],[GWD]]</f>
        <v>3</v>
      </c>
      <c r="T250" s="180">
        <f>SUM(Tabela2[[#This Row],[G]:[GWD]])</f>
        <v>10</v>
      </c>
    </row>
    <row r="251" spans="1:20">
      <c r="A251" s="183">
        <v>250</v>
      </c>
      <c r="B251" s="174" t="s">
        <v>472</v>
      </c>
      <c r="C251" s="174" t="s">
        <v>184</v>
      </c>
      <c r="D251" s="174">
        <v>4</v>
      </c>
      <c r="E251" s="174" t="s">
        <v>249</v>
      </c>
      <c r="F251" s="174">
        <v>1</v>
      </c>
      <c r="G251" s="174">
        <v>1</v>
      </c>
      <c r="H251" s="174">
        <v>1</v>
      </c>
      <c r="I251" s="174">
        <v>1</v>
      </c>
      <c r="J251" s="174">
        <v>1</v>
      </c>
      <c r="K251" s="174">
        <v>1</v>
      </c>
      <c r="L251" s="174">
        <v>1</v>
      </c>
      <c r="M251" s="174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251</v>
      </c>
      <c r="B252" s="174" t="s">
        <v>471</v>
      </c>
      <c r="C252" s="174" t="s">
        <v>376</v>
      </c>
      <c r="D252" s="174">
        <v>4</v>
      </c>
      <c r="E252" s="174" t="s">
        <v>249</v>
      </c>
      <c r="F252" s="174">
        <v>1</v>
      </c>
      <c r="G252" s="174">
        <v>1</v>
      </c>
      <c r="H252" s="174">
        <v>1</v>
      </c>
      <c r="I252" s="174">
        <v>1</v>
      </c>
      <c r="J252" s="174">
        <v>1</v>
      </c>
      <c r="K252" s="174">
        <v>1</v>
      </c>
      <c r="L252" s="174">
        <v>1</v>
      </c>
      <c r="M252" s="174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252</v>
      </c>
      <c r="B253" s="172" t="s">
        <v>470</v>
      </c>
      <c r="C253" s="172" t="s">
        <v>419</v>
      </c>
      <c r="D253" s="172">
        <v>4</v>
      </c>
      <c r="E253" s="172" t="s">
        <v>250</v>
      </c>
      <c r="F253" s="172">
        <v>2</v>
      </c>
      <c r="G253" s="172">
        <v>1</v>
      </c>
      <c r="H253" s="172">
        <v>1</v>
      </c>
      <c r="I253" s="172">
        <v>1</v>
      </c>
      <c r="J253" s="172">
        <v>1</v>
      </c>
      <c r="K253" s="172">
        <v>1</v>
      </c>
      <c r="L253" s="172">
        <v>4</v>
      </c>
      <c r="M253" s="172">
        <v>1</v>
      </c>
      <c r="N253" s="170"/>
      <c r="O253" s="191" t="s">
        <v>204</v>
      </c>
      <c r="P253" s="191"/>
      <c r="Q253" s="180">
        <f>SUM(Tabela2[[#This Row],[G]]+Tabela2[[#This Row],[D]]+Tabela2[[#This Row],[N]]+Tabela2[[#This Row],[HM]])</f>
        <v>5</v>
      </c>
      <c r="R253" s="180">
        <f>SUM(Tabela2[[#This Row],[AO]]+Tabela2[[#This Row],[AD]]+Tabela2[[#This Row],[GWO]]+Tabela2[[#This Row],[GWD]])</f>
        <v>7</v>
      </c>
      <c r="S253" s="180">
        <f>Tabela2[[#This Row],[GWO]]+Tabela2[[#This Row],[GWD]]</f>
        <v>5</v>
      </c>
      <c r="T253" s="180">
        <f>SUM(Tabela2[[#This Row],[G]:[GWD]])</f>
        <v>12</v>
      </c>
    </row>
    <row r="254" spans="1:20" ht="30">
      <c r="A254" s="183">
        <v>253</v>
      </c>
      <c r="B254" s="172" t="s">
        <v>469</v>
      </c>
      <c r="C254" s="172" t="s">
        <v>441</v>
      </c>
      <c r="D254" s="172">
        <v>4</v>
      </c>
      <c r="E254" s="172" t="s">
        <v>250</v>
      </c>
      <c r="F254" s="172">
        <v>2</v>
      </c>
      <c r="G254" s="172">
        <v>1</v>
      </c>
      <c r="H254" s="172">
        <v>1</v>
      </c>
      <c r="I254" s="172">
        <v>1</v>
      </c>
      <c r="J254" s="172">
        <v>1</v>
      </c>
      <c r="K254" s="172">
        <v>1</v>
      </c>
      <c r="L254" s="172">
        <v>1</v>
      </c>
      <c r="M254" s="172">
        <v>1</v>
      </c>
      <c r="N254" s="170"/>
      <c r="O254" s="170"/>
      <c r="P254" s="170"/>
      <c r="Q254" s="180">
        <f>SUM(Tabela2[[#This Row],[G]]+Tabela2[[#This Row],[D]]+Tabela2[[#This Row],[N]]+Tabela2[[#This Row],[HM]])</f>
        <v>5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9</v>
      </c>
    </row>
    <row r="255" spans="1:20" ht="30">
      <c r="A255" s="183">
        <v>254</v>
      </c>
      <c r="B255" s="172" t="s">
        <v>468</v>
      </c>
      <c r="C255" s="172" t="s">
        <v>415</v>
      </c>
      <c r="D255" s="172">
        <v>4</v>
      </c>
      <c r="E255" s="172" t="s">
        <v>250</v>
      </c>
      <c r="F255" s="172">
        <v>3</v>
      </c>
      <c r="G255" s="172">
        <v>1</v>
      </c>
      <c r="H255" s="172">
        <v>1</v>
      </c>
      <c r="I255" s="172">
        <v>4</v>
      </c>
      <c r="J255" s="172">
        <v>3</v>
      </c>
      <c r="K255" s="172">
        <v>1</v>
      </c>
      <c r="L255" s="172">
        <v>4</v>
      </c>
      <c r="M255" s="172">
        <v>1</v>
      </c>
      <c r="N255" s="170"/>
      <c r="O255" s="170"/>
      <c r="P255" s="170"/>
      <c r="Q255" s="180">
        <f>SUM(Tabela2[[#This Row],[G]]+Tabela2[[#This Row],[D]]+Tabela2[[#This Row],[N]]+Tabela2[[#This Row],[HM]])</f>
        <v>6</v>
      </c>
      <c r="R255" s="180">
        <f>SUM(Tabela2[[#This Row],[AO]]+Tabela2[[#This Row],[AD]]+Tabela2[[#This Row],[GWO]]+Tabela2[[#This Row],[GWD]])</f>
        <v>12</v>
      </c>
      <c r="S255" s="180">
        <f>Tabela2[[#This Row],[GWO]]+Tabela2[[#This Row],[GWD]]</f>
        <v>5</v>
      </c>
      <c r="T255" s="180">
        <f>SUM(Tabela2[[#This Row],[G]:[GWD]])</f>
        <v>18</v>
      </c>
    </row>
    <row r="256" spans="1:20" ht="30">
      <c r="A256" s="183">
        <v>255</v>
      </c>
      <c r="B256" s="172" t="s">
        <v>467</v>
      </c>
      <c r="C256" s="172" t="s">
        <v>357</v>
      </c>
      <c r="D256" s="172">
        <v>4</v>
      </c>
      <c r="E256" s="172" t="s">
        <v>250</v>
      </c>
      <c r="F256" s="172">
        <v>3</v>
      </c>
      <c r="G256" s="172">
        <v>3</v>
      </c>
      <c r="H256" s="172">
        <v>1</v>
      </c>
      <c r="I256" s="172">
        <v>1</v>
      </c>
      <c r="J256" s="172">
        <v>3</v>
      </c>
      <c r="K256" s="172">
        <v>5</v>
      </c>
      <c r="L256" s="172">
        <v>4</v>
      </c>
      <c r="M256" s="172">
        <v>3</v>
      </c>
      <c r="N256" s="170"/>
      <c r="O256" s="170"/>
      <c r="P256" s="170"/>
      <c r="Q256" s="180">
        <f>SUM(Tabela2[[#This Row],[G]]+Tabela2[[#This Row],[D]]+Tabela2[[#This Row],[N]]+Tabela2[[#This Row],[HM]])</f>
        <v>12</v>
      </c>
      <c r="R256" s="180">
        <f>SUM(Tabela2[[#This Row],[AO]]+Tabela2[[#This Row],[AD]]+Tabela2[[#This Row],[GWO]]+Tabela2[[#This Row],[GWD]])</f>
        <v>11</v>
      </c>
      <c r="S256" s="180">
        <f>Tabela2[[#This Row],[GWO]]+Tabela2[[#This Row],[GWD]]</f>
        <v>7</v>
      </c>
      <c r="T256" s="180">
        <f>SUM(Tabela2[[#This Row],[G]:[GWD]])</f>
        <v>23</v>
      </c>
    </row>
    <row r="257" spans="1:20">
      <c r="A257" s="183">
        <v>256</v>
      </c>
      <c r="B257" s="172" t="s">
        <v>466</v>
      </c>
      <c r="C257" s="172" t="s">
        <v>210</v>
      </c>
      <c r="D257" s="172">
        <v>4</v>
      </c>
      <c r="E257" s="172" t="s">
        <v>250</v>
      </c>
      <c r="F257" s="172">
        <v>5</v>
      </c>
      <c r="G257" s="172">
        <v>1</v>
      </c>
      <c r="H257" s="172">
        <v>2</v>
      </c>
      <c r="I257" s="172">
        <v>5</v>
      </c>
      <c r="J257" s="172">
        <v>1</v>
      </c>
      <c r="K257" s="172">
        <v>1</v>
      </c>
      <c r="L257" s="172">
        <v>5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9</v>
      </c>
      <c r="R257" s="180">
        <f>SUM(Tabela2[[#This Row],[AO]]+Tabela2[[#This Row],[AD]]+Tabela2[[#This Row],[GWO]]+Tabela2[[#This Row],[GWD]])</f>
        <v>12</v>
      </c>
      <c r="S257" s="180">
        <f>Tabela2[[#This Row],[GWO]]+Tabela2[[#This Row],[GWD]]</f>
        <v>6</v>
      </c>
      <c r="T257" s="180">
        <f>SUM(Tabela2[[#This Row],[G]:[GWD]])</f>
        <v>21</v>
      </c>
    </row>
    <row r="258" spans="1:20" ht="30">
      <c r="A258" s="183">
        <v>257</v>
      </c>
      <c r="B258" s="172" t="s">
        <v>465</v>
      </c>
      <c r="C258" s="172" t="s">
        <v>409</v>
      </c>
      <c r="D258" s="172">
        <v>4</v>
      </c>
      <c r="E258" s="172" t="s">
        <v>250</v>
      </c>
      <c r="F258" s="172">
        <v>3</v>
      </c>
      <c r="G258" s="172">
        <v>1</v>
      </c>
      <c r="H258" s="172">
        <v>2</v>
      </c>
      <c r="I258" s="172">
        <v>4</v>
      </c>
      <c r="J258" s="172">
        <v>1</v>
      </c>
      <c r="K258" s="172">
        <v>1</v>
      </c>
      <c r="L258" s="172">
        <v>4</v>
      </c>
      <c r="M258" s="172">
        <v>1</v>
      </c>
      <c r="N258" s="170"/>
      <c r="O258" s="170"/>
      <c r="P258" s="170"/>
      <c r="Q258" s="180">
        <f>SUM(Tabela2[[#This Row],[G]]+Tabela2[[#This Row],[D]]+Tabela2[[#This Row],[N]]+Tabela2[[#This Row],[HM]])</f>
        <v>7</v>
      </c>
      <c r="R258" s="180">
        <f>SUM(Tabela2[[#This Row],[AO]]+Tabela2[[#This Row],[AD]]+Tabela2[[#This Row],[GWO]]+Tabela2[[#This Row],[GWD]])</f>
        <v>10</v>
      </c>
      <c r="S258" s="180">
        <f>Tabela2[[#This Row],[GWO]]+Tabela2[[#This Row],[GWD]]</f>
        <v>5</v>
      </c>
      <c r="T258" s="180">
        <f>SUM(Tabela2[[#This Row],[G]:[GWD]])</f>
        <v>17</v>
      </c>
    </row>
    <row r="259" spans="1:20" ht="30">
      <c r="A259" s="183">
        <v>258</v>
      </c>
      <c r="B259" s="172" t="s">
        <v>464</v>
      </c>
      <c r="C259" s="172" t="s">
        <v>407</v>
      </c>
      <c r="D259" s="172">
        <v>4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0"/>
      <c r="O259" s="170"/>
      <c r="P259" s="170"/>
      <c r="Q259" s="180">
        <f>SUM(Tabela2[[#This Row],[G]]+Tabela2[[#This Row],[D]]+Tabela2[[#This Row],[N]]+Tabela2[[#This Row],[HM]])</f>
        <v>4</v>
      </c>
      <c r="R259" s="180">
        <f>SUM(Tabela2[[#This Row],[AO]]+Tabela2[[#This Row],[AD]]+Tabela2[[#This Row],[GWO]]+Tabela2[[#This Row],[GWD]])</f>
        <v>4</v>
      </c>
      <c r="S259" s="180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259</v>
      </c>
      <c r="B260" s="172" t="s">
        <v>463</v>
      </c>
      <c r="C260" s="172" t="s">
        <v>405</v>
      </c>
      <c r="D260" s="172">
        <v>4</v>
      </c>
      <c r="E260" s="172" t="s">
        <v>250</v>
      </c>
      <c r="F260" s="172">
        <v>2</v>
      </c>
      <c r="G260" s="172">
        <v>1</v>
      </c>
      <c r="H260" s="172">
        <v>1</v>
      </c>
      <c r="I260" s="172">
        <v>1</v>
      </c>
      <c r="J260" s="172">
        <v>1</v>
      </c>
      <c r="K260" s="172">
        <v>1</v>
      </c>
      <c r="L260" s="172">
        <v>2</v>
      </c>
      <c r="M260" s="172">
        <v>1</v>
      </c>
      <c r="N260" s="170"/>
      <c r="O260" s="170"/>
      <c r="P260" s="170"/>
      <c r="Q260" s="180">
        <f>SUM(Tabela2[[#This Row],[G]]+Tabela2[[#This Row],[D]]+Tabela2[[#This Row],[N]]+Tabela2[[#This Row],[HM]])</f>
        <v>5</v>
      </c>
      <c r="R260" s="180">
        <f>SUM(Tabela2[[#This Row],[AO]]+Tabela2[[#This Row],[AD]]+Tabela2[[#This Row],[GWO]]+Tabela2[[#This Row],[GWD]])</f>
        <v>5</v>
      </c>
      <c r="S260" s="180">
        <f>Tabela2[[#This Row],[GWO]]+Tabela2[[#This Row],[GWD]]</f>
        <v>3</v>
      </c>
      <c r="T260" s="180">
        <f>SUM(Tabela2[[#This Row],[G]:[GWD]])</f>
        <v>10</v>
      </c>
    </row>
    <row r="261" spans="1:20" ht="30">
      <c r="A261" s="183">
        <v>260</v>
      </c>
      <c r="B261" s="172" t="s">
        <v>462</v>
      </c>
      <c r="C261" s="172" t="s">
        <v>403</v>
      </c>
      <c r="D261" s="172">
        <v>4</v>
      </c>
      <c r="E261" s="172" t="s">
        <v>250</v>
      </c>
      <c r="F261" s="172">
        <v>3</v>
      </c>
      <c r="G261" s="172">
        <v>1</v>
      </c>
      <c r="H261" s="172">
        <v>2</v>
      </c>
      <c r="I261" s="172">
        <v>1</v>
      </c>
      <c r="J261" s="172">
        <v>1</v>
      </c>
      <c r="K261" s="172">
        <v>1</v>
      </c>
      <c r="L261" s="172">
        <v>1</v>
      </c>
      <c r="M261" s="172">
        <v>1</v>
      </c>
      <c r="N261" s="170"/>
      <c r="O261" s="170"/>
      <c r="P261" s="170"/>
      <c r="Q261" s="180">
        <f>SUM(Tabela2[[#This Row],[G]]+Tabela2[[#This Row],[D]]+Tabela2[[#This Row],[N]]+Tabela2[[#This Row],[HM]])</f>
        <v>7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11</v>
      </c>
    </row>
    <row r="262" spans="1:20">
      <c r="A262" s="183">
        <v>261</v>
      </c>
      <c r="B262" s="172" t="s">
        <v>461</v>
      </c>
      <c r="C262" s="172" t="s">
        <v>398</v>
      </c>
      <c r="D262" s="172">
        <v>4</v>
      </c>
      <c r="E262" s="172" t="s">
        <v>250</v>
      </c>
      <c r="F262" s="172">
        <v>3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6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10</v>
      </c>
    </row>
    <row r="263" spans="1:20" ht="30">
      <c r="A263" s="183">
        <v>262</v>
      </c>
      <c r="B263" s="172" t="s">
        <v>460</v>
      </c>
      <c r="C263" s="172" t="s">
        <v>396</v>
      </c>
      <c r="D263" s="172">
        <v>4</v>
      </c>
      <c r="E263" s="172" t="s">
        <v>250</v>
      </c>
      <c r="F263" s="172">
        <v>3</v>
      </c>
      <c r="G263" s="172">
        <v>1</v>
      </c>
      <c r="H263" s="172">
        <v>1</v>
      </c>
      <c r="I263" s="172">
        <v>1</v>
      </c>
      <c r="J263" s="172">
        <v>2</v>
      </c>
      <c r="K263" s="172">
        <v>1</v>
      </c>
      <c r="L263" s="172">
        <v>3</v>
      </c>
      <c r="M263" s="172">
        <v>3</v>
      </c>
      <c r="N263" s="170"/>
      <c r="O263" s="170"/>
      <c r="P263" s="170"/>
      <c r="Q263" s="180">
        <f>SUM(Tabela2[[#This Row],[G]]+Tabela2[[#This Row],[D]]+Tabela2[[#This Row],[N]]+Tabela2[[#This Row],[HM]])</f>
        <v>6</v>
      </c>
      <c r="R263" s="180">
        <f>SUM(Tabela2[[#This Row],[AO]]+Tabela2[[#This Row],[AD]]+Tabela2[[#This Row],[GWO]]+Tabela2[[#This Row],[GWD]])</f>
        <v>9</v>
      </c>
      <c r="S263" s="180">
        <f>Tabela2[[#This Row],[GWO]]+Tabela2[[#This Row],[GWD]]</f>
        <v>6</v>
      </c>
      <c r="T263" s="180">
        <f>SUM(Tabela2[[#This Row],[G]:[GWD]])</f>
        <v>15</v>
      </c>
    </row>
    <row r="264" spans="1:20" ht="30">
      <c r="A264" s="183">
        <v>263</v>
      </c>
      <c r="B264" s="172" t="s">
        <v>459</v>
      </c>
      <c r="C264" s="172" t="s">
        <v>394</v>
      </c>
      <c r="D264" s="172">
        <v>4</v>
      </c>
      <c r="E264" s="172" t="s">
        <v>250</v>
      </c>
      <c r="F264" s="172">
        <v>3</v>
      </c>
      <c r="G264" s="172">
        <v>1</v>
      </c>
      <c r="H264" s="172">
        <v>1</v>
      </c>
      <c r="I264" s="172">
        <v>1</v>
      </c>
      <c r="J264" s="172">
        <v>1</v>
      </c>
      <c r="K264" s="172">
        <v>1</v>
      </c>
      <c r="L264" s="172">
        <v>3</v>
      </c>
      <c r="M264" s="172">
        <v>1</v>
      </c>
      <c r="N264" s="170"/>
      <c r="O264" s="170"/>
      <c r="P264" s="170"/>
      <c r="Q264" s="180">
        <f>SUM(Tabela2[[#This Row],[G]]+Tabela2[[#This Row],[D]]+Tabela2[[#This Row],[N]]+Tabela2[[#This Row],[HM]])</f>
        <v>6</v>
      </c>
      <c r="R264" s="180">
        <f>SUM(Tabela2[[#This Row],[AO]]+Tabela2[[#This Row],[AD]]+Tabela2[[#This Row],[GWO]]+Tabela2[[#This Row],[GWD]])</f>
        <v>6</v>
      </c>
      <c r="S264" s="180">
        <f>Tabela2[[#This Row],[GWO]]+Tabela2[[#This Row],[GWD]]</f>
        <v>4</v>
      </c>
      <c r="T264" s="180">
        <f>SUM(Tabela2[[#This Row],[G]:[GWD]])</f>
        <v>12</v>
      </c>
    </row>
    <row r="265" spans="1:20" ht="30">
      <c r="A265" s="183">
        <v>264</v>
      </c>
      <c r="B265" s="172" t="s">
        <v>458</v>
      </c>
      <c r="C265" s="172" t="s">
        <v>392</v>
      </c>
      <c r="D265" s="172">
        <v>4</v>
      </c>
      <c r="E265" s="172" t="s">
        <v>250</v>
      </c>
      <c r="F265" s="172">
        <v>4</v>
      </c>
      <c r="G265" s="172">
        <v>1</v>
      </c>
      <c r="H265" s="172">
        <v>4</v>
      </c>
      <c r="I265" s="172">
        <v>1</v>
      </c>
      <c r="J265" s="172">
        <v>1</v>
      </c>
      <c r="K265" s="172">
        <v>1</v>
      </c>
      <c r="L265" s="172">
        <v>3</v>
      </c>
      <c r="M265" s="172">
        <v>1</v>
      </c>
      <c r="N265" s="172" t="s">
        <v>445</v>
      </c>
      <c r="O265" s="172"/>
      <c r="P265" s="172"/>
      <c r="Q265" s="186">
        <f>SUM(Tabela2[[#This Row],[G]]+Tabela2[[#This Row],[D]]+Tabela2[[#This Row],[N]]+Tabela2[[#This Row],[HM]])</f>
        <v>10</v>
      </c>
      <c r="R265" s="186">
        <f>SUM(Tabela2[[#This Row],[AO]]+Tabela2[[#This Row],[AD]]+Tabela2[[#This Row],[GWO]]+Tabela2[[#This Row],[GWD]])</f>
        <v>6</v>
      </c>
      <c r="S265" s="186">
        <f>Tabela2[[#This Row],[GWO]]+Tabela2[[#This Row],[GWD]]</f>
        <v>4</v>
      </c>
      <c r="T265" s="180">
        <f>SUM(Tabela2[[#This Row],[G]:[GWD]])</f>
        <v>16</v>
      </c>
    </row>
    <row r="266" spans="1:20">
      <c r="A266" s="183">
        <v>265</v>
      </c>
      <c r="B266" s="172" t="s">
        <v>356</v>
      </c>
      <c r="C266" s="172" t="s">
        <v>215</v>
      </c>
      <c r="D266" s="172">
        <v>4</v>
      </c>
      <c r="E266" s="172" t="s">
        <v>250</v>
      </c>
      <c r="F266" s="172">
        <v>5</v>
      </c>
      <c r="G266" s="172">
        <v>1</v>
      </c>
      <c r="H266" s="172">
        <v>5</v>
      </c>
      <c r="I266" s="172">
        <v>1</v>
      </c>
      <c r="J266" s="172">
        <v>1</v>
      </c>
      <c r="K266" s="172">
        <v>1</v>
      </c>
      <c r="L266" s="172">
        <v>3</v>
      </c>
      <c r="M266" s="172">
        <v>1</v>
      </c>
      <c r="N266" s="173"/>
      <c r="O266" s="173" t="s">
        <v>204</v>
      </c>
      <c r="P266" s="173"/>
      <c r="Q266" s="181">
        <f>SUM(Tabela2[[#This Row],[G]]+Tabela2[[#This Row],[D]]+Tabela2[[#This Row],[N]]+Tabela2[[#This Row],[HM]])</f>
        <v>12</v>
      </c>
      <c r="R266" s="181">
        <f>SUM(Tabela2[[#This Row],[AO]]+Tabela2[[#This Row],[AD]]+Tabela2[[#This Row],[GWO]]+Tabela2[[#This Row],[GWD]])</f>
        <v>6</v>
      </c>
      <c r="S266" s="181">
        <f>Tabela2[[#This Row],[GWO]]+Tabela2[[#This Row],[GWD]]</f>
        <v>4</v>
      </c>
      <c r="T266" s="181">
        <f>SUM(Tabela2[[#This Row],[G]:[GWD]])</f>
        <v>18</v>
      </c>
    </row>
    <row r="267" spans="1:20" ht="30">
      <c r="A267" s="183">
        <v>266</v>
      </c>
      <c r="B267" s="172" t="s">
        <v>457</v>
      </c>
      <c r="C267" s="172" t="s">
        <v>344</v>
      </c>
      <c r="D267" s="172">
        <v>4</v>
      </c>
      <c r="E267" s="172" t="s">
        <v>250</v>
      </c>
      <c r="F267" s="172">
        <v>3</v>
      </c>
      <c r="G267" s="172">
        <v>1</v>
      </c>
      <c r="H267" s="172">
        <v>1</v>
      </c>
      <c r="I267" s="172">
        <v>3</v>
      </c>
      <c r="J267" s="172">
        <v>1</v>
      </c>
      <c r="K267" s="172">
        <v>1</v>
      </c>
      <c r="L267" s="172">
        <v>2</v>
      </c>
      <c r="M267" s="172">
        <v>1</v>
      </c>
      <c r="N267" s="170"/>
      <c r="O267" s="170" t="s">
        <v>204</v>
      </c>
      <c r="P267" s="170"/>
      <c r="Q267" s="180">
        <f>SUM(Tabela2[[#This Row],[G]]+Tabela2[[#This Row],[D]]+Tabela2[[#This Row],[N]]+Tabela2[[#This Row],[HM]])</f>
        <v>6</v>
      </c>
      <c r="R267" s="180">
        <f>SUM(Tabela2[[#This Row],[AO]]+Tabela2[[#This Row],[AD]]+Tabela2[[#This Row],[GWO]]+Tabela2[[#This Row],[GWD]])</f>
        <v>7</v>
      </c>
      <c r="S267" s="180">
        <f>Tabela2[[#This Row],[GWO]]+Tabela2[[#This Row],[GWD]]</f>
        <v>3</v>
      </c>
      <c r="T267" s="180">
        <f>SUM(Tabela2[[#This Row],[G]:[GWD]])</f>
        <v>13</v>
      </c>
    </row>
    <row r="268" spans="1:20">
      <c r="A268" s="183">
        <v>267</v>
      </c>
      <c r="B268" s="172" t="s">
        <v>456</v>
      </c>
      <c r="C268" s="172" t="s">
        <v>388</v>
      </c>
      <c r="D268" s="172">
        <v>4</v>
      </c>
      <c r="E268" s="172" t="s">
        <v>250</v>
      </c>
      <c r="F268" s="172">
        <v>2</v>
      </c>
      <c r="G268" s="172">
        <v>1</v>
      </c>
      <c r="H268" s="172">
        <v>3</v>
      </c>
      <c r="I268" s="172">
        <v>1</v>
      </c>
      <c r="J268" s="172">
        <v>1</v>
      </c>
      <c r="K268" s="172">
        <v>1</v>
      </c>
      <c r="L268" s="172">
        <v>3</v>
      </c>
      <c r="M268" s="172">
        <v>1</v>
      </c>
      <c r="N268" s="170"/>
      <c r="O268" s="170"/>
      <c r="P268" s="170"/>
      <c r="Q268" s="180">
        <f>SUM(Tabela2[[#This Row],[G]]+Tabela2[[#This Row],[D]]+Tabela2[[#This Row],[N]]+Tabela2[[#This Row],[HM]])</f>
        <v>7</v>
      </c>
      <c r="R268" s="180">
        <f>SUM(Tabela2[[#This Row],[AO]]+Tabela2[[#This Row],[AD]]+Tabela2[[#This Row],[GWO]]+Tabela2[[#This Row],[GWD]])</f>
        <v>6</v>
      </c>
      <c r="S268" s="180">
        <f>Tabela2[[#This Row],[GWO]]+Tabela2[[#This Row],[GWD]]</f>
        <v>4</v>
      </c>
      <c r="T268" s="180">
        <f>SUM(Tabela2[[#This Row],[G]:[GWD]])</f>
        <v>13</v>
      </c>
    </row>
    <row r="269" spans="1:20" ht="30">
      <c r="A269" s="183">
        <v>268</v>
      </c>
      <c r="B269" s="172" t="s">
        <v>455</v>
      </c>
      <c r="C269" s="172" t="s">
        <v>386</v>
      </c>
      <c r="D269" s="172">
        <v>4</v>
      </c>
      <c r="E269" s="172" t="s">
        <v>250</v>
      </c>
      <c r="F269" s="172">
        <v>2</v>
      </c>
      <c r="G269" s="172">
        <v>1</v>
      </c>
      <c r="H269" s="172">
        <v>1</v>
      </c>
      <c r="I269" s="172">
        <v>1</v>
      </c>
      <c r="J269" s="172">
        <v>1</v>
      </c>
      <c r="K269" s="172">
        <v>1</v>
      </c>
      <c r="L269" s="172">
        <v>3</v>
      </c>
      <c r="M269" s="172">
        <v>1</v>
      </c>
      <c r="N269" s="170"/>
      <c r="O269" s="170"/>
      <c r="P269" s="170"/>
      <c r="Q269" s="180">
        <f>SUM(Tabela2[[#This Row],[G]]+Tabela2[[#This Row],[D]]+Tabela2[[#This Row],[N]]+Tabela2[[#This Row],[HM]])</f>
        <v>5</v>
      </c>
      <c r="R269" s="180">
        <f>SUM(Tabela2[[#This Row],[AO]]+Tabela2[[#This Row],[AD]]+Tabela2[[#This Row],[GWO]]+Tabela2[[#This Row],[GWD]])</f>
        <v>6</v>
      </c>
      <c r="S269" s="180">
        <f>Tabela2[[#This Row],[GWO]]+Tabela2[[#This Row],[GWD]]</f>
        <v>4</v>
      </c>
      <c r="T269" s="180">
        <f>SUM(Tabela2[[#This Row],[G]:[GWD]])</f>
        <v>11</v>
      </c>
    </row>
    <row r="270" spans="1:20">
      <c r="A270" s="183">
        <v>269</v>
      </c>
      <c r="B270" s="172" t="s">
        <v>454</v>
      </c>
      <c r="C270" s="172" t="s">
        <v>384</v>
      </c>
      <c r="D270" s="172">
        <v>4</v>
      </c>
      <c r="E270" s="172" t="s">
        <v>250</v>
      </c>
      <c r="F270" s="172">
        <v>3</v>
      </c>
      <c r="G270" s="172">
        <v>1</v>
      </c>
      <c r="H270" s="172">
        <v>4</v>
      </c>
      <c r="I270" s="172">
        <v>2</v>
      </c>
      <c r="J270" s="172">
        <v>1</v>
      </c>
      <c r="K270" s="172">
        <v>1</v>
      </c>
      <c r="L270" s="172">
        <v>3</v>
      </c>
      <c r="M270" s="172">
        <v>1</v>
      </c>
      <c r="N270" s="170"/>
      <c r="O270" s="170"/>
      <c r="P270" s="170"/>
      <c r="Q270" s="180">
        <f>SUM(Tabela2[[#This Row],[G]]+Tabela2[[#This Row],[D]]+Tabela2[[#This Row],[N]]+Tabela2[[#This Row],[HM]])</f>
        <v>9</v>
      </c>
      <c r="R270" s="180">
        <f>SUM(Tabela2[[#This Row],[AO]]+Tabela2[[#This Row],[AD]]+Tabela2[[#This Row],[GWO]]+Tabela2[[#This Row],[GWD]])</f>
        <v>7</v>
      </c>
      <c r="S270" s="180">
        <f>Tabela2[[#This Row],[GWO]]+Tabela2[[#This Row],[GWD]]</f>
        <v>4</v>
      </c>
      <c r="T270" s="180">
        <f>SUM(Tabela2[[#This Row],[G]:[GWD]])</f>
        <v>16</v>
      </c>
    </row>
    <row r="271" spans="1:20">
      <c r="A271" s="183">
        <v>270</v>
      </c>
      <c r="B271" s="172" t="s">
        <v>453</v>
      </c>
      <c r="C271" s="172" t="s">
        <v>382</v>
      </c>
      <c r="D271" s="172">
        <v>4</v>
      </c>
      <c r="E271" s="172" t="s">
        <v>250</v>
      </c>
      <c r="F271" s="172">
        <v>1</v>
      </c>
      <c r="G271" s="172">
        <v>1</v>
      </c>
      <c r="H271" s="172">
        <v>1</v>
      </c>
      <c r="I271" s="172">
        <v>1</v>
      </c>
      <c r="J271" s="172">
        <v>1</v>
      </c>
      <c r="K271" s="172">
        <v>1</v>
      </c>
      <c r="L271" s="172">
        <v>3</v>
      </c>
      <c r="M271" s="172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6</v>
      </c>
      <c r="S271" s="180">
        <f>Tabela2[[#This Row],[GWO]]+Tabela2[[#This Row],[GWD]]</f>
        <v>4</v>
      </c>
      <c r="T271" s="180">
        <f>SUM(Tabela2[[#This Row],[G]:[GWD]])</f>
        <v>10</v>
      </c>
    </row>
    <row r="272" spans="1:20" ht="30">
      <c r="A272" s="183">
        <v>271</v>
      </c>
      <c r="B272" s="172" t="s">
        <v>452</v>
      </c>
      <c r="C272" s="172" t="s">
        <v>451</v>
      </c>
      <c r="D272" s="172">
        <v>4</v>
      </c>
      <c r="E272" s="172" t="s">
        <v>250</v>
      </c>
      <c r="F272" s="172">
        <v>5</v>
      </c>
      <c r="G272" s="172">
        <v>3</v>
      </c>
      <c r="H272" s="172">
        <v>3</v>
      </c>
      <c r="I272" s="172">
        <v>4</v>
      </c>
      <c r="J272" s="172">
        <v>5</v>
      </c>
      <c r="K272" s="172">
        <v>5</v>
      </c>
      <c r="L272" s="172">
        <v>5</v>
      </c>
      <c r="M272" s="172">
        <v>5</v>
      </c>
      <c r="N272" s="170"/>
      <c r="O272" s="170"/>
      <c r="P272" s="170"/>
      <c r="Q272" s="180">
        <f>SUM(Tabela2[[#This Row],[G]]+Tabela2[[#This Row],[D]]+Tabela2[[#This Row],[N]]+Tabela2[[#This Row],[HM]])</f>
        <v>16</v>
      </c>
      <c r="R272" s="180">
        <f>SUM(Tabela2[[#This Row],[AO]]+Tabela2[[#This Row],[AD]]+Tabela2[[#This Row],[GWO]]+Tabela2[[#This Row],[GWD]])</f>
        <v>19</v>
      </c>
      <c r="S272" s="180">
        <f>Tabela2[[#This Row],[GWO]]+Tabela2[[#This Row],[GWD]]</f>
        <v>10</v>
      </c>
      <c r="T272" s="180">
        <f>SUM(Tabela2[[#This Row],[G]:[GWD]])</f>
        <v>35</v>
      </c>
    </row>
    <row r="273" spans="1:20">
      <c r="A273" s="183">
        <v>272</v>
      </c>
      <c r="B273" s="172" t="s">
        <v>450</v>
      </c>
      <c r="C273" s="172" t="s">
        <v>227</v>
      </c>
      <c r="D273" s="172">
        <v>4</v>
      </c>
      <c r="E273" s="172" t="s">
        <v>250</v>
      </c>
      <c r="F273" s="172">
        <v>2</v>
      </c>
      <c r="G273" s="172">
        <v>1</v>
      </c>
      <c r="H273" s="172">
        <v>4</v>
      </c>
      <c r="I273" s="172">
        <v>1</v>
      </c>
      <c r="J273" s="172">
        <v>1</v>
      </c>
      <c r="K273" s="172">
        <v>1</v>
      </c>
      <c r="L273" s="172">
        <v>3</v>
      </c>
      <c r="M273" s="172">
        <v>1</v>
      </c>
      <c r="N273" s="170"/>
      <c r="O273" s="170"/>
      <c r="P273" s="170"/>
      <c r="Q273" s="180">
        <f>SUM(Tabela2[[#This Row],[G]]+Tabela2[[#This Row],[D]]+Tabela2[[#This Row],[N]]+Tabela2[[#This Row],[HM]])</f>
        <v>8</v>
      </c>
      <c r="R273" s="180">
        <f>SUM(Tabela2[[#This Row],[AO]]+Tabela2[[#This Row],[AD]]+Tabela2[[#This Row],[GWO]]+Tabela2[[#This Row],[GWD]])</f>
        <v>6</v>
      </c>
      <c r="S273" s="180">
        <f>Tabela2[[#This Row],[GWO]]+Tabela2[[#This Row],[GWD]]</f>
        <v>4</v>
      </c>
      <c r="T273" s="180">
        <f>SUM(Tabela2[[#This Row],[G]:[GWD]])</f>
        <v>14</v>
      </c>
    </row>
    <row r="274" spans="1:20">
      <c r="A274" s="183">
        <v>273</v>
      </c>
      <c r="B274" s="172" t="s">
        <v>449</v>
      </c>
      <c r="C274" s="172" t="s">
        <v>225</v>
      </c>
      <c r="D274" s="172">
        <v>4</v>
      </c>
      <c r="E274" s="172" t="s">
        <v>250</v>
      </c>
      <c r="F274" s="172">
        <v>2</v>
      </c>
      <c r="G274" s="172">
        <v>1</v>
      </c>
      <c r="H274" s="172">
        <v>1</v>
      </c>
      <c r="I274" s="172">
        <v>3</v>
      </c>
      <c r="J274" s="172">
        <v>1</v>
      </c>
      <c r="K274" s="172">
        <v>1</v>
      </c>
      <c r="L274" s="172">
        <v>2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5</v>
      </c>
      <c r="R274" s="180">
        <f>SUM(Tabela2[[#This Row],[AO]]+Tabela2[[#This Row],[AD]]+Tabela2[[#This Row],[GWO]]+Tabela2[[#This Row],[GWD]])</f>
        <v>7</v>
      </c>
      <c r="S274" s="180">
        <f>Tabela2[[#This Row],[GWO]]+Tabela2[[#This Row],[GWD]]</f>
        <v>3</v>
      </c>
      <c r="T274" s="180">
        <f>SUM(Tabela2[[#This Row],[G]:[GWD]])</f>
        <v>12</v>
      </c>
    </row>
    <row r="275" spans="1:20">
      <c r="A275" s="183">
        <v>274</v>
      </c>
      <c r="B275" s="172" t="s">
        <v>448</v>
      </c>
      <c r="C275" s="172" t="s">
        <v>378</v>
      </c>
      <c r="D275" s="172">
        <v>4</v>
      </c>
      <c r="E275" s="172" t="s">
        <v>250</v>
      </c>
      <c r="F275" s="172">
        <v>5</v>
      </c>
      <c r="G275" s="172">
        <v>1</v>
      </c>
      <c r="H275" s="172">
        <v>1</v>
      </c>
      <c r="I275" s="172">
        <v>1</v>
      </c>
      <c r="J275" s="172">
        <v>1</v>
      </c>
      <c r="K275" s="172">
        <v>3</v>
      </c>
      <c r="L275" s="172">
        <v>3</v>
      </c>
      <c r="M275" s="172">
        <v>2</v>
      </c>
      <c r="N275" s="170"/>
      <c r="O275" s="170"/>
      <c r="P275" s="170"/>
      <c r="Q275" s="180">
        <f>SUM(Tabela2[[#This Row],[G]]+Tabela2[[#This Row],[D]]+Tabela2[[#This Row],[N]]+Tabela2[[#This Row],[HM]])</f>
        <v>10</v>
      </c>
      <c r="R275" s="180">
        <f>SUM(Tabela2[[#This Row],[AO]]+Tabela2[[#This Row],[AD]]+Tabela2[[#This Row],[GWO]]+Tabela2[[#This Row],[GWD]])</f>
        <v>7</v>
      </c>
      <c r="S275" s="180">
        <f>Tabela2[[#This Row],[GWO]]+Tabela2[[#This Row],[GWD]]</f>
        <v>5</v>
      </c>
      <c r="T275" s="180">
        <f>SUM(Tabela2[[#This Row],[G]:[GWD]])</f>
        <v>17</v>
      </c>
    </row>
    <row r="276" spans="1:20">
      <c r="A276" s="183">
        <v>275</v>
      </c>
      <c r="B276" s="172" t="s">
        <v>447</v>
      </c>
      <c r="C276" s="172" t="s">
        <v>226</v>
      </c>
      <c r="D276" s="172">
        <v>4</v>
      </c>
      <c r="E276" s="172" t="s">
        <v>250</v>
      </c>
      <c r="F276" s="172">
        <v>4</v>
      </c>
      <c r="G276" s="172">
        <v>1</v>
      </c>
      <c r="H276" s="172">
        <v>1</v>
      </c>
      <c r="I276" s="172">
        <v>3</v>
      </c>
      <c r="J276" s="172">
        <v>3</v>
      </c>
      <c r="K276" s="172">
        <v>2</v>
      </c>
      <c r="L276" s="172">
        <v>4</v>
      </c>
      <c r="M276" s="172">
        <v>2</v>
      </c>
      <c r="N276" s="170"/>
      <c r="O276" s="204" t="s">
        <v>204</v>
      </c>
      <c r="P276" s="170"/>
      <c r="Q276" s="180">
        <f>SUM(Tabela2[[#This Row],[G]]+Tabela2[[#This Row],[D]]+Tabela2[[#This Row],[N]]+Tabela2[[#This Row],[HM]])</f>
        <v>8</v>
      </c>
      <c r="R276" s="180">
        <f>SUM(Tabela2[[#This Row],[AO]]+Tabela2[[#This Row],[AD]]+Tabela2[[#This Row],[GWO]]+Tabela2[[#This Row],[GWD]])</f>
        <v>12</v>
      </c>
      <c r="S276" s="180">
        <f>Tabela2[[#This Row],[GWO]]+Tabela2[[#This Row],[GWD]]</f>
        <v>6</v>
      </c>
      <c r="T276" s="180">
        <f>SUM(Tabela2[[#This Row],[G]:[GWD]])</f>
        <v>20</v>
      </c>
    </row>
    <row r="277" spans="1:20">
      <c r="A277" s="183">
        <v>276</v>
      </c>
      <c r="B277" s="172" t="s">
        <v>446</v>
      </c>
      <c r="C277" s="172" t="s">
        <v>184</v>
      </c>
      <c r="D277" s="172">
        <v>4</v>
      </c>
      <c r="E277" s="172" t="s">
        <v>250</v>
      </c>
      <c r="F277" s="172">
        <v>4</v>
      </c>
      <c r="G277" s="172">
        <v>1</v>
      </c>
      <c r="H277" s="172">
        <v>1</v>
      </c>
      <c r="I277" s="172">
        <v>1</v>
      </c>
      <c r="J277" s="172">
        <v>1</v>
      </c>
      <c r="K277" s="172">
        <v>1</v>
      </c>
      <c r="L277" s="172">
        <v>3</v>
      </c>
      <c r="M277" s="172">
        <v>1</v>
      </c>
      <c r="N277" s="172" t="s">
        <v>445</v>
      </c>
      <c r="O277" s="172"/>
      <c r="P277" s="172"/>
      <c r="Q277" s="186">
        <f>SUM(Tabela2[[#This Row],[G]]+Tabela2[[#This Row],[D]]+Tabela2[[#This Row],[N]]+Tabela2[[#This Row],[HM]])</f>
        <v>7</v>
      </c>
      <c r="R277" s="186">
        <f>SUM(Tabela2[[#This Row],[AO]]+Tabela2[[#This Row],[AD]]+Tabela2[[#This Row],[GWO]]+Tabela2[[#This Row],[GWD]])</f>
        <v>6</v>
      </c>
      <c r="S277" s="186">
        <f>Tabela2[[#This Row],[GWO]]+Tabela2[[#This Row],[GWD]]</f>
        <v>4</v>
      </c>
      <c r="T277" s="180">
        <f>SUM(Tabela2[[#This Row],[G]:[GWD]])</f>
        <v>13</v>
      </c>
    </row>
    <row r="278" spans="1:20">
      <c r="A278" s="183">
        <v>277</v>
      </c>
      <c r="B278" s="172" t="s">
        <v>444</v>
      </c>
      <c r="C278" s="172" t="s">
        <v>376</v>
      </c>
      <c r="D278" s="172">
        <v>4</v>
      </c>
      <c r="E278" s="172" t="s">
        <v>250</v>
      </c>
      <c r="F278" s="172">
        <v>3</v>
      </c>
      <c r="G278" s="172">
        <v>1</v>
      </c>
      <c r="H278" s="172">
        <v>1</v>
      </c>
      <c r="I278" s="172">
        <v>3</v>
      </c>
      <c r="J278" s="172">
        <v>1</v>
      </c>
      <c r="K278" s="172">
        <v>3</v>
      </c>
      <c r="L278" s="172">
        <v>1</v>
      </c>
      <c r="M278" s="172">
        <v>1</v>
      </c>
      <c r="N278" s="170"/>
      <c r="O278" s="170"/>
      <c r="P278" s="170"/>
      <c r="Q278" s="180">
        <f>SUM(Tabela2[[#This Row],[G]]+Tabela2[[#This Row],[D]]+Tabela2[[#This Row],[N]]+Tabela2[[#This Row],[HM]])</f>
        <v>8</v>
      </c>
      <c r="R278" s="180">
        <f>SUM(Tabela2[[#This Row],[AO]]+Tabela2[[#This Row],[AD]]+Tabela2[[#This Row],[GWO]]+Tabela2[[#This Row],[GWD]])</f>
        <v>6</v>
      </c>
      <c r="S278" s="180">
        <f>Tabela2[[#This Row],[GWO]]+Tabela2[[#This Row],[GWD]]</f>
        <v>2</v>
      </c>
      <c r="T278" s="180">
        <f>SUM(Tabela2[[#This Row],[G]:[GWD]])</f>
        <v>14</v>
      </c>
    </row>
    <row r="279" spans="1:20">
      <c r="A279" s="183">
        <v>278</v>
      </c>
      <c r="B279" s="171" t="s">
        <v>443</v>
      </c>
      <c r="C279" s="171" t="s">
        <v>419</v>
      </c>
      <c r="D279" s="171">
        <v>4</v>
      </c>
      <c r="E279" s="171" t="s">
        <v>251</v>
      </c>
      <c r="F279" s="171">
        <v>1</v>
      </c>
      <c r="G279" s="171">
        <v>1</v>
      </c>
      <c r="H279" s="171">
        <v>1</v>
      </c>
      <c r="I279" s="171">
        <v>1</v>
      </c>
      <c r="J279" s="171">
        <v>1</v>
      </c>
      <c r="K279" s="171">
        <v>1</v>
      </c>
      <c r="L279" s="171">
        <v>3</v>
      </c>
      <c r="M279" s="171">
        <v>1</v>
      </c>
      <c r="N279" s="170"/>
      <c r="O279" s="170"/>
      <c r="P279" s="170"/>
      <c r="Q279" s="180">
        <f>SUM(Tabela2[[#This Row],[G]]+Tabela2[[#This Row],[D]]+Tabela2[[#This Row],[N]]+Tabela2[[#This Row],[HM]])</f>
        <v>4</v>
      </c>
      <c r="R279" s="180">
        <f>SUM(Tabela2[[#This Row],[AO]]+Tabela2[[#This Row],[AD]]+Tabela2[[#This Row],[GWO]]+Tabela2[[#This Row],[GWD]])</f>
        <v>6</v>
      </c>
      <c r="S279" s="180">
        <f>Tabela2[[#This Row],[GWO]]+Tabela2[[#This Row],[GWD]]</f>
        <v>4</v>
      </c>
      <c r="T279" s="180">
        <f>SUM(Tabela2[[#This Row],[G]:[GWD]])</f>
        <v>10</v>
      </c>
    </row>
    <row r="280" spans="1:20" ht="30">
      <c r="A280" s="183">
        <v>279</v>
      </c>
      <c r="B280" s="171" t="s">
        <v>442</v>
      </c>
      <c r="C280" s="171" t="s">
        <v>441</v>
      </c>
      <c r="D280" s="171">
        <v>4</v>
      </c>
      <c r="E280" s="171" t="s">
        <v>251</v>
      </c>
      <c r="F280" s="171">
        <v>2</v>
      </c>
      <c r="G280" s="171">
        <v>2</v>
      </c>
      <c r="H280" s="171">
        <v>2</v>
      </c>
      <c r="I280" s="171">
        <v>3</v>
      </c>
      <c r="J280" s="171">
        <v>1</v>
      </c>
      <c r="K280" s="171">
        <v>1</v>
      </c>
      <c r="L280" s="171">
        <v>4</v>
      </c>
      <c r="M280" s="171">
        <v>1</v>
      </c>
      <c r="N280" s="170"/>
      <c r="O280" s="170"/>
      <c r="P280" s="170"/>
      <c r="Q280" s="180">
        <f>SUM(Tabela2[[#This Row],[G]]+Tabela2[[#This Row],[D]]+Tabela2[[#This Row],[N]]+Tabela2[[#This Row],[HM]])</f>
        <v>7</v>
      </c>
      <c r="R280" s="180">
        <f>SUM(Tabela2[[#This Row],[AO]]+Tabela2[[#This Row],[AD]]+Tabela2[[#This Row],[GWO]]+Tabela2[[#This Row],[GWD]])</f>
        <v>9</v>
      </c>
      <c r="S280" s="180">
        <f>Tabela2[[#This Row],[GWO]]+Tabela2[[#This Row],[GWD]]</f>
        <v>5</v>
      </c>
      <c r="T280" s="180">
        <f>SUM(Tabela2[[#This Row],[G]:[GWD]])</f>
        <v>16</v>
      </c>
    </row>
    <row r="281" spans="1:20" ht="30">
      <c r="A281" s="183">
        <v>280</v>
      </c>
      <c r="B281" s="171" t="s">
        <v>440</v>
      </c>
      <c r="C281" s="171" t="s">
        <v>415</v>
      </c>
      <c r="D281" s="171">
        <v>4</v>
      </c>
      <c r="E281" s="171" t="s">
        <v>251</v>
      </c>
      <c r="F281" s="171">
        <v>1</v>
      </c>
      <c r="G281" s="171">
        <v>1</v>
      </c>
      <c r="H281" s="171">
        <v>1</v>
      </c>
      <c r="I281" s="171">
        <v>4</v>
      </c>
      <c r="J281" s="171">
        <v>3</v>
      </c>
      <c r="K281" s="171">
        <v>3</v>
      </c>
      <c r="L281" s="171">
        <v>3</v>
      </c>
      <c r="M281" s="171">
        <v>3</v>
      </c>
      <c r="N281" s="170"/>
      <c r="O281" s="170"/>
      <c r="P281" s="170"/>
      <c r="Q281" s="180">
        <f>SUM(Tabela2[[#This Row],[G]]+Tabela2[[#This Row],[D]]+Tabela2[[#This Row],[N]]+Tabela2[[#This Row],[HM]])</f>
        <v>6</v>
      </c>
      <c r="R281" s="180">
        <f>SUM(Tabela2[[#This Row],[AO]]+Tabela2[[#This Row],[AD]]+Tabela2[[#This Row],[GWO]]+Tabela2[[#This Row],[GWD]])</f>
        <v>13</v>
      </c>
      <c r="S281" s="180">
        <f>Tabela2[[#This Row],[GWO]]+Tabela2[[#This Row],[GWD]]</f>
        <v>6</v>
      </c>
      <c r="T281" s="180">
        <f>SUM(Tabela2[[#This Row],[G]:[GWD]])</f>
        <v>19</v>
      </c>
    </row>
    <row r="282" spans="1:20" ht="30">
      <c r="A282" s="183">
        <v>281</v>
      </c>
      <c r="B282" s="171" t="s">
        <v>439</v>
      </c>
      <c r="C282" s="171" t="s">
        <v>357</v>
      </c>
      <c r="D282" s="171">
        <v>4</v>
      </c>
      <c r="E282" s="171" t="s">
        <v>251</v>
      </c>
      <c r="F282" s="171">
        <v>3</v>
      </c>
      <c r="G282" s="171">
        <v>1</v>
      </c>
      <c r="H282" s="171">
        <v>1</v>
      </c>
      <c r="I282" s="171">
        <v>1</v>
      </c>
      <c r="J282" s="171">
        <v>3</v>
      </c>
      <c r="K282" s="171">
        <v>1</v>
      </c>
      <c r="L282" s="171">
        <v>3</v>
      </c>
      <c r="M282" s="171">
        <v>3</v>
      </c>
      <c r="N282" s="170"/>
      <c r="O282" s="170"/>
      <c r="P282" s="170"/>
      <c r="Q282" s="180">
        <f>SUM(Tabela2[[#This Row],[G]]+Tabela2[[#This Row],[D]]+Tabela2[[#This Row],[N]]+Tabela2[[#This Row],[HM]])</f>
        <v>6</v>
      </c>
      <c r="R282" s="180">
        <f>SUM(Tabela2[[#This Row],[AO]]+Tabela2[[#This Row],[AD]]+Tabela2[[#This Row],[GWO]]+Tabela2[[#This Row],[GWD]])</f>
        <v>10</v>
      </c>
      <c r="S282" s="180">
        <f>Tabela2[[#This Row],[GWO]]+Tabela2[[#This Row],[GWD]]</f>
        <v>6</v>
      </c>
      <c r="T282" s="180">
        <f>SUM(Tabela2[[#This Row],[G]:[GWD]])</f>
        <v>16</v>
      </c>
    </row>
    <row r="283" spans="1:20">
      <c r="A283" s="183">
        <v>282</v>
      </c>
      <c r="B283" s="171" t="s">
        <v>438</v>
      </c>
      <c r="C283" s="171" t="s">
        <v>210</v>
      </c>
      <c r="D283" s="171">
        <v>4</v>
      </c>
      <c r="E283" s="171" t="s">
        <v>251</v>
      </c>
      <c r="F283" s="171">
        <v>1</v>
      </c>
      <c r="G283" s="171">
        <v>1</v>
      </c>
      <c r="H283" s="171">
        <v>1</v>
      </c>
      <c r="I283" s="171">
        <v>4</v>
      </c>
      <c r="J283" s="171">
        <v>1</v>
      </c>
      <c r="K283" s="171">
        <v>3</v>
      </c>
      <c r="L283" s="171">
        <v>4</v>
      </c>
      <c r="M283" s="171">
        <v>3</v>
      </c>
      <c r="N283" s="170"/>
      <c r="O283" s="170"/>
      <c r="P283" s="170"/>
      <c r="Q283" s="180">
        <f>SUM(Tabela2[[#This Row],[G]]+Tabela2[[#This Row],[D]]+Tabela2[[#This Row],[N]]+Tabela2[[#This Row],[HM]])</f>
        <v>6</v>
      </c>
      <c r="R283" s="180">
        <f>SUM(Tabela2[[#This Row],[AO]]+Tabela2[[#This Row],[AD]]+Tabela2[[#This Row],[GWO]]+Tabela2[[#This Row],[GWD]])</f>
        <v>12</v>
      </c>
      <c r="S283" s="180">
        <f>Tabela2[[#This Row],[GWO]]+Tabela2[[#This Row],[GWD]]</f>
        <v>7</v>
      </c>
      <c r="T283" s="180">
        <f>SUM(Tabela2[[#This Row],[G]:[GWD]])</f>
        <v>18</v>
      </c>
    </row>
    <row r="284" spans="1:20" ht="30">
      <c r="A284" s="183">
        <v>283</v>
      </c>
      <c r="B284" s="171" t="s">
        <v>437</v>
      </c>
      <c r="C284" s="171" t="s">
        <v>409</v>
      </c>
      <c r="D284" s="171">
        <v>4</v>
      </c>
      <c r="E284" s="171" t="s">
        <v>251</v>
      </c>
      <c r="F284" s="171">
        <v>1</v>
      </c>
      <c r="G284" s="171">
        <v>1</v>
      </c>
      <c r="H284" s="171">
        <v>2</v>
      </c>
      <c r="I284" s="171">
        <v>4</v>
      </c>
      <c r="J284" s="171">
        <v>2</v>
      </c>
      <c r="K284" s="171">
        <v>1</v>
      </c>
      <c r="L284" s="171">
        <v>3</v>
      </c>
      <c r="M284" s="171">
        <v>1</v>
      </c>
      <c r="N284" s="170"/>
      <c r="O284" s="170"/>
      <c r="P284" s="170"/>
      <c r="Q284" s="180">
        <f>SUM(Tabela2[[#This Row],[G]]+Tabela2[[#This Row],[D]]+Tabela2[[#This Row],[N]]+Tabela2[[#This Row],[HM]])</f>
        <v>5</v>
      </c>
      <c r="R284" s="180">
        <f>SUM(Tabela2[[#This Row],[AO]]+Tabela2[[#This Row],[AD]]+Tabela2[[#This Row],[GWO]]+Tabela2[[#This Row],[GWD]])</f>
        <v>10</v>
      </c>
      <c r="S284" s="180">
        <f>Tabela2[[#This Row],[GWO]]+Tabela2[[#This Row],[GWD]]</f>
        <v>4</v>
      </c>
      <c r="T284" s="180">
        <f>SUM(Tabela2[[#This Row],[G]:[GWD]])</f>
        <v>15</v>
      </c>
    </row>
    <row r="285" spans="1:20" ht="30">
      <c r="A285" s="183">
        <v>284</v>
      </c>
      <c r="B285" s="171" t="s">
        <v>436</v>
      </c>
      <c r="C285" s="171" t="s">
        <v>407</v>
      </c>
      <c r="D285" s="171">
        <v>4</v>
      </c>
      <c r="E285" s="171" t="s">
        <v>251</v>
      </c>
      <c r="F285" s="171">
        <v>2</v>
      </c>
      <c r="G285" s="171">
        <v>2</v>
      </c>
      <c r="H285" s="171">
        <v>4</v>
      </c>
      <c r="I285" s="171">
        <v>4</v>
      </c>
      <c r="J285" s="171">
        <v>4</v>
      </c>
      <c r="K285" s="171">
        <v>1</v>
      </c>
      <c r="L285" s="171">
        <v>5</v>
      </c>
      <c r="M285" s="171">
        <v>4</v>
      </c>
      <c r="N285" s="170"/>
      <c r="O285" s="170"/>
      <c r="P285" s="170"/>
      <c r="Q285" s="180">
        <f>SUM(Tabela2[[#This Row],[G]]+Tabela2[[#This Row],[D]]+Tabela2[[#This Row],[N]]+Tabela2[[#This Row],[HM]])</f>
        <v>9</v>
      </c>
      <c r="R285" s="180">
        <f>SUM(Tabela2[[#This Row],[AO]]+Tabela2[[#This Row],[AD]]+Tabela2[[#This Row],[GWO]]+Tabela2[[#This Row],[GWD]])</f>
        <v>17</v>
      </c>
      <c r="S285" s="180">
        <f>Tabela2[[#This Row],[GWO]]+Tabela2[[#This Row],[GWD]]</f>
        <v>9</v>
      </c>
      <c r="T285" s="180">
        <f>SUM(Tabela2[[#This Row],[G]:[GWD]])</f>
        <v>26</v>
      </c>
    </row>
    <row r="286" spans="1:20">
      <c r="A286" s="183">
        <v>285</v>
      </c>
      <c r="B286" s="171" t="s">
        <v>435</v>
      </c>
      <c r="C286" s="171" t="s">
        <v>405</v>
      </c>
      <c r="D286" s="171">
        <v>4</v>
      </c>
      <c r="E286" s="171" t="s">
        <v>251</v>
      </c>
      <c r="F286" s="171">
        <v>1</v>
      </c>
      <c r="G286" s="171">
        <v>1</v>
      </c>
      <c r="H286" s="171">
        <v>1</v>
      </c>
      <c r="I286" s="171">
        <v>1</v>
      </c>
      <c r="J286" s="171">
        <v>3</v>
      </c>
      <c r="K286" s="171">
        <v>1</v>
      </c>
      <c r="L286" s="171">
        <v>3</v>
      </c>
      <c r="M286" s="171">
        <v>3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10</v>
      </c>
      <c r="S286" s="180">
        <f>Tabela2[[#This Row],[GWO]]+Tabela2[[#This Row],[GWD]]</f>
        <v>6</v>
      </c>
      <c r="T286" s="180">
        <f>SUM(Tabela2[[#This Row],[G]:[GWD]])</f>
        <v>14</v>
      </c>
    </row>
    <row r="287" spans="1:20" ht="30">
      <c r="A287" s="183">
        <v>286</v>
      </c>
      <c r="B287" s="171" t="s">
        <v>434</v>
      </c>
      <c r="C287" s="171" t="s">
        <v>403</v>
      </c>
      <c r="D287" s="171">
        <v>4</v>
      </c>
      <c r="E287" s="171" t="s">
        <v>251</v>
      </c>
      <c r="F287" s="171">
        <v>3</v>
      </c>
      <c r="G287" s="171">
        <v>3</v>
      </c>
      <c r="H287" s="171">
        <v>4</v>
      </c>
      <c r="I287" s="171">
        <v>2</v>
      </c>
      <c r="J287" s="171">
        <v>2</v>
      </c>
      <c r="K287" s="171">
        <v>2</v>
      </c>
      <c r="L287" s="171">
        <v>3</v>
      </c>
      <c r="M287" s="171">
        <v>2</v>
      </c>
      <c r="N287" s="170"/>
      <c r="O287" s="194" t="s">
        <v>204</v>
      </c>
      <c r="P287" s="170"/>
      <c r="Q287" s="180">
        <f>SUM(Tabela2[[#This Row],[G]]+Tabela2[[#This Row],[D]]+Tabela2[[#This Row],[N]]+Tabela2[[#This Row],[HM]])</f>
        <v>12</v>
      </c>
      <c r="R287" s="180">
        <f>SUM(Tabela2[[#This Row],[AO]]+Tabela2[[#This Row],[AD]]+Tabela2[[#This Row],[GWO]]+Tabela2[[#This Row],[GWD]])</f>
        <v>9</v>
      </c>
      <c r="S287" s="180">
        <f>Tabela2[[#This Row],[GWO]]+Tabela2[[#This Row],[GWD]]</f>
        <v>5</v>
      </c>
      <c r="T287" s="180">
        <f>SUM(Tabela2[[#This Row],[G]:[GWD]])</f>
        <v>21</v>
      </c>
    </row>
    <row r="288" spans="1:20" ht="30">
      <c r="A288" s="183">
        <v>287</v>
      </c>
      <c r="B288" s="171" t="s">
        <v>433</v>
      </c>
      <c r="C288" s="171" t="s">
        <v>400</v>
      </c>
      <c r="D288" s="171">
        <v>4</v>
      </c>
      <c r="E288" s="171" t="s">
        <v>251</v>
      </c>
      <c r="F288" s="171">
        <v>1</v>
      </c>
      <c r="G288" s="171">
        <v>1</v>
      </c>
      <c r="H288" s="171">
        <v>1</v>
      </c>
      <c r="I288" s="171">
        <v>2</v>
      </c>
      <c r="J288" s="171">
        <v>1</v>
      </c>
      <c r="K288" s="171">
        <v>1</v>
      </c>
      <c r="L288" s="171">
        <v>4</v>
      </c>
      <c r="M288" s="171">
        <v>1</v>
      </c>
      <c r="N288" s="170"/>
      <c r="O288" s="170"/>
      <c r="P288" s="170"/>
      <c r="Q288" s="180">
        <f>SUM(Tabela2[[#This Row],[G]]+Tabela2[[#This Row],[D]]+Tabela2[[#This Row],[N]]+Tabela2[[#This Row],[HM]])</f>
        <v>4</v>
      </c>
      <c r="R288" s="180">
        <f>SUM(Tabela2[[#This Row],[AO]]+Tabela2[[#This Row],[AD]]+Tabela2[[#This Row],[GWO]]+Tabela2[[#This Row],[GWD]])</f>
        <v>8</v>
      </c>
      <c r="S288" s="180">
        <f>Tabela2[[#This Row],[GWO]]+Tabela2[[#This Row],[GWD]]</f>
        <v>5</v>
      </c>
      <c r="T288" s="180">
        <f>SUM(Tabela2[[#This Row],[G]:[GWD]])</f>
        <v>12</v>
      </c>
    </row>
    <row r="289" spans="1:20">
      <c r="A289" s="183">
        <v>288</v>
      </c>
      <c r="B289" s="171" t="s">
        <v>432</v>
      </c>
      <c r="C289" s="171" t="s">
        <v>398</v>
      </c>
      <c r="D289" s="171">
        <v>4</v>
      </c>
      <c r="E289" s="171" t="s">
        <v>251</v>
      </c>
      <c r="F289" s="171">
        <v>3</v>
      </c>
      <c r="G289" s="171">
        <v>2</v>
      </c>
      <c r="H289" s="171">
        <v>1</v>
      </c>
      <c r="I289" s="171">
        <v>1</v>
      </c>
      <c r="J289" s="171">
        <v>3</v>
      </c>
      <c r="K289" s="171">
        <v>1</v>
      </c>
      <c r="L289" s="171">
        <v>3</v>
      </c>
      <c r="M289" s="171">
        <v>5</v>
      </c>
      <c r="N289" s="170"/>
      <c r="O289" s="170"/>
      <c r="P289" s="170"/>
      <c r="Q289" s="180">
        <f>SUM(Tabela2[[#This Row],[G]]+Tabela2[[#This Row],[D]]+Tabela2[[#This Row],[N]]+Tabela2[[#This Row],[HM]])</f>
        <v>7</v>
      </c>
      <c r="R289" s="180">
        <f>SUM(Tabela2[[#This Row],[AO]]+Tabela2[[#This Row],[AD]]+Tabela2[[#This Row],[GWO]]+Tabela2[[#This Row],[GWD]])</f>
        <v>12</v>
      </c>
      <c r="S289" s="180">
        <f>Tabela2[[#This Row],[GWO]]+Tabela2[[#This Row],[GWD]]</f>
        <v>8</v>
      </c>
      <c r="T289" s="180">
        <f>SUM(Tabela2[[#This Row],[G]:[GWD]])</f>
        <v>19</v>
      </c>
    </row>
    <row r="290" spans="1:20" ht="30">
      <c r="A290" s="183">
        <v>289</v>
      </c>
      <c r="B290" s="171" t="s">
        <v>431</v>
      </c>
      <c r="C290" s="171" t="s">
        <v>394</v>
      </c>
      <c r="D290" s="171">
        <v>4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2</v>
      </c>
      <c r="J290" s="171">
        <v>1</v>
      </c>
      <c r="K290" s="171">
        <v>1</v>
      </c>
      <c r="L290" s="171">
        <v>4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8</v>
      </c>
      <c r="S290" s="180">
        <f>Tabela2[[#This Row],[GWO]]+Tabela2[[#This Row],[GWD]]</f>
        <v>5</v>
      </c>
      <c r="T290" s="180">
        <f>SUM(Tabela2[[#This Row],[G]:[GWD]])</f>
        <v>12</v>
      </c>
    </row>
    <row r="291" spans="1:20" ht="30">
      <c r="A291" s="183">
        <v>290</v>
      </c>
      <c r="B291" s="171" t="s">
        <v>430</v>
      </c>
      <c r="C291" s="171" t="s">
        <v>392</v>
      </c>
      <c r="D291" s="171">
        <v>4</v>
      </c>
      <c r="E291" s="171" t="s">
        <v>251</v>
      </c>
      <c r="F291" s="171">
        <v>1</v>
      </c>
      <c r="G291" s="171">
        <v>1</v>
      </c>
      <c r="H291" s="171">
        <v>1</v>
      </c>
      <c r="I291" s="171">
        <v>1</v>
      </c>
      <c r="J291" s="171">
        <v>1</v>
      </c>
      <c r="K291" s="171">
        <v>1</v>
      </c>
      <c r="L291" s="171">
        <v>3</v>
      </c>
      <c r="M291" s="171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6</v>
      </c>
      <c r="S291" s="180">
        <f>Tabela2[[#This Row],[GWO]]+Tabela2[[#This Row],[GWD]]</f>
        <v>4</v>
      </c>
      <c r="T291" s="180">
        <f>SUM(Tabela2[[#This Row],[G]:[GWD]])</f>
        <v>10</v>
      </c>
    </row>
    <row r="292" spans="1:20" ht="30">
      <c r="A292" s="183">
        <v>291</v>
      </c>
      <c r="B292" s="171" t="s">
        <v>429</v>
      </c>
      <c r="C292" s="171" t="s">
        <v>344</v>
      </c>
      <c r="D292" s="171">
        <v>4</v>
      </c>
      <c r="E292" s="171" t="s">
        <v>251</v>
      </c>
      <c r="F292" s="171">
        <v>1</v>
      </c>
      <c r="G292" s="171">
        <v>1</v>
      </c>
      <c r="H292" s="171">
        <v>1</v>
      </c>
      <c r="I292" s="171">
        <v>2</v>
      </c>
      <c r="J292" s="171">
        <v>1</v>
      </c>
      <c r="K292" s="171">
        <v>1</v>
      </c>
      <c r="L292" s="171">
        <v>4</v>
      </c>
      <c r="M292" s="171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8</v>
      </c>
      <c r="S292" s="180">
        <f>Tabela2[[#This Row],[GWO]]+Tabela2[[#This Row],[GWD]]</f>
        <v>5</v>
      </c>
      <c r="T292" s="180">
        <f>SUM(Tabela2[[#This Row],[G]:[GWD]])</f>
        <v>12</v>
      </c>
    </row>
    <row r="293" spans="1:20">
      <c r="A293" s="183">
        <v>292</v>
      </c>
      <c r="B293" s="171" t="s">
        <v>428</v>
      </c>
      <c r="C293" s="171" t="s">
        <v>388</v>
      </c>
      <c r="D293" s="171">
        <v>4</v>
      </c>
      <c r="E293" s="171" t="s">
        <v>251</v>
      </c>
      <c r="F293" s="171">
        <v>1</v>
      </c>
      <c r="G293" s="171">
        <v>4</v>
      </c>
      <c r="H293" s="171">
        <v>3</v>
      </c>
      <c r="I293" s="171">
        <v>1</v>
      </c>
      <c r="J293" s="171">
        <v>1</v>
      </c>
      <c r="K293" s="171">
        <v>1</v>
      </c>
      <c r="L293" s="171">
        <v>3</v>
      </c>
      <c r="M293" s="171">
        <v>1</v>
      </c>
      <c r="N293" s="170"/>
      <c r="O293" s="170"/>
      <c r="P293" s="170"/>
      <c r="Q293" s="180">
        <f>SUM(Tabela2[[#This Row],[G]]+Tabela2[[#This Row],[D]]+Tabela2[[#This Row],[N]]+Tabela2[[#This Row],[HM]])</f>
        <v>9</v>
      </c>
      <c r="R293" s="180">
        <f>SUM(Tabela2[[#This Row],[AO]]+Tabela2[[#This Row],[AD]]+Tabela2[[#This Row],[GWO]]+Tabela2[[#This Row],[GWD]])</f>
        <v>6</v>
      </c>
      <c r="S293" s="180">
        <f>Tabela2[[#This Row],[GWO]]+Tabela2[[#This Row],[GWD]]</f>
        <v>4</v>
      </c>
      <c r="T293" s="180">
        <f>SUM(Tabela2[[#This Row],[G]:[GWD]])</f>
        <v>15</v>
      </c>
    </row>
    <row r="294" spans="1:20" ht="30">
      <c r="A294" s="183">
        <v>293</v>
      </c>
      <c r="B294" s="171" t="s">
        <v>427</v>
      </c>
      <c r="C294" s="171" t="s">
        <v>386</v>
      </c>
      <c r="D294" s="171">
        <v>4</v>
      </c>
      <c r="E294" s="171" t="s">
        <v>251</v>
      </c>
      <c r="F294" s="171">
        <v>1</v>
      </c>
      <c r="G294" s="171">
        <v>1</v>
      </c>
      <c r="H294" s="171">
        <v>1</v>
      </c>
      <c r="I294" s="171">
        <v>4</v>
      </c>
      <c r="J294" s="171">
        <v>1</v>
      </c>
      <c r="K294" s="171">
        <v>1</v>
      </c>
      <c r="L294" s="171">
        <v>3</v>
      </c>
      <c r="M294" s="171">
        <v>1</v>
      </c>
      <c r="N294" s="170"/>
      <c r="O294" s="170"/>
      <c r="P294" s="170"/>
      <c r="Q294" s="180">
        <f>SUM(Tabela2[[#This Row],[G]]+Tabela2[[#This Row],[D]]+Tabela2[[#This Row],[N]]+Tabela2[[#This Row],[HM]])</f>
        <v>4</v>
      </c>
      <c r="R294" s="180">
        <f>SUM(Tabela2[[#This Row],[AO]]+Tabela2[[#This Row],[AD]]+Tabela2[[#This Row],[GWO]]+Tabela2[[#This Row],[GWD]])</f>
        <v>9</v>
      </c>
      <c r="S294" s="180">
        <f>Tabela2[[#This Row],[GWO]]+Tabela2[[#This Row],[GWD]]</f>
        <v>4</v>
      </c>
      <c r="T294" s="180">
        <f>SUM(Tabela2[[#This Row],[G]:[GWD]])</f>
        <v>13</v>
      </c>
    </row>
    <row r="295" spans="1:20">
      <c r="A295" s="183">
        <v>294</v>
      </c>
      <c r="B295" s="171" t="s">
        <v>426</v>
      </c>
      <c r="C295" s="171" t="s">
        <v>384</v>
      </c>
      <c r="D295" s="171">
        <v>4</v>
      </c>
      <c r="E295" s="171" t="s">
        <v>251</v>
      </c>
      <c r="F295" s="171">
        <v>3</v>
      </c>
      <c r="G295" s="171">
        <v>1</v>
      </c>
      <c r="H295" s="171">
        <v>3</v>
      </c>
      <c r="I295" s="171">
        <v>2</v>
      </c>
      <c r="J295" s="171">
        <v>1</v>
      </c>
      <c r="K295" s="171">
        <v>1</v>
      </c>
      <c r="L295" s="171">
        <v>3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8</v>
      </c>
      <c r="R295" s="180">
        <f>SUM(Tabela2[[#This Row],[AO]]+Tabela2[[#This Row],[AD]]+Tabela2[[#This Row],[GWO]]+Tabela2[[#This Row],[GWD]])</f>
        <v>7</v>
      </c>
      <c r="S295" s="180">
        <f>Tabela2[[#This Row],[GWO]]+Tabela2[[#This Row],[GWD]]</f>
        <v>4</v>
      </c>
      <c r="T295" s="180">
        <f>SUM(Tabela2[[#This Row],[G]:[GWD]])</f>
        <v>15</v>
      </c>
    </row>
    <row r="296" spans="1:20">
      <c r="A296" s="183">
        <v>295</v>
      </c>
      <c r="B296" s="171" t="s">
        <v>425</v>
      </c>
      <c r="C296" s="171" t="s">
        <v>382</v>
      </c>
      <c r="D296" s="171">
        <v>4</v>
      </c>
      <c r="E296" s="171" t="s">
        <v>251</v>
      </c>
      <c r="F296" s="171">
        <v>2</v>
      </c>
      <c r="G296" s="171">
        <v>1</v>
      </c>
      <c r="H296" s="171">
        <v>2</v>
      </c>
      <c r="I296" s="171">
        <v>5</v>
      </c>
      <c r="J296" s="171">
        <v>1</v>
      </c>
      <c r="K296" s="171">
        <v>1</v>
      </c>
      <c r="L296" s="171">
        <v>4</v>
      </c>
      <c r="M296" s="171">
        <v>1</v>
      </c>
      <c r="N296" s="170"/>
      <c r="O296" s="170"/>
      <c r="P296" s="170"/>
      <c r="Q296" s="180">
        <f>SUM(Tabela2[[#This Row],[G]]+Tabela2[[#This Row],[D]]+Tabela2[[#This Row],[N]]+Tabela2[[#This Row],[HM]])</f>
        <v>6</v>
      </c>
      <c r="R296" s="180">
        <f>SUM(Tabela2[[#This Row],[AO]]+Tabela2[[#This Row],[AD]]+Tabela2[[#This Row],[GWO]]+Tabela2[[#This Row],[GWD]])</f>
        <v>11</v>
      </c>
      <c r="S296" s="180">
        <f>Tabela2[[#This Row],[GWO]]+Tabela2[[#This Row],[GWD]]</f>
        <v>5</v>
      </c>
      <c r="T296" s="180">
        <f>SUM(Tabela2[[#This Row],[G]:[GWD]])</f>
        <v>17</v>
      </c>
    </row>
    <row r="297" spans="1:20">
      <c r="A297" s="183">
        <v>296</v>
      </c>
      <c r="B297" s="171" t="s">
        <v>424</v>
      </c>
      <c r="C297" s="171" t="s">
        <v>227</v>
      </c>
      <c r="D297" s="171">
        <v>4</v>
      </c>
      <c r="E297" s="171" t="s">
        <v>251</v>
      </c>
      <c r="F297" s="171">
        <v>1</v>
      </c>
      <c r="G297" s="171">
        <v>1</v>
      </c>
      <c r="H297" s="171">
        <v>1</v>
      </c>
      <c r="I297" s="171">
        <v>2</v>
      </c>
      <c r="J297" s="171">
        <v>1</v>
      </c>
      <c r="K297" s="171">
        <v>1</v>
      </c>
      <c r="L297" s="171">
        <v>4</v>
      </c>
      <c r="M297" s="171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8</v>
      </c>
      <c r="S297" s="180">
        <f>Tabela2[[#This Row],[GWO]]+Tabela2[[#This Row],[GWD]]</f>
        <v>5</v>
      </c>
      <c r="T297" s="180">
        <f>SUM(Tabela2[[#This Row],[G]:[GWD]])</f>
        <v>12</v>
      </c>
    </row>
    <row r="298" spans="1:20">
      <c r="A298" s="183">
        <v>297</v>
      </c>
      <c r="B298" s="171" t="s">
        <v>423</v>
      </c>
      <c r="C298" s="171" t="s">
        <v>225</v>
      </c>
      <c r="D298" s="171">
        <v>4</v>
      </c>
      <c r="E298" s="171" t="s">
        <v>251</v>
      </c>
      <c r="F298" s="171">
        <v>2</v>
      </c>
      <c r="G298" s="171">
        <v>1</v>
      </c>
      <c r="H298" s="171">
        <v>1</v>
      </c>
      <c r="I298" s="171">
        <v>3</v>
      </c>
      <c r="J298" s="171">
        <v>2</v>
      </c>
      <c r="K298" s="171">
        <v>1</v>
      </c>
      <c r="L298" s="171">
        <v>3</v>
      </c>
      <c r="M298" s="171">
        <v>2</v>
      </c>
      <c r="N298" s="170"/>
      <c r="O298" s="170"/>
      <c r="P298" s="170"/>
      <c r="Q298" s="180">
        <f>SUM(Tabela2[[#This Row],[G]]+Tabela2[[#This Row],[D]]+Tabela2[[#This Row],[N]]+Tabela2[[#This Row],[HM]])</f>
        <v>5</v>
      </c>
      <c r="R298" s="180">
        <f>SUM(Tabela2[[#This Row],[AO]]+Tabela2[[#This Row],[AD]]+Tabela2[[#This Row],[GWO]]+Tabela2[[#This Row],[GWD]])</f>
        <v>10</v>
      </c>
      <c r="S298" s="180">
        <f>Tabela2[[#This Row],[GWO]]+Tabela2[[#This Row],[GWD]]</f>
        <v>5</v>
      </c>
      <c r="T298" s="180">
        <f>SUM(Tabela2[[#This Row],[G]:[GWD]])</f>
        <v>15</v>
      </c>
    </row>
    <row r="299" spans="1:20">
      <c r="A299" s="183">
        <v>298</v>
      </c>
      <c r="B299" s="171" t="s">
        <v>422</v>
      </c>
      <c r="C299" s="171" t="s">
        <v>378</v>
      </c>
      <c r="D299" s="171">
        <v>4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3</v>
      </c>
      <c r="J299" s="171">
        <v>3</v>
      </c>
      <c r="K299" s="171">
        <v>3</v>
      </c>
      <c r="L299" s="171">
        <v>2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6</v>
      </c>
      <c r="R299" s="180">
        <f>SUM(Tabela2[[#This Row],[AO]]+Tabela2[[#This Row],[AD]]+Tabela2[[#This Row],[GWO]]+Tabela2[[#This Row],[GWD]])</f>
        <v>9</v>
      </c>
      <c r="S299" s="180">
        <f>Tabela2[[#This Row],[GWO]]+Tabela2[[#This Row],[GWD]]</f>
        <v>3</v>
      </c>
      <c r="T299" s="180">
        <f>SUM(Tabela2[[#This Row],[G]:[GWD]])</f>
        <v>15</v>
      </c>
    </row>
    <row r="300" spans="1:20">
      <c r="A300" s="183">
        <v>299</v>
      </c>
      <c r="B300" s="171" t="s">
        <v>421</v>
      </c>
      <c r="C300" s="171" t="s">
        <v>226</v>
      </c>
      <c r="D300" s="171">
        <v>4</v>
      </c>
      <c r="E300" s="171" t="s">
        <v>251</v>
      </c>
      <c r="F300" s="171">
        <v>1</v>
      </c>
      <c r="G300" s="171">
        <v>1</v>
      </c>
      <c r="H300" s="171">
        <v>1</v>
      </c>
      <c r="I300" s="171">
        <v>2</v>
      </c>
      <c r="J300" s="171">
        <v>2</v>
      </c>
      <c r="K300" s="171">
        <v>1</v>
      </c>
      <c r="L300" s="171">
        <v>3</v>
      </c>
      <c r="M300" s="171">
        <v>2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9</v>
      </c>
      <c r="S300" s="180">
        <f>Tabela2[[#This Row],[GWO]]+Tabela2[[#This Row],[GWD]]</f>
        <v>5</v>
      </c>
      <c r="T300" s="180">
        <f>SUM(Tabela2[[#This Row],[G]:[GWD]])</f>
        <v>13</v>
      </c>
    </row>
    <row r="301" spans="1:20">
      <c r="A301" s="183">
        <v>300</v>
      </c>
      <c r="B301" s="170" t="s">
        <v>420</v>
      </c>
      <c r="C301" s="170" t="s">
        <v>419</v>
      </c>
      <c r="D301" s="170">
        <v>4</v>
      </c>
      <c r="E301" s="170" t="s">
        <v>272</v>
      </c>
      <c r="F301" s="170">
        <v>2</v>
      </c>
      <c r="G301" s="170">
        <v>2</v>
      </c>
      <c r="H301" s="170">
        <v>1</v>
      </c>
      <c r="I301" s="170">
        <v>2</v>
      </c>
      <c r="J301" s="170">
        <v>1</v>
      </c>
      <c r="K301" s="170">
        <v>2</v>
      </c>
      <c r="L301" s="170">
        <v>3</v>
      </c>
      <c r="M301" s="170">
        <v>1</v>
      </c>
      <c r="N301" s="170"/>
      <c r="O301" s="170"/>
      <c r="P301" s="170"/>
      <c r="Q301" s="180">
        <f>SUM(Tabela2[[#This Row],[G]]+Tabela2[[#This Row],[D]]+Tabela2[[#This Row],[N]]+Tabela2[[#This Row],[HM]])</f>
        <v>7</v>
      </c>
      <c r="R301" s="180">
        <f>SUM(Tabela2[[#This Row],[AO]]+Tabela2[[#This Row],[AD]]+Tabela2[[#This Row],[GWO]]+Tabela2[[#This Row],[GWD]])</f>
        <v>7</v>
      </c>
      <c r="S301" s="180">
        <f>Tabela2[[#This Row],[GWO]]+Tabela2[[#This Row],[GWD]]</f>
        <v>4</v>
      </c>
      <c r="T301" s="180">
        <f>SUM(Tabela2[[#This Row],[G]:[GWD]])</f>
        <v>14</v>
      </c>
    </row>
    <row r="302" spans="1:20" ht="30">
      <c r="A302" s="183">
        <v>301</v>
      </c>
      <c r="B302" s="170" t="s">
        <v>418</v>
      </c>
      <c r="C302" s="170" t="s">
        <v>417</v>
      </c>
      <c r="D302" s="170">
        <v>4</v>
      </c>
      <c r="E302" s="170" t="s">
        <v>272</v>
      </c>
      <c r="F302" s="170">
        <v>2</v>
      </c>
      <c r="G302" s="170">
        <v>2</v>
      </c>
      <c r="H302" s="170">
        <v>1</v>
      </c>
      <c r="I302" s="170">
        <v>2</v>
      </c>
      <c r="J302" s="170">
        <v>1</v>
      </c>
      <c r="K302" s="170">
        <v>1</v>
      </c>
      <c r="L302" s="170">
        <v>4</v>
      </c>
      <c r="M302" s="170">
        <v>1</v>
      </c>
      <c r="N302" s="170"/>
      <c r="O302" s="170"/>
      <c r="P302" s="170"/>
      <c r="Q302" s="180">
        <f>SUM(Tabela2[[#This Row],[G]]+Tabela2[[#This Row],[D]]+Tabela2[[#This Row],[N]]+Tabela2[[#This Row],[HM]])</f>
        <v>6</v>
      </c>
      <c r="R302" s="180">
        <f>SUM(Tabela2[[#This Row],[AO]]+Tabela2[[#This Row],[AD]]+Tabela2[[#This Row],[GWO]]+Tabela2[[#This Row],[GWD]])</f>
        <v>8</v>
      </c>
      <c r="S302" s="180">
        <f>Tabela2[[#This Row],[GWO]]+Tabela2[[#This Row],[GWD]]</f>
        <v>5</v>
      </c>
      <c r="T302" s="180">
        <f>SUM(Tabela2[[#This Row],[G]:[GWD]])</f>
        <v>14</v>
      </c>
    </row>
    <row r="303" spans="1:20" ht="30">
      <c r="A303" s="183">
        <v>302</v>
      </c>
      <c r="B303" s="170" t="s">
        <v>416</v>
      </c>
      <c r="C303" s="170" t="s">
        <v>415</v>
      </c>
      <c r="D303" s="170">
        <v>4</v>
      </c>
      <c r="E303" s="170" t="s">
        <v>272</v>
      </c>
      <c r="F303" s="170">
        <v>1</v>
      </c>
      <c r="G303" s="170">
        <v>1</v>
      </c>
      <c r="H303" s="170">
        <v>1</v>
      </c>
      <c r="I303" s="170">
        <v>2</v>
      </c>
      <c r="J303" s="170">
        <v>1</v>
      </c>
      <c r="K303" s="170">
        <v>1</v>
      </c>
      <c r="L303" s="170">
        <v>2</v>
      </c>
      <c r="M303" s="170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6</v>
      </c>
      <c r="S303" s="180">
        <f>Tabela2[[#This Row],[GWO]]+Tabela2[[#This Row],[GWD]]</f>
        <v>3</v>
      </c>
      <c r="T303" s="180">
        <f>SUM(Tabela2[[#This Row],[G]:[GWD]])</f>
        <v>10</v>
      </c>
    </row>
    <row r="304" spans="1:20" ht="30">
      <c r="A304" s="183">
        <v>303</v>
      </c>
      <c r="B304" s="170" t="s">
        <v>414</v>
      </c>
      <c r="C304" s="170" t="s">
        <v>357</v>
      </c>
      <c r="D304" s="170">
        <v>4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304</v>
      </c>
      <c r="B305" s="170" t="s">
        <v>413</v>
      </c>
      <c r="C305" s="170" t="s">
        <v>412</v>
      </c>
      <c r="D305" s="170">
        <v>4</v>
      </c>
      <c r="E305" s="170" t="s">
        <v>272</v>
      </c>
      <c r="F305" s="170">
        <v>1</v>
      </c>
      <c r="G305" s="170">
        <v>2</v>
      </c>
      <c r="H305" s="170">
        <v>1</v>
      </c>
      <c r="I305" s="170">
        <v>2</v>
      </c>
      <c r="J305" s="170">
        <v>4</v>
      </c>
      <c r="K305" s="170">
        <v>4</v>
      </c>
      <c r="L305" s="170">
        <v>5</v>
      </c>
      <c r="M305" s="170">
        <v>5</v>
      </c>
      <c r="N305" s="170"/>
      <c r="O305" s="170"/>
      <c r="P305" s="170"/>
      <c r="Q305" s="180">
        <f>SUM(Tabela2[[#This Row],[G]]+Tabela2[[#This Row],[D]]+Tabela2[[#This Row],[N]]+Tabela2[[#This Row],[HM]])</f>
        <v>8</v>
      </c>
      <c r="R305" s="180">
        <f>SUM(Tabela2[[#This Row],[AO]]+Tabela2[[#This Row],[AD]]+Tabela2[[#This Row],[GWO]]+Tabela2[[#This Row],[GWD]])</f>
        <v>16</v>
      </c>
      <c r="S305" s="180">
        <f>Tabela2[[#This Row],[GWO]]+Tabela2[[#This Row],[GWD]]</f>
        <v>10</v>
      </c>
      <c r="T305" s="180">
        <f>SUM(Tabela2[[#This Row],[G]:[GWD]])</f>
        <v>24</v>
      </c>
    </row>
    <row r="306" spans="1:20">
      <c r="A306" s="183">
        <v>305</v>
      </c>
      <c r="B306" s="170" t="s">
        <v>411</v>
      </c>
      <c r="C306" s="170" t="s">
        <v>210</v>
      </c>
      <c r="D306" s="170">
        <v>4</v>
      </c>
      <c r="E306" s="170" t="s">
        <v>272</v>
      </c>
      <c r="F306" s="170">
        <v>1</v>
      </c>
      <c r="G306" s="170">
        <v>1</v>
      </c>
      <c r="H306" s="170">
        <v>1</v>
      </c>
      <c r="I306" s="170">
        <v>2</v>
      </c>
      <c r="J306" s="170">
        <v>1</v>
      </c>
      <c r="K306" s="170">
        <v>1</v>
      </c>
      <c r="L306" s="170">
        <v>2</v>
      </c>
      <c r="M306" s="170">
        <v>1</v>
      </c>
      <c r="N306" s="170"/>
      <c r="O306" s="170"/>
      <c r="P306" s="170"/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6</v>
      </c>
      <c r="S306" s="180">
        <f>Tabela2[[#This Row],[GWO]]+Tabela2[[#This Row],[GWD]]</f>
        <v>3</v>
      </c>
      <c r="T306" s="180">
        <f>SUM(Tabela2[[#This Row],[G]:[GWD]])</f>
        <v>10</v>
      </c>
    </row>
    <row r="307" spans="1:20" ht="30">
      <c r="A307" s="183">
        <v>306</v>
      </c>
      <c r="B307" s="170" t="s">
        <v>410</v>
      </c>
      <c r="C307" s="170" t="s">
        <v>409</v>
      </c>
      <c r="D307" s="170">
        <v>4</v>
      </c>
      <c r="E307" s="170" t="s">
        <v>272</v>
      </c>
      <c r="F307" s="170">
        <v>1</v>
      </c>
      <c r="G307" s="170">
        <v>1</v>
      </c>
      <c r="H307" s="170">
        <v>1</v>
      </c>
      <c r="I307" s="170">
        <v>4</v>
      </c>
      <c r="J307" s="170">
        <v>1</v>
      </c>
      <c r="K307" s="170">
        <v>2</v>
      </c>
      <c r="L307" s="170">
        <v>4</v>
      </c>
      <c r="M307" s="170">
        <v>1</v>
      </c>
      <c r="N307" s="170"/>
      <c r="O307" s="170"/>
      <c r="P307" s="170"/>
      <c r="Q307" s="180">
        <f>SUM(Tabela2[[#This Row],[G]]+Tabela2[[#This Row],[D]]+Tabela2[[#This Row],[N]]+Tabela2[[#This Row],[HM]])</f>
        <v>5</v>
      </c>
      <c r="R307" s="180">
        <f>SUM(Tabela2[[#This Row],[AO]]+Tabela2[[#This Row],[AD]]+Tabela2[[#This Row],[GWO]]+Tabela2[[#This Row],[GWD]])</f>
        <v>10</v>
      </c>
      <c r="S307" s="180">
        <f>Tabela2[[#This Row],[GWO]]+Tabela2[[#This Row],[GWD]]</f>
        <v>5</v>
      </c>
      <c r="T307" s="180">
        <f>SUM(Tabela2[[#This Row],[G]:[GWD]])</f>
        <v>15</v>
      </c>
    </row>
    <row r="308" spans="1:20" ht="30">
      <c r="A308" s="183">
        <v>307</v>
      </c>
      <c r="B308" s="170" t="s">
        <v>408</v>
      </c>
      <c r="C308" s="170" t="s">
        <v>407</v>
      </c>
      <c r="D308" s="170">
        <v>4</v>
      </c>
      <c r="E308" s="170" t="s">
        <v>272</v>
      </c>
      <c r="F308" s="170">
        <v>1</v>
      </c>
      <c r="G308" s="170">
        <v>1</v>
      </c>
      <c r="H308" s="170">
        <v>3</v>
      </c>
      <c r="I308" s="170">
        <v>2</v>
      </c>
      <c r="J308" s="170">
        <v>1</v>
      </c>
      <c r="K308" s="170">
        <v>1</v>
      </c>
      <c r="L308" s="170">
        <v>3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6</v>
      </c>
      <c r="R308" s="180">
        <f>SUM(Tabela2[[#This Row],[AO]]+Tabela2[[#This Row],[AD]]+Tabela2[[#This Row],[GWO]]+Tabela2[[#This Row],[GWD]])</f>
        <v>7</v>
      </c>
      <c r="S308" s="180">
        <f>Tabela2[[#This Row],[GWO]]+Tabela2[[#This Row],[GWD]]</f>
        <v>4</v>
      </c>
      <c r="T308" s="180">
        <f>SUM(Tabela2[[#This Row],[G]:[GWD]])</f>
        <v>13</v>
      </c>
    </row>
    <row r="309" spans="1:20">
      <c r="A309" s="183">
        <v>308</v>
      </c>
      <c r="B309" s="170" t="s">
        <v>406</v>
      </c>
      <c r="C309" s="170" t="s">
        <v>405</v>
      </c>
      <c r="D309" s="170">
        <v>4</v>
      </c>
      <c r="E309" s="170" t="s">
        <v>272</v>
      </c>
      <c r="F309" s="170">
        <v>1</v>
      </c>
      <c r="G309" s="170">
        <v>1</v>
      </c>
      <c r="H309" s="170">
        <v>1</v>
      </c>
      <c r="I309" s="170">
        <v>1</v>
      </c>
      <c r="J309" s="170">
        <v>1</v>
      </c>
      <c r="K309" s="170">
        <v>1</v>
      </c>
      <c r="L309" s="170">
        <v>1</v>
      </c>
      <c r="M309" s="170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 ht="30">
      <c r="A310" s="183">
        <v>309</v>
      </c>
      <c r="B310" s="170" t="s">
        <v>404</v>
      </c>
      <c r="C310" s="170" t="s">
        <v>403</v>
      </c>
      <c r="D310" s="170">
        <v>4</v>
      </c>
      <c r="E310" s="170" t="s">
        <v>272</v>
      </c>
      <c r="F310" s="170">
        <v>1</v>
      </c>
      <c r="G310" s="170">
        <v>1</v>
      </c>
      <c r="H310" s="170">
        <v>3</v>
      </c>
      <c r="I310" s="170">
        <v>1</v>
      </c>
      <c r="J310" s="170">
        <v>1</v>
      </c>
      <c r="K310" s="170">
        <v>1</v>
      </c>
      <c r="L310" s="170">
        <v>2</v>
      </c>
      <c r="M310" s="170">
        <v>1</v>
      </c>
      <c r="N310" s="170"/>
      <c r="O310" s="170"/>
      <c r="P310" s="170"/>
      <c r="Q310" s="180">
        <f>SUM(Tabela2[[#This Row],[G]]+Tabela2[[#This Row],[D]]+Tabela2[[#This Row],[N]]+Tabela2[[#This Row],[HM]])</f>
        <v>6</v>
      </c>
      <c r="R310" s="180">
        <f>SUM(Tabela2[[#This Row],[AO]]+Tabela2[[#This Row],[AD]]+Tabela2[[#This Row],[GWO]]+Tabela2[[#This Row],[GWD]])</f>
        <v>5</v>
      </c>
      <c r="S310" s="180">
        <f>Tabela2[[#This Row],[GWO]]+Tabela2[[#This Row],[GWD]]</f>
        <v>3</v>
      </c>
      <c r="T310" s="180">
        <f>SUM(Tabela2[[#This Row],[G]:[GWD]])</f>
        <v>11</v>
      </c>
    </row>
    <row r="311" spans="1:20" ht="30">
      <c r="A311" s="183">
        <v>310</v>
      </c>
      <c r="B311" s="170" t="s">
        <v>402</v>
      </c>
      <c r="C311" s="170" t="s">
        <v>400</v>
      </c>
      <c r="D311" s="170">
        <v>4</v>
      </c>
      <c r="E311" s="170" t="s">
        <v>272</v>
      </c>
      <c r="F311" s="170">
        <v>1</v>
      </c>
      <c r="G311" s="170">
        <v>1</v>
      </c>
      <c r="H311" s="170">
        <v>1</v>
      </c>
      <c r="I311" s="170">
        <v>2</v>
      </c>
      <c r="J311" s="170">
        <v>1</v>
      </c>
      <c r="K311" s="170">
        <v>1</v>
      </c>
      <c r="L311" s="170">
        <v>3</v>
      </c>
      <c r="M311" s="170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7</v>
      </c>
      <c r="S311" s="180">
        <f>Tabela2[[#This Row],[GWO]]+Tabela2[[#This Row],[GWD]]</f>
        <v>4</v>
      </c>
      <c r="T311" s="180">
        <f>SUM(Tabela2[[#This Row],[G]:[GWD]])</f>
        <v>11</v>
      </c>
    </row>
    <row r="312" spans="1:20" ht="30">
      <c r="A312" s="183">
        <v>311</v>
      </c>
      <c r="B312" s="170" t="s">
        <v>401</v>
      </c>
      <c r="C312" s="170" t="s">
        <v>400</v>
      </c>
      <c r="D312" s="170">
        <v>4</v>
      </c>
      <c r="E312" s="170" t="s">
        <v>272</v>
      </c>
      <c r="F312" s="170">
        <v>1</v>
      </c>
      <c r="G312" s="170">
        <v>1</v>
      </c>
      <c r="H312" s="170">
        <v>1</v>
      </c>
      <c r="I312" s="170">
        <v>2</v>
      </c>
      <c r="J312" s="170">
        <v>1</v>
      </c>
      <c r="K312" s="170">
        <v>1</v>
      </c>
      <c r="L312" s="170">
        <v>3</v>
      </c>
      <c r="M312" s="170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7</v>
      </c>
      <c r="S312" s="180">
        <f>Tabela2[[#This Row],[GWO]]+Tabela2[[#This Row],[GWD]]</f>
        <v>4</v>
      </c>
      <c r="T312" s="180">
        <f>SUM(Tabela2[[#This Row],[G]:[GWD]])</f>
        <v>11</v>
      </c>
    </row>
    <row r="313" spans="1:20">
      <c r="A313" s="183">
        <v>312</v>
      </c>
      <c r="B313" s="170" t="s">
        <v>399</v>
      </c>
      <c r="C313" s="170" t="s">
        <v>398</v>
      </c>
      <c r="D313" s="170">
        <v>4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4</v>
      </c>
      <c r="K313" s="170">
        <v>1</v>
      </c>
      <c r="L313" s="170">
        <v>1</v>
      </c>
      <c r="M313" s="170">
        <v>3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9</v>
      </c>
      <c r="S313" s="180">
        <f>Tabela2[[#This Row],[GWO]]+Tabela2[[#This Row],[GWD]]</f>
        <v>4</v>
      </c>
      <c r="T313" s="180">
        <f>SUM(Tabela2[[#This Row],[G]:[GWD]])</f>
        <v>13</v>
      </c>
    </row>
    <row r="314" spans="1:20" ht="30">
      <c r="A314" s="183">
        <v>313</v>
      </c>
      <c r="B314" s="170" t="s">
        <v>397</v>
      </c>
      <c r="C314" s="170" t="s">
        <v>396</v>
      </c>
      <c r="D314" s="170"/>
      <c r="E314" s="170" t="s">
        <v>272</v>
      </c>
      <c r="F314" s="170">
        <v>1</v>
      </c>
      <c r="G314" s="170">
        <v>1</v>
      </c>
      <c r="H314" s="170">
        <v>1</v>
      </c>
      <c r="I314" s="170">
        <v>1</v>
      </c>
      <c r="J314" s="170">
        <v>1</v>
      </c>
      <c r="K314" s="170">
        <v>3</v>
      </c>
      <c r="L314" s="170">
        <v>3</v>
      </c>
      <c r="M314" s="170">
        <v>1</v>
      </c>
      <c r="N314" s="170"/>
      <c r="O314" s="170"/>
      <c r="P314" s="170"/>
      <c r="Q314" s="180">
        <f>SUM(Tabela2[[#This Row],[G]]+Tabela2[[#This Row],[D]]+Tabela2[[#This Row],[N]]+Tabela2[[#This Row],[HM]])</f>
        <v>6</v>
      </c>
      <c r="R314" s="180">
        <f>SUM(Tabela2[[#This Row],[AO]]+Tabela2[[#This Row],[AD]]+Tabela2[[#This Row],[GWO]]+Tabela2[[#This Row],[GWD]])</f>
        <v>6</v>
      </c>
      <c r="S314" s="180">
        <f>Tabela2[[#This Row],[GWO]]+Tabela2[[#This Row],[GWD]]</f>
        <v>4</v>
      </c>
      <c r="T314" s="180">
        <f>SUM(Tabela2[[#This Row],[G]:[GWD]])</f>
        <v>12</v>
      </c>
    </row>
    <row r="315" spans="1:20" ht="30">
      <c r="A315" s="183">
        <v>314</v>
      </c>
      <c r="B315" s="170" t="s">
        <v>395</v>
      </c>
      <c r="C315" s="170" t="s">
        <v>394</v>
      </c>
      <c r="D315" s="170">
        <v>4</v>
      </c>
      <c r="E315" s="170" t="s">
        <v>272</v>
      </c>
      <c r="F315" s="170">
        <v>1</v>
      </c>
      <c r="G315" s="170">
        <v>1</v>
      </c>
      <c r="H315" s="170">
        <v>1</v>
      </c>
      <c r="I315" s="170">
        <v>1</v>
      </c>
      <c r="J315" s="170">
        <v>1</v>
      </c>
      <c r="K315" s="170">
        <v>1</v>
      </c>
      <c r="L315" s="170">
        <v>3</v>
      </c>
      <c r="M315" s="170">
        <v>3</v>
      </c>
      <c r="N315" s="170"/>
      <c r="O315" s="170"/>
      <c r="P315" s="170"/>
      <c r="Q315" s="180">
        <f>SUM(Tabela2[[#This Row],[G]]+Tabela2[[#This Row],[D]]+Tabela2[[#This Row],[N]]+Tabela2[[#This Row],[HM]])</f>
        <v>4</v>
      </c>
      <c r="R315" s="180">
        <f>SUM(Tabela2[[#This Row],[AO]]+Tabela2[[#This Row],[AD]]+Tabela2[[#This Row],[GWO]]+Tabela2[[#This Row],[GWD]])</f>
        <v>8</v>
      </c>
      <c r="S315" s="180">
        <f>Tabela2[[#This Row],[GWO]]+Tabela2[[#This Row],[GWD]]</f>
        <v>6</v>
      </c>
      <c r="T315" s="180">
        <f>SUM(Tabela2[[#This Row],[G]:[GWD]])</f>
        <v>12</v>
      </c>
    </row>
    <row r="316" spans="1:20" ht="30">
      <c r="A316" s="183">
        <v>315</v>
      </c>
      <c r="B316" s="170" t="s">
        <v>393</v>
      </c>
      <c r="C316" s="170" t="s">
        <v>392</v>
      </c>
      <c r="D316" s="170">
        <v>4</v>
      </c>
      <c r="E316" s="170" t="s">
        <v>272</v>
      </c>
      <c r="F316" s="170">
        <v>1</v>
      </c>
      <c r="G316" s="170">
        <v>1</v>
      </c>
      <c r="H316" s="170">
        <v>3</v>
      </c>
      <c r="I316" s="170">
        <v>1</v>
      </c>
      <c r="J316" s="170">
        <v>1</v>
      </c>
      <c r="K316" s="170">
        <v>1</v>
      </c>
      <c r="L316" s="170">
        <v>3</v>
      </c>
      <c r="M316" s="170">
        <v>1</v>
      </c>
      <c r="N316" s="170"/>
      <c r="O316" s="170"/>
      <c r="P316" s="170"/>
      <c r="Q316" s="180">
        <f>SUM(Tabela2[[#This Row],[G]]+Tabela2[[#This Row],[D]]+Tabela2[[#This Row],[N]]+Tabela2[[#This Row],[HM]])</f>
        <v>6</v>
      </c>
      <c r="R316" s="180">
        <f>SUM(Tabela2[[#This Row],[AO]]+Tabela2[[#This Row],[AD]]+Tabela2[[#This Row],[GWO]]+Tabela2[[#This Row],[GWD]])</f>
        <v>6</v>
      </c>
      <c r="S316" s="180">
        <f>Tabela2[[#This Row],[GWO]]+Tabela2[[#This Row],[GWD]]</f>
        <v>4</v>
      </c>
      <c r="T316" s="180">
        <f>SUM(Tabela2[[#This Row],[G]:[GWD]])</f>
        <v>12</v>
      </c>
    </row>
    <row r="317" spans="1:20">
      <c r="A317" s="183">
        <v>316</v>
      </c>
      <c r="B317" s="170" t="s">
        <v>391</v>
      </c>
      <c r="C317" s="170" t="s">
        <v>215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2</v>
      </c>
      <c r="J317" s="170">
        <v>1</v>
      </c>
      <c r="K317" s="170">
        <v>2</v>
      </c>
      <c r="L317" s="170">
        <v>2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5</v>
      </c>
      <c r="R317" s="180">
        <f>SUM(Tabela2[[#This Row],[AO]]+Tabela2[[#This Row],[AD]]+Tabela2[[#This Row],[GWO]]+Tabela2[[#This Row],[GWD]])</f>
        <v>6</v>
      </c>
      <c r="S317" s="180">
        <f>Tabela2[[#This Row],[GWO]]+Tabela2[[#This Row],[GWD]]</f>
        <v>3</v>
      </c>
      <c r="T317" s="180">
        <f>SUM(Tabela2[[#This Row],[G]:[GWD]])</f>
        <v>11</v>
      </c>
    </row>
    <row r="318" spans="1:20" ht="30">
      <c r="A318" s="183">
        <v>317</v>
      </c>
      <c r="B318" s="170" t="s">
        <v>390</v>
      </c>
      <c r="C318" s="170" t="s">
        <v>344</v>
      </c>
      <c r="D318" s="170">
        <v>4</v>
      </c>
      <c r="E318" s="170" t="s">
        <v>272</v>
      </c>
      <c r="F318" s="170">
        <v>1</v>
      </c>
      <c r="G318" s="170">
        <v>1</v>
      </c>
      <c r="H318" s="170">
        <v>1</v>
      </c>
      <c r="I318" s="170">
        <v>2</v>
      </c>
      <c r="J318" s="170">
        <v>1</v>
      </c>
      <c r="K318" s="170">
        <v>3</v>
      </c>
      <c r="L318" s="170">
        <v>3</v>
      </c>
      <c r="M318" s="170">
        <v>1</v>
      </c>
      <c r="N318" s="170"/>
      <c r="O318" s="170"/>
      <c r="P318" s="170"/>
      <c r="Q318" s="180">
        <f>SUM(Tabela2[[#This Row],[G]]+Tabela2[[#This Row],[D]]+Tabela2[[#This Row],[N]]+Tabela2[[#This Row],[HM]])</f>
        <v>6</v>
      </c>
      <c r="R318" s="180">
        <f>SUM(Tabela2[[#This Row],[AO]]+Tabela2[[#This Row],[AD]]+Tabela2[[#This Row],[GWO]]+Tabela2[[#This Row],[GWD]])</f>
        <v>7</v>
      </c>
      <c r="S318" s="180">
        <f>Tabela2[[#This Row],[GWO]]+Tabela2[[#This Row],[GWD]]</f>
        <v>4</v>
      </c>
      <c r="T318" s="180">
        <f>SUM(Tabela2[[#This Row],[G]:[GWD]])</f>
        <v>13</v>
      </c>
    </row>
    <row r="319" spans="1:20">
      <c r="A319" s="183">
        <v>318</v>
      </c>
      <c r="B319" s="170" t="s">
        <v>389</v>
      </c>
      <c r="C319" s="170" t="s">
        <v>388</v>
      </c>
      <c r="D319" s="170">
        <v>4</v>
      </c>
      <c r="E319" s="170" t="s">
        <v>272</v>
      </c>
      <c r="F319" s="170">
        <v>1</v>
      </c>
      <c r="G319" s="170">
        <v>1</v>
      </c>
      <c r="H319" s="170">
        <v>3</v>
      </c>
      <c r="I319" s="170">
        <v>2</v>
      </c>
      <c r="J319" s="170">
        <v>1</v>
      </c>
      <c r="K319" s="170">
        <v>1</v>
      </c>
      <c r="L319" s="170">
        <v>4</v>
      </c>
      <c r="M319" s="170">
        <v>1</v>
      </c>
      <c r="N319" s="170"/>
      <c r="O319" s="170"/>
      <c r="P319" s="170"/>
      <c r="Q319" s="180">
        <f>SUM(Tabela2[[#This Row],[G]]+Tabela2[[#This Row],[D]]+Tabela2[[#This Row],[N]]+Tabela2[[#This Row],[HM]])</f>
        <v>6</v>
      </c>
      <c r="R319" s="180">
        <f>SUM(Tabela2[[#This Row],[AO]]+Tabela2[[#This Row],[AD]]+Tabela2[[#This Row],[GWO]]+Tabela2[[#This Row],[GWD]])</f>
        <v>8</v>
      </c>
      <c r="S319" s="180">
        <f>Tabela2[[#This Row],[GWO]]+Tabela2[[#This Row],[GWD]]</f>
        <v>5</v>
      </c>
      <c r="T319" s="180">
        <f>SUM(Tabela2[[#This Row],[G]:[GWD]])</f>
        <v>14</v>
      </c>
    </row>
    <row r="320" spans="1:20" ht="30">
      <c r="A320" s="183">
        <v>319</v>
      </c>
      <c r="B320" s="170" t="s">
        <v>387</v>
      </c>
      <c r="C320" s="170" t="s">
        <v>386</v>
      </c>
      <c r="D320" s="170">
        <v>4</v>
      </c>
      <c r="E320" s="170" t="s">
        <v>272</v>
      </c>
      <c r="F320" s="170">
        <v>2</v>
      </c>
      <c r="G320" s="170">
        <v>1</v>
      </c>
      <c r="H320" s="170">
        <v>1</v>
      </c>
      <c r="I320" s="170">
        <v>2</v>
      </c>
      <c r="J320" s="170">
        <v>1</v>
      </c>
      <c r="K320" s="170">
        <v>1</v>
      </c>
      <c r="L320" s="170">
        <v>3</v>
      </c>
      <c r="M320" s="170">
        <v>1</v>
      </c>
      <c r="N320" s="170"/>
      <c r="O320" s="170"/>
      <c r="P320" s="170"/>
      <c r="Q320" s="180">
        <f>SUM(Tabela2[[#This Row],[G]]+Tabela2[[#This Row],[D]]+Tabela2[[#This Row],[N]]+Tabela2[[#This Row],[HM]])</f>
        <v>5</v>
      </c>
      <c r="R320" s="180">
        <f>SUM(Tabela2[[#This Row],[AO]]+Tabela2[[#This Row],[AD]]+Tabela2[[#This Row],[GWO]]+Tabela2[[#This Row],[GWD]])</f>
        <v>7</v>
      </c>
      <c r="S320" s="180">
        <f>Tabela2[[#This Row],[GWO]]+Tabela2[[#This Row],[GWD]]</f>
        <v>4</v>
      </c>
      <c r="T320" s="180">
        <f>SUM(Tabela2[[#This Row],[G]:[GWD]])</f>
        <v>12</v>
      </c>
    </row>
    <row r="321" spans="1:20">
      <c r="A321" s="183">
        <v>320</v>
      </c>
      <c r="B321" s="170" t="s">
        <v>385</v>
      </c>
      <c r="C321" s="170" t="s">
        <v>384</v>
      </c>
      <c r="D321" s="170">
        <v>4</v>
      </c>
      <c r="E321" s="170" t="s">
        <v>272</v>
      </c>
      <c r="F321" s="170">
        <v>3</v>
      </c>
      <c r="G321" s="170">
        <v>1</v>
      </c>
      <c r="H321" s="170">
        <v>5</v>
      </c>
      <c r="I321" s="170">
        <v>3</v>
      </c>
      <c r="J321" s="170">
        <v>1</v>
      </c>
      <c r="K321" s="170">
        <v>1</v>
      </c>
      <c r="L321" s="170">
        <v>4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10</v>
      </c>
      <c r="R321" s="180">
        <f>SUM(Tabela2[[#This Row],[AO]]+Tabela2[[#This Row],[AD]]+Tabela2[[#This Row],[GWO]]+Tabela2[[#This Row],[GWD]])</f>
        <v>9</v>
      </c>
      <c r="S321" s="180">
        <f>Tabela2[[#This Row],[GWO]]+Tabela2[[#This Row],[GWD]]</f>
        <v>5</v>
      </c>
      <c r="T321" s="180">
        <f>SUM(Tabela2[[#This Row],[G]:[GWD]])</f>
        <v>19</v>
      </c>
    </row>
    <row r="322" spans="1:20">
      <c r="A322" s="183">
        <v>321</v>
      </c>
      <c r="B322" s="170" t="s">
        <v>383</v>
      </c>
      <c r="C322" s="170" t="s">
        <v>382</v>
      </c>
      <c r="D322" s="170">
        <v>4</v>
      </c>
      <c r="E322" s="170" t="s">
        <v>272</v>
      </c>
      <c r="F322" s="170">
        <v>2</v>
      </c>
      <c r="G322" s="170">
        <v>2</v>
      </c>
      <c r="H322" s="170">
        <v>1</v>
      </c>
      <c r="I322" s="170">
        <v>5</v>
      </c>
      <c r="J322" s="170">
        <v>1</v>
      </c>
      <c r="K322" s="170">
        <v>1</v>
      </c>
      <c r="L322" s="170">
        <v>4</v>
      </c>
      <c r="M322" s="170">
        <v>1</v>
      </c>
      <c r="N322" s="170"/>
      <c r="O322" s="170"/>
      <c r="P322" s="170"/>
      <c r="Q322" s="180">
        <f>SUM(Tabela2[[#This Row],[G]]+Tabela2[[#This Row],[D]]+Tabela2[[#This Row],[N]]+Tabela2[[#This Row],[HM]])</f>
        <v>6</v>
      </c>
      <c r="R322" s="180">
        <f>SUM(Tabela2[[#This Row],[AO]]+Tabela2[[#This Row],[AD]]+Tabela2[[#This Row],[GWO]]+Tabela2[[#This Row],[GWD]])</f>
        <v>11</v>
      </c>
      <c r="S322" s="180">
        <f>Tabela2[[#This Row],[GWO]]+Tabela2[[#This Row],[GWD]]</f>
        <v>5</v>
      </c>
      <c r="T322" s="180">
        <f>SUM(Tabela2[[#This Row],[G]:[GWD]])</f>
        <v>17</v>
      </c>
    </row>
    <row r="323" spans="1:20">
      <c r="A323" s="183">
        <v>322</v>
      </c>
      <c r="B323" s="170" t="s">
        <v>381</v>
      </c>
      <c r="C323" s="170" t="s">
        <v>227</v>
      </c>
      <c r="D323" s="170">
        <v>4</v>
      </c>
      <c r="E323" s="170" t="s">
        <v>272</v>
      </c>
      <c r="F323" s="170">
        <v>2</v>
      </c>
      <c r="G323" s="170">
        <v>1</v>
      </c>
      <c r="H323" s="170">
        <v>1</v>
      </c>
      <c r="I323" s="170">
        <v>3</v>
      </c>
      <c r="J323" s="170">
        <v>3</v>
      </c>
      <c r="K323" s="170">
        <v>5</v>
      </c>
      <c r="L323" s="170">
        <v>3</v>
      </c>
      <c r="M323" s="170">
        <v>2</v>
      </c>
      <c r="N323" s="170"/>
      <c r="O323" s="170"/>
      <c r="P323" s="170"/>
      <c r="Q323" s="180">
        <f>SUM(Tabela2[[#This Row],[G]]+Tabela2[[#This Row],[D]]+Tabela2[[#This Row],[N]]+Tabela2[[#This Row],[HM]])</f>
        <v>9</v>
      </c>
      <c r="R323" s="180">
        <f>SUM(Tabela2[[#This Row],[AO]]+Tabela2[[#This Row],[AD]]+Tabela2[[#This Row],[GWO]]+Tabela2[[#This Row],[GWD]])</f>
        <v>11</v>
      </c>
      <c r="S323" s="180">
        <f>Tabela2[[#This Row],[GWO]]+Tabela2[[#This Row],[GWD]]</f>
        <v>5</v>
      </c>
      <c r="T323" s="180">
        <f>SUM(Tabela2[[#This Row],[G]:[GWD]])</f>
        <v>20</v>
      </c>
    </row>
    <row r="324" spans="1:20">
      <c r="A324" s="183">
        <v>323</v>
      </c>
      <c r="B324" s="170" t="s">
        <v>380</v>
      </c>
      <c r="C324" s="170" t="s">
        <v>225</v>
      </c>
      <c r="D324" s="170">
        <v>4</v>
      </c>
      <c r="E324" s="170" t="s">
        <v>272</v>
      </c>
      <c r="F324" s="170">
        <v>2</v>
      </c>
      <c r="G324" s="170">
        <v>1</v>
      </c>
      <c r="H324" s="170">
        <v>1</v>
      </c>
      <c r="I324" s="170">
        <v>2</v>
      </c>
      <c r="J324" s="170">
        <v>3</v>
      </c>
      <c r="K324" s="170">
        <v>3</v>
      </c>
      <c r="L324" s="170">
        <v>2</v>
      </c>
      <c r="M324" s="170">
        <v>1</v>
      </c>
      <c r="N324" s="170"/>
      <c r="O324" s="170"/>
      <c r="P324" s="170"/>
      <c r="Q324" s="180">
        <f>SUM(Tabela2[[#This Row],[G]]+Tabela2[[#This Row],[D]]+Tabela2[[#This Row],[N]]+Tabela2[[#This Row],[HM]])</f>
        <v>7</v>
      </c>
      <c r="R324" s="180">
        <f>SUM(Tabela2[[#This Row],[AO]]+Tabela2[[#This Row],[AD]]+Tabela2[[#This Row],[GWO]]+Tabela2[[#This Row],[GWD]])</f>
        <v>8</v>
      </c>
      <c r="S324" s="180">
        <f>Tabela2[[#This Row],[GWO]]+Tabela2[[#This Row],[GWD]]</f>
        <v>3</v>
      </c>
      <c r="T324" s="180">
        <f>SUM(Tabela2[[#This Row],[G]:[GWD]])</f>
        <v>15</v>
      </c>
    </row>
    <row r="325" spans="1:20">
      <c r="A325" s="183">
        <v>324</v>
      </c>
      <c r="B325" s="170" t="s">
        <v>379</v>
      </c>
      <c r="C325" s="170" t="s">
        <v>378</v>
      </c>
      <c r="D325" s="170">
        <v>4</v>
      </c>
      <c r="E325" s="170" t="s">
        <v>272</v>
      </c>
      <c r="F325" s="170">
        <v>3</v>
      </c>
      <c r="G325" s="170">
        <v>4</v>
      </c>
      <c r="H325" s="170">
        <v>1</v>
      </c>
      <c r="I325" s="170">
        <v>2</v>
      </c>
      <c r="J325" s="170">
        <v>4</v>
      </c>
      <c r="K325" s="170">
        <v>2</v>
      </c>
      <c r="L325" s="170">
        <v>5</v>
      </c>
      <c r="M325" s="170">
        <v>4</v>
      </c>
      <c r="N325" s="170"/>
      <c r="O325" s="170"/>
      <c r="P325" s="170"/>
      <c r="Q325" s="180">
        <f>SUM(Tabela2[[#This Row],[G]]+Tabela2[[#This Row],[D]]+Tabela2[[#This Row],[N]]+Tabela2[[#This Row],[HM]])</f>
        <v>10</v>
      </c>
      <c r="R325" s="180">
        <f>SUM(Tabela2[[#This Row],[AO]]+Tabela2[[#This Row],[AD]]+Tabela2[[#This Row],[GWO]]+Tabela2[[#This Row],[GWD]])</f>
        <v>15</v>
      </c>
      <c r="S325" s="180">
        <f>Tabela2[[#This Row],[GWO]]+Tabela2[[#This Row],[GWD]]</f>
        <v>9</v>
      </c>
      <c r="T325" s="180">
        <f>SUM(Tabela2[[#This Row],[G]:[GWD]])</f>
        <v>25</v>
      </c>
    </row>
    <row r="326" spans="1:20">
      <c r="A326" s="183">
        <v>325</v>
      </c>
      <c r="B326" s="170" t="s">
        <v>377</v>
      </c>
      <c r="C326" s="170" t="s">
        <v>376</v>
      </c>
      <c r="D326" s="170">
        <v>4</v>
      </c>
      <c r="E326" s="170" t="s">
        <v>272</v>
      </c>
      <c r="F326" s="170">
        <v>3</v>
      </c>
      <c r="G326" s="170">
        <v>3</v>
      </c>
      <c r="H326" s="170">
        <v>3</v>
      </c>
      <c r="I326" s="170">
        <v>5</v>
      </c>
      <c r="J326" s="170">
        <v>5</v>
      </c>
      <c r="K326" s="170">
        <v>5</v>
      </c>
      <c r="L326" s="170">
        <v>5</v>
      </c>
      <c r="M326" s="170">
        <v>4</v>
      </c>
      <c r="N326" s="170"/>
      <c r="O326" s="170"/>
      <c r="P326" s="170"/>
      <c r="Q326" s="180">
        <f>SUM(Tabela2[[#This Row],[G]]+Tabela2[[#This Row],[D]]+Tabela2[[#This Row],[N]]+Tabela2[[#This Row],[HM]])</f>
        <v>14</v>
      </c>
      <c r="R326" s="180">
        <f>SUM(Tabela2[[#This Row],[AO]]+Tabela2[[#This Row],[AD]]+Tabela2[[#This Row],[GWO]]+Tabela2[[#This Row],[GWD]])</f>
        <v>19</v>
      </c>
      <c r="S326" s="180">
        <f>Tabela2[[#This Row],[GWO]]+Tabela2[[#This Row],[GWD]]</f>
        <v>9</v>
      </c>
      <c r="T326" s="180">
        <f>SUM(Tabela2[[#This Row],[G]:[GWD]])</f>
        <v>33</v>
      </c>
    </row>
    <row r="327" spans="1:20">
      <c r="A327" s="183">
        <v>326</v>
      </c>
      <c r="B327" s="170" t="s">
        <v>375</v>
      </c>
      <c r="C327" s="170" t="s">
        <v>226</v>
      </c>
      <c r="D327" s="170">
        <v>4</v>
      </c>
      <c r="E327" s="170" t="s">
        <v>272</v>
      </c>
      <c r="F327" s="170">
        <v>1</v>
      </c>
      <c r="G327" s="170">
        <v>1</v>
      </c>
      <c r="H327" s="170">
        <v>1</v>
      </c>
      <c r="I327" s="170">
        <v>2</v>
      </c>
      <c r="J327" s="170">
        <v>1</v>
      </c>
      <c r="K327" s="170">
        <v>3</v>
      </c>
      <c r="L327" s="170">
        <v>3</v>
      </c>
      <c r="M327" s="170">
        <v>1</v>
      </c>
      <c r="N327" s="170"/>
      <c r="O327" s="170"/>
      <c r="P327" s="170"/>
      <c r="Q327" s="180">
        <f>SUM(Tabela2[[#This Row],[G]]+Tabela2[[#This Row],[D]]+Tabela2[[#This Row],[N]]+Tabela2[[#This Row],[HM]])</f>
        <v>6</v>
      </c>
      <c r="R327" s="180">
        <f>SUM(Tabela2[[#This Row],[AO]]+Tabela2[[#This Row],[AD]]+Tabela2[[#This Row],[GWO]]+Tabela2[[#This Row],[GWD]])</f>
        <v>7</v>
      </c>
      <c r="S327" s="180">
        <f>Tabela2[[#This Row],[GWO]]+Tabela2[[#This Row],[GWD]]</f>
        <v>4</v>
      </c>
      <c r="T327" s="180">
        <f>SUM(Tabela2[[#This Row],[G]:[GWD]])</f>
        <v>13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Crystals</vt:lpstr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ToA auto</vt:lpstr>
      <vt:lpstr>Mon.Utilities</vt:lpstr>
      <vt:lpstr>Arkusz2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2015-12-19T14:22:12Z</dcterms:modified>
</cp:coreProperties>
</file>