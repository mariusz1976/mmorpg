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  <sheet name="Runes" sheetId="8" r:id="rId8"/>
  </sheets>
  <calcPr calcId="125725"/>
  <pivotCaches>
    <pivotCache cacheId="23" r:id="rId9"/>
  </pivotCaches>
</workbook>
</file>

<file path=xl/calcChain.xml><?xml version="1.0" encoding="utf-8"?>
<calcChain xmlns="http://schemas.openxmlformats.org/spreadsheetml/2006/main">
  <c r="M11" i="1"/>
  <c r="M10"/>
  <c r="M9"/>
  <c r="M8"/>
  <c r="M7"/>
  <c r="M6"/>
  <c r="M5"/>
  <c r="M4"/>
  <c r="L24" i="4" l="1"/>
  <c r="K24"/>
  <c r="J24"/>
  <c r="L23"/>
  <c r="K23"/>
  <c r="J23"/>
  <c r="O24" l="1"/>
  <c r="O23"/>
  <c r="J543" i="3" l="1"/>
  <c r="L22" i="4" l="1"/>
  <c r="K22"/>
  <c r="J22"/>
  <c r="O22" l="1"/>
  <c r="L18"/>
  <c r="K16" i="8"/>
  <c r="J16"/>
  <c r="I16"/>
  <c r="H16"/>
  <c r="G16"/>
  <c r="F16"/>
  <c r="E16"/>
  <c r="D16"/>
  <c r="K12"/>
  <c r="J12"/>
  <c r="I12"/>
  <c r="H12"/>
  <c r="G12"/>
  <c r="E12"/>
  <c r="F12"/>
  <c r="D12"/>
  <c r="M17" i="1"/>
  <c r="O3" i="4"/>
  <c r="O5"/>
  <c r="O6"/>
  <c r="O7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P7"/>
  <c r="P6"/>
  <c r="P5"/>
  <c r="P3"/>
  <c r="I3"/>
  <c r="N3" s="1"/>
  <c r="I6"/>
  <c r="N6" s="1"/>
  <c r="I7"/>
  <c r="N7" s="1"/>
  <c r="I10"/>
  <c r="I19"/>
  <c r="K2" i="3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I14" i="4" s="1"/>
  <c r="N14" s="1"/>
  <c r="K179" i="3"/>
  <c r="K180"/>
  <c r="K181"/>
  <c r="K182"/>
  <c r="K183"/>
  <c r="K184"/>
  <c r="K185"/>
  <c r="K186"/>
  <c r="K187"/>
  <c r="K188"/>
  <c r="K189"/>
  <c r="I16" i="4" s="1"/>
  <c r="K190" i="3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L179"/>
  <c r="L180"/>
  <c r="L181"/>
  <c r="L182"/>
  <c r="L183"/>
  <c r="L184"/>
  <c r="L185"/>
  <c r="L186"/>
  <c r="L187"/>
  <c r="L188"/>
  <c r="L189"/>
  <c r="L190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5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J11" i="4"/>
  <c r="O11" s="1"/>
  <c r="J10"/>
  <c r="P10" s="1"/>
  <c r="M23" l="1"/>
  <c r="P23" s="1"/>
  <c r="M24"/>
  <c r="P24" s="1"/>
  <c r="M22"/>
  <c r="P22" s="1"/>
  <c r="O10"/>
  <c r="I17"/>
  <c r="N10"/>
  <c r="M2"/>
  <c r="M11"/>
  <c r="P11" s="1"/>
  <c r="M14"/>
  <c r="M16"/>
  <c r="J12"/>
  <c r="M17" l="1"/>
  <c r="M18"/>
  <c r="M20"/>
  <c r="M12"/>
  <c r="M13"/>
  <c r="M8"/>
  <c r="M21"/>
  <c r="M4"/>
  <c r="M15"/>
  <c r="M9"/>
  <c r="M18" i="1"/>
  <c r="J739" i="3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J679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J637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J618"/>
  <c r="J617"/>
  <c r="J616"/>
  <c r="J615"/>
  <c r="J614"/>
  <c r="J61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2"/>
  <c r="J541"/>
  <c r="J540"/>
  <c r="J539"/>
  <c r="J538"/>
  <c r="J537"/>
  <c r="J536"/>
  <c r="J535"/>
  <c r="J534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79"/>
  <c r="J372"/>
  <c r="J371"/>
  <c r="J364"/>
  <c r="J360"/>
  <c r="J354"/>
  <c r="J349"/>
  <c r="J343"/>
  <c r="J324"/>
  <c r="J319"/>
  <c r="J314"/>
  <c r="J307"/>
  <c r="J299"/>
  <c r="J296"/>
  <c r="J294"/>
  <c r="J283"/>
  <c r="J276"/>
  <c r="J273"/>
  <c r="J271"/>
  <c r="J269"/>
  <c r="J267"/>
  <c r="J253"/>
  <c r="J252"/>
  <c r="J249"/>
  <c r="J248"/>
  <c r="J240"/>
  <c r="J234"/>
  <c r="J233"/>
  <c r="J232"/>
  <c r="J221"/>
  <c r="J216"/>
  <c r="J201"/>
  <c r="J200"/>
  <c r="J197"/>
  <c r="J185"/>
  <c r="J181"/>
  <c r="J175"/>
  <c r="J173"/>
  <c r="J172"/>
  <c r="J171"/>
  <c r="J169"/>
  <c r="J167"/>
  <c r="J166"/>
  <c r="J162"/>
  <c r="J161"/>
  <c r="J160"/>
  <c r="J157"/>
  <c r="J154"/>
  <c r="J152"/>
  <c r="J15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I11" i="4" s="1"/>
  <c r="N11" s="1"/>
  <c r="J59" i="3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2"/>
  <c r="I2" i="4" s="1"/>
  <c r="K21"/>
  <c r="L21"/>
  <c r="J21"/>
  <c r="O21" s="1"/>
  <c r="M16" i="1"/>
  <c r="I24" i="4" l="1"/>
  <c r="N24" s="1"/>
  <c r="I23"/>
  <c r="N23" s="1"/>
  <c r="I22"/>
  <c r="N22" s="1"/>
  <c r="O16" i="1"/>
  <c r="M19"/>
  <c r="M20" s="1"/>
  <c r="I8" i="4"/>
  <c r="I12"/>
  <c r="N12" s="1"/>
  <c r="I5"/>
  <c r="N5" s="1"/>
  <c r="I4"/>
  <c r="I18"/>
  <c r="I13"/>
  <c r="I21"/>
  <c r="N21" s="1"/>
  <c r="I15"/>
  <c r="I20"/>
  <c r="I9"/>
  <c r="P21"/>
  <c r="O18" i="1"/>
  <c r="I16" i="5"/>
  <c r="I15"/>
  <c r="I14"/>
  <c r="M21" i="1" l="1"/>
  <c r="M22" s="1"/>
  <c r="M23" s="1"/>
  <c r="O20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L20"/>
  <c r="N20" l="1"/>
  <c r="O20"/>
  <c r="P20"/>
  <c r="Y8" i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O4" i="1" l="1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38" i="2" l="1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O27" i="2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O15" i="4" l="1"/>
  <c r="N27" i="2"/>
  <c r="N15" i="4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L16"/>
  <c r="J16"/>
  <c r="L15"/>
  <c r="P15" s="1"/>
  <c r="N16" l="1"/>
  <c r="O16"/>
  <c r="N17"/>
  <c r="O17"/>
  <c r="P17"/>
  <c r="P16"/>
  <c r="O10" i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L12" i="4"/>
  <c r="P12" l="1"/>
  <c r="O12"/>
  <c r="O12" i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L9" i="4"/>
  <c r="L14"/>
  <c r="J13"/>
  <c r="L13"/>
  <c r="O17" i="2"/>
  <c r="C45"/>
  <c r="B45"/>
  <c r="C44"/>
  <c r="B44"/>
  <c r="J8" i="4"/>
  <c r="J9"/>
  <c r="O13" i="2"/>
  <c r="O12"/>
  <c r="O16"/>
  <c r="P14" i="4" l="1"/>
  <c r="O14"/>
  <c r="O9"/>
  <c r="N13"/>
  <c r="O13"/>
  <c r="N8"/>
  <c r="J18"/>
  <c r="O18" s="1"/>
  <c r="N9"/>
  <c r="P13"/>
  <c r="P9"/>
  <c r="L39" i="2"/>
  <c r="L40"/>
  <c r="N39"/>
  <c r="N40"/>
  <c r="J19" i="4"/>
  <c r="O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N19" i="4" l="1"/>
  <c r="P19"/>
  <c r="N18"/>
  <c r="P18"/>
  <c r="U33" i="2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L8" i="4"/>
  <c r="A3" i="2"/>
  <c r="B3" s="1"/>
  <c r="L2" i="4"/>
  <c r="J2"/>
  <c r="L4"/>
  <c r="J4"/>
  <c r="P8" l="1"/>
  <c r="O8"/>
  <c r="N2"/>
  <c r="O2"/>
  <c r="N4"/>
  <c r="O4"/>
  <c r="P2"/>
  <c r="P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R12" i="4"/>
  <c r="Q15"/>
  <c r="Q12"/>
  <c r="C33" i="2"/>
  <c r="B36"/>
  <c r="H37"/>
  <c r="F38"/>
  <c r="B34"/>
  <c r="C34"/>
  <c r="B31"/>
  <c r="C31"/>
  <c r="C32"/>
  <c r="B32"/>
  <c r="B35"/>
  <c r="C35"/>
  <c r="R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R9" i="4"/>
  <c r="Q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<sst xmlns="http://schemas.openxmlformats.org/spreadsheetml/2006/main" count="1949" uniqueCount="253">
  <si>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</si>
  <si>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</si>
  <si>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</si>
  <si>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</si>
  <si>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</si>
  <si>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</si>
  <si>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</si>
  <si>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</si>
  <si>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</si>
  <si>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</si>
  <si>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</si>
  <si>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</si>
  <si>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</si>
  <si>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</si>
  <si>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</si>
  <si>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</si>
  <si>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</si>
  <si>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</si>
  <si>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</si>
  <si>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</si>
  <si>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</si>
  <si>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</si>
  <si>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</si>
  <si>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</si>
  <si>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</si>
  <si>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</si>
  <si>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</si>
  <si>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</si>
  <si>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</si>
  <si>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</si>
  <si>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</si>
  <si>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</si>
  <si>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</si>
  <si>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</si>
  <si>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</si>
  <si>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</si>
  <si>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</si>
  <si>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</si>
  <si>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</si>
  <si>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</si>
  <si>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</si>
  <si>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</si>
  <si>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</si>
  <si>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</si>
  <si>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</si>
  <si>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</si>
  <si>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</si>
  <si>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</si>
  <si>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</si>
  <si>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</si>
  <si>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</si>
  <si>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</si>
  <si>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</si>
  <si>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</si>
  <si>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</si>
  <si>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</si>
  <si>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</si>
  <si>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</si>
  <si>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</si>
  <si>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</si>
  <si>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</si>
  <si>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</si>
  <si>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</si>
  <si>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</si>
  <si>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</si>
  <si>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</si>
  <si>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</si>
  <si>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</si>
  <si>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</si>
  <si>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</si>
  <si>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</si>
  <si>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</si>
  <si>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</si>
  <si>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</si>
  <si>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</si>
  <si>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</si>
  <si>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</si>
  <si>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</si>
  <si>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</si>
  <si>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</si>
  <si>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</si>
  <si>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</si>
  <si>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</si>
  <si>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</si>
  <si>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</si>
  <si>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</si>
  <si>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</si>
  <si>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</si>
  <si>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</si>
  <si>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</si>
  <si>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</si>
  <si>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</si>
  <si>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</si>
  <si>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</si>
  <si>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</si>
  <si>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</si>
  <si>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</si>
  <si>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</si>
  <si>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</si>
  <si>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</si>
  <si>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</si>
  <si>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</si>
  <si>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</si>
  <si>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</si>
  <si>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</si>
  <si>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</si>
  <si>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</si>
  <si>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</si>
  <si>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</si>
  <si>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</si>
  <si>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</si>
  <si>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</si>
  <si>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</si>
  <si>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</si>
  <si>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</si>
  <si>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</si>
  <si>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</si>
  <si>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</si>
  <si>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</si>
  <si>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</si>
  <si>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</si>
  <si>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</si>
  <si>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</si>
  <si>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</si>
  <si>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</si>
  <si>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</si>
  <si>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</si>
  <si>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</si>
  <si>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</si>
  <si>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</si>
  <si>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</si>
  <si>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</si>
  <si>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</si>
  <si>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</si>
  <si>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</si>
  <si>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</si>
  <si>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</si>
  <si>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</si>
  <si>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</si>
  <si>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</si>
  <si>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</si>
  <si>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</si>
  <si>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</si>
  <si>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</si>
  <si>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</si>
  <si>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</si>
  <si>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</si>
  <si>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</si>
  <si>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</si>
  <si>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</si>
  <si>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</si>
  <si>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</si>
  <si>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</si>
  <si>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</si>
  <si>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</si>
  <si>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</si>
  <si>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</si>
  <si>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</si>
  <si>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</si>
  <si>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</si>
  <si>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</si>
  <si>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</si>
  <si>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</si>
  <si>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</si>
  <si>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</si>
  <si>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</si>
  <si>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</si>
  <si>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</si>
  <si>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</si>
  <si>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</si>
  <si>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</si>
  <si>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</si>
  <si>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</si>
  <si>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</si>
  <si>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</si>
  <si>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</si>
  <si>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</si>
  <si>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</si>
  <si>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</si>
  <si>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</si>
  <si>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</si>
  <si>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</si>
  <si>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</si>
  <si>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</si>
  <si>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</si>
  <si>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</si>
  <si>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</si>
  <si>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</si>
  <si>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</si>
  <si>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</si>
  <si>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</si>
  <si>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</si>
  <si>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</si>
  <si>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</si>
  <si>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</si>
  <si>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</si>
  <si>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</si>
  <si>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</si>
  <si>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</si>
  <si>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</si>
  <si>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</si>
  <si>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</si>
  <si>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</si>
  <si>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</si>
  <si>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</si>
  <si>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</si>
  <si>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</si>
  <si>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</si>
  <si>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</si>
  <si>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</si>
  <si>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</si>
  <si>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</si>
  <si>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</si>
  <si>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</si>
  <si>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</si>
  <si>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</si>
  <si>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</si>
  <si>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</si>
  <si>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</si>
  <si>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</si>
  <si>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</si>
  <si>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</si>
  <si>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</si>
  <si>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</si>
  <si>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</si>
  <si>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</si>
  <si>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</si>
  <si>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</si>
  <si>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</si>
  <si>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</si>
  <si>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</si>
  <si>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</si>
  <si>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</si>
  <si>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</si>
  <si>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</si>
  <si>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</si>
  <si>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</si>
  <si>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</si>
  <si>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</si>
  <si>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</si>
  <si>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</si>
  <si>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</si>
  <si>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</si>
  <si>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EoWat(Mid)</t>
  </si>
  <si>
    <t>SumStone</t>
  </si>
  <si>
    <t>EoWat(High)</t>
  </si>
  <si>
    <t>SD(Bearman)</t>
  </si>
  <si>
    <t>Angelmon</t>
  </si>
  <si>
    <t>HoWater</t>
  </si>
  <si>
    <t>EoMag(High)</t>
  </si>
  <si>
    <t>Raoq</t>
  </si>
  <si>
    <t>Sieq</t>
  </si>
  <si>
    <t>Hero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</si>
</sst>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2" fontId="0" fillId="0" borderId="0" xfId="0" applyNumberFormat="1" applyFill="1"/>
    <xf numFmtId="3" fontId="0" fillId="0" borderId="0" xfId="0" applyNumberFormat="1"/>
    <xf numFmtId="3" fontId="0" fillId="0" borderId="0" xfId="0" applyNumberFormat="1" applyFill="1"/>
  </cellXfs>
  <cellStyles count="1">
    <cellStyle name="Normalny" xfId="0" builtinId="0"/>
  </cellStyles>
  <dxfs count="10"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2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2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V115" totalsRowShown="0">
  <autoFilter ref="A1:V115">
    <filterColumn colId="11"/>
    <filterColumn colId="12"/>
    <filterColumn colId="13"/>
    <filterColumn colId="14"/>
  </autoFilter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6">
      <calculatedColumnFormula>4*LocFeatures[[#This Row],[XP Gain per member]]</calculatedColumnFormula>
    </tableColumn>
    <tableColumn id="11" name="XP Train Gain"/>
    <tableColumn id="22" name="XP drop" dataDxfId="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">
      <calculatedColumnFormula>LocFeatures[[#This Row],[XP Train Gain]]/(LocFeatures[[#This Row],[E. Cost]]-LocFeatures[[#This Row],[Energy gain]])</calculatedColumnFormula>
    </tableColumn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739" totalsRowShown="0">
  <autoFilter ref="A1:M739">
    <filterColumn colId="7"/>
    <filterColumn colId="10"/>
  </autoFilter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/>
    <tableColumn id="12" name="Fod Worth" dataDxfId="3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2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abSelected="1" workbookViewId="0">
      <selection activeCell="I20" sqref="I2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4</v>
      </c>
      <c r="N3">
        <v>1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MAXA(M3-Tabela6[[#This Row],[Done]],0)</f>
        <v>0</v>
      </c>
      <c r="N4">
        <v>5</v>
      </c>
      <c r="O4" s="1">
        <f>M4*$B$5</f>
        <v>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MAXA(4*M3-Tabela6[[#This Row],[Done]],0)</f>
        <v>15</v>
      </c>
      <c r="N5">
        <v>1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MAXA(M5-Tabela6[[#This Row],[Done]],0)</f>
        <v>12</v>
      </c>
      <c r="N6">
        <v>3</v>
      </c>
      <c r="O6" s="1">
        <f>M6*$B$4</f>
        <v>986184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MAXA(3*(M5+M4)-Tabela6[[#This Row],[Done]],0)</f>
        <v>40</v>
      </c>
      <c r="N7">
        <v>5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MAXA(M7+M6-Tabela6[[#This Row],[Done]],0)</f>
        <v>35</v>
      </c>
      <c r="N8">
        <v>17</v>
      </c>
      <c r="O8" s="1">
        <f>M8*$B$3</f>
        <v>1253770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MAXA(2*(M7+M6)-Tabela6[[#This Row],[Done]],0)</f>
        <v>95</v>
      </c>
      <c r="N9">
        <v>9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MAXA((M9+M8)-Tabela6[[#This Row],[Done]],0)</f>
        <v>130</v>
      </c>
      <c r="N10">
        <v>0</v>
      </c>
      <c r="O10" s="52">
        <f>Tabela6[[#This Row],[Missing]]*$B$2</f>
        <v>1965600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MAXA(2*M10-Tabela6[[#This Row],[Done]],0)</f>
        <v>260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4205554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4-Tabela66[[#This Row],[Done]]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15"/>
  <sheetViews>
    <sheetView workbookViewId="0">
      <selection activeCell="A24" sqref="A2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209</v>
      </c>
      <c r="J1" t="s">
        <v>24</v>
      </c>
      <c r="K1" t="s">
        <v>60</v>
      </c>
      <c r="L1" t="s">
        <v>59</v>
      </c>
      <c r="M1" t="s">
        <v>215</v>
      </c>
      <c r="N1" t="s">
        <v>210</v>
      </c>
      <c r="O1" t="s">
        <v>217</v>
      </c>
      <c r="P1" t="s">
        <v>26</v>
      </c>
      <c r="Q1" t="s">
        <v>37</v>
      </c>
      <c r="R1" t="s">
        <v>38</v>
      </c>
      <c r="S1" t="s">
        <v>152</v>
      </c>
      <c r="T1" t="s">
        <v>151</v>
      </c>
      <c r="U1" t="s">
        <v>155</v>
      </c>
      <c r="V1" t="s">
        <v>156</v>
      </c>
    </row>
    <row r="2" spans="1:22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5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f>
        <v>2227</v>
      </c>
      <c r="J2" s="19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57">
        <f>AVERAGEIFS(DropAnalityka[Exp Gain],DropAnalityka[Location],'Location features'!$A2,DropAnalityka[LVL],'Location features'!$B2,DropAnalityka[Stage],'Location features'!$C2)</f>
        <v>0</v>
      </c>
      <c r="N2" s="57">
        <f>LocFeatures[[#This Row],[Drop worth gain]]/(LocFeatures[[#This Row],[E. Cost]]-LocFeatures[[#This Row],[Energy gain]])</f>
        <v>2227</v>
      </c>
      <c r="O2" s="57">
        <f>LocFeatures[[#This Row],[XP Train Gain]]/(LocFeatures[[#This Row],[E. Cost]]-LocFeatures[[#This Row],[Energy gain]])</f>
        <v>1890</v>
      </c>
      <c r="P2" s="57">
        <f>(LocFeatures[[#This Row],[XP Train Gain]]+LocFeatures[[#This Row],[XP drop]])/(LocFeatures[[#This Row],[E. Cost]]-LocFeatures[[#This Row],[Energy gain]])</f>
        <v>1890</v>
      </c>
    </row>
    <row r="3" spans="1:22">
      <c r="A3" t="s">
        <v>8</v>
      </c>
      <c r="B3" t="s">
        <v>9</v>
      </c>
      <c r="C3">
        <v>2</v>
      </c>
      <c r="D3">
        <v>3</v>
      </c>
      <c r="I3" s="53" t="e">
        <f>AVERAGEIFS(DropAnalityka[Mana drop],DropAnalityka[Location],'Location features'!A3,DropAnalityka[LVL],'Location features'!B3,DropAnalityka[Stage],'Location features'!C3)+AVERAGEIFS(DropAnalityka[Drop Worth],DropAnalityka[Location],'Location features'!A3,DropAnalityka[LVL],'Location features'!B3,DropAnalityka[Stage],'Location features'!C3)+AVERAGEIFS(DropAnalityka[Fod Worth],DropAnalityka[Location],'Location features'!A3,DropAnalityka[LVL],'Location features'!B3,DropAnalityka[Stage],'Location features'!C3)</f>
        <v>#DIV/0!</v>
      </c>
      <c r="K3">
        <f>4*LocFeatures[[#This Row],[XP Gain per member]]</f>
        <v>0</v>
      </c>
      <c r="M3" s="49"/>
      <c r="N3" t="e">
        <f>LocFeatures[[#This Row],[Drop worth gain]]/(LocFeatures[[#This Row],[E. Cost]]-LocFeatures[[#This Row],[Energy gain]])</f>
        <v>#DIV/0!</v>
      </c>
      <c r="O3" s="54">
        <f>LocFeatures[[#This Row],[XP Train Gain]]/(LocFeatures[[#This Row],[E. Cost]]-LocFeatures[[#This Row],[Energy gain]])</f>
        <v>0</v>
      </c>
      <c r="P3">
        <f>(LocFeatures[[#This Row],[XP Train Gain]]+LocFeatures[[#This Row],[XP drop]])/(LocFeatures[[#This Row],[E. Cost]]-LocFeatures[[#This Row],[Energy gain]])</f>
        <v>0</v>
      </c>
    </row>
    <row r="4" spans="1:22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 s="55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features'!C4)+AVERAGEIFS(DropAnalityka[Fod Worth],DropAnalityka[Location],'Location features'!A4,DropAnalityka[LVL],'Location features'!B4,DropAnalityka[Stage],'Location features'!C4)</f>
        <v>2788.2439024390246</v>
      </c>
      <c r="J4" s="19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57">
        <f>AVERAGEIFS(DropAnalityka[Exp Gain],DropAnalityka[Location],'Location features'!$A4,DropAnalityka[LVL],'Location features'!$B4,DropAnalityka[Stage],'Location features'!$C4)</f>
        <v>1106.3414634146341</v>
      </c>
      <c r="N4" s="57">
        <f>LocFeatures[[#This Row],[Drop worth gain]]/(LocFeatures[[#This Row],[E. Cost]]-LocFeatures[[#This Row],[Energy gain]])</f>
        <v>1284.4719101123596</v>
      </c>
      <c r="O4" s="57">
        <f>LocFeatures[[#This Row],[XP Train Gain]]/(LocFeatures[[#This Row],[E. Cost]]-LocFeatures[[#This Row],[Energy gain]])</f>
        <v>887.25842696629206</v>
      </c>
      <c r="P4" s="57">
        <f>(LocFeatures[[#This Row],[XP Train Gain]]+LocFeatures[[#This Row],[XP drop]])/(LocFeatures[[#This Row],[E. Cost]]-LocFeatures[[#This Row],[Energy gain]])</f>
        <v>1396.9213483146066</v>
      </c>
    </row>
    <row r="5" spans="1:22">
      <c r="A5" t="s">
        <v>8</v>
      </c>
      <c r="B5" t="s">
        <v>9</v>
      </c>
      <c r="C5">
        <v>3</v>
      </c>
      <c r="D5">
        <v>3</v>
      </c>
      <c r="I5" s="53">
        <f>AVERAGEIFS(DropAnalityka[Mana drop],DropAnalityka[Location],'Location features'!A5,DropAnalityka[LVL],'Location features'!B5,DropAnalityka[Stage],'Location features'!C5)+AVERAGEIFS(DropAnalityka[Drop Worth],DropAnalityka[Location],'Location features'!A5,DropAnalityka[LVL],'Location features'!B5,DropAnalityka[Stage],'Location features'!C5)+AVERAGEIFS(DropAnalityka[Fod Worth],DropAnalityka[Location],'Location features'!A5,DropAnalityka[LVL],'Location features'!B5,DropAnalityka[Stage],'Location features'!C5)</f>
        <v>2788.2439024390246</v>
      </c>
      <c r="K5">
        <f>4*LocFeatures[[#This Row],[XP Gain per member]]</f>
        <v>0</v>
      </c>
      <c r="M5" s="49"/>
      <c r="N5" s="54">
        <f>LocFeatures[[#This Row],[Drop worth gain]]/(LocFeatures[[#This Row],[E. Cost]]-LocFeatures[[#This Row],[Energy gain]])</f>
        <v>929.41463414634154</v>
      </c>
      <c r="O5" s="54">
        <f>LocFeatures[[#This Row],[XP Train Gain]]/(LocFeatures[[#This Row],[E. Cost]]-LocFeatures[[#This Row],[Energy gain]])</f>
        <v>0</v>
      </c>
      <c r="P5" s="54">
        <f>(LocFeatures[[#This Row],[XP Train Gain]]+LocFeatures[[#This Row],[XP drop]])/(LocFeatures[[#This Row],[E. Cost]]-LocFeatures[[#This Row],[Energy gain]])</f>
        <v>0</v>
      </c>
    </row>
    <row r="6" spans="1:22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53" t="e">
        <f>AVERAGEIFS(DropAnalityka[Mana drop],DropAnalityka[Location],'Location features'!A6,DropAnalityka[LVL],'Location features'!B6,DropAnalityka[Stage],'Location features'!C6)+AVERAGEIFS(DropAnalityka[Drop Worth],DropAnalityka[Location],'Location features'!A6,DropAnalityka[LVL],'Location features'!B6,DropAnalityka[Stage],'Location features'!C6)+AVERAGEIFS(DropAnalityka[Fod Worth],DropAnalityka[Location],'Location features'!A6,DropAnalityka[LVL],'Location features'!B6,DropAnalityka[Stage],'Location features'!C6)</f>
        <v>#DIV/0!</v>
      </c>
      <c r="J6" s="10"/>
      <c r="K6" s="10">
        <f>4*LocFeatures[[#This Row],[XP Gain per member]]</f>
        <v>0</v>
      </c>
      <c r="L6" s="10"/>
      <c r="M6" s="53"/>
      <c r="N6" t="e">
        <f>LocFeatures[[#This Row],[Drop worth gain]]/(LocFeatures[[#This Row],[E. Cost]]-LocFeatures[[#This Row],[Energy gain]])</f>
        <v>#DIV/0!</v>
      </c>
      <c r="O6" s="54">
        <f>LocFeatures[[#This Row],[XP Train Gain]]/(LocFeatures[[#This Row],[E. Cost]]-LocFeatures[[#This Row],[Energy gain]])</f>
        <v>0</v>
      </c>
      <c r="P6">
        <f>(LocFeatures[[#This Row],[XP Train Gain]]+LocFeatures[[#This Row],[XP drop]])/(LocFeatures[[#This Row],[E. Cost]]-LocFeatures[[#This Row],[Energy gain]])</f>
        <v>0</v>
      </c>
      <c r="Q6" s="10"/>
      <c r="R6" s="10"/>
    </row>
    <row r="7" spans="1:22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53" t="e">
        <f>AVERAGEIFS(DropAnalityka[Mana drop],DropAnalityka[Location],'Location features'!A7,DropAnalityka[LVL],'Location features'!B7,DropAnalityka[Stage],'Location features'!C7)+AVERAGEIFS(DropAnalityka[Drop Worth],DropAnalityka[Location],'Location features'!A7,DropAnalityka[LVL],'Location features'!B7,DropAnalityka[Stage],'Location features'!C7)+AVERAGEIFS(DropAnalityka[Fod Worth],DropAnalityka[Location],'Location features'!A7,DropAnalityka[LVL],'Location features'!B7,DropAnalityka[Stage],'Location features'!C7)</f>
        <v>#DIV/0!</v>
      </c>
      <c r="J7" s="10"/>
      <c r="K7" s="10">
        <f>4*LocFeatures[[#This Row],[XP Gain per member]]</f>
        <v>0</v>
      </c>
      <c r="L7" s="10"/>
      <c r="M7" s="53"/>
      <c r="N7" t="e">
        <f>LocFeatures[[#This Row],[Drop worth gain]]/(LocFeatures[[#This Row],[E. Cost]]-LocFeatures[[#This Row],[Energy gain]])</f>
        <v>#DIV/0!</v>
      </c>
      <c r="O7" s="54">
        <f>LocFeatures[[#This Row],[XP Train Gain]]/(LocFeatures[[#This Row],[E. Cost]]-LocFeatures[[#This Row],[Energy gain]])</f>
        <v>0</v>
      </c>
      <c r="P7">
        <f>(LocFeatures[[#This Row],[XP Train Gain]]+LocFeatures[[#This Row],[XP drop]])/(LocFeatures[[#This Row],[E. Cost]]-LocFeatures[[#This Row],[Energy gain]])</f>
        <v>0</v>
      </c>
      <c r="Q7" s="10"/>
      <c r="R7" s="10"/>
    </row>
    <row r="8" spans="1:22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55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features'!C8)+AVERAGEIFS(DropAnalityka[Fod Worth],DropAnalityka[Location],'Location features'!A8,DropAnalityka[LVL],'Location features'!B8,DropAnalityka[Stage],'Location features'!C8)</f>
        <v>4179.565312046444</v>
      </c>
      <c r="J8" s="56">
        <f>AVERAGEIFS(DropAnalityka[Energy Drop],DropAnalityka[Location],'Location features'!$A8,DropAnalityka[LVL],'Location features'!$B8,DropAnalityka[Stage],'Location features'!$C8)</f>
        <v>0.86792452830188682</v>
      </c>
      <c r="K8" s="10">
        <f>4*LocFeatures[[#This Row],[XP Gain per member]]</f>
        <v>4392</v>
      </c>
      <c r="L8" s="10">
        <f>3*E8</f>
        <v>3294</v>
      </c>
      <c r="M8" s="58">
        <f>AVERAGEIFS(DropAnalityka[Exp Gain],DropAnalityka[Location],'Location features'!$A8,DropAnalityka[LVL],'Location features'!$B8,DropAnalityka[Stage],'Location features'!$C8)</f>
        <v>2387.5849056603774</v>
      </c>
      <c r="N8" s="57">
        <f>LocFeatures[[#This Row],[Drop worth gain]]/(LocFeatures[[#This Row],[E. Cost]]-LocFeatures[[#This Row],[Energy gain]])</f>
        <v>1334.4395273401299</v>
      </c>
      <c r="O8" s="57">
        <f>LocFeatures[[#This Row],[XP Train Gain]]/(LocFeatures[[#This Row],[E. Cost]]-LocFeatures[[#This Row],[Energy gain]])</f>
        <v>1051.698795180723</v>
      </c>
      <c r="P8" s="57">
        <f>(LocFeatures[[#This Row],[XP Train Gain]]+LocFeatures[[#This Row],[XP drop]])/(LocFeatures[[#This Row],[E. Cost]]-LocFeatures[[#This Row],[Energy gain]])</f>
        <v>1814.0000000000002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5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features'!C9)+AVERAGEIFS(DropAnalityka[Fod Worth],DropAnalityka[Location],'Location features'!A9,DropAnalityka[LVL],'Location features'!B9,DropAnalityka[Stage],'Location features'!C9)</f>
        <v>3224.358024691358</v>
      </c>
      <c r="J9" s="56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8">
        <f>AVERAGEIFS(DropAnalityka[Exp Gain],DropAnalityka[Location],'Location features'!$A9,DropAnalityka[LVL],'Location features'!$B9,DropAnalityka[Stage],'Location features'!$C9)</f>
        <v>560</v>
      </c>
      <c r="N9" s="57">
        <f>LocFeatures[[#This Row],[Drop worth gain]]/(LocFeatures[[#This Row],[E. Cost]]-LocFeatures[[#This Row],[Energy gain]])</f>
        <v>1518.4476744186045</v>
      </c>
      <c r="O9" s="57">
        <f>LocFeatures[[#This Row],[XP Train Gain]]/(LocFeatures[[#This Row],[E. Cost]]-LocFeatures[[#This Row],[Energy gain]])</f>
        <v>1068.0697674418604</v>
      </c>
      <c r="P9" s="57">
        <f>(LocFeatures[[#This Row],[XP Train Gain]]+LocFeatures[[#This Row],[XP drop]])/(LocFeatures[[#This Row],[E. Cost]]-LocFeatures[[#This Row],[Energy gain]])</f>
        <v>1331.7906976744187</v>
      </c>
      <c r="Q9" s="10">
        <f>LocFeatures[[#This Row],[DropWorthGain/Energy]]/N8-1</f>
        <v>0.13789170907223403</v>
      </c>
      <c r="R9" s="10">
        <f>LocFeatures[[#This Row],[XP/Energy]]/P8-1</f>
        <v>-0.26582651726878803</v>
      </c>
      <c r="S9">
        <v>62</v>
      </c>
      <c r="T9" s="10" t="s">
        <v>213</v>
      </c>
      <c r="U9" s="10">
        <v>125</v>
      </c>
      <c r="V9" s="10" t="s">
        <v>157</v>
      </c>
    </row>
    <row r="10" spans="1:22" s="10" customFormat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I10" s="53" t="e">
        <f>AVERAGEIFS(DropAnalityka[Mana drop],DropAnalityka[Location],'Location features'!A10,DropAnalityka[LVL],'Location features'!B10,DropAnalityka[Stage],'Location features'!C10)+AVERAGEIFS(DropAnalityka[Drop Worth],DropAnalityka[Location],'Location features'!A10,DropAnalityka[LVL],'Location features'!B10,DropAnalityka[Stage],'Location features'!C10)+AVERAGEIFS(DropAnalityka[Fod Worth],DropAnalityka[Location],'Location features'!A10,DropAnalityka[LVL],'Location features'!B10,DropAnalityka[Stage],'Location features'!C10)</f>
        <v>#DIV/0!</v>
      </c>
      <c r="J10" s="10" t="e">
        <f>AVERAGEIFS(DropAnalityka[Energy Drop],DropAnalityka[Location],'Location features'!$A10,DropAnalityka[LVL],'Location features'!$B10,DropAnalityka[Stage],'Location features'!$C10)</f>
        <v>#DIV/0!</v>
      </c>
      <c r="K10" s="10">
        <f>4*LocFeatures[[#This Row],[XP Gain per member]]</f>
        <v>4476</v>
      </c>
      <c r="M10" s="53"/>
      <c r="N10" t="e">
        <f>LocFeatures[[#This Row],[Drop worth gain]]/(LocFeatures[[#This Row],[E. Cost]]-LocFeatures[[#This Row],[Energy gain]])</f>
        <v>#DIV/0!</v>
      </c>
      <c r="O10" s="54" t="e">
        <f>LocFeatures[[#This Row],[XP Train Gain]]/(LocFeatures[[#This Row],[E. Cost]]-LocFeatures[[#This Row],[Energy gain]])</f>
        <v>#DIV/0!</v>
      </c>
      <c r="P10" t="e">
        <f>(LocFeatures[[#This Row],[XP Train Gain]]+LocFeatures[[#This Row],[XP drop]])/(LocFeatures[[#This Row],[E. Cost]]-LocFeatures[[#This Row],[Energy gain]])</f>
        <v>#DIV/0!</v>
      </c>
      <c r="S10"/>
    </row>
    <row r="11" spans="1:22" s="10" customFormat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I11" s="53">
        <f>AVERAGEIFS(DropAnalityka[Mana drop],DropAnalityka[Location],'Location features'!A11,DropAnalityka[LVL],'Location features'!B11,DropAnalityka[Stage],'Location features'!C11)+AVERAGEIFS(DropAnalityka[Drop Worth],DropAnalityka[Location],'Location features'!A11,DropAnalityka[LVL],'Location features'!B11,DropAnalityka[Stage],'Location features'!C11)+AVERAGEIFS(DropAnalityka[Fod Worth],DropAnalityka[Location],'Location features'!A11,DropAnalityka[LVL],'Location features'!B11,DropAnalityka[Stage],'Location features'!C11)</f>
        <v>2652</v>
      </c>
      <c r="J11" s="10">
        <f>AVERAGEIFS(DropAnalityka[Energy Drop],DropAnalityka[Location],'Location features'!$A11,DropAnalityka[LVL],'Location features'!$B11,DropAnalityka[Stage],'Location features'!$C11)</f>
        <v>1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N11" s="54">
        <f>LocFeatures[[#This Row],[Drop worth gain]]/(LocFeatures[[#This Row],[E. Cost]]-LocFeatures[[#This Row],[Energy gain]])</f>
        <v>663</v>
      </c>
      <c r="O11" s="54">
        <f>LocFeatures[[#This Row],[XP Train Gain]]/(LocFeatures[[#This Row],[E. Cost]]-LocFeatures[[#This Row],[Energy gain]])</f>
        <v>0</v>
      </c>
      <c r="P11" s="54">
        <f>(LocFeatures[[#This Row],[XP Train Gain]]+LocFeatures[[#This Row],[XP drop]])/(LocFeatures[[#This Row],[E. Cost]]-LocFeatures[[#This Row],[Energy gain]])</f>
        <v>0</v>
      </c>
      <c r="S11"/>
    </row>
    <row r="12" spans="1:22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55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features'!C12)+AVERAGEIFS(DropAnalityka[Fod Worth],DropAnalityka[Location],'Location features'!A12,DropAnalityka[LVL],'Location features'!B12,DropAnalityka[Stage],'Location features'!C12)</f>
        <v>4440.4901960784318</v>
      </c>
      <c r="J12" s="56">
        <f>AVERAGEIFS(DropAnalityka[Energy Drop],DropAnalityka[Location],'Location features'!$A12,DropAnalityka[LVL],'Location features'!$B12,DropAnalityka[Stage],'Location features'!$C12)</f>
        <v>0.97385620915032678</v>
      </c>
      <c r="K12" s="10">
        <f>4*LocFeatures[[#This Row],[XP Gain per member]]</f>
        <v>7200</v>
      </c>
      <c r="L12" s="10">
        <f t="shared" ref="L12:L17" si="0">3*E12</f>
        <v>5400</v>
      </c>
      <c r="M12" s="58">
        <f>AVERAGEIFS(DropAnalityka[Exp Gain],DropAnalityka[Location],'Location features'!$A12,DropAnalityka[LVL],'Location features'!$B12,DropAnalityka[Stage],'Location features'!$C12)</f>
        <v>2023.5816993464052</v>
      </c>
      <c r="N12" s="57">
        <f>LocFeatures[[#This Row],[Drop worth gain]]/(LocFeatures[[#This Row],[E. Cost]]-LocFeatures[[#This Row],[Energy gain]])</f>
        <v>1102.9139610389611</v>
      </c>
      <c r="O12" s="57">
        <f>LocFeatures[[#This Row],[XP Train Gain]]/(LocFeatures[[#This Row],[E. Cost]]-LocFeatures[[#This Row],[Energy gain]])</f>
        <v>1341.2337662337663</v>
      </c>
      <c r="P12" s="57">
        <f>(LocFeatures[[#This Row],[XP Train Gain]]+LocFeatures[[#This Row],[XP drop]])/(LocFeatures[[#This Row],[E. Cost]]-LocFeatures[[#This Row],[Energy gain]])</f>
        <v>1843.8441558441559</v>
      </c>
      <c r="Q12" s="10">
        <f>LocFeatures[[#This Row],[DropWorthGain/Energy]]/N9-1</f>
        <v>-0.27365691974782491</v>
      </c>
      <c r="R12" s="10">
        <f>LocFeatures[[#This Row],[XP/Energy]]/P9-1</f>
        <v>0.3844849337541465</v>
      </c>
      <c r="S12">
        <v>178</v>
      </c>
      <c r="T12" s="10" t="s">
        <v>157</v>
      </c>
      <c r="V12" s="10" t="s">
        <v>214</v>
      </c>
    </row>
    <row r="13" spans="1:22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55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features'!C13)+AVERAGEIFS(DropAnalityka[Fod Worth],DropAnalityka[Location],'Location features'!A13,DropAnalityka[LVL],'Location features'!B13,DropAnalityka[Stage],'Location features'!C13)</f>
        <v>4124.8571428571431</v>
      </c>
      <c r="J13" s="56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8">
        <f>AVERAGEIFS(DropAnalityka[Exp Gain],DropAnalityka[Location],'Location features'!$A13,DropAnalityka[LVL],'Location features'!$B13,DropAnalityka[Stage],'Location features'!$C13)</f>
        <v>0</v>
      </c>
      <c r="N13" s="57">
        <f>LocFeatures[[#This Row],[Drop worth gain]]/(LocFeatures[[#This Row],[E. Cost]]-LocFeatures[[#This Row],[Energy gain]])</f>
        <v>962.46666666666681</v>
      </c>
      <c r="O13" s="57">
        <f>LocFeatures[[#This Row],[XP Train Gain]]/(LocFeatures[[#This Row],[E. Cost]]-LocFeatures[[#This Row],[Energy gain]])</f>
        <v>307.3</v>
      </c>
      <c r="P13" s="57">
        <f>(LocFeatures[[#This Row],[XP Train Gain]]+LocFeatures[[#This Row],[XP drop]])/(LocFeatures[[#This Row],[E. Cost]]-LocFeatures[[#This Row],[Energy gain]])</f>
        <v>307.3</v>
      </c>
      <c r="S13"/>
    </row>
    <row r="14" spans="1:22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55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features'!C14)+AVERAGEIFS(DropAnalityka[Fod Worth],DropAnalityka[Location],'Location features'!A14,DropAnalityka[LVL],'Location features'!B14,DropAnalityka[Stage],'Location features'!C14)</f>
        <v>12692</v>
      </c>
      <c r="J14" s="56">
        <v>0.65</v>
      </c>
      <c r="K14" s="10">
        <f>4*LocFeatures[[#This Row],[XP Gain per member]]</f>
        <v>6000</v>
      </c>
      <c r="L14" s="10">
        <f t="shared" si="0"/>
        <v>4500</v>
      </c>
      <c r="M14" s="58">
        <f>AVERAGEIFS(DropAnalityka[Exp Gain],DropAnalityka[Location],'Location features'!$A14,DropAnalityka[LVL],'Location features'!$B14,DropAnalityka[Stage],'Location features'!$C14)</f>
        <v>66062</v>
      </c>
      <c r="N14" s="57">
        <f>LocFeatures[[#This Row],[Drop worth gain]]/(LocFeatures[[#This Row],[E. Cost]]-LocFeatures[[#This Row],[Energy gain]])</f>
        <v>2917.7011494252874</v>
      </c>
      <c r="O14" s="57">
        <f>LocFeatures[[#This Row],[XP Train Gain]]/(LocFeatures[[#This Row],[E. Cost]]-LocFeatures[[#This Row],[Energy gain]])</f>
        <v>1034.4827586206898</v>
      </c>
      <c r="P14" s="57">
        <f>(LocFeatures[[#This Row],[XP Train Gain]]+LocFeatures[[#This Row],[XP drop]])/(LocFeatures[[#This Row],[E. Cost]]-LocFeatures[[#This Row],[Energy gain]])</f>
        <v>16221.149425287358</v>
      </c>
      <c r="S14"/>
    </row>
    <row r="15" spans="1:22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55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features'!C15)+AVERAGEIFS(DropAnalityka[Fod Worth],DropAnalityka[Location],'Location features'!A15,DropAnalityka[LVL],'Location features'!B15,DropAnalityka[Stage],'Location features'!C15)</f>
        <v>3789.9479166666665</v>
      </c>
      <c r="J15" s="56">
        <f>AVERAGEIFS(DropAnalityka[Energy Drop],DropAnalityka[Location],'Location features'!$A15,DropAnalityka[LVL],'Location features'!$B15,DropAnalityka[Stage],'Location features'!$C15)</f>
        <v>0.88541666666666663</v>
      </c>
      <c r="K15" s="10">
        <f>4*LocFeatures[[#This Row],[XP Gain per member]]</f>
        <v>3196</v>
      </c>
      <c r="L15" s="10">
        <f t="shared" si="0"/>
        <v>2397</v>
      </c>
      <c r="M15" s="58">
        <f>AVERAGEIFS(DropAnalityka[Exp Gain],DropAnalityka[Location],'Location features'!$A15,DropAnalityka[LVL],'Location features'!$B15,DropAnalityka[Stage],'Location features'!$C15)</f>
        <v>1417.5</v>
      </c>
      <c r="N15" s="57">
        <f>LocFeatures[[#This Row],[Drop worth gain]]/(LocFeatures[[#This Row],[E. Cost]]-LocFeatures[[#This Row],[Energy gain]])</f>
        <v>1792.2906403940885</v>
      </c>
      <c r="O15" s="57">
        <f>LocFeatures[[#This Row],[XP Train Gain]]/(LocFeatures[[#This Row],[E. Cost]]-LocFeatures[[#This Row],[Energy gain]])</f>
        <v>1133.5566502463053</v>
      </c>
      <c r="P15" s="57">
        <f>(LocFeatures[[#This Row],[XP Train Gain]]+LocFeatures[[#This Row],[XP drop]])/(LocFeatures[[#This Row],[E. Cost]]-LocFeatures[[#This Row],[Energy gain]])</f>
        <v>1803.9014778325122</v>
      </c>
      <c r="Q15" s="10">
        <f>LocFeatures[[#This Row],[DropWorthGain/Energy]]/N9-1</f>
        <v>0.18034402540761585</v>
      </c>
      <c r="R15" s="10">
        <f>LocFeatures[[#This Row],[XP/Energy]]/P9-1</f>
        <v>0.35449322553648743</v>
      </c>
      <c r="S15"/>
    </row>
    <row r="16" spans="1:22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55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features'!C16)+AVERAGEIFS(DropAnalityka[Fod Worth],DropAnalityka[Location],'Location features'!A16,DropAnalityka[LVL],'Location features'!B16,DropAnalityka[Stage],'Location features'!C16)</f>
        <v>3392</v>
      </c>
      <c r="J16" s="56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8">
        <f>AVERAGEIFS(DropAnalityka[Exp Gain],DropAnalityka[Location],'Location features'!$A16,DropAnalityka[LVL],'Location features'!$B16,DropAnalityka[Stage],'Location features'!$C16)</f>
        <v>0</v>
      </c>
      <c r="N16" s="57">
        <f>LocFeatures[[#This Row],[Drop worth gain]]/(LocFeatures[[#This Row],[E. Cost]]-LocFeatures[[#This Row],[Energy gain]])</f>
        <v>1130.6666666666667</v>
      </c>
      <c r="O16" s="57">
        <f>LocFeatures[[#This Row],[XP Train Gain]]/(LocFeatures[[#This Row],[E. Cost]]-LocFeatures[[#This Row],[Energy gain]])</f>
        <v>804</v>
      </c>
      <c r="P16" s="57">
        <f>(LocFeatures[[#This Row],[XP Train Gain]]+LocFeatures[[#This Row],[XP drop]])/(LocFeatures[[#This Row],[E. Cost]]-LocFeatures[[#This Row],[Energy gain]])</f>
        <v>804</v>
      </c>
      <c r="S16"/>
    </row>
    <row r="17" spans="1:20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55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features'!C17)+AVERAGEIFS(DropAnalityka[Fod Worth],DropAnalityka[Location],'Location features'!A17,DropAnalityka[LVL],'Location features'!B17,DropAnalityka[Stage],'Location features'!C17)</f>
        <v>2964</v>
      </c>
      <c r="J17" s="56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8">
        <f>AVERAGEIFS(DropAnalityka[Exp Gain],DropAnalityka[Location],'Location features'!$A17,DropAnalityka[LVL],'Location features'!$B17,DropAnalityka[Stage],'Location features'!$C17)</f>
        <v>0</v>
      </c>
      <c r="N17" s="57">
        <f>LocFeatures[[#This Row],[Drop worth gain]]/(LocFeatures[[#This Row],[E. Cost]]-LocFeatures[[#This Row],[Energy gain]])</f>
        <v>988</v>
      </c>
      <c r="O17" s="57">
        <f>LocFeatures[[#This Row],[XP Train Gain]]/(LocFeatures[[#This Row],[E. Cost]]-LocFeatures[[#This Row],[Energy gain]])</f>
        <v>804</v>
      </c>
      <c r="P17" s="57">
        <f>(LocFeatures[[#This Row],[XP Train Gain]]+LocFeatures[[#This Row],[XP drop]])/(LocFeatures[[#This Row],[E. Cost]]-LocFeatures[[#This Row],[Energy gain]])</f>
        <v>804</v>
      </c>
      <c r="S17"/>
    </row>
    <row r="18" spans="1:20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55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features'!C18)+AVERAGEIFS(DropAnalityka[Fod Worth],DropAnalityka[Location],'Location features'!A18,DropAnalityka[LVL],'Location features'!B18,DropAnalityka[Stage],'Location features'!C18)</f>
        <v>5581.1860465116279</v>
      </c>
      <c r="J18" s="56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58">
        <f>AVERAGEIFS(DropAnalityka[Exp Gain],DropAnalityka[Location],'Location features'!$A18,DropAnalityka[LVL],'Location features'!$B18,DropAnalityka[Stage],'Location features'!$C18)</f>
        <v>4127.5348837209303</v>
      </c>
      <c r="N18" s="57">
        <f>LocFeatures[[#This Row],[Drop worth gain]]/(LocFeatures[[#This Row],[E. Cost]]-LocFeatures[[#This Row],[Energy gain]])</f>
        <v>1786.8619358396911</v>
      </c>
      <c r="O18" s="57">
        <f>LocFeatures[[#This Row],[XP Train Gain]]/(LocFeatures[[#This Row],[E. Cost]]-LocFeatures[[#This Row],[Energy gain]])</f>
        <v>1225.5652173913043</v>
      </c>
      <c r="P18" s="57">
        <f>(LocFeatures[[#This Row],[XP Train Gain]]+LocFeatures[[#This Row],[XP drop]])/(LocFeatures[[#This Row],[E. Cost]]-LocFeatures[[#This Row],[Energy gain]])</f>
        <v>2547.0289548671753</v>
      </c>
      <c r="S18">
        <v>122</v>
      </c>
      <c r="T18" s="10" t="s">
        <v>154</v>
      </c>
    </row>
    <row r="19" spans="1:20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53" t="e">
        <f>AVERAGEIFS(DropAnalityka[Mana drop],DropAnalityka[Location],'Location features'!A19,DropAnalityka[LVL],'Location features'!B19,DropAnalityka[Stage],'Location features'!C19)+AVERAGEIFS(DropAnalityka[Drop Worth],DropAnalityka[Location],'Location features'!A19,DropAnalityka[LVL],'Location features'!B19,DropAnalityka[Stage],'Location features'!C19)+AVERAGEIFS(DropAnalityka[Fod Worth],DropAnalityka[Location],'Location features'!A19,DropAnalityka[LVL],'Location features'!B19,DropAnalityka[Stage],'Location features'!C19)</f>
        <v>#DIV/0!</v>
      </c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53"/>
      <c r="N19" t="e">
        <f>LocFeatures[[#This Row],[Drop worth gain]]/(LocFeatures[[#This Row],[E. Cost]]-LocFeatures[[#This Row],[Energy gain]])</f>
        <v>#DIV/0!</v>
      </c>
      <c r="O19" s="54">
        <f>LocFeatures[[#This Row],[XP Train Gain]]/(LocFeatures[[#This Row],[E. Cost]]-LocFeatures[[#This Row],[Energy gain]])</f>
        <v>1473.2784431137725</v>
      </c>
      <c r="P19">
        <f>(LocFeatures[[#This Row],[XP Train Gain]]+LocFeatures[[#This Row],[XP drop]])/(LocFeatures[[#This Row],[E. Cost]]-LocFeatures[[#This Row],[Energy gain]])</f>
        <v>1473.2784431137725</v>
      </c>
      <c r="Q19" s="10"/>
      <c r="R19" s="10"/>
      <c r="T19" s="16"/>
    </row>
    <row r="20" spans="1:20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55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features'!C20)+AVERAGEIFS(DropAnalityka[Fod Worth],DropAnalityka[Location],'Location features'!A20,DropAnalityka[LVL],'Location features'!B20,DropAnalityka[Stage],'Location features'!C20)</f>
        <v>2788.25</v>
      </c>
      <c r="J20" s="56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58">
        <f>AVERAGEIFS(DropAnalityka[Exp Gain],DropAnalityka[Location],'Location features'!$A20,DropAnalityka[LVL],'Location features'!$B20,DropAnalityka[Stage],'Location features'!$C20)</f>
        <v>0</v>
      </c>
      <c r="N20" s="57">
        <f>LocFeatures[[#This Row],[Drop worth gain]]/(LocFeatures[[#This Row],[E. Cost]]-LocFeatures[[#This Row],[Energy gain]])</f>
        <v>506.95454545454544</v>
      </c>
      <c r="O20" s="57">
        <f>LocFeatures[[#This Row],[XP Train Gain]]/(LocFeatures[[#This Row],[E. Cost]]-LocFeatures[[#This Row],[Energy gain]])</f>
        <v>213.81818181818181</v>
      </c>
      <c r="P20" s="57">
        <f>(LocFeatures[[#This Row],[XP Train Gain]]+LocFeatures[[#This Row],[XP drop]])/(LocFeatures[[#This Row],[E. Cost]]-LocFeatures[[#This Row],[Energy gain]])</f>
        <v>213.81818181818181</v>
      </c>
      <c r="Q20" s="10"/>
      <c r="R20" s="10"/>
    </row>
    <row r="21" spans="1:20">
      <c r="A21" s="10" t="s">
        <v>204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55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features'!C21)+AVERAGEIFS(DropAnalityka[Fod Worth],DropAnalityka[Location],'Location features'!A21,DropAnalityka[LVL],'Location features'!B21,DropAnalityka[Stage],'Location features'!C21)</f>
        <v>7394.5</v>
      </c>
      <c r="J21" s="56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58">
        <f>AVERAGEIFS(DropAnalityka[Exp Gain],DropAnalityka[Location],'Location features'!$A21,DropAnalityka[LVL],'Location features'!$B21,DropAnalityka[Stage],'Location features'!$C21)</f>
        <v>0</v>
      </c>
      <c r="N21" s="57">
        <f>LocFeatures[[#This Row],[Drop worth gain]]/(LocFeatures[[#This Row],[E. Cost]]-LocFeatures[[#This Row],[Energy gain]])</f>
        <v>1408.4761904761904</v>
      </c>
      <c r="O21" s="57">
        <f>LocFeatures[[#This Row],[XP Train Gain]]/(LocFeatures[[#This Row],[E. Cost]]-LocFeatures[[#This Row],[Energy gain]])</f>
        <v>345.71428571428572</v>
      </c>
      <c r="P21" s="57">
        <f>(LocFeatures[[#This Row],[XP Train Gain]]+LocFeatures[[#This Row],[XP drop]])/(LocFeatures[[#This Row],[E. Cost]]-LocFeatures[[#This Row],[Energy gain]])</f>
        <v>345.71428571428572</v>
      </c>
      <c r="Q21" s="10"/>
      <c r="R21" s="10"/>
    </row>
    <row r="22" spans="1:20">
      <c r="A22" s="10" t="s">
        <v>204</v>
      </c>
      <c r="B22" s="10" t="s">
        <v>9</v>
      </c>
      <c r="C22" s="10">
        <v>6</v>
      </c>
      <c r="D22" s="10">
        <v>7</v>
      </c>
      <c r="E22" s="10">
        <v>760</v>
      </c>
      <c r="F22" s="10"/>
      <c r="G22" s="10"/>
      <c r="H22" s="10"/>
      <c r="I22" s="55">
        <f>AVERAGEIFS(DropAnalityka[Mana drop],DropAnalityka[Location],'Location features'!A22,DropAnalityka[LVL],'Location features'!B22,DropAnalityka[Stage],'Location features'!C22)+AVERAGEIFS(DropAnalityka[Drop Worth],DropAnalityka[Location],'Location features'!A22,DropAnalityka[LVL],'Location features'!B22,DropAnalityka[Stage],'Location features'!C22)+AVERAGEIFS(DropAnalityka[Fod Worth],DropAnalityka[Location],'Location features'!A22,DropAnalityka[LVL],'Location features'!B22,DropAnalityka[Stage],'Location features'!C22)</f>
        <v>7963.2727272727279</v>
      </c>
      <c r="J22" s="56">
        <f>AVERAGEIFS(DropAnalityka[Energy Drop],DropAnalityka[Location],'Location features'!$A22,DropAnalityka[LVL],'Location features'!$B22,DropAnalityka[Stage],'Location features'!$C22)</f>
        <v>0.90909090909090906</v>
      </c>
      <c r="K22" s="10">
        <f>5*LocFeatures[[#This Row],[XP Gain per member]]</f>
        <v>3800</v>
      </c>
      <c r="L22" s="10">
        <f>3*E22</f>
        <v>2280</v>
      </c>
      <c r="M22" s="58">
        <f>AVERAGEIFS(DropAnalityka[Exp Gain],DropAnalityka[Location],'Location features'!$A22,DropAnalityka[LVL],'Location features'!$B22,DropAnalityka[Stage],'Location features'!$C22)</f>
        <v>6005.636363636364</v>
      </c>
      <c r="N22" s="57">
        <f>LocFeatures[[#This Row],[Drop worth gain]]/(LocFeatures[[#This Row],[E. Cost]]-LocFeatures[[#This Row],[Energy gain]])</f>
        <v>1307.4029850746269</v>
      </c>
      <c r="O22" s="57">
        <f>LocFeatures[[#This Row],[XP Train Gain]]/(LocFeatures[[#This Row],[E. Cost]]-LocFeatures[[#This Row],[Energy gain]])</f>
        <v>374.32835820895525</v>
      </c>
      <c r="P22" s="57">
        <f>(LocFeatures[[#This Row],[XP Train Gain]]+LocFeatures[[#This Row],[XP drop]])/(LocFeatures[[#This Row],[E. Cost]]-LocFeatures[[#This Row],[Energy gain]])</f>
        <v>1360.3283582089553</v>
      </c>
      <c r="Q22" s="10"/>
      <c r="R22" s="10"/>
    </row>
    <row r="23" spans="1:20">
      <c r="A23" s="10" t="s">
        <v>40</v>
      </c>
      <c r="B23" s="10" t="s">
        <v>9</v>
      </c>
      <c r="C23" s="10">
        <v>7</v>
      </c>
      <c r="D23" s="10">
        <v>7</v>
      </c>
      <c r="E23" s="10"/>
      <c r="F23" s="10"/>
      <c r="G23" s="10"/>
      <c r="H23" s="10"/>
      <c r="I23" s="55">
        <f>AVERAGEIFS(DropAnalityka[Mana drop],DropAnalityka[Location],'Location features'!A23,DropAnalityka[LVL],'Location features'!B23,DropAnalityka[Stage],'Location features'!C23)+AVERAGEIFS(DropAnalityka[Drop Worth],DropAnalityka[Location],'Location features'!A23,DropAnalityka[LVL],'Location features'!B23,DropAnalityka[Stage],'Location features'!C23)+AVERAGEIFS(DropAnalityka[Fod Worth],DropAnalityka[Location],'Location features'!A23,DropAnalityka[LVL],'Location features'!B23,DropAnalityka[Stage],'Location features'!C23)</f>
        <v>2767.4736842105262</v>
      </c>
      <c r="J23" s="56">
        <f>AVERAGEIFS(DropAnalityka[Energy Drop],DropAnalityka[Location],'Location features'!$A23,DropAnalityka[LVL],'Location features'!$B23,DropAnalityka[Stage],'Location features'!$C23)</f>
        <v>0.68421052631578949</v>
      </c>
      <c r="K23" s="10">
        <f>5*LocFeatures[[#This Row],[XP Gain per member]]</f>
        <v>0</v>
      </c>
      <c r="L23" s="10">
        <f>3*E23</f>
        <v>0</v>
      </c>
      <c r="M23" s="58">
        <f>AVERAGEIFS(DropAnalityka[Exp Gain],DropAnalityka[Location],'Location features'!$A23,DropAnalityka[LVL],'Location features'!$B23,DropAnalityka[Stage],'Location features'!$C23)</f>
        <v>0</v>
      </c>
      <c r="N23" s="57">
        <f>LocFeatures[[#This Row],[Drop worth gain]]/(LocFeatures[[#This Row],[E. Cost]]-LocFeatures[[#This Row],[Energy gain]])</f>
        <v>438.18333333333334</v>
      </c>
      <c r="O23" s="57">
        <f>LocFeatures[[#This Row],[XP Train Gain]]/(LocFeatures[[#This Row],[E. Cost]]-LocFeatures[[#This Row],[Energy gain]])</f>
        <v>0</v>
      </c>
      <c r="P23" s="57">
        <f>(LocFeatures[[#This Row],[XP Train Gain]]+LocFeatures[[#This Row],[XP drop]])/(LocFeatures[[#This Row],[E. Cost]]-LocFeatures[[#This Row],[Energy gain]])</f>
        <v>0</v>
      </c>
      <c r="Q23" s="10"/>
      <c r="R23" s="10"/>
    </row>
    <row r="24" spans="1:20">
      <c r="A24" s="10" t="s">
        <v>40</v>
      </c>
      <c r="B24" s="10" t="s">
        <v>9</v>
      </c>
      <c r="C24">
        <v>8</v>
      </c>
      <c r="D24">
        <v>7</v>
      </c>
      <c r="I24" s="55" t="e">
        <f>AVERAGEIFS(DropAnalityka[Mana drop],DropAnalityka[Location],'Location features'!A24,DropAnalityka[LVL],'Location features'!B24,DropAnalityka[Stage],'Location features'!C24)+AVERAGEIFS(DropAnalityka[Drop Worth],DropAnalityka[Location],'Location features'!A24,DropAnalityka[LVL],'Location features'!B24,DropAnalityka[Stage],'Location features'!C24)+AVERAGEIFS(DropAnalityka[Fod Worth],DropAnalityka[Location],'Location features'!A24,DropAnalityka[LVL],'Location features'!B24,DropAnalityka[Stage],'Location features'!C24)</f>
        <v>#DIV/0!</v>
      </c>
      <c r="J24" s="56" t="e">
        <f>AVERAGEIFS(DropAnalityka[Energy Drop],DropAnalityka[Location],'Location features'!$A24,DropAnalityka[LVL],'Location features'!$B24,DropAnalityka[Stage],'Location features'!$C24)</f>
        <v>#DIV/0!</v>
      </c>
      <c r="K24" s="10">
        <f>5*LocFeatures[[#This Row],[XP Gain per member]]</f>
        <v>0</v>
      </c>
      <c r="L24" s="10">
        <f>3*E24</f>
        <v>0</v>
      </c>
      <c r="M24" s="58" t="e">
        <f>AVERAGEIFS(DropAnalityka[Exp Gain],DropAnalityka[Location],'Location features'!$A24,DropAnalityka[LVL],'Location features'!$B24,DropAnalityka[Stage],'Location features'!$C24)</f>
        <v>#DIV/0!</v>
      </c>
      <c r="N24" s="57" t="e">
        <f>LocFeatures[[#This Row],[Drop worth gain]]/(LocFeatures[[#This Row],[E. Cost]]-LocFeatures[[#This Row],[Energy gain]])</f>
        <v>#DIV/0!</v>
      </c>
      <c r="O24" s="57" t="e">
        <f>LocFeatures[[#This Row],[XP Train Gain]]/(LocFeatures[[#This Row],[E. Cost]]-LocFeatures[[#This Row],[Energy gain]])</f>
        <v>#DIV/0!</v>
      </c>
      <c r="P24" s="57" t="e">
        <f>(LocFeatures[[#This Row],[XP Train Gain]]+LocFeatures[[#This Row],[XP drop]])/(LocFeatures[[#This Row],[E. Cost]]-LocFeatures[[#This Row],[Energy gain]])</f>
        <v>#DIV/0!</v>
      </c>
      <c r="Q24" s="10"/>
      <c r="R24" s="10"/>
    </row>
    <row r="25" spans="1:20">
      <c r="I25" s="49"/>
      <c r="M25" s="49"/>
      <c r="O25" s="54" t="e">
        <f>LocFeatures[[#This Row],[XP Train Gain]]/(LocFeatures[[#This Row],[E. Cost]]-LocFeatures[[#This Row],[Energy gain]])</f>
        <v>#DIV/0!</v>
      </c>
    </row>
    <row r="26" spans="1:20">
      <c r="I26" s="49"/>
      <c r="M26" s="49"/>
      <c r="O26" s="54" t="e">
        <f>LocFeatures[[#This Row],[XP Train Gain]]/(LocFeatures[[#This Row],[E. Cost]]-LocFeatures[[#This Row],[Energy gain]])</f>
        <v>#DIV/0!</v>
      </c>
    </row>
    <row r="27" spans="1:20">
      <c r="I27" s="49"/>
      <c r="M27" s="49"/>
      <c r="O27" s="54" t="e">
        <f>LocFeatures[[#This Row],[XP Train Gain]]/(LocFeatures[[#This Row],[E. Cost]]-LocFeatures[[#This Row],[Energy gain]])</f>
        <v>#DIV/0!</v>
      </c>
    </row>
    <row r="28" spans="1:20">
      <c r="I28" s="49"/>
      <c r="M28" s="49"/>
      <c r="O28" s="54" t="e">
        <f>LocFeatures[[#This Row],[XP Train Gain]]/(LocFeatures[[#This Row],[E. Cost]]-LocFeatures[[#This Row],[Energy gain]])</f>
        <v>#DIV/0!</v>
      </c>
    </row>
    <row r="29" spans="1:20">
      <c r="I29" s="49"/>
      <c r="M29" s="49"/>
      <c r="O29" s="54" t="e">
        <f>LocFeatures[[#This Row],[XP Train Gain]]/(LocFeatures[[#This Row],[E. Cost]]-LocFeatures[[#This Row],[Energy gain]])</f>
        <v>#DIV/0!</v>
      </c>
    </row>
    <row r="30" spans="1:20">
      <c r="I30" s="49"/>
      <c r="M30" s="49"/>
      <c r="O30" s="54" t="e">
        <f>LocFeatures[[#This Row],[XP Train Gain]]/(LocFeatures[[#This Row],[E. Cost]]-LocFeatures[[#This Row],[Energy gain]])</f>
        <v>#DIV/0!</v>
      </c>
    </row>
    <row r="31" spans="1:20">
      <c r="I31" s="49"/>
      <c r="M31" s="49"/>
      <c r="O31" s="54" t="e">
        <f>LocFeatures[[#This Row],[XP Train Gain]]/(LocFeatures[[#This Row],[E. Cost]]-LocFeatures[[#This Row],[Energy gain]])</f>
        <v>#DIV/0!</v>
      </c>
    </row>
    <row r="32" spans="1:20">
      <c r="I32" s="49"/>
      <c r="M32" s="49"/>
      <c r="O32" s="54" t="e">
        <f>LocFeatures[[#This Row],[XP Train Gain]]/(LocFeatures[[#This Row],[E. Cost]]-LocFeatures[[#This Row],[Energy gain]])</f>
        <v>#DIV/0!</v>
      </c>
    </row>
    <row r="33" spans="9:15">
      <c r="I33" s="49"/>
      <c r="M33" s="49"/>
      <c r="O33" s="54" t="e">
        <f>LocFeatures[[#This Row],[XP Train Gain]]/(LocFeatures[[#This Row],[E. Cost]]-LocFeatures[[#This Row],[Energy gain]])</f>
        <v>#DIV/0!</v>
      </c>
    </row>
    <row r="34" spans="9:15">
      <c r="I34" s="49"/>
      <c r="M34" s="49"/>
      <c r="O34" s="54" t="e">
        <f>LocFeatures[[#This Row],[XP Train Gain]]/(LocFeatures[[#This Row],[E. Cost]]-LocFeatures[[#This Row],[Energy gain]])</f>
        <v>#DIV/0!</v>
      </c>
    </row>
    <row r="35" spans="9:15">
      <c r="I35" s="49"/>
      <c r="M35" s="49"/>
      <c r="O35" s="54" t="e">
        <f>LocFeatures[[#This Row],[XP Train Gain]]/(LocFeatures[[#This Row],[E. Cost]]-LocFeatures[[#This Row],[Energy gain]])</f>
        <v>#DIV/0!</v>
      </c>
    </row>
    <row r="36" spans="9:15">
      <c r="I36" s="49"/>
      <c r="M36" s="49"/>
      <c r="O36" s="54" t="e">
        <f>LocFeatures[[#This Row],[XP Train Gain]]/(LocFeatures[[#This Row],[E. Cost]]-LocFeatures[[#This Row],[Energy gain]])</f>
        <v>#DIV/0!</v>
      </c>
    </row>
    <row r="37" spans="9:15">
      <c r="I37" s="49"/>
      <c r="M37" s="49"/>
      <c r="O37" s="54" t="e">
        <f>LocFeatures[[#This Row],[XP Train Gain]]/(LocFeatures[[#This Row],[E. Cost]]-LocFeatures[[#This Row],[Energy gain]])</f>
        <v>#DIV/0!</v>
      </c>
    </row>
    <row r="38" spans="9:15">
      <c r="I38" s="49"/>
      <c r="M38" s="49"/>
      <c r="O38" s="54" t="e">
        <f>LocFeatures[[#This Row],[XP Train Gain]]/(LocFeatures[[#This Row],[E. Cost]]-LocFeatures[[#This Row],[Energy gain]])</f>
        <v>#DIV/0!</v>
      </c>
    </row>
    <row r="39" spans="9:15">
      <c r="I39" s="49"/>
      <c r="M39" s="49"/>
      <c r="O39" s="54" t="e">
        <f>LocFeatures[[#This Row],[XP Train Gain]]/(LocFeatures[[#This Row],[E. Cost]]-LocFeatures[[#This Row],[Energy gain]])</f>
        <v>#DIV/0!</v>
      </c>
    </row>
    <row r="40" spans="9:15">
      <c r="I40" s="49"/>
      <c r="M40" s="49"/>
      <c r="O40" s="54" t="e">
        <f>LocFeatures[[#This Row],[XP Train Gain]]/(LocFeatures[[#This Row],[E. Cost]]-LocFeatures[[#This Row],[Energy gain]])</f>
        <v>#DIV/0!</v>
      </c>
    </row>
    <row r="41" spans="9:15">
      <c r="I41" s="49"/>
      <c r="M41" s="49"/>
      <c r="O41" s="54" t="e">
        <f>LocFeatures[[#This Row],[XP Train Gain]]/(LocFeatures[[#This Row],[E. Cost]]-LocFeatures[[#This Row],[Energy gain]])</f>
        <v>#DIV/0!</v>
      </c>
    </row>
    <row r="42" spans="9:15">
      <c r="I42" s="49"/>
      <c r="M42" s="49"/>
      <c r="O42" s="54" t="e">
        <f>LocFeatures[[#This Row],[XP Train Gain]]/(LocFeatures[[#This Row],[E. Cost]]-LocFeatures[[#This Row],[Energy gain]])</f>
        <v>#DIV/0!</v>
      </c>
    </row>
    <row r="43" spans="9:15">
      <c r="I43" s="49"/>
      <c r="M43" s="49"/>
      <c r="O43" s="54" t="e">
        <f>LocFeatures[[#This Row],[XP Train Gain]]/(LocFeatures[[#This Row],[E. Cost]]-LocFeatures[[#This Row],[Energy gain]])</f>
        <v>#DIV/0!</v>
      </c>
    </row>
    <row r="44" spans="9:15">
      <c r="I44" s="49"/>
      <c r="M44" s="49"/>
      <c r="O44" s="54" t="e">
        <f>LocFeatures[[#This Row],[XP Train Gain]]/(LocFeatures[[#This Row],[E. Cost]]-LocFeatures[[#This Row],[Energy gain]])</f>
        <v>#DIV/0!</v>
      </c>
    </row>
    <row r="45" spans="9:15">
      <c r="I45" s="49"/>
      <c r="M45" s="49"/>
      <c r="O45" s="54" t="e">
        <f>LocFeatures[[#This Row],[XP Train Gain]]/(LocFeatures[[#This Row],[E. Cost]]-LocFeatures[[#This Row],[Energy gain]])</f>
        <v>#DIV/0!</v>
      </c>
    </row>
    <row r="46" spans="9:15">
      <c r="I46" s="49"/>
      <c r="M46" s="49"/>
      <c r="O46" s="54" t="e">
        <f>LocFeatures[[#This Row],[XP Train Gain]]/(LocFeatures[[#This Row],[E. Cost]]-LocFeatures[[#This Row],[Energy gain]])</f>
        <v>#DIV/0!</v>
      </c>
    </row>
    <row r="47" spans="9:15">
      <c r="I47" s="49"/>
      <c r="M47" s="49"/>
      <c r="O47" s="54" t="e">
        <f>LocFeatures[[#This Row],[XP Train Gain]]/(LocFeatures[[#This Row],[E. Cost]]-LocFeatures[[#This Row],[Energy gain]])</f>
        <v>#DIV/0!</v>
      </c>
    </row>
    <row r="48" spans="9:15">
      <c r="I48" s="49"/>
      <c r="M48" s="49"/>
      <c r="O48" s="54" t="e">
        <f>LocFeatures[[#This Row],[XP Train Gain]]/(LocFeatures[[#This Row],[E. Cost]]-LocFeatures[[#This Row],[Energy gain]])</f>
        <v>#DIV/0!</v>
      </c>
    </row>
    <row r="49" spans="9:15">
      <c r="I49" s="49"/>
      <c r="M49" s="49"/>
      <c r="O49" s="54" t="e">
        <f>LocFeatures[[#This Row],[XP Train Gain]]/(LocFeatures[[#This Row],[E. Cost]]-LocFeatures[[#This Row],[Energy gain]])</f>
        <v>#DIV/0!</v>
      </c>
    </row>
    <row r="50" spans="9:15">
      <c r="I50" s="49"/>
      <c r="M50" s="49"/>
      <c r="O50" s="54" t="e">
        <f>LocFeatures[[#This Row],[XP Train Gain]]/(LocFeatures[[#This Row],[E. Cost]]-LocFeatures[[#This Row],[Energy gain]])</f>
        <v>#DIV/0!</v>
      </c>
    </row>
    <row r="51" spans="9:15">
      <c r="I51" s="49"/>
      <c r="M51" s="49"/>
      <c r="O51" s="54" t="e">
        <f>LocFeatures[[#This Row],[XP Train Gain]]/(LocFeatures[[#This Row],[E. Cost]]-LocFeatures[[#This Row],[Energy gain]])</f>
        <v>#DIV/0!</v>
      </c>
    </row>
    <row r="52" spans="9:15">
      <c r="I52" s="49"/>
      <c r="M52" s="49"/>
      <c r="O52" s="54" t="e">
        <f>LocFeatures[[#This Row],[XP Train Gain]]/(LocFeatures[[#This Row],[E. Cost]]-LocFeatures[[#This Row],[Energy gain]])</f>
        <v>#DIV/0!</v>
      </c>
    </row>
    <row r="53" spans="9:15">
      <c r="I53" s="49"/>
      <c r="M53" s="49"/>
      <c r="O53" s="54" t="e">
        <f>LocFeatures[[#This Row],[XP Train Gain]]/(LocFeatures[[#This Row],[E. Cost]]-LocFeatures[[#This Row],[Energy gain]])</f>
        <v>#DIV/0!</v>
      </c>
    </row>
    <row r="54" spans="9:15">
      <c r="I54" s="49"/>
      <c r="M54" s="49"/>
      <c r="O54" s="54" t="e">
        <f>LocFeatures[[#This Row],[XP Train Gain]]/(LocFeatures[[#This Row],[E. Cost]]-LocFeatures[[#This Row],[Energy gain]])</f>
        <v>#DIV/0!</v>
      </c>
    </row>
    <row r="55" spans="9:15">
      <c r="I55" s="49"/>
      <c r="M55" s="49"/>
      <c r="O55" s="54" t="e">
        <f>LocFeatures[[#This Row],[XP Train Gain]]/(LocFeatures[[#This Row],[E. Cost]]-LocFeatures[[#This Row],[Energy gain]])</f>
        <v>#DIV/0!</v>
      </c>
    </row>
    <row r="56" spans="9:15">
      <c r="I56" s="49"/>
      <c r="M56" s="49"/>
      <c r="O56" s="54" t="e">
        <f>LocFeatures[[#This Row],[XP Train Gain]]/(LocFeatures[[#This Row],[E. Cost]]-LocFeatures[[#This Row],[Energy gain]])</f>
        <v>#DIV/0!</v>
      </c>
    </row>
    <row r="57" spans="9:15">
      <c r="I57" s="49"/>
      <c r="M57" s="49"/>
      <c r="O57" s="54" t="e">
        <f>LocFeatures[[#This Row],[XP Train Gain]]/(LocFeatures[[#This Row],[E. Cost]]-LocFeatures[[#This Row],[Energy gain]])</f>
        <v>#DIV/0!</v>
      </c>
    </row>
    <row r="58" spans="9:15">
      <c r="I58" s="49"/>
      <c r="M58" s="49"/>
      <c r="O58" s="54" t="e">
        <f>LocFeatures[[#This Row],[XP Train Gain]]/(LocFeatures[[#This Row],[E. Cost]]-LocFeatures[[#This Row],[Energy gain]])</f>
        <v>#DIV/0!</v>
      </c>
    </row>
    <row r="59" spans="9:15">
      <c r="I59" s="49"/>
      <c r="M59" s="49"/>
      <c r="O59" s="54" t="e">
        <f>LocFeatures[[#This Row],[XP Train Gain]]/(LocFeatures[[#This Row],[E. Cost]]-LocFeatures[[#This Row],[Energy gain]])</f>
        <v>#DIV/0!</v>
      </c>
    </row>
    <row r="60" spans="9:15">
      <c r="I60" s="49"/>
      <c r="M60" s="49"/>
      <c r="O60" s="54" t="e">
        <f>LocFeatures[[#This Row],[XP Train Gain]]/(LocFeatures[[#This Row],[E. Cost]]-LocFeatures[[#This Row],[Energy gain]])</f>
        <v>#DIV/0!</v>
      </c>
    </row>
    <row r="61" spans="9:15">
      <c r="I61" s="49"/>
      <c r="M61" s="49"/>
      <c r="O61" s="54" t="e">
        <f>LocFeatures[[#This Row],[XP Train Gain]]/(LocFeatures[[#This Row],[E. Cost]]-LocFeatures[[#This Row],[Energy gain]])</f>
        <v>#DIV/0!</v>
      </c>
    </row>
    <row r="62" spans="9:15">
      <c r="I62" s="49"/>
      <c r="M62" s="49"/>
      <c r="O62" s="54" t="e">
        <f>LocFeatures[[#This Row],[XP Train Gain]]/(LocFeatures[[#This Row],[E. Cost]]-LocFeatures[[#This Row],[Energy gain]])</f>
        <v>#DIV/0!</v>
      </c>
    </row>
    <row r="63" spans="9:15">
      <c r="I63" s="49"/>
      <c r="M63" s="49"/>
      <c r="O63" s="54" t="e">
        <f>LocFeatures[[#This Row],[XP Train Gain]]/(LocFeatures[[#This Row],[E. Cost]]-LocFeatures[[#This Row],[Energy gain]])</f>
        <v>#DIV/0!</v>
      </c>
    </row>
    <row r="64" spans="9:15">
      <c r="I64" s="49"/>
      <c r="M64" s="49"/>
      <c r="O64" s="54" t="e">
        <f>LocFeatures[[#This Row],[XP Train Gain]]/(LocFeatures[[#This Row],[E. Cost]]-LocFeatures[[#This Row],[Energy gain]])</f>
        <v>#DIV/0!</v>
      </c>
    </row>
    <row r="65" spans="9:15">
      <c r="I65" s="49"/>
      <c r="M65" s="49"/>
      <c r="O65" s="54" t="e">
        <f>LocFeatures[[#This Row],[XP Train Gain]]/(LocFeatures[[#This Row],[E. Cost]]-LocFeatures[[#This Row],[Energy gain]])</f>
        <v>#DIV/0!</v>
      </c>
    </row>
    <row r="66" spans="9:15">
      <c r="I66" s="49"/>
      <c r="M66" s="49"/>
      <c r="O66" s="54" t="e">
        <f>LocFeatures[[#This Row],[XP Train Gain]]/(LocFeatures[[#This Row],[E. Cost]]-LocFeatures[[#This Row],[Energy gain]])</f>
        <v>#DIV/0!</v>
      </c>
    </row>
    <row r="67" spans="9:15">
      <c r="I67" s="49"/>
      <c r="M67" s="49"/>
      <c r="O67" s="54" t="e">
        <f>LocFeatures[[#This Row],[XP Train Gain]]/(LocFeatures[[#This Row],[E. Cost]]-LocFeatures[[#This Row],[Energy gain]])</f>
        <v>#DIV/0!</v>
      </c>
    </row>
    <row r="68" spans="9:15">
      <c r="I68" s="49"/>
      <c r="M68" s="49"/>
      <c r="O68" s="54" t="e">
        <f>LocFeatures[[#This Row],[XP Train Gain]]/(LocFeatures[[#This Row],[E. Cost]]-LocFeatures[[#This Row],[Energy gain]])</f>
        <v>#DIV/0!</v>
      </c>
    </row>
    <row r="69" spans="9:15">
      <c r="I69" s="49"/>
      <c r="M69" s="49"/>
      <c r="O69" s="54" t="e">
        <f>LocFeatures[[#This Row],[XP Train Gain]]/(LocFeatures[[#This Row],[E. Cost]]-LocFeatures[[#This Row],[Energy gain]])</f>
        <v>#DIV/0!</v>
      </c>
    </row>
    <row r="70" spans="9:15">
      <c r="I70" s="49"/>
      <c r="M70" s="49"/>
      <c r="O70" s="54" t="e">
        <f>LocFeatures[[#This Row],[XP Train Gain]]/(LocFeatures[[#This Row],[E. Cost]]-LocFeatures[[#This Row],[Energy gain]])</f>
        <v>#DIV/0!</v>
      </c>
    </row>
    <row r="71" spans="9:15">
      <c r="I71" s="49"/>
      <c r="M71" s="49"/>
      <c r="O71" s="54" t="e">
        <f>LocFeatures[[#This Row],[XP Train Gain]]/(LocFeatures[[#This Row],[E. Cost]]-LocFeatures[[#This Row],[Energy gain]])</f>
        <v>#DIV/0!</v>
      </c>
    </row>
    <row r="72" spans="9:15">
      <c r="I72" s="49"/>
      <c r="M72" s="49"/>
      <c r="O72" s="54" t="e">
        <f>LocFeatures[[#This Row],[XP Train Gain]]/(LocFeatures[[#This Row],[E. Cost]]-LocFeatures[[#This Row],[Energy gain]])</f>
        <v>#DIV/0!</v>
      </c>
    </row>
    <row r="73" spans="9:15">
      <c r="I73" s="49"/>
      <c r="M73" s="49"/>
      <c r="O73" s="54" t="e">
        <f>LocFeatures[[#This Row],[XP Train Gain]]/(LocFeatures[[#This Row],[E. Cost]]-LocFeatures[[#This Row],[Energy gain]])</f>
        <v>#DIV/0!</v>
      </c>
    </row>
    <row r="74" spans="9:15">
      <c r="I74" s="49"/>
      <c r="M74" s="49"/>
      <c r="O74" s="54" t="e">
        <f>LocFeatures[[#This Row],[XP Train Gain]]/(LocFeatures[[#This Row],[E. Cost]]-LocFeatures[[#This Row],[Energy gain]])</f>
        <v>#DIV/0!</v>
      </c>
    </row>
    <row r="75" spans="9:15">
      <c r="I75" s="49"/>
      <c r="M75" s="49"/>
      <c r="O75" s="54" t="e">
        <f>LocFeatures[[#This Row],[XP Train Gain]]/(LocFeatures[[#This Row],[E. Cost]]-LocFeatures[[#This Row],[Energy gain]])</f>
        <v>#DIV/0!</v>
      </c>
    </row>
    <row r="76" spans="9:15">
      <c r="I76" s="49"/>
      <c r="M76" s="49"/>
      <c r="O76" s="54" t="e">
        <f>LocFeatures[[#This Row],[XP Train Gain]]/(LocFeatures[[#This Row],[E. Cost]]-LocFeatures[[#This Row],[Energy gain]])</f>
        <v>#DIV/0!</v>
      </c>
    </row>
    <row r="77" spans="9:15">
      <c r="I77" s="49"/>
      <c r="M77" s="49"/>
      <c r="O77" s="54" t="e">
        <f>LocFeatures[[#This Row],[XP Train Gain]]/(LocFeatures[[#This Row],[E. Cost]]-LocFeatures[[#This Row],[Energy gain]])</f>
        <v>#DIV/0!</v>
      </c>
    </row>
    <row r="78" spans="9:15">
      <c r="I78" s="49"/>
      <c r="M78" s="49"/>
      <c r="O78" s="54" t="e">
        <f>LocFeatures[[#This Row],[XP Train Gain]]/(LocFeatures[[#This Row],[E. Cost]]-LocFeatures[[#This Row],[Energy gain]])</f>
        <v>#DIV/0!</v>
      </c>
    </row>
    <row r="79" spans="9:15">
      <c r="I79" s="49"/>
      <c r="M79" s="49"/>
      <c r="O79" s="54" t="e">
        <f>LocFeatures[[#This Row],[XP Train Gain]]/(LocFeatures[[#This Row],[E. Cost]]-LocFeatures[[#This Row],[Energy gain]])</f>
        <v>#DIV/0!</v>
      </c>
    </row>
    <row r="80" spans="9:15">
      <c r="I80" s="49"/>
      <c r="M80" s="49"/>
      <c r="O80" s="54" t="e">
        <f>LocFeatures[[#This Row],[XP Train Gain]]/(LocFeatures[[#This Row],[E. Cost]]-LocFeatures[[#This Row],[Energy gain]])</f>
        <v>#DIV/0!</v>
      </c>
    </row>
    <row r="81" spans="9:15">
      <c r="I81" s="49"/>
      <c r="M81" s="49"/>
      <c r="O81" s="54" t="e">
        <f>LocFeatures[[#This Row],[XP Train Gain]]/(LocFeatures[[#This Row],[E. Cost]]-LocFeatures[[#This Row],[Energy gain]])</f>
        <v>#DIV/0!</v>
      </c>
    </row>
    <row r="82" spans="9:15">
      <c r="I82" s="49"/>
      <c r="M82" s="49"/>
      <c r="O82" s="54" t="e">
        <f>LocFeatures[[#This Row],[XP Train Gain]]/(LocFeatures[[#This Row],[E. Cost]]-LocFeatures[[#This Row],[Energy gain]])</f>
        <v>#DIV/0!</v>
      </c>
    </row>
    <row r="83" spans="9:15">
      <c r="I83" s="49"/>
      <c r="M83" s="49"/>
      <c r="O83" s="54" t="e">
        <f>LocFeatures[[#This Row],[XP Train Gain]]/(LocFeatures[[#This Row],[E. Cost]]-LocFeatures[[#This Row],[Energy gain]])</f>
        <v>#DIV/0!</v>
      </c>
    </row>
    <row r="84" spans="9:15">
      <c r="I84" s="49"/>
      <c r="M84" s="49"/>
      <c r="O84" s="54" t="e">
        <f>LocFeatures[[#This Row],[XP Train Gain]]/(LocFeatures[[#This Row],[E. Cost]]-LocFeatures[[#This Row],[Energy gain]])</f>
        <v>#DIV/0!</v>
      </c>
    </row>
    <row r="85" spans="9:15">
      <c r="I85" s="49"/>
      <c r="M85" s="49"/>
      <c r="O85" s="54" t="e">
        <f>LocFeatures[[#This Row],[XP Train Gain]]/(LocFeatures[[#This Row],[E. Cost]]-LocFeatures[[#This Row],[Energy gain]])</f>
        <v>#DIV/0!</v>
      </c>
    </row>
    <row r="86" spans="9:15">
      <c r="I86" s="49"/>
      <c r="M86" s="49"/>
      <c r="O86" s="54" t="e">
        <f>LocFeatures[[#This Row],[XP Train Gain]]/(LocFeatures[[#This Row],[E. Cost]]-LocFeatures[[#This Row],[Energy gain]])</f>
        <v>#DIV/0!</v>
      </c>
    </row>
    <row r="87" spans="9:15">
      <c r="I87" s="49"/>
      <c r="M87" s="49"/>
      <c r="O87" s="54" t="e">
        <f>LocFeatures[[#This Row],[XP Train Gain]]/(LocFeatures[[#This Row],[E. Cost]]-LocFeatures[[#This Row],[Energy gain]])</f>
        <v>#DIV/0!</v>
      </c>
    </row>
    <row r="88" spans="9:15">
      <c r="I88" s="49"/>
      <c r="M88" s="49"/>
      <c r="O88" s="54" t="e">
        <f>LocFeatures[[#This Row],[XP Train Gain]]/(LocFeatures[[#This Row],[E. Cost]]-LocFeatures[[#This Row],[Energy gain]])</f>
        <v>#DIV/0!</v>
      </c>
    </row>
    <row r="89" spans="9:15">
      <c r="I89" s="49"/>
      <c r="M89" s="49"/>
      <c r="O89" s="54" t="e">
        <f>LocFeatures[[#This Row],[XP Train Gain]]/(LocFeatures[[#This Row],[E. Cost]]-LocFeatures[[#This Row],[Energy gain]])</f>
        <v>#DIV/0!</v>
      </c>
    </row>
    <row r="90" spans="9:15">
      <c r="I90" s="49"/>
      <c r="M90" s="49"/>
      <c r="O90" s="54" t="e">
        <f>LocFeatures[[#This Row],[XP Train Gain]]/(LocFeatures[[#This Row],[E. Cost]]-LocFeatures[[#This Row],[Energy gain]])</f>
        <v>#DIV/0!</v>
      </c>
    </row>
    <row r="91" spans="9:15">
      <c r="I91" s="49"/>
      <c r="M91" s="49"/>
      <c r="O91" s="54" t="e">
        <f>LocFeatures[[#This Row],[XP Train Gain]]/(LocFeatures[[#This Row],[E. Cost]]-LocFeatures[[#This Row],[Energy gain]])</f>
        <v>#DIV/0!</v>
      </c>
    </row>
    <row r="92" spans="9:15">
      <c r="I92" s="49"/>
      <c r="M92" s="49"/>
      <c r="O92" s="54" t="e">
        <f>LocFeatures[[#This Row],[XP Train Gain]]/(LocFeatures[[#This Row],[E. Cost]]-LocFeatures[[#This Row],[Energy gain]])</f>
        <v>#DIV/0!</v>
      </c>
    </row>
    <row r="93" spans="9:15">
      <c r="I93" s="49"/>
      <c r="M93" s="49"/>
      <c r="O93" s="54" t="e">
        <f>LocFeatures[[#This Row],[XP Train Gain]]/(LocFeatures[[#This Row],[E. Cost]]-LocFeatures[[#This Row],[Energy gain]])</f>
        <v>#DIV/0!</v>
      </c>
    </row>
    <row r="94" spans="9:15">
      <c r="I94" s="49"/>
      <c r="M94" s="49"/>
      <c r="O94" s="54" t="e">
        <f>LocFeatures[[#This Row],[XP Train Gain]]/(LocFeatures[[#This Row],[E. Cost]]-LocFeatures[[#This Row],[Energy gain]])</f>
        <v>#DIV/0!</v>
      </c>
    </row>
    <row r="95" spans="9:15">
      <c r="I95" s="49"/>
      <c r="M95" s="49"/>
      <c r="O95" s="54" t="e">
        <f>LocFeatures[[#This Row],[XP Train Gain]]/(LocFeatures[[#This Row],[E. Cost]]-LocFeatures[[#This Row],[Energy gain]])</f>
        <v>#DIV/0!</v>
      </c>
    </row>
    <row r="96" spans="9:15">
      <c r="I96" s="49"/>
      <c r="M96" s="49"/>
      <c r="O96" s="54" t="e">
        <f>LocFeatures[[#This Row],[XP Train Gain]]/(LocFeatures[[#This Row],[E. Cost]]-LocFeatures[[#This Row],[Energy gain]])</f>
        <v>#DIV/0!</v>
      </c>
    </row>
    <row r="97" spans="9:15">
      <c r="I97" s="49"/>
      <c r="M97" s="49"/>
      <c r="O97" s="54" t="e">
        <f>LocFeatures[[#This Row],[XP Train Gain]]/(LocFeatures[[#This Row],[E. Cost]]-LocFeatures[[#This Row],[Energy gain]])</f>
        <v>#DIV/0!</v>
      </c>
    </row>
    <row r="98" spans="9:15">
      <c r="I98" s="49"/>
      <c r="M98" s="49"/>
      <c r="O98" s="54" t="e">
        <f>LocFeatures[[#This Row],[XP Train Gain]]/(LocFeatures[[#This Row],[E. Cost]]-LocFeatures[[#This Row],[Energy gain]])</f>
        <v>#DIV/0!</v>
      </c>
    </row>
    <row r="99" spans="9:15">
      <c r="I99" s="49"/>
      <c r="M99" s="49"/>
      <c r="O99" s="54" t="e">
        <f>LocFeatures[[#This Row],[XP Train Gain]]/(LocFeatures[[#This Row],[E. Cost]]-LocFeatures[[#This Row],[Energy gain]])</f>
        <v>#DIV/0!</v>
      </c>
    </row>
    <row r="100" spans="9:15">
      <c r="I100" s="49"/>
      <c r="M100" s="49"/>
      <c r="O100" s="54" t="e">
        <f>LocFeatures[[#This Row],[XP Train Gain]]/(LocFeatures[[#This Row],[E. Cost]]-LocFeatures[[#This Row],[Energy gain]])</f>
        <v>#DIV/0!</v>
      </c>
    </row>
    <row r="101" spans="9:15">
      <c r="I101" s="49"/>
      <c r="M101" s="49"/>
      <c r="O101" s="54" t="e">
        <f>LocFeatures[[#This Row],[XP Train Gain]]/(LocFeatures[[#This Row],[E. Cost]]-LocFeatures[[#This Row],[Energy gain]])</f>
        <v>#DIV/0!</v>
      </c>
    </row>
    <row r="102" spans="9:15">
      <c r="I102" s="49"/>
      <c r="M102" s="49"/>
      <c r="O102" s="54" t="e">
        <f>LocFeatures[[#This Row],[XP Train Gain]]/(LocFeatures[[#This Row],[E. Cost]]-LocFeatures[[#This Row],[Energy gain]])</f>
        <v>#DIV/0!</v>
      </c>
    </row>
    <row r="103" spans="9:15">
      <c r="I103" s="49"/>
      <c r="M103" s="49"/>
      <c r="O103" s="54" t="e">
        <f>LocFeatures[[#This Row],[XP Train Gain]]/(LocFeatures[[#This Row],[E. Cost]]-LocFeatures[[#This Row],[Energy gain]])</f>
        <v>#DIV/0!</v>
      </c>
    </row>
    <row r="104" spans="9:15">
      <c r="I104" s="49"/>
      <c r="M104" s="49"/>
      <c r="O104" s="54" t="e">
        <f>LocFeatures[[#This Row],[XP Train Gain]]/(LocFeatures[[#This Row],[E. Cost]]-LocFeatures[[#This Row],[Energy gain]])</f>
        <v>#DIV/0!</v>
      </c>
    </row>
    <row r="105" spans="9:15">
      <c r="I105" s="49"/>
      <c r="M105" s="49"/>
      <c r="O105" s="54" t="e">
        <f>LocFeatures[[#This Row],[XP Train Gain]]/(LocFeatures[[#This Row],[E. Cost]]-LocFeatures[[#This Row],[Energy gain]])</f>
        <v>#DIV/0!</v>
      </c>
    </row>
    <row r="106" spans="9:15">
      <c r="I106" s="49"/>
      <c r="M106" s="49"/>
      <c r="O106" s="54" t="e">
        <f>LocFeatures[[#This Row],[XP Train Gain]]/(LocFeatures[[#This Row],[E. Cost]]-LocFeatures[[#This Row],[Energy gain]])</f>
        <v>#DIV/0!</v>
      </c>
    </row>
    <row r="107" spans="9:15">
      <c r="I107" s="49"/>
      <c r="M107" s="49"/>
      <c r="O107" s="54" t="e">
        <f>LocFeatures[[#This Row],[XP Train Gain]]/(LocFeatures[[#This Row],[E. Cost]]-LocFeatures[[#This Row],[Energy gain]])</f>
        <v>#DIV/0!</v>
      </c>
    </row>
    <row r="108" spans="9:15">
      <c r="I108" s="49"/>
      <c r="M108" s="49"/>
      <c r="O108" s="54" t="e">
        <f>LocFeatures[[#This Row],[XP Train Gain]]/(LocFeatures[[#This Row],[E. Cost]]-LocFeatures[[#This Row],[Energy gain]])</f>
        <v>#DIV/0!</v>
      </c>
    </row>
    <row r="109" spans="9:15">
      <c r="I109" s="49"/>
      <c r="M109" s="49"/>
      <c r="O109" s="54" t="e">
        <f>LocFeatures[[#This Row],[XP Train Gain]]/(LocFeatures[[#This Row],[E. Cost]]-LocFeatures[[#This Row],[Energy gain]])</f>
        <v>#DIV/0!</v>
      </c>
    </row>
    <row r="110" spans="9:15">
      <c r="I110" s="49"/>
      <c r="M110" s="49"/>
      <c r="O110" s="54" t="e">
        <f>LocFeatures[[#This Row],[XP Train Gain]]/(LocFeatures[[#This Row],[E. Cost]]-LocFeatures[[#This Row],[Energy gain]])</f>
        <v>#DIV/0!</v>
      </c>
    </row>
    <row r="111" spans="9:15">
      <c r="I111" s="49"/>
      <c r="M111" s="49"/>
      <c r="O111" s="54" t="e">
        <f>LocFeatures[[#This Row],[XP Train Gain]]/(LocFeatures[[#This Row],[E. Cost]]-LocFeatures[[#This Row],[Energy gain]])</f>
        <v>#DIV/0!</v>
      </c>
    </row>
    <row r="112" spans="9:15">
      <c r="I112" s="49"/>
      <c r="M112" s="49"/>
      <c r="O112" s="54" t="e">
        <f>LocFeatures[[#This Row],[XP Train Gain]]/(LocFeatures[[#This Row],[E. Cost]]-LocFeatures[[#This Row],[Energy gain]])</f>
        <v>#DIV/0!</v>
      </c>
    </row>
    <row r="113" spans="9:15">
      <c r="I113" s="49"/>
      <c r="M113" s="49"/>
      <c r="O113" s="54" t="e">
        <f>LocFeatures[[#This Row],[XP Train Gain]]/(LocFeatures[[#This Row],[E. Cost]]-LocFeatures[[#This Row],[Energy gain]])</f>
        <v>#DIV/0!</v>
      </c>
    </row>
    <row r="114" spans="9:15">
      <c r="I114" s="49"/>
      <c r="M114" s="49"/>
      <c r="O114" s="54" t="e">
        <f>LocFeatures[[#This Row],[XP Train Gain]]/(LocFeatures[[#This Row],[E. Cost]]-LocFeatures[[#This Row],[Energy gain]])</f>
        <v>#DIV/0!</v>
      </c>
    </row>
    <row r="115" spans="9:15">
      <c r="I115" s="49"/>
      <c r="M115" s="49"/>
      <c r="O115" s="54" t="e">
        <f>LocFeatures[[#This Row],[XP Train Gain]]/(LocFeatures[[#This Row],[E. Cost]]-LocFeatures[[#This Row],[Energy gain]])</f>
        <v>#DIV/0!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M739"/>
  <sheetViews>
    <sheetView zoomScale="85" zoomScaleNormal="85" workbookViewId="0">
      <pane ySplit="1" topLeftCell="A558" activePane="bottomLeft" state="frozen"/>
      <selection pane="bottomLeft" activeCell="A584" sqref="A584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</cols>
  <sheetData>
    <row r="1" spans="1:13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239</v>
      </c>
      <c r="I1" t="s">
        <v>208</v>
      </c>
      <c r="J1" t="s">
        <v>207</v>
      </c>
      <c r="K1" t="s">
        <v>216</v>
      </c>
      <c r="L1" t="s">
        <v>212</v>
      </c>
      <c r="M1" t="s">
        <v>79</v>
      </c>
    </row>
    <row r="2" spans="1:13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Drop]]+IF(DropAnalityka[[#This Row],[Drop]]="Scroll", 2000*DropAnalityka[[#This Row],[Quality/Quantity]],0)</f>
        <v>912</v>
      </c>
      <c r="K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3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Drop]]+IF(DropAnalityka[[#This Row],[Drop]]="Scroll", 2000*DropAnalityka[[#This Row],[Quality/Quantity]],0)</f>
        <v>325</v>
      </c>
      <c r="K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3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I4">
        <v>0</v>
      </c>
      <c r="J4">
        <f>DropAnalityka[[#This Row],[Sell Drop]]+IF(DropAnalityka[[#This Row],[Drop]]="Scroll", 2000*DropAnalityka[[#This Row],[Quality/Quantity]],0)</f>
        <v>0</v>
      </c>
      <c r="K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3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Drop]]+IF(DropAnalityka[[#This Row],[Drop]]="Scroll", 2000*DropAnalityka[[#This Row],[Quality/Quantity]],0)</f>
        <v>325</v>
      </c>
      <c r="K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3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Drop]]+IF(DropAnalityka[[#This Row],[Drop]]="Scroll", 2000*DropAnalityka[[#This Row],[Quality/Quantity]],0)</f>
        <v>325</v>
      </c>
      <c r="K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3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Drop]]+IF(DropAnalityka[[#This Row],[Drop]]="Scroll", 2000*DropAnalityka[[#This Row],[Quality/Quantity]],0)</f>
        <v>720</v>
      </c>
      <c r="K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3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I8">
        <v>0</v>
      </c>
      <c r="J8">
        <f>DropAnalityka[[#This Row],[Sell Drop]]+IF(DropAnalityka[[#This Row],[Drop]]="Scroll", 2000*DropAnalityka[[#This Row],[Quality/Quantity]],0)</f>
        <v>2000</v>
      </c>
      <c r="K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3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I9">
        <v>0</v>
      </c>
      <c r="J9">
        <f>DropAnalityka[[#This Row],[Sell Drop]]+IF(DropAnalityka[[#This Row],[Drop]]="Scroll", 2000*DropAnalityka[[#This Row],[Quality/Quantity]],0)</f>
        <v>0</v>
      </c>
      <c r="K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3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I10">
        <v>0</v>
      </c>
      <c r="J10">
        <f>DropAnalityka[[#This Row],[Sell Drop]]+IF(DropAnalityka[[#This Row],[Drop]]="Scroll", 2000*DropAnalityka[[#This Row],[Quality/Quantity]],0)</f>
        <v>2000</v>
      </c>
      <c r="K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3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Drop]]+IF(DropAnalityka[[#This Row],[Drop]]="Scroll", 2000*DropAnalityka[[#This Row],[Quality/Quantity]],0)</f>
        <v>720</v>
      </c>
      <c r="K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3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I12">
        <v>0</v>
      </c>
      <c r="J12">
        <f>DropAnalityka[[#This Row],[Sell Drop]]+IF(DropAnalityka[[#This Row],[Drop]]="Scroll", 2000*DropAnalityka[[#This Row],[Quality/Quantity]],0)</f>
        <v>0</v>
      </c>
      <c r="K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3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Drop]]+IF(DropAnalityka[[#This Row],[Drop]]="Scroll", 2000*DropAnalityka[[#This Row],[Quality/Quantity]],0)</f>
        <v>325</v>
      </c>
      <c r="K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3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Drop]]+IF(DropAnalityka[[#This Row],[Drop]]="Scroll", 2000*DropAnalityka[[#This Row],[Quality/Quantity]],0)</f>
        <v>487</v>
      </c>
      <c r="K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3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Drop]]+IF(DropAnalityka[[#This Row],[Drop]]="Scroll", 2000*DropAnalityka[[#This Row],[Quality/Quantity]],0)</f>
        <v>325</v>
      </c>
      <c r="K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3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Drop]]+IF(DropAnalityka[[#This Row],[Drop]]="Scroll", 2000*DropAnalityka[[#This Row],[Quality/Quantity]],0)</f>
        <v>325</v>
      </c>
      <c r="K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I17">
        <v>0</v>
      </c>
      <c r="J17">
        <f>DropAnalityka[[#This Row],[Sell Drop]]+IF(DropAnalityka[[#This Row],[Drop]]="Scroll", 2000*DropAnalityka[[#This Row],[Quality/Quantity]],0)</f>
        <v>0</v>
      </c>
      <c r="K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I18">
        <v>0</v>
      </c>
      <c r="J18">
        <f>DropAnalityka[[#This Row],[Sell Drop]]+IF(DropAnalityka[[#This Row],[Drop]]="Scroll", 2000*DropAnalityka[[#This Row],[Quality/Quantity]],0)</f>
        <v>2000</v>
      </c>
      <c r="K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Drop]]+IF(DropAnalityka[[#This Row],[Drop]]="Scroll", 2000*DropAnalityka[[#This Row],[Quality/Quantity]],0)</f>
        <v>325</v>
      </c>
      <c r="K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Drop]]+IF(DropAnalityka[[#This Row],[Drop]]="Scroll", 2000*DropAnalityka[[#This Row],[Quality/Quantity]],0)</f>
        <v>433</v>
      </c>
      <c r="K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Drop]]+IF(DropAnalityka[[#This Row],[Drop]]="Scroll", 2000*DropAnalityka[[#This Row],[Quality/Quantity]],0)</f>
        <v>379</v>
      </c>
      <c r="K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I22">
        <v>0</v>
      </c>
      <c r="J22">
        <f>DropAnalityka[[#This Row],[Sell Drop]]+IF(DropAnalityka[[#This Row],[Drop]]="Scroll", 2000*DropAnalityka[[#This Row],[Quality/Quantity]],0)</f>
        <v>0</v>
      </c>
      <c r="K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Drop]]+IF(DropAnalityka[[#This Row],[Drop]]="Scroll", 2000*DropAnalityka[[#This Row],[Quality/Quantity]],0)</f>
        <v>325</v>
      </c>
      <c r="K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Drop]]+IF(DropAnalityka[[#This Row],[Drop]]="Scroll", 2000*DropAnalityka[[#This Row],[Quality/Quantity]],0)</f>
        <v>325</v>
      </c>
      <c r="K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I25">
        <v>0</v>
      </c>
      <c r="J25">
        <f>DropAnalityka[[#This Row],[Sell Drop]]+IF(DropAnalityka[[#This Row],[Drop]]="Scroll", 2000*DropAnalityka[[#This Row],[Quality/Quantity]],0)</f>
        <v>2000</v>
      </c>
      <c r="K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Drop]]+IF(DropAnalityka[[#This Row],[Drop]]="Scroll", 2000*DropAnalityka[[#This Row],[Quality/Quantity]],0)</f>
        <v>325</v>
      </c>
      <c r="K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I27">
        <v>0</v>
      </c>
      <c r="J27">
        <f>DropAnalityka[[#This Row],[Sell Drop]]+IF(DropAnalityka[[#This Row],[Drop]]="Scroll", 2000*DropAnalityka[[#This Row],[Quality/Quantity]],0)</f>
        <v>2000</v>
      </c>
      <c r="K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Drop]]+IF(DropAnalityka[[#This Row],[Drop]]="Scroll", 2000*DropAnalityka[[#This Row],[Quality/Quantity]],0)</f>
        <v>325</v>
      </c>
      <c r="K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Drop]]+IF(DropAnalityka[[#This Row],[Drop]]="Scroll", 2000*DropAnalityka[[#This Row],[Quality/Quantity]],0)</f>
        <v>379</v>
      </c>
      <c r="K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Drop]]+IF(DropAnalityka[[#This Row],[Drop]]="Scroll", 2000*DropAnalityka[[#This Row],[Quality/Quantity]],0)</f>
        <v>487</v>
      </c>
      <c r="K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I31">
        <v>0</v>
      </c>
      <c r="J31">
        <f>DropAnalityka[[#This Row],[Sell Drop]]+IF(DropAnalityka[[#This Row],[Drop]]="Scroll", 2000*DropAnalityka[[#This Row],[Quality/Quantity]],0)</f>
        <v>2000</v>
      </c>
      <c r="K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Drop]]+IF(DropAnalityka[[#This Row],[Drop]]="Scroll", 2000*DropAnalityka[[#This Row],[Quality/Quantity]],0)</f>
        <v>720</v>
      </c>
      <c r="K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Drop]]+IF(DropAnalityka[[#This Row],[Drop]]="Scroll", 2000*DropAnalityka[[#This Row],[Quality/Quantity]],0)</f>
        <v>325</v>
      </c>
      <c r="K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I34">
        <v>0</v>
      </c>
      <c r="J34">
        <f>DropAnalityka[[#This Row],[Sell Drop]]+IF(DropAnalityka[[#This Row],[Drop]]="Scroll", 2000*DropAnalityka[[#This Row],[Quality/Quantity]],0)</f>
        <v>2000</v>
      </c>
      <c r="K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I35">
        <v>0</v>
      </c>
      <c r="J35">
        <f>DropAnalityka[[#This Row],[Sell Drop]]+IF(DropAnalityka[[#This Row],[Drop]]="Scroll", 2000*DropAnalityka[[#This Row],[Quality/Quantity]],0)</f>
        <v>2000</v>
      </c>
      <c r="K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Drop]]+IF(DropAnalityka[[#This Row],[Drop]]="Scroll", 2000*DropAnalityka[[#This Row],[Quality/Quantity]],0)</f>
        <v>325</v>
      </c>
      <c r="K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Drop]]+IF(DropAnalityka[[#This Row],[Drop]]="Scroll", 2000*DropAnalityka[[#This Row],[Quality/Quantity]],0)</f>
        <v>325</v>
      </c>
      <c r="K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Drop]]+IF(DropAnalityka[[#This Row],[Drop]]="Scroll", 2000*DropAnalityka[[#This Row],[Quality/Quantity]],0)</f>
        <v>325</v>
      </c>
      <c r="K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Drop]]+IF(DropAnalityka[[#This Row],[Drop]]="Scroll", 2000*DropAnalityka[[#This Row],[Quality/Quantity]],0)</f>
        <v>433</v>
      </c>
      <c r="K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Drop]]+IF(DropAnalityka[[#This Row],[Drop]]="Scroll", 2000*DropAnalityka[[#This Row],[Quality/Quantity]],0)</f>
        <v>379</v>
      </c>
      <c r="K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Drop]]+IF(DropAnalityka[[#This Row],[Drop]]="Scroll", 2000*DropAnalityka[[#This Row],[Quality/Quantity]],0)</f>
        <v>720</v>
      </c>
      <c r="K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2">
      <c r="A42" t="s">
        <v>8</v>
      </c>
      <c r="B42" t="s">
        <v>32</v>
      </c>
      <c r="C42">
        <v>3</v>
      </c>
      <c r="D42">
        <v>1470</v>
      </c>
      <c r="E42">
        <v>0</v>
      </c>
      <c r="I42">
        <v>1080</v>
      </c>
      <c r="J42">
        <f>DropAnalityka[[#This Row],[Sell Drop]]+IF(DropAnalityka[[#This Row],[Drop]]="Scroll", 2000*DropAnalityka[[#This Row],[Quality/Quantity]],0)</f>
        <v>1080</v>
      </c>
      <c r="K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2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I43">
        <v>0</v>
      </c>
      <c r="J43">
        <f>DropAnalityka[[#This Row],[Sell Drop]]+IF(DropAnalityka[[#This Row],[Drop]]="Scroll", 2000*DropAnalityka[[#This Row],[Quality/Quantity]],0)</f>
        <v>4000</v>
      </c>
      <c r="K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2">
      <c r="A44" t="s">
        <v>33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Drop]]+IF(DropAnalityka[[#This Row],[Drop]]="Scroll", 2000*DropAnalityka[[#This Row],[Quality/Quantity]],0)</f>
        <v>2128</v>
      </c>
      <c r="K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2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I45">
        <v>0</v>
      </c>
      <c r="J45">
        <f>DropAnalityka[[#This Row],[Sell Drop]]+IF(DropAnalityka[[#This Row],[Drop]]="Scroll", 2000*DropAnalityka[[#This Row],[Quality/Quantity]],0)</f>
        <v>2000</v>
      </c>
      <c r="K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2">
      <c r="A46" t="s">
        <v>33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Drop]]+IF(DropAnalityka[[#This Row],[Drop]]="Scroll", 2000*DropAnalityka[[#This Row],[Quality/Quantity]],0)</f>
        <v>0</v>
      </c>
      <c r="K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2">
      <c r="A47" t="s">
        <v>33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Drop]]+IF(DropAnalityka[[#This Row],[Drop]]="Scroll", 2000*DropAnalityka[[#This Row],[Quality/Quantity]],0)</f>
        <v>1824</v>
      </c>
      <c r="K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2">
      <c r="A48" t="s">
        <v>33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Drop]]+IF(DropAnalityka[[#This Row],[Drop]]="Scroll", 2000*DropAnalityka[[#This Row],[Quality/Quantity]],0)</f>
        <v>0</v>
      </c>
      <c r="K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2">
      <c r="A49" t="s">
        <v>33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Drop]]+IF(DropAnalityka[[#This Row],[Drop]]="Scroll", 2000*DropAnalityka[[#This Row],[Quality/Quantity]],0)</f>
        <v>892</v>
      </c>
      <c r="K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2">
      <c r="A50" t="s">
        <v>33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Drop]]+IF(DropAnalityka[[#This Row],[Drop]]="Scroll", 2000*DropAnalityka[[#This Row],[Quality/Quantity]],0)</f>
        <v>2128</v>
      </c>
      <c r="K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2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I51">
        <v>0</v>
      </c>
      <c r="J51">
        <f>DropAnalityka[[#This Row],[Sell Drop]]+IF(DropAnalityka[[#This Row],[Drop]]="Scroll", 2000*DropAnalityka[[#This Row],[Quality/Quantity]],0)</f>
        <v>2000</v>
      </c>
      <c r="K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2">
      <c r="A52" t="s">
        <v>33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Drop]]+IF(DropAnalityka[[#This Row],[Drop]]="Scroll", 2000*DropAnalityka[[#This Row],[Quality/Quantity]],0)</f>
        <v>823</v>
      </c>
      <c r="K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2">
      <c r="A53" t="s">
        <v>33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Drop]]+IF(DropAnalityka[[#This Row],[Drop]]="Scroll", 2000*DropAnalityka[[#This Row],[Quality/Quantity]],0)</f>
        <v>1824</v>
      </c>
      <c r="K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2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I54">
        <v>0</v>
      </c>
      <c r="J54">
        <f>DropAnalityka[[#This Row],[Sell Drop]]+IF(DropAnalityka[[#This Row],[Drop]]="Scroll", 2000*DropAnalityka[[#This Row],[Quality/Quantity]],0)</f>
        <v>2000</v>
      </c>
      <c r="K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2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I55">
        <v>0</v>
      </c>
      <c r="J55">
        <f>DropAnalityka[[#This Row],[Sell Drop]]+IF(DropAnalityka[[#This Row],[Drop]]="Scroll", 2000*DropAnalityka[[#This Row],[Quality/Quantity]],0)</f>
        <v>2000</v>
      </c>
      <c r="K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2">
      <c r="A56" t="s">
        <v>33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Drop]]+IF(DropAnalityka[[#This Row],[Drop]]="Scroll", 2000*DropAnalityka[[#This Row],[Quality/Quantity]],0)</f>
        <v>1824</v>
      </c>
      <c r="K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2">
      <c r="A57" t="s">
        <v>33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Drop]]+IF(DropAnalityka[[#This Row],[Drop]]="Scroll", 2000*DropAnalityka[[#This Row],[Quality/Quantity]],0)</f>
        <v>823</v>
      </c>
      <c r="K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2">
      <c r="A58" t="s">
        <v>8</v>
      </c>
      <c r="B58" t="s">
        <v>32</v>
      </c>
      <c r="C58">
        <v>6</v>
      </c>
      <c r="D58">
        <v>1500</v>
      </c>
      <c r="E58">
        <v>1</v>
      </c>
      <c r="I58">
        <v>1152</v>
      </c>
      <c r="J58">
        <f>DropAnalityka[[#This Row],[Sell Drop]]+IF(DropAnalityka[[#This Row],[Drop]]="Scroll", 2000*DropAnalityka[[#This Row],[Quality/Quantity]],0)</f>
        <v>1152</v>
      </c>
      <c r="K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2">
      <c r="A59" t="s">
        <v>33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Drop]]+IF(DropAnalityka[[#This Row],[Drop]]="Scroll", 2000*DropAnalityka[[#This Row],[Quality/Quantity]],0)</f>
        <v>823</v>
      </c>
      <c r="K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2">
      <c r="A60" t="s">
        <v>33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Drop]]+IF(DropAnalityka[[#This Row],[Drop]]="Scroll", 2000*DropAnalityka[[#This Row],[Quality/Quantity]],0)</f>
        <v>1824</v>
      </c>
      <c r="K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2">
      <c r="A61" t="s">
        <v>33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Drop]]+IF(DropAnalityka[[#This Row],[Drop]]="Scroll", 2000*DropAnalityka[[#This Row],[Quality/Quantity]],0)</f>
        <v>960</v>
      </c>
      <c r="K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2">
      <c r="A62" t="s">
        <v>33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Drop]]+IF(DropAnalityka[[#This Row],[Drop]]="Scroll", 2000*DropAnalityka[[#This Row],[Quality/Quantity]],0)</f>
        <v>1824</v>
      </c>
      <c r="K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2">
      <c r="A63" t="s">
        <v>33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Drop]]+IF(DropAnalityka[[#This Row],[Drop]]="Scroll", 2000*DropAnalityka[[#This Row],[Quality/Quantity]],0)</f>
        <v>823</v>
      </c>
      <c r="K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2">
      <c r="A64" t="s">
        <v>33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Drop]]+IF(DropAnalityka[[#This Row],[Drop]]="Scroll", 2000*DropAnalityka[[#This Row],[Quality/Quantity]],0)</f>
        <v>892</v>
      </c>
      <c r="K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2">
      <c r="A65" t="s">
        <v>33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Drop]]+IF(DropAnalityka[[#This Row],[Drop]]="Scroll", 2000*DropAnalityka[[#This Row],[Quality/Quantity]],0)</f>
        <v>823</v>
      </c>
      <c r="K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2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I66">
        <v>0</v>
      </c>
      <c r="J66">
        <f>DropAnalityka[[#This Row],[Sell Drop]]+IF(DropAnalityka[[#This Row],[Drop]]="Scroll", 2000*DropAnalityka[[#This Row],[Quality/Quantity]],0)</f>
        <v>2000</v>
      </c>
      <c r="K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2">
      <c r="A67" t="s">
        <v>33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Drop]]+IF(DropAnalityka[[#This Row],[Drop]]="Scroll", 2000*DropAnalityka[[#This Row],[Quality/Quantity]],0)</f>
        <v>960</v>
      </c>
      <c r="K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2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I68">
        <v>0</v>
      </c>
      <c r="J68">
        <f>DropAnalityka[[#This Row],[Sell Drop]]+IF(DropAnalityka[[#This Row],[Drop]]="Scroll", 2000*DropAnalityka[[#This Row],[Quality/Quantity]],0)</f>
        <v>2000</v>
      </c>
      <c r="K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2">
      <c r="A69" t="s">
        <v>33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Drop]]+IF(DropAnalityka[[#This Row],[Drop]]="Scroll", 2000*DropAnalityka[[#This Row],[Quality/Quantity]],0)</f>
        <v>823</v>
      </c>
      <c r="K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2">
      <c r="A70" t="s">
        <v>8</v>
      </c>
      <c r="B70" t="s">
        <v>32</v>
      </c>
      <c r="C70">
        <v>3</v>
      </c>
      <c r="D70">
        <v>1241</v>
      </c>
      <c r="E70">
        <v>0</v>
      </c>
      <c r="I70">
        <v>720</v>
      </c>
      <c r="J70">
        <f>DropAnalityka[[#This Row],[Sell Drop]]+IF(DropAnalityka[[#This Row],[Drop]]="Scroll", 2000*DropAnalityka[[#This Row],[Quality/Quantity]],0)</f>
        <v>720</v>
      </c>
      <c r="K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2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I71">
        <v>0</v>
      </c>
      <c r="J71">
        <f>DropAnalityka[[#This Row],[Sell Drop]]+IF(DropAnalityka[[#This Row],[Drop]]="Scroll", 2000*DropAnalityka[[#This Row],[Quality/Quantity]],0)</f>
        <v>0</v>
      </c>
      <c r="K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2">
      <c r="A72" t="s">
        <v>8</v>
      </c>
      <c r="B72" t="s">
        <v>32</v>
      </c>
      <c r="C72">
        <v>3</v>
      </c>
      <c r="D72">
        <v>1714</v>
      </c>
      <c r="E72">
        <v>0</v>
      </c>
      <c r="I72">
        <v>720</v>
      </c>
      <c r="J72">
        <f>DropAnalityka[[#This Row],[Sell Drop]]+IF(DropAnalityka[[#This Row],[Drop]]="Scroll", 2000*DropAnalityka[[#This Row],[Quality/Quantity]],0)</f>
        <v>720</v>
      </c>
      <c r="K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2">
      <c r="A73" t="s">
        <v>8</v>
      </c>
      <c r="B73" t="s">
        <v>32</v>
      </c>
      <c r="C73">
        <v>3</v>
      </c>
      <c r="D73">
        <v>1068</v>
      </c>
      <c r="E73">
        <v>0</v>
      </c>
      <c r="I73">
        <v>720</v>
      </c>
      <c r="J73">
        <f>DropAnalityka[[#This Row],[Sell Drop]]+IF(DropAnalityka[[#This Row],[Drop]]="Scroll", 2000*DropAnalityka[[#This Row],[Quality/Quantity]],0)</f>
        <v>720</v>
      </c>
      <c r="K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2">
      <c r="A74" t="s">
        <v>8</v>
      </c>
      <c r="B74" t="s">
        <v>32</v>
      </c>
      <c r="C74">
        <v>3</v>
      </c>
      <c r="D74">
        <v>1616</v>
      </c>
      <c r="E74">
        <v>0</v>
      </c>
      <c r="I74">
        <v>720</v>
      </c>
      <c r="J74">
        <f>DropAnalityka[[#This Row],[Sell Drop]]+IF(DropAnalityka[[#This Row],[Drop]]="Scroll", 2000*DropAnalityka[[#This Row],[Quality/Quantity]],0)</f>
        <v>720</v>
      </c>
      <c r="K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2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I75">
        <v>0</v>
      </c>
      <c r="J75">
        <f>DropAnalityka[[#This Row],[Sell Drop]]+IF(DropAnalityka[[#This Row],[Drop]]="Scroll", 2000*DropAnalityka[[#This Row],[Quality/Quantity]],0)</f>
        <v>0</v>
      </c>
      <c r="K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2">
      <c r="A76" t="s">
        <v>8</v>
      </c>
      <c r="B76" t="s">
        <v>32</v>
      </c>
      <c r="C76">
        <v>3</v>
      </c>
      <c r="D76">
        <v>1705</v>
      </c>
      <c r="E76">
        <v>1</v>
      </c>
      <c r="I76">
        <v>1159</v>
      </c>
      <c r="J76">
        <f>DropAnalityka[[#This Row],[Sell Drop]]+IF(DropAnalityka[[#This Row],[Drop]]="Scroll", 2000*DropAnalityka[[#This Row],[Quality/Quantity]],0)</f>
        <v>1159</v>
      </c>
      <c r="K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2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I77">
        <v>0</v>
      </c>
      <c r="J77">
        <f>DropAnalityka[[#This Row],[Sell Drop]]+IF(DropAnalityka[[#This Row],[Drop]]="Scroll", 2000*DropAnalityka[[#This Row],[Quality/Quantity]],0)</f>
        <v>4000</v>
      </c>
      <c r="K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2">
      <c r="A78" t="s">
        <v>8</v>
      </c>
      <c r="B78" t="s">
        <v>32</v>
      </c>
      <c r="C78">
        <v>3</v>
      </c>
      <c r="D78">
        <v>780</v>
      </c>
      <c r="E78">
        <v>1</v>
      </c>
      <c r="I78">
        <v>720</v>
      </c>
      <c r="J78">
        <f>DropAnalityka[[#This Row],[Sell Drop]]+IF(DropAnalityka[[#This Row],[Drop]]="Scroll", 2000*DropAnalityka[[#This Row],[Quality/Quantity]],0)</f>
        <v>720</v>
      </c>
      <c r="K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2">
      <c r="A79" t="s">
        <v>8</v>
      </c>
      <c r="B79" t="s">
        <v>32</v>
      </c>
      <c r="C79">
        <v>3</v>
      </c>
      <c r="D79">
        <v>1258</v>
      </c>
      <c r="E79">
        <v>0</v>
      </c>
      <c r="I79">
        <v>720</v>
      </c>
      <c r="J79">
        <f>DropAnalityka[[#This Row],[Sell Drop]]+IF(DropAnalityka[[#This Row],[Drop]]="Scroll", 2000*DropAnalityka[[#This Row],[Quality/Quantity]],0)</f>
        <v>720</v>
      </c>
      <c r="K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I80">
        <v>0</v>
      </c>
      <c r="J80">
        <f>DropAnalityka[[#This Row],[Sell Drop]]+IF(DropAnalityka[[#This Row],[Drop]]="Scroll", 2000*DropAnalityka[[#This Row],[Quality/Quantity]],0)</f>
        <v>2000</v>
      </c>
      <c r="K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Drop]]+IF(DropAnalityka[[#This Row],[Drop]]="Scroll", 2000*DropAnalityka[[#This Row],[Quality/Quantity]],0)</f>
        <v>720</v>
      </c>
      <c r="K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2">
      <c r="A82" t="s">
        <v>8</v>
      </c>
      <c r="B82" t="s">
        <v>32</v>
      </c>
      <c r="C82">
        <v>3</v>
      </c>
      <c r="D82">
        <v>1518</v>
      </c>
      <c r="E82">
        <v>0</v>
      </c>
      <c r="I82">
        <v>960</v>
      </c>
      <c r="J82">
        <f>DropAnalityka[[#This Row],[Sell Drop]]+IF(DropAnalityka[[#This Row],[Drop]]="Scroll", 2000*DropAnalityka[[#This Row],[Quality/Quantity]],0)</f>
        <v>960</v>
      </c>
      <c r="K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2">
      <c r="A83" t="s">
        <v>8</v>
      </c>
      <c r="B83" t="s">
        <v>32</v>
      </c>
      <c r="C83">
        <v>3</v>
      </c>
      <c r="D83">
        <v>1785</v>
      </c>
      <c r="E83">
        <v>3</v>
      </c>
      <c r="I83">
        <v>1159</v>
      </c>
      <c r="J83">
        <f>DropAnalityka[[#This Row],[Sell Drop]]+IF(DropAnalityka[[#This Row],[Drop]]="Scroll", 2000*DropAnalityka[[#This Row],[Quality/Quantity]],0)</f>
        <v>1159</v>
      </c>
      <c r="K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2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I84">
        <v>0</v>
      </c>
      <c r="J84">
        <f>DropAnalityka[[#This Row],[Sell Drop]]+IF(DropAnalityka[[#This Row],[Drop]]="Scroll", 2000*DropAnalityka[[#This Row],[Quality/Quantity]],0)</f>
        <v>4000</v>
      </c>
      <c r="K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2">
      <c r="A85" t="s">
        <v>8</v>
      </c>
      <c r="B85" t="s">
        <v>32</v>
      </c>
      <c r="C85">
        <v>3</v>
      </c>
      <c r="D85">
        <v>1249</v>
      </c>
      <c r="E85">
        <v>1</v>
      </c>
      <c r="I85">
        <v>1546</v>
      </c>
      <c r="J85">
        <f>DropAnalityka[[#This Row],[Sell Drop]]+IF(DropAnalityka[[#This Row],[Drop]]="Scroll", 2000*DropAnalityka[[#This Row],[Quality/Quantity]],0)</f>
        <v>1546</v>
      </c>
      <c r="K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2">
      <c r="A86" t="s">
        <v>8</v>
      </c>
      <c r="B86" t="s">
        <v>32</v>
      </c>
      <c r="C86">
        <v>3</v>
      </c>
      <c r="D86">
        <v>904</v>
      </c>
      <c r="E86">
        <v>0</v>
      </c>
      <c r="I86">
        <v>1159</v>
      </c>
      <c r="J86">
        <f>DropAnalityka[[#This Row],[Sell Drop]]+IF(DropAnalityka[[#This Row],[Drop]]="Scroll", 2000*DropAnalityka[[#This Row],[Quality/Quantity]],0)</f>
        <v>1159</v>
      </c>
      <c r="K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2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I87">
        <v>0</v>
      </c>
      <c r="J87">
        <f>DropAnalityka[[#This Row],[Sell Drop]]+IF(DropAnalityka[[#This Row],[Drop]]="Scroll", 2000*DropAnalityka[[#This Row],[Quality/Quantity]],0)</f>
        <v>4000</v>
      </c>
      <c r="K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2">
      <c r="A88" t="s">
        <v>8</v>
      </c>
      <c r="B88" t="s">
        <v>32</v>
      </c>
      <c r="C88">
        <v>3</v>
      </c>
      <c r="D88">
        <v>1756</v>
      </c>
      <c r="E88">
        <v>2</v>
      </c>
      <c r="I88">
        <v>720</v>
      </c>
      <c r="J88">
        <f>DropAnalityka[[#This Row],[Sell Drop]]+IF(DropAnalityka[[#This Row],[Drop]]="Scroll", 2000*DropAnalityka[[#This Row],[Quality/Quantity]],0)</f>
        <v>720</v>
      </c>
      <c r="K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2">
      <c r="A89" t="s">
        <v>8</v>
      </c>
      <c r="B89" t="s">
        <v>32</v>
      </c>
      <c r="C89">
        <v>3</v>
      </c>
      <c r="D89">
        <v>1070</v>
      </c>
      <c r="E89">
        <v>0</v>
      </c>
      <c r="I89">
        <v>840</v>
      </c>
      <c r="J89">
        <f>DropAnalityka[[#This Row],[Sell Drop]]+IF(DropAnalityka[[#This Row],[Drop]]="Scroll", 2000*DropAnalityka[[#This Row],[Quality/Quantity]],0)</f>
        <v>840</v>
      </c>
      <c r="K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2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I90">
        <v>0</v>
      </c>
      <c r="J90">
        <f>DropAnalityka[[#This Row],[Sell Drop]]+IF(DropAnalityka[[#This Row],[Drop]]="Scroll", 2000*DropAnalityka[[#This Row],[Quality/Quantity]],0)</f>
        <v>4000</v>
      </c>
      <c r="K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2">
      <c r="A91" t="s">
        <v>8</v>
      </c>
      <c r="B91" t="s">
        <v>32</v>
      </c>
      <c r="C91">
        <v>3</v>
      </c>
      <c r="D91">
        <v>1226</v>
      </c>
      <c r="E91">
        <v>0</v>
      </c>
      <c r="I91">
        <v>1159</v>
      </c>
      <c r="J91">
        <f>DropAnalityka[[#This Row],[Sell Drop]]+IF(DropAnalityka[[#This Row],[Drop]]="Scroll", 2000*DropAnalityka[[#This Row],[Quality/Quantity]],0)</f>
        <v>1159</v>
      </c>
      <c r="K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2">
      <c r="A92" t="s">
        <v>8</v>
      </c>
      <c r="B92" t="s">
        <v>32</v>
      </c>
      <c r="C92">
        <v>3</v>
      </c>
      <c r="D92">
        <v>1124</v>
      </c>
      <c r="E92">
        <v>0</v>
      </c>
      <c r="I92">
        <v>1159</v>
      </c>
      <c r="J92">
        <f>DropAnalityka[[#This Row],[Sell Drop]]+IF(DropAnalityka[[#This Row],[Drop]]="Scroll", 2000*DropAnalityka[[#This Row],[Quality/Quantity]],0)</f>
        <v>1159</v>
      </c>
      <c r="K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2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I93">
        <v>0</v>
      </c>
      <c r="J93">
        <f>DropAnalityka[[#This Row],[Sell Drop]]+IF(DropAnalityka[[#This Row],[Drop]]="Scroll", 2000*DropAnalityka[[#This Row],[Quality/Quantity]],0)</f>
        <v>4000</v>
      </c>
      <c r="K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2">
      <c r="A94" t="s">
        <v>8</v>
      </c>
      <c r="B94" t="s">
        <v>32</v>
      </c>
      <c r="C94">
        <v>3</v>
      </c>
      <c r="D94">
        <v>1933</v>
      </c>
      <c r="E94">
        <v>1</v>
      </c>
      <c r="I94">
        <v>720</v>
      </c>
      <c r="J94">
        <f>DropAnalityka[[#This Row],[Sell Drop]]+IF(DropAnalityka[[#This Row],[Drop]]="Scroll", 2000*DropAnalityka[[#This Row],[Quality/Quantity]],0)</f>
        <v>720</v>
      </c>
      <c r="K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2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I95">
        <v>0</v>
      </c>
      <c r="J95">
        <f>DropAnalityka[[#This Row],[Sell Drop]]+IF(DropAnalityka[[#This Row],[Drop]]="Scroll", 2000*DropAnalityka[[#This Row],[Quality/Quantity]],0)</f>
        <v>4000</v>
      </c>
      <c r="K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2">
      <c r="A96" t="s">
        <v>8</v>
      </c>
      <c r="B96" t="s">
        <v>32</v>
      </c>
      <c r="C96">
        <v>3</v>
      </c>
      <c r="D96">
        <v>1984</v>
      </c>
      <c r="E96">
        <v>1</v>
      </c>
      <c r="I96">
        <v>720</v>
      </c>
      <c r="J96">
        <f>DropAnalityka[[#This Row],[Sell Drop]]+IF(DropAnalityka[[#This Row],[Drop]]="Scroll", 2000*DropAnalityka[[#This Row],[Quality/Quantity]],0)</f>
        <v>720</v>
      </c>
      <c r="K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2">
      <c r="A97" t="s">
        <v>8</v>
      </c>
      <c r="B97" t="s">
        <v>32</v>
      </c>
      <c r="C97">
        <v>3</v>
      </c>
      <c r="D97">
        <v>1093</v>
      </c>
      <c r="E97">
        <v>0</v>
      </c>
      <c r="I97">
        <v>720</v>
      </c>
      <c r="J97">
        <f>DropAnalityka[[#This Row],[Sell Drop]]+IF(DropAnalityka[[#This Row],[Drop]]="Scroll", 2000*DropAnalityka[[#This Row],[Quality/Quantity]],0)</f>
        <v>720</v>
      </c>
      <c r="K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2">
      <c r="A98" t="s">
        <v>8</v>
      </c>
      <c r="B98" t="s">
        <v>32</v>
      </c>
      <c r="C98">
        <v>3</v>
      </c>
      <c r="D98">
        <v>1133</v>
      </c>
      <c r="E98">
        <v>2</v>
      </c>
      <c r="I98">
        <v>1159</v>
      </c>
      <c r="J98">
        <f>DropAnalityka[[#This Row],[Sell Drop]]+IF(DropAnalityka[[#This Row],[Drop]]="Scroll", 2000*DropAnalityka[[#This Row],[Quality/Quantity]],0)</f>
        <v>1159</v>
      </c>
      <c r="K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2">
      <c r="A99" t="s">
        <v>8</v>
      </c>
      <c r="B99" t="s">
        <v>32</v>
      </c>
      <c r="C99">
        <v>3</v>
      </c>
      <c r="D99">
        <v>1193</v>
      </c>
      <c r="E99">
        <v>2</v>
      </c>
      <c r="I99">
        <v>1546</v>
      </c>
      <c r="J99">
        <f>DropAnalityka[[#This Row],[Sell Drop]]+IF(DropAnalityka[[#This Row],[Drop]]="Scroll", 2000*DropAnalityka[[#This Row],[Quality/Quantity]],0)</f>
        <v>1546</v>
      </c>
      <c r="K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2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I100">
        <v>0</v>
      </c>
      <c r="J100">
        <f>DropAnalityka[[#This Row],[Sell Drop]]+IF(DropAnalityka[[#This Row],[Drop]]="Scroll", 2000*DropAnalityka[[#This Row],[Quality/Quantity]],0)</f>
        <v>4000</v>
      </c>
      <c r="K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2">
      <c r="A101" t="s">
        <v>33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Drop]]+IF(DropAnalityka[[#This Row],[Drop]]="Scroll", 2000*DropAnalityka[[#This Row],[Quality/Quantity]],0)</f>
        <v>2128</v>
      </c>
      <c r="K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2">
      <c r="A102" t="s">
        <v>33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Drop]]+IF(DropAnalityka[[#This Row],[Drop]]="Scroll", 2000*DropAnalityka[[#This Row],[Quality/Quantity]],0)</f>
        <v>1976</v>
      </c>
      <c r="K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2">
      <c r="A103" t="s">
        <v>33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Drop]]+IF(DropAnalityka[[#This Row],[Drop]]="Scroll", 2000*DropAnalityka[[#This Row],[Quality/Quantity]],0)</f>
        <v>1824</v>
      </c>
      <c r="K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2">
      <c r="A104" t="s">
        <v>33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Drop]]+IF(DropAnalityka[[#This Row],[Drop]]="Scroll", 2000*DropAnalityka[[#This Row],[Quality/Quantity]],0)</f>
        <v>823</v>
      </c>
      <c r="K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2">
      <c r="A105" t="s">
        <v>33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Drop]]+IF(DropAnalityka[[#This Row],[Drop]]="Scroll", 2000*DropAnalityka[[#This Row],[Quality/Quantity]],0)</f>
        <v>1824</v>
      </c>
      <c r="K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2">
      <c r="A106" t="s">
        <v>33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Drop]]+IF(DropAnalityka[[#This Row],[Drop]]="Scroll", 2000*DropAnalityka[[#This Row],[Quality/Quantity]],0)</f>
        <v>2128</v>
      </c>
      <c r="K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2">
      <c r="A107" t="s">
        <v>33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Drop]]+IF(DropAnalityka[[#This Row],[Drop]]="Scroll", 2000*DropAnalityka[[#This Row],[Quality/Quantity]],0)</f>
        <v>823</v>
      </c>
      <c r="K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2">
      <c r="A108" t="s">
        <v>33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Drop]]+IF(DropAnalityka[[#This Row],[Drop]]="Scroll", 2000*DropAnalityka[[#This Row],[Quality/Quantity]],0)</f>
        <v>1824</v>
      </c>
      <c r="K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2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I109">
        <v>0</v>
      </c>
      <c r="J109">
        <f>DropAnalityka[[#This Row],[Sell Drop]]+IF(DropAnalityka[[#This Row],[Drop]]="Scroll", 2000*DropAnalityka[[#This Row],[Quality/Quantity]],0)</f>
        <v>2000</v>
      </c>
      <c r="K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2">
      <c r="A110" t="s">
        <v>33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Drop]]+IF(DropAnalityka[[#This Row],[Drop]]="Scroll", 2000*DropAnalityka[[#This Row],[Quality/Quantity]],0)</f>
        <v>1824</v>
      </c>
      <c r="K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2">
      <c r="A111" t="s">
        <v>33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Drop]]+IF(DropAnalityka[[#This Row],[Drop]]="Scroll", 2000*DropAnalityka[[#This Row],[Quality/Quantity]],0)</f>
        <v>1824</v>
      </c>
      <c r="K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2">
      <c r="A112" t="s">
        <v>33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Drop]]+IF(DropAnalityka[[#This Row],[Drop]]="Scroll", 2000*DropAnalityka[[#This Row],[Quality/Quantity]],0)</f>
        <v>960</v>
      </c>
      <c r="K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2">
      <c r="A113" t="s">
        <v>33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Drop]]+IF(DropAnalityka[[#This Row],[Drop]]="Scroll", 2000*DropAnalityka[[#This Row],[Quality/Quantity]],0)</f>
        <v>823</v>
      </c>
      <c r="K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2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I114">
        <v>0</v>
      </c>
      <c r="J114">
        <f>DropAnalityka[[#This Row],[Sell Drop]]+IF(DropAnalityka[[#This Row],[Drop]]="Scroll", 2000*DropAnalityka[[#This Row],[Quality/Quantity]],0)</f>
        <v>2000</v>
      </c>
      <c r="K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2">
      <c r="A115" t="s">
        <v>33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Drop]]+IF(DropAnalityka[[#This Row],[Drop]]="Scroll", 2000*DropAnalityka[[#This Row],[Quality/Quantity]],0)</f>
        <v>1824</v>
      </c>
      <c r="K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2">
      <c r="A116" t="s">
        <v>33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Drop]]+IF(DropAnalityka[[#This Row],[Drop]]="Scroll", 2000*DropAnalityka[[#This Row],[Quality/Quantity]],0)</f>
        <v>892</v>
      </c>
      <c r="K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2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I117">
        <v>0</v>
      </c>
      <c r="J117">
        <f>DropAnalityka[[#This Row],[Sell Drop]]+IF(DropAnalityka[[#This Row],[Drop]]="Scroll", 2000*DropAnalityka[[#This Row],[Quality/Quantity]],0)</f>
        <v>2000</v>
      </c>
      <c r="K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2">
      <c r="A118" t="s">
        <v>8</v>
      </c>
      <c r="B118" t="s">
        <v>32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Drop]]+IF(DropAnalityka[[#This Row],[Drop]]="Scroll", 2000*DropAnalityka[[#This Row],[Quality/Quantity]],0)</f>
        <v>1159</v>
      </c>
      <c r="K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2">
      <c r="A119" t="s">
        <v>39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Drop]]+IF(DropAnalityka[[#This Row],[Drop]]="Scroll", 2000*DropAnalityka[[#This Row],[Quality/Quantity]],0)</f>
        <v>1752</v>
      </c>
      <c r="K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2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I120">
        <v>0</v>
      </c>
      <c r="J120">
        <f>DropAnalityka[[#This Row],[Sell Drop]]+IF(DropAnalityka[[#This Row],[Drop]]="Scroll", 2000*DropAnalityka[[#This Row],[Quality/Quantity]],0)</f>
        <v>0</v>
      </c>
      <c r="K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2">
      <c r="A121" t="s">
        <v>8</v>
      </c>
      <c r="B121" t="s">
        <v>32</v>
      </c>
      <c r="C121">
        <v>3</v>
      </c>
      <c r="D121">
        <v>532</v>
      </c>
      <c r="E121">
        <v>2</v>
      </c>
      <c r="I121">
        <v>720</v>
      </c>
      <c r="J121">
        <f>DropAnalityka[[#This Row],[Sell Drop]]+IF(DropAnalityka[[#This Row],[Drop]]="Scroll", 2000*DropAnalityka[[#This Row],[Quality/Quantity]],0)</f>
        <v>720</v>
      </c>
      <c r="K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2">
      <c r="A122" t="s">
        <v>8</v>
      </c>
      <c r="B122" t="s">
        <v>32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Drop]]+IF(DropAnalityka[[#This Row],[Drop]]="Scroll", 2000*DropAnalityka[[#This Row],[Quality/Quantity]],0)</f>
        <v>1739</v>
      </c>
      <c r="K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2">
      <c r="A123" t="s">
        <v>8</v>
      </c>
      <c r="B123" t="s">
        <v>32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Drop]]+IF(DropAnalityka[[#This Row],[Drop]]="Scroll", 2000*DropAnalityka[[#This Row],[Quality/Quantity]],0)</f>
        <v>840</v>
      </c>
      <c r="K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2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I124">
        <v>0</v>
      </c>
      <c r="J124">
        <f>DropAnalityka[[#This Row],[Sell Drop]]+IF(DropAnalityka[[#This Row],[Drop]]="Scroll", 2000*DropAnalityka[[#This Row],[Quality/Quantity]],0)</f>
        <v>4000</v>
      </c>
      <c r="K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2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I125">
        <v>0</v>
      </c>
      <c r="J125">
        <f>DropAnalityka[[#This Row],[Sell Drop]]+IF(DropAnalityka[[#This Row],[Drop]]="Scroll", 2000*DropAnalityka[[#This Row],[Quality/Quantity]],0)</f>
        <v>4000</v>
      </c>
      <c r="K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2">
      <c r="A126" t="s">
        <v>8</v>
      </c>
      <c r="B126" t="s">
        <v>32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Drop]]+IF(DropAnalityka[[#This Row],[Drop]]="Scroll", 2000*DropAnalityka[[#This Row],[Quality/Quantity]],0)</f>
        <v>1159</v>
      </c>
      <c r="K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2">
      <c r="A127" t="s">
        <v>8</v>
      </c>
      <c r="B127" t="s">
        <v>32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Drop]]+IF(DropAnalityka[[#This Row],[Drop]]="Scroll", 2000*DropAnalityka[[#This Row],[Quality/Quantity]],0)</f>
        <v>1159</v>
      </c>
      <c r="K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2">
      <c r="A128" t="s">
        <v>8</v>
      </c>
      <c r="B128" t="s">
        <v>32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Drop]]+IF(DropAnalityka[[#This Row],[Drop]]="Scroll", 2000*DropAnalityka[[#This Row],[Quality/Quantity]],0)</f>
        <v>1352</v>
      </c>
      <c r="K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2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I129">
        <v>0</v>
      </c>
      <c r="J129">
        <f>DropAnalityka[[#This Row],[Sell Drop]]+IF(DropAnalityka[[#This Row],[Drop]]="Scroll", 2000*DropAnalityka[[#This Row],[Quality/Quantity]],0)</f>
        <v>0</v>
      </c>
      <c r="K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2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I130">
        <v>0</v>
      </c>
      <c r="J130">
        <f>DropAnalityka[[#This Row],[Sell Drop]]+IF(DropAnalityka[[#This Row],[Drop]]="Scroll", 2000*DropAnalityka[[#This Row],[Quality/Quantity]],0)</f>
        <v>4000</v>
      </c>
      <c r="K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2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I131">
        <v>0</v>
      </c>
      <c r="J131">
        <f>DropAnalityka[[#This Row],[Sell Drop]]+IF(DropAnalityka[[#This Row],[Drop]]="Scroll", 2000*DropAnalityka[[#This Row],[Quality/Quantity]],0)</f>
        <v>0</v>
      </c>
      <c r="K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2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I132">
        <v>0</v>
      </c>
      <c r="J132">
        <f>DropAnalityka[[#This Row],[Sell Drop]]+IF(DropAnalityka[[#This Row],[Drop]]="Scroll", 2000*DropAnalityka[[#This Row],[Quality/Quantity]],0)</f>
        <v>0</v>
      </c>
      <c r="K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2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I133">
        <v>0</v>
      </c>
      <c r="J133">
        <f>DropAnalityka[[#This Row],[Sell Drop]]+IF(DropAnalityka[[#This Row],[Drop]]="Scroll", 2000*DropAnalityka[[#This Row],[Quality/Quantity]],0)</f>
        <v>0</v>
      </c>
      <c r="K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2">
      <c r="A134" t="s">
        <v>33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Drop]]+IF(DropAnalityka[[#This Row],[Drop]]="Scroll", 2000*DropAnalityka[[#This Row],[Quality/Quantity]],0)</f>
        <v>823</v>
      </c>
      <c r="K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2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I135">
        <v>0</v>
      </c>
      <c r="J135">
        <f>DropAnalityka[[#This Row],[Sell Drop]]+IF(DropAnalityka[[#This Row],[Drop]]="Scroll", 2000*DropAnalityka[[#This Row],[Quality/Quantity]],0)</f>
        <v>2000</v>
      </c>
      <c r="K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2">
      <c r="A136" t="s">
        <v>33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Drop]]+IF(DropAnalityka[[#This Row],[Drop]]="Scroll", 2000*DropAnalityka[[#This Row],[Quality/Quantity]],0)</f>
        <v>823</v>
      </c>
      <c r="K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2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I137">
        <v>0</v>
      </c>
      <c r="J137">
        <f>DropAnalityka[[#This Row],[Sell Drop]]+IF(DropAnalityka[[#This Row],[Drop]]="Scroll", 2000*DropAnalityka[[#This Row],[Quality/Quantity]],0)</f>
        <v>0</v>
      </c>
      <c r="K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2">
      <c r="A138" t="s">
        <v>33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Drop]]+IF(DropAnalityka[[#This Row],[Drop]]="Scroll", 2000*DropAnalityka[[#This Row],[Quality/Quantity]],0)</f>
        <v>823</v>
      </c>
      <c r="K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2">
      <c r="A139" t="s">
        <v>33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Drop]]+IF(DropAnalityka[[#This Row],[Drop]]="Scroll", 2000*DropAnalityka[[#This Row],[Quality/Quantity]],0)</f>
        <v>823</v>
      </c>
      <c r="K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2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I140">
        <v>0</v>
      </c>
      <c r="J140">
        <f>DropAnalityka[[#This Row],[Sell Drop]]+IF(DropAnalityka[[#This Row],[Drop]]="Scroll", 2000*DropAnalityka[[#This Row],[Quality/Quantity]],0)</f>
        <v>2000</v>
      </c>
      <c r="K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2">
      <c r="A141" t="s">
        <v>33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Drop]]+IF(DropAnalityka[[#This Row],[Drop]]="Scroll", 2000*DropAnalityka[[#This Row],[Quality/Quantity]],0)</f>
        <v>1824</v>
      </c>
      <c r="K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2">
      <c r="A142" t="s">
        <v>33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Drop]]+IF(DropAnalityka[[#This Row],[Drop]]="Scroll", 2000*DropAnalityka[[#This Row],[Quality/Quantity]],0)</f>
        <v>960</v>
      </c>
      <c r="K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2">
      <c r="A143" t="s">
        <v>33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Drop]]+IF(DropAnalityka[[#This Row],[Drop]]="Scroll", 2000*DropAnalityka[[#This Row],[Quality/Quantity]],0)</f>
        <v>823</v>
      </c>
      <c r="K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2">
      <c r="A144" t="s">
        <v>33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Drop]]+IF(DropAnalityka[[#This Row],[Drop]]="Scroll", 2000*DropAnalityka[[#This Row],[Quality/Quantity]],0)</f>
        <v>892</v>
      </c>
      <c r="K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2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I145">
        <v>0</v>
      </c>
      <c r="J145">
        <f>DropAnalityka[[#This Row],[Sell Drop]]+IF(DropAnalityka[[#This Row],[Drop]]="Scroll", 2000*DropAnalityka[[#This Row],[Quality/Quantity]],0)</f>
        <v>2000</v>
      </c>
      <c r="K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2">
      <c r="A146" t="s">
        <v>33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Drop]]+IF(DropAnalityka[[#This Row],[Drop]]="Scroll", 2000*DropAnalityka[[#This Row],[Quality/Quantity]],0)</f>
        <v>823</v>
      </c>
      <c r="K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2">
      <c r="A147" t="s">
        <v>33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Drop]]+IF(DropAnalityka[[#This Row],[Drop]]="Scroll", 2000*DropAnalityka[[#This Row],[Quality/Quantity]],0)</f>
        <v>1824</v>
      </c>
      <c r="K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2">
      <c r="A148" t="s">
        <v>33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Drop]]+IF(DropAnalityka[[#This Row],[Drop]]="Scroll", 2000*DropAnalityka[[#This Row],[Quality/Quantity]],0)</f>
        <v>823</v>
      </c>
      <c r="K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2">
      <c r="A149" t="s">
        <v>33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Drop]]+IF(DropAnalityka[[#This Row],[Drop]]="Scroll", 2000*DropAnalityka[[#This Row],[Quality/Quantity]],0)</f>
        <v>823</v>
      </c>
      <c r="K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2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I150">
        <v>0</v>
      </c>
      <c r="J150">
        <f>DropAnalityka[[#This Row],[Sell Drop]]+IF(DropAnalityka[[#This Row],[Drop]]="Scroll", 2000*DropAnalityka[[#This Row],[Quality/Quantity]],0)</f>
        <v>2000</v>
      </c>
      <c r="K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2">
      <c r="A151" t="s">
        <v>33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v>1824</v>
      </c>
      <c r="K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2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I152">
        <v>0</v>
      </c>
      <c r="J152">
        <f>DropAnalityka[[#This Row],[Sell Drop]]+IF(DropAnalityka[[#This Row],[Drop]]="Scroll", 2000*DropAnalityka[[#This Row],[Quality/Quantity]],0)</f>
        <v>2000</v>
      </c>
      <c r="K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2">
      <c r="A153" t="s">
        <v>33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v>823</v>
      </c>
      <c r="K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2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I154">
        <v>0</v>
      </c>
      <c r="J154">
        <f>DropAnalityka[[#This Row],[Sell Drop]]+IF(DropAnalityka[[#This Row],[Drop]]="Scroll", 2000*DropAnalityka[[#This Row],[Quality/Quantity]],0)</f>
        <v>2000</v>
      </c>
      <c r="K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2">
      <c r="A155" t="s">
        <v>33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v>960</v>
      </c>
      <c r="K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2">
      <c r="A156" t="s">
        <v>33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v>2128</v>
      </c>
      <c r="K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2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I157">
        <v>0</v>
      </c>
      <c r="J157">
        <f>DropAnalityka[[#This Row],[Sell Drop]]+IF(DropAnalityka[[#This Row],[Drop]]="Scroll", 2000*DropAnalityka[[#This Row],[Quality/Quantity]],0)</f>
        <v>2000</v>
      </c>
      <c r="K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2">
      <c r="A158" t="s">
        <v>33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v>823</v>
      </c>
      <c r="K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2">
      <c r="A159" t="s">
        <v>33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v>1824</v>
      </c>
      <c r="K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2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I160">
        <v>0</v>
      </c>
      <c r="J160">
        <f>DropAnalityka[[#This Row],[Sell Drop]]+IF(DropAnalityka[[#This Row],[Drop]]="Scroll", 2000*DropAnalityka[[#This Row],[Quality/Quantity]],0)</f>
        <v>2000</v>
      </c>
      <c r="K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2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I161">
        <v>0</v>
      </c>
      <c r="J161">
        <f>DropAnalityka[[#This Row],[Sell Drop]]+IF(DropAnalityka[[#This Row],[Drop]]="Scroll", 2000*DropAnalityka[[#This Row],[Quality/Quantity]],0)</f>
        <v>2000</v>
      </c>
      <c r="K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2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I162">
        <v>0</v>
      </c>
      <c r="J162">
        <f>DropAnalityka[[#This Row],[Sell Drop]]+IF(DropAnalityka[[#This Row],[Drop]]="Scroll", 2000*DropAnalityka[[#This Row],[Quality/Quantity]],0)</f>
        <v>2000</v>
      </c>
      <c r="K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2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I163">
        <v>0</v>
      </c>
      <c r="J163">
        <v>0</v>
      </c>
      <c r="K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2">
      <c r="A164" t="s">
        <v>33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v>892</v>
      </c>
      <c r="K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2">
      <c r="A165" t="s">
        <v>33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v>823</v>
      </c>
      <c r="K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2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I166">
        <v>0</v>
      </c>
      <c r="J166">
        <f>DropAnalityka[[#This Row],[Sell Drop]]+IF(DropAnalityka[[#This Row],[Drop]]="Scroll", 2000*DropAnalityka[[#This Row],[Quality/Quantity]],0)</f>
        <v>2000</v>
      </c>
      <c r="K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2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I167">
        <v>0</v>
      </c>
      <c r="J167">
        <f>DropAnalityka[[#This Row],[Sell Drop]]+IF(DropAnalityka[[#This Row],[Drop]]="Scroll", 2000*DropAnalityka[[#This Row],[Quality/Quantity]],0)</f>
        <v>2000</v>
      </c>
      <c r="K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2">
      <c r="A168" t="s">
        <v>33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v>823</v>
      </c>
      <c r="K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2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I169">
        <v>0</v>
      </c>
      <c r="J169">
        <f>DropAnalityka[[#This Row],[Sell Drop]]+IF(DropAnalityka[[#This Row],[Drop]]="Scroll", 2000*DropAnalityka[[#This Row],[Quality/Quantity]],0)</f>
        <v>2000</v>
      </c>
      <c r="K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2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I170">
        <v>0</v>
      </c>
      <c r="J170">
        <v>0</v>
      </c>
      <c r="K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2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I171">
        <v>0</v>
      </c>
      <c r="J171">
        <f>DropAnalityka[[#This Row],[Sell Drop]]+IF(DropAnalityka[[#This Row],[Drop]]="Scroll", 2000*DropAnalityka[[#This Row],[Quality/Quantity]],0)</f>
        <v>4000</v>
      </c>
      <c r="K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2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I172">
        <v>0</v>
      </c>
      <c r="J172">
        <f>DropAnalityka[[#This Row],[Sell Drop]]+IF(DropAnalityka[[#This Row],[Drop]]="Scroll", 2000*DropAnalityka[[#This Row],[Quality/Quantity]],0)</f>
        <v>6000</v>
      </c>
      <c r="K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2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I173">
        <v>0</v>
      </c>
      <c r="J173">
        <f>DropAnalityka[[#This Row],[Sell Drop]]+IF(DropAnalityka[[#This Row],[Drop]]="Scroll", 2000*DropAnalityka[[#This Row],[Quality/Quantity]],0)</f>
        <v>4000</v>
      </c>
      <c r="K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2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I174">
        <v>0</v>
      </c>
      <c r="J174">
        <v>0</v>
      </c>
      <c r="K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2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I175">
        <v>0</v>
      </c>
      <c r="J175">
        <f>DropAnalityka[[#This Row],[Sell Drop]]+IF(DropAnalityka[[#This Row],[Drop]]="Scroll", 2000*DropAnalityka[[#This Row],[Quality/Quantity]],0)</f>
        <v>6000</v>
      </c>
      <c r="K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2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I176">
        <v>0</v>
      </c>
      <c r="J176">
        <v>0</v>
      </c>
      <c r="K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2">
      <c r="A177" t="s">
        <v>8</v>
      </c>
      <c r="B177" t="s">
        <v>32</v>
      </c>
      <c r="C177">
        <v>3</v>
      </c>
      <c r="D177">
        <v>1206</v>
      </c>
      <c r="E177">
        <v>0</v>
      </c>
      <c r="K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2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I178">
        <v>0</v>
      </c>
      <c r="J178">
        <v>0</v>
      </c>
      <c r="K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2">
      <c r="A179" t="s">
        <v>8</v>
      </c>
      <c r="B179" t="s">
        <v>32</v>
      </c>
      <c r="C179">
        <v>3</v>
      </c>
      <c r="D179">
        <v>1212</v>
      </c>
      <c r="E179">
        <v>2</v>
      </c>
      <c r="I179">
        <v>1352</v>
      </c>
      <c r="J179">
        <v>1352</v>
      </c>
      <c r="K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2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I180">
        <v>0</v>
      </c>
      <c r="J180">
        <v>0</v>
      </c>
      <c r="K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2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I181">
        <v>0</v>
      </c>
      <c r="J181">
        <f>DropAnalityka[[#This Row],[Sell Drop]]+IF(DropAnalityka[[#This Row],[Drop]]="Scroll", 2000*DropAnalityka[[#This Row],[Quality/Quantity]],0)</f>
        <v>4000</v>
      </c>
      <c r="K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2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I182">
        <v>0</v>
      </c>
      <c r="J182">
        <v>0</v>
      </c>
      <c r="K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2">
      <c r="A183" t="s">
        <v>8</v>
      </c>
      <c r="B183" t="s">
        <v>32</v>
      </c>
      <c r="C183">
        <v>3</v>
      </c>
      <c r="D183">
        <v>1482</v>
      </c>
      <c r="E183">
        <v>0</v>
      </c>
      <c r="I183">
        <v>720</v>
      </c>
      <c r="J183">
        <v>720</v>
      </c>
      <c r="K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2">
      <c r="A184" t="s">
        <v>8</v>
      </c>
      <c r="B184" t="s">
        <v>32</v>
      </c>
      <c r="C184">
        <v>3</v>
      </c>
      <c r="D184">
        <v>1565</v>
      </c>
      <c r="E184">
        <v>0</v>
      </c>
      <c r="I184">
        <v>720</v>
      </c>
      <c r="J184">
        <v>720</v>
      </c>
      <c r="K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2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I185">
        <v>0</v>
      </c>
      <c r="J185">
        <f>DropAnalityka[[#This Row],[Sell Drop]]+IF(DropAnalityka[[#This Row],[Drop]]="Scroll", 2000*DropAnalityka[[#This Row],[Quality/Quantity]],0)</f>
        <v>4000</v>
      </c>
      <c r="K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2">
      <c r="A186" t="s">
        <v>8</v>
      </c>
      <c r="B186" t="s">
        <v>34</v>
      </c>
      <c r="C186">
        <v>3</v>
      </c>
      <c r="D186">
        <v>1597</v>
      </c>
      <c r="E186">
        <v>1</v>
      </c>
      <c r="I186">
        <v>2067</v>
      </c>
      <c r="J186">
        <v>2067</v>
      </c>
      <c r="K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2">
      <c r="A187" t="s">
        <v>8</v>
      </c>
      <c r="B187" t="s">
        <v>34</v>
      </c>
      <c r="C187">
        <v>3</v>
      </c>
      <c r="D187">
        <v>1772</v>
      </c>
      <c r="E187">
        <v>1</v>
      </c>
      <c r="I187">
        <v>1159</v>
      </c>
      <c r="J187">
        <v>1159</v>
      </c>
      <c r="K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2">
      <c r="A188" t="s">
        <v>68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v>1824</v>
      </c>
      <c r="K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2">
      <c r="A189" t="s">
        <v>68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v>866</v>
      </c>
      <c r="K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2">
      <c r="A190" t="s">
        <v>68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v>1440</v>
      </c>
      <c r="K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2">
      <c r="A191" t="s">
        <v>68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v>1440</v>
      </c>
      <c r="K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2">
      <c r="A192" t="s">
        <v>68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v>823</v>
      </c>
      <c r="K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2">
      <c r="A193" t="s">
        <v>68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v>1976</v>
      </c>
      <c r="K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2">
      <c r="A194" t="s">
        <v>68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v>823</v>
      </c>
      <c r="K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2">
      <c r="A195" t="s">
        <v>68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v>823</v>
      </c>
      <c r="K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2">
      <c r="A196" t="s">
        <v>68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v>2128</v>
      </c>
      <c r="K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2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I197">
        <v>0</v>
      </c>
      <c r="J197">
        <f>DropAnalityka[[#This Row],[Sell Drop]]+IF(DropAnalityka[[#This Row],[Drop]]="Scroll", 2000*DropAnalityka[[#This Row],[Quality/Quantity]],0)</f>
        <v>2000</v>
      </c>
      <c r="K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2">
      <c r="A198" t="s">
        <v>68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v>823</v>
      </c>
      <c r="K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2">
      <c r="A199" t="s">
        <v>68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v>892</v>
      </c>
      <c r="K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2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I200">
        <v>0</v>
      </c>
      <c r="J200">
        <f>DropAnalityka[[#This Row],[Sell Drop]]+IF(DropAnalityka[[#This Row],[Drop]]="Scroll", 2000*DropAnalityka[[#This Row],[Quality/Quantity]],0)</f>
        <v>2000</v>
      </c>
      <c r="K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2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I201">
        <v>0</v>
      </c>
      <c r="J201">
        <f>DropAnalityka[[#This Row],[Sell Drop]]+IF(DropAnalityka[[#This Row],[Drop]]="Scroll", 2000*DropAnalityka[[#This Row],[Quality/Quantity]],0)</f>
        <v>2000</v>
      </c>
      <c r="K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2">
      <c r="A202" t="s">
        <v>68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v>823</v>
      </c>
      <c r="K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2">
      <c r="A203" t="s">
        <v>68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v>960</v>
      </c>
      <c r="K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2">
      <c r="A204" t="s">
        <v>68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v>2128</v>
      </c>
      <c r="K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2">
      <c r="A205" t="s">
        <v>68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v>892</v>
      </c>
      <c r="K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2">
      <c r="A206" t="s">
        <v>68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v>960</v>
      </c>
      <c r="K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2">
      <c r="A207" t="s">
        <v>68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v>2280</v>
      </c>
      <c r="K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2">
      <c r="A208" t="s">
        <v>68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v>823</v>
      </c>
      <c r="K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2">
      <c r="A209" t="s">
        <v>68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v>823</v>
      </c>
      <c r="K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2">
      <c r="A210" t="s">
        <v>68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v>892</v>
      </c>
      <c r="K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2">
      <c r="A211" t="s">
        <v>68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v>823</v>
      </c>
      <c r="K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2">
      <c r="A212" t="s">
        <v>68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v>823</v>
      </c>
      <c r="K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2">
      <c r="A213" t="s">
        <v>68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v>2280</v>
      </c>
      <c r="K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2">
      <c r="A214" t="s">
        <v>68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v>2128</v>
      </c>
      <c r="K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2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I215">
        <v>0</v>
      </c>
      <c r="J215">
        <v>0</v>
      </c>
      <c r="K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2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I216">
        <v>0</v>
      </c>
      <c r="J216">
        <f>DropAnalityka[[#This Row],[Sell Drop]]+IF(DropAnalityka[[#This Row],[Drop]]="Scroll", 2000*DropAnalityka[[#This Row],[Quality/Quantity]],0)</f>
        <v>2000</v>
      </c>
      <c r="K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2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I217">
        <v>0</v>
      </c>
      <c r="J217">
        <v>0</v>
      </c>
      <c r="K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2">
      <c r="A218" t="s">
        <v>68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v>892</v>
      </c>
      <c r="K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2">
      <c r="A219" t="s">
        <v>68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v>823</v>
      </c>
      <c r="K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2">
      <c r="A220" t="s">
        <v>68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v>823</v>
      </c>
      <c r="K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2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I221">
        <v>0</v>
      </c>
      <c r="J221">
        <f>DropAnalityka[[#This Row],[Sell Drop]]+IF(DropAnalityka[[#This Row],[Drop]]="Scroll", 2000*DropAnalityka[[#This Row],[Quality/Quantity]],0)</f>
        <v>2000</v>
      </c>
      <c r="K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2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I222">
        <v>0</v>
      </c>
      <c r="J222">
        <v>0</v>
      </c>
      <c r="K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2">
      <c r="A223" t="s">
        <v>68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v>823</v>
      </c>
      <c r="K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2">
      <c r="A224" t="s">
        <v>68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v>823</v>
      </c>
      <c r="K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2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I225">
        <v>0</v>
      </c>
      <c r="J225">
        <v>0</v>
      </c>
      <c r="K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2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I226">
        <v>0</v>
      </c>
      <c r="J226">
        <v>0</v>
      </c>
      <c r="K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2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I227">
        <v>0</v>
      </c>
      <c r="J227">
        <v>0</v>
      </c>
      <c r="K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2">
      <c r="A228" t="s">
        <v>68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v>823</v>
      </c>
      <c r="K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2">
      <c r="A229" t="s">
        <v>68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v>1824</v>
      </c>
      <c r="K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2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I230">
        <v>0</v>
      </c>
      <c r="J230">
        <v>0</v>
      </c>
      <c r="K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2">
      <c r="A231" t="s">
        <v>68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v>823</v>
      </c>
      <c r="K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2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I232">
        <v>0</v>
      </c>
      <c r="J232">
        <f>DropAnalityka[[#This Row],[Sell Drop]]+IF(DropAnalityka[[#This Row],[Drop]]="Scroll", 2000*DropAnalityka[[#This Row],[Quality/Quantity]],0)</f>
        <v>2000</v>
      </c>
      <c r="K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2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I233">
        <v>0</v>
      </c>
      <c r="J233">
        <f>DropAnalityka[[#This Row],[Sell Drop]]+IF(DropAnalityka[[#This Row],[Drop]]="Scroll", 2000*DropAnalityka[[#This Row],[Quality/Quantity]],0)</f>
        <v>2000</v>
      </c>
      <c r="K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2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I234">
        <v>0</v>
      </c>
      <c r="J234">
        <f>DropAnalityka[[#This Row],[Sell Drop]]+IF(DropAnalityka[[#This Row],[Drop]]="Scroll", 2000*DropAnalityka[[#This Row],[Quality/Quantity]],0)</f>
        <v>2000</v>
      </c>
      <c r="K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2">
      <c r="A235" t="s">
        <v>68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v>823</v>
      </c>
      <c r="K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2">
      <c r="A236" t="s">
        <v>68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v>0</v>
      </c>
      <c r="K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2">
      <c r="A237" t="s">
        <v>68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v>823</v>
      </c>
      <c r="K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2">
      <c r="A238" t="s">
        <v>68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v>823</v>
      </c>
      <c r="K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2">
      <c r="A239" t="s">
        <v>68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v>1824</v>
      </c>
      <c r="K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2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I240">
        <v>0</v>
      </c>
      <c r="J240">
        <f>DropAnalityka[[#This Row],[Sell Drop]]+IF(DropAnalityka[[#This Row],[Drop]]="Scroll", 2000*DropAnalityka[[#This Row],[Quality/Quantity]],0)</f>
        <v>2000</v>
      </c>
      <c r="K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2">
      <c r="A241" t="s">
        <v>68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v>0</v>
      </c>
      <c r="K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2">
      <c r="A242" t="s">
        <v>68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v>1824</v>
      </c>
      <c r="K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2">
      <c r="A243" t="s">
        <v>68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v>960</v>
      </c>
      <c r="K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2">
      <c r="A244" t="s">
        <v>68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v>823</v>
      </c>
      <c r="K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2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I245">
        <v>0</v>
      </c>
      <c r="J245">
        <v>0</v>
      </c>
      <c r="K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2">
      <c r="A246" t="s">
        <v>68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v>823</v>
      </c>
      <c r="K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2">
      <c r="A247" t="s">
        <v>68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v>823</v>
      </c>
      <c r="K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2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I248">
        <v>0</v>
      </c>
      <c r="J248">
        <f>DropAnalityka[[#This Row],[Sell Drop]]+IF(DropAnalityka[[#This Row],[Drop]]="Scroll", 2000*DropAnalityka[[#This Row],[Quality/Quantity]],0)</f>
        <v>2000</v>
      </c>
      <c r="K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2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I249">
        <v>0</v>
      </c>
      <c r="J249">
        <f>DropAnalityka[[#This Row],[Sell Drop]]+IF(DropAnalityka[[#This Row],[Drop]]="Scroll", 2000*DropAnalityka[[#This Row],[Quality/Quantity]],0)</f>
        <v>2000</v>
      </c>
      <c r="K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2">
      <c r="A250" t="s">
        <v>68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v>1824</v>
      </c>
      <c r="K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2">
      <c r="A251" t="s">
        <v>68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v>823</v>
      </c>
      <c r="K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2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I252">
        <v>0</v>
      </c>
      <c r="J252">
        <f>DropAnalityka[[#This Row],[Sell Drop]]+IF(DropAnalityka[[#This Row],[Drop]]="Scroll", 2000*DropAnalityka[[#This Row],[Quality/Quantity]],0)</f>
        <v>2000</v>
      </c>
      <c r="K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2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I253">
        <v>0</v>
      </c>
      <c r="J253">
        <f>DropAnalityka[[#This Row],[Sell Drop]]+IF(DropAnalityka[[#This Row],[Drop]]="Scroll", 2000*DropAnalityka[[#This Row],[Quality/Quantity]],0)</f>
        <v>2000</v>
      </c>
      <c r="K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2">
      <c r="A254" t="s">
        <v>68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v>823</v>
      </c>
      <c r="K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2">
      <c r="A255" t="s">
        <v>68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v>823</v>
      </c>
      <c r="K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2">
      <c r="A256" t="s">
        <v>68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v>2128</v>
      </c>
      <c r="K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3">
      <c r="A257" t="s">
        <v>68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v>892</v>
      </c>
      <c r="K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3">
      <c r="A258" t="s">
        <v>68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v>823</v>
      </c>
      <c r="K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3">
      <c r="A259" t="s">
        <v>68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v>823</v>
      </c>
      <c r="K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3">
      <c r="A260" t="s">
        <v>68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v>1976</v>
      </c>
      <c r="K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3">
      <c r="A261" t="s">
        <v>68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v>823</v>
      </c>
      <c r="K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3">
      <c r="A262" t="s">
        <v>68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v>1824</v>
      </c>
      <c r="K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3">
      <c r="A263" t="s">
        <v>8</v>
      </c>
      <c r="B263" t="s">
        <v>34</v>
      </c>
      <c r="C263">
        <v>3</v>
      </c>
      <c r="D263">
        <v>1484</v>
      </c>
      <c r="E263">
        <v>2</v>
      </c>
      <c r="I263">
        <v>1159</v>
      </c>
      <c r="J263">
        <v>1159</v>
      </c>
      <c r="K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3">
      <c r="A264" t="s">
        <v>8</v>
      </c>
      <c r="B264" t="s">
        <v>34</v>
      </c>
      <c r="C264">
        <v>3</v>
      </c>
      <c r="D264">
        <v>1202</v>
      </c>
      <c r="E264">
        <v>2</v>
      </c>
      <c r="I264">
        <v>1159</v>
      </c>
      <c r="J264">
        <v>1159</v>
      </c>
      <c r="K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3">
      <c r="A265" t="s">
        <v>68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v>1824</v>
      </c>
      <c r="K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3">
      <c r="A266" t="s">
        <v>68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v>823</v>
      </c>
      <c r="K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3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I267">
        <v>0</v>
      </c>
      <c r="J267">
        <f>DropAnalityka[[#This Row],[Sell Drop]]+IF(DropAnalityka[[#This Row],[Drop]]="Scroll", 2000*DropAnalityka[[#This Row],[Quality/Quantity]],0)</f>
        <v>2000</v>
      </c>
      <c r="K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3">
      <c r="A268" t="s">
        <v>68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v>823</v>
      </c>
      <c r="K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8" s="16">
        <v>0.33078703703703705</v>
      </c>
    </row>
    <row r="269" spans="1:13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I269">
        <v>0</v>
      </c>
      <c r="J269">
        <f>DropAnalityka[[#This Row],[Sell Drop]]+IF(DropAnalityka[[#This Row],[Drop]]="Scroll", 2000*DropAnalityka[[#This Row],[Quality/Quantity]],0)</f>
        <v>2000</v>
      </c>
      <c r="K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9" s="16">
        <v>0.33269675925925929</v>
      </c>
    </row>
    <row r="270" spans="1:13">
      <c r="A270" t="s">
        <v>68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v>823</v>
      </c>
      <c r="K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3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I271">
        <v>0</v>
      </c>
      <c r="J271">
        <f>DropAnalityka[[#This Row],[Sell Drop]]+IF(DropAnalityka[[#This Row],[Drop]]="Scroll", 2000*DropAnalityka[[#This Row],[Quality/Quantity]],0)</f>
        <v>2000</v>
      </c>
      <c r="K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3">
      <c r="A272" t="s">
        <v>68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v>1824</v>
      </c>
      <c r="K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3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I273">
        <v>0</v>
      </c>
      <c r="J273">
        <f>DropAnalityka[[#This Row],[Sell Drop]]+IF(DropAnalityka[[#This Row],[Drop]]="Scroll", 2000*DropAnalityka[[#This Row],[Quality/Quantity]],0)</f>
        <v>2000</v>
      </c>
      <c r="K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3">
      <c r="A274" t="s">
        <v>68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v>1824</v>
      </c>
      <c r="K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74" s="16">
        <v>0.34259259259259256</v>
      </c>
    </row>
    <row r="275" spans="1:13">
      <c r="A275" t="s">
        <v>68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v>1824</v>
      </c>
      <c r="K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3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I276">
        <v>0</v>
      </c>
      <c r="J276">
        <f>DropAnalityka[[#This Row],[Sell Drop]]+IF(DropAnalityka[[#This Row],[Drop]]="Scroll", 2000*DropAnalityka[[#This Row],[Quality/Quantity]],0)</f>
        <v>2000</v>
      </c>
      <c r="K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3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I277">
        <v>0</v>
      </c>
      <c r="J277">
        <v>0</v>
      </c>
      <c r="K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3">
      <c r="A278" t="s">
        <v>68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v>1824</v>
      </c>
      <c r="K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3">
      <c r="A279" t="s">
        <v>68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v>1824</v>
      </c>
      <c r="K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3">
      <c r="A280" t="s">
        <v>68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v>960</v>
      </c>
      <c r="K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3">
      <c r="A281" t="s">
        <v>68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v>823</v>
      </c>
      <c r="K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1" s="16">
        <v>0.35532407407407413</v>
      </c>
    </row>
    <row r="282" spans="1:13">
      <c r="A282" t="s">
        <v>33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v>823</v>
      </c>
      <c r="K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2" s="16">
        <v>0.35555555555555557</v>
      </c>
    </row>
    <row r="283" spans="1:13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I283">
        <v>0</v>
      </c>
      <c r="J283">
        <f>DropAnalityka[[#This Row],[Sell Drop]]+IF(DropAnalityka[[#This Row],[Drop]]="Scroll", 2000*DropAnalityka[[#This Row],[Quality/Quantity]],0)</f>
        <v>2000</v>
      </c>
      <c r="K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3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I284">
        <v>0</v>
      </c>
      <c r="J284">
        <v>0</v>
      </c>
      <c r="K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3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I285">
        <v>0</v>
      </c>
      <c r="J285">
        <v>0</v>
      </c>
      <c r="K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3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I286">
        <v>0</v>
      </c>
      <c r="J286">
        <v>0</v>
      </c>
      <c r="K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3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I287">
        <v>0</v>
      </c>
      <c r="J287">
        <v>0</v>
      </c>
      <c r="K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3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I288">
        <v>0</v>
      </c>
      <c r="J288">
        <v>0</v>
      </c>
      <c r="K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2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I289">
        <v>0</v>
      </c>
      <c r="J289">
        <v>0</v>
      </c>
      <c r="K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2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I290">
        <v>0</v>
      </c>
      <c r="J290">
        <v>0</v>
      </c>
      <c r="K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2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I291">
        <v>0</v>
      </c>
      <c r="J291">
        <v>0</v>
      </c>
      <c r="K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2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I292">
        <v>0</v>
      </c>
      <c r="J292">
        <v>0</v>
      </c>
      <c r="K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2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I293">
        <v>0</v>
      </c>
      <c r="J293">
        <v>0</v>
      </c>
      <c r="K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2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I294">
        <v>0</v>
      </c>
      <c r="J294">
        <f>DropAnalityka[[#This Row],[Sell Drop]]+IF(DropAnalityka[[#This Row],[Drop]]="Scroll", 2000*DropAnalityka[[#This Row],[Quality/Quantity]],0)</f>
        <v>8000</v>
      </c>
      <c r="K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2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I295">
        <v>0</v>
      </c>
      <c r="J295">
        <v>0</v>
      </c>
      <c r="K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2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I296">
        <v>0</v>
      </c>
      <c r="J296">
        <f>DropAnalityka[[#This Row],[Sell Drop]]+IF(DropAnalityka[[#This Row],[Drop]]="Scroll", 2000*DropAnalityka[[#This Row],[Quality/Quantity]],0)</f>
        <v>4000</v>
      </c>
      <c r="K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2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I297">
        <v>0</v>
      </c>
      <c r="J297">
        <v>0</v>
      </c>
      <c r="K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2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I298">
        <v>0</v>
      </c>
      <c r="J298">
        <v>0</v>
      </c>
      <c r="K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2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I299">
        <v>0</v>
      </c>
      <c r="J299">
        <f>DropAnalityka[[#This Row],[Sell Drop]]+IF(DropAnalityka[[#This Row],[Drop]]="Scroll", 2000*DropAnalityka[[#This Row],[Quality/Quantity]],0)</f>
        <v>4000</v>
      </c>
      <c r="K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2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I300">
        <v>0</v>
      </c>
      <c r="J300">
        <v>0</v>
      </c>
      <c r="K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2">
      <c r="A301" t="s">
        <v>33</v>
      </c>
      <c r="B301" t="s">
        <v>32</v>
      </c>
      <c r="C301">
        <v>1</v>
      </c>
      <c r="D301">
        <v>1617</v>
      </c>
      <c r="E301">
        <v>1</v>
      </c>
      <c r="I301">
        <v>1824</v>
      </c>
      <c r="J301">
        <v>1824</v>
      </c>
      <c r="K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2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I302">
        <v>0</v>
      </c>
      <c r="J302">
        <v>0</v>
      </c>
      <c r="K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2">
      <c r="A303" t="s">
        <v>33</v>
      </c>
      <c r="B303" t="s">
        <v>32</v>
      </c>
      <c r="C303">
        <v>1</v>
      </c>
      <c r="D303">
        <v>2050</v>
      </c>
      <c r="E303">
        <v>0</v>
      </c>
      <c r="I303">
        <v>3182</v>
      </c>
      <c r="J303">
        <v>3182</v>
      </c>
      <c r="K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2">
      <c r="A304" t="s">
        <v>33</v>
      </c>
      <c r="B304" t="s">
        <v>32</v>
      </c>
      <c r="C304">
        <v>1</v>
      </c>
      <c r="D304">
        <v>999</v>
      </c>
      <c r="E304">
        <v>2</v>
      </c>
      <c r="I304">
        <v>2937</v>
      </c>
      <c r="J304">
        <v>2937</v>
      </c>
      <c r="K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2">
      <c r="A305" t="s">
        <v>33</v>
      </c>
      <c r="B305" t="s">
        <v>32</v>
      </c>
      <c r="C305">
        <v>1</v>
      </c>
      <c r="D305">
        <v>1097</v>
      </c>
      <c r="E305">
        <v>1</v>
      </c>
      <c r="I305">
        <v>2937</v>
      </c>
      <c r="J305">
        <v>2937</v>
      </c>
      <c r="K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2">
      <c r="A306" t="s">
        <v>33</v>
      </c>
      <c r="B306" t="s">
        <v>32</v>
      </c>
      <c r="C306">
        <v>1</v>
      </c>
      <c r="D306">
        <v>1283</v>
      </c>
      <c r="E306">
        <v>1</v>
      </c>
      <c r="I306">
        <v>1824</v>
      </c>
      <c r="J306">
        <v>1824</v>
      </c>
      <c r="K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2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I307">
        <v>0</v>
      </c>
      <c r="J307">
        <f>DropAnalityka[[#This Row],[Sell Drop]]+IF(DropAnalityka[[#This Row],[Drop]]="Scroll", 2000*DropAnalityka[[#This Row],[Quality/Quantity]],0)</f>
        <v>4000</v>
      </c>
      <c r="K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2">
      <c r="A308" t="s">
        <v>33</v>
      </c>
      <c r="B308" t="s">
        <v>32</v>
      </c>
      <c r="C308">
        <v>1</v>
      </c>
      <c r="D308">
        <v>1280</v>
      </c>
      <c r="E308">
        <v>0</v>
      </c>
      <c r="I308">
        <v>3182</v>
      </c>
      <c r="J308">
        <v>3182</v>
      </c>
      <c r="K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2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I309">
        <v>0</v>
      </c>
      <c r="J309">
        <v>0</v>
      </c>
      <c r="K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2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I310">
        <v>0</v>
      </c>
      <c r="J310">
        <v>0</v>
      </c>
      <c r="K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2">
      <c r="A311" t="s">
        <v>33</v>
      </c>
      <c r="B311" t="s">
        <v>32</v>
      </c>
      <c r="C311">
        <v>1</v>
      </c>
      <c r="D311">
        <v>1334</v>
      </c>
      <c r="E311">
        <v>0</v>
      </c>
      <c r="I311">
        <v>1824</v>
      </c>
      <c r="J311">
        <v>1824</v>
      </c>
      <c r="K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2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I312">
        <v>0</v>
      </c>
      <c r="J312">
        <v>0</v>
      </c>
      <c r="K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2">
      <c r="A313" t="s">
        <v>33</v>
      </c>
      <c r="B313" t="s">
        <v>32</v>
      </c>
      <c r="C313">
        <v>1</v>
      </c>
      <c r="D313">
        <v>1645</v>
      </c>
      <c r="E313">
        <v>1</v>
      </c>
      <c r="I313">
        <v>1824</v>
      </c>
      <c r="J313">
        <v>1824</v>
      </c>
      <c r="K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2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I314">
        <v>0</v>
      </c>
      <c r="J314">
        <f>DropAnalityka[[#This Row],[Sell Drop]]+IF(DropAnalityka[[#This Row],[Drop]]="Scroll", 2000*DropAnalityka[[#This Row],[Quality/Quantity]],0)</f>
        <v>4000</v>
      </c>
      <c r="K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2">
      <c r="A315" t="s">
        <v>33</v>
      </c>
      <c r="B315" t="s">
        <v>32</v>
      </c>
      <c r="C315">
        <v>1</v>
      </c>
      <c r="D315">
        <v>1221</v>
      </c>
      <c r="E315">
        <v>1</v>
      </c>
      <c r="I315">
        <v>2937</v>
      </c>
      <c r="J315">
        <v>2937</v>
      </c>
      <c r="K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2">
      <c r="A316" t="s">
        <v>33</v>
      </c>
      <c r="B316" t="s">
        <v>32</v>
      </c>
      <c r="C316">
        <v>1</v>
      </c>
      <c r="D316">
        <v>1320</v>
      </c>
      <c r="E316">
        <v>1</v>
      </c>
      <c r="I316">
        <v>1824</v>
      </c>
      <c r="J316">
        <v>1824</v>
      </c>
      <c r="K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2">
      <c r="A317" t="s">
        <v>33</v>
      </c>
      <c r="B317" t="s">
        <v>32</v>
      </c>
      <c r="C317">
        <v>1</v>
      </c>
      <c r="D317">
        <v>1157</v>
      </c>
      <c r="E317">
        <v>1</v>
      </c>
      <c r="I317">
        <v>1824</v>
      </c>
      <c r="J317">
        <v>1824</v>
      </c>
      <c r="K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2">
      <c r="A318" t="s">
        <v>33</v>
      </c>
      <c r="B318" t="s">
        <v>32</v>
      </c>
      <c r="C318">
        <v>1</v>
      </c>
      <c r="D318">
        <v>1815</v>
      </c>
      <c r="E318">
        <v>0</v>
      </c>
      <c r="I318">
        <v>2937</v>
      </c>
      <c r="J318">
        <v>2937</v>
      </c>
      <c r="K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2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I319">
        <v>0</v>
      </c>
      <c r="J319">
        <f>DropAnalityka[[#This Row],[Sell Drop]]+IF(DropAnalityka[[#This Row],[Drop]]="Scroll", 2000*DropAnalityka[[#This Row],[Quality/Quantity]],0)</f>
        <v>4000</v>
      </c>
      <c r="K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2">
      <c r="A320" t="s">
        <v>33</v>
      </c>
      <c r="B320" t="s">
        <v>32</v>
      </c>
      <c r="C320">
        <v>1</v>
      </c>
      <c r="D320">
        <v>2178</v>
      </c>
      <c r="E320">
        <v>4</v>
      </c>
      <c r="I320">
        <v>2128</v>
      </c>
      <c r="J320">
        <v>2128</v>
      </c>
      <c r="K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2">
      <c r="A321" t="s">
        <v>33</v>
      </c>
      <c r="B321" t="s">
        <v>32</v>
      </c>
      <c r="C321">
        <v>1</v>
      </c>
      <c r="D321">
        <v>1708</v>
      </c>
      <c r="E321">
        <v>1</v>
      </c>
      <c r="I321">
        <v>1824</v>
      </c>
      <c r="J321">
        <v>1824</v>
      </c>
      <c r="K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2">
      <c r="A322" t="s">
        <v>33</v>
      </c>
      <c r="B322" t="s">
        <v>32</v>
      </c>
      <c r="C322">
        <v>1</v>
      </c>
      <c r="D322">
        <v>1277</v>
      </c>
      <c r="E322">
        <v>2</v>
      </c>
      <c r="I322">
        <v>1824</v>
      </c>
      <c r="J322">
        <v>1824</v>
      </c>
      <c r="K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2">
      <c r="A323" t="s">
        <v>33</v>
      </c>
      <c r="B323" t="s">
        <v>32</v>
      </c>
      <c r="C323">
        <v>1</v>
      </c>
      <c r="D323">
        <v>2156</v>
      </c>
      <c r="E323">
        <v>1</v>
      </c>
      <c r="I323">
        <v>2937</v>
      </c>
      <c r="J323">
        <v>2937</v>
      </c>
      <c r="K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2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I324">
        <v>0</v>
      </c>
      <c r="J324">
        <f>DropAnalityka[[#This Row],[Sell Drop]]+IF(DropAnalityka[[#This Row],[Drop]]="Scroll", 2000*DropAnalityka[[#This Row],[Quality/Quantity]],0)</f>
        <v>4000</v>
      </c>
      <c r="K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2">
      <c r="A325" t="s">
        <v>33</v>
      </c>
      <c r="B325" t="s">
        <v>32</v>
      </c>
      <c r="C325">
        <v>1</v>
      </c>
      <c r="D325">
        <v>783</v>
      </c>
      <c r="E325">
        <v>0</v>
      </c>
      <c r="I325">
        <v>1834</v>
      </c>
      <c r="J325">
        <v>1834</v>
      </c>
      <c r="K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2">
      <c r="A326" t="s">
        <v>33</v>
      </c>
      <c r="B326" t="s">
        <v>32</v>
      </c>
      <c r="C326">
        <v>1</v>
      </c>
      <c r="D326">
        <v>1255</v>
      </c>
      <c r="E326">
        <v>0</v>
      </c>
      <c r="I326">
        <v>1834</v>
      </c>
      <c r="J326">
        <v>1834</v>
      </c>
      <c r="K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2">
      <c r="A327" t="s">
        <v>33</v>
      </c>
      <c r="B327" t="s">
        <v>32</v>
      </c>
      <c r="C327">
        <v>1</v>
      </c>
      <c r="D327">
        <v>1504</v>
      </c>
      <c r="E327">
        <v>1</v>
      </c>
      <c r="I327">
        <v>2937</v>
      </c>
      <c r="J327">
        <v>2937</v>
      </c>
      <c r="K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2">
      <c r="A328" t="s">
        <v>33</v>
      </c>
      <c r="B328" t="s">
        <v>32</v>
      </c>
      <c r="C328">
        <v>1</v>
      </c>
      <c r="D328">
        <v>1439</v>
      </c>
      <c r="E328">
        <v>0</v>
      </c>
      <c r="I328">
        <v>1834</v>
      </c>
      <c r="J328">
        <v>1834</v>
      </c>
      <c r="K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2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I329">
        <v>0</v>
      </c>
      <c r="J329">
        <v>0</v>
      </c>
      <c r="K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2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I330">
        <v>0</v>
      </c>
      <c r="J330">
        <v>0</v>
      </c>
      <c r="K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2">
      <c r="A331" t="s">
        <v>33</v>
      </c>
      <c r="B331" t="s">
        <v>32</v>
      </c>
      <c r="C331">
        <v>1</v>
      </c>
      <c r="D331">
        <v>1786</v>
      </c>
      <c r="E331">
        <v>1</v>
      </c>
      <c r="I331">
        <v>1834</v>
      </c>
      <c r="J331">
        <v>1834</v>
      </c>
      <c r="K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2">
      <c r="A332" t="s">
        <v>33</v>
      </c>
      <c r="B332" t="s">
        <v>32</v>
      </c>
      <c r="C332">
        <v>1</v>
      </c>
      <c r="D332">
        <v>1673</v>
      </c>
      <c r="E332">
        <v>3</v>
      </c>
      <c r="I332">
        <v>2280</v>
      </c>
      <c r="J332">
        <v>2280</v>
      </c>
      <c r="K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2">
      <c r="A333" t="s">
        <v>33</v>
      </c>
      <c r="B333" t="s">
        <v>32</v>
      </c>
      <c r="C333">
        <v>2</v>
      </c>
      <c r="D333">
        <v>1387</v>
      </c>
      <c r="E333">
        <v>1</v>
      </c>
      <c r="I333">
        <v>2080</v>
      </c>
      <c r="J333">
        <v>2080</v>
      </c>
      <c r="K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2">
      <c r="A334" t="s">
        <v>204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v>3168</v>
      </c>
      <c r="K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2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K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2">
      <c r="A336" t="s">
        <v>206</v>
      </c>
      <c r="B336" t="s">
        <v>9</v>
      </c>
      <c r="C336">
        <v>5</v>
      </c>
      <c r="D336">
        <v>1000</v>
      </c>
      <c r="E336">
        <v>0</v>
      </c>
      <c r="F336" t="s">
        <v>205</v>
      </c>
      <c r="G336">
        <v>5</v>
      </c>
      <c r="K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2">
      <c r="A337" t="s">
        <v>8</v>
      </c>
      <c r="B337" t="s">
        <v>34</v>
      </c>
      <c r="C337">
        <v>3</v>
      </c>
      <c r="D337">
        <v>1659</v>
      </c>
      <c r="E337">
        <v>4</v>
      </c>
      <c r="I337">
        <v>2067</v>
      </c>
      <c r="J337">
        <v>2067</v>
      </c>
      <c r="K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2">
      <c r="A338" t="s">
        <v>8</v>
      </c>
      <c r="B338" t="s">
        <v>34</v>
      </c>
      <c r="C338">
        <v>3</v>
      </c>
      <c r="D338">
        <v>1881</v>
      </c>
      <c r="E338">
        <v>1</v>
      </c>
      <c r="I338">
        <v>1159</v>
      </c>
      <c r="J338">
        <v>1159</v>
      </c>
      <c r="K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2">
      <c r="A339" t="s">
        <v>8</v>
      </c>
      <c r="B339" t="s">
        <v>34</v>
      </c>
      <c r="C339">
        <v>3</v>
      </c>
      <c r="D339">
        <v>2446</v>
      </c>
      <c r="E339">
        <v>1</v>
      </c>
      <c r="I339">
        <v>1159</v>
      </c>
      <c r="J339">
        <v>1159</v>
      </c>
      <c r="K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2">
      <c r="A340" t="s">
        <v>8</v>
      </c>
      <c r="B340" t="s">
        <v>34</v>
      </c>
      <c r="C340">
        <v>3</v>
      </c>
      <c r="D340">
        <v>1899</v>
      </c>
      <c r="E340">
        <v>0</v>
      </c>
      <c r="I340">
        <v>1352</v>
      </c>
      <c r="J340">
        <v>1352</v>
      </c>
      <c r="K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2">
      <c r="A341" t="s">
        <v>8</v>
      </c>
      <c r="B341" t="s">
        <v>34</v>
      </c>
      <c r="C341">
        <v>3</v>
      </c>
      <c r="D341">
        <v>1480</v>
      </c>
      <c r="E341">
        <v>1</v>
      </c>
      <c r="I341">
        <v>1159</v>
      </c>
      <c r="J341">
        <v>1159</v>
      </c>
      <c r="K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2">
      <c r="A342" t="s">
        <v>8</v>
      </c>
      <c r="B342" t="s">
        <v>34</v>
      </c>
      <c r="C342">
        <v>3</v>
      </c>
      <c r="D342">
        <v>1725</v>
      </c>
      <c r="E342">
        <v>2</v>
      </c>
      <c r="I342">
        <v>1159</v>
      </c>
      <c r="J342">
        <v>1159</v>
      </c>
      <c r="K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2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I343">
        <v>0</v>
      </c>
      <c r="J343">
        <f>DropAnalityka[[#This Row],[Sell Drop]]+IF(DropAnalityka[[#This Row],[Drop]]="Scroll", 2000*DropAnalityka[[#This Row],[Quality/Quantity]],0)</f>
        <v>6000</v>
      </c>
      <c r="K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2">
      <c r="A344" t="s">
        <v>8</v>
      </c>
      <c r="B344" t="s">
        <v>34</v>
      </c>
      <c r="C344">
        <v>3</v>
      </c>
      <c r="D344">
        <v>2733</v>
      </c>
      <c r="E344">
        <v>0</v>
      </c>
      <c r="I344">
        <v>1159</v>
      </c>
      <c r="J344">
        <v>1159</v>
      </c>
      <c r="K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2">
      <c r="A345" t="s">
        <v>8</v>
      </c>
      <c r="B345" t="s">
        <v>34</v>
      </c>
      <c r="C345">
        <v>3</v>
      </c>
      <c r="D345">
        <v>2196</v>
      </c>
      <c r="E345">
        <v>0</v>
      </c>
      <c r="I345">
        <v>1159</v>
      </c>
      <c r="J345">
        <v>1159</v>
      </c>
      <c r="K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2">
      <c r="A346" t="s">
        <v>8</v>
      </c>
      <c r="B346" t="s">
        <v>34</v>
      </c>
      <c r="C346">
        <v>3</v>
      </c>
      <c r="D346">
        <v>1326</v>
      </c>
      <c r="E346">
        <v>0</v>
      </c>
      <c r="I346">
        <v>1159</v>
      </c>
      <c r="J346">
        <v>1159</v>
      </c>
      <c r="K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2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I347">
        <v>0</v>
      </c>
      <c r="J347">
        <v>0</v>
      </c>
      <c r="K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2">
      <c r="A348" t="s">
        <v>8</v>
      </c>
      <c r="B348" t="s">
        <v>34</v>
      </c>
      <c r="C348">
        <v>3</v>
      </c>
      <c r="D348">
        <v>1970</v>
      </c>
      <c r="E348">
        <v>1</v>
      </c>
      <c r="I348">
        <v>1546</v>
      </c>
      <c r="J348">
        <v>1546</v>
      </c>
      <c r="K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2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I349">
        <v>0</v>
      </c>
      <c r="J349">
        <f>DropAnalityka[[#This Row],[Sell Drop]]+IF(DropAnalityka[[#This Row],[Drop]]="Scroll", 2000*DropAnalityka[[#This Row],[Quality/Quantity]],0)</f>
        <v>6000</v>
      </c>
      <c r="K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2">
      <c r="A350" t="s">
        <v>8</v>
      </c>
      <c r="B350" t="s">
        <v>34</v>
      </c>
      <c r="C350">
        <v>3</v>
      </c>
      <c r="D350">
        <v>2074</v>
      </c>
      <c r="E350">
        <v>1</v>
      </c>
      <c r="I350">
        <v>1159</v>
      </c>
      <c r="J350">
        <v>1159</v>
      </c>
      <c r="K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2">
      <c r="A351" t="s">
        <v>8</v>
      </c>
      <c r="B351" t="s">
        <v>34</v>
      </c>
      <c r="C351">
        <v>3</v>
      </c>
      <c r="D351">
        <v>1672</v>
      </c>
      <c r="E351">
        <v>0</v>
      </c>
      <c r="I351">
        <v>1159</v>
      </c>
      <c r="J351">
        <v>1159</v>
      </c>
      <c r="K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2">
      <c r="A352" t="s">
        <v>8</v>
      </c>
      <c r="B352" t="s">
        <v>34</v>
      </c>
      <c r="C352">
        <v>3</v>
      </c>
      <c r="D352">
        <v>823</v>
      </c>
      <c r="E352">
        <v>0</v>
      </c>
      <c r="I352">
        <v>1159</v>
      </c>
      <c r="J352">
        <v>1159</v>
      </c>
      <c r="K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2">
      <c r="A353" t="s">
        <v>8</v>
      </c>
      <c r="B353" t="s">
        <v>34</v>
      </c>
      <c r="C353">
        <v>3</v>
      </c>
      <c r="D353">
        <v>1454</v>
      </c>
      <c r="E353">
        <v>3</v>
      </c>
      <c r="I353">
        <v>1159</v>
      </c>
      <c r="J353">
        <v>1159</v>
      </c>
      <c r="K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2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I354">
        <v>0</v>
      </c>
      <c r="J354">
        <f>DropAnalityka[[#This Row],[Sell Drop]]+IF(DropAnalityka[[#This Row],[Drop]]="Scroll", 2000*DropAnalityka[[#This Row],[Quality/Quantity]],0)</f>
        <v>6000</v>
      </c>
      <c r="K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2">
      <c r="A355" t="s">
        <v>8</v>
      </c>
      <c r="B355" t="s">
        <v>34</v>
      </c>
      <c r="C355">
        <v>3</v>
      </c>
      <c r="D355">
        <v>1755</v>
      </c>
      <c r="E355">
        <v>0</v>
      </c>
      <c r="I355">
        <v>2757</v>
      </c>
      <c r="J355">
        <v>2757</v>
      </c>
      <c r="K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2">
      <c r="A356" t="s">
        <v>33</v>
      </c>
      <c r="B356" t="s">
        <v>32</v>
      </c>
      <c r="C356">
        <v>1</v>
      </c>
      <c r="D356">
        <v>1277</v>
      </c>
      <c r="E356">
        <v>1</v>
      </c>
      <c r="I356">
        <v>1824</v>
      </c>
      <c r="J356">
        <v>1824</v>
      </c>
      <c r="K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2">
      <c r="A357" t="s">
        <v>33</v>
      </c>
      <c r="B357" t="s">
        <v>32</v>
      </c>
      <c r="C357">
        <v>1</v>
      </c>
      <c r="D357">
        <v>2049</v>
      </c>
      <c r="E357">
        <v>0</v>
      </c>
      <c r="I357">
        <v>2937</v>
      </c>
      <c r="J357">
        <v>2937</v>
      </c>
      <c r="K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2">
      <c r="A358" t="s">
        <v>33</v>
      </c>
      <c r="B358" t="s">
        <v>32</v>
      </c>
      <c r="C358">
        <v>1</v>
      </c>
      <c r="D358">
        <v>1892</v>
      </c>
      <c r="E358">
        <v>1</v>
      </c>
      <c r="I358">
        <v>3400</v>
      </c>
      <c r="J358">
        <v>3400</v>
      </c>
      <c r="K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2">
      <c r="A359" t="s">
        <v>33</v>
      </c>
      <c r="B359" t="s">
        <v>32</v>
      </c>
      <c r="C359">
        <v>1</v>
      </c>
      <c r="D359">
        <v>2348</v>
      </c>
      <c r="E359">
        <v>0</v>
      </c>
      <c r="I359">
        <v>1824</v>
      </c>
      <c r="J359">
        <v>1824</v>
      </c>
      <c r="K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2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I360">
        <v>0</v>
      </c>
      <c r="J360">
        <f>DropAnalityka[[#This Row],[Sell Drop]]+IF(DropAnalityka[[#This Row],[Drop]]="Scroll", 2000*DropAnalityka[[#This Row],[Quality/Quantity]],0)</f>
        <v>4000</v>
      </c>
      <c r="K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2">
      <c r="A361" t="s">
        <v>33</v>
      </c>
      <c r="B361" t="s">
        <v>32</v>
      </c>
      <c r="C361">
        <v>1</v>
      </c>
      <c r="D361">
        <v>1962</v>
      </c>
      <c r="E361">
        <v>1</v>
      </c>
      <c r="I361">
        <v>1824</v>
      </c>
      <c r="J361">
        <v>1824</v>
      </c>
      <c r="K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2">
      <c r="A362" t="s">
        <v>33</v>
      </c>
      <c r="B362" t="s">
        <v>32</v>
      </c>
      <c r="C362">
        <v>1</v>
      </c>
      <c r="D362">
        <v>2010</v>
      </c>
      <c r="E362">
        <v>1</v>
      </c>
      <c r="I362">
        <v>1824</v>
      </c>
      <c r="J362">
        <v>1824</v>
      </c>
      <c r="K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2">
      <c r="A363" t="s">
        <v>33</v>
      </c>
      <c r="B363" t="s">
        <v>32</v>
      </c>
      <c r="C363">
        <v>1</v>
      </c>
      <c r="D363">
        <v>1676</v>
      </c>
      <c r="E363">
        <v>1</v>
      </c>
      <c r="I363">
        <v>1976</v>
      </c>
      <c r="J363">
        <v>1976</v>
      </c>
      <c r="K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2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I364">
        <v>0</v>
      </c>
      <c r="J364">
        <f>DropAnalityka[[#This Row],[Sell Drop]]+IF(DropAnalityka[[#This Row],[Drop]]="Scroll", 2000*DropAnalityka[[#This Row],[Quality/Quantity]],0)</f>
        <v>0</v>
      </c>
      <c r="K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2">
      <c r="A365" t="s">
        <v>33</v>
      </c>
      <c r="B365" t="s">
        <v>32</v>
      </c>
      <c r="C365">
        <v>1</v>
      </c>
      <c r="D365">
        <v>2619</v>
      </c>
      <c r="E365">
        <v>1</v>
      </c>
      <c r="I365">
        <v>1834</v>
      </c>
      <c r="J365">
        <v>1834</v>
      </c>
      <c r="K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2">
      <c r="A366" t="s">
        <v>33</v>
      </c>
      <c r="B366" t="s">
        <v>32</v>
      </c>
      <c r="C366">
        <v>1</v>
      </c>
      <c r="D366">
        <v>1880</v>
      </c>
      <c r="E366">
        <v>0</v>
      </c>
      <c r="I366">
        <v>1834</v>
      </c>
      <c r="J366">
        <v>1834</v>
      </c>
      <c r="K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2">
      <c r="A367" t="s">
        <v>204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v>3100</v>
      </c>
      <c r="K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2">
      <c r="A368" t="s">
        <v>204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v>1300</v>
      </c>
      <c r="K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2">
      <c r="A369" t="s">
        <v>204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v>1649</v>
      </c>
      <c r="K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2">
      <c r="A370" t="s">
        <v>204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I370">
        <v>0</v>
      </c>
      <c r="J370">
        <v>0</v>
      </c>
      <c r="K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2">
      <c r="A371" t="s">
        <v>204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I371">
        <v>0</v>
      </c>
      <c r="J371">
        <f>DropAnalityka[[#This Row],[Sell Drop]]+IF(DropAnalityka[[#This Row],[Drop]]="Scroll", 2000*DropAnalityka[[#This Row],[Quality/Quantity]],0)</f>
        <v>4000</v>
      </c>
      <c r="K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2">
      <c r="A372" t="s">
        <v>204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I372">
        <v>0</v>
      </c>
      <c r="J372">
        <f>DropAnalityka[[#This Row],[Sell Drop]]+IF(DropAnalityka[[#This Row],[Drop]]="Scroll", 2000*DropAnalityka[[#This Row],[Quality/Quantity]],0)</f>
        <v>6000</v>
      </c>
      <c r="K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2">
      <c r="A373" t="s">
        <v>204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v>8882</v>
      </c>
      <c r="K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2">
      <c r="A374" t="s">
        <v>204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v>4134</v>
      </c>
      <c r="K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2">
      <c r="A375" t="s">
        <v>204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v>6615</v>
      </c>
      <c r="K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2">
      <c r="A376" t="s">
        <v>204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v>13770</v>
      </c>
      <c r="K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2">
      <c r="A377" t="s">
        <v>204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v>4134</v>
      </c>
      <c r="K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2">
      <c r="A378" t="s">
        <v>204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v>3720</v>
      </c>
      <c r="K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2">
      <c r="A379" t="s">
        <v>204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I379">
        <v>0</v>
      </c>
      <c r="J379">
        <f>DropAnalityka[[#This Row],[Sell Drop]]+IF(DropAnalityka[[#This Row],[Drop]]="Scroll", 2000*DropAnalityka[[#This Row],[Quality/Quantity]],0)</f>
        <v>6000</v>
      </c>
      <c r="K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2">
      <c r="A380" t="s">
        <v>204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v>2067</v>
      </c>
      <c r="K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2">
      <c r="A381" t="s">
        <v>204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I381">
        <v>0</v>
      </c>
      <c r="J381">
        <f>DropAnalityka[[#This Row],[Sell Drop]]+IF(DropAnalityka[[#This Row],[Drop]]="Scroll", 2000*DropAnalityka[[#This Row],[Quality/Quantity]],0)</f>
        <v>8000</v>
      </c>
      <c r="K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2">
      <c r="A382" t="s">
        <v>204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I382">
        <v>0</v>
      </c>
      <c r="J382">
        <f>DropAnalityka[[#This Row],[Sell Drop]]+IF(DropAnalityka[[#This Row],[Drop]]="Scroll", 2000*DropAnalityka[[#This Row],[Quality/Quantity]],0)</f>
        <v>8000</v>
      </c>
      <c r="K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2">
      <c r="A383" t="s">
        <v>8</v>
      </c>
      <c r="B383" t="s">
        <v>34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Drop]]+IF(DropAnalityka[[#This Row],[Drop]]="Scroll", 2000*DropAnalityka[[#This Row],[Quality/Quantity]],0)</f>
        <v>1159</v>
      </c>
      <c r="K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2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I384">
        <v>0</v>
      </c>
      <c r="J384">
        <f>DropAnalityka[[#This Row],[Sell Drop]]+IF(DropAnalityka[[#This Row],[Drop]]="Scroll", 2000*DropAnalityka[[#This Row],[Quality/Quantity]],0)</f>
        <v>6000</v>
      </c>
      <c r="K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2">
      <c r="A385" t="s">
        <v>8</v>
      </c>
      <c r="B385" t="s">
        <v>34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Drop]]+IF(DropAnalityka[[#This Row],[Drop]]="Scroll", 2000*DropAnalityka[[#This Row],[Quality/Quantity]],0)</f>
        <v>1159</v>
      </c>
      <c r="K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2">
      <c r="A386" t="s">
        <v>8</v>
      </c>
      <c r="B386" t="s">
        <v>34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Drop]]+IF(DropAnalityka[[#This Row],[Drop]]="Scroll", 2000*DropAnalityka[[#This Row],[Quality/Quantity]],0)</f>
        <v>1159</v>
      </c>
      <c r="K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2">
      <c r="A387" t="s">
        <v>8</v>
      </c>
      <c r="B387" t="s">
        <v>34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Drop]]+IF(DropAnalityka[[#This Row],[Drop]]="Scroll", 2000*DropAnalityka[[#This Row],[Quality/Quantity]],0)</f>
        <v>1159</v>
      </c>
      <c r="K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2">
      <c r="A388" t="s">
        <v>8</v>
      </c>
      <c r="B388" t="s">
        <v>34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Drop]]+IF(DropAnalityka[[#This Row],[Drop]]="Scroll", 2000*DropAnalityka[[#This Row],[Quality/Quantity]],0)</f>
        <v>2067</v>
      </c>
      <c r="K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2">
      <c r="A389" t="s">
        <v>8</v>
      </c>
      <c r="B389" t="s">
        <v>34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Drop]]+IF(DropAnalityka[[#This Row],[Drop]]="Scroll", 2000*DropAnalityka[[#This Row],[Quality/Quantity]],0)</f>
        <v>2067</v>
      </c>
      <c r="K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2">
      <c r="A390" t="s">
        <v>8</v>
      </c>
      <c r="B390" t="s">
        <v>34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Drop]]+IF(DropAnalityka[[#This Row],[Drop]]="Scroll", 2000*DropAnalityka[[#This Row],[Quality/Quantity]],0)</f>
        <v>1159</v>
      </c>
      <c r="K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2">
      <c r="A391" t="s">
        <v>8</v>
      </c>
      <c r="B391" t="s">
        <v>34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Drop]]+IF(DropAnalityka[[#This Row],[Drop]]="Scroll", 2000*DropAnalityka[[#This Row],[Quality/Quantity]],0)</f>
        <v>1159</v>
      </c>
      <c r="K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2">
      <c r="A392" t="s">
        <v>8</v>
      </c>
      <c r="B392" t="s">
        <v>34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Drop]]+IF(DropAnalityka[[#This Row],[Drop]]="Scroll", 2000*DropAnalityka[[#This Row],[Quality/Quantity]],0)</f>
        <v>1546</v>
      </c>
      <c r="K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2">
      <c r="A393" t="s">
        <v>8</v>
      </c>
      <c r="B393" t="s">
        <v>34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Drop]]+IF(DropAnalityka[[#This Row],[Drop]]="Scroll", 2000*DropAnalityka[[#This Row],[Quality/Quantity]],0)</f>
        <v>1159</v>
      </c>
      <c r="K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2">
      <c r="A394" t="s">
        <v>8</v>
      </c>
      <c r="B394" t="s">
        <v>34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Drop]]+IF(DropAnalityka[[#This Row],[Drop]]="Scroll", 2000*DropAnalityka[[#This Row],[Quality/Quantity]],0)</f>
        <v>1352</v>
      </c>
      <c r="K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2">
      <c r="A395" t="s">
        <v>8</v>
      </c>
      <c r="B395" t="s">
        <v>34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Drop]]+IF(DropAnalityka[[#This Row],[Drop]]="Scroll", 2000*DropAnalityka[[#This Row],[Quality/Quantity]],0)</f>
        <v>2067</v>
      </c>
      <c r="K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2">
      <c r="A396" t="s">
        <v>8</v>
      </c>
      <c r="B396" t="s">
        <v>34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Drop]]+IF(DropAnalityka[[#This Row],[Drop]]="Scroll", 2000*DropAnalityka[[#This Row],[Quality/Quantity]],0)</f>
        <v>1546</v>
      </c>
      <c r="K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2">
      <c r="A397" t="s">
        <v>8</v>
      </c>
      <c r="B397" t="s">
        <v>34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Drop]]+IF(DropAnalityka[[#This Row],[Drop]]="Scroll", 2000*DropAnalityka[[#This Row],[Quality/Quantity]],0)</f>
        <v>2067</v>
      </c>
      <c r="K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2">
      <c r="A398" t="s">
        <v>8</v>
      </c>
      <c r="B398" t="s">
        <v>34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Drop]]+IF(DropAnalityka[[#This Row],[Drop]]="Scroll", 2000*DropAnalityka[[#This Row],[Quality/Quantity]],0)</f>
        <v>1159</v>
      </c>
      <c r="K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2">
      <c r="A399" t="s">
        <v>8</v>
      </c>
      <c r="B399" t="s">
        <v>34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Drop]]+IF(DropAnalityka[[#This Row],[Drop]]="Scroll", 2000*DropAnalityka[[#This Row],[Quality/Quantity]],0)</f>
        <v>1352</v>
      </c>
      <c r="K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2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I400">
        <v>0</v>
      </c>
      <c r="J400">
        <f>DropAnalityka[[#This Row],[Sell Drop]]+IF(DropAnalityka[[#This Row],[Drop]]="Scroll", 2000*DropAnalityka[[#This Row],[Quality/Quantity]],0)</f>
        <v>6000</v>
      </c>
      <c r="K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2">
      <c r="A401" t="s">
        <v>8</v>
      </c>
      <c r="B401" t="s">
        <v>34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Drop]]+IF(DropAnalityka[[#This Row],[Drop]]="Scroll", 2000*DropAnalityka[[#This Row],[Quality/Quantity]],0)</f>
        <v>1159</v>
      </c>
      <c r="K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2">
      <c r="A402" t="s">
        <v>8</v>
      </c>
      <c r="B402" t="s">
        <v>34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Drop]]+IF(DropAnalityka[[#This Row],[Drop]]="Scroll", 2000*DropAnalityka[[#This Row],[Quality/Quantity]],0)</f>
        <v>1546</v>
      </c>
      <c r="K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2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I403">
        <v>0</v>
      </c>
      <c r="J403">
        <f>DropAnalityka[[#This Row],[Sell Drop]]+IF(DropAnalityka[[#This Row],[Drop]]="Scroll", 2000*DropAnalityka[[#This Row],[Quality/Quantity]],0)</f>
        <v>6000</v>
      </c>
      <c r="K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2">
      <c r="A404" t="s">
        <v>8</v>
      </c>
      <c r="B404" t="s">
        <v>34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Drop]]+IF(DropAnalityka[[#This Row],[Drop]]="Scroll", 2000*DropAnalityka[[#This Row],[Quality/Quantity]],0)</f>
        <v>1159</v>
      </c>
      <c r="K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2">
      <c r="A405" t="s">
        <v>8</v>
      </c>
      <c r="B405" t="s">
        <v>34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Drop]]+IF(DropAnalityka[[#This Row],[Drop]]="Scroll", 2000*DropAnalityka[[#This Row],[Quality/Quantity]],0)</f>
        <v>1159</v>
      </c>
      <c r="K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2">
      <c r="A406" t="s">
        <v>8</v>
      </c>
      <c r="B406" t="s">
        <v>34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Drop]]+IF(DropAnalityka[[#This Row],[Drop]]="Scroll", 2000*DropAnalityka[[#This Row],[Quality/Quantity]],0)</f>
        <v>2067</v>
      </c>
      <c r="K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2">
      <c r="A407" t="s">
        <v>8</v>
      </c>
      <c r="B407" t="s">
        <v>34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Drop]]+IF(DropAnalityka[[#This Row],[Drop]]="Scroll", 2000*DropAnalityka[[#This Row],[Quality/Quantity]],0)</f>
        <v>1159</v>
      </c>
      <c r="K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2">
      <c r="A408" t="s">
        <v>8</v>
      </c>
      <c r="B408" t="s">
        <v>34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Drop]]+IF(DropAnalityka[[#This Row],[Drop]]="Scroll", 2000*DropAnalityka[[#This Row],[Quality/Quantity]],0)</f>
        <v>1159</v>
      </c>
      <c r="K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2">
      <c r="A409" t="s">
        <v>8</v>
      </c>
      <c r="B409" t="s">
        <v>34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Drop]]+IF(DropAnalityka[[#This Row],[Drop]]="Scroll", 2000*DropAnalityka[[#This Row],[Quality/Quantity]],0)</f>
        <v>1352</v>
      </c>
      <c r="K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2">
      <c r="A410" t="s">
        <v>8</v>
      </c>
      <c r="B410" t="s">
        <v>34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Drop]]+IF(DropAnalityka[[#This Row],[Drop]]="Scroll", 2000*DropAnalityka[[#This Row],[Quality/Quantity]],0)</f>
        <v>1739</v>
      </c>
      <c r="K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2">
      <c r="A411" t="s">
        <v>8</v>
      </c>
      <c r="B411" t="s">
        <v>34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Drop]]+IF(DropAnalityka[[#This Row],[Drop]]="Scroll", 2000*DropAnalityka[[#This Row],[Quality/Quantity]],0)</f>
        <v>1159</v>
      </c>
      <c r="K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2">
      <c r="A412" t="s">
        <v>8</v>
      </c>
      <c r="B412" t="s">
        <v>34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Drop]]+IF(DropAnalityka[[#This Row],[Drop]]="Scroll", 2000*DropAnalityka[[#This Row],[Quality/Quantity]],0)</f>
        <v>1159</v>
      </c>
      <c r="K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2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I413">
        <v>0</v>
      </c>
      <c r="J413">
        <f>DropAnalityka[[#This Row],[Sell Drop]]+IF(DropAnalityka[[#This Row],[Drop]]="Scroll", 2000*DropAnalityka[[#This Row],[Quality/Quantity]],0)</f>
        <v>6000</v>
      </c>
      <c r="K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2">
      <c r="A414" t="s">
        <v>8</v>
      </c>
      <c r="B414" t="s">
        <v>34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Drop]]+IF(DropAnalityka[[#This Row],[Drop]]="Scroll", 2000*DropAnalityka[[#This Row],[Quality/Quantity]],0)</f>
        <v>1352</v>
      </c>
      <c r="K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2">
      <c r="A415" t="s">
        <v>8</v>
      </c>
      <c r="B415" t="s">
        <v>34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Drop]]+IF(DropAnalityka[[#This Row],[Drop]]="Scroll", 2000*DropAnalityka[[#This Row],[Quality/Quantity]],0)</f>
        <v>1159</v>
      </c>
      <c r="K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2">
      <c r="A416" t="s">
        <v>8</v>
      </c>
      <c r="B416" t="s">
        <v>34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Drop]]+IF(DropAnalityka[[#This Row],[Drop]]="Scroll", 2000*DropAnalityka[[#This Row],[Quality/Quantity]],0)</f>
        <v>1159</v>
      </c>
      <c r="K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2">
      <c r="A417" t="s">
        <v>8</v>
      </c>
      <c r="B417" t="s">
        <v>34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Drop]]+IF(DropAnalityka[[#This Row],[Drop]]="Scroll", 2000*DropAnalityka[[#This Row],[Quality/Quantity]],0)</f>
        <v>2750</v>
      </c>
      <c r="K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2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I418">
        <v>0</v>
      </c>
      <c r="J418">
        <f>DropAnalityka[[#This Row],[Sell Drop]]+IF(DropAnalityka[[#This Row],[Drop]]="Scroll", 2000*DropAnalityka[[#This Row],[Quality/Quantity]],0)</f>
        <v>6000</v>
      </c>
      <c r="K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2">
      <c r="A419" t="s">
        <v>8</v>
      </c>
      <c r="B419" t="s">
        <v>34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Drop]]+IF(DropAnalityka[[#This Row],[Drop]]="Scroll", 2000*DropAnalityka[[#This Row],[Quality/Quantity]],0)</f>
        <v>1352</v>
      </c>
      <c r="K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2">
      <c r="A420" t="s">
        <v>8</v>
      </c>
      <c r="B420" t="s">
        <v>34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Drop]]+IF(DropAnalityka[[#This Row],[Drop]]="Scroll", 2000*DropAnalityka[[#This Row],[Quality/Quantity]],0)</f>
        <v>1159</v>
      </c>
      <c r="K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2">
      <c r="A421" t="s">
        <v>8</v>
      </c>
      <c r="B421" t="s">
        <v>34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Drop]]+IF(DropAnalityka[[#This Row],[Drop]]="Scroll", 2000*DropAnalityka[[#This Row],[Quality/Quantity]],0)</f>
        <v>2756</v>
      </c>
      <c r="K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2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I422">
        <v>0</v>
      </c>
      <c r="J422">
        <f>DropAnalityka[[#This Row],[Sell Drop]]+IF(DropAnalityka[[#This Row],[Drop]]="Scroll", 2000*DropAnalityka[[#This Row],[Quality/Quantity]],0)</f>
        <v>6000</v>
      </c>
      <c r="K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2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I423">
        <v>0</v>
      </c>
      <c r="J423">
        <f>DropAnalityka[[#This Row],[Sell Drop]]+IF(DropAnalityka[[#This Row],[Drop]]="Scroll", 2000*DropAnalityka[[#This Row],[Quality/Quantity]],0)</f>
        <v>6000</v>
      </c>
      <c r="K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2">
      <c r="A424" t="s">
        <v>8</v>
      </c>
      <c r="B424" t="s">
        <v>34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Drop]]+IF(DropAnalityka[[#This Row],[Drop]]="Scroll", 2000*DropAnalityka[[#This Row],[Quality/Quantity]],0)</f>
        <v>1159</v>
      </c>
      <c r="K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2">
      <c r="A425" t="s">
        <v>8</v>
      </c>
      <c r="B425" t="s">
        <v>34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Drop]]+IF(DropAnalityka[[#This Row],[Drop]]="Scroll", 2000*DropAnalityka[[#This Row],[Quality/Quantity]],0)</f>
        <v>2756</v>
      </c>
      <c r="K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2">
      <c r="A426" t="s">
        <v>8</v>
      </c>
      <c r="B426" t="s">
        <v>34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Drop]]+IF(DropAnalityka[[#This Row],[Drop]]="Scroll", 2000*DropAnalityka[[#This Row],[Quality/Quantity]],0)</f>
        <v>1159</v>
      </c>
      <c r="K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2">
      <c r="A427" t="s">
        <v>8</v>
      </c>
      <c r="B427" t="s">
        <v>34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Drop]]+IF(DropAnalityka[[#This Row],[Drop]]="Scroll", 2000*DropAnalityka[[#This Row],[Quality/Quantity]],0)</f>
        <v>2067</v>
      </c>
      <c r="K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2">
      <c r="A428" t="s">
        <v>8</v>
      </c>
      <c r="B428" t="s">
        <v>34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Drop]]+IF(DropAnalityka[[#This Row],[Drop]]="Scroll", 2000*DropAnalityka[[#This Row],[Quality/Quantity]],0)</f>
        <v>2067</v>
      </c>
      <c r="K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2">
      <c r="A429" t="s">
        <v>8</v>
      </c>
      <c r="B429" t="s">
        <v>34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Drop]]+IF(DropAnalityka[[#This Row],[Drop]]="Scroll", 2000*DropAnalityka[[#This Row],[Quality/Quantity]],0)</f>
        <v>2067</v>
      </c>
      <c r="K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2">
      <c r="A430" t="s">
        <v>8</v>
      </c>
      <c r="B430" t="s">
        <v>34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Drop]]+IF(DropAnalityka[[#This Row],[Drop]]="Scroll", 2000*DropAnalityka[[#This Row],[Quality/Quantity]],0)</f>
        <v>2067</v>
      </c>
      <c r="K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2">
      <c r="A431" t="s">
        <v>8</v>
      </c>
      <c r="B431" t="s">
        <v>34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Drop]]+IF(DropAnalityka[[#This Row],[Drop]]="Scroll", 2000*DropAnalityka[[#This Row],[Quality/Quantity]],0)</f>
        <v>1159</v>
      </c>
      <c r="K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2">
      <c r="A432" t="s">
        <v>8</v>
      </c>
      <c r="B432" t="s">
        <v>34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Drop]]+IF(DropAnalityka[[#This Row],[Drop]]="Scroll", 2000*DropAnalityka[[#This Row],[Quality/Quantity]],0)</f>
        <v>1159</v>
      </c>
      <c r="K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2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I433">
        <v>0</v>
      </c>
      <c r="J433">
        <f>DropAnalityka[[#This Row],[Sell Drop]]+IF(DropAnalityka[[#This Row],[Drop]]="Scroll", 2000*DropAnalityka[[#This Row],[Quality/Quantity]],0)</f>
        <v>0</v>
      </c>
      <c r="K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2">
      <c r="A434" t="s">
        <v>8</v>
      </c>
      <c r="B434" t="s">
        <v>34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Drop]]+IF(DropAnalityka[[#This Row],[Drop]]="Scroll", 2000*DropAnalityka[[#This Row],[Quality/Quantity]],0)</f>
        <v>2067</v>
      </c>
      <c r="K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2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I435">
        <v>0</v>
      </c>
      <c r="J435">
        <f>DropAnalityka[[#This Row],[Sell Drop]]+IF(DropAnalityka[[#This Row],[Drop]]="Scroll", 2000*DropAnalityka[[#This Row],[Quality/Quantity]],0)</f>
        <v>6000</v>
      </c>
      <c r="K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2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I436">
        <v>0</v>
      </c>
      <c r="J436">
        <f>DropAnalityka[[#This Row],[Sell Drop]]+IF(DropAnalityka[[#This Row],[Drop]]="Scroll", 2000*DropAnalityka[[#This Row],[Quality/Quantity]],0)</f>
        <v>6000</v>
      </c>
      <c r="K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2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J437">
        <f>DropAnalityka[[#This Row],[Sell Drop]]+IF(DropAnalityka[[#This Row],[Drop]]="Scroll", 2000*DropAnalityka[[#This Row],[Quality/Quantity]],0)</f>
        <v>6000</v>
      </c>
      <c r="K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2">
      <c r="A438" t="s">
        <v>211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I438">
        <v>0</v>
      </c>
      <c r="J438">
        <f>DropAnalityka[[#This Row],[Sell Drop]]+IF(DropAnalityka[[#This Row],[Drop]]="Scroll", 2000*DropAnalityka[[#This Row],[Quality/Quantity]],0)</f>
        <v>6000</v>
      </c>
      <c r="K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2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I439">
        <v>0</v>
      </c>
      <c r="J439">
        <f>DropAnalityka[[#This Row],[Sell Drop]]+IF(DropAnalityka[[#This Row],[Drop]]="Scroll", 2000*DropAnalityka[[#This Row],[Quality/Quantity]],0)</f>
        <v>6000</v>
      </c>
      <c r="K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2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I440">
        <v>0</v>
      </c>
      <c r="J440">
        <f>DropAnalityka[[#This Row],[Sell Drop]]+IF(DropAnalityka[[#This Row],[Drop]]="Scroll", 2000*DropAnalityka[[#This Row],[Quality/Quantity]],0)</f>
        <v>0</v>
      </c>
      <c r="K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2">
      <c r="A441" t="s">
        <v>8</v>
      </c>
      <c r="B441" t="s">
        <v>34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Drop]]+IF(DropAnalityka[[#This Row],[Drop]]="Scroll", 2000*DropAnalityka[[#This Row],[Quality/Quantity]],0)</f>
        <v>1159</v>
      </c>
      <c r="K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2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J442">
        <f>DropAnalityka[[#This Row],[Sell Drop]]+IF(DropAnalityka[[#This Row],[Drop]]="Scroll", 2000*DropAnalityka[[#This Row],[Quality/Quantity]],0)</f>
        <v>0</v>
      </c>
      <c r="K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2">
      <c r="A443" t="s">
        <v>8</v>
      </c>
      <c r="B443" t="s">
        <v>34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Drop]]+IF(DropAnalityka[[#This Row],[Drop]]="Scroll", 2000*DropAnalityka[[#This Row],[Quality/Quantity]],0)</f>
        <v>1546</v>
      </c>
      <c r="K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2">
      <c r="A444" t="s">
        <v>8</v>
      </c>
      <c r="B444" t="s">
        <v>34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Drop]]+IF(DropAnalityka[[#This Row],[Drop]]="Scroll", 2000*DropAnalityka[[#This Row],[Quality/Quantity]],0)</f>
        <v>1159</v>
      </c>
      <c r="K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2">
      <c r="A445" t="s">
        <v>8</v>
      </c>
      <c r="B445" t="s">
        <v>34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Drop]]+IF(DropAnalityka[[#This Row],[Drop]]="Scroll", 2000*DropAnalityka[[#This Row],[Quality/Quantity]],0)</f>
        <v>1159</v>
      </c>
      <c r="K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2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I446">
        <v>0</v>
      </c>
      <c r="J446">
        <f>DropAnalityka[[#This Row],[Sell Drop]]+IF(DropAnalityka[[#This Row],[Drop]]="Scroll", 2000*DropAnalityka[[#This Row],[Quality/Quantity]],0)</f>
        <v>6000</v>
      </c>
      <c r="K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2">
      <c r="A447" t="s">
        <v>8</v>
      </c>
      <c r="B447" t="s">
        <v>34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Drop]]+IF(DropAnalityka[[#This Row],[Drop]]="Scroll", 2000*DropAnalityka[[#This Row],[Quality/Quantity]],0)</f>
        <v>1159</v>
      </c>
      <c r="K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2">
      <c r="A448" t="s">
        <v>8</v>
      </c>
      <c r="B448" t="s">
        <v>34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Drop]]+IF(DropAnalityka[[#This Row],[Drop]]="Scroll", 2000*DropAnalityka[[#This Row],[Quality/Quantity]],0)</f>
        <v>1159</v>
      </c>
      <c r="K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2">
      <c r="A449" t="s">
        <v>8</v>
      </c>
      <c r="B449" t="s">
        <v>34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Drop]]+IF(DropAnalityka[[#This Row],[Drop]]="Scroll", 2000*DropAnalityka[[#This Row],[Quality/Quantity]],0)</f>
        <v>1159</v>
      </c>
      <c r="K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2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I450">
        <v>0</v>
      </c>
      <c r="J450">
        <f>DropAnalityka[[#This Row],[Sell Drop]]+IF(DropAnalityka[[#This Row],[Drop]]="Scroll", 2000*DropAnalityka[[#This Row],[Quality/Quantity]],0)</f>
        <v>0</v>
      </c>
      <c r="K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2">
      <c r="A451" t="s">
        <v>8</v>
      </c>
      <c r="B451" t="s">
        <v>34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Drop]]+IF(DropAnalityka[[#This Row],[Drop]]="Scroll", 2000*DropAnalityka[[#This Row],[Quality/Quantity]],0)</f>
        <v>2067</v>
      </c>
      <c r="K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2">
      <c r="A452" t="s">
        <v>8</v>
      </c>
      <c r="B452" t="s">
        <v>34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Drop]]+IF(DropAnalityka[[#This Row],[Drop]]="Scroll", 2000*DropAnalityka[[#This Row],[Quality/Quantity]],0)</f>
        <v>1159</v>
      </c>
      <c r="K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2">
      <c r="A453" t="s">
        <v>8</v>
      </c>
      <c r="B453" t="s">
        <v>34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Drop]]+IF(DropAnalityka[[#This Row],[Drop]]="Scroll", 2000*DropAnalityka[[#This Row],[Quality/Quantity]],0)</f>
        <v>2067</v>
      </c>
      <c r="K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2">
      <c r="A454" t="s">
        <v>8</v>
      </c>
      <c r="B454" t="s">
        <v>34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Drop]]+IF(DropAnalityka[[#This Row],[Drop]]="Scroll", 2000*DropAnalityka[[#This Row],[Quality/Quantity]],0)</f>
        <v>1546</v>
      </c>
      <c r="K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2">
      <c r="A455" t="s">
        <v>8</v>
      </c>
      <c r="B455" t="s">
        <v>34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Drop]]+IF(DropAnalityka[[#This Row],[Drop]]="Scroll", 2000*DropAnalityka[[#This Row],[Quality/Quantity]],0)</f>
        <v>1159</v>
      </c>
      <c r="K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2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I456">
        <v>0</v>
      </c>
      <c r="J456">
        <f>DropAnalityka[[#This Row],[Sell Drop]]+IF(DropAnalityka[[#This Row],[Drop]]="Scroll", 2000*DropAnalityka[[#This Row],[Quality/Quantity]],0)</f>
        <v>0</v>
      </c>
      <c r="K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2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I457">
        <v>0</v>
      </c>
      <c r="J457">
        <f>DropAnalityka[[#This Row],[Sell Drop]]+IF(DropAnalityka[[#This Row],[Drop]]="Scroll", 2000*DropAnalityka[[#This Row],[Quality/Quantity]],0)</f>
        <v>0</v>
      </c>
      <c r="K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2">
      <c r="A458" t="s">
        <v>8</v>
      </c>
      <c r="B458" t="s">
        <v>34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Drop]]+IF(DropAnalityka[[#This Row],[Drop]]="Scroll", 2000*DropAnalityka[[#This Row],[Quality/Quantity]],0)</f>
        <v>2067</v>
      </c>
      <c r="K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2">
      <c r="A459" t="s">
        <v>8</v>
      </c>
      <c r="B459" t="s">
        <v>34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Drop]]+IF(DropAnalityka[[#This Row],[Drop]]="Scroll", 2000*DropAnalityka[[#This Row],[Quality/Quantity]],0)</f>
        <v>1159</v>
      </c>
      <c r="K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2">
      <c r="A460" t="s">
        <v>8</v>
      </c>
      <c r="B460" t="s">
        <v>34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Drop]]+IF(DropAnalityka[[#This Row],[Drop]]="Scroll", 2000*DropAnalityka[[#This Row],[Quality/Quantity]],0)</f>
        <v>2067</v>
      </c>
      <c r="K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2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J461">
        <f>DropAnalityka[[#This Row],[Sell Drop]]+IF(DropAnalityka[[#This Row],[Drop]]="Scroll", 2000*DropAnalityka[[#This Row],[Quality/Quantity]],0)</f>
        <v>6000</v>
      </c>
      <c r="K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2">
      <c r="A462" t="s">
        <v>8</v>
      </c>
      <c r="B462" t="s">
        <v>34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Drop]]+IF(DropAnalityka[[#This Row],[Drop]]="Scroll", 2000*DropAnalityka[[#This Row],[Quality/Quantity]],0)</f>
        <v>1159</v>
      </c>
      <c r="K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2">
      <c r="A463" t="s">
        <v>8</v>
      </c>
      <c r="B463" t="s">
        <v>34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Drop]]+IF(DropAnalityka[[#This Row],[Drop]]="Scroll", 2000*DropAnalityka[[#This Row],[Quality/Quantity]],0)</f>
        <v>2756</v>
      </c>
      <c r="K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2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I464">
        <v>0</v>
      </c>
      <c r="J464">
        <f>DropAnalityka[[#This Row],[Sell Drop]]+IF(DropAnalityka[[#This Row],[Drop]]="Scroll", 2000*DropAnalityka[[#This Row],[Quality/Quantity]],0)</f>
        <v>0</v>
      </c>
      <c r="K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2">
      <c r="A465" t="s">
        <v>8</v>
      </c>
      <c r="B465" t="s">
        <v>34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Drop]]+IF(DropAnalityka[[#This Row],[Drop]]="Scroll", 2000*DropAnalityka[[#This Row],[Quality/Quantity]],0)</f>
        <v>1159</v>
      </c>
      <c r="K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2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I466">
        <v>0</v>
      </c>
      <c r="J466">
        <f>DropAnalityka[[#This Row],[Sell Drop]]+IF(DropAnalityka[[#This Row],[Drop]]="Scroll", 2000*DropAnalityka[[#This Row],[Quality/Quantity]],0)</f>
        <v>0</v>
      </c>
      <c r="K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2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I467">
        <v>0</v>
      </c>
      <c r="J467">
        <f>DropAnalityka[[#This Row],[Sell Drop]]+IF(DropAnalityka[[#This Row],[Drop]]="Scroll", 2000*DropAnalityka[[#This Row],[Quality/Quantity]],0)</f>
        <v>0</v>
      </c>
      <c r="K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2">
      <c r="A468" t="s">
        <v>8</v>
      </c>
      <c r="B468" t="s">
        <v>34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Drop]]+IF(DropAnalityka[[#This Row],[Drop]]="Scroll", 2000*DropAnalityka[[#This Row],[Quality/Quantity]],0)</f>
        <v>1159</v>
      </c>
      <c r="K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2">
      <c r="A469" t="s">
        <v>8</v>
      </c>
      <c r="B469" t="s">
        <v>34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Drop]]+IF(DropAnalityka[[#This Row],[Drop]]="Scroll", 2000*DropAnalityka[[#This Row],[Quality/Quantity]],0)</f>
        <v>1159</v>
      </c>
      <c r="K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2">
      <c r="A470" t="s">
        <v>8</v>
      </c>
      <c r="B470" t="s">
        <v>34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Drop]]+IF(DropAnalityka[[#This Row],[Drop]]="Scroll", 2000*DropAnalityka[[#This Row],[Quality/Quantity]],0)</f>
        <v>1159</v>
      </c>
      <c r="K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2">
      <c r="A471" t="s">
        <v>8</v>
      </c>
      <c r="B471" t="s">
        <v>34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Drop]]+IF(DropAnalityka[[#This Row],[Drop]]="Scroll", 2000*DropAnalityka[[#This Row],[Quality/Quantity]],0)</f>
        <v>1159</v>
      </c>
      <c r="K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2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I472">
        <v>0</v>
      </c>
      <c r="J472">
        <f>DropAnalityka[[#This Row],[Sell Drop]]+IF(DropAnalityka[[#This Row],[Drop]]="Scroll", 2000*DropAnalityka[[#This Row],[Quality/Quantity]],0)</f>
        <v>6000</v>
      </c>
      <c r="K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2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I473">
        <v>0</v>
      </c>
      <c r="J473">
        <f>DropAnalityka[[#This Row],[Sell Drop]]+IF(DropAnalityka[[#This Row],[Drop]]="Scroll", 2000*DropAnalityka[[#This Row],[Quality/Quantity]],0)</f>
        <v>0</v>
      </c>
      <c r="K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2">
      <c r="A474" t="s">
        <v>8</v>
      </c>
      <c r="B474" t="s">
        <v>34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Drop]]+IF(DropAnalityka[[#This Row],[Drop]]="Scroll", 2000*DropAnalityka[[#This Row],[Quality/Quantity]],0)</f>
        <v>2411</v>
      </c>
      <c r="K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2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J475">
        <f>DropAnalityka[[#This Row],[Sell Drop]]+IF(DropAnalityka[[#This Row],[Drop]]="Scroll", 2000*DropAnalityka[[#This Row],[Quality/Quantity]],0)</f>
        <v>0</v>
      </c>
      <c r="K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2">
      <c r="A476" t="s">
        <v>8</v>
      </c>
      <c r="B476" t="s">
        <v>34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Drop]]+IF(DropAnalityka[[#This Row],[Drop]]="Scroll", 2000*DropAnalityka[[#This Row],[Quality/Quantity]],0)</f>
        <v>1159</v>
      </c>
      <c r="K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2">
      <c r="A477" t="s">
        <v>8</v>
      </c>
      <c r="B477" t="s">
        <v>34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Drop]]+IF(DropAnalityka[[#This Row],[Drop]]="Scroll", 2000*DropAnalityka[[#This Row],[Quality/Quantity]],0)</f>
        <v>2067</v>
      </c>
      <c r="K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2">
      <c r="A478" t="s">
        <v>8</v>
      </c>
      <c r="B478" t="s">
        <v>34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Drop]]+IF(DropAnalityka[[#This Row],[Drop]]="Scroll", 2000*DropAnalityka[[#This Row],[Quality/Quantity]],0)</f>
        <v>2411</v>
      </c>
      <c r="K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2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I479">
        <v>0</v>
      </c>
      <c r="J479">
        <f>DropAnalityka[[#This Row],[Sell Drop]]+IF(DropAnalityka[[#This Row],[Drop]]="Scroll", 2000*DropAnalityka[[#This Row],[Quality/Quantity]],0)</f>
        <v>0</v>
      </c>
      <c r="K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2">
      <c r="A480" t="s">
        <v>8</v>
      </c>
      <c r="B480" t="s">
        <v>34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Drop]]+IF(DropAnalityka[[#This Row],[Drop]]="Scroll", 2000*DropAnalityka[[#This Row],[Quality/Quantity]],0)</f>
        <v>2067</v>
      </c>
      <c r="K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2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J481">
        <f>DropAnalityka[[#This Row],[Sell Drop]]+IF(DropAnalityka[[#This Row],[Drop]]="Scroll", 2000*DropAnalityka[[#This Row],[Quality/Quantity]],0)</f>
        <v>0</v>
      </c>
      <c r="K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2">
      <c r="A482" t="s">
        <v>8</v>
      </c>
      <c r="B482" t="s">
        <v>34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Drop]]+IF(DropAnalityka[[#This Row],[Drop]]="Scroll", 2000*DropAnalityka[[#This Row],[Quality/Quantity]],0)</f>
        <v>1546</v>
      </c>
      <c r="K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2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I483">
        <v>0</v>
      </c>
      <c r="J483">
        <f>DropAnalityka[[#This Row],[Sell Drop]]+IF(DropAnalityka[[#This Row],[Drop]]="Scroll", 2000*DropAnalityka[[#This Row],[Quality/Quantity]],0)</f>
        <v>6000</v>
      </c>
      <c r="K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2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I484">
        <v>0</v>
      </c>
      <c r="J484">
        <f>DropAnalityka[[#This Row],[Sell Drop]]+IF(DropAnalityka[[#This Row],[Drop]]="Scroll", 2000*DropAnalityka[[#This Row],[Quality/Quantity]],0)</f>
        <v>0</v>
      </c>
      <c r="K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2">
      <c r="A485" t="s">
        <v>8</v>
      </c>
      <c r="B485" t="s">
        <v>34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Drop]]+IF(DropAnalityka[[#This Row],[Drop]]="Scroll", 2000*DropAnalityka[[#This Row],[Quality/Quantity]],0)</f>
        <v>1159</v>
      </c>
      <c r="K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2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I486">
        <v>0</v>
      </c>
      <c r="J486">
        <f>DropAnalityka[[#This Row],[Sell Drop]]+IF(DropAnalityka[[#This Row],[Drop]]="Scroll", 2000*DropAnalityka[[#This Row],[Quality/Quantity]],0)</f>
        <v>0</v>
      </c>
      <c r="K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2">
      <c r="A487" t="s">
        <v>8</v>
      </c>
      <c r="B487" t="s">
        <v>34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Drop]]+IF(DropAnalityka[[#This Row],[Drop]]="Scroll", 2000*DropAnalityka[[#This Row],[Quality/Quantity]],0)</f>
        <v>2067</v>
      </c>
      <c r="K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2">
      <c r="A488" t="s">
        <v>8</v>
      </c>
      <c r="B488" t="s">
        <v>34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Drop]]+IF(DropAnalityka[[#This Row],[Drop]]="Scroll", 2000*DropAnalityka[[#This Row],[Quality/Quantity]],0)</f>
        <v>2411</v>
      </c>
      <c r="K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2">
      <c r="A489" t="s">
        <v>8</v>
      </c>
      <c r="B489" t="s">
        <v>34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Drop]]+IF(DropAnalityka[[#This Row],[Drop]]="Scroll", 2000*DropAnalityka[[#This Row],[Quality/Quantity]],0)</f>
        <v>1159</v>
      </c>
      <c r="K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2">
      <c r="A490" t="s">
        <v>8</v>
      </c>
      <c r="B490" t="s">
        <v>34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Drop]]+IF(DropAnalityka[[#This Row],[Drop]]="Scroll", 2000*DropAnalityka[[#This Row],[Quality/Quantity]],0)</f>
        <v>1546</v>
      </c>
      <c r="K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2">
      <c r="A491" t="s">
        <v>8</v>
      </c>
      <c r="B491" t="s">
        <v>34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Drop]]+IF(DropAnalityka[[#This Row],[Drop]]="Scroll", 2000*DropAnalityka[[#This Row],[Quality/Quantity]],0)</f>
        <v>2067</v>
      </c>
      <c r="K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2">
      <c r="A492" t="s">
        <v>8</v>
      </c>
      <c r="B492" t="s">
        <v>34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Drop]]+IF(DropAnalityka[[#This Row],[Drop]]="Scroll", 2000*DropAnalityka[[#This Row],[Quality/Quantity]],0)</f>
        <v>1159</v>
      </c>
      <c r="K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2">
      <c r="A493" t="s">
        <v>8</v>
      </c>
      <c r="B493" t="s">
        <v>34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Drop]]+IF(DropAnalityka[[#This Row],[Drop]]="Scroll", 2000*DropAnalityka[[#This Row],[Quality/Quantity]],0)</f>
        <v>1159</v>
      </c>
      <c r="K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2">
      <c r="A494" t="s">
        <v>8</v>
      </c>
      <c r="B494" t="s">
        <v>34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Drop]]+IF(DropAnalityka[[#This Row],[Drop]]="Scroll", 2000*DropAnalityka[[#This Row],[Quality/Quantity]],0)</f>
        <v>2411</v>
      </c>
      <c r="K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2">
      <c r="A495" t="s">
        <v>8</v>
      </c>
      <c r="B495" t="s">
        <v>34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Drop]]+IF(DropAnalityka[[#This Row],[Drop]]="Scroll", 2000*DropAnalityka[[#This Row],[Quality/Quantity]],0)</f>
        <v>1159</v>
      </c>
      <c r="K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2">
      <c r="A496" t="s">
        <v>8</v>
      </c>
      <c r="B496" t="s">
        <v>34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Drop]]+IF(DropAnalityka[[#This Row],[Drop]]="Scroll", 2000*DropAnalityka[[#This Row],[Quality/Quantity]],0)</f>
        <v>1159</v>
      </c>
      <c r="K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2">
      <c r="A497" t="s">
        <v>8</v>
      </c>
      <c r="B497" t="s">
        <v>34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Drop]]+IF(DropAnalityka[[#This Row],[Drop]]="Scroll", 2000*DropAnalityka[[#This Row],[Quality/Quantity]],0)</f>
        <v>2067</v>
      </c>
      <c r="K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2">
      <c r="A498" t="s">
        <v>8</v>
      </c>
      <c r="B498" t="s">
        <v>34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Drop]]+IF(DropAnalityka[[#This Row],[Drop]]="Scroll", 2000*DropAnalityka[[#This Row],[Quality/Quantity]],0)</f>
        <v>1352</v>
      </c>
      <c r="K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2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I499">
        <v>0</v>
      </c>
      <c r="J499">
        <f>DropAnalityka[[#This Row],[Sell Drop]]+IF(DropAnalityka[[#This Row],[Drop]]="Scroll", 2000*DropAnalityka[[#This Row],[Quality/Quantity]],0)</f>
        <v>0</v>
      </c>
      <c r="K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2">
      <c r="A500" t="s">
        <v>8</v>
      </c>
      <c r="B500" t="s">
        <v>34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Drop]]+IF(DropAnalityka[[#This Row],[Drop]]="Scroll", 2000*DropAnalityka[[#This Row],[Quality/Quantity]],0)</f>
        <v>1159</v>
      </c>
      <c r="K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2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175</v>
      </c>
      <c r="I501">
        <v>0</v>
      </c>
      <c r="J501">
        <f>DropAnalityka[[#This Row],[Sell Drop]]+IF(DropAnalityka[[#This Row],[Drop]]="Scroll", 2000*DropAnalityka[[#This Row],[Quality/Quantity]],0)</f>
        <v>0</v>
      </c>
      <c r="K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2">
      <c r="A502" t="s">
        <v>8</v>
      </c>
      <c r="B502" t="s">
        <v>34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Drop]]+IF(DropAnalityka[[#This Row],[Drop]]="Scroll", 2000*DropAnalityka[[#This Row],[Quality/Quantity]],0)</f>
        <v>2411</v>
      </c>
      <c r="K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2">
      <c r="A503" t="s">
        <v>8</v>
      </c>
      <c r="B503" t="s">
        <v>34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Drop]]+IF(DropAnalityka[[#This Row],[Drop]]="Scroll", 2000*DropAnalityka[[#This Row],[Quality/Quantity]],0)</f>
        <v>1159</v>
      </c>
      <c r="K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2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J504">
        <f>DropAnalityka[[#This Row],[Sell Drop]]+IF(DropAnalityka[[#This Row],[Drop]]="Scroll", 2000*DropAnalityka[[#This Row],[Quality/Quantity]],0)</f>
        <v>6000</v>
      </c>
      <c r="K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2">
      <c r="A505" t="s">
        <v>8</v>
      </c>
      <c r="B505" t="s">
        <v>34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Drop]]+IF(DropAnalityka[[#This Row],[Drop]]="Scroll", 2000*DropAnalityka[[#This Row],[Quality/Quantity]],0)</f>
        <v>1159</v>
      </c>
      <c r="K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2">
      <c r="A506" t="s">
        <v>8</v>
      </c>
      <c r="B506" t="s">
        <v>34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Drop]]+IF(DropAnalityka[[#This Row],[Drop]]="Scroll", 2000*DropAnalityka[[#This Row],[Quality/Quantity]],0)</f>
        <v>1159</v>
      </c>
      <c r="K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2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I507">
        <v>0</v>
      </c>
      <c r="J507">
        <f>DropAnalityka[[#This Row],[Sell Drop]]+IF(DropAnalityka[[#This Row],[Drop]]="Scroll", 2000*DropAnalityka[[#This Row],[Quality/Quantity]],0)</f>
        <v>6000</v>
      </c>
      <c r="K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2">
      <c r="A508" t="s">
        <v>8</v>
      </c>
      <c r="B508" t="s">
        <v>34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Drop]]+IF(DropAnalityka[[#This Row],[Drop]]="Scroll", 2000*DropAnalityka[[#This Row],[Quality/Quantity]],0)</f>
        <v>1159</v>
      </c>
      <c r="K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2">
      <c r="A509" t="s">
        <v>8</v>
      </c>
      <c r="B509" t="s">
        <v>34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Drop]]+IF(DropAnalityka[[#This Row],[Drop]]="Scroll", 2000*DropAnalityka[[#This Row],[Quality/Quantity]],0)</f>
        <v>1739</v>
      </c>
      <c r="K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2">
      <c r="A510" t="s">
        <v>68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Drop]]+IF(DropAnalityka[[#This Row],[Drop]]="Scroll", 2000*DropAnalityka[[#This Row],[Quality/Quantity]],0)</f>
        <v>823</v>
      </c>
      <c r="K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2">
      <c r="A511" t="s">
        <v>68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Drop]]+IF(DropAnalityka[[#This Row],[Drop]]="Scroll", 2000*DropAnalityka[[#This Row],[Quality/Quantity]],0)</f>
        <v>1976</v>
      </c>
      <c r="K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2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I512">
        <v>0</v>
      </c>
      <c r="J512">
        <f>DropAnalityka[[#This Row],[Sell Drop]]+IF(DropAnalityka[[#This Row],[Drop]]="Scroll", 2000*DropAnalityka[[#This Row],[Quality/Quantity]],0)</f>
        <v>2000</v>
      </c>
      <c r="K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2">
      <c r="A513" t="s">
        <v>68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Drop]]+IF(DropAnalityka[[#This Row],[Drop]]="Scroll", 2000*DropAnalityka[[#This Row],[Quality/Quantity]],0)</f>
        <v>1976</v>
      </c>
      <c r="K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2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I514">
        <v>0</v>
      </c>
      <c r="J514">
        <f>DropAnalityka[[#This Row],[Sell Drop]]+IF(DropAnalityka[[#This Row],[Drop]]="Scroll", 2000*DropAnalityka[[#This Row],[Quality/Quantity]],0)</f>
        <v>2000</v>
      </c>
      <c r="K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2">
      <c r="A515" t="s">
        <v>68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Drop]]+IF(DropAnalityka[[#This Row],[Drop]]="Scroll", 2000*DropAnalityka[[#This Row],[Quality/Quantity]],0)</f>
        <v>892</v>
      </c>
      <c r="K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2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I516">
        <v>0</v>
      </c>
      <c r="J516">
        <f>DropAnalityka[[#This Row],[Sell Drop]]+IF(DropAnalityka[[#This Row],[Drop]]="Scroll", 2000*DropAnalityka[[#This Row],[Quality/Quantity]],0)</f>
        <v>2000</v>
      </c>
      <c r="K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2">
      <c r="A517" t="s">
        <v>8</v>
      </c>
      <c r="B517" t="s">
        <v>32</v>
      </c>
      <c r="C517">
        <v>3</v>
      </c>
      <c r="D517">
        <v>2474</v>
      </c>
      <c r="E517">
        <v>3</v>
      </c>
      <c r="F517" t="s">
        <v>36</v>
      </c>
      <c r="G517">
        <v>2</v>
      </c>
      <c r="I517">
        <v>0</v>
      </c>
      <c r="J517">
        <f>DropAnalityka[[#This Row],[Sell Drop]]+IF(DropAnalityka[[#This Row],[Drop]]="Scroll", 2000*DropAnalityka[[#This Row],[Quality/Quantity]],0)</f>
        <v>4000</v>
      </c>
      <c r="K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2">
      <c r="A518" t="s">
        <v>8</v>
      </c>
      <c r="B518" t="s">
        <v>34</v>
      </c>
      <c r="C518">
        <v>3</v>
      </c>
      <c r="D518">
        <v>920</v>
      </c>
      <c r="E518">
        <v>2</v>
      </c>
      <c r="F518" t="s">
        <v>36</v>
      </c>
      <c r="G518">
        <v>3</v>
      </c>
      <c r="I518">
        <v>0</v>
      </c>
      <c r="J518">
        <f>DropAnalityka[[#This Row],[Sell Drop]]+IF(DropAnalityka[[#This Row],[Drop]]="Scroll", 2000*DropAnalityka[[#This Row],[Quality/Quantity]],0)</f>
        <v>6000</v>
      </c>
      <c r="K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2">
      <c r="A519" t="s">
        <v>8</v>
      </c>
      <c r="B519" t="s">
        <v>34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Drop]]+IF(DropAnalityka[[#This Row],[Drop]]="Scroll", 2000*DropAnalityka[[#This Row],[Quality/Quantity]],0)</f>
        <v>2756</v>
      </c>
      <c r="K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2">
      <c r="A520" t="s">
        <v>8</v>
      </c>
      <c r="B520" t="s">
        <v>34</v>
      </c>
      <c r="C520">
        <v>3</v>
      </c>
      <c r="D520">
        <v>1500</v>
      </c>
      <c r="E520">
        <v>3</v>
      </c>
      <c r="F520" t="s">
        <v>62</v>
      </c>
      <c r="G520" t="s">
        <v>28</v>
      </c>
      <c r="I520">
        <v>0</v>
      </c>
      <c r="J520">
        <f>DropAnalityka[[#This Row],[Sell Drop]]+IF(DropAnalityka[[#This Row],[Drop]]="Scroll", 2000*DropAnalityka[[#This Row],[Quality/Quantity]],0)</f>
        <v>0</v>
      </c>
      <c r="K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2">
      <c r="A521" t="s">
        <v>8</v>
      </c>
      <c r="B521" t="s">
        <v>34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Drop]]+IF(DropAnalityka[[#This Row],[Drop]]="Scroll", 2000*DropAnalityka[[#This Row],[Quality/Quantity]],0)</f>
        <v>2067</v>
      </c>
      <c r="K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2">
      <c r="A522" t="s">
        <v>40</v>
      </c>
      <c r="B522" t="s">
        <v>9</v>
      </c>
      <c r="C522">
        <v>7</v>
      </c>
      <c r="D522">
        <v>2340</v>
      </c>
      <c r="E522">
        <v>0</v>
      </c>
      <c r="F522" t="s">
        <v>65</v>
      </c>
      <c r="G522">
        <v>1</v>
      </c>
      <c r="I522">
        <v>0</v>
      </c>
      <c r="J522">
        <f>DropAnalityka[[#This Row],[Sell Drop]]+IF(DropAnalityka[[#This Row],[Drop]]="Scroll", 2000*DropAnalityka[[#This Row],[Quality/Quantity]],0)</f>
        <v>0</v>
      </c>
      <c r="K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2">
      <c r="A523" t="s">
        <v>40</v>
      </c>
      <c r="B523" t="s">
        <v>9</v>
      </c>
      <c r="C523">
        <v>7</v>
      </c>
      <c r="D523">
        <v>2340</v>
      </c>
      <c r="E523">
        <v>0</v>
      </c>
      <c r="F523" t="s">
        <v>65</v>
      </c>
      <c r="G523">
        <v>1</v>
      </c>
      <c r="I523">
        <v>0</v>
      </c>
      <c r="J523">
        <f>DropAnalityka[[#This Row],[Sell Drop]]+IF(DropAnalityka[[#This Row],[Drop]]="Scroll", 2000*DropAnalityka[[#This Row],[Quality/Quantity]],0)</f>
        <v>0</v>
      </c>
      <c r="K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2">
      <c r="A524" t="s">
        <v>40</v>
      </c>
      <c r="B524" t="s">
        <v>9</v>
      </c>
      <c r="C524">
        <v>7</v>
      </c>
      <c r="D524">
        <v>2182</v>
      </c>
      <c r="E524">
        <v>0</v>
      </c>
      <c r="F524" t="s">
        <v>66</v>
      </c>
      <c r="G524">
        <v>4</v>
      </c>
      <c r="I524">
        <v>0</v>
      </c>
      <c r="J524">
        <f>DropAnalityka[[#This Row],[Sell Drop]]+IF(DropAnalityka[[#This Row],[Drop]]="Scroll", 2000*DropAnalityka[[#This Row],[Quality/Quantity]],0)</f>
        <v>0</v>
      </c>
      <c r="K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2">
      <c r="A525" s="10" t="s">
        <v>204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Drop]]+IF(DropAnalityka[[#This Row],[Drop]]="Scroll", 2000*DropAnalityka[[#This Row],[Quality/Quantity]],0)</f>
        <v>1971</v>
      </c>
      <c r="K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2">
      <c r="A526" s="10" t="s">
        <v>204</v>
      </c>
      <c r="B526" t="s">
        <v>9</v>
      </c>
      <c r="C526">
        <v>6</v>
      </c>
      <c r="D526">
        <v>2783</v>
      </c>
      <c r="E526">
        <v>2</v>
      </c>
      <c r="F526" t="s">
        <v>36</v>
      </c>
      <c r="G526">
        <v>3</v>
      </c>
      <c r="I526">
        <v>0</v>
      </c>
      <c r="J526">
        <f>DropAnalityka[[#This Row],[Sell Drop]]+IF(DropAnalityka[[#This Row],[Drop]]="Scroll", 2000*DropAnalityka[[#This Row],[Quality/Quantity]],0)</f>
        <v>6000</v>
      </c>
      <c r="K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2">
      <c r="A527" s="10" t="s">
        <v>204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Drop]]+IF(DropAnalityka[[#This Row],[Drop]]="Scroll", 2000*DropAnalityka[[#This Row],[Quality/Quantity]],0)</f>
        <v>12000</v>
      </c>
      <c r="K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2">
      <c r="A528" s="10" t="s">
        <v>204</v>
      </c>
      <c r="B528" t="s">
        <v>9</v>
      </c>
      <c r="C528">
        <v>6</v>
      </c>
      <c r="D528">
        <v>2367</v>
      </c>
      <c r="E528">
        <v>0</v>
      </c>
      <c r="F528" t="s">
        <v>63</v>
      </c>
      <c r="G528" t="s">
        <v>13</v>
      </c>
      <c r="I528">
        <v>0</v>
      </c>
      <c r="J528">
        <f>DropAnalityka[[#This Row],[Sell Drop]]+IF(DropAnalityka[[#This Row],[Drop]]="Scroll", 2000*DropAnalityka[[#This Row],[Quality/Quantity]],0)</f>
        <v>0</v>
      </c>
      <c r="K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2">
      <c r="A529" s="10" t="s">
        <v>204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Drop]]+IF(DropAnalityka[[#This Row],[Drop]]="Scroll", 2000*DropAnalityka[[#This Row],[Quality/Quantity]],0)</f>
        <v>1236</v>
      </c>
      <c r="K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2">
      <c r="A530" s="10" t="s">
        <v>204</v>
      </c>
      <c r="B530" t="s">
        <v>9</v>
      </c>
      <c r="C530">
        <v>6</v>
      </c>
      <c r="D530">
        <v>2638</v>
      </c>
      <c r="E530">
        <v>0</v>
      </c>
      <c r="F530" t="s">
        <v>175</v>
      </c>
      <c r="I530">
        <v>0</v>
      </c>
      <c r="J530">
        <f>DropAnalityka[[#This Row],[Sell Drop]]+IF(DropAnalityka[[#This Row],[Drop]]="Scroll", 2000*DropAnalityka[[#This Row],[Quality/Quantity]],0)</f>
        <v>0</v>
      </c>
      <c r="K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2">
      <c r="A531" s="10" t="s">
        <v>204</v>
      </c>
      <c r="B531" t="s">
        <v>9</v>
      </c>
      <c r="C531">
        <v>6</v>
      </c>
      <c r="D531">
        <v>2603</v>
      </c>
      <c r="E531">
        <v>0</v>
      </c>
      <c r="F531" t="s">
        <v>36</v>
      </c>
      <c r="G531">
        <v>4</v>
      </c>
      <c r="I531">
        <v>0</v>
      </c>
      <c r="J531">
        <f>DropAnalityka[[#This Row],[Sell Drop]]+IF(DropAnalityka[[#This Row],[Drop]]="Scroll", 2000*DropAnalityka[[#This Row],[Quality/Quantity]],0)</f>
        <v>8000</v>
      </c>
      <c r="K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2">
      <c r="A532" s="10" t="s">
        <v>204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Drop]]+IF(DropAnalityka[[#This Row],[Drop]]="Scroll", 2000*DropAnalityka[[#This Row],[Quality/Quantity]],0)</f>
        <v>3916</v>
      </c>
      <c r="K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2">
      <c r="A533" s="10" t="s">
        <v>204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Drop]]+IF(DropAnalityka[[#This Row],[Drop]]="Scroll", 2000*DropAnalityka[[#This Row],[Quality/Quantity]],0)</f>
        <v>3789</v>
      </c>
      <c r="K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2">
      <c r="A534" s="10" t="s">
        <v>204</v>
      </c>
      <c r="B534" t="s">
        <v>9</v>
      </c>
      <c r="C534">
        <v>6</v>
      </c>
      <c r="D534">
        <v>2460</v>
      </c>
      <c r="E534">
        <v>1</v>
      </c>
      <c r="F534" t="s">
        <v>36</v>
      </c>
      <c r="G534">
        <v>4</v>
      </c>
      <c r="I534">
        <v>0</v>
      </c>
      <c r="J534">
        <f>DropAnalityka[[#This Row],[Sell Drop]]+IF(DropAnalityka[[#This Row],[Drop]]="Scroll", 2000*DropAnalityka[[#This Row],[Quality/Quantity]],0)</f>
        <v>8000</v>
      </c>
      <c r="K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2">
      <c r="A535" s="10" t="s">
        <v>248</v>
      </c>
      <c r="B535" t="s">
        <v>9</v>
      </c>
      <c r="C535">
        <v>8</v>
      </c>
      <c r="D535">
        <v>2498</v>
      </c>
      <c r="E535">
        <v>2</v>
      </c>
      <c r="F535" t="s">
        <v>64</v>
      </c>
      <c r="G535">
        <v>3</v>
      </c>
      <c r="I535">
        <v>0</v>
      </c>
      <c r="J535">
        <f>DropAnalityka[[#This Row],[Sell Drop]]+IF(DropAnalityka[[#This Row],[Drop]]="Scroll", 2000*DropAnalityka[[#This Row],[Quality/Quantity]],0)</f>
        <v>0</v>
      </c>
      <c r="K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2">
      <c r="A536" s="10" t="s">
        <v>248</v>
      </c>
      <c r="B536" t="s">
        <v>9</v>
      </c>
      <c r="C536">
        <v>7</v>
      </c>
      <c r="D536">
        <v>2073</v>
      </c>
      <c r="E536">
        <v>0</v>
      </c>
      <c r="F536" t="s">
        <v>243</v>
      </c>
      <c r="G536">
        <v>1</v>
      </c>
      <c r="I536">
        <v>0</v>
      </c>
      <c r="J536">
        <f>DropAnalityka[[#This Row],[Sell Drop]]+IF(DropAnalityka[[#This Row],[Drop]]="Scroll", 2000*DropAnalityka[[#This Row],[Quality/Quantity]],0)</f>
        <v>0</v>
      </c>
      <c r="K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2">
      <c r="A537" s="10" t="s">
        <v>248</v>
      </c>
      <c r="B537" t="s">
        <v>9</v>
      </c>
      <c r="C537">
        <v>7</v>
      </c>
      <c r="D537">
        <v>2143</v>
      </c>
      <c r="E537">
        <v>0</v>
      </c>
      <c r="F537" t="s">
        <v>64</v>
      </c>
      <c r="G537">
        <v>3</v>
      </c>
      <c r="I537">
        <v>0</v>
      </c>
      <c r="J537">
        <f>DropAnalityka[[#This Row],[Sell Drop]]+IF(DropAnalityka[[#This Row],[Drop]]="Scroll", 2000*DropAnalityka[[#This Row],[Quality/Quantity]],0)</f>
        <v>0</v>
      </c>
      <c r="K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2">
      <c r="A538" s="10" t="s">
        <v>248</v>
      </c>
      <c r="B538" t="s">
        <v>9</v>
      </c>
      <c r="C538">
        <v>7</v>
      </c>
      <c r="D538">
        <v>1852</v>
      </c>
      <c r="E538">
        <v>1</v>
      </c>
      <c r="F538" t="s">
        <v>243</v>
      </c>
      <c r="G538">
        <v>1</v>
      </c>
      <c r="I538">
        <v>0</v>
      </c>
      <c r="J538">
        <f>DropAnalityka[[#This Row],[Sell Drop]]+IF(DropAnalityka[[#This Row],[Drop]]="Scroll", 2000*DropAnalityka[[#This Row],[Quality/Quantity]],0)</f>
        <v>0</v>
      </c>
      <c r="K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2">
      <c r="A539" s="10" t="s">
        <v>248</v>
      </c>
      <c r="B539" t="s">
        <v>9</v>
      </c>
      <c r="C539">
        <v>7</v>
      </c>
      <c r="D539">
        <v>2417</v>
      </c>
      <c r="E539">
        <v>0</v>
      </c>
      <c r="F539" t="s">
        <v>244</v>
      </c>
      <c r="G539">
        <v>1</v>
      </c>
      <c r="I539">
        <v>0</v>
      </c>
      <c r="J539">
        <f>DropAnalityka[[#This Row],[Sell Drop]]+IF(DropAnalityka[[#This Row],[Drop]]="Scroll", 2000*DropAnalityka[[#This Row],[Quality/Quantity]],0)</f>
        <v>0</v>
      </c>
      <c r="K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2">
      <c r="A540" s="10" t="s">
        <v>248</v>
      </c>
      <c r="B540" t="s">
        <v>9</v>
      </c>
      <c r="C540">
        <v>8</v>
      </c>
      <c r="D540">
        <v>2146</v>
      </c>
      <c r="E540">
        <v>0</v>
      </c>
      <c r="F540" t="s">
        <v>243</v>
      </c>
      <c r="G540">
        <v>2</v>
      </c>
      <c r="I540">
        <v>0</v>
      </c>
      <c r="J540">
        <f>DropAnalityka[[#This Row],[Sell Drop]]+IF(DropAnalityka[[#This Row],[Drop]]="Scroll", 2000*DropAnalityka[[#This Row],[Quality/Quantity]],0)</f>
        <v>0</v>
      </c>
      <c r="K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2">
      <c r="A541" s="10" t="s">
        <v>248</v>
      </c>
      <c r="B541" t="s">
        <v>9</v>
      </c>
      <c r="C541">
        <v>8</v>
      </c>
      <c r="D541">
        <v>2968</v>
      </c>
      <c r="E541">
        <v>0</v>
      </c>
      <c r="F541" t="s">
        <v>36</v>
      </c>
      <c r="G541">
        <v>4</v>
      </c>
      <c r="I541">
        <v>0</v>
      </c>
      <c r="J541">
        <f>DropAnalityka[[#This Row],[Sell Drop]]+IF(DropAnalityka[[#This Row],[Drop]]="Scroll", 2000*DropAnalityka[[#This Row],[Quality/Quantity]],0)</f>
        <v>8000</v>
      </c>
      <c r="K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2">
      <c r="A542" s="10" t="s">
        <v>248</v>
      </c>
      <c r="B542" t="s">
        <v>9</v>
      </c>
      <c r="C542">
        <v>8</v>
      </c>
      <c r="D542">
        <v>2237</v>
      </c>
      <c r="E542">
        <v>0</v>
      </c>
      <c r="F542" t="s">
        <v>36</v>
      </c>
      <c r="G542">
        <v>4</v>
      </c>
      <c r="I542">
        <v>0</v>
      </c>
      <c r="J542">
        <f>DropAnalityka[[#This Row],[Sell Drop]]+IF(DropAnalityka[[#This Row],[Drop]]="Scroll", 2000*DropAnalityka[[#This Row],[Quality/Quantity]],0)</f>
        <v>8000</v>
      </c>
      <c r="K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2">
      <c r="A543" s="10" t="s">
        <v>248</v>
      </c>
      <c r="B543" t="s">
        <v>9</v>
      </c>
      <c r="C543">
        <v>8</v>
      </c>
      <c r="D543">
        <v>2223</v>
      </c>
      <c r="E543">
        <v>1</v>
      </c>
      <c r="F543" t="s">
        <v>64</v>
      </c>
      <c r="G543">
        <v>5</v>
      </c>
      <c r="I543">
        <v>0</v>
      </c>
      <c r="J543">
        <f>DropAnalityka[[#This Row],[Sell Drop]]+IF(DropAnalityka[[#This Row],[Drop]]="Scroll", 2000*DropAnalityka[[#This Row],[Quality/Quantity]],0)</f>
        <v>0</v>
      </c>
      <c r="K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2">
      <c r="A544" s="10" t="s">
        <v>248</v>
      </c>
      <c r="B544" t="s">
        <v>9</v>
      </c>
      <c r="C544">
        <v>8</v>
      </c>
      <c r="D544">
        <v>2246</v>
      </c>
      <c r="E544">
        <v>2</v>
      </c>
      <c r="F544" t="s">
        <v>36</v>
      </c>
      <c r="G544">
        <v>4</v>
      </c>
      <c r="I544">
        <v>0</v>
      </c>
      <c r="J544">
        <f>DropAnalityka[[#This Row],[Sell Drop]]+IF(DropAnalityka[[#This Row],[Drop]]="Scroll", 2000*DropAnalityka[[#This Row],[Quality/Quantity]],0)</f>
        <v>8000</v>
      </c>
      <c r="K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1:12">
      <c r="A545" s="10" t="s">
        <v>248</v>
      </c>
      <c r="B545" t="s">
        <v>9</v>
      </c>
      <c r="C545">
        <v>8</v>
      </c>
      <c r="D545">
        <v>1945</v>
      </c>
      <c r="E545">
        <v>0</v>
      </c>
      <c r="F545" t="s">
        <v>36</v>
      </c>
      <c r="G545">
        <v>4</v>
      </c>
      <c r="I545">
        <v>0</v>
      </c>
      <c r="J545">
        <f>DropAnalityka[[#This Row],[Sell Drop]]+IF(DropAnalityka[[#This Row],[Drop]]="Scroll", 2000*DropAnalityka[[#This Row],[Quality/Quantity]],0)</f>
        <v>8000</v>
      </c>
      <c r="K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1:12">
      <c r="A546" s="10" t="s">
        <v>248</v>
      </c>
      <c r="B546" t="s">
        <v>9</v>
      </c>
      <c r="C546">
        <v>8</v>
      </c>
      <c r="D546">
        <v>2404</v>
      </c>
      <c r="E546">
        <v>1</v>
      </c>
      <c r="F546" t="s">
        <v>64</v>
      </c>
      <c r="G546">
        <v>4</v>
      </c>
      <c r="I546">
        <v>0</v>
      </c>
      <c r="J546">
        <f>DropAnalityka[[#This Row],[Sell Drop]]+IF(DropAnalityka[[#This Row],[Drop]]="Scroll", 2000*DropAnalityka[[#This Row],[Quality/Quantity]],0)</f>
        <v>0</v>
      </c>
      <c r="K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1:12">
      <c r="A547" s="10" t="s">
        <v>248</v>
      </c>
      <c r="B547" t="s">
        <v>9</v>
      </c>
      <c r="C547">
        <v>8</v>
      </c>
      <c r="D547">
        <v>3017</v>
      </c>
      <c r="E547">
        <v>1</v>
      </c>
      <c r="F547" t="s">
        <v>64</v>
      </c>
      <c r="G547">
        <v>4</v>
      </c>
      <c r="I547">
        <v>0</v>
      </c>
      <c r="J547">
        <f>DropAnalityka[[#This Row],[Sell Drop]]+IF(DropAnalityka[[#This Row],[Drop]]="Scroll", 2000*DropAnalityka[[#This Row],[Quality/Quantity]],0)</f>
        <v>0</v>
      </c>
      <c r="K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1:12">
      <c r="A548" s="10" t="s">
        <v>248</v>
      </c>
      <c r="B548" t="s">
        <v>9</v>
      </c>
      <c r="C548">
        <v>8</v>
      </c>
      <c r="D548">
        <v>2175</v>
      </c>
      <c r="E548">
        <v>0</v>
      </c>
      <c r="F548" t="s">
        <v>175</v>
      </c>
      <c r="G548">
        <v>1</v>
      </c>
      <c r="I548">
        <v>0</v>
      </c>
      <c r="J548">
        <f>DropAnalityka[[#This Row],[Sell Drop]]+IF(DropAnalityka[[#This Row],[Drop]]="Scroll", 2000*DropAnalityka[[#This Row],[Quality/Quantity]],0)</f>
        <v>0</v>
      </c>
      <c r="K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1:12">
      <c r="A549" s="10" t="s">
        <v>248</v>
      </c>
      <c r="B549" t="s">
        <v>9</v>
      </c>
      <c r="C549">
        <v>8</v>
      </c>
      <c r="D549">
        <v>2276</v>
      </c>
      <c r="E549">
        <v>0</v>
      </c>
      <c r="F549" t="s">
        <v>64</v>
      </c>
      <c r="G549">
        <v>4</v>
      </c>
      <c r="I549">
        <v>0</v>
      </c>
      <c r="J549">
        <f>DropAnalityka[[#This Row],[Sell Drop]]+IF(DropAnalityka[[#This Row],[Drop]]="Scroll", 2000*DropAnalityka[[#This Row],[Quality/Quantity]],0)</f>
        <v>0</v>
      </c>
      <c r="K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1:12">
      <c r="A550" s="10" t="s">
        <v>248</v>
      </c>
      <c r="B550" t="s">
        <v>9</v>
      </c>
      <c r="C550">
        <v>8</v>
      </c>
      <c r="D550">
        <v>2576</v>
      </c>
      <c r="E550">
        <v>3</v>
      </c>
      <c r="F550" t="s">
        <v>64</v>
      </c>
      <c r="G550">
        <v>4</v>
      </c>
      <c r="I550">
        <v>0</v>
      </c>
      <c r="J550">
        <f>DropAnalityka[[#This Row],[Sell Drop]]+IF(DropAnalityka[[#This Row],[Drop]]="Scroll", 2000*DropAnalityka[[#This Row],[Quality/Quantity]],0)</f>
        <v>0</v>
      </c>
      <c r="K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1:12">
      <c r="A551" s="10" t="s">
        <v>248</v>
      </c>
      <c r="B551" t="s">
        <v>9</v>
      </c>
      <c r="C551">
        <v>8</v>
      </c>
      <c r="D551">
        <v>2058</v>
      </c>
      <c r="E551">
        <v>1</v>
      </c>
      <c r="F551" t="s">
        <v>64</v>
      </c>
      <c r="G551">
        <v>5</v>
      </c>
      <c r="I551">
        <v>0</v>
      </c>
      <c r="J551">
        <f>DropAnalityka[[#This Row],[Sell Drop]]+IF(DropAnalityka[[#This Row],[Drop]]="Scroll", 2000*DropAnalityka[[#This Row],[Quality/Quantity]],0)</f>
        <v>0</v>
      </c>
      <c r="K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1:12">
      <c r="A552" s="10" t="s">
        <v>248</v>
      </c>
      <c r="B552" t="s">
        <v>9</v>
      </c>
      <c r="C552">
        <v>8</v>
      </c>
      <c r="D552">
        <v>2086</v>
      </c>
      <c r="E552">
        <v>1</v>
      </c>
      <c r="F552" t="s">
        <v>36</v>
      </c>
      <c r="G552">
        <v>4</v>
      </c>
      <c r="I552">
        <v>0</v>
      </c>
      <c r="J552">
        <f>DropAnalityka[[#This Row],[Sell Drop]]+IF(DropAnalityka[[#This Row],[Drop]]="Scroll", 2000*DropAnalityka[[#This Row],[Quality/Quantity]],0)</f>
        <v>8000</v>
      </c>
      <c r="K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1:12">
      <c r="A553" s="10" t="s">
        <v>248</v>
      </c>
      <c r="B553" t="s">
        <v>9</v>
      </c>
      <c r="C553">
        <v>8</v>
      </c>
      <c r="D553">
        <v>2586</v>
      </c>
      <c r="E553">
        <v>3</v>
      </c>
      <c r="F553" t="s">
        <v>36</v>
      </c>
      <c r="G553">
        <v>4</v>
      </c>
      <c r="I553">
        <v>0</v>
      </c>
      <c r="J553">
        <f>DropAnalityka[[#This Row],[Sell Drop]]+IF(DropAnalityka[[#This Row],[Drop]]="Scroll", 2000*DropAnalityka[[#This Row],[Quality/Quantity]],0)</f>
        <v>8000</v>
      </c>
      <c r="K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1:12">
      <c r="A554" s="10" t="s">
        <v>248</v>
      </c>
      <c r="B554" t="s">
        <v>9</v>
      </c>
      <c r="C554">
        <v>8</v>
      </c>
      <c r="D554">
        <v>2500</v>
      </c>
      <c r="E554">
        <v>1</v>
      </c>
      <c r="F554" t="s">
        <v>36</v>
      </c>
      <c r="G554">
        <v>5</v>
      </c>
      <c r="I554">
        <v>0</v>
      </c>
      <c r="J554">
        <f>DropAnalityka[[#This Row],[Sell Drop]]+IF(DropAnalityka[[#This Row],[Drop]]="Scroll", 2000*DropAnalityka[[#This Row],[Quality/Quantity]],0)</f>
        <v>10000</v>
      </c>
      <c r="K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1:12">
      <c r="A555" s="10" t="s">
        <v>248</v>
      </c>
      <c r="B555" t="s">
        <v>9</v>
      </c>
      <c r="C555">
        <v>8</v>
      </c>
      <c r="D555">
        <v>2526</v>
      </c>
      <c r="E555">
        <v>0</v>
      </c>
      <c r="F555" t="s">
        <v>245</v>
      </c>
      <c r="G555">
        <v>1</v>
      </c>
      <c r="I555">
        <v>0</v>
      </c>
      <c r="J555">
        <f>DropAnalityka[[#This Row],[Sell Drop]]+IF(DropAnalityka[[#This Row],[Drop]]="Scroll", 2000*DropAnalityka[[#This Row],[Quality/Quantity]],0)</f>
        <v>0</v>
      </c>
      <c r="K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1:12">
      <c r="A556" s="10" t="s">
        <v>248</v>
      </c>
      <c r="B556" t="s">
        <v>9</v>
      </c>
      <c r="C556">
        <v>8</v>
      </c>
      <c r="D556">
        <v>2483</v>
      </c>
      <c r="E556">
        <v>3</v>
      </c>
      <c r="F556" t="s">
        <v>245</v>
      </c>
      <c r="G556">
        <v>1</v>
      </c>
      <c r="I556">
        <v>0</v>
      </c>
      <c r="J556">
        <f>DropAnalityka[[#This Row],[Sell Drop]]+IF(DropAnalityka[[#This Row],[Drop]]="Scroll", 2000*DropAnalityka[[#This Row],[Quality/Quantity]],0)</f>
        <v>0</v>
      </c>
      <c r="K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1:12">
      <c r="A557" s="10" t="s">
        <v>248</v>
      </c>
      <c r="B557" t="s">
        <v>9</v>
      </c>
      <c r="C557">
        <v>8</v>
      </c>
      <c r="D557">
        <v>2491</v>
      </c>
      <c r="E557">
        <v>0</v>
      </c>
      <c r="F557" t="s">
        <v>246</v>
      </c>
      <c r="G557">
        <v>0</v>
      </c>
      <c r="I557">
        <v>0</v>
      </c>
      <c r="J557">
        <f>DropAnalityka[[#This Row],[Sell Drop]]+IF(DropAnalityka[[#This Row],[Drop]]="Scroll", 2000*DropAnalityka[[#This Row],[Quality/Quantity]],0)</f>
        <v>0</v>
      </c>
      <c r="K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1:12">
      <c r="A558" s="10" t="s">
        <v>248</v>
      </c>
      <c r="B558" t="s">
        <v>9</v>
      </c>
      <c r="C558">
        <v>8</v>
      </c>
      <c r="D558">
        <v>2730</v>
      </c>
      <c r="E558">
        <v>0</v>
      </c>
      <c r="F558" t="s">
        <v>36</v>
      </c>
      <c r="G558">
        <v>4</v>
      </c>
      <c r="I558">
        <v>0</v>
      </c>
      <c r="J558">
        <f>DropAnalityka[[#This Row],[Sell Drop]]+IF(DropAnalityka[[#This Row],[Drop]]="Scroll", 2000*DropAnalityka[[#This Row],[Quality/Quantity]],0)</f>
        <v>8000</v>
      </c>
      <c r="K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1:12">
      <c r="A559" s="10" t="s">
        <v>248</v>
      </c>
      <c r="B559" t="s">
        <v>9</v>
      </c>
      <c r="C559">
        <v>8</v>
      </c>
      <c r="D559">
        <v>2671</v>
      </c>
      <c r="E559">
        <v>2</v>
      </c>
      <c r="F559" t="s">
        <v>64</v>
      </c>
      <c r="G559">
        <v>4</v>
      </c>
      <c r="I559">
        <v>0</v>
      </c>
      <c r="J559">
        <f>DropAnalityka[[#This Row],[Sell Drop]]+IF(DropAnalityka[[#This Row],[Drop]]="Scroll", 2000*DropAnalityka[[#This Row],[Quality/Quantity]],0)</f>
        <v>0</v>
      </c>
      <c r="K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1:12">
      <c r="A560" s="10" t="s">
        <v>248</v>
      </c>
      <c r="B560" t="s">
        <v>9</v>
      </c>
      <c r="C560">
        <v>8</v>
      </c>
      <c r="D560">
        <v>2186</v>
      </c>
      <c r="E560">
        <v>1</v>
      </c>
      <c r="F560" t="s">
        <v>247</v>
      </c>
      <c r="G560" t="s">
        <v>18</v>
      </c>
      <c r="I560">
        <v>0</v>
      </c>
      <c r="J560">
        <f>DropAnalityka[[#This Row],[Sell Drop]]+IF(DropAnalityka[[#This Row],[Drop]]="Scroll", 2000*DropAnalityka[[#This Row],[Quality/Quantity]],0)</f>
        <v>0</v>
      </c>
      <c r="K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1:12">
      <c r="A561" s="10" t="s">
        <v>248</v>
      </c>
      <c r="B561" t="s">
        <v>9</v>
      </c>
      <c r="C561">
        <v>8</v>
      </c>
      <c r="D561">
        <v>2316</v>
      </c>
      <c r="E561">
        <v>0</v>
      </c>
      <c r="F561" t="s">
        <v>64</v>
      </c>
      <c r="G561">
        <v>3</v>
      </c>
      <c r="I561">
        <v>0</v>
      </c>
      <c r="J561">
        <f>DropAnalityka[[#This Row],[Sell Drop]]+IF(DropAnalityka[[#This Row],[Drop]]="Scroll", 2000*DropAnalityka[[#This Row],[Quality/Quantity]],0)</f>
        <v>0</v>
      </c>
      <c r="K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1:12">
      <c r="A562" s="10" t="s">
        <v>248</v>
      </c>
      <c r="B562" t="s">
        <v>9</v>
      </c>
      <c r="C562">
        <v>8</v>
      </c>
      <c r="D562">
        <v>2046</v>
      </c>
      <c r="E562">
        <v>1</v>
      </c>
      <c r="F562" t="s">
        <v>64</v>
      </c>
      <c r="G562">
        <v>4</v>
      </c>
      <c r="I562">
        <v>0</v>
      </c>
      <c r="J562">
        <f>DropAnalityka[[#This Row],[Sell Drop]]+IF(DropAnalityka[[#This Row],[Drop]]="Scroll", 2000*DropAnalityka[[#This Row],[Quality/Quantity]],0)</f>
        <v>0</v>
      </c>
      <c r="K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1:12">
      <c r="A563" s="10" t="s">
        <v>248</v>
      </c>
      <c r="B563" t="s">
        <v>9</v>
      </c>
      <c r="C563">
        <v>8</v>
      </c>
      <c r="D563">
        <v>2303</v>
      </c>
      <c r="E563">
        <v>3</v>
      </c>
      <c r="F563" t="s">
        <v>243</v>
      </c>
      <c r="G563">
        <v>1</v>
      </c>
      <c r="I563">
        <v>0</v>
      </c>
      <c r="J563">
        <f>DropAnalityka[[#This Row],[Sell Drop]]+IF(DropAnalityka[[#This Row],[Drop]]="Scroll", 2000*DropAnalityka[[#This Row],[Quality/Quantity]],0)</f>
        <v>0</v>
      </c>
      <c r="K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1:12">
      <c r="A564" s="10" t="s">
        <v>248</v>
      </c>
      <c r="B564" t="s">
        <v>9</v>
      </c>
      <c r="C564">
        <v>8</v>
      </c>
      <c r="D564">
        <v>2396</v>
      </c>
      <c r="E564">
        <v>1</v>
      </c>
      <c r="F564" t="s">
        <v>243</v>
      </c>
      <c r="G564">
        <v>1</v>
      </c>
      <c r="I564">
        <v>0</v>
      </c>
      <c r="J564">
        <f>DropAnalityka[[#This Row],[Sell Drop]]+IF(DropAnalityka[[#This Row],[Drop]]="Scroll", 2000*DropAnalityka[[#This Row],[Quality/Quantity]],0)</f>
        <v>0</v>
      </c>
      <c r="K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1:12">
      <c r="A565" s="10" t="s">
        <v>248</v>
      </c>
      <c r="B565" t="s">
        <v>9</v>
      </c>
      <c r="C565">
        <v>8</v>
      </c>
      <c r="D565">
        <v>2325</v>
      </c>
      <c r="E565">
        <v>1</v>
      </c>
      <c r="F565" t="s">
        <v>245</v>
      </c>
      <c r="G565">
        <v>2</v>
      </c>
      <c r="I565">
        <v>0</v>
      </c>
      <c r="J565">
        <f>DropAnalityka[[#This Row],[Sell Drop]]+IF(DropAnalityka[[#This Row],[Drop]]="Scroll", 2000*DropAnalityka[[#This Row],[Quality/Quantity]],0)</f>
        <v>0</v>
      </c>
      <c r="K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1:12">
      <c r="A566" s="10" t="s">
        <v>248</v>
      </c>
      <c r="B566" t="s">
        <v>9</v>
      </c>
      <c r="C566">
        <v>8</v>
      </c>
      <c r="D566">
        <v>2398</v>
      </c>
      <c r="E566">
        <v>1</v>
      </c>
      <c r="F566" t="s">
        <v>64</v>
      </c>
      <c r="G566">
        <v>3</v>
      </c>
      <c r="I566">
        <v>0</v>
      </c>
      <c r="J566">
        <f>DropAnalityka[[#This Row],[Sell Drop]]+IF(DropAnalityka[[#This Row],[Drop]]="Scroll", 2000*DropAnalityka[[#This Row],[Quality/Quantity]],0)</f>
        <v>0</v>
      </c>
      <c r="K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1:12">
      <c r="A567" s="10" t="s">
        <v>248</v>
      </c>
      <c r="B567" t="s">
        <v>9</v>
      </c>
      <c r="C567">
        <v>8</v>
      </c>
      <c r="D567">
        <v>2668</v>
      </c>
      <c r="E567">
        <v>0</v>
      </c>
      <c r="F567" t="s">
        <v>245</v>
      </c>
      <c r="G567">
        <v>3</v>
      </c>
      <c r="I567">
        <v>0</v>
      </c>
      <c r="J567">
        <f>DropAnalityka[[#This Row],[Sell Drop]]+IF(DropAnalityka[[#This Row],[Drop]]="Scroll", 2000*DropAnalityka[[#This Row],[Quality/Quantity]],0)</f>
        <v>0</v>
      </c>
      <c r="K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1:12">
      <c r="A568" s="10" t="s">
        <v>40</v>
      </c>
      <c r="B568" t="s">
        <v>9</v>
      </c>
      <c r="C568">
        <v>7</v>
      </c>
      <c r="D568">
        <v>3002</v>
      </c>
      <c r="E568">
        <v>2</v>
      </c>
      <c r="F568" t="s">
        <v>65</v>
      </c>
      <c r="G568">
        <v>2</v>
      </c>
      <c r="I568">
        <v>0</v>
      </c>
      <c r="J568">
        <f>DropAnalityka[[#This Row],[Sell Drop]]+IF(DropAnalityka[[#This Row],[Drop]]="Scroll", 2000*DropAnalityka[[#This Row],[Quality/Quantity]],0)</f>
        <v>0</v>
      </c>
      <c r="K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1:12">
      <c r="A569" s="10" t="s">
        <v>40</v>
      </c>
      <c r="B569" t="s">
        <v>9</v>
      </c>
      <c r="C569">
        <v>7</v>
      </c>
      <c r="D569">
        <v>2021</v>
      </c>
      <c r="E569">
        <v>1</v>
      </c>
      <c r="F569" t="s">
        <v>65</v>
      </c>
      <c r="G569">
        <v>1</v>
      </c>
      <c r="I569">
        <v>0</v>
      </c>
      <c r="J569">
        <f>DropAnalityka[[#This Row],[Sell Drop]]+IF(DropAnalityka[[#This Row],[Drop]]="Scroll", 2000*DropAnalityka[[#This Row],[Quality/Quantity]],0)</f>
        <v>0</v>
      </c>
      <c r="K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1:12">
      <c r="A570" s="10" t="s">
        <v>40</v>
      </c>
      <c r="B570" t="s">
        <v>9</v>
      </c>
      <c r="C570">
        <v>7</v>
      </c>
      <c r="D570">
        <v>2168</v>
      </c>
      <c r="E570">
        <v>0</v>
      </c>
      <c r="F570" t="s">
        <v>66</v>
      </c>
      <c r="G570">
        <v>4</v>
      </c>
      <c r="I570">
        <v>0</v>
      </c>
      <c r="J570">
        <f>DropAnalityka[[#This Row],[Sell Drop]]+IF(DropAnalityka[[#This Row],[Drop]]="Scroll", 2000*DropAnalityka[[#This Row],[Quality/Quantity]],0)</f>
        <v>0</v>
      </c>
      <c r="K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1:12">
      <c r="A571" s="10" t="s">
        <v>40</v>
      </c>
      <c r="B571" t="s">
        <v>9</v>
      </c>
      <c r="C571">
        <v>7</v>
      </c>
      <c r="D571">
        <v>2540</v>
      </c>
      <c r="E571">
        <v>3</v>
      </c>
      <c r="F571" t="s">
        <v>65</v>
      </c>
      <c r="G571">
        <v>1</v>
      </c>
      <c r="I571">
        <v>0</v>
      </c>
      <c r="J571">
        <f>DropAnalityka[[#This Row],[Sell Drop]]+IF(DropAnalityka[[#This Row],[Drop]]="Scroll", 2000*DropAnalityka[[#This Row],[Quality/Quantity]],0)</f>
        <v>0</v>
      </c>
      <c r="K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1:12">
      <c r="A572" s="10" t="s">
        <v>40</v>
      </c>
      <c r="B572" t="s">
        <v>9</v>
      </c>
      <c r="C572">
        <v>7</v>
      </c>
      <c r="D572">
        <v>2251</v>
      </c>
      <c r="E572">
        <v>1</v>
      </c>
      <c r="F572" t="s">
        <v>65</v>
      </c>
      <c r="G572">
        <v>1</v>
      </c>
      <c r="I572">
        <v>0</v>
      </c>
      <c r="J572">
        <f>DropAnalityka[[#This Row],[Sell Drop]]+IF(DropAnalityka[[#This Row],[Drop]]="Scroll", 2000*DropAnalityka[[#This Row],[Quality/Quantity]],0)</f>
        <v>0</v>
      </c>
      <c r="K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1:12">
      <c r="A573" s="10" t="s">
        <v>40</v>
      </c>
      <c r="B573" t="s">
        <v>9</v>
      </c>
      <c r="C573">
        <v>7</v>
      </c>
      <c r="D573">
        <v>2591</v>
      </c>
      <c r="E573">
        <v>1</v>
      </c>
      <c r="F573" t="s">
        <v>66</v>
      </c>
      <c r="G573">
        <v>4</v>
      </c>
      <c r="I573">
        <v>0</v>
      </c>
      <c r="J573">
        <f>DropAnalityka[[#This Row],[Sell Drop]]+IF(DropAnalityka[[#This Row],[Drop]]="Scroll", 2000*DropAnalityka[[#This Row],[Quality/Quantity]],0)</f>
        <v>0</v>
      </c>
      <c r="K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1:12">
      <c r="A574" s="10" t="s">
        <v>40</v>
      </c>
      <c r="B574" t="s">
        <v>9</v>
      </c>
      <c r="C574">
        <v>7</v>
      </c>
      <c r="D574">
        <v>2238</v>
      </c>
      <c r="E574">
        <v>1</v>
      </c>
      <c r="F574" t="s">
        <v>65</v>
      </c>
      <c r="G574">
        <v>3</v>
      </c>
      <c r="I574">
        <v>0</v>
      </c>
      <c r="J574">
        <f>DropAnalityka[[#This Row],[Sell Drop]]+IF(DropAnalityka[[#This Row],[Drop]]="Scroll", 2000*DropAnalityka[[#This Row],[Quality/Quantity]],0)</f>
        <v>0</v>
      </c>
      <c r="K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1:12">
      <c r="A575" s="10" t="s">
        <v>40</v>
      </c>
      <c r="B575" t="s">
        <v>9</v>
      </c>
      <c r="C575">
        <v>7</v>
      </c>
      <c r="D575">
        <v>2506</v>
      </c>
      <c r="E575">
        <v>0</v>
      </c>
      <c r="F575" t="s">
        <v>65</v>
      </c>
      <c r="G575">
        <v>3</v>
      </c>
      <c r="I575">
        <v>0</v>
      </c>
      <c r="J575">
        <f>DropAnalityka[[#This Row],[Sell Drop]]+IF(DropAnalityka[[#This Row],[Drop]]="Scroll", 2000*DropAnalityka[[#This Row],[Quality/Quantity]],0)</f>
        <v>0</v>
      </c>
      <c r="K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1:12">
      <c r="A576" s="10" t="s">
        <v>40</v>
      </c>
      <c r="B576" t="s">
        <v>9</v>
      </c>
      <c r="C576">
        <v>7</v>
      </c>
      <c r="D576">
        <v>2339</v>
      </c>
      <c r="E576">
        <v>0</v>
      </c>
      <c r="F576" t="s">
        <v>66</v>
      </c>
      <c r="G576">
        <v>4</v>
      </c>
      <c r="I576">
        <v>0</v>
      </c>
      <c r="J576">
        <f>DropAnalityka[[#This Row],[Sell Drop]]+IF(DropAnalityka[[#This Row],[Drop]]="Scroll", 2000*DropAnalityka[[#This Row],[Quality/Quantity]],0)</f>
        <v>0</v>
      </c>
      <c r="K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1:12">
      <c r="A577" s="10" t="s">
        <v>40</v>
      </c>
      <c r="B577" t="s">
        <v>9</v>
      </c>
      <c r="C577">
        <v>7</v>
      </c>
      <c r="D577">
        <v>2207</v>
      </c>
      <c r="E577">
        <v>1</v>
      </c>
      <c r="F577" t="s">
        <v>66</v>
      </c>
      <c r="G577">
        <v>3</v>
      </c>
      <c r="I577">
        <v>0</v>
      </c>
      <c r="J577">
        <f>DropAnalityka[[#This Row],[Sell Drop]]+IF(DropAnalityka[[#This Row],[Drop]]="Scroll", 2000*DropAnalityka[[#This Row],[Quality/Quantity]],0)</f>
        <v>0</v>
      </c>
      <c r="K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1:12">
      <c r="A578" s="10" t="s">
        <v>40</v>
      </c>
      <c r="B578" t="s">
        <v>9</v>
      </c>
      <c r="C578">
        <v>7</v>
      </c>
      <c r="D578">
        <v>1988</v>
      </c>
      <c r="E578">
        <v>0</v>
      </c>
      <c r="F578" t="s">
        <v>64</v>
      </c>
      <c r="G578">
        <v>3</v>
      </c>
      <c r="I578">
        <v>0</v>
      </c>
      <c r="J578">
        <f>DropAnalityka[[#This Row],[Sell Drop]]+IF(DropAnalityka[[#This Row],[Drop]]="Scroll", 2000*DropAnalityka[[#This Row],[Quality/Quantity]],0)</f>
        <v>0</v>
      </c>
      <c r="K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1:12">
      <c r="A579" s="10" t="s">
        <v>40</v>
      </c>
      <c r="B579" t="s">
        <v>9</v>
      </c>
      <c r="C579">
        <v>7</v>
      </c>
      <c r="D579">
        <v>2659</v>
      </c>
      <c r="E579">
        <v>0</v>
      </c>
      <c r="F579" t="s">
        <v>66</v>
      </c>
      <c r="G579">
        <v>5</v>
      </c>
      <c r="I579">
        <v>0</v>
      </c>
      <c r="J579">
        <f>DropAnalityka[[#This Row],[Sell Drop]]+IF(DropAnalityka[[#This Row],[Drop]]="Scroll", 2000*DropAnalityka[[#This Row],[Quality/Quantity]],0)</f>
        <v>0</v>
      </c>
      <c r="K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1:12">
      <c r="A580" s="10" t="s">
        <v>40</v>
      </c>
      <c r="B580" t="s">
        <v>9</v>
      </c>
      <c r="C580">
        <v>7</v>
      </c>
      <c r="D580">
        <v>2237</v>
      </c>
      <c r="E580">
        <v>0</v>
      </c>
      <c r="F580" t="s">
        <v>36</v>
      </c>
      <c r="G580">
        <v>4</v>
      </c>
      <c r="I580">
        <v>0</v>
      </c>
      <c r="J580">
        <f>DropAnalityka[[#This Row],[Sell Drop]]+IF(DropAnalityka[[#This Row],[Drop]]="Scroll", 2000*DropAnalityka[[#This Row],[Quality/Quantity]],0)</f>
        <v>8000</v>
      </c>
      <c r="K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1:12">
      <c r="A581" s="10" t="s">
        <v>40</v>
      </c>
      <c r="B581" t="s">
        <v>9</v>
      </c>
      <c r="C581">
        <v>7</v>
      </c>
      <c r="D581">
        <v>2137</v>
      </c>
      <c r="E581">
        <v>1</v>
      </c>
      <c r="F581" t="s">
        <v>175</v>
      </c>
      <c r="G581">
        <v>1</v>
      </c>
      <c r="I581">
        <v>0</v>
      </c>
      <c r="J581">
        <f>DropAnalityka[[#This Row],[Sell Drop]]+IF(DropAnalityka[[#This Row],[Drop]]="Scroll", 2000*DropAnalityka[[#This Row],[Quality/Quantity]],0)</f>
        <v>0</v>
      </c>
      <c r="K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1:12">
      <c r="A582" s="10" t="s">
        <v>40</v>
      </c>
      <c r="B582" t="s">
        <v>9</v>
      </c>
      <c r="C582">
        <v>7</v>
      </c>
      <c r="D582">
        <v>2588</v>
      </c>
      <c r="E582">
        <v>1</v>
      </c>
      <c r="F582" t="s">
        <v>66</v>
      </c>
      <c r="G582">
        <v>3</v>
      </c>
      <c r="I582">
        <v>0</v>
      </c>
      <c r="J582">
        <f>DropAnalityka[[#This Row],[Sell Drop]]+IF(DropAnalityka[[#This Row],[Drop]]="Scroll", 2000*DropAnalityka[[#This Row],[Quality/Quantity]],0)</f>
        <v>0</v>
      </c>
      <c r="K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1:12">
      <c r="A583" s="10" t="s">
        <v>40</v>
      </c>
      <c r="B583" t="s">
        <v>9</v>
      </c>
      <c r="C583">
        <v>7</v>
      </c>
      <c r="D583">
        <v>2248</v>
      </c>
      <c r="E583">
        <v>1</v>
      </c>
      <c r="F583" t="s">
        <v>249</v>
      </c>
      <c r="G583">
        <v>2</v>
      </c>
      <c r="I583">
        <v>0</v>
      </c>
      <c r="J583">
        <f>DropAnalityka[[#This Row],[Sell Drop]]+IF(DropAnalityka[[#This Row],[Drop]]="Scroll", 2000*DropAnalityka[[#This Row],[Quality/Quantity]],0)</f>
        <v>0</v>
      </c>
      <c r="K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1:12">
      <c r="A584" s="10" t="s">
        <v>204</v>
      </c>
      <c r="B584" t="s">
        <v>9</v>
      </c>
      <c r="C584">
        <v>6</v>
      </c>
      <c r="D584">
        <v>2097</v>
      </c>
      <c r="E584">
        <v>2</v>
      </c>
      <c r="F584" t="s">
        <v>100</v>
      </c>
      <c r="G584" t="s">
        <v>29</v>
      </c>
      <c r="H584" t="s">
        <v>252</v>
      </c>
      <c r="I584">
        <v>3307</v>
      </c>
      <c r="J584">
        <f>DropAnalityka[[#This Row],[Sell Drop]]+IF(DropAnalityka[[#This Row],[Drop]]="Scroll", 2000*DropAnalityka[[#This Row],[Quality/Quantity]],0)</f>
        <v>3307</v>
      </c>
      <c r="K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1:12">
      <c r="A585" s="10"/>
      <c r="J585">
        <f>DropAnalityka[[#This Row],[Sell Drop]]+IF(DropAnalityka[[#This Row],[Drop]]="Scroll", 2000*DropAnalityka[[#This Row],[Quality/Quantity]],0)</f>
        <v>0</v>
      </c>
      <c r="K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1:12">
      <c r="A586" s="10"/>
      <c r="J586">
        <f>DropAnalityka[[#This Row],[Sell Drop]]+IF(DropAnalityka[[#This Row],[Drop]]="Scroll", 2000*DropAnalityka[[#This Row],[Quality/Quantity]],0)</f>
        <v>0</v>
      </c>
      <c r="K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7" spans="1:12">
      <c r="A587" s="10"/>
      <c r="J587">
        <f>DropAnalityka[[#This Row],[Sell Drop]]+IF(DropAnalityka[[#This Row],[Drop]]="Scroll", 2000*DropAnalityka[[#This Row],[Quality/Quantity]],0)</f>
        <v>0</v>
      </c>
      <c r="K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8" spans="1:12">
      <c r="A588" s="10"/>
      <c r="J588">
        <f>DropAnalityka[[#This Row],[Sell Drop]]+IF(DropAnalityka[[#This Row],[Drop]]="Scroll", 2000*DropAnalityka[[#This Row],[Quality/Quantity]],0)</f>
        <v>0</v>
      </c>
      <c r="K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1:12">
      <c r="A589" s="10"/>
      <c r="J589">
        <f>DropAnalityka[[#This Row],[Sell Drop]]+IF(DropAnalityka[[#This Row],[Drop]]="Scroll", 2000*DropAnalityka[[#This Row],[Quality/Quantity]],0)</f>
        <v>0</v>
      </c>
      <c r="K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1:12">
      <c r="A590" s="10"/>
      <c r="J590">
        <f>DropAnalityka[[#This Row],[Sell Drop]]+IF(DropAnalityka[[#This Row],[Drop]]="Scroll", 2000*DropAnalityka[[#This Row],[Quality/Quantity]],0)</f>
        <v>0</v>
      </c>
      <c r="K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1:12">
      <c r="J591">
        <f>DropAnalityka[[#This Row],[Sell Drop]]+IF(DropAnalityka[[#This Row],[Drop]]="Scroll", 2000*DropAnalityka[[#This Row],[Quality/Quantity]],0)</f>
        <v>0</v>
      </c>
      <c r="K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1:12">
      <c r="J592">
        <f>DropAnalityka[[#This Row],[Sell Drop]]+IF(DropAnalityka[[#This Row],[Drop]]="Scroll", 2000*DropAnalityka[[#This Row],[Quality/Quantity]],0)</f>
        <v>0</v>
      </c>
      <c r="K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10:12">
      <c r="J593">
        <f>DropAnalityka[[#This Row],[Sell Drop]]+IF(DropAnalityka[[#This Row],[Drop]]="Scroll", 2000*DropAnalityka[[#This Row],[Quality/Quantity]],0)</f>
        <v>0</v>
      </c>
      <c r="K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10:12">
      <c r="J594">
        <f>DropAnalityka[[#This Row],[Sell Drop]]+IF(DropAnalityka[[#This Row],[Drop]]="Scroll", 2000*DropAnalityka[[#This Row],[Quality/Quantity]],0)</f>
        <v>0</v>
      </c>
      <c r="K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10:12">
      <c r="J595">
        <f>DropAnalityka[[#This Row],[Sell Drop]]+IF(DropAnalityka[[#This Row],[Drop]]="Scroll", 2000*DropAnalityka[[#This Row],[Quality/Quantity]],0)</f>
        <v>0</v>
      </c>
      <c r="K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10:12">
      <c r="J596">
        <f>DropAnalityka[[#This Row],[Sell Drop]]+IF(DropAnalityka[[#This Row],[Drop]]="Scroll", 2000*DropAnalityka[[#This Row],[Quality/Quantity]],0)</f>
        <v>0</v>
      </c>
      <c r="K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10:12">
      <c r="J597">
        <f>DropAnalityka[[#This Row],[Sell Drop]]+IF(DropAnalityka[[#This Row],[Drop]]="Scroll", 2000*DropAnalityka[[#This Row],[Quality/Quantity]],0)</f>
        <v>0</v>
      </c>
      <c r="K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10:12">
      <c r="J598">
        <f>DropAnalityka[[#This Row],[Sell Drop]]+IF(DropAnalityka[[#This Row],[Drop]]="Scroll", 2000*DropAnalityka[[#This Row],[Quality/Quantity]],0)</f>
        <v>0</v>
      </c>
      <c r="K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10:12">
      <c r="J599">
        <f>DropAnalityka[[#This Row],[Sell Drop]]+IF(DropAnalityka[[#This Row],[Drop]]="Scroll", 2000*DropAnalityka[[#This Row],[Quality/Quantity]],0)</f>
        <v>0</v>
      </c>
      <c r="K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10:12">
      <c r="J600">
        <f>DropAnalityka[[#This Row],[Sell Drop]]+IF(DropAnalityka[[#This Row],[Drop]]="Scroll", 2000*DropAnalityka[[#This Row],[Quality/Quantity]],0)</f>
        <v>0</v>
      </c>
      <c r="K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10:12">
      <c r="J601">
        <f>DropAnalityka[[#This Row],[Sell Drop]]+IF(DropAnalityka[[#This Row],[Drop]]="Scroll", 2000*DropAnalityka[[#This Row],[Quality/Quantity]],0)</f>
        <v>0</v>
      </c>
      <c r="K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10:12">
      <c r="J602">
        <f>DropAnalityka[[#This Row],[Sell Drop]]+IF(DropAnalityka[[#This Row],[Drop]]="Scroll", 2000*DropAnalityka[[#This Row],[Quality/Quantity]],0)</f>
        <v>0</v>
      </c>
      <c r="K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10:12">
      <c r="J603">
        <f>DropAnalityka[[#This Row],[Sell Drop]]+IF(DropAnalityka[[#This Row],[Drop]]="Scroll", 2000*DropAnalityka[[#This Row],[Quality/Quantity]],0)</f>
        <v>0</v>
      </c>
      <c r="K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10:12">
      <c r="J604">
        <f>DropAnalityka[[#This Row],[Sell Drop]]+IF(DropAnalityka[[#This Row],[Drop]]="Scroll", 2000*DropAnalityka[[#This Row],[Quality/Quantity]],0)</f>
        <v>0</v>
      </c>
      <c r="K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5" spans="10:12">
      <c r="J605">
        <f>DropAnalityka[[#This Row],[Sell Drop]]+IF(DropAnalityka[[#This Row],[Drop]]="Scroll", 2000*DropAnalityka[[#This Row],[Quality/Quantity]],0)</f>
        <v>0</v>
      </c>
      <c r="K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10:12">
      <c r="J606">
        <f>DropAnalityka[[#This Row],[Sell Drop]]+IF(DropAnalityka[[#This Row],[Drop]]="Scroll", 2000*DropAnalityka[[#This Row],[Quality/Quantity]],0)</f>
        <v>0</v>
      </c>
      <c r="K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10:12">
      <c r="J607">
        <f>DropAnalityka[[#This Row],[Sell Drop]]+IF(DropAnalityka[[#This Row],[Drop]]="Scroll", 2000*DropAnalityka[[#This Row],[Quality/Quantity]],0)</f>
        <v>0</v>
      </c>
      <c r="K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10:12">
      <c r="J608">
        <f>DropAnalityka[[#This Row],[Sell Drop]]+IF(DropAnalityka[[#This Row],[Drop]]="Scroll", 2000*DropAnalityka[[#This Row],[Quality/Quantity]],0)</f>
        <v>0</v>
      </c>
      <c r="K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10:12">
      <c r="J609">
        <f>DropAnalityka[[#This Row],[Sell Drop]]+IF(DropAnalityka[[#This Row],[Drop]]="Scroll", 2000*DropAnalityka[[#This Row],[Quality/Quantity]],0)</f>
        <v>0</v>
      </c>
      <c r="K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10:12">
      <c r="J610">
        <f>DropAnalityka[[#This Row],[Sell Drop]]+IF(DropAnalityka[[#This Row],[Drop]]="Scroll", 2000*DropAnalityka[[#This Row],[Quality/Quantity]],0)</f>
        <v>0</v>
      </c>
      <c r="K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10:12">
      <c r="J611">
        <f>DropAnalityka[[#This Row],[Sell Drop]]+IF(DropAnalityka[[#This Row],[Drop]]="Scroll", 2000*DropAnalityka[[#This Row],[Quality/Quantity]],0)</f>
        <v>0</v>
      </c>
      <c r="K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2" spans="10:12">
      <c r="J612">
        <f>DropAnalityka[[#This Row],[Sell Drop]]+IF(DropAnalityka[[#This Row],[Drop]]="Scroll", 2000*DropAnalityka[[#This Row],[Quality/Quantity]],0)</f>
        <v>0</v>
      </c>
      <c r="K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10:12">
      <c r="J613">
        <f>DropAnalityka[[#This Row],[Sell Drop]]+IF(DropAnalityka[[#This Row],[Drop]]="Scroll", 2000*DropAnalityka[[#This Row],[Quality/Quantity]],0)</f>
        <v>0</v>
      </c>
      <c r="K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10:12">
      <c r="J614">
        <f>DropAnalityka[[#This Row],[Sell Drop]]+IF(DropAnalityka[[#This Row],[Drop]]="Scroll", 2000*DropAnalityka[[#This Row],[Quality/Quantity]],0)</f>
        <v>0</v>
      </c>
      <c r="K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10:12">
      <c r="J615">
        <f>DropAnalityka[[#This Row],[Sell Drop]]+IF(DropAnalityka[[#This Row],[Drop]]="Scroll", 2000*DropAnalityka[[#This Row],[Quality/Quantity]],0)</f>
        <v>0</v>
      </c>
      <c r="K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10:12">
      <c r="J616">
        <f>DropAnalityka[[#This Row],[Sell Drop]]+IF(DropAnalityka[[#This Row],[Drop]]="Scroll", 2000*DropAnalityka[[#This Row],[Quality/Quantity]],0)</f>
        <v>0</v>
      </c>
      <c r="K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10:12">
      <c r="J617">
        <f>DropAnalityka[[#This Row],[Sell Drop]]+IF(DropAnalityka[[#This Row],[Drop]]="Scroll", 2000*DropAnalityka[[#This Row],[Quality/Quantity]],0)</f>
        <v>0</v>
      </c>
      <c r="K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10:12">
      <c r="J618">
        <f>DropAnalityka[[#This Row],[Sell Drop]]+IF(DropAnalityka[[#This Row],[Drop]]="Scroll", 2000*DropAnalityka[[#This Row],[Quality/Quantity]],0)</f>
        <v>0</v>
      </c>
      <c r="K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10:12">
      <c r="J619">
        <f>DropAnalityka[[#This Row],[Sell Drop]]+IF(DropAnalityka[[#This Row],[Drop]]="Scroll", 2000*DropAnalityka[[#This Row],[Quality/Quantity]],0)</f>
        <v>0</v>
      </c>
      <c r="K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10:12">
      <c r="J620">
        <f>DropAnalityka[[#This Row],[Sell Drop]]+IF(DropAnalityka[[#This Row],[Drop]]="Scroll", 2000*DropAnalityka[[#This Row],[Quality/Quantity]],0)</f>
        <v>0</v>
      </c>
      <c r="K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10:12">
      <c r="J621">
        <f>DropAnalityka[[#This Row],[Sell Drop]]+IF(DropAnalityka[[#This Row],[Drop]]="Scroll", 2000*DropAnalityka[[#This Row],[Quality/Quantity]],0)</f>
        <v>0</v>
      </c>
      <c r="K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10:12">
      <c r="J622">
        <f>DropAnalityka[[#This Row],[Sell Drop]]+IF(DropAnalityka[[#This Row],[Drop]]="Scroll", 2000*DropAnalityka[[#This Row],[Quality/Quantity]],0)</f>
        <v>0</v>
      </c>
      <c r="K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10:12">
      <c r="J623">
        <f>DropAnalityka[[#This Row],[Sell Drop]]+IF(DropAnalityka[[#This Row],[Drop]]="Scroll", 2000*DropAnalityka[[#This Row],[Quality/Quantity]],0)</f>
        <v>0</v>
      </c>
      <c r="K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10:12">
      <c r="J624">
        <f>DropAnalityka[[#This Row],[Sell Drop]]+IF(DropAnalityka[[#This Row],[Drop]]="Scroll", 2000*DropAnalityka[[#This Row],[Quality/Quantity]],0)</f>
        <v>0</v>
      </c>
      <c r="K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10:12">
      <c r="J625">
        <f>DropAnalityka[[#This Row],[Sell Drop]]+IF(DropAnalityka[[#This Row],[Drop]]="Scroll", 2000*DropAnalityka[[#This Row],[Quality/Quantity]],0)</f>
        <v>0</v>
      </c>
      <c r="K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10:12">
      <c r="J626">
        <f>DropAnalityka[[#This Row],[Sell Drop]]+IF(DropAnalityka[[#This Row],[Drop]]="Scroll", 2000*DropAnalityka[[#This Row],[Quality/Quantity]],0)</f>
        <v>0</v>
      </c>
      <c r="K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10:12">
      <c r="J627">
        <f>DropAnalityka[[#This Row],[Sell Drop]]+IF(DropAnalityka[[#This Row],[Drop]]="Scroll", 2000*DropAnalityka[[#This Row],[Quality/Quantity]],0)</f>
        <v>0</v>
      </c>
      <c r="K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10:12">
      <c r="J628">
        <f>DropAnalityka[[#This Row],[Sell Drop]]+IF(DropAnalityka[[#This Row],[Drop]]="Scroll", 2000*DropAnalityka[[#This Row],[Quality/Quantity]],0)</f>
        <v>0</v>
      </c>
      <c r="K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10:12">
      <c r="J629">
        <f>DropAnalityka[[#This Row],[Sell Drop]]+IF(DropAnalityka[[#This Row],[Drop]]="Scroll", 2000*DropAnalityka[[#This Row],[Quality/Quantity]],0)</f>
        <v>0</v>
      </c>
      <c r="K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10:12">
      <c r="J630">
        <f>DropAnalityka[[#This Row],[Sell Drop]]+IF(DropAnalityka[[#This Row],[Drop]]="Scroll", 2000*DropAnalityka[[#This Row],[Quality/Quantity]],0)</f>
        <v>0</v>
      </c>
      <c r="K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10:12">
      <c r="J631">
        <f>DropAnalityka[[#This Row],[Sell Drop]]+IF(DropAnalityka[[#This Row],[Drop]]="Scroll", 2000*DropAnalityka[[#This Row],[Quality/Quantity]],0)</f>
        <v>0</v>
      </c>
      <c r="K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10:12">
      <c r="J632">
        <f>DropAnalityka[[#This Row],[Sell Drop]]+IF(DropAnalityka[[#This Row],[Drop]]="Scroll", 2000*DropAnalityka[[#This Row],[Quality/Quantity]],0)</f>
        <v>0</v>
      </c>
      <c r="K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10:12">
      <c r="J633">
        <f>DropAnalityka[[#This Row],[Sell Drop]]+IF(DropAnalityka[[#This Row],[Drop]]="Scroll", 2000*DropAnalityka[[#This Row],[Quality/Quantity]],0)</f>
        <v>0</v>
      </c>
      <c r="K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10:12">
      <c r="J634">
        <f>DropAnalityka[[#This Row],[Sell Drop]]+IF(DropAnalityka[[#This Row],[Drop]]="Scroll", 2000*DropAnalityka[[#This Row],[Quality/Quantity]],0)</f>
        <v>0</v>
      </c>
      <c r="K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10:12">
      <c r="J635">
        <f>DropAnalityka[[#This Row],[Sell Drop]]+IF(DropAnalityka[[#This Row],[Drop]]="Scroll", 2000*DropAnalityka[[#This Row],[Quality/Quantity]],0)</f>
        <v>0</v>
      </c>
      <c r="K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10:12">
      <c r="J636">
        <f>DropAnalityka[[#This Row],[Sell Drop]]+IF(DropAnalityka[[#This Row],[Drop]]="Scroll", 2000*DropAnalityka[[#This Row],[Quality/Quantity]],0)</f>
        <v>0</v>
      </c>
      <c r="K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10:12">
      <c r="J637">
        <f>DropAnalityka[[#This Row],[Sell Drop]]+IF(DropAnalityka[[#This Row],[Drop]]="Scroll", 2000*DropAnalityka[[#This Row],[Quality/Quantity]],0)</f>
        <v>0</v>
      </c>
      <c r="K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10:12">
      <c r="J638">
        <f>DropAnalityka[[#This Row],[Sell Drop]]+IF(DropAnalityka[[#This Row],[Drop]]="Scroll", 2000*DropAnalityka[[#This Row],[Quality/Quantity]],0)</f>
        <v>0</v>
      </c>
      <c r="K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10:12">
      <c r="J639">
        <f>DropAnalityka[[#This Row],[Sell Drop]]+IF(DropAnalityka[[#This Row],[Drop]]="Scroll", 2000*DropAnalityka[[#This Row],[Quality/Quantity]],0)</f>
        <v>0</v>
      </c>
      <c r="K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10:12">
      <c r="J640">
        <f>DropAnalityka[[#This Row],[Sell Drop]]+IF(DropAnalityka[[#This Row],[Drop]]="Scroll", 2000*DropAnalityka[[#This Row],[Quality/Quantity]],0)</f>
        <v>0</v>
      </c>
      <c r="K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10:12">
      <c r="J641">
        <f>DropAnalityka[[#This Row],[Sell Drop]]+IF(DropAnalityka[[#This Row],[Drop]]="Scroll", 2000*DropAnalityka[[#This Row],[Quality/Quantity]],0)</f>
        <v>0</v>
      </c>
      <c r="K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10:12">
      <c r="J642">
        <f>DropAnalityka[[#This Row],[Sell Drop]]+IF(DropAnalityka[[#This Row],[Drop]]="Scroll", 2000*DropAnalityka[[#This Row],[Quality/Quantity]],0)</f>
        <v>0</v>
      </c>
      <c r="K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10:12">
      <c r="J643">
        <f>DropAnalityka[[#This Row],[Sell Drop]]+IF(DropAnalityka[[#This Row],[Drop]]="Scroll", 2000*DropAnalityka[[#This Row],[Quality/Quantity]],0)</f>
        <v>0</v>
      </c>
      <c r="K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10:12">
      <c r="J644">
        <f>DropAnalityka[[#This Row],[Sell Drop]]+IF(DropAnalityka[[#This Row],[Drop]]="Scroll", 2000*DropAnalityka[[#This Row],[Quality/Quantity]],0)</f>
        <v>0</v>
      </c>
      <c r="K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10:12">
      <c r="J645">
        <f>DropAnalityka[[#This Row],[Sell Drop]]+IF(DropAnalityka[[#This Row],[Drop]]="Scroll", 2000*DropAnalityka[[#This Row],[Quality/Quantity]],0)</f>
        <v>0</v>
      </c>
      <c r="K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10:12">
      <c r="J646">
        <f>DropAnalityka[[#This Row],[Sell Drop]]+IF(DropAnalityka[[#This Row],[Drop]]="Scroll", 2000*DropAnalityka[[#This Row],[Quality/Quantity]],0)</f>
        <v>0</v>
      </c>
      <c r="K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10:12">
      <c r="J647">
        <f>DropAnalityka[[#This Row],[Sell Drop]]+IF(DropAnalityka[[#This Row],[Drop]]="Scroll", 2000*DropAnalityka[[#This Row],[Quality/Quantity]],0)</f>
        <v>0</v>
      </c>
      <c r="K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10:12">
      <c r="J648">
        <f>DropAnalityka[[#This Row],[Sell Drop]]+IF(DropAnalityka[[#This Row],[Drop]]="Scroll", 2000*DropAnalityka[[#This Row],[Quality/Quantity]],0)</f>
        <v>0</v>
      </c>
      <c r="K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10:12">
      <c r="J649">
        <f>DropAnalityka[[#This Row],[Sell Drop]]+IF(DropAnalityka[[#This Row],[Drop]]="Scroll", 2000*DropAnalityka[[#This Row],[Quality/Quantity]],0)</f>
        <v>0</v>
      </c>
      <c r="K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10:12">
      <c r="J650">
        <f>DropAnalityka[[#This Row],[Sell Drop]]+IF(DropAnalityka[[#This Row],[Drop]]="Scroll", 2000*DropAnalityka[[#This Row],[Quality/Quantity]],0)</f>
        <v>0</v>
      </c>
      <c r="K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10:12">
      <c r="J651">
        <f>DropAnalityka[[#This Row],[Sell Drop]]+IF(DropAnalityka[[#This Row],[Drop]]="Scroll", 2000*DropAnalityka[[#This Row],[Quality/Quantity]],0)</f>
        <v>0</v>
      </c>
      <c r="K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10:12">
      <c r="J652">
        <f>DropAnalityka[[#This Row],[Sell Drop]]+IF(DropAnalityka[[#This Row],[Drop]]="Scroll", 2000*DropAnalityka[[#This Row],[Quality/Quantity]],0)</f>
        <v>0</v>
      </c>
      <c r="K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10:12">
      <c r="J653">
        <f>DropAnalityka[[#This Row],[Sell Drop]]+IF(DropAnalityka[[#This Row],[Drop]]="Scroll", 2000*DropAnalityka[[#This Row],[Quality/Quantity]],0)</f>
        <v>0</v>
      </c>
      <c r="K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4" spans="10:12">
      <c r="J654">
        <f>DropAnalityka[[#This Row],[Sell Drop]]+IF(DropAnalityka[[#This Row],[Drop]]="Scroll", 2000*DropAnalityka[[#This Row],[Quality/Quantity]],0)</f>
        <v>0</v>
      </c>
      <c r="K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10:12">
      <c r="J655">
        <f>DropAnalityka[[#This Row],[Sell Drop]]+IF(DropAnalityka[[#This Row],[Drop]]="Scroll", 2000*DropAnalityka[[#This Row],[Quality/Quantity]],0)</f>
        <v>0</v>
      </c>
      <c r="K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10:12">
      <c r="J656">
        <f>DropAnalityka[[#This Row],[Sell Drop]]+IF(DropAnalityka[[#This Row],[Drop]]="Scroll", 2000*DropAnalityka[[#This Row],[Quality/Quantity]],0)</f>
        <v>0</v>
      </c>
      <c r="K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10:12">
      <c r="J657">
        <f>DropAnalityka[[#This Row],[Sell Drop]]+IF(DropAnalityka[[#This Row],[Drop]]="Scroll", 2000*DropAnalityka[[#This Row],[Quality/Quantity]],0)</f>
        <v>0</v>
      </c>
      <c r="K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10:12">
      <c r="J658">
        <f>DropAnalityka[[#This Row],[Sell Drop]]+IF(DropAnalityka[[#This Row],[Drop]]="Scroll", 2000*DropAnalityka[[#This Row],[Quality/Quantity]],0)</f>
        <v>0</v>
      </c>
      <c r="K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10:12">
      <c r="J659">
        <f>DropAnalityka[[#This Row],[Sell Drop]]+IF(DropAnalityka[[#This Row],[Drop]]="Scroll", 2000*DropAnalityka[[#This Row],[Quality/Quantity]],0)</f>
        <v>0</v>
      </c>
      <c r="K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10:12">
      <c r="J660">
        <f>DropAnalityka[[#This Row],[Sell Drop]]+IF(DropAnalityka[[#This Row],[Drop]]="Scroll", 2000*DropAnalityka[[#This Row],[Quality/Quantity]],0)</f>
        <v>0</v>
      </c>
      <c r="K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10:12">
      <c r="J661">
        <f>DropAnalityka[[#This Row],[Sell Drop]]+IF(DropAnalityka[[#This Row],[Drop]]="Scroll", 2000*DropAnalityka[[#This Row],[Quality/Quantity]],0)</f>
        <v>0</v>
      </c>
      <c r="K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10:12">
      <c r="J662">
        <f>DropAnalityka[[#This Row],[Sell Drop]]+IF(DropAnalityka[[#This Row],[Drop]]="Scroll", 2000*DropAnalityka[[#This Row],[Quality/Quantity]],0)</f>
        <v>0</v>
      </c>
      <c r="K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10:12">
      <c r="J663">
        <f>DropAnalityka[[#This Row],[Sell Drop]]+IF(DropAnalityka[[#This Row],[Drop]]="Scroll", 2000*DropAnalityka[[#This Row],[Quality/Quantity]],0)</f>
        <v>0</v>
      </c>
      <c r="K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10:12">
      <c r="J664">
        <f>DropAnalityka[[#This Row],[Sell Drop]]+IF(DropAnalityka[[#This Row],[Drop]]="Scroll", 2000*DropAnalityka[[#This Row],[Quality/Quantity]],0)</f>
        <v>0</v>
      </c>
      <c r="K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10:12">
      <c r="J665">
        <f>DropAnalityka[[#This Row],[Sell Drop]]+IF(DropAnalityka[[#This Row],[Drop]]="Scroll", 2000*DropAnalityka[[#This Row],[Quality/Quantity]],0)</f>
        <v>0</v>
      </c>
      <c r="K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10:12">
      <c r="J666">
        <f>DropAnalityka[[#This Row],[Sell Drop]]+IF(DropAnalityka[[#This Row],[Drop]]="Scroll", 2000*DropAnalityka[[#This Row],[Quality/Quantity]],0)</f>
        <v>0</v>
      </c>
      <c r="K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10:12">
      <c r="J667">
        <f>DropAnalityka[[#This Row],[Sell Drop]]+IF(DropAnalityka[[#This Row],[Drop]]="Scroll", 2000*DropAnalityka[[#This Row],[Quality/Quantity]],0)</f>
        <v>0</v>
      </c>
      <c r="K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10:12">
      <c r="J668">
        <f>DropAnalityka[[#This Row],[Sell Drop]]+IF(DropAnalityka[[#This Row],[Drop]]="Scroll", 2000*DropAnalityka[[#This Row],[Quality/Quantity]],0)</f>
        <v>0</v>
      </c>
      <c r="K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10:12">
      <c r="J669">
        <f>DropAnalityka[[#This Row],[Sell Drop]]+IF(DropAnalityka[[#This Row],[Drop]]="Scroll", 2000*DropAnalityka[[#This Row],[Quality/Quantity]],0)</f>
        <v>0</v>
      </c>
      <c r="K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10:12">
      <c r="J670">
        <f>DropAnalityka[[#This Row],[Sell Drop]]+IF(DropAnalityka[[#This Row],[Drop]]="Scroll", 2000*DropAnalityka[[#This Row],[Quality/Quantity]],0)</f>
        <v>0</v>
      </c>
      <c r="K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10:12">
      <c r="J671">
        <f>DropAnalityka[[#This Row],[Sell Drop]]+IF(DropAnalityka[[#This Row],[Drop]]="Scroll", 2000*DropAnalityka[[#This Row],[Quality/Quantity]],0)</f>
        <v>0</v>
      </c>
      <c r="K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10:12">
      <c r="J672">
        <f>DropAnalityka[[#This Row],[Sell Drop]]+IF(DropAnalityka[[#This Row],[Drop]]="Scroll", 2000*DropAnalityka[[#This Row],[Quality/Quantity]],0)</f>
        <v>0</v>
      </c>
      <c r="K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10:12">
      <c r="J673">
        <f>DropAnalityka[[#This Row],[Sell Drop]]+IF(DropAnalityka[[#This Row],[Drop]]="Scroll", 2000*DropAnalityka[[#This Row],[Quality/Quantity]],0)</f>
        <v>0</v>
      </c>
      <c r="K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10:12">
      <c r="J674">
        <f>DropAnalityka[[#This Row],[Sell Drop]]+IF(DropAnalityka[[#This Row],[Drop]]="Scroll", 2000*DropAnalityka[[#This Row],[Quality/Quantity]],0)</f>
        <v>0</v>
      </c>
      <c r="K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10:12">
      <c r="J675">
        <f>DropAnalityka[[#This Row],[Sell Drop]]+IF(DropAnalityka[[#This Row],[Drop]]="Scroll", 2000*DropAnalityka[[#This Row],[Quality/Quantity]],0)</f>
        <v>0</v>
      </c>
      <c r="K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10:12">
      <c r="J676">
        <f>DropAnalityka[[#This Row],[Sell Drop]]+IF(DropAnalityka[[#This Row],[Drop]]="Scroll", 2000*DropAnalityka[[#This Row],[Quality/Quantity]],0)</f>
        <v>0</v>
      </c>
      <c r="K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10:12">
      <c r="J677">
        <f>DropAnalityka[[#This Row],[Sell Drop]]+IF(DropAnalityka[[#This Row],[Drop]]="Scroll", 2000*DropAnalityka[[#This Row],[Quality/Quantity]],0)</f>
        <v>0</v>
      </c>
      <c r="K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10:12">
      <c r="J678">
        <f>DropAnalityka[[#This Row],[Sell Drop]]+IF(DropAnalityka[[#This Row],[Drop]]="Scroll", 2000*DropAnalityka[[#This Row],[Quality/Quantity]],0)</f>
        <v>0</v>
      </c>
      <c r="K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10:12">
      <c r="J679">
        <f>DropAnalityka[[#This Row],[Sell Drop]]+IF(DropAnalityka[[#This Row],[Drop]]="Scroll", 2000*DropAnalityka[[#This Row],[Quality/Quantity]],0)</f>
        <v>0</v>
      </c>
      <c r="K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10:12">
      <c r="J680">
        <f>DropAnalityka[[#This Row],[Sell Drop]]+IF(DropAnalityka[[#This Row],[Drop]]="Scroll", 2000*DropAnalityka[[#This Row],[Quality/Quantity]],0)</f>
        <v>0</v>
      </c>
      <c r="K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10:12">
      <c r="J681">
        <f>DropAnalityka[[#This Row],[Sell Drop]]+IF(DropAnalityka[[#This Row],[Drop]]="Scroll", 2000*DropAnalityka[[#This Row],[Quality/Quantity]],0)</f>
        <v>0</v>
      </c>
      <c r="K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10:12">
      <c r="J682">
        <f>DropAnalityka[[#This Row],[Sell Drop]]+IF(DropAnalityka[[#This Row],[Drop]]="Scroll", 2000*DropAnalityka[[#This Row],[Quality/Quantity]],0)</f>
        <v>0</v>
      </c>
      <c r="K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10:12">
      <c r="J683">
        <f>DropAnalityka[[#This Row],[Sell Drop]]+IF(DropAnalityka[[#This Row],[Drop]]="Scroll", 2000*DropAnalityka[[#This Row],[Quality/Quantity]],0)</f>
        <v>0</v>
      </c>
      <c r="K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10:12">
      <c r="J684">
        <f>DropAnalityka[[#This Row],[Sell Drop]]+IF(DropAnalityka[[#This Row],[Drop]]="Scroll", 2000*DropAnalityka[[#This Row],[Quality/Quantity]],0)</f>
        <v>0</v>
      </c>
      <c r="K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10:12">
      <c r="J685">
        <f>DropAnalityka[[#This Row],[Sell Drop]]+IF(DropAnalityka[[#This Row],[Drop]]="Scroll", 2000*DropAnalityka[[#This Row],[Quality/Quantity]],0)</f>
        <v>0</v>
      </c>
      <c r="K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10:12">
      <c r="J686">
        <f>DropAnalityka[[#This Row],[Sell Drop]]+IF(DropAnalityka[[#This Row],[Drop]]="Scroll", 2000*DropAnalityka[[#This Row],[Quality/Quantity]],0)</f>
        <v>0</v>
      </c>
      <c r="K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10:12">
      <c r="J687">
        <f>DropAnalityka[[#This Row],[Sell Drop]]+IF(DropAnalityka[[#This Row],[Drop]]="Scroll", 2000*DropAnalityka[[#This Row],[Quality/Quantity]],0)</f>
        <v>0</v>
      </c>
      <c r="K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10:12">
      <c r="J688">
        <f>DropAnalityka[[#This Row],[Sell Drop]]+IF(DropAnalityka[[#This Row],[Drop]]="Scroll", 2000*DropAnalityka[[#This Row],[Quality/Quantity]],0)</f>
        <v>0</v>
      </c>
      <c r="K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10:12">
      <c r="J689">
        <f>DropAnalityka[[#This Row],[Sell Drop]]+IF(DropAnalityka[[#This Row],[Drop]]="Scroll", 2000*DropAnalityka[[#This Row],[Quality/Quantity]],0)</f>
        <v>0</v>
      </c>
      <c r="K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10:12">
      <c r="J690">
        <f>DropAnalityka[[#This Row],[Sell Drop]]+IF(DropAnalityka[[#This Row],[Drop]]="Scroll", 2000*DropAnalityka[[#This Row],[Quality/Quantity]],0)</f>
        <v>0</v>
      </c>
      <c r="K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10:12">
      <c r="J691">
        <f>DropAnalityka[[#This Row],[Sell Drop]]+IF(DropAnalityka[[#This Row],[Drop]]="Scroll", 2000*DropAnalityka[[#This Row],[Quality/Quantity]],0)</f>
        <v>0</v>
      </c>
      <c r="K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10:12">
      <c r="J692">
        <f>DropAnalityka[[#This Row],[Sell Drop]]+IF(DropAnalityka[[#This Row],[Drop]]="Scroll", 2000*DropAnalityka[[#This Row],[Quality/Quantity]],0)</f>
        <v>0</v>
      </c>
      <c r="K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10:12">
      <c r="J693">
        <f>DropAnalityka[[#This Row],[Sell Drop]]+IF(DropAnalityka[[#This Row],[Drop]]="Scroll", 2000*DropAnalityka[[#This Row],[Quality/Quantity]],0)</f>
        <v>0</v>
      </c>
      <c r="K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10:12">
      <c r="J694">
        <f>DropAnalityka[[#This Row],[Sell Drop]]+IF(DropAnalityka[[#This Row],[Drop]]="Scroll", 2000*DropAnalityka[[#This Row],[Quality/Quantity]],0)</f>
        <v>0</v>
      </c>
      <c r="K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10:12">
      <c r="J695">
        <f>DropAnalityka[[#This Row],[Sell Drop]]+IF(DropAnalityka[[#This Row],[Drop]]="Scroll", 2000*DropAnalityka[[#This Row],[Quality/Quantity]],0)</f>
        <v>0</v>
      </c>
      <c r="K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10:12">
      <c r="J696">
        <f>DropAnalityka[[#This Row],[Sell Drop]]+IF(DropAnalityka[[#This Row],[Drop]]="Scroll", 2000*DropAnalityka[[#This Row],[Quality/Quantity]],0)</f>
        <v>0</v>
      </c>
      <c r="K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10:12">
      <c r="J697">
        <f>DropAnalityka[[#This Row],[Sell Drop]]+IF(DropAnalityka[[#This Row],[Drop]]="Scroll", 2000*DropAnalityka[[#This Row],[Quality/Quantity]],0)</f>
        <v>0</v>
      </c>
      <c r="K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10:12">
      <c r="J698">
        <f>DropAnalityka[[#This Row],[Sell Drop]]+IF(DropAnalityka[[#This Row],[Drop]]="Scroll", 2000*DropAnalityka[[#This Row],[Quality/Quantity]],0)</f>
        <v>0</v>
      </c>
      <c r="K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10:12">
      <c r="J699">
        <f>DropAnalityka[[#This Row],[Sell Drop]]+IF(DropAnalityka[[#This Row],[Drop]]="Scroll", 2000*DropAnalityka[[#This Row],[Quality/Quantity]],0)</f>
        <v>0</v>
      </c>
      <c r="K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10:12">
      <c r="J700">
        <f>DropAnalityka[[#This Row],[Sell Drop]]+IF(DropAnalityka[[#This Row],[Drop]]="Scroll", 2000*DropAnalityka[[#This Row],[Quality/Quantity]],0)</f>
        <v>0</v>
      </c>
      <c r="K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10:12">
      <c r="J701">
        <f>DropAnalityka[[#This Row],[Sell Drop]]+IF(DropAnalityka[[#This Row],[Drop]]="Scroll", 2000*DropAnalityka[[#This Row],[Quality/Quantity]],0)</f>
        <v>0</v>
      </c>
      <c r="K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10:12">
      <c r="J702">
        <f>DropAnalityka[[#This Row],[Sell Drop]]+IF(DropAnalityka[[#This Row],[Drop]]="Scroll", 2000*DropAnalityka[[#This Row],[Quality/Quantity]],0)</f>
        <v>0</v>
      </c>
      <c r="K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10:12">
      <c r="J703">
        <f>DropAnalityka[[#This Row],[Sell Drop]]+IF(DropAnalityka[[#This Row],[Drop]]="Scroll", 2000*DropAnalityka[[#This Row],[Quality/Quantity]],0)</f>
        <v>0</v>
      </c>
      <c r="K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10:12">
      <c r="J704">
        <f>DropAnalityka[[#This Row],[Sell Drop]]+IF(DropAnalityka[[#This Row],[Drop]]="Scroll", 2000*DropAnalityka[[#This Row],[Quality/Quantity]],0)</f>
        <v>0</v>
      </c>
      <c r="K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10:12">
      <c r="J705">
        <f>DropAnalityka[[#This Row],[Sell Drop]]+IF(DropAnalityka[[#This Row],[Drop]]="Scroll", 2000*DropAnalityka[[#This Row],[Quality/Quantity]],0)</f>
        <v>0</v>
      </c>
      <c r="K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10:12">
      <c r="J706">
        <f>DropAnalityka[[#This Row],[Sell Drop]]+IF(DropAnalityka[[#This Row],[Drop]]="Scroll", 2000*DropAnalityka[[#This Row],[Quality/Quantity]],0)</f>
        <v>0</v>
      </c>
      <c r="K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10:12">
      <c r="J707">
        <f>DropAnalityka[[#This Row],[Sell Drop]]+IF(DropAnalityka[[#This Row],[Drop]]="Scroll", 2000*DropAnalityka[[#This Row],[Quality/Quantity]],0)</f>
        <v>0</v>
      </c>
      <c r="K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10:12">
      <c r="J708">
        <f>DropAnalityka[[#This Row],[Sell Drop]]+IF(DropAnalityka[[#This Row],[Drop]]="Scroll", 2000*DropAnalityka[[#This Row],[Quality/Quantity]],0)</f>
        <v>0</v>
      </c>
      <c r="K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10:12">
      <c r="J709">
        <f>DropAnalityka[[#This Row],[Sell Drop]]+IF(DropAnalityka[[#This Row],[Drop]]="Scroll", 2000*DropAnalityka[[#This Row],[Quality/Quantity]],0)</f>
        <v>0</v>
      </c>
      <c r="K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10:12">
      <c r="J710">
        <f>DropAnalityka[[#This Row],[Sell Drop]]+IF(DropAnalityka[[#This Row],[Drop]]="Scroll", 2000*DropAnalityka[[#This Row],[Quality/Quantity]],0)</f>
        <v>0</v>
      </c>
      <c r="K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10:12">
      <c r="J711">
        <f>DropAnalityka[[#This Row],[Sell Drop]]+IF(DropAnalityka[[#This Row],[Drop]]="Scroll", 2000*DropAnalityka[[#This Row],[Quality/Quantity]],0)</f>
        <v>0</v>
      </c>
      <c r="K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10:12">
      <c r="J712">
        <f>DropAnalityka[[#This Row],[Sell Drop]]+IF(DropAnalityka[[#This Row],[Drop]]="Scroll", 2000*DropAnalityka[[#This Row],[Quality/Quantity]],0)</f>
        <v>0</v>
      </c>
      <c r="K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10:12">
      <c r="J713">
        <f>DropAnalityka[[#This Row],[Sell Drop]]+IF(DropAnalityka[[#This Row],[Drop]]="Scroll", 2000*DropAnalityka[[#This Row],[Quality/Quantity]],0)</f>
        <v>0</v>
      </c>
      <c r="K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10:12">
      <c r="J714">
        <f>DropAnalityka[[#This Row],[Sell Drop]]+IF(DropAnalityka[[#This Row],[Drop]]="Scroll", 2000*DropAnalityka[[#This Row],[Quality/Quantity]],0)</f>
        <v>0</v>
      </c>
      <c r="K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10:12">
      <c r="J715">
        <f>DropAnalityka[[#This Row],[Sell Drop]]+IF(DropAnalityka[[#This Row],[Drop]]="Scroll", 2000*DropAnalityka[[#This Row],[Quality/Quantity]],0)</f>
        <v>0</v>
      </c>
      <c r="K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10:12">
      <c r="J716">
        <f>DropAnalityka[[#This Row],[Sell Drop]]+IF(DropAnalityka[[#This Row],[Drop]]="Scroll", 2000*DropAnalityka[[#This Row],[Quality/Quantity]],0)</f>
        <v>0</v>
      </c>
      <c r="K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10:12">
      <c r="J717">
        <f>DropAnalityka[[#This Row],[Sell Drop]]+IF(DropAnalityka[[#This Row],[Drop]]="Scroll", 2000*DropAnalityka[[#This Row],[Quality/Quantity]],0)</f>
        <v>0</v>
      </c>
      <c r="K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10:12">
      <c r="J718">
        <f>DropAnalityka[[#This Row],[Sell Drop]]+IF(DropAnalityka[[#This Row],[Drop]]="Scroll", 2000*DropAnalityka[[#This Row],[Quality/Quantity]],0)</f>
        <v>0</v>
      </c>
      <c r="K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10:12">
      <c r="J719">
        <f>DropAnalityka[[#This Row],[Sell Drop]]+IF(DropAnalityka[[#This Row],[Drop]]="Scroll", 2000*DropAnalityka[[#This Row],[Quality/Quantity]],0)</f>
        <v>0</v>
      </c>
      <c r="K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10:12">
      <c r="J720">
        <f>DropAnalityka[[#This Row],[Sell Drop]]+IF(DropAnalityka[[#This Row],[Drop]]="Scroll", 2000*DropAnalityka[[#This Row],[Quality/Quantity]],0)</f>
        <v>0</v>
      </c>
      <c r="K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10:12">
      <c r="J721">
        <f>DropAnalityka[[#This Row],[Sell Drop]]+IF(DropAnalityka[[#This Row],[Drop]]="Scroll", 2000*DropAnalityka[[#This Row],[Quality/Quantity]],0)</f>
        <v>0</v>
      </c>
      <c r="K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10:12">
      <c r="J722">
        <f>DropAnalityka[[#This Row],[Sell Drop]]+IF(DropAnalityka[[#This Row],[Drop]]="Scroll", 2000*DropAnalityka[[#This Row],[Quality/Quantity]],0)</f>
        <v>0</v>
      </c>
      <c r="K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10:12">
      <c r="J723">
        <f>DropAnalityka[[#This Row],[Sell Drop]]+IF(DropAnalityka[[#This Row],[Drop]]="Scroll", 2000*DropAnalityka[[#This Row],[Quality/Quantity]],0)</f>
        <v>0</v>
      </c>
      <c r="K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10:12">
      <c r="J724">
        <f>DropAnalityka[[#This Row],[Sell Drop]]+IF(DropAnalityka[[#This Row],[Drop]]="Scroll", 2000*DropAnalityka[[#This Row],[Quality/Quantity]],0)</f>
        <v>0</v>
      </c>
      <c r="K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10:12">
      <c r="J725">
        <f>DropAnalityka[[#This Row],[Sell Drop]]+IF(DropAnalityka[[#This Row],[Drop]]="Scroll", 2000*DropAnalityka[[#This Row],[Quality/Quantity]],0)</f>
        <v>0</v>
      </c>
      <c r="K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10:12">
      <c r="J726">
        <f>DropAnalityka[[#This Row],[Sell Drop]]+IF(DropAnalityka[[#This Row],[Drop]]="Scroll", 2000*DropAnalityka[[#This Row],[Quality/Quantity]],0)</f>
        <v>0</v>
      </c>
      <c r="K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10:12">
      <c r="J727">
        <f>DropAnalityka[[#This Row],[Sell Drop]]+IF(DropAnalityka[[#This Row],[Drop]]="Scroll", 2000*DropAnalityka[[#This Row],[Quality/Quantity]],0)</f>
        <v>0</v>
      </c>
      <c r="K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10:12">
      <c r="J728">
        <f>DropAnalityka[[#This Row],[Sell Drop]]+IF(DropAnalityka[[#This Row],[Drop]]="Scroll", 2000*DropAnalityka[[#This Row],[Quality/Quantity]],0)</f>
        <v>0</v>
      </c>
      <c r="K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10:12">
      <c r="J729">
        <f>DropAnalityka[[#This Row],[Sell Drop]]+IF(DropAnalityka[[#This Row],[Drop]]="Scroll", 2000*DropAnalityka[[#This Row],[Quality/Quantity]],0)</f>
        <v>0</v>
      </c>
      <c r="K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10:12">
      <c r="J730">
        <f>DropAnalityka[[#This Row],[Sell Drop]]+IF(DropAnalityka[[#This Row],[Drop]]="Scroll", 2000*DropAnalityka[[#This Row],[Quality/Quantity]],0)</f>
        <v>0</v>
      </c>
      <c r="K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10:12">
      <c r="J731">
        <f>DropAnalityka[[#This Row],[Sell Drop]]+IF(DropAnalityka[[#This Row],[Drop]]="Scroll", 2000*DropAnalityka[[#This Row],[Quality/Quantity]],0)</f>
        <v>0</v>
      </c>
      <c r="K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10:12">
      <c r="J732">
        <f>DropAnalityka[[#This Row],[Sell Drop]]+IF(DropAnalityka[[#This Row],[Drop]]="Scroll", 2000*DropAnalityka[[#This Row],[Quality/Quantity]],0)</f>
        <v>0</v>
      </c>
      <c r="K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10:12">
      <c r="J733">
        <f>DropAnalityka[[#This Row],[Sell Drop]]+IF(DropAnalityka[[#This Row],[Drop]]="Scroll", 2000*DropAnalityka[[#This Row],[Quality/Quantity]],0)</f>
        <v>0</v>
      </c>
      <c r="K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10:12">
      <c r="J734">
        <f>DropAnalityka[[#This Row],[Sell Drop]]+IF(DropAnalityka[[#This Row],[Drop]]="Scroll", 2000*DropAnalityka[[#This Row],[Quality/Quantity]],0)</f>
        <v>0</v>
      </c>
      <c r="K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10:12">
      <c r="J735">
        <f>DropAnalityka[[#This Row],[Sell Drop]]+IF(DropAnalityka[[#This Row],[Drop]]="Scroll", 2000*DropAnalityka[[#This Row],[Quality/Quantity]],0)</f>
        <v>0</v>
      </c>
      <c r="K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10:12">
      <c r="J736">
        <f>DropAnalityka[[#This Row],[Sell Drop]]+IF(DropAnalityka[[#This Row],[Drop]]="Scroll", 2000*DropAnalityka[[#This Row],[Quality/Quantity]],0)</f>
        <v>0</v>
      </c>
      <c r="K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2">
      <c r="J737">
        <f>DropAnalityka[[#This Row],[Sell Drop]]+IF(DropAnalityka[[#This Row],[Drop]]="Scroll", 2000*DropAnalityka[[#This Row],[Quality/Quantity]],0)</f>
        <v>0</v>
      </c>
      <c r="K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2">
      <c r="J738">
        <f>DropAnalityka[[#This Row],[Sell Drop]]+IF(DropAnalityka[[#This Row],[Drop]]="Scroll", 2000*DropAnalityka[[#This Row],[Quality/Quantity]],0)</f>
        <v>0</v>
      </c>
      <c r="K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2">
      <c r="A739" s="6"/>
      <c r="B739" s="6"/>
      <c r="C739" s="6"/>
      <c r="D739" s="6"/>
      <c r="E739" s="6"/>
      <c r="F739" s="6"/>
      <c r="G739" s="6"/>
      <c r="H739" s="6"/>
      <c r="I739" s="6"/>
      <c r="J739">
        <f>DropAnalityka[[#This Row],[Sell Drop]]+IF(DropAnalityka[[#This Row],[Drop]]="Scroll", 2000*DropAnalityka[[#This Row],[Quality/Quantity]],0)</f>
        <v>0</v>
      </c>
      <c r="K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A28" sqref="A28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features'!$P$9</f>
        <v>390558.36234058515</v>
      </c>
      <c r="D3">
        <f>'EXP lvls'!O10/Summary!C3</f>
        <v>5.0327945565428829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2677473.9931413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3463119.7380489702</v>
      </c>
      <c r="C11" s="1">
        <f t="shared" si="1"/>
        <v>2197075.7632988528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3175655.4006995726</v>
      </c>
      <c r="C12" s="1">
        <f t="shared" si="1"/>
        <v>2134801.9186896472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3056542.0307034589</v>
      </c>
      <c r="C13" s="1">
        <f t="shared" si="1"/>
        <v>2134801.9186896472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2691106.2316715545</v>
      </c>
      <c r="C18" s="1">
        <f t="shared" ref="C18:C21" si="4">($G18+$H18)/($O18-$N18)*M18</f>
        <v>2212931.6367302057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4440.4901960784318</v>
      </c>
      <c r="N18">
        <f>SUMIFS(LocFeatures[[#All],[Energy gain]],LocFeatures[[#All],[Location]],Summary!$I18,LocFeatures[[#All],[LVL]],Summary!$J18,LocFeatures[[#All],[Stage]],Summary!$K18)</f>
        <v>0.97385620915032678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4416524.1516547967</v>
      </c>
      <c r="C19" s="1">
        <f t="shared" si="4"/>
        <v>1815882.6107561796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4440.4901960784318</v>
      </c>
      <c r="N19">
        <f>SUMIFS(LocFeatures[[#All],[Energy gain]],LocFeatures[[#All],[Location]],Summary!$I19,LocFeatures[[#All],[LVL]],Summary!$J19,LocFeatures[[#All],[Stage]],Summary!$K19)</f>
        <v>0.97385620915032678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4049920.2555509005</v>
      </c>
      <c r="C20" s="1">
        <f t="shared" si="4"/>
        <v>1764413.2925743612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4440.4901960784318</v>
      </c>
      <c r="N20">
        <f>SUMIFS(LocFeatures[[#All],[Energy gain]],LocFeatures[[#All],[Location]],Summary!$I20,LocFeatures[[#All],[LVL]],Summary!$J20,LocFeatures[[#All],[Stage]],Summary!$K20)</f>
        <v>0.97385620915032678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3898014.7151235859</v>
      </c>
      <c r="C21" s="1">
        <f t="shared" si="4"/>
        <v>1764413.2925743612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4440.4901960784318</v>
      </c>
      <c r="N21">
        <f>SUMIFS(LocFeatures[[#All],[Energy gain]],LocFeatures[[#All],[Location]],Summary!$I21,LocFeatures[[#All],[LVL]],Summary!$J21,LocFeatures[[#All],[Stage]],Summary!$K21)</f>
        <v>0.97385620915032678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1548304.2450087226</v>
      </c>
      <c r="C22" s="1">
        <f t="shared" ref="C22" si="6">($G22+$H22)/($O22-$N22)*M22</f>
        <v>636595.35375072702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4440.4901960784318</v>
      </c>
      <c r="N22">
        <f>SUMIFS(LocFeatures[[#All],[Energy gain]],LocFeatures[[#All],[Location]],Summary!$I22,LocFeatures[[#All],[LVL]],Summary!$J22,LocFeatures[[#All],[Stage]],Summary!$K22)</f>
        <v>0.97385620915032678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2060827.3146208632</v>
      </c>
      <c r="C23" s="1">
        <f t="shared" ref="C23" si="9">($G23+$H23)/($O23-$N23)*M23</f>
        <v>847322.54503560963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4440.4901960784318</v>
      </c>
      <c r="N23">
        <f>SUMIFS(LocFeatures[[#All],[Energy gain]],LocFeatures[[#All],[Location]],Summary!$I23,LocFeatures[[#All],[LVL]],Summary!$J23,LocFeatures[[#All],[Stage]],Summary!$K23)</f>
        <v>0.97385620915032678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4331579.3464599913</v>
      </c>
      <c r="C24" s="1">
        <f t="shared" ref="C24:C26" si="11">($G24+$H24)/($O24-$N24)*M24</f>
        <v>1780957.0019899455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4440.4901960784318</v>
      </c>
      <c r="N24">
        <f>SUMIFS(LocFeatures[[#All],[Energy gain]],LocFeatures[[#All],[Location]],Summary!$I24,LocFeatures[[#All],[LVL]],Summary!$J24,LocFeatures[[#All],[Stage]],Summary!$K24)</f>
        <v>0.97385620915032678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947603.288646837</v>
      </c>
      <c r="C34" s="1">
        <f t="shared" si="19"/>
        <v>389613.25120444078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4440.4901960784318</v>
      </c>
      <c r="N34">
        <f>SUMIFS(LocFeatures[[#All],[Energy gain]],LocFeatures[[#All],[Location]],Summary!$I34,LocFeatures[[#All],[LVL]],Summary!$J34,LocFeatures[[#All],[Stage]],Summary!$K34)</f>
        <v>0.97385620915032678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719247.42354419769</v>
      </c>
      <c r="C35" s="1">
        <f t="shared" ref="C35:C40" si="23">($G35+$H35)/($O35-$N35)*M35</f>
        <v>591446.5060745707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4440.4901960784318</v>
      </c>
      <c r="N35">
        <f>SUMIFS(LocFeatures[[#All],[Energy gain]],LocFeatures[[#All],[Location]],Summary!$I35,LocFeatures[[#All],[LVL]],Summary!$J35,LocFeatures[[#All],[Stage]],Summary!$K35)</f>
        <v>0.97385620915032678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631223.38901227282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958219.12327093619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958219.12327093619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223</v>
      </c>
      <c r="C2" t="s">
        <v>196</v>
      </c>
      <c r="D2" t="s">
        <v>201</v>
      </c>
      <c r="E2" t="s">
        <v>202</v>
      </c>
      <c r="F2" t="s">
        <v>226</v>
      </c>
    </row>
    <row r="3" spans="1:6">
      <c r="A3" t="s">
        <v>177</v>
      </c>
      <c r="B3" t="s">
        <v>223</v>
      </c>
      <c r="C3" t="s">
        <v>200</v>
      </c>
      <c r="D3" t="s">
        <v>198</v>
      </c>
      <c r="E3" t="s">
        <v>199</v>
      </c>
      <c r="F3" t="s">
        <v>226</v>
      </c>
    </row>
    <row r="4" spans="1:6">
      <c r="A4" t="s">
        <v>178</v>
      </c>
      <c r="B4" t="s">
        <v>223</v>
      </c>
      <c r="C4" t="s">
        <v>179</v>
      </c>
      <c r="D4" t="s">
        <v>201</v>
      </c>
      <c r="E4" t="s">
        <v>203</v>
      </c>
      <c r="F4" t="s">
        <v>227</v>
      </c>
    </row>
    <row r="5" spans="1:6">
      <c r="A5" t="s">
        <v>181</v>
      </c>
      <c r="B5" t="s">
        <v>180</v>
      </c>
      <c r="C5" t="s">
        <v>196</v>
      </c>
      <c r="D5" t="s">
        <v>218</v>
      </c>
      <c r="E5" t="s">
        <v>197</v>
      </c>
      <c r="F5" t="s">
        <v>227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227</v>
      </c>
    </row>
    <row r="7" spans="1:6">
      <c r="A7" t="s">
        <v>157</v>
      </c>
      <c r="B7" t="s">
        <v>219</v>
      </c>
      <c r="C7" t="s">
        <v>220</v>
      </c>
    </row>
    <row r="8" spans="1:6">
      <c r="A8" t="s">
        <v>221</v>
      </c>
      <c r="B8" t="s">
        <v>185</v>
      </c>
      <c r="C8" t="s">
        <v>98</v>
      </c>
      <c r="D8" t="s">
        <v>222</v>
      </c>
    </row>
    <row r="9" spans="1:6">
      <c r="A9" t="s">
        <v>224</v>
      </c>
      <c r="B9" t="s">
        <v>183</v>
      </c>
      <c r="C9" t="s">
        <v>225</v>
      </c>
      <c r="D9" t="s">
        <v>201</v>
      </c>
      <c r="F9" t="s">
        <v>227</v>
      </c>
    </row>
    <row r="10" spans="1:6">
      <c r="A10" t="s">
        <v>250</v>
      </c>
      <c r="B10" t="s">
        <v>185</v>
      </c>
      <c r="C10" t="s">
        <v>98</v>
      </c>
    </row>
    <row r="11" spans="1:6">
      <c r="A11" t="s">
        <v>251</v>
      </c>
      <c r="B11" t="s">
        <v>180</v>
      </c>
      <c r="C11" t="s">
        <v>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228</v>
      </c>
      <c r="B1" t="s">
        <v>239</v>
      </c>
      <c r="C1" t="s">
        <v>229</v>
      </c>
      <c r="D1" t="s">
        <v>230</v>
      </c>
      <c r="E1" t="s">
        <v>231</v>
      </c>
      <c r="F1" t="s">
        <v>232</v>
      </c>
      <c r="G1" t="s">
        <v>191</v>
      </c>
      <c r="H1" t="s">
        <v>233</v>
      </c>
      <c r="I1" t="s">
        <v>234</v>
      </c>
      <c r="J1" t="s">
        <v>235</v>
      </c>
      <c r="K1" t="s">
        <v>238</v>
      </c>
      <c r="L1" t="s">
        <v>240</v>
      </c>
      <c r="M1" t="s">
        <v>241</v>
      </c>
    </row>
    <row r="2" spans="1:13">
      <c r="A2" t="s">
        <v>236</v>
      </c>
      <c r="C2">
        <v>1</v>
      </c>
      <c r="D2">
        <v>4</v>
      </c>
      <c r="G2">
        <v>3</v>
      </c>
      <c r="J2">
        <v>7</v>
      </c>
    </row>
    <row r="3" spans="1:13">
      <c r="A3" t="s">
        <v>236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237</v>
      </c>
      <c r="C4">
        <v>1</v>
      </c>
      <c r="E4">
        <v>119</v>
      </c>
      <c r="G4">
        <v>3</v>
      </c>
      <c r="H4">
        <v>5</v>
      </c>
      <c r="J4">
        <v>10</v>
      </c>
      <c r="M4" t="s">
        <v>242</v>
      </c>
    </row>
    <row r="5" spans="1:13">
      <c r="A5" t="s">
        <v>236</v>
      </c>
      <c r="B5" t="s">
        <v>29</v>
      </c>
      <c r="C5">
        <v>2</v>
      </c>
      <c r="I5">
        <v>4</v>
      </c>
      <c r="J5">
        <v>24</v>
      </c>
      <c r="L5">
        <v>4</v>
      </c>
      <c r="M5" t="s">
        <v>242</v>
      </c>
    </row>
    <row r="6" spans="1:13">
      <c r="A6" t="s">
        <v>237</v>
      </c>
      <c r="B6" t="s">
        <v>28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236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236</v>
      </c>
      <c r="C8">
        <v>4</v>
      </c>
      <c r="G8">
        <v>6</v>
      </c>
      <c r="H8">
        <v>6</v>
      </c>
    </row>
    <row r="9" spans="1:13">
      <c r="A9" t="s">
        <v>237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236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  <vt:lpstr>Runes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2015-10-02T14:38:18Z</dcterms:modified>
</cp:coreProperties>
</file>