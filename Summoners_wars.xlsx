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 activeTab="2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45621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Q32" i="4" l="1"/>
  <c r="L32" i="4"/>
  <c r="K32" i="4"/>
  <c r="J32" i="4"/>
  <c r="O32" i="4" s="1"/>
  <c r="R32" i="4" s="1"/>
  <c r="D2" i="18"/>
  <c r="D3" i="18" s="1"/>
  <c r="C5" i="18"/>
  <c r="C4" i="18"/>
  <c r="C2" i="18"/>
  <c r="C9" i="18" l="1"/>
  <c r="E9" i="18" s="1"/>
  <c r="C8" i="18"/>
  <c r="C3" i="18"/>
  <c r="C7" i="18" s="1"/>
  <c r="I2" i="18"/>
  <c r="D6" i="18"/>
  <c r="D7" i="18"/>
  <c r="D4" i="18"/>
  <c r="D5" i="18" l="1"/>
  <c r="I5" i="18" s="1"/>
  <c r="E2" i="18"/>
  <c r="C6" i="18"/>
  <c r="E6" i="18" s="1"/>
  <c r="F6" i="18" s="1"/>
  <c r="D8" i="18"/>
  <c r="I4" i="18"/>
  <c r="E8" i="18"/>
  <c r="E4" i="18"/>
  <c r="J55" i="6"/>
  <c r="J46" i="6"/>
  <c r="F2" i="18" l="1"/>
  <c r="H2" i="18" s="1"/>
  <c r="G2" i="18"/>
  <c r="F4" i="18"/>
  <c r="G4" i="18"/>
  <c r="E5" i="18"/>
  <c r="F8" i="18"/>
  <c r="D9" i="18"/>
  <c r="F9" i="18" s="1"/>
  <c r="I3" i="18"/>
  <c r="E7" i="18"/>
  <c r="F7" i="18" s="1"/>
  <c r="E3" i="18"/>
  <c r="Q31" i="4"/>
  <c r="L31" i="4"/>
  <c r="K31" i="4"/>
  <c r="J31" i="4"/>
  <c r="K2" i="17"/>
  <c r="J2" i="17"/>
  <c r="I2" i="17"/>
  <c r="H2" i="17"/>
  <c r="G2" i="17"/>
  <c r="H4" i="18" l="1"/>
  <c r="F5" i="18"/>
  <c r="H5" i="18" s="1"/>
  <c r="G5" i="18"/>
  <c r="F3" i="18"/>
  <c r="H3" i="18" s="1"/>
  <c r="G3" i="18"/>
  <c r="O31" i="4"/>
  <c r="R31" i="4" s="1"/>
  <c r="D3" i="17"/>
  <c r="B4" i="17"/>
  <c r="B3" i="17"/>
  <c r="D2" i="17"/>
  <c r="Q6" i="3"/>
  <c r="Q30" i="4" l="1"/>
  <c r="L30" i="4"/>
  <c r="K30" i="4"/>
  <c r="J30" i="4"/>
  <c r="O30" i="4" l="1"/>
  <c r="R30" i="4" s="1"/>
  <c r="O6" i="14"/>
  <c r="O9" i="14" s="1"/>
  <c r="P6" i="14"/>
  <c r="P9" i="14" s="1"/>
  <c r="M3" i="1"/>
  <c r="O4" i="1" s="1"/>
  <c r="Q29" i="4" l="1"/>
  <c r="L29" i="4"/>
  <c r="K29" i="4"/>
  <c r="J29" i="4"/>
  <c r="O29" i="4" l="1"/>
  <c r="R29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5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17" i="14"/>
  <c r="G16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17" i="14"/>
  <c r="C12" i="14"/>
  <c r="C16" i="14" s="1"/>
  <c r="S116" i="13"/>
  <c r="S221" i="13"/>
  <c r="S234" i="13"/>
  <c r="S35" i="13"/>
  <c r="S232" i="13"/>
  <c r="S204" i="13"/>
  <c r="S207" i="13"/>
  <c r="S135" i="13"/>
  <c r="S214" i="13"/>
  <c r="S154" i="13"/>
  <c r="S222" i="13"/>
  <c r="S235" i="13"/>
  <c r="S187" i="13"/>
  <c r="S203" i="13"/>
  <c r="S210" i="13"/>
  <c r="S226" i="13"/>
  <c r="S230" i="13"/>
  <c r="S136" i="13"/>
  <c r="S15" i="13"/>
  <c r="S228" i="13"/>
  <c r="S218" i="13"/>
  <c r="S117" i="13"/>
  <c r="S156" i="13"/>
  <c r="S212" i="13"/>
  <c r="S202" i="13"/>
  <c r="S211" i="13"/>
  <c r="S137" i="13"/>
  <c r="S215" i="13"/>
  <c r="S208" i="13"/>
  <c r="S225" i="13"/>
  <c r="S229" i="13"/>
  <c r="S205" i="13"/>
  <c r="S29" i="13"/>
  <c r="S216" i="13"/>
  <c r="S209" i="13"/>
  <c r="S219" i="13"/>
  <c r="S223" i="13"/>
  <c r="S233" i="13"/>
  <c r="S206" i="13"/>
  <c r="S155" i="13"/>
  <c r="S213" i="13"/>
  <c r="S217" i="13"/>
  <c r="S220" i="13"/>
  <c r="S224" i="13"/>
  <c r="S227" i="13"/>
  <c r="S231" i="13"/>
  <c r="S157" i="13"/>
  <c r="S94" i="13"/>
  <c r="S77" i="13"/>
  <c r="S95" i="13"/>
  <c r="S138" i="13"/>
  <c r="S16" i="13"/>
  <c r="S96" i="13"/>
  <c r="S140" i="13"/>
  <c r="S247" i="13"/>
  <c r="S252" i="13"/>
  <c r="S193" i="13"/>
  <c r="S24" i="13"/>
  <c r="S164" i="13"/>
  <c r="S167" i="13"/>
  <c r="S83" i="13"/>
  <c r="S196" i="13"/>
  <c r="S268" i="13"/>
  <c r="S38" i="13"/>
  <c r="S170" i="13"/>
  <c r="S278" i="13"/>
  <c r="S279" i="13"/>
  <c r="S282" i="13"/>
  <c r="S287" i="13"/>
  <c r="S292" i="13"/>
  <c r="S297" i="13"/>
  <c r="S300" i="13"/>
  <c r="S305" i="13"/>
  <c r="S100" i="13"/>
  <c r="S309" i="13"/>
  <c r="S174" i="13"/>
  <c r="S314" i="13"/>
  <c r="S199" i="13"/>
  <c r="S50" i="13"/>
  <c r="S23" i="13"/>
  <c r="S236" i="13"/>
  <c r="S78" i="13"/>
  <c r="S160" i="13"/>
  <c r="S79" i="13"/>
  <c r="S159" i="13"/>
  <c r="S161" i="13"/>
  <c r="S248" i="13"/>
  <c r="S253" i="13"/>
  <c r="S194" i="13"/>
  <c r="S255" i="13"/>
  <c r="S81" i="13"/>
  <c r="S258" i="13"/>
  <c r="S168" i="13"/>
  <c r="S264" i="13"/>
  <c r="S269" i="13"/>
  <c r="S273" i="13"/>
  <c r="S276" i="13"/>
  <c r="S172" i="13"/>
  <c r="S280" i="13"/>
  <c r="S283" i="13"/>
  <c r="S288" i="13"/>
  <c r="S293" i="13"/>
  <c r="S18" i="13"/>
  <c r="S301" i="13"/>
  <c r="S306" i="13"/>
  <c r="S312" i="13"/>
  <c r="S19" i="13"/>
  <c r="S188" i="13"/>
  <c r="S190" i="13"/>
  <c r="S237" i="13"/>
  <c r="S239" i="13"/>
  <c r="S139" i="13"/>
  <c r="S243" i="13"/>
  <c r="S141" i="13"/>
  <c r="S249" i="13"/>
  <c r="S43" i="13"/>
  <c r="S120" i="13"/>
  <c r="S5" i="13"/>
  <c r="S257" i="13"/>
  <c r="S259" i="13"/>
  <c r="S262" i="13"/>
  <c r="S265" i="13"/>
  <c r="S270" i="13"/>
  <c r="S274" i="13"/>
  <c r="S52" i="13"/>
  <c r="S197" i="13"/>
  <c r="S281" i="13"/>
  <c r="S284" i="13"/>
  <c r="S289" i="13"/>
  <c r="S294" i="13"/>
  <c r="S298" i="13"/>
  <c r="S302" i="13"/>
  <c r="S84" i="13"/>
  <c r="S315" i="13"/>
  <c r="S158" i="13"/>
  <c r="S36" i="13"/>
  <c r="S238" i="13"/>
  <c r="S240" i="13"/>
  <c r="S241" i="13"/>
  <c r="S244" i="13"/>
  <c r="S246" i="13"/>
  <c r="S250" i="13"/>
  <c r="S191" i="13"/>
  <c r="S162" i="13"/>
  <c r="S195" i="13"/>
  <c r="S80" i="13"/>
  <c r="S51" i="13"/>
  <c r="S165" i="13"/>
  <c r="S260" i="13"/>
  <c r="S261" i="13"/>
  <c r="S263" i="13"/>
  <c r="S266" i="13"/>
  <c r="S271" i="13"/>
  <c r="S275" i="13"/>
  <c r="S277" i="13"/>
  <c r="S99" i="13"/>
  <c r="S285" i="13"/>
  <c r="S290" i="13"/>
  <c r="S295" i="13"/>
  <c r="S299" i="13"/>
  <c r="S303" i="13"/>
  <c r="S307" i="13"/>
  <c r="S310" i="13"/>
  <c r="S53" i="13"/>
  <c r="S311" i="13"/>
  <c r="S142" i="13"/>
  <c r="S316" i="13"/>
  <c r="S189" i="13"/>
  <c r="S118" i="13"/>
  <c r="S37" i="13"/>
  <c r="S119" i="13"/>
  <c r="S242" i="13"/>
  <c r="S245" i="13"/>
  <c r="S327" i="13"/>
  <c r="S251" i="13"/>
  <c r="S192" i="13"/>
  <c r="S163" i="13"/>
  <c r="S254" i="13"/>
  <c r="S97" i="13"/>
  <c r="S67" i="13"/>
  <c r="S256" i="13"/>
  <c r="S98" i="13"/>
  <c r="S166" i="13"/>
  <c r="S82" i="13"/>
  <c r="S169" i="13"/>
  <c r="S267" i="13"/>
  <c r="S272" i="13"/>
  <c r="S2" i="13"/>
  <c r="S171" i="13"/>
  <c r="S173" i="13"/>
  <c r="S286" i="13"/>
  <c r="S291" i="13"/>
  <c r="S296" i="13"/>
  <c r="S198" i="13"/>
  <c r="S304" i="13"/>
  <c r="S308" i="13"/>
  <c r="S10" i="13"/>
  <c r="S313" i="13"/>
  <c r="S20" i="13"/>
  <c r="S54" i="13"/>
  <c r="S101" i="13"/>
  <c r="S44" i="13"/>
  <c r="S68" i="13"/>
  <c r="S21" i="13"/>
  <c r="S123" i="13"/>
  <c r="S143" i="13"/>
  <c r="S179" i="13"/>
  <c r="S319" i="13"/>
  <c r="S89" i="13"/>
  <c r="S41" i="13"/>
  <c r="S32" i="13"/>
  <c r="S59" i="13"/>
  <c r="S60" i="13"/>
  <c r="S322" i="13"/>
  <c r="S90" i="13"/>
  <c r="S62" i="13"/>
  <c r="S150" i="13"/>
  <c r="S13" i="13"/>
  <c r="S152" i="13"/>
  <c r="S66" i="13"/>
  <c r="S185" i="13"/>
  <c r="S34" i="13"/>
  <c r="S324" i="13"/>
  <c r="S153" i="13"/>
  <c r="S4" i="13"/>
  <c r="S175" i="13"/>
  <c r="S86" i="13"/>
  <c r="S8" i="13"/>
  <c r="S122" i="13"/>
  <c r="S57" i="13"/>
  <c r="S45" i="13"/>
  <c r="S124" i="13"/>
  <c r="S320" i="13"/>
  <c r="S144" i="13"/>
  <c r="S201" i="13"/>
  <c r="S58" i="13"/>
  <c r="S104" i="13"/>
  <c r="S105" i="13"/>
  <c r="S323" i="13"/>
  <c r="S22" i="13"/>
  <c r="S63" i="13"/>
  <c r="S7" i="13"/>
  <c r="S64" i="13"/>
  <c r="S183" i="13"/>
  <c r="S110" i="13"/>
  <c r="S111" i="13"/>
  <c r="S14" i="13"/>
  <c r="S112" i="13"/>
  <c r="S186" i="13"/>
  <c r="S326" i="13"/>
  <c r="S325" i="13"/>
  <c r="S121" i="13"/>
  <c r="S200" i="13"/>
  <c r="S39" i="13"/>
  <c r="S17" i="13"/>
  <c r="S25" i="13"/>
  <c r="S46" i="13"/>
  <c r="S318" i="13"/>
  <c r="S180" i="13"/>
  <c r="S145" i="13"/>
  <c r="S181" i="13"/>
  <c r="S71" i="13"/>
  <c r="S126" i="13"/>
  <c r="S61" i="13"/>
  <c r="S42" i="13"/>
  <c r="S106" i="13"/>
  <c r="S108" i="13"/>
  <c r="S151" i="13"/>
  <c r="S65" i="13"/>
  <c r="S184" i="13"/>
  <c r="S3" i="13"/>
  <c r="S92" i="13"/>
  <c r="S133" i="13"/>
  <c r="S49" i="13"/>
  <c r="S28" i="13"/>
  <c r="S115" i="13"/>
  <c r="S93" i="13"/>
  <c r="S176" i="13"/>
  <c r="S55" i="13"/>
  <c r="S30" i="13"/>
  <c r="S56" i="13"/>
  <c r="S40" i="13"/>
  <c r="S69" i="13"/>
  <c r="S9" i="13"/>
  <c r="S88" i="13"/>
  <c r="S26" i="13"/>
  <c r="S125" i="13"/>
  <c r="S31" i="13"/>
  <c r="S127" i="13"/>
  <c r="S182" i="13"/>
  <c r="S130" i="13"/>
  <c r="S72" i="13"/>
  <c r="S109" i="13"/>
  <c r="S73" i="13"/>
  <c r="S47" i="13"/>
  <c r="S132" i="13"/>
  <c r="S74" i="13"/>
  <c r="S76" i="13"/>
  <c r="S113" i="13"/>
  <c r="S85" i="13"/>
  <c r="S87" i="13"/>
  <c r="S177" i="13"/>
  <c r="S317" i="13"/>
  <c r="S12" i="13"/>
  <c r="S178" i="13"/>
  <c r="S70" i="13"/>
  <c r="S102" i="13"/>
  <c r="S321" i="13"/>
  <c r="S146" i="13"/>
  <c r="S147" i="13"/>
  <c r="S148" i="13"/>
  <c r="S103" i="13"/>
  <c r="S134" i="13"/>
  <c r="S128" i="13"/>
  <c r="S129" i="13"/>
  <c r="S149" i="13"/>
  <c r="S107" i="13"/>
  <c r="S91" i="13"/>
  <c r="S131" i="13"/>
  <c r="S33" i="13"/>
  <c r="S48" i="13"/>
  <c r="S27" i="13"/>
  <c r="S75" i="13"/>
  <c r="S11" i="13"/>
  <c r="S6" i="13"/>
  <c r="S114" i="13"/>
  <c r="R116" i="13"/>
  <c r="R221" i="13"/>
  <c r="R234" i="13"/>
  <c r="R35" i="13"/>
  <c r="R232" i="13"/>
  <c r="R204" i="13"/>
  <c r="R207" i="13"/>
  <c r="R135" i="13"/>
  <c r="R214" i="13"/>
  <c r="R154" i="13"/>
  <c r="R222" i="13"/>
  <c r="R235" i="13"/>
  <c r="R187" i="13"/>
  <c r="R203" i="13"/>
  <c r="R210" i="13"/>
  <c r="R226" i="13"/>
  <c r="R230" i="13"/>
  <c r="R136" i="13"/>
  <c r="R15" i="13"/>
  <c r="R228" i="13"/>
  <c r="R218" i="13"/>
  <c r="R117" i="13"/>
  <c r="R156" i="13"/>
  <c r="R212" i="13"/>
  <c r="R202" i="13"/>
  <c r="R211" i="13"/>
  <c r="R137" i="13"/>
  <c r="R215" i="13"/>
  <c r="R208" i="13"/>
  <c r="R225" i="13"/>
  <c r="R229" i="13"/>
  <c r="R205" i="13"/>
  <c r="R29" i="13"/>
  <c r="R216" i="13"/>
  <c r="R209" i="13"/>
  <c r="R219" i="13"/>
  <c r="R223" i="13"/>
  <c r="R233" i="13"/>
  <c r="R206" i="13"/>
  <c r="R155" i="13"/>
  <c r="R213" i="13"/>
  <c r="R217" i="13"/>
  <c r="R220" i="13"/>
  <c r="R224" i="13"/>
  <c r="R227" i="13"/>
  <c r="R231" i="13"/>
  <c r="R157" i="13"/>
  <c r="R94" i="13"/>
  <c r="R77" i="13"/>
  <c r="R95" i="13"/>
  <c r="R138" i="13"/>
  <c r="R16" i="13"/>
  <c r="R96" i="13"/>
  <c r="R140" i="13"/>
  <c r="R247" i="13"/>
  <c r="R252" i="13"/>
  <c r="R193" i="13"/>
  <c r="R24" i="13"/>
  <c r="R164" i="13"/>
  <c r="R167" i="13"/>
  <c r="R83" i="13"/>
  <c r="R196" i="13"/>
  <c r="R268" i="13"/>
  <c r="R38" i="13"/>
  <c r="R170" i="13"/>
  <c r="R278" i="13"/>
  <c r="R279" i="13"/>
  <c r="R282" i="13"/>
  <c r="R287" i="13"/>
  <c r="R292" i="13"/>
  <c r="R297" i="13"/>
  <c r="R300" i="13"/>
  <c r="R305" i="13"/>
  <c r="R100" i="13"/>
  <c r="R309" i="13"/>
  <c r="R174" i="13"/>
  <c r="R314" i="13"/>
  <c r="R199" i="13"/>
  <c r="R50" i="13"/>
  <c r="R23" i="13"/>
  <c r="R236" i="13"/>
  <c r="R78" i="13"/>
  <c r="R160" i="13"/>
  <c r="R79" i="13"/>
  <c r="R159" i="13"/>
  <c r="R161" i="13"/>
  <c r="R248" i="13"/>
  <c r="R253" i="13"/>
  <c r="R194" i="13"/>
  <c r="R255" i="13"/>
  <c r="R81" i="13"/>
  <c r="R258" i="13"/>
  <c r="R168" i="13"/>
  <c r="R264" i="13"/>
  <c r="R269" i="13"/>
  <c r="R273" i="13"/>
  <c r="R276" i="13"/>
  <c r="R172" i="13"/>
  <c r="R280" i="13"/>
  <c r="R283" i="13"/>
  <c r="R288" i="13"/>
  <c r="R293" i="13"/>
  <c r="R18" i="13"/>
  <c r="R301" i="13"/>
  <c r="R306" i="13"/>
  <c r="R312" i="13"/>
  <c r="R19" i="13"/>
  <c r="R188" i="13"/>
  <c r="R190" i="13"/>
  <c r="R237" i="13"/>
  <c r="R239" i="13"/>
  <c r="R139" i="13"/>
  <c r="R243" i="13"/>
  <c r="R141" i="13"/>
  <c r="R249" i="13"/>
  <c r="R43" i="13"/>
  <c r="R120" i="13"/>
  <c r="R5" i="13"/>
  <c r="R257" i="13"/>
  <c r="R259" i="13"/>
  <c r="R262" i="13"/>
  <c r="R265" i="13"/>
  <c r="R270" i="13"/>
  <c r="R274" i="13"/>
  <c r="R52" i="13"/>
  <c r="R197" i="13"/>
  <c r="R281" i="13"/>
  <c r="R284" i="13"/>
  <c r="R289" i="13"/>
  <c r="R294" i="13"/>
  <c r="R298" i="13"/>
  <c r="R302" i="13"/>
  <c r="R84" i="13"/>
  <c r="R315" i="13"/>
  <c r="R158" i="13"/>
  <c r="R36" i="13"/>
  <c r="R238" i="13"/>
  <c r="R240" i="13"/>
  <c r="R241" i="13"/>
  <c r="R244" i="13"/>
  <c r="R246" i="13"/>
  <c r="R250" i="13"/>
  <c r="R191" i="13"/>
  <c r="R162" i="13"/>
  <c r="R195" i="13"/>
  <c r="R80" i="13"/>
  <c r="R51" i="13"/>
  <c r="R165" i="13"/>
  <c r="R260" i="13"/>
  <c r="R261" i="13"/>
  <c r="R263" i="13"/>
  <c r="R266" i="13"/>
  <c r="R271" i="13"/>
  <c r="R275" i="13"/>
  <c r="R277" i="13"/>
  <c r="R99" i="13"/>
  <c r="R285" i="13"/>
  <c r="R290" i="13"/>
  <c r="R295" i="13"/>
  <c r="R299" i="13"/>
  <c r="R303" i="13"/>
  <c r="R307" i="13"/>
  <c r="R310" i="13"/>
  <c r="R53" i="13"/>
  <c r="R311" i="13"/>
  <c r="R142" i="13"/>
  <c r="R316" i="13"/>
  <c r="R189" i="13"/>
  <c r="R118" i="13"/>
  <c r="R37" i="13"/>
  <c r="R119" i="13"/>
  <c r="R242" i="13"/>
  <c r="R245" i="13"/>
  <c r="R327" i="13"/>
  <c r="R251" i="13"/>
  <c r="R192" i="13"/>
  <c r="R163" i="13"/>
  <c r="R254" i="13"/>
  <c r="R97" i="13"/>
  <c r="R67" i="13"/>
  <c r="R256" i="13"/>
  <c r="R98" i="13"/>
  <c r="R166" i="13"/>
  <c r="R82" i="13"/>
  <c r="R169" i="13"/>
  <c r="R267" i="13"/>
  <c r="R272" i="13"/>
  <c r="R2" i="13"/>
  <c r="R171" i="13"/>
  <c r="R173" i="13"/>
  <c r="R286" i="13"/>
  <c r="R291" i="13"/>
  <c r="R296" i="13"/>
  <c r="R198" i="13"/>
  <c r="R304" i="13"/>
  <c r="R308" i="13"/>
  <c r="R10" i="13"/>
  <c r="R313" i="13"/>
  <c r="R20" i="13"/>
  <c r="R54" i="13"/>
  <c r="R101" i="13"/>
  <c r="R44" i="13"/>
  <c r="R68" i="13"/>
  <c r="R21" i="13"/>
  <c r="R123" i="13"/>
  <c r="R143" i="13"/>
  <c r="R179" i="13"/>
  <c r="R319" i="13"/>
  <c r="R89" i="13"/>
  <c r="R41" i="13"/>
  <c r="R32" i="13"/>
  <c r="R59" i="13"/>
  <c r="R60" i="13"/>
  <c r="R322" i="13"/>
  <c r="R90" i="13"/>
  <c r="R62" i="13"/>
  <c r="R150" i="13"/>
  <c r="R13" i="13"/>
  <c r="R152" i="13"/>
  <c r="R66" i="13"/>
  <c r="R185" i="13"/>
  <c r="R34" i="13"/>
  <c r="R324" i="13"/>
  <c r="R153" i="13"/>
  <c r="R4" i="13"/>
  <c r="R175" i="13"/>
  <c r="R86" i="13"/>
  <c r="R8" i="13"/>
  <c r="R122" i="13"/>
  <c r="R57" i="13"/>
  <c r="R45" i="13"/>
  <c r="R124" i="13"/>
  <c r="R320" i="13"/>
  <c r="R144" i="13"/>
  <c r="R201" i="13"/>
  <c r="R58" i="13"/>
  <c r="R104" i="13"/>
  <c r="R105" i="13"/>
  <c r="R323" i="13"/>
  <c r="R22" i="13"/>
  <c r="R63" i="13"/>
  <c r="R7" i="13"/>
  <c r="R64" i="13"/>
  <c r="R183" i="13"/>
  <c r="R110" i="13"/>
  <c r="R111" i="13"/>
  <c r="R14" i="13"/>
  <c r="R112" i="13"/>
  <c r="R186" i="13"/>
  <c r="R326" i="13"/>
  <c r="R325" i="13"/>
  <c r="R121" i="13"/>
  <c r="R200" i="13"/>
  <c r="R39" i="13"/>
  <c r="R17" i="13"/>
  <c r="R25" i="13"/>
  <c r="R46" i="13"/>
  <c r="R318" i="13"/>
  <c r="R180" i="13"/>
  <c r="R145" i="13"/>
  <c r="R181" i="13"/>
  <c r="R71" i="13"/>
  <c r="R126" i="13"/>
  <c r="R61" i="13"/>
  <c r="R42" i="13"/>
  <c r="R106" i="13"/>
  <c r="R108" i="13"/>
  <c r="R151" i="13"/>
  <c r="R65" i="13"/>
  <c r="R184" i="13"/>
  <c r="R3" i="13"/>
  <c r="R92" i="13"/>
  <c r="R133" i="13"/>
  <c r="R49" i="13"/>
  <c r="R28" i="13"/>
  <c r="R115" i="13"/>
  <c r="R93" i="13"/>
  <c r="R176" i="13"/>
  <c r="R55" i="13"/>
  <c r="R30" i="13"/>
  <c r="R56" i="13"/>
  <c r="R40" i="13"/>
  <c r="R69" i="13"/>
  <c r="R9" i="13"/>
  <c r="R88" i="13"/>
  <c r="R26" i="13"/>
  <c r="R125" i="13"/>
  <c r="R31" i="13"/>
  <c r="R127" i="13"/>
  <c r="R182" i="13"/>
  <c r="R130" i="13"/>
  <c r="R72" i="13"/>
  <c r="R109" i="13"/>
  <c r="R73" i="13"/>
  <c r="R47" i="13"/>
  <c r="R132" i="13"/>
  <c r="R74" i="13"/>
  <c r="R76" i="13"/>
  <c r="R113" i="13"/>
  <c r="R85" i="13"/>
  <c r="R87" i="13"/>
  <c r="R177" i="13"/>
  <c r="R317" i="13"/>
  <c r="R12" i="13"/>
  <c r="R178" i="13"/>
  <c r="R70" i="13"/>
  <c r="R102" i="13"/>
  <c r="R321" i="13"/>
  <c r="R146" i="13"/>
  <c r="R147" i="13"/>
  <c r="R148" i="13"/>
  <c r="R103" i="13"/>
  <c r="R134" i="13"/>
  <c r="R128" i="13"/>
  <c r="R129" i="13"/>
  <c r="R149" i="13"/>
  <c r="R107" i="13"/>
  <c r="R91" i="13"/>
  <c r="R131" i="13"/>
  <c r="R33" i="13"/>
  <c r="R48" i="13"/>
  <c r="R27" i="13"/>
  <c r="R75" i="13"/>
  <c r="R11" i="13"/>
  <c r="R6" i="13"/>
  <c r="R114" i="13"/>
  <c r="Q116" i="13"/>
  <c r="Q221" i="13"/>
  <c r="Q234" i="13"/>
  <c r="Q35" i="13"/>
  <c r="Q232" i="13"/>
  <c r="Q204" i="13"/>
  <c r="Q207" i="13"/>
  <c r="Q135" i="13"/>
  <c r="Q214" i="13"/>
  <c r="Q154" i="13"/>
  <c r="Q222" i="13"/>
  <c r="Q235" i="13"/>
  <c r="Q187" i="13"/>
  <c r="Q203" i="13"/>
  <c r="Q210" i="13"/>
  <c r="Q226" i="13"/>
  <c r="Q230" i="13"/>
  <c r="Q136" i="13"/>
  <c r="Q15" i="13"/>
  <c r="Q228" i="13"/>
  <c r="Q218" i="13"/>
  <c r="Q117" i="13"/>
  <c r="Q156" i="13"/>
  <c r="Q212" i="13"/>
  <c r="Q202" i="13"/>
  <c r="Q211" i="13"/>
  <c r="Q137" i="13"/>
  <c r="Q215" i="13"/>
  <c r="Q208" i="13"/>
  <c r="Q225" i="13"/>
  <c r="Q229" i="13"/>
  <c r="Q205" i="13"/>
  <c r="Q29" i="13"/>
  <c r="Q216" i="13"/>
  <c r="Q209" i="13"/>
  <c r="Q219" i="13"/>
  <c r="Q223" i="13"/>
  <c r="Q233" i="13"/>
  <c r="Q206" i="13"/>
  <c r="Q155" i="13"/>
  <c r="Q213" i="13"/>
  <c r="Q217" i="13"/>
  <c r="Q220" i="13"/>
  <c r="Q224" i="13"/>
  <c r="Q227" i="13"/>
  <c r="Q231" i="13"/>
  <c r="Q157" i="13"/>
  <c r="Q94" i="13"/>
  <c r="Q77" i="13"/>
  <c r="Q95" i="13"/>
  <c r="Q138" i="13"/>
  <c r="Q16" i="13"/>
  <c r="Q96" i="13"/>
  <c r="Q140" i="13"/>
  <c r="Q247" i="13"/>
  <c r="Q252" i="13"/>
  <c r="Q193" i="13"/>
  <c r="Q24" i="13"/>
  <c r="Q164" i="13"/>
  <c r="Q167" i="13"/>
  <c r="Q83" i="13"/>
  <c r="Q196" i="13"/>
  <c r="Q268" i="13"/>
  <c r="Q38" i="13"/>
  <c r="Q170" i="13"/>
  <c r="Q278" i="13"/>
  <c r="Q279" i="13"/>
  <c r="Q282" i="13"/>
  <c r="Q287" i="13"/>
  <c r="Q292" i="13"/>
  <c r="Q297" i="13"/>
  <c r="Q300" i="13"/>
  <c r="Q305" i="13"/>
  <c r="Q100" i="13"/>
  <c r="Q309" i="13"/>
  <c r="Q174" i="13"/>
  <c r="Q314" i="13"/>
  <c r="Q199" i="13"/>
  <c r="Q50" i="13"/>
  <c r="Q23" i="13"/>
  <c r="Q236" i="13"/>
  <c r="Q78" i="13"/>
  <c r="Q160" i="13"/>
  <c r="Q79" i="13"/>
  <c r="Q159" i="13"/>
  <c r="Q161" i="13"/>
  <c r="Q248" i="13"/>
  <c r="Q253" i="13"/>
  <c r="Q194" i="13"/>
  <c r="Q255" i="13"/>
  <c r="Q81" i="13"/>
  <c r="Q258" i="13"/>
  <c r="Q168" i="13"/>
  <c r="Q264" i="13"/>
  <c r="Q269" i="13"/>
  <c r="Q273" i="13"/>
  <c r="Q276" i="13"/>
  <c r="Q172" i="13"/>
  <c r="Q280" i="13"/>
  <c r="Q283" i="13"/>
  <c r="Q288" i="13"/>
  <c r="Q293" i="13"/>
  <c r="Q18" i="13"/>
  <c r="Q301" i="13"/>
  <c r="Q306" i="13"/>
  <c r="Q312" i="13"/>
  <c r="Q19" i="13"/>
  <c r="Q188" i="13"/>
  <c r="Q190" i="13"/>
  <c r="Q237" i="13"/>
  <c r="Q239" i="13"/>
  <c r="Q139" i="13"/>
  <c r="Q243" i="13"/>
  <c r="Q141" i="13"/>
  <c r="Q249" i="13"/>
  <c r="Q43" i="13"/>
  <c r="Q120" i="13"/>
  <c r="Q5" i="13"/>
  <c r="Q257" i="13"/>
  <c r="Q259" i="13"/>
  <c r="Q262" i="13"/>
  <c r="Q265" i="13"/>
  <c r="Q270" i="13"/>
  <c r="Q274" i="13"/>
  <c r="Q52" i="13"/>
  <c r="Q197" i="13"/>
  <c r="Q281" i="13"/>
  <c r="Q284" i="13"/>
  <c r="Q289" i="13"/>
  <c r="Q294" i="13"/>
  <c r="Q298" i="13"/>
  <c r="Q302" i="13"/>
  <c r="Q84" i="13"/>
  <c r="Q315" i="13"/>
  <c r="Q158" i="13"/>
  <c r="Q36" i="13"/>
  <c r="Q238" i="13"/>
  <c r="Q240" i="13"/>
  <c r="Q241" i="13"/>
  <c r="Q244" i="13"/>
  <c r="Q246" i="13"/>
  <c r="Q250" i="13"/>
  <c r="Q191" i="13"/>
  <c r="Q162" i="13"/>
  <c r="Q195" i="13"/>
  <c r="Q80" i="13"/>
  <c r="Q51" i="13"/>
  <c r="Q165" i="13"/>
  <c r="Q260" i="13"/>
  <c r="Q261" i="13"/>
  <c r="Q263" i="13"/>
  <c r="Q266" i="13"/>
  <c r="Q271" i="13"/>
  <c r="Q275" i="13"/>
  <c r="Q277" i="13"/>
  <c r="Q99" i="13"/>
  <c r="Q285" i="13"/>
  <c r="Q290" i="13"/>
  <c r="Q295" i="13"/>
  <c r="Q299" i="13"/>
  <c r="Q303" i="13"/>
  <c r="Q307" i="13"/>
  <c r="Q310" i="13"/>
  <c r="Q53" i="13"/>
  <c r="Q311" i="13"/>
  <c r="Q142" i="13"/>
  <c r="Q316" i="13"/>
  <c r="Q189" i="13"/>
  <c r="Q118" i="13"/>
  <c r="Q37" i="13"/>
  <c r="Q119" i="13"/>
  <c r="Q242" i="13"/>
  <c r="Q245" i="13"/>
  <c r="Q327" i="13"/>
  <c r="Q251" i="13"/>
  <c r="Q192" i="13"/>
  <c r="Q163" i="13"/>
  <c r="Q254" i="13"/>
  <c r="Q97" i="13"/>
  <c r="Q67" i="13"/>
  <c r="Q256" i="13"/>
  <c r="Q98" i="13"/>
  <c r="Q166" i="13"/>
  <c r="Q82" i="13"/>
  <c r="Q169" i="13"/>
  <c r="Q267" i="13"/>
  <c r="Q272" i="13"/>
  <c r="Q2" i="13"/>
  <c r="Q171" i="13"/>
  <c r="Q173" i="13"/>
  <c r="Q286" i="13"/>
  <c r="Q291" i="13"/>
  <c r="Q296" i="13"/>
  <c r="Q198" i="13"/>
  <c r="Q304" i="13"/>
  <c r="Q308" i="13"/>
  <c r="Q10" i="13"/>
  <c r="Q313" i="13"/>
  <c r="Q20" i="13"/>
  <c r="Q54" i="13"/>
  <c r="Q101" i="13"/>
  <c r="Q44" i="13"/>
  <c r="Q68" i="13"/>
  <c r="Q21" i="13"/>
  <c r="Q123" i="13"/>
  <c r="Q143" i="13"/>
  <c r="Q179" i="13"/>
  <c r="Q319" i="13"/>
  <c r="Q89" i="13"/>
  <c r="Q41" i="13"/>
  <c r="Q32" i="13"/>
  <c r="Q59" i="13"/>
  <c r="Q60" i="13"/>
  <c r="Q322" i="13"/>
  <c r="Q90" i="13"/>
  <c r="Q62" i="13"/>
  <c r="Q150" i="13"/>
  <c r="Q13" i="13"/>
  <c r="Q152" i="13"/>
  <c r="Q66" i="13"/>
  <c r="Q185" i="13"/>
  <c r="Q34" i="13"/>
  <c r="Q324" i="13"/>
  <c r="Q153" i="13"/>
  <c r="Q4" i="13"/>
  <c r="Q175" i="13"/>
  <c r="Q86" i="13"/>
  <c r="Q8" i="13"/>
  <c r="Q122" i="13"/>
  <c r="Q57" i="13"/>
  <c r="Q45" i="13"/>
  <c r="Q124" i="13"/>
  <c r="Q320" i="13"/>
  <c r="Q144" i="13"/>
  <c r="Q201" i="13"/>
  <c r="Q58" i="13"/>
  <c r="Q104" i="13"/>
  <c r="Q105" i="13"/>
  <c r="Q323" i="13"/>
  <c r="Q22" i="13"/>
  <c r="Q63" i="13"/>
  <c r="Q7" i="13"/>
  <c r="Q64" i="13"/>
  <c r="Q183" i="13"/>
  <c r="Q110" i="13"/>
  <c r="Q111" i="13"/>
  <c r="Q14" i="13"/>
  <c r="Q112" i="13"/>
  <c r="Q186" i="13"/>
  <c r="Q326" i="13"/>
  <c r="Q325" i="13"/>
  <c r="Q121" i="13"/>
  <c r="Q200" i="13"/>
  <c r="Q39" i="13"/>
  <c r="Q17" i="13"/>
  <c r="Q25" i="13"/>
  <c r="Q46" i="13"/>
  <c r="Q318" i="13"/>
  <c r="Q180" i="13"/>
  <c r="Q145" i="13"/>
  <c r="Q181" i="13"/>
  <c r="Q71" i="13"/>
  <c r="Q126" i="13"/>
  <c r="Q61" i="13"/>
  <c r="Q42" i="13"/>
  <c r="Q106" i="13"/>
  <c r="Q108" i="13"/>
  <c r="Q151" i="13"/>
  <c r="Q65" i="13"/>
  <c r="Q184" i="13"/>
  <c r="Q3" i="13"/>
  <c r="Q92" i="13"/>
  <c r="Q133" i="13"/>
  <c r="Q49" i="13"/>
  <c r="Q28" i="13"/>
  <c r="Q115" i="13"/>
  <c r="Q93" i="13"/>
  <c r="Q176" i="13"/>
  <c r="Q55" i="13"/>
  <c r="Q30" i="13"/>
  <c r="Q56" i="13"/>
  <c r="Q40" i="13"/>
  <c r="Q69" i="13"/>
  <c r="Q9" i="13"/>
  <c r="Q88" i="13"/>
  <c r="Q26" i="13"/>
  <c r="Q125" i="13"/>
  <c r="Q31" i="13"/>
  <c r="Q127" i="13"/>
  <c r="Q182" i="13"/>
  <c r="Q130" i="13"/>
  <c r="Q72" i="13"/>
  <c r="Q109" i="13"/>
  <c r="Q73" i="13"/>
  <c r="Q47" i="13"/>
  <c r="Q132" i="13"/>
  <c r="Q74" i="13"/>
  <c r="Q76" i="13"/>
  <c r="Q113" i="13"/>
  <c r="Q85" i="13"/>
  <c r="Q87" i="13"/>
  <c r="Q177" i="13"/>
  <c r="Q317" i="13"/>
  <c r="Q12" i="13"/>
  <c r="Q178" i="13"/>
  <c r="Q70" i="13"/>
  <c r="Q102" i="13"/>
  <c r="Q321" i="13"/>
  <c r="Q146" i="13"/>
  <c r="Q147" i="13"/>
  <c r="Q148" i="13"/>
  <c r="Q103" i="13"/>
  <c r="Q134" i="13"/>
  <c r="Q128" i="13"/>
  <c r="Q129" i="13"/>
  <c r="Q149" i="13"/>
  <c r="Q107" i="13"/>
  <c r="Q91" i="13"/>
  <c r="Q131" i="13"/>
  <c r="Q33" i="13"/>
  <c r="Q48" i="13"/>
  <c r="Q27" i="13"/>
  <c r="Q75" i="13"/>
  <c r="Q11" i="13"/>
  <c r="Q6" i="13"/>
  <c r="Q114" i="13"/>
  <c r="T116" i="13"/>
  <c r="T221" i="13"/>
  <c r="T234" i="13"/>
  <c r="T35" i="13"/>
  <c r="T232" i="13"/>
  <c r="T204" i="13"/>
  <c r="T207" i="13"/>
  <c r="T135" i="13"/>
  <c r="T214" i="13"/>
  <c r="T154" i="13"/>
  <c r="T222" i="13"/>
  <c r="T235" i="13"/>
  <c r="T187" i="13"/>
  <c r="T203" i="13"/>
  <c r="T210" i="13"/>
  <c r="T226" i="13"/>
  <c r="T230" i="13"/>
  <c r="T136" i="13"/>
  <c r="T15" i="13"/>
  <c r="T228" i="13"/>
  <c r="T218" i="13"/>
  <c r="T117" i="13"/>
  <c r="T156" i="13"/>
  <c r="T212" i="13"/>
  <c r="T202" i="13"/>
  <c r="T211" i="13"/>
  <c r="T137" i="13"/>
  <c r="T215" i="13"/>
  <c r="T208" i="13"/>
  <c r="T225" i="13"/>
  <c r="T229" i="13"/>
  <c r="T205" i="13"/>
  <c r="T29" i="13"/>
  <c r="T216" i="13"/>
  <c r="T209" i="13"/>
  <c r="T219" i="13"/>
  <c r="T223" i="13"/>
  <c r="T233" i="13"/>
  <c r="T206" i="13"/>
  <c r="T155" i="13"/>
  <c r="T213" i="13"/>
  <c r="T217" i="13"/>
  <c r="T220" i="13"/>
  <c r="T224" i="13"/>
  <c r="T227" i="13"/>
  <c r="T231" i="13"/>
  <c r="T157" i="13"/>
  <c r="T94" i="13"/>
  <c r="T77" i="13"/>
  <c r="T95" i="13"/>
  <c r="T138" i="13"/>
  <c r="T16" i="13"/>
  <c r="T96" i="13"/>
  <c r="T140" i="13"/>
  <c r="T247" i="13"/>
  <c r="T252" i="13"/>
  <c r="T193" i="13"/>
  <c r="T24" i="13"/>
  <c r="T164" i="13"/>
  <c r="T167" i="13"/>
  <c r="T83" i="13"/>
  <c r="T196" i="13"/>
  <c r="T268" i="13"/>
  <c r="T38" i="13"/>
  <c r="T170" i="13"/>
  <c r="T278" i="13"/>
  <c r="T279" i="13"/>
  <c r="T282" i="13"/>
  <c r="T287" i="13"/>
  <c r="T292" i="13"/>
  <c r="T297" i="13"/>
  <c r="T300" i="13"/>
  <c r="T305" i="13"/>
  <c r="T100" i="13"/>
  <c r="T309" i="13"/>
  <c r="T174" i="13"/>
  <c r="T314" i="13"/>
  <c r="T199" i="13"/>
  <c r="T50" i="13"/>
  <c r="T23" i="13"/>
  <c r="T236" i="13"/>
  <c r="T78" i="13"/>
  <c r="T160" i="13"/>
  <c r="T79" i="13"/>
  <c r="T159" i="13"/>
  <c r="T161" i="13"/>
  <c r="T248" i="13"/>
  <c r="T253" i="13"/>
  <c r="T194" i="13"/>
  <c r="T255" i="13"/>
  <c r="T81" i="13"/>
  <c r="T258" i="13"/>
  <c r="T168" i="13"/>
  <c r="T264" i="13"/>
  <c r="T269" i="13"/>
  <c r="T273" i="13"/>
  <c r="T276" i="13"/>
  <c r="T172" i="13"/>
  <c r="T280" i="13"/>
  <c r="T283" i="13"/>
  <c r="T288" i="13"/>
  <c r="T293" i="13"/>
  <c r="T18" i="13"/>
  <c r="T301" i="13"/>
  <c r="T306" i="13"/>
  <c r="T312" i="13"/>
  <c r="T19" i="13"/>
  <c r="T188" i="13"/>
  <c r="T190" i="13"/>
  <c r="T237" i="13"/>
  <c r="T239" i="13"/>
  <c r="T139" i="13"/>
  <c r="T243" i="13"/>
  <c r="T141" i="13"/>
  <c r="T249" i="13"/>
  <c r="T43" i="13"/>
  <c r="T120" i="13"/>
  <c r="T5" i="13"/>
  <c r="T257" i="13"/>
  <c r="T259" i="13"/>
  <c r="T262" i="13"/>
  <c r="T265" i="13"/>
  <c r="T270" i="13"/>
  <c r="T274" i="13"/>
  <c r="T52" i="13"/>
  <c r="T197" i="13"/>
  <c r="T281" i="13"/>
  <c r="T284" i="13"/>
  <c r="T289" i="13"/>
  <c r="T294" i="13"/>
  <c r="T298" i="13"/>
  <c r="T302" i="13"/>
  <c r="T84" i="13"/>
  <c r="T315" i="13"/>
  <c r="T158" i="13"/>
  <c r="T36" i="13"/>
  <c r="T238" i="13"/>
  <c r="T240" i="13"/>
  <c r="T241" i="13"/>
  <c r="T244" i="13"/>
  <c r="T246" i="13"/>
  <c r="T250" i="13"/>
  <c r="T191" i="13"/>
  <c r="T162" i="13"/>
  <c r="T195" i="13"/>
  <c r="T80" i="13"/>
  <c r="T51" i="13"/>
  <c r="T165" i="13"/>
  <c r="T260" i="13"/>
  <c r="T261" i="13"/>
  <c r="T263" i="13"/>
  <c r="T266" i="13"/>
  <c r="T271" i="13"/>
  <c r="T275" i="13"/>
  <c r="T277" i="13"/>
  <c r="T99" i="13"/>
  <c r="T285" i="13"/>
  <c r="T290" i="13"/>
  <c r="T295" i="13"/>
  <c r="T299" i="13"/>
  <c r="T303" i="13"/>
  <c r="T307" i="13"/>
  <c r="T310" i="13"/>
  <c r="T53" i="13"/>
  <c r="T311" i="13"/>
  <c r="T142" i="13"/>
  <c r="T316" i="13"/>
  <c r="T189" i="13"/>
  <c r="T118" i="13"/>
  <c r="T37" i="13"/>
  <c r="T119" i="13"/>
  <c r="T242" i="13"/>
  <c r="T245" i="13"/>
  <c r="T327" i="13"/>
  <c r="T251" i="13"/>
  <c r="T192" i="13"/>
  <c r="T163" i="13"/>
  <c r="T254" i="13"/>
  <c r="T97" i="13"/>
  <c r="T67" i="13"/>
  <c r="T256" i="13"/>
  <c r="T98" i="13"/>
  <c r="T166" i="13"/>
  <c r="T82" i="13"/>
  <c r="T169" i="13"/>
  <c r="T267" i="13"/>
  <c r="T272" i="13"/>
  <c r="T2" i="13"/>
  <c r="T171" i="13"/>
  <c r="T173" i="13"/>
  <c r="T286" i="13"/>
  <c r="T291" i="13"/>
  <c r="T296" i="13"/>
  <c r="T198" i="13"/>
  <c r="T304" i="13"/>
  <c r="T308" i="13"/>
  <c r="T10" i="13"/>
  <c r="T313" i="13"/>
  <c r="T20" i="13"/>
  <c r="T54" i="13"/>
  <c r="T101" i="13"/>
  <c r="T44" i="13"/>
  <c r="T68" i="13"/>
  <c r="T21" i="13"/>
  <c r="T123" i="13"/>
  <c r="T143" i="13"/>
  <c r="T179" i="13"/>
  <c r="T319" i="13"/>
  <c r="T89" i="13"/>
  <c r="T41" i="13"/>
  <c r="T32" i="13"/>
  <c r="T59" i="13"/>
  <c r="T60" i="13"/>
  <c r="T322" i="13"/>
  <c r="T90" i="13"/>
  <c r="T62" i="13"/>
  <c r="T150" i="13"/>
  <c r="T13" i="13"/>
  <c r="T152" i="13"/>
  <c r="T66" i="13"/>
  <c r="T185" i="13"/>
  <c r="T34" i="13"/>
  <c r="T324" i="13"/>
  <c r="T153" i="13"/>
  <c r="T4" i="13"/>
  <c r="T175" i="13"/>
  <c r="T86" i="13"/>
  <c r="T8" i="13"/>
  <c r="T122" i="13"/>
  <c r="T57" i="13"/>
  <c r="T45" i="13"/>
  <c r="T124" i="13"/>
  <c r="T320" i="13"/>
  <c r="T144" i="13"/>
  <c r="T201" i="13"/>
  <c r="T58" i="13"/>
  <c r="T104" i="13"/>
  <c r="T105" i="13"/>
  <c r="T323" i="13"/>
  <c r="T22" i="13"/>
  <c r="T63" i="13"/>
  <c r="T7" i="13"/>
  <c r="T64" i="13"/>
  <c r="T183" i="13"/>
  <c r="T110" i="13"/>
  <c r="T111" i="13"/>
  <c r="T14" i="13"/>
  <c r="T112" i="13"/>
  <c r="T186" i="13"/>
  <c r="T326" i="13"/>
  <c r="T325" i="13"/>
  <c r="T121" i="13"/>
  <c r="T200" i="13"/>
  <c r="T39" i="13"/>
  <c r="T17" i="13"/>
  <c r="T25" i="13"/>
  <c r="T46" i="13"/>
  <c r="T318" i="13"/>
  <c r="T180" i="13"/>
  <c r="T145" i="13"/>
  <c r="T181" i="13"/>
  <c r="T71" i="13"/>
  <c r="T126" i="13"/>
  <c r="T61" i="13"/>
  <c r="T42" i="13"/>
  <c r="T106" i="13"/>
  <c r="T108" i="13"/>
  <c r="T151" i="13"/>
  <c r="T65" i="13"/>
  <c r="T184" i="13"/>
  <c r="T3" i="13"/>
  <c r="T92" i="13"/>
  <c r="T133" i="13"/>
  <c r="T49" i="13"/>
  <c r="T28" i="13"/>
  <c r="T115" i="13"/>
  <c r="T93" i="13"/>
  <c r="T176" i="13"/>
  <c r="T55" i="13"/>
  <c r="T30" i="13"/>
  <c r="T56" i="13"/>
  <c r="T40" i="13"/>
  <c r="T69" i="13"/>
  <c r="T9" i="13"/>
  <c r="T88" i="13"/>
  <c r="T26" i="13"/>
  <c r="T125" i="13"/>
  <c r="T31" i="13"/>
  <c r="T127" i="13"/>
  <c r="T182" i="13"/>
  <c r="T130" i="13"/>
  <c r="T72" i="13"/>
  <c r="T109" i="13"/>
  <c r="T73" i="13"/>
  <c r="T47" i="13"/>
  <c r="T132" i="13"/>
  <c r="T74" i="13"/>
  <c r="T76" i="13"/>
  <c r="T113" i="13"/>
  <c r="T85" i="13"/>
  <c r="T87" i="13"/>
  <c r="T177" i="13"/>
  <c r="T317" i="13"/>
  <c r="T12" i="13"/>
  <c r="T178" i="13"/>
  <c r="T70" i="13"/>
  <c r="T102" i="13"/>
  <c r="T321" i="13"/>
  <c r="T146" i="13"/>
  <c r="T147" i="13"/>
  <c r="T148" i="13"/>
  <c r="T103" i="13"/>
  <c r="T134" i="13"/>
  <c r="T128" i="13"/>
  <c r="T129" i="13"/>
  <c r="T149" i="13"/>
  <c r="T107" i="13"/>
  <c r="T91" i="13"/>
  <c r="T131" i="13"/>
  <c r="T33" i="13"/>
  <c r="T48" i="13"/>
  <c r="T27" i="13"/>
  <c r="T75" i="13"/>
  <c r="T11" i="13"/>
  <c r="T6" i="13"/>
  <c r="T114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19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AT13" i="6" l="1"/>
  <c r="AS13" i="6"/>
  <c r="AO14" i="6"/>
  <c r="AU14" i="6" s="1"/>
  <c r="AM13" i="6"/>
  <c r="AR10" i="6"/>
  <c r="AQ10" i="6"/>
  <c r="K3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U6" i="5"/>
  <c r="W6" i="5"/>
  <c r="T6" i="5"/>
  <c r="S6" i="5"/>
  <c r="R6" i="5"/>
  <c r="V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7" i="3"/>
  <c r="L1228" i="3"/>
  <c r="L1229" i="3"/>
  <c r="L1230" i="3"/>
  <c r="L1231" i="3"/>
  <c r="L1232" i="3"/>
  <c r="L1233" i="3"/>
  <c r="L1235" i="3"/>
  <c r="L1236" i="3"/>
  <c r="L1237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7" i="3"/>
  <c r="K1228" i="3"/>
  <c r="K1229" i="3"/>
  <c r="K1230" i="3"/>
  <c r="K1231" i="3"/>
  <c r="K1232" i="3"/>
  <c r="K1233" i="3"/>
  <c r="K1234" i="3"/>
  <c r="K1235" i="3"/>
  <c r="K1236" i="3"/>
  <c r="K1237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I32" i="4" s="1"/>
  <c r="N32" i="4" s="1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M32" i="4" l="1"/>
  <c r="P32" i="4" s="1"/>
  <c r="L1234" i="3"/>
  <c r="M31" i="4"/>
  <c r="P31" i="4" s="1"/>
  <c r="I31" i="4"/>
  <c r="N31" i="4" s="1"/>
  <c r="K1238" i="3"/>
  <c r="K1226" i="3"/>
  <c r="L1238" i="3"/>
  <c r="L1226" i="3"/>
  <c r="I30" i="4"/>
  <c r="N30" i="4" s="1"/>
  <c r="M30" i="4"/>
  <c r="P30" i="4" s="1"/>
  <c r="L1115" i="3"/>
  <c r="I29" i="4"/>
  <c r="N29" i="4" s="1"/>
  <c r="AT16" i="6"/>
  <c r="AS16" i="6"/>
  <c r="AO17" i="6"/>
  <c r="AU17" i="6" s="1"/>
  <c r="AM16" i="6"/>
  <c r="AR13" i="6"/>
  <c r="AQ13" i="6"/>
  <c r="I3" i="4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L12" i="4"/>
  <c r="M29" i="4" l="1"/>
  <c r="P29" i="4" s="1"/>
  <c r="AT17" i="6"/>
  <c r="AS17" i="6"/>
  <c r="AO18" i="6"/>
  <c r="AU18" i="6" s="1"/>
  <c r="AM17" i="6"/>
  <c r="AR14" i="6"/>
  <c r="AQ14" i="6"/>
  <c r="M20" i="4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V5" i="5"/>
  <c r="U4" i="5"/>
  <c r="W4" i="5"/>
  <c r="R5" i="5"/>
  <c r="S4" i="5"/>
  <c r="T4" i="5"/>
  <c r="U5" i="5"/>
  <c r="V4" i="5"/>
  <c r="T5" i="5"/>
  <c r="W5" i="5"/>
  <c r="S5" i="5"/>
  <c r="AT18" i="6" l="1"/>
  <c r="AS18" i="6"/>
  <c r="AO19" i="6"/>
  <c r="AU19" i="6" s="1"/>
  <c r="AM18" i="6"/>
  <c r="AR15" i="6"/>
  <c r="AQ15" i="6"/>
  <c r="P11" i="4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12" i="4"/>
  <c r="N12" i="4" s="1"/>
  <c r="Q26" i="4"/>
  <c r="L26" i="4"/>
  <c r="K26" i="4"/>
  <c r="J26" i="4"/>
  <c r="J2" i="4"/>
  <c r="AT20" i="6" l="1"/>
  <c r="AS20" i="6"/>
  <c r="AO21" i="6"/>
  <c r="AU21" i="6" s="1"/>
  <c r="AM20" i="6"/>
  <c r="AR17" i="6"/>
  <c r="AQ17" i="6"/>
  <c r="I11" i="4"/>
  <c r="N11" i="4" s="1"/>
  <c r="P22" i="4"/>
  <c r="I22" i="4"/>
  <c r="N22" i="4" s="1"/>
  <c r="I24" i="4"/>
  <c r="N24" i="4" s="1"/>
  <c r="P24" i="4"/>
  <c r="O26" i="4"/>
  <c r="R26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R57" i="9" s="1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89" i="9" l="1"/>
  <c r="R90" i="9" s="1"/>
  <c r="R58" i="9"/>
  <c r="R26" i="9"/>
  <c r="R29" i="9" s="1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15" i="4"/>
  <c r="L15" i="4"/>
  <c r="K15" i="4"/>
  <c r="J15" i="4"/>
  <c r="K33" i="9" l="1"/>
  <c r="J34" i="9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U34" i="9" l="1"/>
  <c r="U35" i="9"/>
  <c r="U33" i="9"/>
  <c r="U97" i="9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AT26" i="6" l="1"/>
  <c r="AS26" i="6"/>
  <c r="AO27" i="6"/>
  <c r="AU27" i="6" s="1"/>
  <c r="AM26" i="6"/>
  <c r="AR23" i="6"/>
  <c r="AQ23" i="6"/>
  <c r="B35" i="2"/>
  <c r="K23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0" i="4"/>
  <c r="AT29" i="6" l="1"/>
  <c r="AS29" i="6"/>
  <c r="AO30" i="6"/>
  <c r="AU30" i="6" s="1"/>
  <c r="AM29" i="6"/>
  <c r="AR26" i="6"/>
  <c r="AQ26" i="6"/>
  <c r="I21" i="4"/>
  <c r="N21" i="4" s="1"/>
  <c r="I6" i="4"/>
  <c r="N6" i="4" s="1"/>
  <c r="P18" i="4"/>
  <c r="P21" i="4"/>
  <c r="P6" i="4"/>
  <c r="P25" i="4"/>
  <c r="AT30" i="6" l="1"/>
  <c r="AS30" i="6"/>
  <c r="AO31" i="6"/>
  <c r="AU31" i="6" s="1"/>
  <c r="AM30" i="6"/>
  <c r="AR27" i="6"/>
  <c r="AQ27" i="6"/>
  <c r="P28" i="4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AT31" i="6" l="1"/>
  <c r="AS31" i="6"/>
  <c r="AO32" i="6"/>
  <c r="AU32" i="6" s="1"/>
  <c r="AM31" i="6"/>
  <c r="AQ28" i="6"/>
  <c r="AR28" i="6"/>
  <c r="I25" i="4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AT32" i="6" l="1"/>
  <c r="AS32" i="6"/>
  <c r="AO33" i="6"/>
  <c r="AU33" i="6" s="1"/>
  <c r="AM32" i="6"/>
  <c r="AR29" i="6"/>
  <c r="AQ29" i="6"/>
  <c r="N5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16" i="4"/>
  <c r="K19" i="4"/>
  <c r="K17" i="4"/>
  <c r="K7" i="4"/>
  <c r="K18" i="4"/>
  <c r="K14" i="4"/>
  <c r="K21" i="4"/>
  <c r="K4" i="4"/>
  <c r="K6" i="4"/>
  <c r="K9" i="4"/>
  <c r="K8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6" i="6"/>
  <c r="O24" i="2"/>
  <c r="O22" i="2"/>
  <c r="O23" i="2"/>
  <c r="P23" i="2"/>
  <c r="P24" i="2"/>
  <c r="P22" i="2"/>
  <c r="O7" i="6" l="1"/>
  <c r="O31" i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M34" i="1" s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<sst xmlns="http://schemas.openxmlformats.org/spreadsheetml/2006/main" count="7063" uniqueCount="874">
  <si>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</si>
  <si>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</si>
  <si>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</si>
  <si>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</si>
  <si>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</si>
  <si>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</si>
  <si>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</si>
  <si>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</si>
  <si>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</si>
  <si>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</si>
  <si>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</si>
  <si>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</si>
  <si>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</si>
  <si>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</si>
  <si>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</si>
  <si>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</si>
  <si>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</si>
  <si>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</si>
  <si>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</si>
  <si>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</si>
  <si>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</si>
  <si>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</si>
  <si>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</si>
  <si>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</si>
  <si>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</si>
  <si>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</si>
  <si>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</si>
  <si>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</si>
  <si>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</si>
  <si>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</si>
  <si>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</si>
  <si>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</si>
  <si>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</si>
  <si>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</si>
  <si>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</si>
  <si>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</si>
  <si>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</si>
  <si>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</si>
  <si>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</si>
  <si>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</si>
  <si>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</si>
  <si>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</si>
  <si>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</si>
  <si>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</si>
  <si>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</si>
  <si>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</si>
  <si>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</si>
  <si>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</si>
  <si>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</si>
  <si>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</si>
  <si>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</si>
  <si>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</si>
  <si>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</si>
  <si>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</si>
  <si>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</si>
  <si>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</si>
  <si>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</si>
  <si>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</si>
  <si>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</si>
  <si>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</si>
  <si>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</si>
  <si>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</si>
  <si>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</si>
  <si>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</si>
  <si>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</si>
  <si>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</si>
  <si>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</si>
  <si>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</si>
  <si>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</si>
  <si>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</si>
  <si>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</si>
  <si>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</si>
  <si>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</si>
  <si>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</si>
  <si>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</si>
  <si>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</si>
  <si>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</si>
  <si>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</si>
  <si>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</si>
  <si>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</si>
  <si>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</si>
  <si>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</si>
  <si>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</si>
  <si>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</si>
  <si>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</si>
  <si>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</si>
  <si>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</si>
  <si>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</si>
  <si>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</si>
  <si>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</si>
  <si>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</si>
  <si>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</si>
  <si>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</si>
  <si>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</si>
  <si>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</si>
  <si>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</si>
  <si>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</si>
  <si>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</si>
  <si>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</si>
  <si>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</si>
  <si>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</si>
  <si>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</si>
  <si>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</si>
  <si>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</si>
  <si>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</si>
  <si>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</si>
  <si>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</si>
  <si>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</si>
  <si>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</si>
  <si>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</si>
  <si>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</si>
  <si>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</si>
  <si>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</si>
  <si>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</si>
  <si>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</si>
  <si>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</si>
  <si>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</si>
  <si>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</si>
  <si>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</si>
  <si>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</si>
  <si>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</si>
  <si>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</si>
  <si>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</si>
  <si>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</si>
  <si>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</si>
  <si>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</si>
  <si>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</si>
  <si>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</si>
  <si>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</si>
  <si>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</si>
  <si>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</si>
  <si>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</si>
  <si>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</si>
  <si>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</si>
  <si>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</si>
  <si>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</si>
  <si>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</si>
  <si>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</si>
  <si>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</si>
  <si>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</si>
  <si>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</si>
  <si>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</si>
  <si>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</si>
  <si>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</si>
  <si>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</si>
  <si>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</si>
  <si>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</si>
  <si>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</si>
  <si>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</si>
  <si>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</si>
  <si>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</si>
  <si>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</si>
  <si>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</si>
  <si>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</si>
  <si>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</si>
  <si>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</si>
  <si>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</si>
  <si>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</si>
  <si>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</si>
  <si>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</si>
  <si>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</si>
  <si>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</si>
  <si>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</si>
  <si>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</si>
  <si>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</si>
  <si>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</si>
  <si>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</si>
  <si>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</si>
  <si>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</si>
  <si>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</si>
  <si>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</si>
  <si>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</si>
  <si>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</si>
  <si>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</si>
  <si>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</si>
  <si>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</si>
  <si>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</si>
  <si>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</si>
  <si>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</si>
  <si>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</si>
  <si>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</si>
  <si>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</si>
  <si>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</si>
  <si>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</si>
  <si>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</si>
  <si>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</si>
  <si>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</si>
  <si>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</si>
  <si>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</si>
  <si>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</si>
  <si>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</si>
  <si>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</si>
  <si>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</si>
  <si>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</si>
  <si>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</si>
  <si>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</si>
  <si>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</si>
  <si>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</si>
  <si>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</si>
  <si>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</si>
  <si>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</si>
  <si>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</si>
  <si>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</si>
  <si>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</si>
  <si>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</si>
  <si>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</si>
  <si>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</si>
  <si>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</si>
  <si>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</si>
  <si>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</si>
  <si>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</si>
  <si>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</si>
  <si>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</si>
  <si>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</si>
  <si>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</si>
  <si>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</si>
  <si>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</si>
  <si>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</si>
  <si>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</si>
  <si>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</si>
  <si>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</si>
  <si>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</si>
  <si>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</si>
  <si>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</si>
  <si>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</si>
  <si>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</si>
  <si>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</si>
  <si>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</si>
  <si>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</si>
  <si>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</si>
  <si>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</si>
  <si>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</si>
  <si>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</si>
  <si>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</si>
  <si>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</si>
  <si>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</si>
  <si>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</si>
  <si>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</si>
  <si>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</si>
  <si>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</si>
  <si>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</si>
  <si>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</si>
  <si>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</si>
  <si>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</si>
  <si>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</si>
  <si>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</si>
  <si>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</si>
  <si>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</si>
  <si>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</si>
  <si>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</si>
  <si>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</si>
  <si>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</si>
  <si>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</si>
  <si>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</si>
  <si>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</si>
  <si>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</si>
  <si>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</si>
  <si>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</si>
  <si>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</si>
  <si>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</si>
  <si>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</si>
  <si>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</si>
  <si>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</si>
  <si>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</si>
  <si>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</si>
  <si>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</si>
  <si>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</si>
  <si>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</si>
  <si>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</si>
  <si>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</si>
  <si>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</si>
  <si>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</si>
  <si>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</si>
  <si>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</si>
  <si>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</si>
  <si>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</si>
  <si>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</si>
  <si>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</si>
  <si>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</si>
  <si>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</si>
  <si>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</si>
  <si>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</si>
  <si>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</si>
  <si>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</si>
  <si>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</si>
  <si>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</si>
  <si>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</si>
  <si>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</si>
  <si>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</si>
  <si>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</si>
  <si>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</si>
  <si>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</si>
  <si>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</si>
  <si>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</si>
  <si>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</si>
  <si>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</si>
  <si>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</si>
  <si>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</si>
  <si>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</si>
  <si>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</si>
  <si>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</si>
  <si>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</si>
  <si>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</si>
  <si>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</si>
  <si>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</si>
  <si>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</si>
  <si>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</si>
  <si>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</si>
  <si>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</si>
  <si>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</si>
  <si>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</si>
  <si>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</si>
  <si>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</si>
  <si>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</si>
  <si>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</si>
  <si>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</si>
  <si>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</si>
  <si>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</si>
  <si>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</si>
  <si>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</si>
  <si>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</si>
  <si>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</si>
  <si>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</si>
  <si>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</si>
  <si>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</si>
  <si>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</si>
  <si>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</si>
  <si>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</si>
  <si>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</si>
  <si>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</si>
  <si>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</si>
  <si>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</si>
  <si>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</si>
  <si>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</si>
  <si>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</si>
  <si>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</si>
  <si>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</si>
  <si>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</si>
  <si>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</si>
  <si>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</si>
  <si>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</si>
  <si>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</si>
  <si>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</si>
  <si>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</si>
  <si>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</si>
  <si>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</si>
  <si>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</si>
  <si>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</si>
  <si>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</si>
  <si>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</si>
  <si>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</si>
  <si>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</si>
  <si>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</si>
  <si>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</si>
  <si>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</si>
  <si>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</si>
  <si>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</si>
  <si>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</si>
  <si>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</si>
  <si>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</si>
  <si>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</si>
  <si>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</si>
  <si>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</si>
  <si>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</si>
  <si>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</si>
  <si>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</si>
  <si>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</si>
  <si>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</si>
  <si>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</si>
  <si>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</si>
  <si>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</si>
  <si>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</si>
  <si>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</si>
  <si>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</si>
  <si>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</si>
  <si>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</si>
  <si>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</si>
  <si>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</si>
  <si>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</si>
  <si>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</si>
  <si>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</si>
  <si>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</si>
  <si>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</si>
  <si>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</si>
  <si>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</si>
  <si>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</si>
  <si>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</si>
  <si>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</si>
  <si>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</si>
  <si>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</si>
  <si>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</si>
  <si>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</si>
  <si>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</si>
  <si>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</si>
  <si>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</si>
  <si>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</si>
  <si>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</si>
  <si>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</si>
  <si>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</si>
  <si>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</si>
  <si>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</si>
  <si>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</si>
  <si>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</si>
  <si>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</si>
  <si>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</si>
  <si>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</si>
  <si>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</si>
  <si>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</si>
  <si>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</si>
  <si>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</si>
  <si>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</si>
  <si>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</si>
  <si>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</si>
  <si>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</si>
  <si>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</si>
  <si>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</si>
  <si>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</si>
  <si>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</si>
  <si>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</si>
  <si>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</si>
  <si>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</si>
  <si>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</si>
  <si>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</si>
  <si>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</si>
  <si>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</si>
  <si>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</si>
  <si>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</si>
  <si>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</si>
  <si>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</si>
  <si>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</si>
  <si>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</si>
  <si>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</si>
  <si>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</si>
  <si>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</si>
  <si>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</si>
  <si>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</si>
  <si>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</si>
  <si>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</si>
  <si>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</si>
  <si>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</si>
  <si>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</si>
  <si>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</si>
  <si>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</si>
  <si>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</si>
  <si>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</si>
  <si>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</si>
  <si>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</si>
  <si>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</si>
  <si>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</si>
  <si>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</si>
  <si>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</si>
  <si>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</si>
  <si>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</si>
  <si>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</si>
  <si>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</si>
  <si>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</si>
  <si>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</si>
  <si>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</si>
  <si>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</si>
  <si>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</si>
  <si>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</si>
  <si>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</si>
  <si>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</si>
  <si>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</si>
  <si>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</si>
  <si>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</si>
  <si>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</si>
  <si>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</si>
  <si>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</si>
  <si>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</si>
  <si>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</si>
  <si>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</si>
  <si>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</si>
  <si>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</si>
  <si>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</si>
  <si>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</si>
  <si>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</si>
  <si>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</si>
  <si>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</si>
  <si>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</si>
  <si>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</si>
  <si>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</si>
  <si>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</si>
  <si>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</si>
  <si>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</si>
  <si>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</si>
  <si>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</si>
  <si>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</si>
  <si>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</si>
  <si>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</si>
  <si>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</si>
  <si>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</si>
  <si>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</si>
  <si>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</si>
  <si>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</si>
  <si>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</si>
  <si>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</si>
  <si>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</si>
  <si>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</si>
  <si>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</si>
  <si>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</si>
  <si>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</si>
  <si>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</si>
  <si>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</si>
  <si>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</si>
  <si>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</si>
  <si>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</si>
  <si>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</si>
  <si>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</si>
  <si>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</si>
  <si>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</si>
  <si>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</si>
  <si>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</si>
  <si>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</si>
  <si>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</si>
  <si>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</si>
  <si>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</si>
  <si>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</si>
  <si>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</si>
  <si>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</si>
  <si>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</si>
  <si>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</si>
  <si>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</si>
  <si>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</si>
  <si>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</si>
  <si>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</si>
  <si>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</si>
  <si>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</si>
  <si>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</si>
  <si>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</si>
  <si>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</si>
  <si>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</si>
  <si>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</si>
  <si>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</si>
  <si>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</si>
  <si>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</si>
  <si>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</si>
  <si>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</si>
  <si>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</si>
  <si>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</si>
  <si>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</si>
  <si>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</si>
  <si>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</si>
  <si>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</si>
  <si>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</si>
  <si>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</si>
  <si>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</si>
  <si>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</si>
  <si>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</si>
  <si>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</si>
  <si>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</si>
  <si>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</si>
  <si>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</si>
  <si>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</si>
  <si>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</si>
  <si>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</si>
  <si>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</si>
  <si>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</si>
  <si>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</si>
  <si>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</si>
  <si>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</si>
  <si>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</si>
  <si>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</si>
  <si>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</si>
  <si>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</si>
  <si>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</si>
  <si>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</si>
  <si>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</si>
  <si>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</si>
  <si>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</si>
  <si>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</si>
  <si>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</si>
  <si>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</si>
  <si>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</si>
  <si>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</si>
  <si>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</si>
  <si>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</si>
  <si>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</si>
  <si>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</si>
  <si>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</si>
  <si>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</si>
  <si>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</si>
  <si>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</si>
  <si>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</si>
  <si>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</si>
  <si>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</si>
  <si>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</si>
  <si>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</si>
  <si>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</si>
  <si>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</si>
  <si>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</si>
  <si>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</si>
  <si>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</si>
  <si>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</si>
  <si>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</si>
  <si>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</si>
  <si>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</si>
  <si>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</si>
  <si>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</si>
  <si>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</si>
  <si>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</si>
  <si>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</si>
  <si>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</si>
  <si>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</si>
  <si>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</si>
  <si>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</si>
  <si>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</si>
  <si>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</si>
  <si>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</si>
  <si>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</si>
  <si>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</si>
  <si>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</si>
  <si>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</si>
  <si>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</si>
  <si>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</si>
  <si>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</si>
  <si>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</si>
  <si>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</si>
  <si>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</si>
  <si>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</si>
  <si>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</si>
  <si>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</si>
  <si>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</si>
  <si>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</si>
  <si>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</si>
  <si>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</si>
  <si>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</si>
  <si>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</si>
  <si>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</si>
  <si>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</si>
  <si>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</si>
  <si>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</si>
  <si>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</si>
  <si>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</si>
  <si>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</si>
  <si>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</si>
  <si>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</si>
  <si>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</si>
  <si>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</si>
  <si>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</si>
  <si>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</si>
  <si>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</si>
  <si>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</si>
  <si>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</si>
  <si>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</si>
  <si>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</si>
  <si>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</si>
  <si>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</si>
  <si>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</si>
  <si>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</si>
  <si>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</si>
  <si>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</si>
  <si>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</si>
  <si>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</si>
  <si>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</si>
  <si>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</si>
  <si>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</si>
  <si>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</si>
  <si>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</si>
  <si>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</si>
  <si>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</si>
  <si>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</si>
  <si>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</si>
  <si>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</si>
  <si>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</si>
  <si>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</si>
  <si>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</si>
  <si>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</si>
  <si>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</si>
  <si>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</si>
  <si>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</si>
  <si>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</si>
  <si>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</si>
  <si>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</si>
  <si>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</si>
  <si>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</si>
  <si>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</si>
  <si>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</si>
  <si>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</si>
  <si>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</si>
  <si>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</si>
  <si>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</si>
  <si>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</si>
  <si>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</si>
  <si>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</si>
  <si>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</si>
  <si>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</si>
  <si>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</si>
  <si>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</si>
  <si>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</si>
  <si>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</si>
  <si>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</si>
  <si>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</si>
  <si>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</si>
  <si>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</si>
  <si>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</si>
  <si>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</si>
  <si>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</si>
  <si>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</si>
  <si>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</si>
  <si>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</si>
  <si>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</si>
  <si>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</si>
  <si>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</si>
  <si>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</si>
  <si>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</si>
  <si>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</si>
  <si>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</si>
  <si>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</si>
  <si>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</si>
  <si>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</si>
  <si>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</si>
  <si>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</si>
  <si>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</si>
  <si>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</si>
  <si>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</si>
  <si>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</si>
  <si>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</si>
  <si>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</si>
  <si>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</si>
  <si>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</si>
  <si>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</si>
  <si>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</si>
  <si>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</si>
  <si>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</si>
  <si>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</si>
  <si>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</si>
  <si>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</si>
  <si>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</si>
  <si>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</si>
  <si>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</si>
  <si>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</si>
  <si>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</si>
  <si>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</si>
  <si>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</si>
  <si>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</si>
  <si>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</si>
  <si>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</si>
  <si>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</si>
  <si>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</si>
  <si>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</si>
  <si>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</si>
  <si>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</si>
  <si>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</si>
  <si>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</si>
  <si>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</si>
  <si>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</si>
  <si>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</si>
  <si>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</si>
  <si>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</si>
  <si>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</si>
  <si>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</si>
  <si>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</si>
  <si>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</si>
  <si>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</si>
  <si>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</si>
  <si>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</si>
  <si>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</si>
  <si>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</si>
  <si>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</si>
  <si>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</si>
  <si>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</si>
  <si>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</si>
  <si>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</si>
  <si>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</si>
  <si>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</si>
  <si>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</si>
  <si>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</si>
  <si>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</si>
  <si>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</si>
  <si>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</si>
  <si>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</si>
  <si>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</si>
  <si>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</si>
  <si>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</si>
  <si>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</si>
  <si>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</si>
  <si>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</si>
  <si>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</si>
  <si>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</si>
  <si>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</si>
  <si>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</si>
  <si>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</si>
  <si>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</si>
  <si>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</si>
  <si>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</si>
  <si>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</si>
  <si>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</si>
  <si>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</si>
  <si>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</si>
  <si>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</si>
  <si>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</si>
  <si>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</si>
  <si>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</si>
  <si>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</si>
  <si>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</si>
  <si>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</si>
  <si>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</si>
  <si>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</si>
  <si>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</si>
  <si>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</si>
  <si>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</si>
  <si>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</si>
  <si>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</si>
  <si>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</si>
  <si>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</si>
  <si>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</si>
  <si>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</si>
  <si>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</si>
  <si>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</si>
  <si>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</si>
  <si>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</si>
  <si>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</si>
  <si>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</si>
  <si>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</si>
  <si>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</si>
  <si>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</si>
  <si>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</si>
  <si>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</si>
  <si>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</si>
  <si>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</si>
  <si>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</si>
  <si>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</si>
  <si>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</si>
  <si>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</si>
  <si>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</si>
  <si>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</si>
  <si>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</si>
  <si>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</si>
  <si>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</si>
  <si>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</si>
  <si>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</si>
  <si>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</si>
  <si>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</si>
  <si>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</si>
  <si>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</si>
  <si>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</si>
  <si>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</si>
  <si>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</si>
  <si>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</si>
  <si>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</si>
  <si>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</si>
  <si>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</si>
  <si>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</si>
  <si>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</si>
  <si>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</si>
  <si>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</si>
  <si>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</si>
  <si>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</si>
  <si>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</si>
  <si>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</si>
  <si>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</si>
  <si>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</si>
  <si>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</si>
  <si>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null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</si>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</sst>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1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54E-2"/>
          <c:w val="0.7297146424264922"/>
          <c:h val="0.89097169207608573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93312"/>
        <c:axId val="8488064"/>
      </c:lineChart>
      <c:catAx>
        <c:axId val="164093312"/>
        <c:scaling>
          <c:orientation val="minMax"/>
        </c:scaling>
        <c:delete val="0"/>
        <c:axPos val="b"/>
        <c:majorTickMark val="out"/>
        <c:minorTickMark val="none"/>
        <c:tickLblPos val="nextTo"/>
        <c:crossAx val="8488064"/>
        <c:crosses val="autoZero"/>
        <c:auto val="1"/>
        <c:lblAlgn val="ctr"/>
        <c:lblOffset val="100"/>
        <c:noMultiLvlLbl val="0"/>
      </c:catAx>
      <c:valAx>
        <c:axId val="84880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0933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39.61784421296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Dragon"/>
        <s v="HoWater"/>
        <s v="HoFire"/>
        <s v="SD"/>
        <s v="HoWind"/>
        <s v="Hydeni"/>
        <s v="Vrofagul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8"/>
    <x v="0"/>
    <x v="1"/>
    <n v="1940"/>
    <n v="0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9"/>
    <x v="0"/>
    <x v="7"/>
    <n v="2498"/>
    <n v="2"/>
    <s v="Water"/>
    <n v="3"/>
    <x v="3"/>
    <n v="0"/>
    <n v="0"/>
    <n v="0"/>
    <n v="0"/>
    <m/>
  </r>
  <r>
    <x v="9"/>
    <x v="0"/>
    <x v="6"/>
    <n v="2073"/>
    <n v="0"/>
    <s v="Water"/>
    <n v="1"/>
    <x v="4"/>
    <n v="0"/>
    <n v="0"/>
    <n v="0"/>
    <n v="0"/>
    <m/>
  </r>
  <r>
    <x v="9"/>
    <x v="0"/>
    <x v="6"/>
    <n v="2143"/>
    <n v="0"/>
    <s v="Water"/>
    <n v="3"/>
    <x v="3"/>
    <n v="0"/>
    <n v="0"/>
    <n v="0"/>
    <n v="0"/>
    <m/>
  </r>
  <r>
    <x v="9"/>
    <x v="0"/>
    <x v="6"/>
    <n v="1852"/>
    <n v="1"/>
    <s v="Water"/>
    <n v="1"/>
    <x v="4"/>
    <n v="0"/>
    <n v="0"/>
    <n v="0"/>
    <n v="0"/>
    <m/>
  </r>
  <r>
    <x v="9"/>
    <x v="0"/>
    <x v="6"/>
    <n v="2417"/>
    <n v="0"/>
    <s v="SumStone"/>
    <n v="1"/>
    <x v="5"/>
    <n v="0"/>
    <n v="0"/>
    <n v="862.5"/>
    <n v="895.55"/>
    <m/>
  </r>
  <r>
    <x v="9"/>
    <x v="0"/>
    <x v="7"/>
    <n v="2146"/>
    <n v="0"/>
    <s v="Water"/>
    <n v="2"/>
    <x v="4"/>
    <n v="0"/>
    <n v="0"/>
    <n v="0"/>
    <n v="0"/>
    <m/>
  </r>
  <r>
    <x v="9"/>
    <x v="0"/>
    <x v="7"/>
    <n v="2968"/>
    <n v="0"/>
    <s v="Scroll"/>
    <n v="4"/>
    <x v="2"/>
    <n v="0"/>
    <n v="8000"/>
    <n v="0"/>
    <n v="3200"/>
    <m/>
  </r>
  <r>
    <x v="9"/>
    <x v="0"/>
    <x v="7"/>
    <n v="2237"/>
    <n v="0"/>
    <s v="Scroll"/>
    <n v="4"/>
    <x v="2"/>
    <n v="0"/>
    <n v="8000"/>
    <n v="0"/>
    <n v="3200"/>
    <m/>
  </r>
  <r>
    <x v="9"/>
    <x v="0"/>
    <x v="7"/>
    <n v="2223"/>
    <n v="1"/>
    <s v="Water"/>
    <n v="5"/>
    <x v="3"/>
    <n v="0"/>
    <n v="0"/>
    <n v="0"/>
    <n v="0"/>
    <m/>
  </r>
  <r>
    <x v="9"/>
    <x v="0"/>
    <x v="7"/>
    <n v="2246"/>
    <n v="2"/>
    <s v="Scroll"/>
    <n v="4"/>
    <x v="2"/>
    <n v="0"/>
    <n v="8000"/>
    <n v="0"/>
    <n v="3200"/>
    <m/>
  </r>
  <r>
    <x v="9"/>
    <x v="0"/>
    <x v="7"/>
    <n v="1945"/>
    <n v="0"/>
    <s v="Scroll"/>
    <n v="4"/>
    <x v="2"/>
    <n v="0"/>
    <n v="8000"/>
    <n v="0"/>
    <n v="3200"/>
    <m/>
  </r>
  <r>
    <x v="9"/>
    <x v="0"/>
    <x v="7"/>
    <n v="2404"/>
    <n v="1"/>
    <s v="Water"/>
    <n v="4"/>
    <x v="3"/>
    <n v="0"/>
    <n v="0"/>
    <n v="0"/>
    <n v="0"/>
    <m/>
  </r>
  <r>
    <x v="9"/>
    <x v="0"/>
    <x v="7"/>
    <n v="3017"/>
    <n v="1"/>
    <s v="Water"/>
    <n v="4"/>
    <x v="3"/>
    <n v="0"/>
    <n v="0"/>
    <n v="0"/>
    <n v="0"/>
    <m/>
  </r>
  <r>
    <x v="9"/>
    <x v="0"/>
    <x v="7"/>
    <n v="2175"/>
    <n v="0"/>
    <s v="SweetCookie"/>
    <n v="1"/>
    <x v="0"/>
    <n v="0"/>
    <n v="0"/>
    <n v="0"/>
    <n v="0"/>
    <m/>
  </r>
  <r>
    <x v="9"/>
    <x v="0"/>
    <x v="7"/>
    <n v="2276"/>
    <n v="0"/>
    <s v="Water"/>
    <n v="4"/>
    <x v="3"/>
    <n v="0"/>
    <n v="0"/>
    <n v="0"/>
    <n v="0"/>
    <m/>
  </r>
  <r>
    <x v="9"/>
    <x v="0"/>
    <x v="7"/>
    <n v="2576"/>
    <n v="3"/>
    <s v="Water"/>
    <n v="4"/>
    <x v="3"/>
    <n v="0"/>
    <n v="0"/>
    <n v="0"/>
    <n v="0"/>
    <m/>
  </r>
  <r>
    <x v="9"/>
    <x v="0"/>
    <x v="7"/>
    <n v="2058"/>
    <n v="1"/>
    <s v="Water"/>
    <n v="5"/>
    <x v="3"/>
    <n v="0"/>
    <n v="0"/>
    <n v="0"/>
    <n v="0"/>
    <m/>
  </r>
  <r>
    <x v="9"/>
    <x v="0"/>
    <x v="7"/>
    <n v="2086"/>
    <n v="1"/>
    <s v="Scroll"/>
    <n v="4"/>
    <x v="2"/>
    <n v="0"/>
    <n v="8000"/>
    <n v="0"/>
    <n v="3200"/>
    <m/>
  </r>
  <r>
    <x v="9"/>
    <x v="0"/>
    <x v="7"/>
    <n v="2586"/>
    <n v="3"/>
    <s v="Scroll"/>
    <n v="4"/>
    <x v="2"/>
    <n v="0"/>
    <n v="8000"/>
    <n v="0"/>
    <n v="3200"/>
    <m/>
  </r>
  <r>
    <x v="9"/>
    <x v="0"/>
    <x v="7"/>
    <n v="2500"/>
    <n v="1"/>
    <s v="Scroll"/>
    <n v="5"/>
    <x v="2"/>
    <n v="0"/>
    <n v="10000"/>
    <n v="0"/>
    <n v="4000"/>
    <m/>
  </r>
  <r>
    <x v="9"/>
    <x v="0"/>
    <x v="7"/>
    <n v="2526"/>
    <n v="0"/>
    <s v="Water"/>
    <n v="1"/>
    <x v="6"/>
    <n v="0"/>
    <n v="0"/>
    <n v="0"/>
    <n v="0"/>
    <m/>
  </r>
  <r>
    <x v="9"/>
    <x v="0"/>
    <x v="7"/>
    <n v="2483"/>
    <n v="3"/>
    <s v="Water"/>
    <n v="1"/>
    <x v="6"/>
    <n v="0"/>
    <n v="0"/>
    <n v="0"/>
    <n v="0"/>
    <m/>
  </r>
  <r>
    <x v="9"/>
    <x v="0"/>
    <x v="7"/>
    <n v="2491"/>
    <n v="0"/>
    <s v="SD"/>
    <s v="Bearman"/>
    <x v="5"/>
    <n v="0"/>
    <n v="0"/>
    <n v="0"/>
    <n v="0"/>
    <m/>
  </r>
  <r>
    <x v="9"/>
    <x v="0"/>
    <x v="7"/>
    <n v="2730"/>
    <n v="0"/>
    <s v="Scroll"/>
    <n v="4"/>
    <x v="2"/>
    <n v="0"/>
    <n v="8000"/>
    <n v="0"/>
    <n v="3200"/>
    <m/>
  </r>
  <r>
    <x v="9"/>
    <x v="0"/>
    <x v="7"/>
    <n v="2671"/>
    <n v="2"/>
    <s v="Water"/>
    <n v="4"/>
    <x v="3"/>
    <n v="0"/>
    <n v="0"/>
    <n v="0"/>
    <n v="0"/>
    <m/>
  </r>
  <r>
    <x v="9"/>
    <x v="0"/>
    <x v="7"/>
    <n v="2186"/>
    <n v="1"/>
    <s v="Angelmon"/>
    <n v="1"/>
    <x v="2"/>
    <n v="0"/>
    <n v="0"/>
    <n v="0"/>
    <n v="0"/>
    <m/>
  </r>
  <r>
    <x v="9"/>
    <x v="0"/>
    <x v="7"/>
    <n v="2316"/>
    <n v="0"/>
    <s v="Water"/>
    <n v="3"/>
    <x v="3"/>
    <n v="0"/>
    <n v="0"/>
    <n v="0"/>
    <n v="0"/>
    <m/>
  </r>
  <r>
    <x v="9"/>
    <x v="0"/>
    <x v="7"/>
    <n v="2046"/>
    <n v="1"/>
    <s v="Water"/>
    <n v="4"/>
    <x v="3"/>
    <n v="0"/>
    <n v="0"/>
    <n v="0"/>
    <n v="0"/>
    <m/>
  </r>
  <r>
    <x v="9"/>
    <x v="0"/>
    <x v="7"/>
    <n v="2303"/>
    <n v="3"/>
    <s v="Water"/>
    <n v="1"/>
    <x v="4"/>
    <n v="0"/>
    <n v="0"/>
    <n v="0"/>
    <n v="0"/>
    <m/>
  </r>
  <r>
    <x v="9"/>
    <x v="0"/>
    <x v="7"/>
    <n v="2396"/>
    <n v="1"/>
    <s v="Water"/>
    <n v="1"/>
    <x v="4"/>
    <n v="0"/>
    <n v="0"/>
    <n v="0"/>
    <n v="0"/>
    <m/>
  </r>
  <r>
    <x v="9"/>
    <x v="0"/>
    <x v="7"/>
    <n v="2325"/>
    <n v="1"/>
    <s v="Water"/>
    <n v="2"/>
    <x v="6"/>
    <n v="0"/>
    <n v="0"/>
    <n v="0"/>
    <n v="0"/>
    <m/>
  </r>
  <r>
    <x v="9"/>
    <x v="0"/>
    <x v="7"/>
    <n v="2398"/>
    <n v="1"/>
    <s v="Water"/>
    <n v="3"/>
    <x v="3"/>
    <n v="0"/>
    <n v="0"/>
    <n v="0"/>
    <n v="0"/>
    <m/>
  </r>
  <r>
    <x v="9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10"/>
    <x v="0"/>
    <x v="10"/>
    <n v="2891"/>
    <n v="0"/>
    <s v="Scroll"/>
    <n v="4"/>
    <x v="2"/>
    <n v="0"/>
    <n v="8000"/>
    <n v="0"/>
    <n v="3200"/>
    <m/>
  </r>
  <r>
    <x v="10"/>
    <x v="0"/>
    <x v="10"/>
    <n v="2801"/>
    <n v="0"/>
    <s v="Fire"/>
    <n v="4"/>
    <x v="3"/>
    <n v="0"/>
    <n v="0"/>
    <n v="0"/>
    <n v="0"/>
    <m/>
  </r>
  <r>
    <x v="10"/>
    <x v="0"/>
    <x v="10"/>
    <n v="2407"/>
    <n v="0"/>
    <s v="Fire"/>
    <n v="1"/>
    <x v="4"/>
    <n v="0"/>
    <n v="0"/>
    <n v="0"/>
    <n v="0"/>
    <m/>
  </r>
  <r>
    <x v="10"/>
    <x v="0"/>
    <x v="10"/>
    <n v="2748"/>
    <n v="0"/>
    <m/>
    <m/>
    <x v="0"/>
    <n v="0"/>
    <n v="0"/>
    <n v="0"/>
    <n v="0"/>
    <m/>
  </r>
  <r>
    <x v="10"/>
    <x v="0"/>
    <x v="10"/>
    <n v="2679"/>
    <n v="1"/>
    <s v="Rainb"/>
    <n v="1"/>
    <x v="1"/>
    <n v="0"/>
    <n v="0"/>
    <n v="11500"/>
    <n v="35822"/>
    <m/>
  </r>
  <r>
    <x v="10"/>
    <x v="0"/>
    <x v="11"/>
    <n v="2720"/>
    <n v="0"/>
    <s v="Fire"/>
    <n v="1"/>
    <x v="4"/>
    <n v="0"/>
    <n v="0"/>
    <n v="0"/>
    <n v="0"/>
    <m/>
  </r>
  <r>
    <x v="10"/>
    <x v="0"/>
    <x v="11"/>
    <n v="0"/>
    <n v="0"/>
    <m/>
    <m/>
    <x v="0"/>
    <n v="0"/>
    <n v="0"/>
    <n v="0"/>
    <n v="0"/>
    <s v="Y"/>
  </r>
  <r>
    <x v="10"/>
    <x v="0"/>
    <x v="10"/>
    <n v="2875"/>
    <n v="0"/>
    <s v="Angelmon"/>
    <n v="1"/>
    <x v="2"/>
    <n v="0"/>
    <n v="0"/>
    <n v="0"/>
    <n v="0"/>
    <m/>
  </r>
  <r>
    <x v="10"/>
    <x v="0"/>
    <x v="10"/>
    <n v="2734"/>
    <n v="0"/>
    <s v="Fire"/>
    <n v="3"/>
    <x v="6"/>
    <n v="0"/>
    <n v="0"/>
    <n v="0"/>
    <n v="0"/>
    <m/>
  </r>
  <r>
    <x v="10"/>
    <x v="0"/>
    <x v="10"/>
    <n v="3073"/>
    <n v="0"/>
    <s v="Fire"/>
    <n v="2"/>
    <x v="4"/>
    <n v="0"/>
    <n v="0"/>
    <n v="0"/>
    <n v="0"/>
    <m/>
  </r>
  <r>
    <x v="10"/>
    <x v="0"/>
    <x v="10"/>
    <n v="2813"/>
    <n v="0"/>
    <s v="Fire"/>
    <n v="2"/>
    <x v="4"/>
    <n v="0"/>
    <n v="0"/>
    <n v="0"/>
    <n v="0"/>
    <m/>
  </r>
  <r>
    <x v="10"/>
    <x v="0"/>
    <x v="10"/>
    <n v="2758"/>
    <n v="0"/>
    <s v="Candy"/>
    <n v="3"/>
    <x v="0"/>
    <n v="0"/>
    <n v="0"/>
    <n v="0"/>
    <n v="0"/>
    <m/>
  </r>
  <r>
    <x v="10"/>
    <x v="0"/>
    <x v="10"/>
    <n v="2313"/>
    <n v="1"/>
    <s v="Fire"/>
    <n v="3"/>
    <x v="4"/>
    <n v="0"/>
    <n v="0"/>
    <n v="0"/>
    <n v="0"/>
    <m/>
  </r>
  <r>
    <x v="10"/>
    <x v="0"/>
    <x v="10"/>
    <n v="2625"/>
    <n v="1"/>
    <s v="Fire"/>
    <n v="3"/>
    <x v="4"/>
    <n v="0"/>
    <n v="0"/>
    <n v="0"/>
    <n v="0"/>
    <m/>
  </r>
  <r>
    <x v="10"/>
    <x v="0"/>
    <x v="10"/>
    <n v="2515"/>
    <n v="0"/>
    <s v="Fire"/>
    <n v="1"/>
    <x v="6"/>
    <n v="0"/>
    <n v="0"/>
    <n v="0"/>
    <n v="0"/>
    <m/>
  </r>
  <r>
    <x v="10"/>
    <x v="0"/>
    <x v="10"/>
    <n v="2516"/>
    <n v="1"/>
    <s v="Candy"/>
    <n v="1"/>
    <x v="0"/>
    <n v="0"/>
    <n v="0"/>
    <n v="0"/>
    <n v="0"/>
    <m/>
  </r>
  <r>
    <x v="10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10"/>
    <x v="0"/>
    <x v="10"/>
    <n v="2517"/>
    <n v="0"/>
    <s v="Candy"/>
    <n v="2"/>
    <x v="0"/>
    <n v="0"/>
    <n v="0"/>
    <n v="0"/>
    <n v="0"/>
    <m/>
  </r>
  <r>
    <x v="10"/>
    <x v="0"/>
    <x v="10"/>
    <n v="2615"/>
    <n v="2"/>
    <s v="Fire"/>
    <n v="2"/>
    <x v="6"/>
    <n v="0"/>
    <n v="0"/>
    <n v="0"/>
    <n v="0"/>
    <m/>
  </r>
  <r>
    <x v="10"/>
    <x v="0"/>
    <x v="10"/>
    <n v="2798"/>
    <n v="2"/>
    <s v="Rainb"/>
    <n v="1"/>
    <x v="1"/>
    <n v="0"/>
    <n v="0"/>
    <n v="11500"/>
    <n v="35822"/>
    <m/>
  </r>
  <r>
    <x v="10"/>
    <x v="0"/>
    <x v="10"/>
    <n v="2602"/>
    <n v="0"/>
    <s v="Fire"/>
    <n v="3"/>
    <x v="4"/>
    <n v="0"/>
    <n v="0"/>
    <n v="0"/>
    <n v="0"/>
    <m/>
  </r>
  <r>
    <x v="10"/>
    <x v="0"/>
    <x v="10"/>
    <n v="2901"/>
    <n v="1"/>
    <s v="Fire"/>
    <n v="1"/>
    <x v="4"/>
    <n v="0"/>
    <n v="0"/>
    <n v="0"/>
    <n v="0"/>
    <m/>
  </r>
  <r>
    <x v="10"/>
    <x v="0"/>
    <x v="10"/>
    <n v="540"/>
    <n v="0"/>
    <m/>
    <m/>
    <x v="0"/>
    <n v="0"/>
    <n v="0"/>
    <n v="0"/>
    <n v="0"/>
    <s v="Y"/>
  </r>
  <r>
    <x v="10"/>
    <x v="0"/>
    <x v="10"/>
    <n v="3199"/>
    <n v="0"/>
    <s v="Fire"/>
    <n v="1"/>
    <x v="4"/>
    <n v="0"/>
    <n v="0"/>
    <n v="0"/>
    <n v="0"/>
    <m/>
  </r>
  <r>
    <x v="10"/>
    <x v="0"/>
    <x v="10"/>
    <n v="2926"/>
    <n v="1"/>
    <s v="Fire"/>
    <n v="1"/>
    <x v="4"/>
    <n v="0"/>
    <n v="0"/>
    <n v="0"/>
    <n v="0"/>
    <m/>
  </r>
  <r>
    <x v="10"/>
    <x v="0"/>
    <x v="10"/>
    <n v="2560"/>
    <n v="1"/>
    <s v="Fire"/>
    <n v="4"/>
    <x v="3"/>
    <n v="0"/>
    <n v="0"/>
    <n v="0"/>
    <n v="0"/>
    <m/>
  </r>
  <r>
    <x v="10"/>
    <x v="0"/>
    <x v="10"/>
    <n v="2313"/>
    <n v="1"/>
    <s v="Fire"/>
    <n v="4"/>
    <x v="3"/>
    <n v="0"/>
    <n v="0"/>
    <n v="0"/>
    <n v="0"/>
    <m/>
  </r>
  <r>
    <x v="10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10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9"/>
    <x v="0"/>
    <x v="10"/>
    <n v="2924"/>
    <n v="1"/>
    <s v="Water"/>
    <n v="1"/>
    <x v="4"/>
    <n v="0"/>
    <n v="0"/>
    <n v="0"/>
    <n v="0"/>
    <m/>
  </r>
  <r>
    <x v="9"/>
    <x v="0"/>
    <x v="10"/>
    <n v="3192"/>
    <n v="2"/>
    <s v="Water"/>
    <n v="2"/>
    <x v="4"/>
    <n v="0"/>
    <n v="0"/>
    <n v="0"/>
    <n v="0"/>
    <m/>
  </r>
  <r>
    <x v="9"/>
    <x v="0"/>
    <x v="10"/>
    <n v="2967"/>
    <n v="1"/>
    <s v="Water"/>
    <n v="2"/>
    <x v="4"/>
    <n v="0"/>
    <n v="0"/>
    <n v="0"/>
    <n v="0"/>
    <m/>
  </r>
  <r>
    <x v="9"/>
    <x v="0"/>
    <x v="10"/>
    <n v="2926"/>
    <n v="0"/>
    <s v="Water"/>
    <n v="3"/>
    <x v="3"/>
    <n v="0"/>
    <n v="0"/>
    <n v="0"/>
    <n v="0"/>
    <m/>
  </r>
  <r>
    <x v="9"/>
    <x v="0"/>
    <x v="10"/>
    <n v="2801"/>
    <n v="1"/>
    <s v="Water"/>
    <n v="3"/>
    <x v="3"/>
    <n v="0"/>
    <n v="0"/>
    <n v="0"/>
    <n v="0"/>
    <m/>
  </r>
  <r>
    <x v="9"/>
    <x v="0"/>
    <x v="10"/>
    <n v="2800"/>
    <n v="0"/>
    <s v="SD"/>
    <s v="Vagabond"/>
    <x v="1"/>
    <n v="0"/>
    <n v="0"/>
    <n v="0"/>
    <n v="0"/>
    <m/>
  </r>
  <r>
    <x v="9"/>
    <x v="0"/>
    <x v="10"/>
    <n v="2913"/>
    <n v="0"/>
    <s v="Water"/>
    <n v="1"/>
    <x v="6"/>
    <n v="0"/>
    <n v="0"/>
    <n v="0"/>
    <n v="0"/>
    <m/>
  </r>
  <r>
    <x v="9"/>
    <x v="0"/>
    <x v="10"/>
    <n v="2812"/>
    <n v="1"/>
    <s v="Water"/>
    <n v="1"/>
    <x v="4"/>
    <n v="0"/>
    <n v="0"/>
    <n v="0"/>
    <n v="0"/>
    <m/>
  </r>
  <r>
    <x v="9"/>
    <x v="0"/>
    <x v="10"/>
    <n v="2449"/>
    <n v="0"/>
    <s v="Rainb"/>
    <n v="1"/>
    <x v="1"/>
    <n v="0"/>
    <n v="0"/>
    <n v="11500"/>
    <n v="35822"/>
    <m/>
  </r>
  <r>
    <x v="9"/>
    <x v="0"/>
    <x v="10"/>
    <n v="2754"/>
    <n v="1"/>
    <s v="MystScroll"/>
    <n v="1"/>
    <x v="2"/>
    <n v="0"/>
    <n v="120000"/>
    <n v="0"/>
    <n v="0"/>
    <m/>
  </r>
  <r>
    <x v="9"/>
    <x v="0"/>
    <x v="10"/>
    <n v="2824"/>
    <n v="1"/>
    <s v="SD"/>
    <s v="Pixie"/>
    <x v="1"/>
    <n v="0"/>
    <n v="0"/>
    <n v="0"/>
    <n v="0"/>
    <m/>
  </r>
  <r>
    <x v="9"/>
    <x v="0"/>
    <x v="10"/>
    <n v="2980"/>
    <n v="0"/>
    <s v="Water"/>
    <n v="1"/>
    <x v="4"/>
    <n v="0"/>
    <n v="0"/>
    <n v="0"/>
    <n v="0"/>
    <m/>
  </r>
  <r>
    <x v="9"/>
    <x v="0"/>
    <x v="10"/>
    <n v="2957"/>
    <n v="0"/>
    <s v="Angelmon"/>
    <n v="1"/>
    <x v="2"/>
    <n v="0"/>
    <n v="0"/>
    <n v="0"/>
    <n v="0"/>
    <m/>
  </r>
  <r>
    <x v="9"/>
    <x v="0"/>
    <x v="10"/>
    <n v="2417"/>
    <n v="0"/>
    <s v="Scroll"/>
    <n v="4"/>
    <x v="2"/>
    <n v="0"/>
    <n v="8000"/>
    <n v="0"/>
    <n v="3200"/>
    <m/>
  </r>
  <r>
    <x v="9"/>
    <x v="0"/>
    <x v="10"/>
    <n v="2671"/>
    <n v="0"/>
    <s v="Water"/>
    <n v="5"/>
    <x v="3"/>
    <n v="0"/>
    <n v="0"/>
    <n v="0"/>
    <n v="0"/>
    <m/>
  </r>
  <r>
    <x v="9"/>
    <x v="0"/>
    <x v="10"/>
    <n v="2947"/>
    <n v="1"/>
    <s v="Water"/>
    <n v="1"/>
    <x v="6"/>
    <n v="0"/>
    <n v="0"/>
    <n v="0"/>
    <n v="0"/>
    <m/>
  </r>
  <r>
    <x v="9"/>
    <x v="0"/>
    <x v="10"/>
    <n v="3358"/>
    <n v="1"/>
    <s v="Scroll"/>
    <n v="4"/>
    <x v="2"/>
    <n v="0"/>
    <n v="8000"/>
    <n v="0"/>
    <n v="3200"/>
    <m/>
  </r>
  <r>
    <x v="9"/>
    <x v="0"/>
    <x v="10"/>
    <n v="2184"/>
    <n v="0"/>
    <s v="Water"/>
    <n v="4"/>
    <x v="3"/>
    <n v="0"/>
    <n v="0"/>
    <n v="0"/>
    <n v="0"/>
    <m/>
  </r>
  <r>
    <x v="9"/>
    <x v="0"/>
    <x v="10"/>
    <n v="2654"/>
    <n v="3"/>
    <s v="Water"/>
    <n v="1"/>
    <x v="4"/>
    <n v="0"/>
    <n v="0"/>
    <n v="0"/>
    <n v="0"/>
    <m/>
  </r>
  <r>
    <x v="9"/>
    <x v="0"/>
    <x v="10"/>
    <n v="2592"/>
    <n v="1"/>
    <s v="Water"/>
    <n v="1"/>
    <x v="4"/>
    <n v="0"/>
    <n v="0"/>
    <n v="0"/>
    <n v="0"/>
    <m/>
  </r>
  <r>
    <x v="9"/>
    <x v="0"/>
    <x v="10"/>
    <n v="2625"/>
    <n v="0"/>
    <s v="Water"/>
    <n v="1"/>
    <x v="6"/>
    <n v="0"/>
    <n v="0"/>
    <n v="0"/>
    <n v="0"/>
    <m/>
  </r>
  <r>
    <x v="9"/>
    <x v="0"/>
    <x v="10"/>
    <n v="3029"/>
    <n v="0"/>
    <s v="Water"/>
    <n v="1"/>
    <x v="4"/>
    <n v="0"/>
    <n v="0"/>
    <n v="0"/>
    <n v="0"/>
    <m/>
  </r>
  <r>
    <x v="9"/>
    <x v="0"/>
    <x v="10"/>
    <n v="2865"/>
    <n v="1"/>
    <s v="Water"/>
    <n v="1"/>
    <x v="4"/>
    <n v="0"/>
    <n v="0"/>
    <n v="0"/>
    <n v="0"/>
    <m/>
  </r>
  <r>
    <x v="9"/>
    <x v="0"/>
    <x v="10"/>
    <n v="3075"/>
    <n v="3"/>
    <s v="Water"/>
    <n v="5"/>
    <x v="3"/>
    <n v="0"/>
    <n v="0"/>
    <n v="0"/>
    <n v="0"/>
    <m/>
  </r>
  <r>
    <x v="9"/>
    <x v="0"/>
    <x v="10"/>
    <n v="3767"/>
    <n v="2"/>
    <s v="Water"/>
    <n v="4"/>
    <x v="3"/>
    <n v="0"/>
    <n v="0"/>
    <n v="0"/>
    <n v="0"/>
    <m/>
  </r>
  <r>
    <x v="9"/>
    <x v="0"/>
    <x v="10"/>
    <n v="3007"/>
    <n v="2"/>
    <s v="Water"/>
    <n v="3"/>
    <x v="4"/>
    <n v="0"/>
    <n v="0"/>
    <n v="0"/>
    <n v="0"/>
    <m/>
  </r>
  <r>
    <x v="9"/>
    <x v="0"/>
    <x v="10"/>
    <n v="2942"/>
    <n v="0"/>
    <s v="Water"/>
    <n v="1"/>
    <x v="4"/>
    <n v="0"/>
    <n v="0"/>
    <n v="0"/>
    <n v="0"/>
    <m/>
  </r>
  <r>
    <x v="9"/>
    <x v="0"/>
    <x v="10"/>
    <n v="2701"/>
    <n v="0"/>
    <s v="Water"/>
    <n v="5"/>
    <x v="3"/>
    <n v="0"/>
    <n v="0"/>
    <n v="0"/>
    <n v="0"/>
    <m/>
  </r>
  <r>
    <x v="9"/>
    <x v="0"/>
    <x v="10"/>
    <n v="3320"/>
    <n v="0"/>
    <s v="Water"/>
    <n v="3"/>
    <x v="6"/>
    <n v="0"/>
    <n v="0"/>
    <n v="0"/>
    <n v="0"/>
    <m/>
  </r>
  <r>
    <x v="9"/>
    <x v="0"/>
    <x v="10"/>
    <n v="2890"/>
    <n v="2"/>
    <s v="Water"/>
    <n v="3"/>
    <x v="3"/>
    <n v="0"/>
    <n v="0"/>
    <n v="0"/>
    <n v="0"/>
    <m/>
  </r>
  <r>
    <x v="9"/>
    <x v="0"/>
    <x v="10"/>
    <n v="3274"/>
    <n v="1"/>
    <s v="Water"/>
    <n v="2"/>
    <x v="6"/>
    <n v="0"/>
    <n v="0"/>
    <n v="0"/>
    <n v="0"/>
    <m/>
  </r>
  <r>
    <x v="9"/>
    <x v="0"/>
    <x v="10"/>
    <n v="2847"/>
    <n v="1"/>
    <s v="Water"/>
    <n v="1"/>
    <x v="6"/>
    <n v="0"/>
    <n v="0"/>
    <n v="0"/>
    <n v="0"/>
    <m/>
  </r>
  <r>
    <x v="9"/>
    <x v="0"/>
    <x v="10"/>
    <n v="2602"/>
    <n v="0"/>
    <s v="Water"/>
    <n v="4"/>
    <x v="3"/>
    <n v="0"/>
    <n v="0"/>
    <n v="0"/>
    <n v="0"/>
    <m/>
  </r>
  <r>
    <x v="9"/>
    <x v="0"/>
    <x v="10"/>
    <n v="2901"/>
    <n v="1"/>
    <s v="SD"/>
    <s v="Golem"/>
    <x v="5"/>
    <n v="0"/>
    <n v="0"/>
    <n v="0"/>
    <n v="0"/>
    <m/>
  </r>
  <r>
    <x v="9"/>
    <x v="0"/>
    <x v="10"/>
    <n v="2768"/>
    <n v="0"/>
    <s v="Water"/>
    <n v="5"/>
    <x v="3"/>
    <n v="0"/>
    <n v="0"/>
    <n v="0"/>
    <n v="0"/>
    <m/>
  </r>
  <r>
    <x v="9"/>
    <x v="0"/>
    <x v="10"/>
    <n v="2401"/>
    <n v="1"/>
    <s v="Water"/>
    <n v="1"/>
    <x v="4"/>
    <n v="0"/>
    <n v="0"/>
    <n v="0"/>
    <n v="0"/>
    <m/>
  </r>
  <r>
    <x v="9"/>
    <x v="0"/>
    <x v="10"/>
    <n v="2915"/>
    <n v="0"/>
    <s v="SumStone"/>
    <n v="3"/>
    <x v="5"/>
    <n v="0"/>
    <n v="0"/>
    <n v="2587.5"/>
    <n v="2686.6499999999996"/>
    <m/>
  </r>
  <r>
    <x v="9"/>
    <x v="0"/>
    <x v="10"/>
    <n v="2978"/>
    <n v="0"/>
    <s v="Water"/>
    <n v="4"/>
    <x v="3"/>
    <n v="0"/>
    <n v="0"/>
    <n v="0"/>
    <n v="0"/>
    <m/>
  </r>
  <r>
    <x v="9"/>
    <x v="0"/>
    <x v="10"/>
    <n v="2956"/>
    <n v="0"/>
    <s v="Water"/>
    <n v="5"/>
    <x v="3"/>
    <n v="0"/>
    <n v="0"/>
    <n v="0"/>
    <n v="0"/>
    <m/>
  </r>
  <r>
    <x v="9"/>
    <x v="0"/>
    <x v="10"/>
    <n v="2657"/>
    <n v="1"/>
    <s v="Water"/>
    <n v="5"/>
    <x v="3"/>
    <n v="0"/>
    <n v="0"/>
    <n v="0"/>
    <n v="0"/>
    <m/>
  </r>
  <r>
    <x v="9"/>
    <x v="0"/>
    <x v="10"/>
    <n v="2789"/>
    <n v="0"/>
    <s v="Angelmon"/>
    <n v="1"/>
    <x v="2"/>
    <n v="0"/>
    <n v="0"/>
    <n v="0"/>
    <n v="0"/>
    <m/>
  </r>
  <r>
    <x v="9"/>
    <x v="0"/>
    <x v="10"/>
    <n v="2793"/>
    <n v="1"/>
    <s v="Water"/>
    <n v="5"/>
    <x v="3"/>
    <n v="0"/>
    <n v="0"/>
    <n v="0"/>
    <n v="0"/>
    <m/>
  </r>
  <r>
    <x v="9"/>
    <x v="0"/>
    <x v="10"/>
    <n v="2869"/>
    <n v="2"/>
    <s v="Water"/>
    <n v="4"/>
    <x v="3"/>
    <n v="0"/>
    <n v="0"/>
    <n v="0"/>
    <n v="0"/>
    <m/>
  </r>
  <r>
    <x v="9"/>
    <x v="0"/>
    <x v="10"/>
    <n v="2638"/>
    <n v="1"/>
    <s v="Angelmon"/>
    <n v="1"/>
    <x v="2"/>
    <n v="0"/>
    <n v="0"/>
    <n v="0"/>
    <n v="0"/>
    <m/>
  </r>
  <r>
    <x v="9"/>
    <x v="0"/>
    <x v="10"/>
    <n v="2929"/>
    <n v="1"/>
    <s v="Water"/>
    <n v="1"/>
    <x v="4"/>
    <n v="0"/>
    <n v="0"/>
    <n v="0"/>
    <n v="0"/>
    <m/>
  </r>
  <r>
    <x v="9"/>
    <x v="0"/>
    <x v="10"/>
    <n v="2423"/>
    <n v="1"/>
    <s v="Water"/>
    <n v="3"/>
    <x v="3"/>
    <n v="0"/>
    <n v="0"/>
    <n v="0"/>
    <n v="0"/>
    <m/>
  </r>
  <r>
    <x v="9"/>
    <x v="0"/>
    <x v="10"/>
    <n v="2881"/>
    <n v="0"/>
    <s v="Water"/>
    <n v="5"/>
    <x v="3"/>
    <n v="0"/>
    <n v="0"/>
    <n v="0"/>
    <n v="0"/>
    <m/>
  </r>
  <r>
    <x v="9"/>
    <x v="0"/>
    <x v="10"/>
    <n v="3128"/>
    <n v="1"/>
    <s v="Water"/>
    <n v="4"/>
    <x v="3"/>
    <n v="0"/>
    <n v="0"/>
    <n v="0"/>
    <n v="0"/>
    <m/>
  </r>
  <r>
    <x v="9"/>
    <x v="0"/>
    <x v="10"/>
    <n v="3042"/>
    <n v="0"/>
    <s v="Water"/>
    <n v="3"/>
    <x v="6"/>
    <n v="0"/>
    <n v="0"/>
    <n v="0"/>
    <n v="0"/>
    <m/>
  </r>
  <r>
    <x v="9"/>
    <x v="0"/>
    <x v="10"/>
    <n v="2846"/>
    <n v="1"/>
    <s v="Water"/>
    <n v="1"/>
    <x v="6"/>
    <n v="0"/>
    <n v="0"/>
    <n v="0"/>
    <n v="0"/>
    <m/>
  </r>
  <r>
    <x v="9"/>
    <x v="0"/>
    <x v="10"/>
    <n v="3112"/>
    <n v="1"/>
    <s v="Water"/>
    <n v="1"/>
    <x v="6"/>
    <n v="0"/>
    <n v="0"/>
    <n v="0"/>
    <n v="0"/>
    <m/>
  </r>
  <r>
    <x v="9"/>
    <x v="0"/>
    <x v="10"/>
    <n v="2928"/>
    <n v="1"/>
    <s v="Water"/>
    <n v="4"/>
    <x v="3"/>
    <n v="0"/>
    <n v="0"/>
    <n v="0"/>
    <n v="0"/>
    <m/>
  </r>
  <r>
    <x v="9"/>
    <x v="0"/>
    <x v="10"/>
    <n v="2702"/>
    <n v="1"/>
    <s v="Water"/>
    <n v="2"/>
    <x v="4"/>
    <n v="0"/>
    <n v="0"/>
    <n v="0"/>
    <n v="0"/>
    <m/>
  </r>
  <r>
    <x v="11"/>
    <x v="0"/>
    <x v="12"/>
    <n v="6071"/>
    <n v="0"/>
    <s v="SumStone"/>
    <n v="4"/>
    <x v="5"/>
    <n v="0"/>
    <n v="0"/>
    <n v="3450"/>
    <n v="3582.2"/>
    <m/>
  </r>
  <r>
    <x v="11"/>
    <x v="0"/>
    <x v="12"/>
    <n v="5719"/>
    <n v="0"/>
    <s v="SumStone"/>
    <n v="4"/>
    <x v="5"/>
    <n v="0"/>
    <n v="0"/>
    <n v="3450"/>
    <n v="3582.2"/>
    <m/>
  </r>
  <r>
    <x v="11"/>
    <x v="0"/>
    <x v="12"/>
    <n v="5444"/>
    <n v="0"/>
    <s v="SumStone"/>
    <n v="4"/>
    <x v="5"/>
    <n v="0"/>
    <n v="0"/>
    <n v="3450"/>
    <n v="3582.2"/>
    <m/>
  </r>
  <r>
    <x v="11"/>
    <x v="0"/>
    <x v="12"/>
    <n v="5741"/>
    <n v="0"/>
    <s v="SumStone"/>
    <n v="4"/>
    <x v="5"/>
    <n v="0"/>
    <n v="0"/>
    <n v="3450"/>
    <n v="3582.2"/>
    <m/>
  </r>
  <r>
    <x v="11"/>
    <x v="0"/>
    <x v="12"/>
    <n v="6031"/>
    <n v="0"/>
    <s v="SumStone"/>
    <n v="4"/>
    <x v="5"/>
    <n v="0"/>
    <n v="0"/>
    <n v="3450"/>
    <n v="3582.2"/>
    <m/>
  </r>
  <r>
    <x v="11"/>
    <x v="0"/>
    <x v="12"/>
    <n v="5574"/>
    <n v="0"/>
    <s v="SumStone"/>
    <n v="4"/>
    <x v="5"/>
    <n v="0"/>
    <n v="0"/>
    <n v="3450"/>
    <n v="3582.2"/>
    <m/>
  </r>
  <r>
    <x v="11"/>
    <x v="0"/>
    <x v="12"/>
    <n v="6065"/>
    <n v="0"/>
    <s v="SumStone"/>
    <n v="4"/>
    <x v="5"/>
    <n v="0"/>
    <n v="0"/>
    <n v="3450"/>
    <n v="3582.2"/>
    <m/>
  </r>
  <r>
    <x v="11"/>
    <x v="0"/>
    <x v="12"/>
    <n v="5631"/>
    <n v="0"/>
    <s v="SumStone"/>
    <n v="4"/>
    <x v="5"/>
    <n v="0"/>
    <n v="0"/>
    <n v="3450"/>
    <n v="3582.2"/>
    <m/>
  </r>
  <r>
    <x v="9"/>
    <x v="0"/>
    <x v="10"/>
    <n v="2671"/>
    <n v="0"/>
    <s v="Water"/>
    <n v="1"/>
    <x v="4"/>
    <n v="0"/>
    <n v="0"/>
    <n v="0"/>
    <n v="0"/>
    <m/>
  </r>
  <r>
    <x v="9"/>
    <x v="0"/>
    <x v="10"/>
    <n v="2940"/>
    <n v="0"/>
    <s v="Water"/>
    <n v="1"/>
    <x v="6"/>
    <n v="0"/>
    <n v="0"/>
    <n v="0"/>
    <n v="0"/>
    <m/>
  </r>
  <r>
    <x v="9"/>
    <x v="0"/>
    <x v="10"/>
    <n v="2643"/>
    <n v="2"/>
    <s v="Water"/>
    <n v="1"/>
    <x v="6"/>
    <n v="0"/>
    <n v="0"/>
    <n v="0"/>
    <n v="0"/>
    <m/>
  </r>
  <r>
    <x v="9"/>
    <x v="0"/>
    <x v="10"/>
    <n v="2968"/>
    <n v="0"/>
    <s v="Water"/>
    <n v="3"/>
    <x v="4"/>
    <n v="0"/>
    <n v="0"/>
    <n v="0"/>
    <n v="0"/>
    <m/>
  </r>
  <r>
    <x v="9"/>
    <x v="0"/>
    <x v="10"/>
    <n v="2502"/>
    <n v="2"/>
    <s v="Water"/>
    <n v="2"/>
    <x v="4"/>
    <n v="0"/>
    <n v="0"/>
    <n v="0"/>
    <n v="0"/>
    <m/>
  </r>
  <r>
    <x v="9"/>
    <x v="0"/>
    <x v="10"/>
    <n v="2719"/>
    <n v="3"/>
    <s v="SD"/>
    <s v="Serpent"/>
    <x v="5"/>
    <n v="0"/>
    <n v="0"/>
    <n v="0"/>
    <n v="0"/>
    <m/>
  </r>
  <r>
    <x v="9"/>
    <x v="0"/>
    <x v="10"/>
    <n v="2733"/>
    <n v="1"/>
    <s v="Water"/>
    <n v="1"/>
    <x v="4"/>
    <n v="0"/>
    <n v="0"/>
    <n v="0"/>
    <n v="0"/>
    <m/>
  </r>
  <r>
    <x v="9"/>
    <x v="0"/>
    <x v="10"/>
    <n v="2917"/>
    <n v="1"/>
    <s v="Water"/>
    <n v="1"/>
    <x v="4"/>
    <n v="0"/>
    <n v="0"/>
    <n v="0"/>
    <n v="0"/>
    <m/>
  </r>
  <r>
    <x v="9"/>
    <x v="0"/>
    <x v="10"/>
    <n v="2662"/>
    <n v="0"/>
    <s v="Water"/>
    <n v="3"/>
    <x v="6"/>
    <n v="0"/>
    <n v="0"/>
    <n v="0"/>
    <n v="0"/>
    <m/>
  </r>
  <r>
    <x v="9"/>
    <x v="0"/>
    <x v="10"/>
    <n v="2980"/>
    <n v="1"/>
    <s v="Water"/>
    <n v="2"/>
    <x v="4"/>
    <n v="0"/>
    <n v="0"/>
    <n v="0"/>
    <n v="0"/>
    <m/>
  </r>
  <r>
    <x v="9"/>
    <x v="0"/>
    <x v="10"/>
    <n v="2778"/>
    <n v="0"/>
    <s v="Rainb"/>
    <n v="1"/>
    <x v="5"/>
    <n v="0"/>
    <n v="0"/>
    <n v="34500"/>
    <n v="118004"/>
    <m/>
  </r>
  <r>
    <x v="9"/>
    <x v="0"/>
    <x v="10"/>
    <n v="2383"/>
    <n v="0"/>
    <s v="Scroll"/>
    <n v="5"/>
    <x v="2"/>
    <n v="0"/>
    <n v="10000"/>
    <n v="0"/>
    <n v="4000"/>
    <m/>
  </r>
  <r>
    <x v="9"/>
    <x v="0"/>
    <x v="10"/>
    <n v="2705"/>
    <n v="1"/>
    <s v="Water"/>
    <n v="1"/>
    <x v="6"/>
    <n v="0"/>
    <n v="0"/>
    <n v="0"/>
    <n v="0"/>
    <m/>
  </r>
  <r>
    <x v="9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2"/>
    <x v="0"/>
    <x v="10"/>
    <n v="2838"/>
    <n v="0"/>
    <s v="Wind"/>
    <n v="4"/>
    <x v="3"/>
    <n v="0"/>
    <n v="0"/>
    <n v="0"/>
    <n v="0"/>
    <m/>
  </r>
  <r>
    <x v="12"/>
    <x v="0"/>
    <x v="10"/>
    <n v="2427"/>
    <n v="1"/>
    <s v="Candy"/>
    <n v="3"/>
    <x v="0"/>
    <n v="0"/>
    <n v="0"/>
    <n v="0"/>
    <n v="0"/>
    <m/>
  </r>
  <r>
    <x v="12"/>
    <x v="0"/>
    <x v="10"/>
    <n v="3047"/>
    <n v="2"/>
    <s v="Wind"/>
    <n v="1"/>
    <x v="4"/>
    <n v="0"/>
    <n v="0"/>
    <n v="0"/>
    <n v="0"/>
    <m/>
  </r>
  <r>
    <x v="12"/>
    <x v="0"/>
    <x v="10"/>
    <n v="2866"/>
    <n v="1"/>
    <s v="Angelmon"/>
    <n v="1"/>
    <x v="2"/>
    <n v="0"/>
    <n v="0"/>
    <n v="0"/>
    <n v="0"/>
    <m/>
  </r>
  <r>
    <x v="12"/>
    <x v="0"/>
    <x v="10"/>
    <n v="2763"/>
    <n v="0"/>
    <s v="Candy"/>
    <n v="2"/>
    <x v="0"/>
    <n v="0"/>
    <n v="0"/>
    <n v="0"/>
    <n v="0"/>
    <m/>
  </r>
  <r>
    <x v="12"/>
    <x v="0"/>
    <x v="10"/>
    <n v="3056"/>
    <n v="1"/>
    <s v="Candy"/>
    <n v="1"/>
    <x v="0"/>
    <n v="0"/>
    <n v="0"/>
    <n v="0"/>
    <n v="0"/>
    <m/>
  </r>
  <r>
    <x v="12"/>
    <x v="0"/>
    <x v="10"/>
    <n v="2719"/>
    <n v="0"/>
    <s v="Wind"/>
    <n v="5"/>
    <x v="3"/>
    <n v="0"/>
    <n v="0"/>
    <n v="0"/>
    <n v="0"/>
    <m/>
  </r>
  <r>
    <x v="12"/>
    <x v="0"/>
    <x v="10"/>
    <n v="2911"/>
    <n v="1"/>
    <s v="Wind"/>
    <n v="5"/>
    <x v="3"/>
    <n v="0"/>
    <n v="0"/>
    <n v="0"/>
    <n v="0"/>
    <m/>
  </r>
  <r>
    <x v="12"/>
    <x v="0"/>
    <x v="10"/>
    <n v="2858"/>
    <n v="0"/>
    <s v="Wind"/>
    <n v="1"/>
    <x v="4"/>
    <n v="0"/>
    <n v="0"/>
    <n v="0"/>
    <n v="0"/>
    <m/>
  </r>
  <r>
    <x v="12"/>
    <x v="0"/>
    <x v="10"/>
    <n v="2965"/>
    <n v="1"/>
    <s v="Wind"/>
    <n v="3"/>
    <x v="4"/>
    <n v="0"/>
    <n v="0"/>
    <n v="0"/>
    <n v="0"/>
    <m/>
  </r>
  <r>
    <x v="12"/>
    <x v="0"/>
    <x v="10"/>
    <n v="3486"/>
    <n v="1"/>
    <s v="Angelmon"/>
    <n v="1"/>
    <x v="2"/>
    <n v="0"/>
    <n v="0"/>
    <n v="0"/>
    <n v="0"/>
    <m/>
  </r>
  <r>
    <x v="12"/>
    <x v="0"/>
    <x v="10"/>
    <n v="2992"/>
    <n v="0"/>
    <s v="Rainb"/>
    <n v="1"/>
    <x v="5"/>
    <n v="0"/>
    <n v="0"/>
    <n v="34500"/>
    <n v="118004"/>
    <m/>
  </r>
  <r>
    <x v="12"/>
    <x v="0"/>
    <x v="10"/>
    <n v="2961"/>
    <n v="1"/>
    <s v="Scroll"/>
    <n v="5"/>
    <x v="2"/>
    <n v="0"/>
    <n v="10000"/>
    <n v="0"/>
    <n v="4000"/>
    <m/>
  </r>
  <r>
    <x v="12"/>
    <x v="0"/>
    <x v="10"/>
    <n v="2744"/>
    <n v="1"/>
    <s v="Wind"/>
    <n v="1"/>
    <x v="6"/>
    <n v="0"/>
    <n v="0"/>
    <n v="0"/>
    <n v="0"/>
    <m/>
  </r>
  <r>
    <x v="12"/>
    <x v="0"/>
    <x v="10"/>
    <n v="2564"/>
    <n v="0"/>
    <s v="Wind"/>
    <n v="5"/>
    <x v="3"/>
    <n v="0"/>
    <n v="0"/>
    <n v="0"/>
    <n v="0"/>
    <m/>
  </r>
  <r>
    <x v="12"/>
    <x v="0"/>
    <x v="10"/>
    <n v="2876"/>
    <n v="2"/>
    <s v="Rainb"/>
    <n v="1"/>
    <x v="5"/>
    <n v="0"/>
    <n v="0"/>
    <n v="34500"/>
    <n v="118004"/>
    <m/>
  </r>
  <r>
    <x v="12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2"/>
    <x v="0"/>
    <x v="10"/>
    <n v="3032"/>
    <n v="0"/>
    <s v="Wind"/>
    <n v="5"/>
    <x v="3"/>
    <n v="0"/>
    <n v="0"/>
    <n v="0"/>
    <n v="0"/>
    <m/>
  </r>
  <r>
    <x v="12"/>
    <x v="0"/>
    <x v="10"/>
    <n v="2865"/>
    <n v="1"/>
    <s v="Rainb"/>
    <n v="1"/>
    <x v="5"/>
    <n v="0"/>
    <n v="0"/>
    <n v="34500"/>
    <n v="118004"/>
    <m/>
  </r>
  <r>
    <x v="12"/>
    <x v="0"/>
    <x v="10"/>
    <n v="2891"/>
    <n v="2"/>
    <s v="Wind"/>
    <n v="1"/>
    <x v="4"/>
    <n v="0"/>
    <n v="0"/>
    <n v="0"/>
    <n v="0"/>
    <m/>
  </r>
  <r>
    <x v="12"/>
    <x v="0"/>
    <x v="10"/>
    <n v="2799"/>
    <n v="0"/>
    <s v="Wind"/>
    <n v="2"/>
    <x v="4"/>
    <n v="0"/>
    <n v="0"/>
    <n v="0"/>
    <n v="0"/>
    <m/>
  </r>
  <r>
    <x v="12"/>
    <x v="0"/>
    <x v="10"/>
    <n v="3197"/>
    <n v="1"/>
    <s v="Wind"/>
    <n v="2"/>
    <x v="4"/>
    <n v="0"/>
    <n v="0"/>
    <n v="0"/>
    <n v="0"/>
    <m/>
  </r>
  <r>
    <x v="12"/>
    <x v="0"/>
    <x v="10"/>
    <n v="3013"/>
    <n v="0"/>
    <s v="Wind"/>
    <n v="4"/>
    <x v="3"/>
    <n v="0"/>
    <n v="0"/>
    <n v="0"/>
    <n v="0"/>
    <m/>
  </r>
  <r>
    <x v="12"/>
    <x v="0"/>
    <x v="10"/>
    <n v="3393"/>
    <n v="1"/>
    <s v="Wind"/>
    <n v="4"/>
    <x v="3"/>
    <n v="0"/>
    <n v="0"/>
    <n v="0"/>
    <n v="0"/>
    <m/>
  </r>
  <r>
    <x v="12"/>
    <x v="0"/>
    <x v="10"/>
    <n v="3290"/>
    <n v="0"/>
    <s v="MystScroll"/>
    <n v="1"/>
    <x v="2"/>
    <n v="0"/>
    <n v="120000"/>
    <n v="0"/>
    <n v="0"/>
    <m/>
  </r>
  <r>
    <x v="13"/>
    <x v="2"/>
    <x v="3"/>
    <n v="1311"/>
    <n v="0"/>
    <m/>
    <m/>
    <x v="0"/>
    <n v="1236"/>
    <n v="1236"/>
    <n v="0"/>
    <n v="0"/>
    <m/>
  </r>
  <r>
    <x v="12"/>
    <x v="0"/>
    <x v="10"/>
    <n v="2551"/>
    <n v="1"/>
    <s v="SD"/>
    <s v="Yeti"/>
    <x v="1"/>
    <n v="0"/>
    <n v="0"/>
    <n v="0"/>
    <n v="0"/>
    <m/>
  </r>
  <r>
    <x v="12"/>
    <x v="0"/>
    <x v="10"/>
    <n v="2856"/>
    <n v="0"/>
    <s v="Wind"/>
    <n v="1"/>
    <x v="6"/>
    <n v="0"/>
    <n v="0"/>
    <n v="0"/>
    <n v="0"/>
    <m/>
  </r>
  <r>
    <x v="12"/>
    <x v="0"/>
    <x v="10"/>
    <n v="2488"/>
    <n v="1"/>
    <s v="Wind"/>
    <n v="3"/>
    <x v="4"/>
    <n v="0"/>
    <n v="0"/>
    <n v="0"/>
    <n v="0"/>
    <m/>
  </r>
  <r>
    <x v="12"/>
    <x v="0"/>
    <x v="10"/>
    <n v="2583"/>
    <n v="0"/>
    <s v="Wind"/>
    <n v="5"/>
    <x v="3"/>
    <n v="0"/>
    <n v="0"/>
    <n v="0"/>
    <n v="0"/>
    <m/>
  </r>
  <r>
    <x v="12"/>
    <x v="0"/>
    <x v="10"/>
    <n v="2394"/>
    <n v="0"/>
    <s v="Wind"/>
    <n v="4"/>
    <x v="3"/>
    <n v="0"/>
    <n v="0"/>
    <n v="0"/>
    <n v="0"/>
    <m/>
  </r>
  <r>
    <x v="12"/>
    <x v="0"/>
    <x v="10"/>
    <n v="2703"/>
    <n v="0"/>
    <s v="Wind"/>
    <n v="1"/>
    <x v="6"/>
    <n v="0"/>
    <n v="0"/>
    <n v="0"/>
    <n v="0"/>
    <m/>
  </r>
  <r>
    <x v="12"/>
    <x v="0"/>
    <x v="10"/>
    <n v="2880"/>
    <n v="1"/>
    <s v="Wind"/>
    <n v="4"/>
    <x v="3"/>
    <n v="0"/>
    <n v="0"/>
    <n v="0"/>
    <n v="0"/>
    <m/>
  </r>
  <r>
    <x v="12"/>
    <x v="0"/>
    <x v="10"/>
    <n v="2802"/>
    <n v="0"/>
    <s v="Wind"/>
    <n v="3"/>
    <x v="4"/>
    <n v="0"/>
    <n v="0"/>
    <n v="0"/>
    <n v="0"/>
    <m/>
  </r>
  <r>
    <x v="12"/>
    <x v="0"/>
    <x v="10"/>
    <n v="2784"/>
    <n v="2"/>
    <s v="Candy"/>
    <n v="2"/>
    <x v="0"/>
    <n v="0"/>
    <n v="0"/>
    <n v="0"/>
    <n v="0"/>
    <m/>
  </r>
  <r>
    <x v="12"/>
    <x v="0"/>
    <x v="10"/>
    <n v="2856"/>
    <n v="0"/>
    <s v="Wind"/>
    <n v="3"/>
    <x v="4"/>
    <n v="0"/>
    <n v="0"/>
    <n v="0"/>
    <n v="0"/>
    <m/>
  </r>
  <r>
    <x v="12"/>
    <x v="0"/>
    <x v="10"/>
    <n v="3481"/>
    <n v="0"/>
    <s v="Wind"/>
    <n v="4"/>
    <x v="3"/>
    <n v="0"/>
    <n v="0"/>
    <n v="0"/>
    <n v="0"/>
    <m/>
  </r>
  <r>
    <x v="12"/>
    <x v="0"/>
    <x v="10"/>
    <n v="2701"/>
    <n v="0"/>
    <s v="Rainb"/>
    <s v="2*"/>
    <x v="0"/>
    <n v="0"/>
    <n v="0"/>
    <n v="0"/>
    <n v="0"/>
    <m/>
  </r>
  <r>
    <x v="12"/>
    <x v="0"/>
    <x v="10"/>
    <n v="2809"/>
    <n v="1"/>
    <s v="Angelmon"/>
    <s v="1*"/>
    <x v="0"/>
    <n v="0"/>
    <n v="0"/>
    <n v="0"/>
    <n v="0"/>
    <m/>
  </r>
  <r>
    <x v="12"/>
    <x v="0"/>
    <x v="10"/>
    <n v="2999"/>
    <n v="0"/>
    <s v="Wind"/>
    <n v="5"/>
    <x v="3"/>
    <n v="0"/>
    <n v="0"/>
    <n v="0"/>
    <n v="0"/>
    <m/>
  </r>
  <r>
    <x v="12"/>
    <x v="0"/>
    <x v="10"/>
    <n v="2639"/>
    <n v="1"/>
    <s v="Wind"/>
    <n v="2"/>
    <x v="4"/>
    <n v="0"/>
    <n v="0"/>
    <n v="0"/>
    <n v="0"/>
    <m/>
  </r>
  <r>
    <x v="12"/>
    <x v="0"/>
    <x v="10"/>
    <n v="2853"/>
    <n v="0"/>
    <s v="Wind"/>
    <n v="2"/>
    <x v="6"/>
    <n v="0"/>
    <n v="0"/>
    <n v="0"/>
    <n v="0"/>
    <m/>
  </r>
  <r>
    <x v="12"/>
    <x v="0"/>
    <x v="10"/>
    <n v="3206"/>
    <n v="1"/>
    <s v="Wind"/>
    <n v="4"/>
    <x v="3"/>
    <n v="0"/>
    <n v="0"/>
    <n v="0"/>
    <n v="0"/>
    <m/>
  </r>
  <r>
    <x v="12"/>
    <x v="0"/>
    <x v="10"/>
    <n v="3218"/>
    <n v="0"/>
    <s v="Wind"/>
    <n v="3"/>
    <x v="4"/>
    <n v="0"/>
    <n v="0"/>
    <n v="0"/>
    <n v="0"/>
    <m/>
  </r>
  <r>
    <x v="12"/>
    <x v="0"/>
    <x v="10"/>
    <n v="2853"/>
    <n v="2"/>
    <s v="Wind"/>
    <n v="3"/>
    <x v="6"/>
    <n v="0"/>
    <n v="0"/>
    <n v="0"/>
    <n v="0"/>
    <m/>
  </r>
  <r>
    <x v="12"/>
    <x v="0"/>
    <x v="10"/>
    <n v="2921"/>
    <n v="0"/>
    <s v="Wind"/>
    <n v="1"/>
    <x v="6"/>
    <n v="0"/>
    <n v="0"/>
    <n v="0"/>
    <n v="0"/>
    <m/>
  </r>
  <r>
    <x v="12"/>
    <x v="0"/>
    <x v="10"/>
    <n v="2840"/>
    <n v="0"/>
    <s v="Angelmon"/>
    <s v="1*"/>
    <x v="0"/>
    <n v="0"/>
    <n v="0"/>
    <n v="0"/>
    <n v="0"/>
    <m/>
  </r>
  <r>
    <x v="12"/>
    <x v="0"/>
    <x v="10"/>
    <n v="3444"/>
    <n v="0"/>
    <s v="Candy"/>
    <n v="1"/>
    <x v="0"/>
    <n v="0"/>
    <n v="0"/>
    <n v="0"/>
    <n v="0"/>
    <m/>
  </r>
  <r>
    <x v="12"/>
    <x v="0"/>
    <x v="10"/>
    <n v="2844"/>
    <n v="0"/>
    <s v="Wind"/>
    <n v="2"/>
    <x v="4"/>
    <n v="0"/>
    <n v="0"/>
    <n v="0"/>
    <n v="0"/>
    <m/>
  </r>
  <r>
    <x v="12"/>
    <x v="0"/>
    <x v="10"/>
    <n v="2720"/>
    <n v="0"/>
    <s v="Wind"/>
    <n v="4"/>
    <x v="3"/>
    <n v="0"/>
    <n v="0"/>
    <n v="0"/>
    <n v="0"/>
    <m/>
  </r>
  <r>
    <x v="12"/>
    <x v="0"/>
    <x v="10"/>
    <n v="2990"/>
    <n v="1"/>
    <s v="Wind"/>
    <n v="4"/>
    <x v="3"/>
    <n v="0"/>
    <n v="0"/>
    <n v="0"/>
    <n v="0"/>
    <m/>
  </r>
  <r>
    <x v="12"/>
    <x v="0"/>
    <x v="10"/>
    <n v="2846"/>
    <n v="4"/>
    <s v="Wind"/>
    <n v="1"/>
    <x v="4"/>
    <n v="0"/>
    <n v="0"/>
    <n v="0"/>
    <n v="0"/>
    <m/>
  </r>
  <r>
    <x v="12"/>
    <x v="0"/>
    <x v="10"/>
    <n v="2740"/>
    <n v="1"/>
    <s v="Candy"/>
    <n v="1"/>
    <x v="0"/>
    <n v="0"/>
    <n v="0"/>
    <n v="0"/>
    <n v="0"/>
    <m/>
  </r>
  <r>
    <x v="12"/>
    <x v="0"/>
    <x v="10"/>
    <n v="2619"/>
    <n v="2"/>
    <s v="Wind"/>
    <n v="1"/>
    <x v="4"/>
    <n v="0"/>
    <n v="0"/>
    <n v="0"/>
    <n v="0"/>
    <m/>
  </r>
  <r>
    <x v="12"/>
    <x v="0"/>
    <x v="10"/>
    <n v="3000"/>
    <n v="1"/>
    <s v="Wind"/>
    <n v="2"/>
    <x v="4"/>
    <n v="0"/>
    <n v="0"/>
    <n v="0"/>
    <n v="0"/>
    <m/>
  </r>
  <r>
    <x v="12"/>
    <x v="0"/>
    <x v="10"/>
    <n v="2846"/>
    <n v="3"/>
    <s v="Wind"/>
    <n v="4"/>
    <x v="3"/>
    <n v="0"/>
    <n v="0"/>
    <n v="0"/>
    <n v="0"/>
    <m/>
  </r>
  <r>
    <x v="12"/>
    <x v="0"/>
    <x v="10"/>
    <n v="2824"/>
    <n v="2"/>
    <s v="Candy"/>
    <n v="3"/>
    <x v="0"/>
    <n v="0"/>
    <n v="0"/>
    <n v="0"/>
    <n v="0"/>
    <m/>
  </r>
  <r>
    <x v="12"/>
    <x v="0"/>
    <x v="10"/>
    <n v="3201"/>
    <n v="0"/>
    <s v="Wind"/>
    <n v="5"/>
    <x v="3"/>
    <n v="0"/>
    <n v="0"/>
    <n v="0"/>
    <n v="0"/>
    <m/>
  </r>
  <r>
    <x v="12"/>
    <x v="0"/>
    <x v="10"/>
    <n v="2638"/>
    <n v="0"/>
    <s v="Wind"/>
    <n v="3"/>
    <x v="3"/>
    <n v="0"/>
    <n v="0"/>
    <n v="0"/>
    <n v="0"/>
    <m/>
  </r>
  <r>
    <x v="12"/>
    <x v="0"/>
    <x v="10"/>
    <n v="2887"/>
    <n v="1"/>
    <s v="Scroll"/>
    <n v="4"/>
    <x v="2"/>
    <n v="0"/>
    <n v="8000"/>
    <n v="0"/>
    <n v="3200"/>
    <m/>
  </r>
  <r>
    <x v="12"/>
    <x v="0"/>
    <x v="10"/>
    <n v="2399"/>
    <n v="0"/>
    <s v="Wind"/>
    <n v="3"/>
    <x v="6"/>
    <n v="0"/>
    <n v="0"/>
    <n v="0"/>
    <n v="0"/>
    <m/>
  </r>
  <r>
    <x v="12"/>
    <x v="0"/>
    <x v="10"/>
    <n v="3055"/>
    <n v="1"/>
    <s v="Wind"/>
    <n v="1"/>
    <x v="4"/>
    <n v="0"/>
    <n v="0"/>
    <n v="0"/>
    <n v="0"/>
    <m/>
  </r>
  <r>
    <x v="12"/>
    <x v="0"/>
    <x v="10"/>
    <n v="2841"/>
    <n v="0"/>
    <s v="Wind"/>
    <n v="5"/>
    <x v="3"/>
    <n v="0"/>
    <n v="0"/>
    <n v="0"/>
    <n v="0"/>
    <m/>
  </r>
  <r>
    <x v="12"/>
    <x v="0"/>
    <x v="10"/>
    <n v="2937"/>
    <n v="0"/>
    <s v="SD"/>
    <s v="2*"/>
    <x v="0"/>
    <n v="0"/>
    <n v="0"/>
    <n v="0"/>
    <n v="0"/>
    <m/>
  </r>
  <r>
    <x v="12"/>
    <x v="0"/>
    <x v="10"/>
    <n v="2426"/>
    <n v="0"/>
    <s v="Wind"/>
    <n v="1"/>
    <x v="6"/>
    <n v="0"/>
    <n v="0"/>
    <n v="0"/>
    <n v="0"/>
    <m/>
  </r>
  <r>
    <x v="12"/>
    <x v="0"/>
    <x v="10"/>
    <n v="2552"/>
    <n v="1"/>
    <s v="Wind"/>
    <n v="3"/>
    <x v="4"/>
    <n v="0"/>
    <n v="0"/>
    <n v="0"/>
    <n v="0"/>
    <m/>
  </r>
  <r>
    <x v="12"/>
    <x v="0"/>
    <x v="10"/>
    <n v="2771"/>
    <n v="2"/>
    <s v="Wind"/>
    <n v="1"/>
    <x v="4"/>
    <n v="0"/>
    <n v="0"/>
    <n v="0"/>
    <n v="0"/>
    <m/>
  </r>
  <r>
    <x v="12"/>
    <x v="0"/>
    <x v="10"/>
    <n v="2652"/>
    <n v="2"/>
    <s v="Wind"/>
    <n v="4"/>
    <x v="3"/>
    <n v="0"/>
    <n v="0"/>
    <n v="0"/>
    <n v="0"/>
    <m/>
  </r>
  <r>
    <x v="12"/>
    <x v="0"/>
    <x v="10"/>
    <n v="2708"/>
    <n v="0"/>
    <s v="Wind"/>
    <n v="1"/>
    <x v="6"/>
    <n v="0"/>
    <n v="0"/>
    <n v="0"/>
    <n v="0"/>
    <m/>
  </r>
  <r>
    <x v="12"/>
    <x v="0"/>
    <x v="10"/>
    <n v="2684"/>
    <n v="1"/>
    <s v="Wind"/>
    <n v="1"/>
    <x v="6"/>
    <n v="0"/>
    <n v="0"/>
    <n v="0"/>
    <n v="0"/>
    <m/>
  </r>
  <r>
    <x v="12"/>
    <x v="0"/>
    <x v="10"/>
    <n v="3108"/>
    <n v="3"/>
    <s v="Wind"/>
    <n v="4"/>
    <x v="3"/>
    <n v="0"/>
    <n v="0"/>
    <n v="0"/>
    <n v="0"/>
    <m/>
  </r>
  <r>
    <x v="12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3"/>
    <x v="2"/>
    <x v="3"/>
    <n v="2208"/>
    <n v="2"/>
    <m/>
    <m/>
    <x v="0"/>
    <n v="1236"/>
    <n v="1236"/>
    <n v="0"/>
    <n v="0"/>
    <m/>
  </r>
  <r>
    <x v="13"/>
    <x v="2"/>
    <x v="3"/>
    <n v="2585"/>
    <n v="2"/>
    <m/>
    <m/>
    <x v="0"/>
    <n v="2205"/>
    <n v="2205"/>
    <n v="0"/>
    <n v="0"/>
    <m/>
  </r>
  <r>
    <x v="13"/>
    <x v="2"/>
    <x v="3"/>
    <n v="2501"/>
    <n v="0"/>
    <m/>
    <m/>
    <x v="0"/>
    <n v="1236"/>
    <n v="1236"/>
    <n v="0"/>
    <n v="0"/>
    <m/>
  </r>
  <r>
    <x v="13"/>
    <x v="2"/>
    <x v="3"/>
    <n v="1564"/>
    <n v="1"/>
    <m/>
    <m/>
    <x v="0"/>
    <n v="1236"/>
    <n v="1236"/>
    <n v="0"/>
    <n v="0"/>
    <m/>
  </r>
  <r>
    <x v="13"/>
    <x v="2"/>
    <x v="3"/>
    <n v="1352"/>
    <n v="0"/>
    <m/>
    <m/>
    <x v="0"/>
    <n v="2205"/>
    <n v="2205"/>
    <n v="0"/>
    <n v="0"/>
    <m/>
  </r>
  <r>
    <x v="13"/>
    <x v="2"/>
    <x v="3"/>
    <n v="828"/>
    <n v="0"/>
    <m/>
    <m/>
    <x v="0"/>
    <n v="1236"/>
    <n v="1236"/>
    <n v="0"/>
    <n v="0"/>
    <m/>
  </r>
  <r>
    <x v="13"/>
    <x v="2"/>
    <x v="3"/>
    <n v="1020"/>
    <n v="1"/>
    <s v="Candy"/>
    <n v="2"/>
    <x v="0"/>
    <n v="0"/>
    <n v="0"/>
    <n v="0"/>
    <n v="0"/>
    <m/>
  </r>
  <r>
    <x v="13"/>
    <x v="2"/>
    <x v="3"/>
    <n v="1937"/>
    <n v="1"/>
    <s v="Candy"/>
    <n v="3"/>
    <x v="0"/>
    <n v="0"/>
    <n v="0"/>
    <n v="0"/>
    <n v="0"/>
    <m/>
  </r>
  <r>
    <x v="13"/>
    <x v="2"/>
    <x v="3"/>
    <n v="2126"/>
    <n v="1"/>
    <m/>
    <m/>
    <x v="0"/>
    <n v="1443"/>
    <n v="1443"/>
    <n v="0"/>
    <n v="0"/>
    <m/>
  </r>
  <r>
    <x v="13"/>
    <x v="2"/>
    <x v="3"/>
    <n v="1860"/>
    <n v="1"/>
    <m/>
    <m/>
    <x v="0"/>
    <n v="1236"/>
    <n v="1236"/>
    <n v="0"/>
    <n v="0"/>
    <m/>
  </r>
  <r>
    <x v="13"/>
    <x v="2"/>
    <x v="3"/>
    <n v="1824"/>
    <n v="1"/>
    <m/>
    <m/>
    <x v="0"/>
    <n v="1236"/>
    <n v="1236"/>
    <n v="0"/>
    <n v="0"/>
    <m/>
  </r>
  <r>
    <x v="13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4"/>
    <x v="1"/>
    <x v="0"/>
    <n v="1544"/>
    <n v="0"/>
    <m/>
    <m/>
    <x v="0"/>
    <n v="1824"/>
    <n v="1824"/>
    <n v="0"/>
    <n v="0"/>
    <m/>
  </r>
  <r>
    <x v="14"/>
    <x v="1"/>
    <x v="0"/>
    <n v="1180"/>
    <n v="0"/>
    <m/>
    <m/>
    <x v="0"/>
    <n v="1976"/>
    <n v="1976"/>
    <n v="0"/>
    <n v="0"/>
    <m/>
  </r>
  <r>
    <x v="14"/>
    <x v="1"/>
    <x v="0"/>
    <n v="1734"/>
    <n v="4"/>
    <m/>
    <m/>
    <x v="0"/>
    <n v="1824"/>
    <n v="1824"/>
    <n v="0"/>
    <n v="0"/>
    <m/>
  </r>
  <r>
    <x v="14"/>
    <x v="1"/>
    <x v="0"/>
    <n v="1594"/>
    <n v="0"/>
    <m/>
    <m/>
    <x v="0"/>
    <n v="2128"/>
    <n v="2128"/>
    <n v="0"/>
    <n v="0"/>
    <m/>
  </r>
  <r>
    <x v="14"/>
    <x v="1"/>
    <x v="0"/>
    <n v="1672"/>
    <n v="0"/>
    <m/>
    <m/>
    <x v="0"/>
    <n v="1824"/>
    <n v="1824"/>
    <n v="0"/>
    <n v="0"/>
    <m/>
  </r>
  <r>
    <x v="14"/>
    <x v="1"/>
    <x v="0"/>
    <n v="1879"/>
    <n v="1"/>
    <m/>
    <m/>
    <x v="0"/>
    <n v="1824"/>
    <n v="1824"/>
    <n v="0"/>
    <n v="0"/>
    <m/>
  </r>
  <r>
    <x v="14"/>
    <x v="1"/>
    <x v="0"/>
    <n v="1455"/>
    <n v="1"/>
    <m/>
    <m/>
    <x v="0"/>
    <n v="2280"/>
    <n v="2280"/>
    <n v="0"/>
    <n v="0"/>
    <m/>
  </r>
  <r>
    <x v="14"/>
    <x v="1"/>
    <x v="0"/>
    <n v="1898"/>
    <n v="1"/>
    <m/>
    <m/>
    <x v="0"/>
    <n v="1824"/>
    <n v="1824"/>
    <n v="0"/>
    <n v="0"/>
    <m/>
  </r>
  <r>
    <x v="13"/>
    <x v="2"/>
    <x v="3"/>
    <n v="1959"/>
    <n v="1"/>
    <m/>
    <m/>
    <x v="0"/>
    <n v="2205"/>
    <n v="2205"/>
    <n v="0"/>
    <n v="0"/>
    <m/>
  </r>
  <r>
    <x v="13"/>
    <x v="2"/>
    <x v="3"/>
    <n v="1626"/>
    <n v="0"/>
    <m/>
    <m/>
    <x v="0"/>
    <n v="1236"/>
    <n v="1236"/>
    <n v="0"/>
    <n v="0"/>
    <m/>
  </r>
  <r>
    <x v="13"/>
    <x v="2"/>
    <x v="3"/>
    <n v="2155"/>
    <n v="0"/>
    <m/>
    <m/>
    <x v="0"/>
    <n v="1236"/>
    <n v="1236"/>
    <n v="0"/>
    <n v="0"/>
    <m/>
  </r>
  <r>
    <x v="13"/>
    <x v="2"/>
    <x v="3"/>
    <n v="1844"/>
    <n v="1"/>
    <m/>
    <m/>
    <x v="0"/>
    <n v="2205"/>
    <n v="2205"/>
    <n v="0"/>
    <n v="0"/>
    <m/>
  </r>
  <r>
    <x v="13"/>
    <x v="2"/>
    <x v="3"/>
    <n v="645"/>
    <n v="2"/>
    <s v="Scroll"/>
    <n v="3"/>
    <x v="0"/>
    <n v="0"/>
    <n v="0"/>
    <n v="0"/>
    <n v="0"/>
    <m/>
  </r>
  <r>
    <x v="13"/>
    <x v="2"/>
    <x v="3"/>
    <n v="623"/>
    <n v="1"/>
    <m/>
    <m/>
    <x v="0"/>
    <n v="2205"/>
    <n v="2205"/>
    <n v="0"/>
    <n v="0"/>
    <m/>
  </r>
  <r>
    <x v="13"/>
    <x v="2"/>
    <x v="3"/>
    <n v="1484"/>
    <n v="2"/>
    <m/>
    <m/>
    <x v="0"/>
    <n v="2205"/>
    <n v="2205"/>
    <n v="0"/>
    <n v="0"/>
    <m/>
  </r>
  <r>
    <x v="13"/>
    <x v="2"/>
    <x v="3"/>
    <n v="1281"/>
    <n v="0"/>
    <m/>
    <m/>
    <x v="0"/>
    <n v="2572"/>
    <n v="2572"/>
    <n v="0"/>
    <n v="0"/>
    <m/>
  </r>
  <r>
    <x v="13"/>
    <x v="2"/>
    <x v="3"/>
    <n v="839"/>
    <n v="1"/>
    <m/>
    <m/>
    <x v="0"/>
    <n v="2940"/>
    <n v="2940"/>
    <n v="0"/>
    <n v="0"/>
    <m/>
  </r>
  <r>
    <x v="13"/>
    <x v="2"/>
    <x v="3"/>
    <n v="1785"/>
    <n v="2"/>
    <m/>
    <m/>
    <x v="0"/>
    <n v="1824"/>
    <n v="1824"/>
    <n v="0"/>
    <n v="0"/>
    <m/>
  </r>
  <r>
    <x v="13"/>
    <x v="2"/>
    <x v="3"/>
    <n v="1214"/>
    <n v="0"/>
    <m/>
    <m/>
    <x v="0"/>
    <n v="1236"/>
    <n v="1236"/>
    <n v="0"/>
    <n v="0"/>
    <m/>
  </r>
  <r>
    <x v="13"/>
    <x v="2"/>
    <x v="3"/>
    <n v="1200"/>
    <n v="0"/>
    <m/>
    <m/>
    <x v="0"/>
    <n v="1236"/>
    <n v="1236"/>
    <n v="0"/>
    <n v="0"/>
    <m/>
  </r>
  <r>
    <x v="13"/>
    <x v="2"/>
    <x v="3"/>
    <n v="1357"/>
    <n v="2"/>
    <s v="Fod"/>
    <n v="1"/>
    <x v="2"/>
    <n v="0"/>
    <n v="0"/>
    <n v="0"/>
    <n v="0"/>
    <m/>
  </r>
  <r>
    <x v="13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8"/>
    <x v="0"/>
    <x v="10"/>
    <n v="0"/>
    <n v="0"/>
    <s v="null"/>
    <n v="0"/>
    <x v="10"/>
    <n v="0"/>
    <n v="0"/>
    <n v="0"/>
    <n v="0"/>
    <s v="Y"/>
  </r>
  <r>
    <x v="8"/>
    <x v="0"/>
    <x v="10"/>
    <n v="3980"/>
    <n v="0"/>
    <s v="Violet"/>
    <n v="1"/>
    <x v="8"/>
    <n v="8160"/>
    <n v="8160"/>
    <n v="0"/>
    <n v="0"/>
    <m/>
  </r>
  <r>
    <x v="8"/>
    <x v="0"/>
    <x v="10"/>
    <n v="4393"/>
    <n v="0"/>
    <s v="Blue"/>
    <n v="1"/>
    <x v="8"/>
    <n v="10200"/>
    <n v="10200"/>
    <n v="0"/>
    <n v="0"/>
    <m/>
  </r>
  <r>
    <x v="8"/>
    <x v="0"/>
    <x v="10"/>
    <n v="4309"/>
    <n v="1"/>
    <s v="Blue"/>
    <n v="1"/>
    <x v="8"/>
    <n v="7650"/>
    <n v="7650"/>
    <n v="0"/>
    <n v="0"/>
    <m/>
  </r>
  <r>
    <x v="8"/>
    <x v="0"/>
    <x v="10"/>
    <n v="4290"/>
    <n v="1"/>
    <s v="Scroll"/>
    <n v="5"/>
    <x v="2"/>
    <n v="0"/>
    <n v="10000"/>
    <n v="0"/>
    <n v="4000"/>
    <m/>
  </r>
  <r>
    <x v="8"/>
    <x v="0"/>
    <x v="10"/>
    <n v="0"/>
    <n v="0"/>
    <s v="null"/>
    <n v="0"/>
    <x v="10"/>
    <n v="0"/>
    <n v="0"/>
    <n v="0"/>
    <n v="0"/>
    <s v="Y"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8"/>
    <x v="0"/>
    <x v="6"/>
    <n v="3713"/>
    <n v="1"/>
    <s v="Blue"/>
    <n v="1"/>
    <x v="7"/>
    <n v="7350"/>
    <n v="7350"/>
    <n v="0"/>
    <n v="0"/>
    <m/>
  </r>
  <r>
    <x v="8"/>
    <x v="0"/>
    <x v="6"/>
    <n v="3997"/>
    <n v="1"/>
    <s v="Blue"/>
    <n v="1"/>
    <x v="7"/>
    <n v="3445"/>
    <n v="3445"/>
    <n v="0"/>
    <n v="0"/>
    <m/>
  </r>
  <r>
    <x v="8"/>
    <x v="0"/>
    <x v="6"/>
    <n v="3898"/>
    <n v="0"/>
    <s v="Blue"/>
    <n v="1"/>
    <x v="7"/>
    <n v="3491"/>
    <n v="3491"/>
    <n v="0"/>
    <n v="0"/>
    <m/>
  </r>
  <r>
    <x v="8"/>
    <x v="0"/>
    <x v="7"/>
    <n v="3967"/>
    <n v="1"/>
    <s v="Scroll"/>
    <n v="4"/>
    <x v="2"/>
    <n v="0"/>
    <n v="8000"/>
    <n v="0"/>
    <n v="3200"/>
    <m/>
  </r>
  <r>
    <x v="8"/>
    <x v="0"/>
    <x v="7"/>
    <n v="3757"/>
    <n v="0"/>
    <s v="Blue"/>
    <n v="1"/>
    <x v="7"/>
    <n v="2940"/>
    <n v="2940"/>
    <n v="0"/>
    <n v="0"/>
    <m/>
  </r>
  <r>
    <x v="8"/>
    <x v="0"/>
    <x v="7"/>
    <n v="3610"/>
    <n v="2"/>
    <s v="Scroll"/>
    <n v="5"/>
    <x v="2"/>
    <m/>
    <n v="10000"/>
    <n v="0"/>
    <n v="4000"/>
    <m/>
  </r>
  <r>
    <x v="8"/>
    <x v="0"/>
    <x v="7"/>
    <n v="4254"/>
    <n v="0"/>
    <s v="Rainb"/>
    <n v="1"/>
    <x v="1"/>
    <n v="0"/>
    <n v="0"/>
    <n v="11500"/>
    <n v="35822"/>
    <m/>
  </r>
  <r>
    <x v="8"/>
    <x v="0"/>
    <x v="7"/>
    <n v="3927"/>
    <n v="1"/>
    <s v="Orange"/>
    <n v="1"/>
    <x v="8"/>
    <n v="16150"/>
    <n v="16150"/>
    <n v="0"/>
    <n v="0"/>
    <m/>
  </r>
  <r>
    <x v="8"/>
    <x v="0"/>
    <x v="7"/>
    <n v="3878"/>
    <n v="0"/>
    <s v="Blue"/>
    <n v="1"/>
    <x v="8"/>
    <n v="7225"/>
    <n v="7225"/>
    <n v="0"/>
    <n v="0"/>
    <m/>
  </r>
  <r>
    <x v="8"/>
    <x v="0"/>
    <x v="7"/>
    <n v="3941"/>
    <n v="0"/>
    <s v="Scroll"/>
    <n v="5"/>
    <x v="2"/>
    <n v="0"/>
    <n v="10000"/>
    <n v="0"/>
    <n v="4000"/>
    <m/>
  </r>
  <r>
    <x v="8"/>
    <x v="0"/>
    <x v="7"/>
    <n v="4409"/>
    <n v="0"/>
    <s v="Blue"/>
    <n v="1"/>
    <x v="7"/>
    <n v="4364"/>
    <n v="4364"/>
    <n v="0"/>
    <n v="0"/>
    <m/>
  </r>
  <r>
    <x v="8"/>
    <x v="0"/>
    <x v="7"/>
    <n v="4062"/>
    <n v="4"/>
    <s v="Scroll"/>
    <n v="5"/>
    <x v="2"/>
    <n v="0"/>
    <n v="10000"/>
    <n v="0"/>
    <n v="4000"/>
    <m/>
  </r>
  <r>
    <x v="8"/>
    <x v="0"/>
    <x v="7"/>
    <n v="3764"/>
    <n v="0"/>
    <s v="Blue"/>
    <n v="1"/>
    <x v="8"/>
    <n v="12920"/>
    <n v="12920"/>
    <n v="0"/>
    <n v="0"/>
    <m/>
  </r>
  <r>
    <x v="8"/>
    <x v="0"/>
    <x v="7"/>
    <n v="3972"/>
    <n v="3"/>
    <s v="Blue"/>
    <n v="1"/>
    <x v="8"/>
    <n v="12920"/>
    <n v="12920"/>
    <n v="0"/>
    <n v="0"/>
    <m/>
  </r>
  <r>
    <x v="8"/>
    <x v="0"/>
    <x v="7"/>
    <n v="3793"/>
    <n v="1"/>
    <s v="Blue"/>
    <n v="1"/>
    <x v="7"/>
    <n v="6615"/>
    <n v="6615"/>
    <n v="0"/>
    <n v="0"/>
    <m/>
  </r>
  <r>
    <x v="8"/>
    <x v="0"/>
    <x v="7"/>
    <n v="3869"/>
    <n v="0"/>
    <s v="Scroll"/>
    <n v="4"/>
    <x v="2"/>
    <n v="0"/>
    <n v="8000"/>
    <n v="0"/>
    <n v="3200"/>
    <m/>
  </r>
  <r>
    <x v="8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8"/>
    <x v="0"/>
    <x v="7"/>
    <n v="3963"/>
    <n v="4"/>
    <s v="Blue"/>
    <n v="1"/>
    <x v="8"/>
    <n v="6375"/>
    <n v="6375"/>
    <n v="0"/>
    <n v="0"/>
    <m/>
  </r>
  <r>
    <x v="8"/>
    <x v="0"/>
    <x v="7"/>
    <n v="3833"/>
    <n v="0"/>
    <s v="Scroll"/>
    <n v="4"/>
    <x v="2"/>
    <n v="0"/>
    <n v="8000"/>
    <n v="0"/>
    <n v="3200"/>
    <m/>
  </r>
  <r>
    <x v="8"/>
    <x v="0"/>
    <x v="7"/>
    <n v="3798"/>
    <n v="0"/>
    <s v="Blue"/>
    <n v="1"/>
    <x v="7"/>
    <n v="4134"/>
    <n v="4134"/>
    <n v="0"/>
    <n v="0"/>
    <m/>
  </r>
  <r>
    <x v="8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4" minRefreshableVersion="3" showCalcMbrs="0" useAutoFormatting="1" itemPrintTitles="1" createdVersion="3" indent="0" outline="1" outlineData="1" multipleFieldFilters="0">
  <location ref="O10:X20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x="2"/>
        <item h="1" x="7"/>
        <item h="1" x="10"/>
        <item h="1" x="6"/>
        <item h="1" x="3"/>
        <item h="1" x="9"/>
        <item h="1" x="12"/>
        <item h="1" x="13"/>
        <item h="1" x="4"/>
        <item h="1" x="11"/>
        <item h="1" x="0"/>
        <item h="1" x="14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9"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h="1" x="2"/>
        <item x="7"/>
        <item x="6"/>
        <item x="3"/>
        <item x="9"/>
        <item h="1" x="4"/>
        <item h="1" x="0"/>
        <item h="1" x="15"/>
        <item x="10"/>
        <item h="1"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8"/>
        <item x="9"/>
        <item x="10"/>
        <item h="1"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0">
      <calculatedColumnFormula>MAXA(-(4*M1-Tabela6[[#This Row],[Done]]),0)</calculatedColumnFormula>
    </tableColumn>
    <tableColumn id="4" name="XP to gain" dataDxfId="119"/>
    <tableColumn id="6" name="Mana Cost" dataDxfId="118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1">
      <calculatedColumnFormula>4*LocFeatures[[#This Row],[XP Gain per member]]</calculatedColumnFormula>
    </tableColumn>
    <tableColumn id="11" name="XP Train Gain"/>
    <tableColumn id="22" name="XP drop" dataDxfId="11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workbookViewId="0">
      <selection activeCell="N18" sqref="N18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1</v>
      </c>
      <c r="N3">
        <v>4</v>
      </c>
      <c r="O3" s="43">
        <v>0</v>
      </c>
      <c r="P3" s="1">
        <v>0</v>
      </c>
      <c r="Q3" s="1">
        <f>Tabela6[[#This Row],[Missing]]*22300</f>
        <v>22300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3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15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0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20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0</v>
      </c>
      <c r="N9">
        <v>3</v>
      </c>
      <c r="O9" s="43">
        <f>MAXA(-(2*M7+M8-Tabela6[[#This Row],[Done]]),0)</f>
        <v>3</v>
      </c>
      <c r="P9" s="39"/>
      <c r="Q9" s="39">
        <f>Tabela6[[#This Row],[Missing]]*11000</f>
        <v>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22300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20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3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selection activeCell="D3" sqref="D3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2" max="12" width="10" bestFit="1" customWidth="1"/>
  </cols>
  <sheetData>
    <row r="1" spans="1:14">
      <c r="A1" t="s">
        <v>868</v>
      </c>
      <c r="B1" t="s">
        <v>863</v>
      </c>
      <c r="C1" t="s">
        <v>340</v>
      </c>
      <c r="D1" t="s">
        <v>858</v>
      </c>
      <c r="E1" t="s">
        <v>865</v>
      </c>
      <c r="F1" t="s">
        <v>866</v>
      </c>
      <c r="G1" t="s">
        <v>872</v>
      </c>
      <c r="H1" t="s">
        <v>873</v>
      </c>
      <c r="I1" t="s">
        <v>867</v>
      </c>
      <c r="K1" t="s">
        <v>871</v>
      </c>
      <c r="L1" t="s">
        <v>869</v>
      </c>
      <c r="M1" t="s">
        <v>864</v>
      </c>
      <c r="N1" t="s">
        <v>870</v>
      </c>
    </row>
    <row r="2" spans="1:14">
      <c r="A2" t="s">
        <v>859</v>
      </c>
      <c r="B2">
        <v>1</v>
      </c>
      <c r="C2" s="15">
        <f>$L$2+M2+0.35</f>
        <v>1.65</v>
      </c>
      <c r="D2">
        <f>$K$2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131</v>
      </c>
      <c r="L2" s="15">
        <v>0.93</v>
      </c>
      <c r="M2" s="15">
        <v>0.37</v>
      </c>
      <c r="N2">
        <v>39</v>
      </c>
    </row>
    <row r="3" spans="1:14">
      <c r="A3" s="2" t="s">
        <v>860</v>
      </c>
      <c r="B3" s="2">
        <v>1</v>
      </c>
      <c r="C3" s="144">
        <f>C2-M2</f>
        <v>1.2799999999999998</v>
      </c>
      <c r="D3" s="2">
        <f>D2+$N$2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131</v>
      </c>
      <c r="L3" s="15">
        <v>0.93</v>
      </c>
      <c r="M3" s="15">
        <v>0.63</v>
      </c>
      <c r="N3">
        <v>39</v>
      </c>
    </row>
    <row r="4" spans="1:14">
      <c r="A4" t="s">
        <v>861</v>
      </c>
      <c r="B4">
        <v>1</v>
      </c>
      <c r="C4" s="15">
        <f>$L$2+M2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4">
      <c r="A5" t="s">
        <v>862</v>
      </c>
      <c r="B5">
        <v>1</v>
      </c>
      <c r="C5" s="15">
        <f>$L$2</f>
        <v>0.93</v>
      </c>
      <c r="D5">
        <f>D4+$N$2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4">
      <c r="A6" t="s">
        <v>859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4">
      <c r="A7" t="s">
        <v>860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4">
      <c r="A8" t="s">
        <v>861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4">
      <c r="A9" t="s">
        <v>862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4">
      <c r="F1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000"/>
  <sheetViews>
    <sheetView tabSelected="1" zoomScale="85" zoomScaleNormal="85" workbookViewId="0">
      <pane ySplit="1" topLeftCell="A1302" activePane="bottomLeft" state="frozen"/>
      <selection pane="bottomLeft" activeCell="A1336" sqref="A133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" customWidth="1"/>
    <col min="16" max="16" width="16.75" customWidth="1"/>
    <col min="17" max="17" width="13" bestFit="1" customWidth="1"/>
    <col min="18" max="18" width="12" bestFit="1" customWidth="1"/>
    <col min="19" max="19" width="10.875" bestFit="1" customWidth="1"/>
    <col min="20" max="20" width="18.5" bestFit="1" customWidth="1"/>
    <col min="21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172</v>
      </c>
      <c r="P12" s="43">
        <v>1</v>
      </c>
      <c r="Q12" s="43">
        <v>59</v>
      </c>
      <c r="R12" s="43">
        <v>10</v>
      </c>
      <c r="S12" s="43">
        <v>7</v>
      </c>
      <c r="T12" s="43">
        <v>84</v>
      </c>
      <c r="U12" s="43">
        <v>104</v>
      </c>
      <c r="V12" s="43">
        <v>12</v>
      </c>
      <c r="W12" s="43">
        <v>21</v>
      </c>
      <c r="X12" s="43">
        <v>298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3</v>
      </c>
      <c r="P13" s="43"/>
      <c r="Q13" s="43"/>
      <c r="R13" s="43"/>
      <c r="S13" s="43"/>
      <c r="T13" s="43"/>
      <c r="U13" s="43"/>
      <c r="V13" s="43"/>
      <c r="W13" s="43">
        <v>1</v>
      </c>
      <c r="X13" s="43">
        <v>1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4</v>
      </c>
      <c r="P14" s="43"/>
      <c r="Q14" s="43"/>
      <c r="R14" s="43"/>
      <c r="S14" s="43"/>
      <c r="T14" s="43"/>
      <c r="U14" s="43"/>
      <c r="V14" s="43"/>
      <c r="W14" s="43">
        <v>1</v>
      </c>
      <c r="X14" s="43">
        <v>1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5</v>
      </c>
      <c r="P15" s="43"/>
      <c r="Q15" s="43">
        <v>5</v>
      </c>
      <c r="R15" s="43"/>
      <c r="S15" s="43"/>
      <c r="T15" s="43"/>
      <c r="U15" s="43"/>
      <c r="V15" s="43"/>
      <c r="W15" s="43">
        <v>11</v>
      </c>
      <c r="X15" s="43">
        <v>16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6</v>
      </c>
      <c r="P16" s="43"/>
      <c r="Q16" s="43">
        <v>3</v>
      </c>
      <c r="R16" s="43">
        <v>1</v>
      </c>
      <c r="S16" s="43"/>
      <c r="T16" s="43">
        <v>1</v>
      </c>
      <c r="U16" s="43"/>
      <c r="V16" s="43"/>
      <c r="W16" s="43">
        <v>6</v>
      </c>
      <c r="X16" s="43">
        <v>11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3">
        <v>7</v>
      </c>
      <c r="P17" s="43"/>
      <c r="Q17" s="43">
        <v>17</v>
      </c>
      <c r="R17" s="43">
        <v>1</v>
      </c>
      <c r="S17" s="43">
        <v>3</v>
      </c>
      <c r="T17" s="43">
        <v>23</v>
      </c>
      <c r="U17" s="43">
        <v>5</v>
      </c>
      <c r="V17" s="43"/>
      <c r="W17" s="43">
        <v>1</v>
      </c>
      <c r="X17" s="43">
        <v>50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8</v>
      </c>
      <c r="P18" s="43"/>
      <c r="Q18" s="43">
        <v>8</v>
      </c>
      <c r="R18" s="43"/>
      <c r="S18" s="43"/>
      <c r="T18" s="43">
        <v>17</v>
      </c>
      <c r="U18" s="43">
        <v>11</v>
      </c>
      <c r="V18" s="43"/>
      <c r="W18" s="43">
        <v>1</v>
      </c>
      <c r="X18" s="43">
        <v>37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10</v>
      </c>
      <c r="P19" s="43">
        <v>1</v>
      </c>
      <c r="Q19" s="43">
        <v>26</v>
      </c>
      <c r="R19" s="43">
        <v>8</v>
      </c>
      <c r="S19" s="43">
        <v>4</v>
      </c>
      <c r="T19" s="43">
        <v>43</v>
      </c>
      <c r="U19" s="43">
        <v>88</v>
      </c>
      <c r="V19" s="43">
        <v>12</v>
      </c>
      <c r="W19" s="43"/>
      <c r="X19" s="43">
        <v>182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2" t="s">
        <v>66</v>
      </c>
      <c r="P20" s="43">
        <v>1</v>
      </c>
      <c r="Q20" s="43">
        <v>59</v>
      </c>
      <c r="R20" s="43">
        <v>10</v>
      </c>
      <c r="S20" s="43">
        <v>7</v>
      </c>
      <c r="T20" s="43">
        <v>84</v>
      </c>
      <c r="U20" s="43">
        <v>104</v>
      </c>
      <c r="V20" s="43">
        <v>12</v>
      </c>
      <c r="W20" s="43">
        <v>21</v>
      </c>
      <c r="X20" s="43">
        <v>298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178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58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57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57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57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57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143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143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57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57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57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143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57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57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143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60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60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60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60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60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57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2340</v>
      </c>
      <c r="E523">
        <v>0</v>
      </c>
      <c r="F523" t="s">
        <v>252</v>
      </c>
      <c r="G523">
        <v>1</v>
      </c>
      <c r="H523" t="s">
        <v>292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36</v>
      </c>
      <c r="B524" t="s">
        <v>9</v>
      </c>
      <c r="C524">
        <v>7</v>
      </c>
      <c r="D524">
        <v>2182</v>
      </c>
      <c r="E524">
        <v>0</v>
      </c>
      <c r="F524" t="s">
        <v>252</v>
      </c>
      <c r="G524">
        <v>4</v>
      </c>
      <c r="H524" t="s">
        <v>270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172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172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172</v>
      </c>
      <c r="B528" t="s">
        <v>9</v>
      </c>
      <c r="C528">
        <v>6</v>
      </c>
      <c r="D528">
        <v>2367</v>
      </c>
      <c r="E528">
        <v>0</v>
      </c>
      <c r="F528" t="s">
        <v>58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172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2638</v>
      </c>
      <c r="E530">
        <v>0</v>
      </c>
      <c r="F530" t="s">
        <v>143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172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172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172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207</v>
      </c>
      <c r="B535" t="s">
        <v>9</v>
      </c>
      <c r="C535">
        <v>8</v>
      </c>
      <c r="D535">
        <v>2498</v>
      </c>
      <c r="E535">
        <v>2</v>
      </c>
      <c r="F535" t="s">
        <v>249</v>
      </c>
      <c r="G535">
        <v>3</v>
      </c>
      <c r="H535" t="s">
        <v>270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2073</v>
      </c>
      <c r="E536">
        <v>0</v>
      </c>
      <c r="F536" t="s">
        <v>249</v>
      </c>
      <c r="G536">
        <v>1</v>
      </c>
      <c r="H536" t="s">
        <v>292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2143</v>
      </c>
      <c r="E537">
        <v>0</v>
      </c>
      <c r="F537" t="s">
        <v>249</v>
      </c>
      <c r="G537">
        <v>3</v>
      </c>
      <c r="H537" t="s">
        <v>270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1852</v>
      </c>
      <c r="E538">
        <v>1</v>
      </c>
      <c r="F538" t="s">
        <v>249</v>
      </c>
      <c r="G538">
        <v>1</v>
      </c>
      <c r="H538" t="s">
        <v>292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207</v>
      </c>
      <c r="B539" t="s">
        <v>9</v>
      </c>
      <c r="C539">
        <v>7</v>
      </c>
      <c r="D539">
        <v>2417</v>
      </c>
      <c r="E539">
        <v>0</v>
      </c>
      <c r="F539" t="s">
        <v>205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207</v>
      </c>
      <c r="B540" t="s">
        <v>9</v>
      </c>
      <c r="C540">
        <v>8</v>
      </c>
      <c r="D540">
        <v>2146</v>
      </c>
      <c r="E540">
        <v>0</v>
      </c>
      <c r="F540" t="s">
        <v>249</v>
      </c>
      <c r="G540">
        <v>2</v>
      </c>
      <c r="H540" t="s">
        <v>292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207</v>
      </c>
      <c r="B543" t="s">
        <v>9</v>
      </c>
      <c r="C543">
        <v>8</v>
      </c>
      <c r="D543">
        <v>2223</v>
      </c>
      <c r="E543">
        <v>1</v>
      </c>
      <c r="F543" t="s">
        <v>249</v>
      </c>
      <c r="G543">
        <v>5</v>
      </c>
      <c r="H543" t="s">
        <v>270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207</v>
      </c>
      <c r="B546" t="s">
        <v>9</v>
      </c>
      <c r="C546">
        <v>8</v>
      </c>
      <c r="D546">
        <v>2404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3017</v>
      </c>
      <c r="E547">
        <v>1</v>
      </c>
      <c r="F547" t="s">
        <v>249</v>
      </c>
      <c r="G547">
        <v>4</v>
      </c>
      <c r="H547" t="s">
        <v>270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2175</v>
      </c>
      <c r="E548">
        <v>0</v>
      </c>
      <c r="F548" t="s">
        <v>143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2276</v>
      </c>
      <c r="E549">
        <v>0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2576</v>
      </c>
      <c r="E550">
        <v>3</v>
      </c>
      <c r="F550" t="s">
        <v>249</v>
      </c>
      <c r="G550">
        <v>4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2058</v>
      </c>
      <c r="E551">
        <v>1</v>
      </c>
      <c r="F551" t="s">
        <v>249</v>
      </c>
      <c r="G551">
        <v>5</v>
      </c>
      <c r="H551" t="s">
        <v>270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207</v>
      </c>
      <c r="B555" t="s">
        <v>9</v>
      </c>
      <c r="C555">
        <v>8</v>
      </c>
      <c r="D555">
        <v>2526</v>
      </c>
      <c r="E555">
        <v>0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2483</v>
      </c>
      <c r="E556">
        <v>3</v>
      </c>
      <c r="F556" t="s">
        <v>249</v>
      </c>
      <c r="G556">
        <v>1</v>
      </c>
      <c r="H556" t="s">
        <v>271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2491</v>
      </c>
      <c r="E557">
        <v>0</v>
      </c>
      <c r="F557" t="s">
        <v>223</v>
      </c>
      <c r="G557" t="s">
        <v>290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207</v>
      </c>
      <c r="B559" t="s">
        <v>9</v>
      </c>
      <c r="C559">
        <v>8</v>
      </c>
      <c r="D559">
        <v>2671</v>
      </c>
      <c r="E559">
        <v>2</v>
      </c>
      <c r="F559" t="s">
        <v>249</v>
      </c>
      <c r="G559">
        <v>4</v>
      </c>
      <c r="H559" t="s">
        <v>270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2186</v>
      </c>
      <c r="E560">
        <v>1</v>
      </c>
      <c r="F560" t="s">
        <v>206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2316</v>
      </c>
      <c r="E561">
        <v>0</v>
      </c>
      <c r="F561" t="s">
        <v>249</v>
      </c>
      <c r="G561">
        <v>3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2046</v>
      </c>
      <c r="E562">
        <v>1</v>
      </c>
      <c r="F562" t="s">
        <v>249</v>
      </c>
      <c r="G562">
        <v>4</v>
      </c>
      <c r="H562" t="s">
        <v>270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2303</v>
      </c>
      <c r="E563">
        <v>3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2396</v>
      </c>
      <c r="E564">
        <v>1</v>
      </c>
      <c r="F564" t="s">
        <v>249</v>
      </c>
      <c r="G564">
        <v>1</v>
      </c>
      <c r="H564" t="s">
        <v>292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2325</v>
      </c>
      <c r="E565">
        <v>1</v>
      </c>
      <c r="F565" t="s">
        <v>249</v>
      </c>
      <c r="G565">
        <v>2</v>
      </c>
      <c r="H565" t="s">
        <v>271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2398</v>
      </c>
      <c r="E566">
        <v>1</v>
      </c>
      <c r="F566" t="s">
        <v>249</v>
      </c>
      <c r="G566">
        <v>3</v>
      </c>
      <c r="H566" t="s">
        <v>270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207</v>
      </c>
      <c r="B567" t="s">
        <v>9</v>
      </c>
      <c r="C567">
        <v>8</v>
      </c>
      <c r="D567">
        <v>2668</v>
      </c>
      <c r="E567">
        <v>0</v>
      </c>
      <c r="F567" t="s">
        <v>249</v>
      </c>
      <c r="G567">
        <v>3</v>
      </c>
      <c r="H567" t="s">
        <v>271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3002</v>
      </c>
      <c r="E568">
        <v>2</v>
      </c>
      <c r="F568" t="s">
        <v>252</v>
      </c>
      <c r="G568">
        <v>2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2021</v>
      </c>
      <c r="E569">
        <v>1</v>
      </c>
      <c r="F569" t="s">
        <v>252</v>
      </c>
      <c r="G569">
        <v>1</v>
      </c>
      <c r="H569" t="s">
        <v>292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2168</v>
      </c>
      <c r="E570">
        <v>0</v>
      </c>
      <c r="F570" t="s">
        <v>252</v>
      </c>
      <c r="G570">
        <v>4</v>
      </c>
      <c r="H570" t="s">
        <v>270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2540</v>
      </c>
      <c r="E571">
        <v>3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2251</v>
      </c>
      <c r="E572">
        <v>1</v>
      </c>
      <c r="F572" t="s">
        <v>252</v>
      </c>
      <c r="G572">
        <v>1</v>
      </c>
      <c r="H572" t="s">
        <v>292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2591</v>
      </c>
      <c r="E573">
        <v>1</v>
      </c>
      <c r="F573" t="s">
        <v>252</v>
      </c>
      <c r="G573">
        <v>4</v>
      </c>
      <c r="H573" t="s">
        <v>270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2238</v>
      </c>
      <c r="E574">
        <v>1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2506</v>
      </c>
      <c r="E575">
        <v>0</v>
      </c>
      <c r="F575" t="s">
        <v>252</v>
      </c>
      <c r="G575">
        <v>3</v>
      </c>
      <c r="H575" t="s">
        <v>292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2339</v>
      </c>
      <c r="E576">
        <v>0</v>
      </c>
      <c r="F576" t="s">
        <v>252</v>
      </c>
      <c r="G576">
        <v>4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2207</v>
      </c>
      <c r="E577">
        <v>1</v>
      </c>
      <c r="F577" t="s">
        <v>252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1988</v>
      </c>
      <c r="E578">
        <v>0</v>
      </c>
      <c r="F578" t="s">
        <v>249</v>
      </c>
      <c r="G578">
        <v>3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2659</v>
      </c>
      <c r="E579">
        <v>0</v>
      </c>
      <c r="F579" t="s">
        <v>252</v>
      </c>
      <c r="G579">
        <v>5</v>
      </c>
      <c r="H579" t="s">
        <v>270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36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36</v>
      </c>
      <c r="B581" t="s">
        <v>9</v>
      </c>
      <c r="C581">
        <v>7</v>
      </c>
      <c r="D581">
        <v>2137</v>
      </c>
      <c r="E581">
        <v>1</v>
      </c>
      <c r="F581" t="s">
        <v>143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2588</v>
      </c>
      <c r="E582">
        <v>1</v>
      </c>
      <c r="F582" t="s">
        <v>252</v>
      </c>
      <c r="G582">
        <v>3</v>
      </c>
      <c r="H582" t="s">
        <v>270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36</v>
      </c>
      <c r="B583" t="s">
        <v>9</v>
      </c>
      <c r="C583">
        <v>7</v>
      </c>
      <c r="D583">
        <v>2248</v>
      </c>
      <c r="E583">
        <v>1</v>
      </c>
      <c r="F583" t="s">
        <v>252</v>
      </c>
      <c r="G583">
        <v>2</v>
      </c>
      <c r="H583" t="s">
        <v>271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172</v>
      </c>
      <c r="B584" t="s">
        <v>9</v>
      </c>
      <c r="C584">
        <v>6</v>
      </c>
      <c r="D584">
        <v>2097</v>
      </c>
      <c r="E584">
        <v>2</v>
      </c>
      <c r="F584" t="s">
        <v>258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57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57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57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2381</v>
      </c>
      <c r="E655">
        <v>2</v>
      </c>
      <c r="F655" t="s">
        <v>252</v>
      </c>
      <c r="G655">
        <v>4</v>
      </c>
      <c r="H655" t="s">
        <v>270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2191</v>
      </c>
      <c r="E656">
        <v>1</v>
      </c>
      <c r="F656" t="s">
        <v>252</v>
      </c>
      <c r="G656">
        <v>1</v>
      </c>
      <c r="H656" t="s">
        <v>271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2209</v>
      </c>
      <c r="E657">
        <v>0</v>
      </c>
      <c r="F657" t="s">
        <v>252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2202</v>
      </c>
      <c r="E658">
        <v>1</v>
      </c>
      <c r="F658" t="s">
        <v>249</v>
      </c>
      <c r="G658">
        <v>1</v>
      </c>
      <c r="H658" t="s">
        <v>292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36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36</v>
      </c>
      <c r="B660" t="s">
        <v>9</v>
      </c>
      <c r="C660">
        <v>7</v>
      </c>
      <c r="D660">
        <v>2413</v>
      </c>
      <c r="E660">
        <v>1</v>
      </c>
      <c r="F660" t="s">
        <v>252</v>
      </c>
      <c r="G660">
        <v>1</v>
      </c>
      <c r="H660" t="s">
        <v>292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36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36</v>
      </c>
      <c r="B662" t="s">
        <v>9</v>
      </c>
      <c r="C662">
        <v>7</v>
      </c>
      <c r="D662">
        <v>1950</v>
      </c>
      <c r="E662">
        <v>0</v>
      </c>
      <c r="F662" t="s">
        <v>252</v>
      </c>
      <c r="G662">
        <v>1</v>
      </c>
      <c r="H662" t="s">
        <v>292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2444</v>
      </c>
      <c r="E663">
        <v>1</v>
      </c>
      <c r="F663" t="s">
        <v>252</v>
      </c>
      <c r="G663">
        <v>5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2293</v>
      </c>
      <c r="E664">
        <v>1</v>
      </c>
      <c r="F664" t="s">
        <v>252</v>
      </c>
      <c r="G664">
        <v>4</v>
      </c>
      <c r="H664" t="s">
        <v>270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2100</v>
      </c>
      <c r="E665">
        <v>0</v>
      </c>
      <c r="F665" t="s">
        <v>252</v>
      </c>
      <c r="G665">
        <v>2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2235</v>
      </c>
      <c r="E666">
        <v>1</v>
      </c>
      <c r="F666" t="s">
        <v>252</v>
      </c>
      <c r="G666">
        <v>1</v>
      </c>
      <c r="H666" t="s">
        <v>292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2213</v>
      </c>
      <c r="E667">
        <v>0</v>
      </c>
      <c r="F667" t="s">
        <v>252</v>
      </c>
      <c r="G667">
        <v>3</v>
      </c>
      <c r="H667" t="s">
        <v>270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2376</v>
      </c>
      <c r="E668">
        <v>1</v>
      </c>
      <c r="F668" t="s">
        <v>250</v>
      </c>
      <c r="G668">
        <v>1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2190</v>
      </c>
      <c r="E669">
        <v>0</v>
      </c>
      <c r="F669" t="s">
        <v>250</v>
      </c>
      <c r="G669">
        <v>2</v>
      </c>
      <c r="H669" t="s">
        <v>292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2435</v>
      </c>
      <c r="E670">
        <v>1</v>
      </c>
      <c r="F670" t="s">
        <v>252</v>
      </c>
      <c r="G670">
        <v>5</v>
      </c>
      <c r="H670" t="s">
        <v>270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36</v>
      </c>
      <c r="B671" t="s">
        <v>9</v>
      </c>
      <c r="C671">
        <v>7</v>
      </c>
      <c r="D671">
        <v>2777</v>
      </c>
      <c r="E671">
        <v>0</v>
      </c>
      <c r="F671" t="s">
        <v>58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36</v>
      </c>
      <c r="B672" t="s">
        <v>9</v>
      </c>
      <c r="C672">
        <v>7</v>
      </c>
      <c r="D672">
        <v>2127</v>
      </c>
      <c r="E672">
        <v>0</v>
      </c>
      <c r="F672" t="s">
        <v>252</v>
      </c>
      <c r="G672">
        <v>3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2217</v>
      </c>
      <c r="E673">
        <v>1</v>
      </c>
      <c r="F673" t="s">
        <v>252</v>
      </c>
      <c r="G673">
        <v>4</v>
      </c>
      <c r="H673" t="s">
        <v>270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2126</v>
      </c>
      <c r="E674">
        <v>0</v>
      </c>
      <c r="F674" t="s">
        <v>250</v>
      </c>
      <c r="G674">
        <v>3</v>
      </c>
      <c r="H674" t="s">
        <v>292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2061</v>
      </c>
      <c r="E675">
        <v>0</v>
      </c>
      <c r="F675" t="s">
        <v>252</v>
      </c>
      <c r="G675">
        <v>5</v>
      </c>
      <c r="H675" t="s">
        <v>270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271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2497</v>
      </c>
      <c r="E677">
        <v>1</v>
      </c>
      <c r="F677" t="s">
        <v>252</v>
      </c>
      <c r="G677">
        <v>5</v>
      </c>
      <c r="H677" t="s">
        <v>270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36</v>
      </c>
      <c r="B678" t="s">
        <v>9</v>
      </c>
      <c r="C678">
        <v>7</v>
      </c>
      <c r="D678">
        <v>1941</v>
      </c>
      <c r="E678">
        <v>0</v>
      </c>
      <c r="F678" t="s">
        <v>250</v>
      </c>
      <c r="G678">
        <v>1</v>
      </c>
      <c r="H678" t="s">
        <v>292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172</v>
      </c>
      <c r="B679" t="s">
        <v>9</v>
      </c>
      <c r="C679">
        <v>8</v>
      </c>
      <c r="D679">
        <v>3681</v>
      </c>
      <c r="E679">
        <v>1</v>
      </c>
      <c r="F679" t="s">
        <v>258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60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36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36</v>
      </c>
      <c r="B690" t="s">
        <v>9</v>
      </c>
      <c r="C690">
        <v>7</v>
      </c>
      <c r="D690">
        <v>2683</v>
      </c>
      <c r="E690">
        <v>0</v>
      </c>
      <c r="F690" t="s">
        <v>252</v>
      </c>
      <c r="G690">
        <v>1</v>
      </c>
      <c r="H690" t="s">
        <v>292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2361</v>
      </c>
      <c r="E691">
        <v>3</v>
      </c>
      <c r="F691" t="s">
        <v>252</v>
      </c>
      <c r="G691">
        <v>1</v>
      </c>
      <c r="H691" t="s">
        <v>271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2012</v>
      </c>
      <c r="E692">
        <v>1</v>
      </c>
      <c r="F692" t="s">
        <v>252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2525</v>
      </c>
      <c r="E693">
        <v>0</v>
      </c>
      <c r="F693" t="s">
        <v>250</v>
      </c>
      <c r="G693">
        <v>1</v>
      </c>
      <c r="H693" t="s">
        <v>292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2271</v>
      </c>
      <c r="E694">
        <v>0</v>
      </c>
      <c r="F694" t="s">
        <v>252</v>
      </c>
      <c r="G694">
        <v>4</v>
      </c>
      <c r="H694" t="s">
        <v>270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271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2453</v>
      </c>
      <c r="E696">
        <v>0</v>
      </c>
      <c r="F696" t="s">
        <v>252</v>
      </c>
      <c r="G696">
        <v>1</v>
      </c>
      <c r="H696" t="s">
        <v>292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2244</v>
      </c>
      <c r="E697">
        <v>0</v>
      </c>
      <c r="F697" t="s">
        <v>252</v>
      </c>
      <c r="G697">
        <v>5</v>
      </c>
      <c r="H697" t="s">
        <v>270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2817</v>
      </c>
      <c r="E698">
        <v>0</v>
      </c>
      <c r="F698" t="s">
        <v>252</v>
      </c>
      <c r="G698">
        <v>1</v>
      </c>
      <c r="H698" t="s">
        <v>271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2234</v>
      </c>
      <c r="E699">
        <v>1</v>
      </c>
      <c r="F699" t="s">
        <v>252</v>
      </c>
      <c r="G699">
        <v>3</v>
      </c>
      <c r="H699" t="s">
        <v>270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36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36</v>
      </c>
      <c r="B701" t="s">
        <v>9</v>
      </c>
      <c r="C701">
        <v>7</v>
      </c>
      <c r="D701">
        <v>2474</v>
      </c>
      <c r="E701">
        <v>0</v>
      </c>
      <c r="F701" t="s">
        <v>252</v>
      </c>
      <c r="G701">
        <v>5</v>
      </c>
      <c r="H701" t="s">
        <v>270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2455</v>
      </c>
      <c r="E702">
        <v>0</v>
      </c>
      <c r="F702" t="s">
        <v>252</v>
      </c>
      <c r="G702">
        <v>1</v>
      </c>
      <c r="H702" t="s">
        <v>292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2373</v>
      </c>
      <c r="E703">
        <v>1</v>
      </c>
      <c r="F703" t="s">
        <v>252</v>
      </c>
      <c r="G703">
        <v>1</v>
      </c>
      <c r="H703" t="s">
        <v>271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2131</v>
      </c>
      <c r="E704">
        <v>1</v>
      </c>
      <c r="F704" t="s">
        <v>252</v>
      </c>
      <c r="G704">
        <v>1</v>
      </c>
      <c r="H704" t="s">
        <v>292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36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36</v>
      </c>
      <c r="B706" t="s">
        <v>9</v>
      </c>
      <c r="C706">
        <v>7</v>
      </c>
      <c r="D706">
        <v>2089</v>
      </c>
      <c r="E706">
        <v>0</v>
      </c>
      <c r="F706" t="s">
        <v>252</v>
      </c>
      <c r="G706">
        <v>3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36</v>
      </c>
      <c r="B707" t="s">
        <v>9</v>
      </c>
      <c r="C707">
        <v>7</v>
      </c>
      <c r="D707">
        <v>2291</v>
      </c>
      <c r="E707">
        <v>1</v>
      </c>
      <c r="F707" t="s">
        <v>252</v>
      </c>
      <c r="G707">
        <v>4</v>
      </c>
      <c r="H707" t="s">
        <v>270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7</v>
      </c>
      <c r="D708">
        <v>2217</v>
      </c>
      <c r="E708">
        <v>0</v>
      </c>
      <c r="F708" t="s">
        <v>251</v>
      </c>
      <c r="G708">
        <v>2</v>
      </c>
      <c r="H708" t="s">
        <v>292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173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173</v>
      </c>
      <c r="B710" t="s">
        <v>9</v>
      </c>
      <c r="C710">
        <v>8</v>
      </c>
      <c r="D710">
        <v>2286</v>
      </c>
      <c r="E710">
        <v>0</v>
      </c>
      <c r="F710" t="s">
        <v>251</v>
      </c>
      <c r="G710">
        <v>2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8</v>
      </c>
      <c r="D711">
        <v>2828</v>
      </c>
      <c r="E711">
        <v>0</v>
      </c>
      <c r="F711" t="s">
        <v>251</v>
      </c>
      <c r="G711">
        <v>1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9</v>
      </c>
      <c r="D712">
        <v>2917</v>
      </c>
      <c r="E712">
        <v>2</v>
      </c>
      <c r="F712" t="s">
        <v>251</v>
      </c>
      <c r="G712">
        <v>3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2771</v>
      </c>
      <c r="E713">
        <v>0</v>
      </c>
      <c r="F713" t="s">
        <v>251</v>
      </c>
      <c r="G713">
        <v>1</v>
      </c>
      <c r="H713" t="s">
        <v>292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3158</v>
      </c>
      <c r="E714">
        <v>1</v>
      </c>
      <c r="F714" t="s">
        <v>251</v>
      </c>
      <c r="G714">
        <v>3</v>
      </c>
      <c r="H714" t="s">
        <v>271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3080</v>
      </c>
      <c r="E715">
        <v>0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173</v>
      </c>
      <c r="B716" t="s">
        <v>9</v>
      </c>
      <c r="C716">
        <v>10</v>
      </c>
      <c r="D716">
        <v>3091</v>
      </c>
      <c r="E716">
        <v>2</v>
      </c>
      <c r="F716" t="s">
        <v>251</v>
      </c>
      <c r="G716">
        <v>5</v>
      </c>
      <c r="H716" t="s">
        <v>270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2945</v>
      </c>
      <c r="E717">
        <v>1</v>
      </c>
      <c r="F717" t="s">
        <v>252</v>
      </c>
      <c r="G717">
        <v>2</v>
      </c>
      <c r="H717" t="s">
        <v>271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2556</v>
      </c>
      <c r="E718">
        <v>1</v>
      </c>
      <c r="F718" t="s">
        <v>252</v>
      </c>
      <c r="G718">
        <v>1</v>
      </c>
      <c r="H718" t="s">
        <v>292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2925</v>
      </c>
      <c r="E719">
        <v>0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2776</v>
      </c>
      <c r="E720">
        <v>1</v>
      </c>
      <c r="F720" t="s">
        <v>252</v>
      </c>
      <c r="G720">
        <v>5</v>
      </c>
      <c r="H720" t="s">
        <v>270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2669</v>
      </c>
      <c r="E721">
        <v>0</v>
      </c>
      <c r="F721" t="s">
        <v>252</v>
      </c>
      <c r="G721">
        <v>1</v>
      </c>
      <c r="H721" t="s">
        <v>292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2813</v>
      </c>
      <c r="E722">
        <v>1</v>
      </c>
      <c r="F722" t="s">
        <v>252</v>
      </c>
      <c r="G722">
        <v>5</v>
      </c>
      <c r="H722" t="s">
        <v>270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2871</v>
      </c>
      <c r="E723">
        <v>0</v>
      </c>
      <c r="F723" t="s">
        <v>252</v>
      </c>
      <c r="G723">
        <v>2</v>
      </c>
      <c r="H723" t="s">
        <v>292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2829</v>
      </c>
      <c r="E724">
        <v>0</v>
      </c>
      <c r="F724" t="s">
        <v>252</v>
      </c>
      <c r="G724">
        <v>3</v>
      </c>
      <c r="H724" t="s">
        <v>270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36</v>
      </c>
      <c r="B725" t="s">
        <v>9</v>
      </c>
      <c r="C725">
        <v>9</v>
      </c>
      <c r="D725">
        <v>2312</v>
      </c>
      <c r="E725">
        <v>1</v>
      </c>
      <c r="F725" t="s">
        <v>58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172</v>
      </c>
      <c r="B726" t="s">
        <v>9</v>
      </c>
      <c r="C726">
        <v>8</v>
      </c>
      <c r="D726">
        <v>3502</v>
      </c>
      <c r="E726">
        <v>1</v>
      </c>
      <c r="F726" t="s">
        <v>258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36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204</v>
      </c>
    </row>
    <row r="728" spans="1:13">
      <c r="A728" t="s">
        <v>36</v>
      </c>
      <c r="B728" t="s">
        <v>9</v>
      </c>
      <c r="C728">
        <v>9</v>
      </c>
      <c r="D728">
        <v>2382</v>
      </c>
      <c r="E728">
        <v>0</v>
      </c>
      <c r="F728" t="s">
        <v>252</v>
      </c>
      <c r="G728">
        <v>1</v>
      </c>
      <c r="H728" t="s">
        <v>271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36</v>
      </c>
      <c r="B729" t="s">
        <v>9</v>
      </c>
      <c r="C729">
        <v>9</v>
      </c>
      <c r="D729">
        <v>2958</v>
      </c>
      <c r="E729">
        <v>0</v>
      </c>
      <c r="F729" t="s">
        <v>58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36</v>
      </c>
      <c r="B730" t="s">
        <v>9</v>
      </c>
      <c r="C730">
        <v>9</v>
      </c>
      <c r="D730">
        <v>2545</v>
      </c>
      <c r="E730">
        <v>2</v>
      </c>
      <c r="F730" t="s">
        <v>252</v>
      </c>
      <c r="G730">
        <v>3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2649</v>
      </c>
      <c r="E731">
        <v>3</v>
      </c>
      <c r="F731" t="s">
        <v>249</v>
      </c>
      <c r="G731">
        <v>2</v>
      </c>
      <c r="H731" t="s">
        <v>292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2432</v>
      </c>
      <c r="E732">
        <v>0</v>
      </c>
      <c r="F732" t="s">
        <v>249</v>
      </c>
      <c r="G732">
        <v>4</v>
      </c>
      <c r="H732" t="s">
        <v>270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36</v>
      </c>
      <c r="B733" t="s">
        <v>9</v>
      </c>
      <c r="C733">
        <v>9</v>
      </c>
      <c r="D733">
        <v>2881</v>
      </c>
      <c r="E733">
        <v>0</v>
      </c>
      <c r="F733" t="s">
        <v>252</v>
      </c>
      <c r="G733">
        <v>1</v>
      </c>
      <c r="H733" t="s">
        <v>271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57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60</v>
      </c>
      <c r="B745" t="s">
        <v>30</v>
      </c>
      <c r="C745">
        <v>11</v>
      </c>
      <c r="D745">
        <v>2937</v>
      </c>
      <c r="E745">
        <v>0</v>
      </c>
      <c r="F745" t="s">
        <v>58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60</v>
      </c>
      <c r="B746" t="s">
        <v>30</v>
      </c>
      <c r="C746">
        <v>11</v>
      </c>
      <c r="D746">
        <v>1819</v>
      </c>
      <c r="E746">
        <v>0</v>
      </c>
      <c r="F746" t="s">
        <v>57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60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172</v>
      </c>
      <c r="B755" t="s">
        <v>9</v>
      </c>
      <c r="C755">
        <v>8</v>
      </c>
      <c r="D755">
        <v>3665</v>
      </c>
      <c r="E755">
        <v>1</v>
      </c>
      <c r="F755" t="s">
        <v>258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2824</v>
      </c>
      <c r="E756">
        <v>1</v>
      </c>
      <c r="F756" t="s">
        <v>252</v>
      </c>
      <c r="G756">
        <v>1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2951</v>
      </c>
      <c r="E757">
        <v>3</v>
      </c>
      <c r="F757" t="s">
        <v>252</v>
      </c>
      <c r="G757">
        <v>2</v>
      </c>
      <c r="H757" t="s">
        <v>292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2543</v>
      </c>
      <c r="E758">
        <v>1</v>
      </c>
      <c r="F758" t="s">
        <v>252</v>
      </c>
      <c r="G758">
        <v>4</v>
      </c>
      <c r="H758" t="s">
        <v>270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2872</v>
      </c>
      <c r="E759">
        <v>1</v>
      </c>
      <c r="F759" t="s">
        <v>252</v>
      </c>
      <c r="G759">
        <v>1</v>
      </c>
      <c r="H759" t="s">
        <v>271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36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262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270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292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262</v>
      </c>
      <c r="B765" t="s">
        <v>9</v>
      </c>
      <c r="C765">
        <v>9</v>
      </c>
      <c r="D765">
        <v>2679</v>
      </c>
      <c r="E765">
        <v>1</v>
      </c>
      <c r="F765" t="s">
        <v>58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262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292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262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204</v>
      </c>
    </row>
    <row r="768" spans="1:13">
      <c r="A768" t="s">
        <v>262</v>
      </c>
      <c r="B768" t="s">
        <v>9</v>
      </c>
      <c r="C768">
        <v>9</v>
      </c>
      <c r="D768">
        <v>2875</v>
      </c>
      <c r="E768">
        <v>0</v>
      </c>
      <c r="F768" t="s">
        <v>206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262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271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262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262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292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262</v>
      </c>
      <c r="B772" t="s">
        <v>9</v>
      </c>
      <c r="C772">
        <v>9</v>
      </c>
      <c r="D772">
        <v>2758</v>
      </c>
      <c r="E772">
        <v>0</v>
      </c>
      <c r="F772" t="s">
        <v>264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262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262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292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262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262</v>
      </c>
      <c r="B776" t="s">
        <v>9</v>
      </c>
      <c r="C776">
        <v>9</v>
      </c>
      <c r="D776">
        <v>2516</v>
      </c>
      <c r="E776">
        <v>1</v>
      </c>
      <c r="F776" t="s">
        <v>264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262</v>
      </c>
      <c r="B777" t="s">
        <v>9</v>
      </c>
      <c r="C777">
        <v>9</v>
      </c>
      <c r="D777">
        <v>2850</v>
      </c>
      <c r="E777">
        <v>2</v>
      </c>
      <c r="F777" t="s">
        <v>263</v>
      </c>
      <c r="G777">
        <v>3</v>
      </c>
      <c r="H777" t="s">
        <v>270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36</v>
      </c>
      <c r="B778" t="s">
        <v>9</v>
      </c>
      <c r="C778">
        <v>9</v>
      </c>
      <c r="D778">
        <v>2559</v>
      </c>
      <c r="E778">
        <v>3</v>
      </c>
      <c r="F778" t="s">
        <v>252</v>
      </c>
      <c r="G778">
        <v>3</v>
      </c>
      <c r="H778" t="s">
        <v>292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172</v>
      </c>
      <c r="B779" t="s">
        <v>9</v>
      </c>
      <c r="C779">
        <v>8</v>
      </c>
      <c r="D779">
        <v>3425</v>
      </c>
      <c r="E779">
        <v>0</v>
      </c>
      <c r="F779" t="s">
        <v>265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262</v>
      </c>
      <c r="B780" t="s">
        <v>9</v>
      </c>
      <c r="C780">
        <v>9</v>
      </c>
      <c r="D780">
        <v>2517</v>
      </c>
      <c r="E780">
        <v>0</v>
      </c>
      <c r="F780" t="s">
        <v>264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262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271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262</v>
      </c>
      <c r="B782" t="s">
        <v>9</v>
      </c>
      <c r="C782">
        <v>9</v>
      </c>
      <c r="D782">
        <v>2798</v>
      </c>
      <c r="E782">
        <v>2</v>
      </c>
      <c r="F782" t="s">
        <v>58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262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262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292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262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204</v>
      </c>
    </row>
    <row r="786" spans="1:13">
      <c r="A786" t="s">
        <v>262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262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292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262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262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262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270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264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60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60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60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60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262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3118</v>
      </c>
      <c r="E813">
        <v>0</v>
      </c>
      <c r="F813" t="s">
        <v>258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172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172</v>
      </c>
      <c r="B815" t="s">
        <v>9</v>
      </c>
      <c r="C815">
        <v>8</v>
      </c>
      <c r="D815">
        <v>3825</v>
      </c>
      <c r="E815">
        <v>1</v>
      </c>
      <c r="F815" t="s">
        <v>264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3553</v>
      </c>
      <c r="E816">
        <v>0</v>
      </c>
      <c r="F816" t="s">
        <v>258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3574</v>
      </c>
      <c r="E817">
        <v>1</v>
      </c>
      <c r="F817" t="s">
        <v>266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3456</v>
      </c>
      <c r="E818">
        <v>3</v>
      </c>
      <c r="F818" t="s">
        <v>258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3185</v>
      </c>
      <c r="E819">
        <v>0</v>
      </c>
      <c r="F819" t="s">
        <v>258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172</v>
      </c>
      <c r="B820" t="s">
        <v>9</v>
      </c>
      <c r="C820">
        <v>8</v>
      </c>
      <c r="D820">
        <v>3742</v>
      </c>
      <c r="E820">
        <v>4</v>
      </c>
      <c r="F820" t="s">
        <v>258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2924</v>
      </c>
      <c r="E821">
        <v>1</v>
      </c>
      <c r="F821" t="s">
        <v>249</v>
      </c>
      <c r="G821">
        <v>1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3192</v>
      </c>
      <c r="E822">
        <v>2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2967</v>
      </c>
      <c r="E823">
        <v>1</v>
      </c>
      <c r="F823" t="s">
        <v>249</v>
      </c>
      <c r="G823">
        <v>2</v>
      </c>
      <c r="H823" t="s">
        <v>292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2926</v>
      </c>
      <c r="E824">
        <v>0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2801</v>
      </c>
      <c r="E825">
        <v>1</v>
      </c>
      <c r="F825" t="s">
        <v>249</v>
      </c>
      <c r="G825">
        <v>3</v>
      </c>
      <c r="H825" t="s">
        <v>270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2800</v>
      </c>
      <c r="E826">
        <v>0</v>
      </c>
      <c r="F826" t="s">
        <v>223</v>
      </c>
      <c r="G826" t="s">
        <v>267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2913</v>
      </c>
      <c r="E827">
        <v>0</v>
      </c>
      <c r="F827" t="s">
        <v>249</v>
      </c>
      <c r="G827">
        <v>1</v>
      </c>
      <c r="H827" t="s">
        <v>271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2812</v>
      </c>
      <c r="E828">
        <v>1</v>
      </c>
      <c r="F828" t="s">
        <v>249</v>
      </c>
      <c r="G828">
        <v>1</v>
      </c>
      <c r="H828" t="s">
        <v>292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207</v>
      </c>
      <c r="B829" t="s">
        <v>9</v>
      </c>
      <c r="C829">
        <v>9</v>
      </c>
      <c r="D829">
        <v>2449</v>
      </c>
      <c r="E829">
        <v>0</v>
      </c>
      <c r="F829" t="s">
        <v>58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207</v>
      </c>
      <c r="B830" t="s">
        <v>9</v>
      </c>
      <c r="C830">
        <v>9</v>
      </c>
      <c r="D830">
        <v>2754</v>
      </c>
      <c r="E830">
        <v>1</v>
      </c>
      <c r="F830" t="s">
        <v>288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2824</v>
      </c>
      <c r="E831">
        <v>1</v>
      </c>
      <c r="F831" t="s">
        <v>223</v>
      </c>
      <c r="G831" t="s">
        <v>268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2980</v>
      </c>
      <c r="E832">
        <v>0</v>
      </c>
      <c r="F832" t="s">
        <v>249</v>
      </c>
      <c r="G832">
        <v>1</v>
      </c>
      <c r="H832" t="s">
        <v>292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2957</v>
      </c>
      <c r="E833">
        <v>0</v>
      </c>
      <c r="F833" t="s">
        <v>206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207</v>
      </c>
      <c r="B835" t="s">
        <v>9</v>
      </c>
      <c r="C835">
        <v>9</v>
      </c>
      <c r="D835">
        <v>2671</v>
      </c>
      <c r="E835">
        <v>0</v>
      </c>
      <c r="F835" t="s">
        <v>249</v>
      </c>
      <c r="G835">
        <v>5</v>
      </c>
      <c r="H835" t="s">
        <v>270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2947</v>
      </c>
      <c r="E836">
        <v>1</v>
      </c>
      <c r="F836" t="s">
        <v>249</v>
      </c>
      <c r="G836">
        <v>1</v>
      </c>
      <c r="H836" t="s">
        <v>271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207</v>
      </c>
      <c r="B838" t="s">
        <v>9</v>
      </c>
      <c r="C838">
        <v>9</v>
      </c>
      <c r="D838">
        <v>2184</v>
      </c>
      <c r="E838">
        <v>0</v>
      </c>
      <c r="F838" t="s">
        <v>249</v>
      </c>
      <c r="G838">
        <v>4</v>
      </c>
      <c r="H838" t="s">
        <v>270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2654</v>
      </c>
      <c r="E839">
        <v>3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2592</v>
      </c>
      <c r="E840">
        <v>1</v>
      </c>
      <c r="F840" t="s">
        <v>249</v>
      </c>
      <c r="G840">
        <v>1</v>
      </c>
      <c r="H840" t="s">
        <v>292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2625</v>
      </c>
      <c r="E841">
        <v>0</v>
      </c>
      <c r="F841" t="s">
        <v>249</v>
      </c>
      <c r="G841">
        <v>1</v>
      </c>
      <c r="H841" t="s">
        <v>271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3029</v>
      </c>
      <c r="E842">
        <v>0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2865</v>
      </c>
      <c r="E843">
        <v>1</v>
      </c>
      <c r="F843" t="s">
        <v>249</v>
      </c>
      <c r="G843">
        <v>1</v>
      </c>
      <c r="H843" t="s">
        <v>292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3075</v>
      </c>
      <c r="E844">
        <v>3</v>
      </c>
      <c r="F844" t="s">
        <v>249</v>
      </c>
      <c r="G844">
        <v>5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3767</v>
      </c>
      <c r="E845">
        <v>2</v>
      </c>
      <c r="F845" t="s">
        <v>249</v>
      </c>
      <c r="G845">
        <v>4</v>
      </c>
      <c r="H845" t="s">
        <v>270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3007</v>
      </c>
      <c r="E846">
        <v>2</v>
      </c>
      <c r="F846" t="s">
        <v>249</v>
      </c>
      <c r="G846">
        <v>3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2942</v>
      </c>
      <c r="E847">
        <v>0</v>
      </c>
      <c r="F847" t="s">
        <v>249</v>
      </c>
      <c r="G847">
        <v>1</v>
      </c>
      <c r="H847" t="s">
        <v>292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2701</v>
      </c>
      <c r="E848">
        <v>0</v>
      </c>
      <c r="F848" t="s">
        <v>249</v>
      </c>
      <c r="G848">
        <v>5</v>
      </c>
      <c r="H848" t="s">
        <v>270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3320</v>
      </c>
      <c r="E849">
        <v>0</v>
      </c>
      <c r="F849" t="s">
        <v>249</v>
      </c>
      <c r="G849">
        <v>3</v>
      </c>
      <c r="H849" t="s">
        <v>271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2890</v>
      </c>
      <c r="E850">
        <v>2</v>
      </c>
      <c r="F850" t="s">
        <v>249</v>
      </c>
      <c r="G850">
        <v>3</v>
      </c>
      <c r="H850" t="s">
        <v>270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3274</v>
      </c>
      <c r="E851">
        <v>1</v>
      </c>
      <c r="F851" t="s">
        <v>249</v>
      </c>
      <c r="G851">
        <v>2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2847</v>
      </c>
      <c r="E852">
        <v>1</v>
      </c>
      <c r="F852" t="s">
        <v>249</v>
      </c>
      <c r="G852">
        <v>1</v>
      </c>
      <c r="H852" t="s">
        <v>271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2602</v>
      </c>
      <c r="E853">
        <v>0</v>
      </c>
      <c r="F853" t="s">
        <v>249</v>
      </c>
      <c r="G853">
        <v>4</v>
      </c>
      <c r="H853" t="s">
        <v>270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2901</v>
      </c>
      <c r="E854">
        <v>1</v>
      </c>
      <c r="F854" t="s">
        <v>223</v>
      </c>
      <c r="G854" t="s">
        <v>283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2768</v>
      </c>
      <c r="E855">
        <v>0</v>
      </c>
      <c r="F855" t="s">
        <v>249</v>
      </c>
      <c r="G855">
        <v>5</v>
      </c>
      <c r="H855" t="s">
        <v>270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2401</v>
      </c>
      <c r="E856">
        <v>1</v>
      </c>
      <c r="F856" t="s">
        <v>249</v>
      </c>
      <c r="G856">
        <v>1</v>
      </c>
      <c r="H856" t="s">
        <v>292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207</v>
      </c>
      <c r="B857" t="s">
        <v>9</v>
      </c>
      <c r="C857">
        <v>9</v>
      </c>
      <c r="D857">
        <v>2915</v>
      </c>
      <c r="E857">
        <v>0</v>
      </c>
      <c r="F857" t="s">
        <v>205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207</v>
      </c>
      <c r="B858" t="s">
        <v>9</v>
      </c>
      <c r="C858">
        <v>9</v>
      </c>
      <c r="D858">
        <v>2978</v>
      </c>
      <c r="E858">
        <v>0</v>
      </c>
      <c r="F858" t="s">
        <v>249</v>
      </c>
      <c r="G858">
        <v>4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2956</v>
      </c>
      <c r="E859">
        <v>0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2657</v>
      </c>
      <c r="E860">
        <v>1</v>
      </c>
      <c r="F860" t="s">
        <v>249</v>
      </c>
      <c r="G860">
        <v>5</v>
      </c>
      <c r="H860" t="s">
        <v>270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2789</v>
      </c>
      <c r="E861">
        <v>0</v>
      </c>
      <c r="F861" t="s">
        <v>206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2793</v>
      </c>
      <c r="E862">
        <v>1</v>
      </c>
      <c r="F862" t="s">
        <v>249</v>
      </c>
      <c r="G862">
        <v>5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2869</v>
      </c>
      <c r="E863">
        <v>2</v>
      </c>
      <c r="F863" t="s">
        <v>249</v>
      </c>
      <c r="G863">
        <v>4</v>
      </c>
      <c r="H863" t="s">
        <v>270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2638</v>
      </c>
      <c r="E864">
        <v>1</v>
      </c>
      <c r="F864" t="s">
        <v>206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2929</v>
      </c>
      <c r="E865">
        <v>1</v>
      </c>
      <c r="F865" t="s">
        <v>249</v>
      </c>
      <c r="G865">
        <v>1</v>
      </c>
      <c r="H865" t="s">
        <v>292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2423</v>
      </c>
      <c r="E866">
        <v>1</v>
      </c>
      <c r="F866" t="s">
        <v>249</v>
      </c>
      <c r="G866">
        <v>3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2881</v>
      </c>
      <c r="E867">
        <v>0</v>
      </c>
      <c r="F867" t="s">
        <v>249</v>
      </c>
      <c r="G867">
        <v>5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3128</v>
      </c>
      <c r="E868">
        <v>1</v>
      </c>
      <c r="F868" t="s">
        <v>249</v>
      </c>
      <c r="G868">
        <v>4</v>
      </c>
      <c r="H868" t="s">
        <v>270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3042</v>
      </c>
      <c r="E869">
        <v>0</v>
      </c>
      <c r="F869" t="s">
        <v>249</v>
      </c>
      <c r="G869">
        <v>3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2846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3112</v>
      </c>
      <c r="E871">
        <v>1</v>
      </c>
      <c r="F871" t="s">
        <v>249</v>
      </c>
      <c r="G871">
        <v>1</v>
      </c>
      <c r="H871" t="s">
        <v>271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2928</v>
      </c>
      <c r="E872">
        <v>1</v>
      </c>
      <c r="F872" t="s">
        <v>249</v>
      </c>
      <c r="G872">
        <v>4</v>
      </c>
      <c r="H872" t="s">
        <v>270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207</v>
      </c>
      <c r="B873" t="s">
        <v>9</v>
      </c>
      <c r="C873">
        <v>9</v>
      </c>
      <c r="D873">
        <v>2702</v>
      </c>
      <c r="E873">
        <v>1</v>
      </c>
      <c r="F873" t="s">
        <v>249</v>
      </c>
      <c r="G873">
        <v>2</v>
      </c>
      <c r="H873" t="s">
        <v>292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223</v>
      </c>
      <c r="B874" t="s">
        <v>9</v>
      </c>
      <c r="C874" t="s">
        <v>26</v>
      </c>
      <c r="D874">
        <v>6071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5719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5444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5741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6031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5574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6065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223</v>
      </c>
      <c r="B881" t="s">
        <v>9</v>
      </c>
      <c r="C881" t="s">
        <v>26</v>
      </c>
      <c r="D881">
        <v>5631</v>
      </c>
      <c r="E881">
        <v>0</v>
      </c>
      <c r="F881" t="s">
        <v>205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207</v>
      </c>
      <c r="B882" t="s">
        <v>9</v>
      </c>
      <c r="C882">
        <v>9</v>
      </c>
      <c r="D882">
        <v>2671</v>
      </c>
      <c r="E882">
        <v>0</v>
      </c>
      <c r="F882" t="s">
        <v>249</v>
      </c>
      <c r="G882">
        <v>1</v>
      </c>
      <c r="H882" t="s">
        <v>292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2940</v>
      </c>
      <c r="E883">
        <v>0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2643</v>
      </c>
      <c r="E884">
        <v>2</v>
      </c>
      <c r="F884" t="s">
        <v>249</v>
      </c>
      <c r="G884">
        <v>1</v>
      </c>
      <c r="H884" t="s">
        <v>271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2968</v>
      </c>
      <c r="E885">
        <v>0</v>
      </c>
      <c r="F885" t="s">
        <v>249</v>
      </c>
      <c r="G885">
        <v>3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2502</v>
      </c>
      <c r="E886">
        <v>2</v>
      </c>
      <c r="F886" t="s">
        <v>249</v>
      </c>
      <c r="G886">
        <v>2</v>
      </c>
      <c r="H886" t="s">
        <v>292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2719</v>
      </c>
      <c r="E887">
        <v>3</v>
      </c>
      <c r="F887" t="s">
        <v>223</v>
      </c>
      <c r="G887" t="s">
        <v>284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2733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2917</v>
      </c>
      <c r="E889">
        <v>1</v>
      </c>
      <c r="F889" t="s">
        <v>249</v>
      </c>
      <c r="G889">
        <v>1</v>
      </c>
      <c r="H889" t="s">
        <v>292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2662</v>
      </c>
      <c r="E890">
        <v>0</v>
      </c>
      <c r="F890" t="s">
        <v>249</v>
      </c>
      <c r="G890">
        <v>3</v>
      </c>
      <c r="H890" t="s">
        <v>271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2980</v>
      </c>
      <c r="E891">
        <v>1</v>
      </c>
      <c r="F891" t="s">
        <v>249</v>
      </c>
      <c r="G891">
        <v>2</v>
      </c>
      <c r="H891" t="s">
        <v>292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207</v>
      </c>
      <c r="B892" t="s">
        <v>9</v>
      </c>
      <c r="C892">
        <v>9</v>
      </c>
      <c r="D892">
        <v>2778</v>
      </c>
      <c r="E892">
        <v>0</v>
      </c>
      <c r="F892" t="s">
        <v>58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207</v>
      </c>
      <c r="B894" t="s">
        <v>9</v>
      </c>
      <c r="C894">
        <v>9</v>
      </c>
      <c r="D894">
        <v>2705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207</v>
      </c>
      <c r="B895" t="s">
        <v>9</v>
      </c>
      <c r="C895">
        <v>9</v>
      </c>
      <c r="D895">
        <v>2769</v>
      </c>
      <c r="E895">
        <v>1</v>
      </c>
      <c r="F895" t="s">
        <v>249</v>
      </c>
      <c r="G895">
        <v>1</v>
      </c>
      <c r="H895" t="s">
        <v>271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36</v>
      </c>
      <c r="B896" t="s">
        <v>9</v>
      </c>
      <c r="C896">
        <v>9</v>
      </c>
      <c r="D896">
        <v>2432</v>
      </c>
      <c r="E896">
        <v>1</v>
      </c>
      <c r="F896" t="s">
        <v>252</v>
      </c>
      <c r="G896">
        <v>5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2838</v>
      </c>
      <c r="E897">
        <v>0</v>
      </c>
      <c r="F897" t="s">
        <v>250</v>
      </c>
      <c r="G897">
        <v>4</v>
      </c>
      <c r="H897" t="s">
        <v>270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2427</v>
      </c>
      <c r="E898">
        <v>1</v>
      </c>
      <c r="F898" t="s">
        <v>264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3047</v>
      </c>
      <c r="E899">
        <v>2</v>
      </c>
      <c r="F899" t="s">
        <v>250</v>
      </c>
      <c r="G899">
        <v>1</v>
      </c>
      <c r="H899" t="s">
        <v>292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2866</v>
      </c>
      <c r="E900">
        <v>1</v>
      </c>
      <c r="F900" t="s">
        <v>206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2763</v>
      </c>
      <c r="E901">
        <v>0</v>
      </c>
      <c r="F901" t="s">
        <v>264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3056</v>
      </c>
      <c r="E902">
        <v>1</v>
      </c>
      <c r="F902" t="s">
        <v>264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2719</v>
      </c>
      <c r="E903">
        <v>0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2911</v>
      </c>
      <c r="E904">
        <v>1</v>
      </c>
      <c r="F904" t="s">
        <v>250</v>
      </c>
      <c r="G904">
        <v>5</v>
      </c>
      <c r="H904" t="s">
        <v>270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2858</v>
      </c>
      <c r="E905">
        <v>0</v>
      </c>
      <c r="F905" t="s">
        <v>250</v>
      </c>
      <c r="G905">
        <v>1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2965</v>
      </c>
      <c r="E906">
        <v>1</v>
      </c>
      <c r="F906" t="s">
        <v>250</v>
      </c>
      <c r="G906">
        <v>3</v>
      </c>
      <c r="H906" t="s">
        <v>292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3486</v>
      </c>
      <c r="E907">
        <v>1</v>
      </c>
      <c r="F907" t="s">
        <v>206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285</v>
      </c>
      <c r="B908" t="s">
        <v>9</v>
      </c>
      <c r="C908">
        <v>9</v>
      </c>
      <c r="D908">
        <v>2992</v>
      </c>
      <c r="E908">
        <v>0</v>
      </c>
      <c r="F908" t="s">
        <v>58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285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285</v>
      </c>
      <c r="B910" t="s">
        <v>9</v>
      </c>
      <c r="C910">
        <v>9</v>
      </c>
      <c r="D910">
        <v>2744</v>
      </c>
      <c r="E910">
        <v>1</v>
      </c>
      <c r="F910" t="s">
        <v>250</v>
      </c>
      <c r="G910">
        <v>1</v>
      </c>
      <c r="H910" t="s">
        <v>271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2564</v>
      </c>
      <c r="E911">
        <v>0</v>
      </c>
      <c r="F911" t="s">
        <v>250</v>
      </c>
      <c r="G911">
        <v>5</v>
      </c>
      <c r="H911" t="s">
        <v>270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285</v>
      </c>
      <c r="B912" t="s">
        <v>9</v>
      </c>
      <c r="C912">
        <v>9</v>
      </c>
      <c r="D912">
        <v>2876</v>
      </c>
      <c r="E912">
        <v>2</v>
      </c>
      <c r="F912" t="s">
        <v>58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285</v>
      </c>
      <c r="B913" t="s">
        <v>9</v>
      </c>
      <c r="C913">
        <v>9</v>
      </c>
      <c r="D913">
        <v>2779</v>
      </c>
      <c r="E913">
        <v>0</v>
      </c>
      <c r="F913" t="s">
        <v>264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36</v>
      </c>
      <c r="B914" t="s">
        <v>9</v>
      </c>
      <c r="C914">
        <v>9</v>
      </c>
      <c r="D914">
        <v>3024</v>
      </c>
      <c r="E914">
        <v>1</v>
      </c>
      <c r="F914" t="s">
        <v>252</v>
      </c>
      <c r="G914">
        <v>3</v>
      </c>
      <c r="H914" t="s">
        <v>292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3032</v>
      </c>
      <c r="E915">
        <v>0</v>
      </c>
      <c r="F915" t="s">
        <v>250</v>
      </c>
      <c r="G915">
        <v>5</v>
      </c>
      <c r="H915" t="s">
        <v>270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285</v>
      </c>
      <c r="B916" t="s">
        <v>9</v>
      </c>
      <c r="C916">
        <v>9</v>
      </c>
      <c r="D916">
        <v>2865</v>
      </c>
      <c r="E916">
        <v>1</v>
      </c>
      <c r="F916" t="s">
        <v>58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285</v>
      </c>
      <c r="B917" t="s">
        <v>9</v>
      </c>
      <c r="C917">
        <v>9</v>
      </c>
      <c r="D917">
        <v>2891</v>
      </c>
      <c r="E917">
        <v>2</v>
      </c>
      <c r="F917" t="s">
        <v>250</v>
      </c>
      <c r="G917">
        <v>1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2799</v>
      </c>
      <c r="E918">
        <v>0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3197</v>
      </c>
      <c r="E919">
        <v>1</v>
      </c>
      <c r="F919" t="s">
        <v>250</v>
      </c>
      <c r="G919">
        <v>2</v>
      </c>
      <c r="H919" t="s">
        <v>292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3013</v>
      </c>
      <c r="E920">
        <v>0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3393</v>
      </c>
      <c r="E921">
        <v>1</v>
      </c>
      <c r="F921" t="s">
        <v>250</v>
      </c>
      <c r="G921">
        <v>4</v>
      </c>
      <c r="H921" t="s">
        <v>270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285</v>
      </c>
      <c r="B922" t="s">
        <v>9</v>
      </c>
      <c r="C922">
        <v>9</v>
      </c>
      <c r="D922">
        <v>3290</v>
      </c>
      <c r="E922">
        <v>0</v>
      </c>
      <c r="F922" t="s">
        <v>288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286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2551</v>
      </c>
      <c r="E924">
        <v>1</v>
      </c>
      <c r="F924" t="s">
        <v>223</v>
      </c>
      <c r="G924" t="s">
        <v>287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2856</v>
      </c>
      <c r="E925">
        <v>0</v>
      </c>
      <c r="F925" t="s">
        <v>250</v>
      </c>
      <c r="G925">
        <v>1</v>
      </c>
      <c r="H925" t="s">
        <v>271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2488</v>
      </c>
      <c r="E926">
        <v>1</v>
      </c>
      <c r="F926" t="s">
        <v>250</v>
      </c>
      <c r="G926">
        <v>3</v>
      </c>
      <c r="H926" t="s">
        <v>292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2583</v>
      </c>
      <c r="E927">
        <v>0</v>
      </c>
      <c r="F927" t="s">
        <v>250</v>
      </c>
      <c r="G927">
        <v>5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2394</v>
      </c>
      <c r="E928">
        <v>0</v>
      </c>
      <c r="F928" t="s">
        <v>250</v>
      </c>
      <c r="G928">
        <v>4</v>
      </c>
      <c r="H928" t="s">
        <v>270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2703</v>
      </c>
      <c r="E929">
        <v>0</v>
      </c>
      <c r="F929" t="s">
        <v>250</v>
      </c>
      <c r="G929">
        <v>1</v>
      </c>
      <c r="H929" t="s">
        <v>271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2880</v>
      </c>
      <c r="E930">
        <v>1</v>
      </c>
      <c r="F930" t="s">
        <v>250</v>
      </c>
      <c r="G930">
        <v>4</v>
      </c>
      <c r="H930" t="s">
        <v>270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2802</v>
      </c>
      <c r="E931">
        <v>0</v>
      </c>
      <c r="F931" t="s">
        <v>250</v>
      </c>
      <c r="G931">
        <v>3</v>
      </c>
      <c r="H931" t="s">
        <v>292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2784</v>
      </c>
      <c r="E932">
        <v>2</v>
      </c>
      <c r="F932" t="s">
        <v>264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2856</v>
      </c>
      <c r="E933">
        <v>0</v>
      </c>
      <c r="F933" t="s">
        <v>250</v>
      </c>
      <c r="G933">
        <v>3</v>
      </c>
      <c r="H933" t="s">
        <v>292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3481</v>
      </c>
      <c r="E934">
        <v>0</v>
      </c>
      <c r="F934" t="s">
        <v>250</v>
      </c>
      <c r="G934">
        <v>4</v>
      </c>
      <c r="H934" t="s">
        <v>270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2701</v>
      </c>
      <c r="E935">
        <v>0</v>
      </c>
      <c r="F935" t="s">
        <v>58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2809</v>
      </c>
      <c r="E936">
        <v>1</v>
      </c>
      <c r="F936" t="s">
        <v>206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2999</v>
      </c>
      <c r="E937">
        <v>0</v>
      </c>
      <c r="F937" t="s">
        <v>250</v>
      </c>
      <c r="G937">
        <v>5</v>
      </c>
      <c r="H937" t="s">
        <v>270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2639</v>
      </c>
      <c r="E938">
        <v>1</v>
      </c>
      <c r="F938" t="s">
        <v>250</v>
      </c>
      <c r="G938">
        <v>2</v>
      </c>
      <c r="H938" t="s">
        <v>292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2853</v>
      </c>
      <c r="E939">
        <v>0</v>
      </c>
      <c r="F939" t="s">
        <v>250</v>
      </c>
      <c r="G939">
        <v>2</v>
      </c>
      <c r="H939" t="s">
        <v>271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3206</v>
      </c>
      <c r="E940">
        <v>1</v>
      </c>
      <c r="F940" t="s">
        <v>250</v>
      </c>
      <c r="G940">
        <v>4</v>
      </c>
      <c r="H940" t="s">
        <v>270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3218</v>
      </c>
      <c r="E941">
        <v>0</v>
      </c>
      <c r="F941" t="s">
        <v>250</v>
      </c>
      <c r="G941">
        <v>3</v>
      </c>
      <c r="H941" t="s">
        <v>292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2853</v>
      </c>
      <c r="E942">
        <v>2</v>
      </c>
      <c r="F942" t="s">
        <v>250</v>
      </c>
      <c r="G942">
        <v>3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2921</v>
      </c>
      <c r="E943">
        <v>0</v>
      </c>
      <c r="F943" t="s">
        <v>250</v>
      </c>
      <c r="G943">
        <v>1</v>
      </c>
      <c r="H943" t="s">
        <v>271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2840</v>
      </c>
      <c r="E944">
        <v>0</v>
      </c>
      <c r="F944" t="s">
        <v>206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3444</v>
      </c>
      <c r="E945">
        <v>0</v>
      </c>
      <c r="F945" t="s">
        <v>264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2844</v>
      </c>
      <c r="E946">
        <v>0</v>
      </c>
      <c r="F946" t="s">
        <v>250</v>
      </c>
      <c r="G946">
        <v>2</v>
      </c>
      <c r="H946" t="s">
        <v>292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2720</v>
      </c>
      <c r="E947">
        <v>0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2990</v>
      </c>
      <c r="E948">
        <v>1</v>
      </c>
      <c r="F948" t="s">
        <v>250</v>
      </c>
      <c r="G948">
        <v>4</v>
      </c>
      <c r="H948" t="s">
        <v>270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2846</v>
      </c>
      <c r="E949">
        <v>4</v>
      </c>
      <c r="F949" t="s">
        <v>250</v>
      </c>
      <c r="G949">
        <v>1</v>
      </c>
      <c r="H949" t="s">
        <v>292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2740</v>
      </c>
      <c r="E950">
        <v>1</v>
      </c>
      <c r="F950" t="s">
        <v>264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2619</v>
      </c>
      <c r="E951">
        <v>2</v>
      </c>
      <c r="F951" t="s">
        <v>250</v>
      </c>
      <c r="G951">
        <v>1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3000</v>
      </c>
      <c r="E952">
        <v>1</v>
      </c>
      <c r="F952" t="s">
        <v>250</v>
      </c>
      <c r="G952">
        <v>2</v>
      </c>
      <c r="H952" t="s">
        <v>292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2846</v>
      </c>
      <c r="E953">
        <v>3</v>
      </c>
      <c r="F953" t="s">
        <v>250</v>
      </c>
      <c r="G953">
        <v>4</v>
      </c>
      <c r="H953" t="s">
        <v>270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2824</v>
      </c>
      <c r="E954">
        <v>2</v>
      </c>
      <c r="F954" t="s">
        <v>264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3201</v>
      </c>
      <c r="E955">
        <v>0</v>
      </c>
      <c r="F955" t="s">
        <v>250</v>
      </c>
      <c r="G955">
        <v>5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2638</v>
      </c>
      <c r="E956">
        <v>0</v>
      </c>
      <c r="F956" t="s">
        <v>250</v>
      </c>
      <c r="G956">
        <v>3</v>
      </c>
      <c r="H956" t="s">
        <v>270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285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285</v>
      </c>
      <c r="B958" t="s">
        <v>9</v>
      </c>
      <c r="C958">
        <v>9</v>
      </c>
      <c r="D958">
        <v>2399</v>
      </c>
      <c r="E958">
        <v>0</v>
      </c>
      <c r="F958" t="s">
        <v>250</v>
      </c>
      <c r="G958">
        <v>3</v>
      </c>
      <c r="H958" t="s">
        <v>271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3055</v>
      </c>
      <c r="E959">
        <v>1</v>
      </c>
      <c r="F959" t="s">
        <v>250</v>
      </c>
      <c r="G959">
        <v>1</v>
      </c>
      <c r="H959" t="s">
        <v>292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2841</v>
      </c>
      <c r="E960">
        <v>0</v>
      </c>
      <c r="F960" t="s">
        <v>250</v>
      </c>
      <c r="G960">
        <v>5</v>
      </c>
      <c r="H960" t="s">
        <v>270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2937</v>
      </c>
      <c r="E961">
        <v>0</v>
      </c>
      <c r="F961" t="s">
        <v>223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2426</v>
      </c>
      <c r="E962">
        <v>0</v>
      </c>
      <c r="F962" t="s">
        <v>250</v>
      </c>
      <c r="G962">
        <v>1</v>
      </c>
      <c r="H962" t="s">
        <v>271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2552</v>
      </c>
      <c r="E963">
        <v>1</v>
      </c>
      <c r="F963" t="s">
        <v>250</v>
      </c>
      <c r="G963">
        <v>3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2771</v>
      </c>
      <c r="E964">
        <v>2</v>
      </c>
      <c r="F964" t="s">
        <v>250</v>
      </c>
      <c r="G964">
        <v>1</v>
      </c>
      <c r="H964" t="s">
        <v>292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2652</v>
      </c>
      <c r="E965">
        <v>2</v>
      </c>
      <c r="F965" t="s">
        <v>250</v>
      </c>
      <c r="G965">
        <v>4</v>
      </c>
      <c r="H965" t="s">
        <v>270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2708</v>
      </c>
      <c r="E966">
        <v>0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2684</v>
      </c>
      <c r="E967">
        <v>1</v>
      </c>
      <c r="F967" t="s">
        <v>250</v>
      </c>
      <c r="G967">
        <v>1</v>
      </c>
      <c r="H967" t="s">
        <v>271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3108</v>
      </c>
      <c r="E968">
        <v>3</v>
      </c>
      <c r="F968" t="s">
        <v>250</v>
      </c>
      <c r="G968">
        <v>4</v>
      </c>
      <c r="H968" t="s">
        <v>270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285</v>
      </c>
      <c r="B969" t="s">
        <v>9</v>
      </c>
      <c r="C969">
        <v>9</v>
      </c>
      <c r="D969">
        <v>2839</v>
      </c>
      <c r="E969">
        <v>1</v>
      </c>
      <c r="F969" t="s">
        <v>250</v>
      </c>
      <c r="G969">
        <v>1</v>
      </c>
      <c r="H969" t="s">
        <v>271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60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60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60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60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60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36</v>
      </c>
      <c r="B989" t="s">
        <v>9</v>
      </c>
      <c r="C989">
        <v>9</v>
      </c>
      <c r="D989">
        <v>3008</v>
      </c>
      <c r="E989">
        <v>1</v>
      </c>
      <c r="F989" t="s">
        <v>252</v>
      </c>
      <c r="G989">
        <v>5</v>
      </c>
      <c r="H989" t="s">
        <v>270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172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172</v>
      </c>
      <c r="B991" t="s">
        <v>9</v>
      </c>
      <c r="C991">
        <v>7</v>
      </c>
      <c r="D991">
        <v>3403</v>
      </c>
      <c r="E991">
        <v>3</v>
      </c>
      <c r="F991" t="s">
        <v>258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172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172</v>
      </c>
      <c r="B993" t="s">
        <v>9</v>
      </c>
      <c r="C993">
        <v>7</v>
      </c>
      <c r="D993">
        <v>2787</v>
      </c>
      <c r="E993">
        <v>1</v>
      </c>
      <c r="F993" t="s">
        <v>258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172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172</v>
      </c>
      <c r="B995" t="s">
        <v>9</v>
      </c>
      <c r="C995">
        <v>7</v>
      </c>
      <c r="D995">
        <v>3276</v>
      </c>
      <c r="E995">
        <v>4</v>
      </c>
      <c r="F995" t="s">
        <v>258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172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172</v>
      </c>
      <c r="B997" t="s">
        <v>9</v>
      </c>
      <c r="C997">
        <v>7</v>
      </c>
      <c r="D997">
        <v>3049</v>
      </c>
      <c r="E997">
        <v>1</v>
      </c>
      <c r="F997" t="s">
        <v>258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2793</v>
      </c>
      <c r="E998">
        <v>0</v>
      </c>
      <c r="F998" t="s">
        <v>291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3111</v>
      </c>
      <c r="E999">
        <v>1</v>
      </c>
      <c r="F999" t="s">
        <v>291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2990</v>
      </c>
      <c r="E1000">
        <v>0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3378</v>
      </c>
      <c r="E1001">
        <v>1</v>
      </c>
      <c r="F1001" t="s">
        <v>258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2940</v>
      </c>
      <c r="E1002">
        <v>3</v>
      </c>
      <c r="F1002" t="s">
        <v>291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3698</v>
      </c>
      <c r="E1003">
        <v>3</v>
      </c>
      <c r="F1003" t="s">
        <v>258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172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172</v>
      </c>
      <c r="B1006" t="s">
        <v>9</v>
      </c>
      <c r="C1006">
        <v>7</v>
      </c>
      <c r="D1006">
        <v>3535</v>
      </c>
      <c r="E1006">
        <v>2</v>
      </c>
      <c r="F1006" t="s">
        <v>258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3010</v>
      </c>
      <c r="E1007">
        <v>1</v>
      </c>
      <c r="F1007" t="s">
        <v>258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3005</v>
      </c>
      <c r="E1008">
        <v>2</v>
      </c>
      <c r="F1008" t="s">
        <v>258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172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172</v>
      </c>
      <c r="B1010" t="s">
        <v>9</v>
      </c>
      <c r="C1010">
        <v>7</v>
      </c>
      <c r="D1010">
        <v>3225</v>
      </c>
      <c r="E1010">
        <v>0</v>
      </c>
      <c r="F1010" t="s">
        <v>291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3020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2530</v>
      </c>
      <c r="E1012">
        <v>1</v>
      </c>
      <c r="F1012" t="s">
        <v>258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3259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2913</v>
      </c>
      <c r="E1014">
        <v>1</v>
      </c>
      <c r="F1014" t="s">
        <v>291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2901</v>
      </c>
      <c r="E1015">
        <v>0</v>
      </c>
      <c r="F1015" t="s">
        <v>291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3437</v>
      </c>
      <c r="E1016">
        <v>2</v>
      </c>
      <c r="F1016" t="s">
        <v>258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172</v>
      </c>
      <c r="B1017" t="s">
        <v>9</v>
      </c>
      <c r="C1017">
        <v>7</v>
      </c>
      <c r="D1017">
        <v>2966</v>
      </c>
      <c r="E1017">
        <v>2</v>
      </c>
      <c r="F1017" t="s">
        <v>205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172</v>
      </c>
      <c r="B1018" t="s">
        <v>9</v>
      </c>
      <c r="C1018">
        <v>7</v>
      </c>
      <c r="D1018">
        <v>3352</v>
      </c>
      <c r="E1018">
        <v>1</v>
      </c>
      <c r="F1018" t="s">
        <v>291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172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172</v>
      </c>
      <c r="B1020" t="s">
        <v>9</v>
      </c>
      <c r="C1020">
        <v>7</v>
      </c>
      <c r="D1020">
        <v>2535</v>
      </c>
      <c r="E1020">
        <v>1</v>
      </c>
      <c r="F1020" t="s">
        <v>258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172</v>
      </c>
      <c r="B1021" t="s">
        <v>9</v>
      </c>
      <c r="C1021">
        <v>7</v>
      </c>
      <c r="D1021">
        <v>3507</v>
      </c>
      <c r="E1021">
        <v>0</v>
      </c>
      <c r="F1021" t="s">
        <v>58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172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172</v>
      </c>
      <c r="B1023" t="s">
        <v>9</v>
      </c>
      <c r="C1023">
        <v>7</v>
      </c>
      <c r="D1023">
        <v>3364</v>
      </c>
      <c r="E1023">
        <v>1</v>
      </c>
      <c r="F1023" t="s">
        <v>258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172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172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172</v>
      </c>
      <c r="B1026" t="s">
        <v>9</v>
      </c>
      <c r="C1026">
        <v>7</v>
      </c>
      <c r="D1026">
        <v>3416</v>
      </c>
      <c r="E1026">
        <v>0</v>
      </c>
      <c r="F1026" t="s">
        <v>258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2949</v>
      </c>
      <c r="E1027">
        <v>2</v>
      </c>
      <c r="F1027" t="s">
        <v>258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172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172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172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172</v>
      </c>
      <c r="B1031" t="s">
        <v>9</v>
      </c>
      <c r="C1031">
        <v>7</v>
      </c>
      <c r="D1031">
        <v>3045</v>
      </c>
      <c r="E1031">
        <v>0</v>
      </c>
      <c r="F1031" t="s">
        <v>258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172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172</v>
      </c>
      <c r="B1033" t="s">
        <v>9</v>
      </c>
      <c r="C1033">
        <v>7</v>
      </c>
      <c r="D1033">
        <v>2795</v>
      </c>
      <c r="E1033">
        <v>1</v>
      </c>
      <c r="F1033" t="s">
        <v>258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3324</v>
      </c>
      <c r="E1034">
        <v>0</v>
      </c>
      <c r="F1034" t="s">
        <v>258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172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172</v>
      </c>
      <c r="B1036" t="s">
        <v>9</v>
      </c>
      <c r="C1036">
        <v>7</v>
      </c>
      <c r="D1036">
        <v>2789</v>
      </c>
      <c r="E1036">
        <v>1</v>
      </c>
      <c r="F1036" t="s">
        <v>291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3263</v>
      </c>
      <c r="E1037">
        <v>1</v>
      </c>
      <c r="F1037" t="s">
        <v>291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172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172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204</v>
      </c>
    </row>
    <row r="1040" spans="1:13">
      <c r="A1040" t="s">
        <v>172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172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172</v>
      </c>
      <c r="B1042" t="s">
        <v>9</v>
      </c>
      <c r="C1042">
        <v>8</v>
      </c>
      <c r="D1042">
        <v>3251</v>
      </c>
      <c r="E1042">
        <v>1</v>
      </c>
      <c r="F1042" t="s">
        <v>291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3614</v>
      </c>
      <c r="E1043">
        <v>1</v>
      </c>
      <c r="F1043" t="s">
        <v>291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3238</v>
      </c>
      <c r="E1044">
        <v>1</v>
      </c>
      <c r="F1044" t="s">
        <v>258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3097</v>
      </c>
      <c r="E1045">
        <v>0</v>
      </c>
      <c r="F1045" t="s">
        <v>258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2801</v>
      </c>
      <c r="E1046">
        <v>0</v>
      </c>
      <c r="F1046" t="s">
        <v>258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3150</v>
      </c>
      <c r="E1047">
        <v>0</v>
      </c>
      <c r="F1047" t="s">
        <v>258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3588</v>
      </c>
      <c r="E1048">
        <v>1</v>
      </c>
      <c r="F1048" t="s">
        <v>258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3137</v>
      </c>
      <c r="E1050">
        <v>0</v>
      </c>
      <c r="F1050" t="s">
        <v>291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172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172</v>
      </c>
      <c r="B1052" t="s">
        <v>9</v>
      </c>
      <c r="C1052">
        <v>8</v>
      </c>
      <c r="D1052">
        <v>3479</v>
      </c>
      <c r="E1052">
        <v>1</v>
      </c>
      <c r="F1052" t="s">
        <v>258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3505</v>
      </c>
      <c r="E1053">
        <v>2</v>
      </c>
      <c r="F1053" t="s">
        <v>291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3378</v>
      </c>
      <c r="E1054">
        <v>1</v>
      </c>
      <c r="F1054" t="s">
        <v>258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172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172</v>
      </c>
      <c r="B1058" t="s">
        <v>9</v>
      </c>
      <c r="C1058">
        <v>8</v>
      </c>
      <c r="D1058">
        <v>3217</v>
      </c>
      <c r="E1058">
        <v>0</v>
      </c>
      <c r="F1058" t="s">
        <v>258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3453</v>
      </c>
      <c r="E1059">
        <v>0</v>
      </c>
      <c r="F1059" t="s">
        <v>258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3773</v>
      </c>
      <c r="E1060">
        <v>1</v>
      </c>
      <c r="F1060" t="s">
        <v>291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3152</v>
      </c>
      <c r="E1061">
        <v>2</v>
      </c>
      <c r="F1061" t="s">
        <v>258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172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172</v>
      </c>
      <c r="B1063" t="s">
        <v>9</v>
      </c>
      <c r="C1063">
        <v>8</v>
      </c>
      <c r="D1063">
        <v>3391</v>
      </c>
      <c r="E1063">
        <v>1</v>
      </c>
      <c r="F1063" t="s">
        <v>318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172</v>
      </c>
      <c r="B1064" t="s">
        <v>9</v>
      </c>
      <c r="C1064">
        <v>8</v>
      </c>
      <c r="D1064">
        <v>3826</v>
      </c>
      <c r="E1064">
        <v>0</v>
      </c>
      <c r="F1064" t="s">
        <v>258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1020</v>
      </c>
      <c r="E1071">
        <v>1</v>
      </c>
      <c r="F1071" t="s">
        <v>264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1937</v>
      </c>
      <c r="E1072">
        <v>1</v>
      </c>
      <c r="F1072" t="s">
        <v>264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286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57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319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1357</v>
      </c>
      <c r="E1103">
        <v>2</v>
      </c>
      <c r="F1103" t="s">
        <v>57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286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60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60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3766</v>
      </c>
      <c r="E1108">
        <v>0</v>
      </c>
      <c r="F1108" t="s">
        <v>258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4343</v>
      </c>
      <c r="E1109">
        <v>0</v>
      </c>
      <c r="F1109" t="s">
        <v>291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172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172</v>
      </c>
      <c r="B1111" t="s">
        <v>9</v>
      </c>
      <c r="C1111">
        <v>10</v>
      </c>
      <c r="D1111">
        <v>3985</v>
      </c>
      <c r="E1111">
        <v>1</v>
      </c>
      <c r="F1111" t="s">
        <v>258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172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172</v>
      </c>
      <c r="B1113" t="s">
        <v>9</v>
      </c>
      <c r="C1113">
        <v>10</v>
      </c>
      <c r="D1113">
        <v>4613</v>
      </c>
      <c r="E1113">
        <v>0</v>
      </c>
      <c r="F1113" t="s">
        <v>258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4512</v>
      </c>
      <c r="E1114">
        <v>0</v>
      </c>
      <c r="F1114" t="s">
        <v>258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172</v>
      </c>
      <c r="B1115" t="s">
        <v>9</v>
      </c>
      <c r="C1115">
        <v>10</v>
      </c>
      <c r="D1115">
        <v>4000</v>
      </c>
      <c r="E1115">
        <v>1</v>
      </c>
      <c r="F1115" t="s">
        <v>58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172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172</v>
      </c>
      <c r="B1117" t="s">
        <v>9</v>
      </c>
      <c r="C1117">
        <v>10</v>
      </c>
      <c r="D1117">
        <v>4527</v>
      </c>
      <c r="E1117">
        <v>0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3817</v>
      </c>
      <c r="E1118">
        <v>1</v>
      </c>
      <c r="F1118" t="s">
        <v>258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3935</v>
      </c>
      <c r="E1119">
        <v>2</v>
      </c>
      <c r="F1119" t="s">
        <v>291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4040</v>
      </c>
      <c r="E1120">
        <v>1</v>
      </c>
      <c r="F1120" t="s">
        <v>258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172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172</v>
      </c>
      <c r="B1122" t="s">
        <v>9</v>
      </c>
      <c r="C1122">
        <v>10</v>
      </c>
      <c r="D1122">
        <v>3976</v>
      </c>
      <c r="E1122">
        <v>0</v>
      </c>
      <c r="F1122" t="s">
        <v>291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3824</v>
      </c>
      <c r="E1123">
        <v>0</v>
      </c>
      <c r="F1123" t="s">
        <v>258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3303</v>
      </c>
      <c r="E1124">
        <v>0</v>
      </c>
      <c r="F1124" t="s">
        <v>258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172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172</v>
      </c>
      <c r="B1126" t="s">
        <v>9</v>
      </c>
      <c r="C1126">
        <v>10</v>
      </c>
      <c r="D1126">
        <v>4076</v>
      </c>
      <c r="E1126">
        <v>1</v>
      </c>
      <c r="F1126" t="s">
        <v>258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3735</v>
      </c>
      <c r="E1127">
        <v>1</v>
      </c>
      <c r="F1127" t="s">
        <v>258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3968</v>
      </c>
      <c r="E1128">
        <v>1</v>
      </c>
      <c r="F1128" t="s">
        <v>258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4409</v>
      </c>
      <c r="E1129">
        <v>0</v>
      </c>
      <c r="F1129" t="s">
        <v>258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4316</v>
      </c>
      <c r="E1130">
        <v>0</v>
      </c>
      <c r="F1130" t="s">
        <v>258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4350</v>
      </c>
      <c r="E1131">
        <v>3</v>
      </c>
      <c r="F1131" t="s">
        <v>258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4027</v>
      </c>
      <c r="E1132">
        <v>1</v>
      </c>
      <c r="F1132" t="s">
        <v>258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4582</v>
      </c>
      <c r="E1133">
        <v>1</v>
      </c>
      <c r="F1133" t="s">
        <v>318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4490</v>
      </c>
      <c r="E1134">
        <v>0</v>
      </c>
      <c r="F1134" t="s">
        <v>258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4382</v>
      </c>
      <c r="E1135">
        <v>0</v>
      </c>
      <c r="F1135" t="s">
        <v>258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172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172</v>
      </c>
      <c r="B1137" t="s">
        <v>9</v>
      </c>
      <c r="C1137">
        <v>10</v>
      </c>
      <c r="D1137">
        <v>3873</v>
      </c>
      <c r="E1137">
        <v>2</v>
      </c>
      <c r="F1137" t="s">
        <v>258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4165</v>
      </c>
      <c r="E1138">
        <v>1</v>
      </c>
      <c r="F1138" t="s">
        <v>291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3918</v>
      </c>
      <c r="E1139">
        <v>1</v>
      </c>
      <c r="F1139" t="s">
        <v>291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3837</v>
      </c>
      <c r="E1140">
        <v>4</v>
      </c>
      <c r="F1140" t="s">
        <v>258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3909</v>
      </c>
      <c r="E1141">
        <v>0</v>
      </c>
      <c r="F1141" t="s">
        <v>258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4302</v>
      </c>
      <c r="E1142">
        <v>2</v>
      </c>
      <c r="F1142" t="s">
        <v>291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4644</v>
      </c>
      <c r="E1143">
        <v>1</v>
      </c>
      <c r="F1143" t="s">
        <v>288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3772</v>
      </c>
      <c r="E1144">
        <v>0</v>
      </c>
      <c r="F1144" t="s">
        <v>258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3838</v>
      </c>
      <c r="E1145">
        <v>1</v>
      </c>
      <c r="F1145" t="s">
        <v>258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3618</v>
      </c>
      <c r="E1146">
        <v>1</v>
      </c>
      <c r="F1146" t="s">
        <v>318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3622</v>
      </c>
      <c r="E1147">
        <v>2</v>
      </c>
      <c r="F1147" t="s">
        <v>318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172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172</v>
      </c>
      <c r="B1149" t="s">
        <v>9</v>
      </c>
      <c r="C1149">
        <v>10</v>
      </c>
      <c r="D1149">
        <v>3935</v>
      </c>
      <c r="E1149">
        <v>0</v>
      </c>
      <c r="F1149" t="s">
        <v>58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172</v>
      </c>
      <c r="B1150" t="s">
        <v>9</v>
      </c>
      <c r="C1150">
        <v>10</v>
      </c>
      <c r="D1150">
        <v>3786</v>
      </c>
      <c r="E1150">
        <v>1</v>
      </c>
      <c r="F1150" t="s">
        <v>291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172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172</v>
      </c>
      <c r="B1152" t="s">
        <v>9</v>
      </c>
      <c r="C1152">
        <v>10</v>
      </c>
      <c r="D1152">
        <v>3617</v>
      </c>
      <c r="E1152">
        <v>1</v>
      </c>
      <c r="F1152" t="s">
        <v>258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3937</v>
      </c>
      <c r="E1153">
        <v>1</v>
      </c>
      <c r="F1153" t="s">
        <v>291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3918</v>
      </c>
      <c r="E1154">
        <v>1</v>
      </c>
      <c r="F1154" t="s">
        <v>258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172</v>
      </c>
      <c r="B1155" t="s">
        <v>9</v>
      </c>
      <c r="C1155">
        <v>10</v>
      </c>
      <c r="D1155">
        <v>4078</v>
      </c>
      <c r="E1155">
        <v>3</v>
      </c>
      <c r="F1155" t="s">
        <v>58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172</v>
      </c>
      <c r="B1156" t="s">
        <v>9</v>
      </c>
      <c r="C1156">
        <v>10</v>
      </c>
      <c r="D1156">
        <v>4022</v>
      </c>
      <c r="E1156">
        <v>2</v>
      </c>
      <c r="F1156" t="s">
        <v>258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172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172</v>
      </c>
      <c r="B1158" t="s">
        <v>9</v>
      </c>
      <c r="C1158">
        <v>10</v>
      </c>
      <c r="D1158">
        <v>4011</v>
      </c>
      <c r="E1158">
        <v>0</v>
      </c>
      <c r="F1158" t="s">
        <v>318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4195</v>
      </c>
      <c r="E1159">
        <v>1</v>
      </c>
      <c r="F1159" t="s">
        <v>258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4001</v>
      </c>
      <c r="E1160">
        <v>0</v>
      </c>
      <c r="F1160" t="s">
        <v>258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3836</v>
      </c>
      <c r="E1161">
        <v>0</v>
      </c>
      <c r="F1161" t="s">
        <v>258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3830</v>
      </c>
      <c r="E1162">
        <v>0</v>
      </c>
      <c r="F1162" t="s">
        <v>258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4098</v>
      </c>
      <c r="E1163">
        <v>0</v>
      </c>
      <c r="F1163" t="s">
        <v>291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172</v>
      </c>
      <c r="B1164" t="s">
        <v>9</v>
      </c>
      <c r="C1164">
        <v>10</v>
      </c>
      <c r="D1164">
        <v>4211</v>
      </c>
      <c r="E1164">
        <v>0</v>
      </c>
      <c r="F1164" t="s">
        <v>58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172</v>
      </c>
      <c r="B1165" t="s">
        <v>9</v>
      </c>
      <c r="C1165">
        <v>10</v>
      </c>
      <c r="D1165">
        <v>4024</v>
      </c>
      <c r="E1165">
        <v>1</v>
      </c>
      <c r="F1165" t="s">
        <v>258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4051</v>
      </c>
      <c r="E1166">
        <v>0</v>
      </c>
      <c r="F1166" t="s">
        <v>291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172</v>
      </c>
      <c r="B1167" t="s">
        <v>9</v>
      </c>
      <c r="C1167">
        <v>10</v>
      </c>
      <c r="D1167">
        <v>3981</v>
      </c>
      <c r="E1167">
        <v>2</v>
      </c>
      <c r="F1167" t="s">
        <v>58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172</v>
      </c>
      <c r="B1168" t="s">
        <v>9</v>
      </c>
      <c r="C1168">
        <v>10</v>
      </c>
      <c r="D1168">
        <v>3667</v>
      </c>
      <c r="E1168">
        <v>3</v>
      </c>
      <c r="F1168" t="s">
        <v>258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4500</v>
      </c>
      <c r="E1169">
        <v>2</v>
      </c>
      <c r="F1169" t="s">
        <v>291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4090</v>
      </c>
      <c r="E1170">
        <v>1</v>
      </c>
      <c r="F1170" t="s">
        <v>258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172</v>
      </c>
      <c r="B1171" t="s">
        <v>9</v>
      </c>
      <c r="C1171">
        <v>10</v>
      </c>
      <c r="D1171">
        <v>3757</v>
      </c>
      <c r="E1171">
        <v>0</v>
      </c>
      <c r="F1171" t="s">
        <v>58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172</v>
      </c>
      <c r="B1172" t="s">
        <v>9</v>
      </c>
      <c r="C1172">
        <v>10</v>
      </c>
      <c r="D1172">
        <v>3889</v>
      </c>
      <c r="E1172">
        <v>0</v>
      </c>
      <c r="F1172" t="s">
        <v>291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3813</v>
      </c>
      <c r="E1173">
        <v>1</v>
      </c>
      <c r="F1173" t="s">
        <v>258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172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172</v>
      </c>
      <c r="B1175" t="s">
        <v>9</v>
      </c>
      <c r="C1175">
        <v>10</v>
      </c>
      <c r="D1175">
        <v>3967</v>
      </c>
      <c r="E1175">
        <v>2</v>
      </c>
      <c r="F1175" t="s">
        <v>258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172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172</v>
      </c>
      <c r="B1177" t="s">
        <v>9</v>
      </c>
      <c r="C1177">
        <v>10</v>
      </c>
      <c r="D1177">
        <v>3898</v>
      </c>
      <c r="E1177">
        <v>0</v>
      </c>
      <c r="F1177" t="s">
        <v>291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3992</v>
      </c>
      <c r="E1178">
        <v>3</v>
      </c>
      <c r="F1178" t="s">
        <v>291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3871</v>
      </c>
      <c r="E1179">
        <v>1</v>
      </c>
      <c r="F1179" t="s">
        <v>258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3832</v>
      </c>
      <c r="E1180">
        <v>0</v>
      </c>
      <c r="F1180" t="s">
        <v>291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3887</v>
      </c>
      <c r="E1181">
        <v>0</v>
      </c>
      <c r="F1181" t="s">
        <v>258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4114</v>
      </c>
      <c r="E1182">
        <v>3</v>
      </c>
      <c r="F1182" t="s">
        <v>258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4755</v>
      </c>
      <c r="E1183">
        <v>0</v>
      </c>
      <c r="F1183" t="s">
        <v>258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4329</v>
      </c>
      <c r="E1184">
        <v>2</v>
      </c>
      <c r="F1184" t="s">
        <v>258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172</v>
      </c>
      <c r="B1185" t="s">
        <v>9</v>
      </c>
      <c r="C1185">
        <v>10</v>
      </c>
      <c r="D1185">
        <v>4139</v>
      </c>
      <c r="E1185">
        <v>0</v>
      </c>
      <c r="F1185" t="s">
        <v>258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172</v>
      </c>
      <c r="B1186" t="s">
        <v>9</v>
      </c>
      <c r="C1186">
        <v>10</v>
      </c>
      <c r="D1186">
        <v>3838</v>
      </c>
      <c r="E1186">
        <v>0</v>
      </c>
      <c r="F1186" t="s">
        <v>258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172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172</v>
      </c>
      <c r="B1188" t="s">
        <v>9</v>
      </c>
      <c r="C1188">
        <v>10</v>
      </c>
      <c r="D1188">
        <v>4048</v>
      </c>
      <c r="E1188">
        <v>0</v>
      </c>
      <c r="F1188" t="s">
        <v>291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172</v>
      </c>
      <c r="B1189" t="s">
        <v>9</v>
      </c>
      <c r="C1189">
        <v>10</v>
      </c>
      <c r="D1189">
        <v>4066</v>
      </c>
      <c r="E1189">
        <v>1</v>
      </c>
      <c r="F1189" t="s">
        <v>258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172</v>
      </c>
      <c r="B1190" t="s">
        <v>9</v>
      </c>
      <c r="C1190">
        <v>10</v>
      </c>
      <c r="D1190">
        <v>4202</v>
      </c>
      <c r="E1190">
        <v>2</v>
      </c>
      <c r="F1190" t="s">
        <v>258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172</v>
      </c>
      <c r="B1191" t="s">
        <v>9</v>
      </c>
      <c r="C1191">
        <v>10</v>
      </c>
      <c r="D1191">
        <v>4359</v>
      </c>
      <c r="E1191">
        <v>1</v>
      </c>
      <c r="F1191" t="s">
        <v>291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172</v>
      </c>
      <c r="B1192" t="s">
        <v>9</v>
      </c>
      <c r="C1192">
        <v>10</v>
      </c>
      <c r="D1192">
        <v>3858</v>
      </c>
      <c r="E1192">
        <v>0</v>
      </c>
      <c r="F1192" t="s">
        <v>258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172</v>
      </c>
      <c r="B1193" t="s">
        <v>9</v>
      </c>
      <c r="C1193">
        <v>10</v>
      </c>
      <c r="D1193">
        <v>3946</v>
      </c>
      <c r="E1193">
        <v>0</v>
      </c>
      <c r="F1193" t="s">
        <v>291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172</v>
      </c>
      <c r="B1194" t="s">
        <v>9</v>
      </c>
      <c r="C1194">
        <v>10</v>
      </c>
      <c r="D1194">
        <v>4023</v>
      </c>
      <c r="E1194">
        <v>0</v>
      </c>
      <c r="F1194" t="s">
        <v>291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172</v>
      </c>
      <c r="B1195" t="s">
        <v>9</v>
      </c>
      <c r="C1195">
        <v>10</v>
      </c>
      <c r="D1195">
        <v>4021</v>
      </c>
      <c r="E1195">
        <v>0</v>
      </c>
      <c r="F1195" t="s">
        <v>288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178</v>
      </c>
      <c r="B1196" t="s">
        <v>9</v>
      </c>
      <c r="C1196">
        <v>9</v>
      </c>
      <c r="D1196">
        <v>0</v>
      </c>
      <c r="E1196">
        <v>0</v>
      </c>
      <c r="F1196" t="s">
        <v>854</v>
      </c>
      <c r="G1196">
        <v>0</v>
      </c>
      <c r="H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204</v>
      </c>
    </row>
    <row r="1197" spans="1:13">
      <c r="A1197" t="s">
        <v>178</v>
      </c>
      <c r="B1197" t="s">
        <v>9</v>
      </c>
      <c r="C1197">
        <v>9</v>
      </c>
      <c r="D1197">
        <v>3980</v>
      </c>
      <c r="E1197">
        <v>0</v>
      </c>
      <c r="F1197" t="s">
        <v>291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178</v>
      </c>
      <c r="B1198" t="s">
        <v>9</v>
      </c>
      <c r="C1198">
        <v>9</v>
      </c>
      <c r="D1198">
        <v>4393</v>
      </c>
      <c r="E1198">
        <v>0</v>
      </c>
      <c r="F1198" t="s">
        <v>258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178</v>
      </c>
      <c r="B1199" t="s">
        <v>9</v>
      </c>
      <c r="C1199">
        <v>9</v>
      </c>
      <c r="D1199">
        <v>4309</v>
      </c>
      <c r="E1199">
        <v>1</v>
      </c>
      <c r="F1199" t="s">
        <v>258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178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178</v>
      </c>
      <c r="B1201" t="s">
        <v>9</v>
      </c>
      <c r="C1201">
        <v>9</v>
      </c>
      <c r="D1201">
        <v>0</v>
      </c>
      <c r="E1201">
        <v>0</v>
      </c>
      <c r="F1201" t="s">
        <v>854</v>
      </c>
      <c r="G1201">
        <v>0</v>
      </c>
      <c r="H1201">
        <v>0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204</v>
      </c>
    </row>
    <row r="1202" spans="1:13">
      <c r="A1202" t="s">
        <v>172</v>
      </c>
      <c r="B1202" t="s">
        <v>9</v>
      </c>
      <c r="C1202">
        <v>10</v>
      </c>
      <c r="D1202">
        <v>4144</v>
      </c>
      <c r="E1202">
        <v>1</v>
      </c>
      <c r="F1202" t="s">
        <v>258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172</v>
      </c>
      <c r="B1203" t="s">
        <v>9</v>
      </c>
      <c r="C1203">
        <v>10</v>
      </c>
      <c r="D1203">
        <v>4074</v>
      </c>
      <c r="E1203">
        <v>0</v>
      </c>
      <c r="F1203" t="s">
        <v>34</v>
      </c>
      <c r="G1203">
        <v>4</v>
      </c>
      <c r="H1203" t="s">
        <v>17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3200</v>
      </c>
    </row>
    <row r="1204" spans="1:13">
      <c r="A1204" t="s">
        <v>172</v>
      </c>
      <c r="B1204" t="s">
        <v>9</v>
      </c>
      <c r="C1204">
        <v>10</v>
      </c>
      <c r="D1204">
        <v>4032</v>
      </c>
      <c r="E1204">
        <v>0</v>
      </c>
      <c r="F1204" t="s">
        <v>34</v>
      </c>
      <c r="G1204">
        <v>4</v>
      </c>
      <c r="H1204" t="s">
        <v>17</v>
      </c>
      <c r="I1204">
        <v>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3200</v>
      </c>
    </row>
    <row r="1205" spans="1:13">
      <c r="A1205" t="s">
        <v>172</v>
      </c>
      <c r="B1205" t="s">
        <v>9</v>
      </c>
      <c r="C1205">
        <v>10</v>
      </c>
      <c r="D1205">
        <v>4157</v>
      </c>
      <c r="E1205">
        <v>3</v>
      </c>
      <c r="F1205" t="s">
        <v>258</v>
      </c>
      <c r="G1205">
        <v>1</v>
      </c>
      <c r="H1205" t="s">
        <v>28</v>
      </c>
      <c r="I1205">
        <v>5652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172</v>
      </c>
      <c r="B1206" t="s">
        <v>9</v>
      </c>
      <c r="C1206">
        <v>10</v>
      </c>
      <c r="D1206">
        <v>4353</v>
      </c>
      <c r="E1206">
        <v>1</v>
      </c>
      <c r="F1206" t="s">
        <v>58</v>
      </c>
      <c r="G1206">
        <v>1</v>
      </c>
      <c r="H1206" t="s">
        <v>12</v>
      </c>
      <c r="I1206">
        <v>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11500</v>
      </c>
      <c r="L1206" s="43">
        <f>IFERROR(SUMIFS(Tabela10[Exp Gain only 2*+],Tabela10[Drop],DropAnalityka[[#This Row],[Drop]],Tabela10[Grade],DropAnalityka[[#This Row],[Grade]])*DropAnalityka[[#This Row],[Quality/Quantity]],0)</f>
        <v>35822</v>
      </c>
    </row>
    <row r="1207" spans="1:13">
      <c r="A1207" t="s">
        <v>172</v>
      </c>
      <c r="B1207" t="s">
        <v>9</v>
      </c>
      <c r="C1207">
        <v>10</v>
      </c>
      <c r="D1207">
        <v>4047</v>
      </c>
      <c r="E1207">
        <v>1</v>
      </c>
      <c r="F1207" t="s">
        <v>258</v>
      </c>
      <c r="G1207">
        <v>1</v>
      </c>
      <c r="H1207" t="s">
        <v>28</v>
      </c>
      <c r="I1207">
        <v>5100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172</v>
      </c>
      <c r="B1208" t="s">
        <v>9</v>
      </c>
      <c r="C1208">
        <v>10</v>
      </c>
      <c r="D1208">
        <v>3847</v>
      </c>
      <c r="E1208">
        <v>0</v>
      </c>
      <c r="F1208" t="s">
        <v>258</v>
      </c>
      <c r="G1208">
        <v>1</v>
      </c>
      <c r="H1208" t="s">
        <v>27</v>
      </c>
      <c r="I1208">
        <v>5880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172</v>
      </c>
      <c r="B1209" t="s">
        <v>9</v>
      </c>
      <c r="C1209">
        <v>10</v>
      </c>
      <c r="D1209">
        <v>3857</v>
      </c>
      <c r="E1209">
        <v>2</v>
      </c>
      <c r="F1209" t="s">
        <v>258</v>
      </c>
      <c r="G1209">
        <v>1</v>
      </c>
      <c r="H1209" t="s">
        <v>28</v>
      </c>
      <c r="I1209">
        <v>5100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172</v>
      </c>
      <c r="B1210" t="s">
        <v>9</v>
      </c>
      <c r="C1210">
        <v>10</v>
      </c>
      <c r="D1210">
        <v>3902</v>
      </c>
      <c r="E1210">
        <v>0</v>
      </c>
      <c r="F1210" t="s">
        <v>258</v>
      </c>
      <c r="G1210">
        <v>1</v>
      </c>
      <c r="H1210" t="s">
        <v>27</v>
      </c>
      <c r="I1210">
        <v>2756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172</v>
      </c>
      <c r="B1211" t="s">
        <v>9</v>
      </c>
      <c r="C1211">
        <v>10</v>
      </c>
      <c r="D1211">
        <v>3922</v>
      </c>
      <c r="E1211">
        <v>3</v>
      </c>
      <c r="F1211" t="s">
        <v>258</v>
      </c>
      <c r="G1211">
        <v>1</v>
      </c>
      <c r="H1211" t="s">
        <v>28</v>
      </c>
      <c r="I1211">
        <v>7267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172</v>
      </c>
      <c r="B1212" t="s">
        <v>9</v>
      </c>
      <c r="C1212">
        <v>10</v>
      </c>
      <c r="D1212">
        <v>3822</v>
      </c>
      <c r="E1212">
        <v>0</v>
      </c>
      <c r="F1212" t="s">
        <v>258</v>
      </c>
      <c r="G1212">
        <v>1</v>
      </c>
      <c r="H1212" t="s">
        <v>28</v>
      </c>
      <c r="I1212">
        <v>5355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172</v>
      </c>
      <c r="B1213" t="s">
        <v>9</v>
      </c>
      <c r="C1213">
        <v>10</v>
      </c>
      <c r="D1213">
        <v>4255</v>
      </c>
      <c r="E1213">
        <v>3</v>
      </c>
      <c r="F1213" t="s">
        <v>258</v>
      </c>
      <c r="G1213">
        <v>1</v>
      </c>
      <c r="H1213" t="s">
        <v>28</v>
      </c>
      <c r="I1213">
        <v>4760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172</v>
      </c>
      <c r="B1214" t="s">
        <v>9</v>
      </c>
      <c r="C1214">
        <v>10</v>
      </c>
      <c r="D1214">
        <v>4271</v>
      </c>
      <c r="E1214">
        <v>0</v>
      </c>
      <c r="F1214" t="s">
        <v>258</v>
      </c>
      <c r="G1214">
        <v>1</v>
      </c>
      <c r="H1214" t="s">
        <v>27</v>
      </c>
      <c r="I1214">
        <v>2894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A1215" t="s">
        <v>172</v>
      </c>
      <c r="B1215" t="s">
        <v>9</v>
      </c>
      <c r="C1215">
        <v>10</v>
      </c>
      <c r="D1215">
        <v>4220</v>
      </c>
      <c r="E1215">
        <v>0</v>
      </c>
      <c r="F1215" t="s">
        <v>258</v>
      </c>
      <c r="G1215">
        <v>1</v>
      </c>
      <c r="H1215" t="s">
        <v>27</v>
      </c>
      <c r="I1215">
        <v>2756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A1216" t="s">
        <v>172</v>
      </c>
      <c r="B1216" t="s">
        <v>9</v>
      </c>
      <c r="C1216">
        <v>10</v>
      </c>
      <c r="D1216">
        <v>4125</v>
      </c>
      <c r="E1216">
        <v>3</v>
      </c>
      <c r="F1216" t="s">
        <v>258</v>
      </c>
      <c r="G1216">
        <v>1</v>
      </c>
      <c r="H1216" t="s">
        <v>27</v>
      </c>
      <c r="I1216">
        <v>2480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:12">
      <c r="A1217" t="s">
        <v>172</v>
      </c>
      <c r="B1217" t="s">
        <v>9</v>
      </c>
      <c r="C1217">
        <v>10</v>
      </c>
      <c r="D1217">
        <v>3847</v>
      </c>
      <c r="E1217">
        <v>0</v>
      </c>
      <c r="F1217" t="s">
        <v>58</v>
      </c>
      <c r="G1217">
        <v>1</v>
      </c>
      <c r="H1217" t="s">
        <v>12</v>
      </c>
      <c r="I1217">
        <v>0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11500</v>
      </c>
      <c r="L1217" s="43">
        <f>IFERROR(SUMIFS(Tabela10[Exp Gain only 2*+],Tabela10[Drop],DropAnalityka[[#This Row],[Drop]],Tabela10[Grade],DropAnalityka[[#This Row],[Grade]])*DropAnalityka[[#This Row],[Quality/Quantity]],0)</f>
        <v>35822</v>
      </c>
    </row>
    <row r="1218" spans="1:12">
      <c r="A1218" t="s">
        <v>172</v>
      </c>
      <c r="B1218" t="s">
        <v>9</v>
      </c>
      <c r="C1218">
        <v>10</v>
      </c>
      <c r="D1218">
        <v>4181</v>
      </c>
      <c r="E1218">
        <v>1</v>
      </c>
      <c r="F1218" t="s">
        <v>258</v>
      </c>
      <c r="G1218">
        <v>1</v>
      </c>
      <c r="H1218" t="s">
        <v>28</v>
      </c>
      <c r="I1218">
        <v>5440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3847</v>
      </c>
      <c r="E1219">
        <v>0</v>
      </c>
      <c r="F1219" t="s">
        <v>34</v>
      </c>
      <c r="G1219">
        <v>4</v>
      </c>
      <c r="H1219" t="s">
        <v>17</v>
      </c>
      <c r="I1219">
        <v>0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3200</v>
      </c>
    </row>
    <row r="1220" spans="1:12">
      <c r="A1220" t="s">
        <v>172</v>
      </c>
      <c r="B1220" t="s">
        <v>9</v>
      </c>
      <c r="C1220">
        <v>10</v>
      </c>
      <c r="D1220">
        <v>4162</v>
      </c>
      <c r="E1220">
        <v>2</v>
      </c>
      <c r="F1220" t="s">
        <v>258</v>
      </c>
      <c r="G1220">
        <v>1</v>
      </c>
      <c r="H1220" t="s">
        <v>28</v>
      </c>
      <c r="I1220">
        <v>4335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3389</v>
      </c>
      <c r="E1221">
        <v>0</v>
      </c>
      <c r="F1221" t="s">
        <v>291</v>
      </c>
      <c r="G1221">
        <v>1</v>
      </c>
      <c r="H1221" t="s">
        <v>28</v>
      </c>
      <c r="I1221">
        <v>6075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:12">
      <c r="A1222" t="s">
        <v>172</v>
      </c>
      <c r="B1222" t="s">
        <v>9</v>
      </c>
      <c r="C1222">
        <v>10</v>
      </c>
      <c r="D1222">
        <v>3666</v>
      </c>
      <c r="E1222">
        <v>1</v>
      </c>
      <c r="F1222" t="s">
        <v>258</v>
      </c>
      <c r="G1222">
        <v>1</v>
      </c>
      <c r="H1222" t="s">
        <v>27</v>
      </c>
      <c r="I1222">
        <v>2756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3605</v>
      </c>
      <c r="E1223">
        <v>1</v>
      </c>
      <c r="F1223" t="s">
        <v>291</v>
      </c>
      <c r="G1223">
        <v>1</v>
      </c>
      <c r="H1223" t="s">
        <v>28</v>
      </c>
      <c r="I1223">
        <v>5737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:12">
      <c r="A1224" t="s">
        <v>172</v>
      </c>
      <c r="B1224" t="s">
        <v>9</v>
      </c>
      <c r="C1224">
        <v>10</v>
      </c>
      <c r="D1224">
        <v>3793</v>
      </c>
      <c r="E1224">
        <v>2</v>
      </c>
      <c r="F1224" t="s">
        <v>34</v>
      </c>
      <c r="G1224">
        <v>4</v>
      </c>
      <c r="H1224" t="s">
        <v>17</v>
      </c>
      <c r="I1224">
        <v>0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3200</v>
      </c>
    </row>
    <row r="1225" spans="1:12">
      <c r="A1225" t="s">
        <v>172</v>
      </c>
      <c r="B1225" t="s">
        <v>9</v>
      </c>
      <c r="C1225">
        <v>10</v>
      </c>
      <c r="D1225">
        <v>4423</v>
      </c>
      <c r="E1225">
        <v>0</v>
      </c>
      <c r="F1225" t="s">
        <v>258</v>
      </c>
      <c r="G1225">
        <v>1</v>
      </c>
      <c r="H1225" t="s">
        <v>28</v>
      </c>
      <c r="I1225">
        <v>8075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4020</v>
      </c>
      <c r="E1226">
        <v>1</v>
      </c>
      <c r="F1226" t="s">
        <v>205</v>
      </c>
      <c r="G1226">
        <v>3</v>
      </c>
      <c r="H1226" t="s">
        <v>26</v>
      </c>
      <c r="I1226">
        <v>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2587.5</v>
      </c>
      <c r="L122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7" spans="1:12">
      <c r="A1227" t="s">
        <v>172</v>
      </c>
      <c r="B1227" t="s">
        <v>9</v>
      </c>
      <c r="C1227">
        <v>10</v>
      </c>
      <c r="D1227">
        <v>3900</v>
      </c>
      <c r="E1227">
        <v>1</v>
      </c>
      <c r="F1227" t="s">
        <v>291</v>
      </c>
      <c r="G1227">
        <v>1</v>
      </c>
      <c r="H1227" t="s">
        <v>27</v>
      </c>
      <c r="I1227">
        <v>3307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4316</v>
      </c>
      <c r="E1228">
        <v>1</v>
      </c>
      <c r="F1228" t="s">
        <v>258</v>
      </c>
      <c r="G1228">
        <v>1</v>
      </c>
      <c r="H1228" t="s">
        <v>28</v>
      </c>
      <c r="I1228">
        <v>14535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3854</v>
      </c>
      <c r="E1229">
        <v>0</v>
      </c>
      <c r="F1229" t="s">
        <v>258</v>
      </c>
      <c r="G1229">
        <v>1</v>
      </c>
      <c r="H1229" t="s">
        <v>27</v>
      </c>
      <c r="I1229">
        <v>2940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:12">
      <c r="A1230" t="s">
        <v>172</v>
      </c>
      <c r="B1230" t="s">
        <v>9</v>
      </c>
      <c r="C1230">
        <v>10</v>
      </c>
      <c r="D1230">
        <v>4559</v>
      </c>
      <c r="E1230">
        <v>1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4127</v>
      </c>
      <c r="E1231">
        <v>1</v>
      </c>
      <c r="F1231" t="s">
        <v>258</v>
      </c>
      <c r="G1231">
        <v>1</v>
      </c>
      <c r="H1231" t="s">
        <v>27</v>
      </c>
      <c r="I1231">
        <v>5512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:12">
      <c r="A1232" t="s">
        <v>172</v>
      </c>
      <c r="B1232" t="s">
        <v>9</v>
      </c>
      <c r="C1232">
        <v>10</v>
      </c>
      <c r="D1232">
        <v>4449</v>
      </c>
      <c r="E1232">
        <v>1</v>
      </c>
      <c r="F1232" t="s">
        <v>34</v>
      </c>
      <c r="G1232">
        <v>5</v>
      </c>
      <c r="H1232" t="s">
        <v>17</v>
      </c>
      <c r="I1232">
        <v>0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4000</v>
      </c>
    </row>
    <row r="1233" spans="1:12">
      <c r="A1233" t="s">
        <v>172</v>
      </c>
      <c r="B1233" t="s">
        <v>9</v>
      </c>
      <c r="C1233">
        <v>10</v>
      </c>
      <c r="D1233">
        <v>4660</v>
      </c>
      <c r="E1233">
        <v>3</v>
      </c>
      <c r="F1233" t="s">
        <v>258</v>
      </c>
      <c r="G1233">
        <v>1</v>
      </c>
      <c r="H1233" t="s">
        <v>28</v>
      </c>
      <c r="I1233">
        <v>6120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4104</v>
      </c>
      <c r="E1234">
        <v>1</v>
      </c>
      <c r="F1234" t="s">
        <v>58</v>
      </c>
      <c r="G1234">
        <v>1</v>
      </c>
      <c r="H1234" t="s">
        <v>26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34500</v>
      </c>
      <c r="L1234" s="43">
        <f>IFERROR(SUMIFS(Tabela10[Exp Gain only 2*+],Tabela10[Drop],DropAnalityka[[#This Row],[Drop]],Tabela10[Grade],DropAnalityka[[#This Row],[Grade]])*DropAnalityka[[#This Row],[Quality/Quantity]],0)</f>
        <v>118004</v>
      </c>
    </row>
    <row r="1235" spans="1:12">
      <c r="A1235" t="s">
        <v>172</v>
      </c>
      <c r="B1235" t="s">
        <v>9</v>
      </c>
      <c r="C1235">
        <v>10</v>
      </c>
      <c r="D1235">
        <v>4042</v>
      </c>
      <c r="E1235">
        <v>1</v>
      </c>
      <c r="F1235" t="s">
        <v>258</v>
      </c>
      <c r="G1235">
        <v>1</v>
      </c>
      <c r="H1235" t="s">
        <v>27</v>
      </c>
      <c r="I1235">
        <v>6615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:12">
      <c r="A1236" t="s">
        <v>172</v>
      </c>
      <c r="B1236" t="s">
        <v>9</v>
      </c>
      <c r="C1236">
        <v>10</v>
      </c>
      <c r="D1236">
        <v>3926</v>
      </c>
      <c r="E1236">
        <v>2</v>
      </c>
      <c r="F1236" t="s">
        <v>258</v>
      </c>
      <c r="G1236">
        <v>1</v>
      </c>
      <c r="H1236" t="s">
        <v>28</v>
      </c>
      <c r="I1236">
        <v>6502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3945</v>
      </c>
      <c r="E1237">
        <v>2</v>
      </c>
      <c r="F1237" t="s">
        <v>34</v>
      </c>
      <c r="G1237">
        <v>4</v>
      </c>
      <c r="H1237" t="s">
        <v>17</v>
      </c>
      <c r="I1237">
        <v>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3200</v>
      </c>
    </row>
    <row r="1238" spans="1:12">
      <c r="A1238" t="s">
        <v>172</v>
      </c>
      <c r="B1238" t="s">
        <v>9</v>
      </c>
      <c r="C1238">
        <v>10</v>
      </c>
      <c r="D1238">
        <v>4195</v>
      </c>
      <c r="E1238">
        <v>3</v>
      </c>
      <c r="F1238" t="s">
        <v>205</v>
      </c>
      <c r="G1238">
        <v>3</v>
      </c>
      <c r="H1238" t="s">
        <v>26</v>
      </c>
      <c r="I1238">
        <v>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2587.5</v>
      </c>
      <c r="L1238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9" spans="1:12">
      <c r="A1239" t="s">
        <v>172</v>
      </c>
      <c r="B1239" t="s">
        <v>9</v>
      </c>
      <c r="C1239">
        <v>10</v>
      </c>
      <c r="D1239">
        <v>4313</v>
      </c>
      <c r="E1239">
        <v>3</v>
      </c>
      <c r="F1239" t="s">
        <v>291</v>
      </c>
      <c r="G1239">
        <v>1</v>
      </c>
      <c r="H1239" t="s">
        <v>27</v>
      </c>
      <c r="I1239">
        <v>4961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172</v>
      </c>
      <c r="B1240" t="s">
        <v>9</v>
      </c>
      <c r="C1240">
        <v>10</v>
      </c>
      <c r="D1240">
        <v>3617</v>
      </c>
      <c r="E1240">
        <v>1</v>
      </c>
      <c r="F1240" t="s">
        <v>258</v>
      </c>
      <c r="G1240">
        <v>1</v>
      </c>
      <c r="H1240" t="s">
        <v>28</v>
      </c>
      <c r="I1240">
        <v>13770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7</v>
      </c>
      <c r="D1241">
        <v>3713</v>
      </c>
      <c r="E1241">
        <v>1</v>
      </c>
      <c r="F1241" t="s">
        <v>258</v>
      </c>
      <c r="G1241">
        <v>1</v>
      </c>
      <c r="H1241" t="s">
        <v>27</v>
      </c>
      <c r="I1241">
        <v>7350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:12">
      <c r="A1242" t="s">
        <v>178</v>
      </c>
      <c r="B1242" t="s">
        <v>9</v>
      </c>
      <c r="C1242">
        <v>7</v>
      </c>
      <c r="D1242">
        <v>3997</v>
      </c>
      <c r="E1242">
        <v>1</v>
      </c>
      <c r="F1242" t="s">
        <v>258</v>
      </c>
      <c r="G1242">
        <v>1</v>
      </c>
      <c r="H1242" t="s">
        <v>27</v>
      </c>
      <c r="I1242">
        <v>3445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7</v>
      </c>
      <c r="D1243">
        <v>3898</v>
      </c>
      <c r="E1243">
        <v>0</v>
      </c>
      <c r="F1243" t="s">
        <v>258</v>
      </c>
      <c r="G1243">
        <v>1</v>
      </c>
      <c r="H1243" t="s">
        <v>27</v>
      </c>
      <c r="I1243">
        <v>3491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:12">
      <c r="A1244" t="s">
        <v>178</v>
      </c>
      <c r="B1244" t="s">
        <v>9</v>
      </c>
      <c r="C1244">
        <v>8</v>
      </c>
      <c r="D1244">
        <v>3967</v>
      </c>
      <c r="E1244">
        <v>1</v>
      </c>
      <c r="F1244" t="s">
        <v>34</v>
      </c>
      <c r="G1244">
        <v>4</v>
      </c>
      <c r="H1244" t="s">
        <v>17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3200</v>
      </c>
    </row>
    <row r="1245" spans="1:12">
      <c r="A1245" t="s">
        <v>178</v>
      </c>
      <c r="B1245" t="s">
        <v>9</v>
      </c>
      <c r="C1245">
        <v>8</v>
      </c>
      <c r="D1245">
        <v>3757</v>
      </c>
      <c r="E1245">
        <v>0</v>
      </c>
      <c r="F1245" t="s">
        <v>258</v>
      </c>
      <c r="G1245">
        <v>1</v>
      </c>
      <c r="H1245" t="s">
        <v>27</v>
      </c>
      <c r="I1245">
        <v>2940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3610</v>
      </c>
      <c r="E1246">
        <v>2</v>
      </c>
      <c r="F1246" t="s">
        <v>34</v>
      </c>
      <c r="G1246">
        <v>5</v>
      </c>
      <c r="H1246" t="s">
        <v>17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4000</v>
      </c>
    </row>
    <row r="1247" spans="1:12">
      <c r="A1247" t="s">
        <v>178</v>
      </c>
      <c r="B1247" t="s">
        <v>9</v>
      </c>
      <c r="C1247">
        <v>8</v>
      </c>
      <c r="D1247">
        <v>4254</v>
      </c>
      <c r="E1247">
        <v>0</v>
      </c>
      <c r="F1247" t="s">
        <v>58</v>
      </c>
      <c r="G1247">
        <v>1</v>
      </c>
      <c r="H1247" t="s">
        <v>12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11500</v>
      </c>
      <c r="L1247" s="43">
        <f>IFERROR(SUMIFS(Tabela10[Exp Gain only 2*+],Tabela10[Drop],DropAnalityka[[#This Row],[Drop]],Tabela10[Grade],DropAnalityka[[#This Row],[Grade]])*DropAnalityka[[#This Row],[Quality/Quantity]],0)</f>
        <v>35822</v>
      </c>
    </row>
    <row r="1248" spans="1:12">
      <c r="A1248" t="s">
        <v>178</v>
      </c>
      <c r="B1248" t="s">
        <v>9</v>
      </c>
      <c r="C1248">
        <v>8</v>
      </c>
      <c r="D1248">
        <v>3927</v>
      </c>
      <c r="E1248">
        <v>1</v>
      </c>
      <c r="F1248" t="s">
        <v>318</v>
      </c>
      <c r="G1248">
        <v>1</v>
      </c>
      <c r="H1248" t="s">
        <v>28</v>
      </c>
      <c r="I1248">
        <v>16150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3878</v>
      </c>
      <c r="E1249">
        <v>0</v>
      </c>
      <c r="F1249" t="s">
        <v>258</v>
      </c>
      <c r="G1249">
        <v>1</v>
      </c>
      <c r="H1249" t="s">
        <v>28</v>
      </c>
      <c r="I1249">
        <v>7225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:12">
      <c r="A1250" t="s">
        <v>178</v>
      </c>
      <c r="B1250" t="s">
        <v>9</v>
      </c>
      <c r="C1250">
        <v>8</v>
      </c>
      <c r="D1250">
        <v>3941</v>
      </c>
      <c r="E1250">
        <v>0</v>
      </c>
      <c r="F1250" t="s">
        <v>34</v>
      </c>
      <c r="G1250">
        <v>5</v>
      </c>
      <c r="H1250" t="s">
        <v>17</v>
      </c>
      <c r="I1250">
        <v>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4000</v>
      </c>
    </row>
    <row r="1251" spans="1:12">
      <c r="A1251" t="s">
        <v>178</v>
      </c>
      <c r="B1251" t="s">
        <v>9</v>
      </c>
      <c r="C1251">
        <v>8</v>
      </c>
      <c r="D1251">
        <v>4409</v>
      </c>
      <c r="E1251">
        <v>0</v>
      </c>
      <c r="F1251" t="s">
        <v>258</v>
      </c>
      <c r="G1251">
        <v>1</v>
      </c>
      <c r="H1251" t="s">
        <v>27</v>
      </c>
      <c r="I1251">
        <v>4364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4062</v>
      </c>
      <c r="E1252">
        <v>4</v>
      </c>
      <c r="F1252" t="s">
        <v>34</v>
      </c>
      <c r="G1252">
        <v>5</v>
      </c>
      <c r="H1252" t="s">
        <v>17</v>
      </c>
      <c r="I1252">
        <v>0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4000</v>
      </c>
    </row>
    <row r="1253" spans="1:12">
      <c r="A1253" t="s">
        <v>178</v>
      </c>
      <c r="B1253" t="s">
        <v>9</v>
      </c>
      <c r="C1253">
        <v>8</v>
      </c>
      <c r="D1253">
        <v>3764</v>
      </c>
      <c r="E1253">
        <v>0</v>
      </c>
      <c r="F1253" t="s">
        <v>258</v>
      </c>
      <c r="G1253">
        <v>1</v>
      </c>
      <c r="H1253" t="s">
        <v>28</v>
      </c>
      <c r="I1253">
        <v>12920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:12">
      <c r="A1254" t="s">
        <v>178</v>
      </c>
      <c r="B1254" t="s">
        <v>9</v>
      </c>
      <c r="C1254">
        <v>8</v>
      </c>
      <c r="D1254">
        <v>3972</v>
      </c>
      <c r="E1254">
        <v>3</v>
      </c>
      <c r="F1254" t="s">
        <v>258</v>
      </c>
      <c r="G1254">
        <v>1</v>
      </c>
      <c r="H1254" t="s">
        <v>28</v>
      </c>
      <c r="I1254">
        <v>12920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178</v>
      </c>
      <c r="B1255" t="s">
        <v>9</v>
      </c>
      <c r="C1255">
        <v>8</v>
      </c>
      <c r="D1255">
        <v>3793</v>
      </c>
      <c r="E1255">
        <v>1</v>
      </c>
      <c r="F1255" t="s">
        <v>258</v>
      </c>
      <c r="G1255">
        <v>1</v>
      </c>
      <c r="H1255" t="s">
        <v>27</v>
      </c>
      <c r="I1255">
        <v>6615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178</v>
      </c>
      <c r="B1256" t="s">
        <v>9</v>
      </c>
      <c r="C1256">
        <v>8</v>
      </c>
      <c r="D1256">
        <v>3869</v>
      </c>
      <c r="E1256">
        <v>0</v>
      </c>
      <c r="F1256" t="s">
        <v>34</v>
      </c>
      <c r="G1256">
        <v>4</v>
      </c>
      <c r="H1256" t="s">
        <v>17</v>
      </c>
      <c r="I1256">
        <v>0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3200</v>
      </c>
    </row>
    <row r="1257" spans="1:12">
      <c r="A1257" t="s">
        <v>178</v>
      </c>
      <c r="B1257" t="s">
        <v>9</v>
      </c>
      <c r="C1257">
        <v>8</v>
      </c>
      <c r="D1257">
        <v>3629</v>
      </c>
      <c r="E1257">
        <v>0</v>
      </c>
      <c r="F1257" t="s">
        <v>291</v>
      </c>
      <c r="G1257">
        <v>1</v>
      </c>
      <c r="H1257" t="s">
        <v>27</v>
      </c>
      <c r="I1257">
        <v>4134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4330</v>
      </c>
      <c r="E1258">
        <v>2</v>
      </c>
      <c r="F1258" t="s">
        <v>258</v>
      </c>
      <c r="G1258">
        <v>1</v>
      </c>
      <c r="H1258" t="s">
        <v>28</v>
      </c>
      <c r="I1258">
        <v>8500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3405</v>
      </c>
      <c r="E1259">
        <v>2</v>
      </c>
      <c r="F1259" t="s">
        <v>258</v>
      </c>
      <c r="G1259">
        <v>1</v>
      </c>
      <c r="H1259" t="s">
        <v>27</v>
      </c>
      <c r="I1259">
        <v>4134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4212</v>
      </c>
      <c r="E1260">
        <v>0</v>
      </c>
      <c r="F1260" t="s">
        <v>318</v>
      </c>
      <c r="G1260">
        <v>1</v>
      </c>
      <c r="H1260" t="s">
        <v>27</v>
      </c>
      <c r="I1260">
        <v>12154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172</v>
      </c>
      <c r="B1261" t="s">
        <v>9</v>
      </c>
      <c r="C1261">
        <v>10</v>
      </c>
      <c r="D1261">
        <v>3954</v>
      </c>
      <c r="E1261">
        <v>1</v>
      </c>
      <c r="F1261" t="s">
        <v>258</v>
      </c>
      <c r="G1261">
        <v>1</v>
      </c>
      <c r="H1261" t="s">
        <v>28</v>
      </c>
      <c r="I1261">
        <v>8524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172</v>
      </c>
      <c r="B1262" t="s">
        <v>9</v>
      </c>
      <c r="C1262">
        <v>10</v>
      </c>
      <c r="D1262">
        <v>4287</v>
      </c>
      <c r="E1262">
        <v>0</v>
      </c>
      <c r="F1262" t="s">
        <v>291</v>
      </c>
      <c r="G1262">
        <v>1</v>
      </c>
      <c r="H1262" t="s">
        <v>27</v>
      </c>
      <c r="I1262">
        <v>5512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:12">
      <c r="A1263" t="s">
        <v>172</v>
      </c>
      <c r="B1263" t="s">
        <v>9</v>
      </c>
      <c r="C1263">
        <v>10</v>
      </c>
      <c r="D1263">
        <v>4017</v>
      </c>
      <c r="E1263">
        <v>0</v>
      </c>
      <c r="F1263" t="s">
        <v>291</v>
      </c>
      <c r="G1263">
        <v>1</v>
      </c>
      <c r="H1263" t="s">
        <v>28</v>
      </c>
      <c r="I1263">
        <v>8160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3963</v>
      </c>
      <c r="E1264">
        <v>4</v>
      </c>
      <c r="F1264" t="s">
        <v>258</v>
      </c>
      <c r="G1264">
        <v>1</v>
      </c>
      <c r="H1264" t="s">
        <v>28</v>
      </c>
      <c r="I1264">
        <v>6375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178</v>
      </c>
      <c r="B1265" t="s">
        <v>9</v>
      </c>
      <c r="C1265">
        <v>8</v>
      </c>
      <c r="D1265">
        <v>3833</v>
      </c>
      <c r="E1265">
        <v>0</v>
      </c>
      <c r="F1265" t="s">
        <v>34</v>
      </c>
      <c r="G1265">
        <v>4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3200</v>
      </c>
    </row>
    <row r="1266" spans="1:12">
      <c r="A1266" t="s">
        <v>178</v>
      </c>
      <c r="B1266" t="s">
        <v>9</v>
      </c>
      <c r="C1266">
        <v>8</v>
      </c>
      <c r="D1266">
        <v>3798</v>
      </c>
      <c r="E1266">
        <v>0</v>
      </c>
      <c r="F1266" t="s">
        <v>258</v>
      </c>
      <c r="G1266">
        <v>1</v>
      </c>
      <c r="H1266" t="s">
        <v>27</v>
      </c>
      <c r="I1266">
        <v>4134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178</v>
      </c>
      <c r="B1267" t="s">
        <v>9</v>
      </c>
      <c r="C1267">
        <v>8</v>
      </c>
      <c r="D1267">
        <v>3703</v>
      </c>
      <c r="E1267">
        <v>0</v>
      </c>
      <c r="F1267" t="s">
        <v>258</v>
      </c>
      <c r="G1267">
        <v>1</v>
      </c>
      <c r="H1267" t="s">
        <v>27</v>
      </c>
      <c r="I1267">
        <v>3123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4015</v>
      </c>
      <c r="E1268">
        <v>3</v>
      </c>
      <c r="F1268" t="s">
        <v>34</v>
      </c>
      <c r="G1268">
        <v>5</v>
      </c>
      <c r="H1268" t="s">
        <v>17</v>
      </c>
      <c r="I1268">
        <v>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4000</v>
      </c>
    </row>
    <row r="1269" spans="1:12">
      <c r="A1269" t="s">
        <v>172</v>
      </c>
      <c r="B1269" t="s">
        <v>9</v>
      </c>
      <c r="C1269">
        <v>10</v>
      </c>
      <c r="D1269">
        <v>3736</v>
      </c>
      <c r="E1269">
        <v>0</v>
      </c>
      <c r="F1269" t="s">
        <v>258</v>
      </c>
      <c r="G1269">
        <v>1</v>
      </c>
      <c r="H1269" t="s">
        <v>28</v>
      </c>
      <c r="I1269">
        <v>5100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3629</v>
      </c>
      <c r="E1270">
        <v>0</v>
      </c>
      <c r="F1270" t="s">
        <v>291</v>
      </c>
      <c r="G1270">
        <v>1</v>
      </c>
      <c r="H1270" t="s">
        <v>28</v>
      </c>
      <c r="I1270">
        <v>8160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4069</v>
      </c>
      <c r="E1271">
        <v>0</v>
      </c>
      <c r="F1271" t="s">
        <v>258</v>
      </c>
      <c r="G1271">
        <v>1</v>
      </c>
      <c r="H1271" t="s">
        <v>28</v>
      </c>
      <c r="I1271">
        <v>8500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:12">
      <c r="A1272" t="s">
        <v>172</v>
      </c>
      <c r="B1272" t="s">
        <v>9</v>
      </c>
      <c r="C1272">
        <v>10</v>
      </c>
      <c r="D1272">
        <v>3900</v>
      </c>
      <c r="E1272">
        <v>1</v>
      </c>
      <c r="F1272" t="s">
        <v>258</v>
      </c>
      <c r="G1272">
        <v>1</v>
      </c>
      <c r="H1272" t="s">
        <v>27</v>
      </c>
      <c r="I1272">
        <v>2411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:12">
      <c r="A1273" t="s">
        <v>172</v>
      </c>
      <c r="B1273" t="s">
        <v>9</v>
      </c>
      <c r="C1273">
        <v>10</v>
      </c>
      <c r="D1273">
        <v>3744</v>
      </c>
      <c r="E1273">
        <v>0</v>
      </c>
      <c r="F1273" t="s">
        <v>258</v>
      </c>
      <c r="G1273">
        <v>1</v>
      </c>
      <c r="H1273" t="s">
        <v>27</v>
      </c>
      <c r="I1273">
        <v>3215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4648</v>
      </c>
      <c r="E1274">
        <v>1</v>
      </c>
      <c r="F1274" t="s">
        <v>58</v>
      </c>
      <c r="G1274">
        <v>1</v>
      </c>
      <c r="H1274" t="s">
        <v>12</v>
      </c>
      <c r="I1274">
        <v>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11500</v>
      </c>
      <c r="L1274" s="43">
        <f>IFERROR(SUMIFS(Tabela10[Exp Gain only 2*+],Tabela10[Drop],DropAnalityka[[#This Row],[Drop]],Tabela10[Grade],DropAnalityka[[#This Row],[Grade]])*DropAnalityka[[#This Row],[Quality/Quantity]],0)</f>
        <v>35822</v>
      </c>
    </row>
    <row r="1275" spans="1:12">
      <c r="A1275" t="s">
        <v>172</v>
      </c>
      <c r="B1275" t="s">
        <v>9</v>
      </c>
      <c r="C1275">
        <v>10</v>
      </c>
      <c r="D1275">
        <v>4164</v>
      </c>
      <c r="E1275">
        <v>0</v>
      </c>
      <c r="F1275" t="s">
        <v>34</v>
      </c>
      <c r="G1275">
        <v>5</v>
      </c>
      <c r="H1275" t="s">
        <v>17</v>
      </c>
      <c r="I1275">
        <v>0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4000</v>
      </c>
    </row>
    <row r="1276" spans="1:12">
      <c r="A1276" t="s">
        <v>172</v>
      </c>
      <c r="B1276" t="s">
        <v>9</v>
      </c>
      <c r="C1276">
        <v>10</v>
      </c>
      <c r="D1276">
        <v>3725</v>
      </c>
      <c r="E1276">
        <v>0</v>
      </c>
      <c r="F1276" t="s">
        <v>258</v>
      </c>
      <c r="G1276">
        <v>1</v>
      </c>
      <c r="H1276" t="s">
        <v>29</v>
      </c>
      <c r="I1276">
        <v>8876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4116</v>
      </c>
      <c r="E1277">
        <v>1</v>
      </c>
      <c r="F1277" t="s">
        <v>258</v>
      </c>
      <c r="G1277">
        <v>1</v>
      </c>
      <c r="H1277" t="s">
        <v>27</v>
      </c>
      <c r="I1277">
        <v>2940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3438</v>
      </c>
      <c r="E1278">
        <v>0</v>
      </c>
      <c r="F1278" t="s">
        <v>258</v>
      </c>
      <c r="G1278">
        <v>1</v>
      </c>
      <c r="H1278" t="s">
        <v>28</v>
      </c>
      <c r="I1278">
        <v>3825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4013</v>
      </c>
      <c r="E1279">
        <v>0</v>
      </c>
      <c r="F1279" t="s">
        <v>258</v>
      </c>
      <c r="G1279">
        <v>1</v>
      </c>
      <c r="H1279" t="s">
        <v>29</v>
      </c>
      <c r="I1279">
        <v>8321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4287</v>
      </c>
      <c r="E1280">
        <v>1</v>
      </c>
      <c r="F1280" t="s">
        <v>318</v>
      </c>
      <c r="G1280">
        <v>1</v>
      </c>
      <c r="H1280" t="s">
        <v>27</v>
      </c>
      <c r="I1280">
        <v>5971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3423</v>
      </c>
      <c r="E1281">
        <v>0</v>
      </c>
      <c r="F1281" t="s">
        <v>258</v>
      </c>
      <c r="G1281">
        <v>1</v>
      </c>
      <c r="H1281" t="s">
        <v>28</v>
      </c>
      <c r="I1281">
        <v>6502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3869</v>
      </c>
      <c r="E1282">
        <v>0</v>
      </c>
      <c r="F1282" t="s">
        <v>258</v>
      </c>
      <c r="G1282">
        <v>1</v>
      </c>
      <c r="H1282" t="s">
        <v>28</v>
      </c>
      <c r="I1282">
        <v>10880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4067</v>
      </c>
      <c r="E1283">
        <v>1</v>
      </c>
      <c r="F1283" t="s">
        <v>291</v>
      </c>
      <c r="G1283">
        <v>1</v>
      </c>
      <c r="H1283" t="s">
        <v>28</v>
      </c>
      <c r="I1283">
        <v>7267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:13">
      <c r="A1284" t="s">
        <v>172</v>
      </c>
      <c r="B1284" t="s">
        <v>9</v>
      </c>
      <c r="C1284">
        <v>10</v>
      </c>
      <c r="D1284">
        <v>4317</v>
      </c>
      <c r="E1284">
        <v>1</v>
      </c>
      <c r="F1284" t="s">
        <v>258</v>
      </c>
      <c r="G1284">
        <v>1</v>
      </c>
      <c r="H1284" t="s">
        <v>27</v>
      </c>
      <c r="I1284">
        <v>2067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3502</v>
      </c>
      <c r="E1285">
        <v>1</v>
      </c>
      <c r="F1285" t="s">
        <v>258</v>
      </c>
      <c r="G1285">
        <v>1</v>
      </c>
      <c r="H1285" t="s">
        <v>27</v>
      </c>
      <c r="I1285">
        <v>2411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4182</v>
      </c>
      <c r="E1286">
        <v>0</v>
      </c>
      <c r="F1286" t="s">
        <v>34</v>
      </c>
      <c r="G1286">
        <v>4</v>
      </c>
      <c r="H1286" t="s">
        <v>17</v>
      </c>
      <c r="I1286">
        <v>0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3200</v>
      </c>
    </row>
    <row r="1287" spans="1:13">
      <c r="A1287" t="s">
        <v>172</v>
      </c>
      <c r="B1287" t="s">
        <v>9</v>
      </c>
      <c r="C1287">
        <v>10</v>
      </c>
      <c r="D1287">
        <v>3429</v>
      </c>
      <c r="E1287">
        <v>0</v>
      </c>
      <c r="F1287" t="s">
        <v>258</v>
      </c>
      <c r="G1287">
        <v>1</v>
      </c>
      <c r="H1287" t="s">
        <v>28</v>
      </c>
      <c r="I1287">
        <v>10880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:13">
      <c r="A1288" t="s">
        <v>172</v>
      </c>
      <c r="B1288" t="s">
        <v>9</v>
      </c>
      <c r="C1288">
        <v>10</v>
      </c>
      <c r="D1288">
        <v>4311</v>
      </c>
      <c r="E1288">
        <v>1</v>
      </c>
      <c r="F1288" t="s">
        <v>258</v>
      </c>
      <c r="G1288">
        <v>1</v>
      </c>
      <c r="H1288" t="s">
        <v>28</v>
      </c>
      <c r="I1288">
        <v>8075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3883</v>
      </c>
      <c r="E1289">
        <v>0</v>
      </c>
      <c r="F1289" t="s">
        <v>291</v>
      </c>
      <c r="G1289">
        <v>1</v>
      </c>
      <c r="H1289" t="s">
        <v>28</v>
      </c>
      <c r="I1289">
        <v>6885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961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  <c r="M1290" t="s">
        <v>204</v>
      </c>
    </row>
    <row r="1291" spans="1:13">
      <c r="A1291" t="s">
        <v>172</v>
      </c>
      <c r="B1291" t="s">
        <v>9</v>
      </c>
      <c r="C1291">
        <v>10</v>
      </c>
      <c r="D1291">
        <v>4397</v>
      </c>
      <c r="E1291">
        <v>3</v>
      </c>
      <c r="F1291" t="s">
        <v>258</v>
      </c>
      <c r="G1291">
        <v>1</v>
      </c>
      <c r="H1291" t="s">
        <v>27</v>
      </c>
      <c r="I1291">
        <v>3514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3818</v>
      </c>
      <c r="E1292">
        <v>2</v>
      </c>
      <c r="F1292" t="s">
        <v>258</v>
      </c>
      <c r="G1292">
        <v>1</v>
      </c>
      <c r="H1292" t="s">
        <v>27</v>
      </c>
      <c r="I1292">
        <v>3675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4006</v>
      </c>
      <c r="E1293">
        <v>2</v>
      </c>
      <c r="F1293" t="s">
        <v>258</v>
      </c>
      <c r="G1293">
        <v>1</v>
      </c>
      <c r="H1293" t="s">
        <v>29</v>
      </c>
      <c r="I1293">
        <v>12680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4249</v>
      </c>
      <c r="E1294">
        <v>2</v>
      </c>
      <c r="F1294" t="s">
        <v>258</v>
      </c>
      <c r="G1294">
        <v>1</v>
      </c>
      <c r="H1294" t="s">
        <v>28</v>
      </c>
      <c r="I1294">
        <v>6120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3495</v>
      </c>
      <c r="E1295">
        <v>1</v>
      </c>
      <c r="F1295" t="s">
        <v>258</v>
      </c>
      <c r="G1295">
        <v>1</v>
      </c>
      <c r="H1295" t="s">
        <v>28</v>
      </c>
      <c r="I1295">
        <v>3825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4286</v>
      </c>
      <c r="E1296">
        <v>1</v>
      </c>
      <c r="F1296" t="s">
        <v>258</v>
      </c>
      <c r="G1296">
        <v>1</v>
      </c>
      <c r="H1296" t="s">
        <v>28</v>
      </c>
      <c r="I1296">
        <v>4335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:12">
      <c r="A1297" t="s">
        <v>172</v>
      </c>
      <c r="B1297" t="s">
        <v>9</v>
      </c>
      <c r="C1297">
        <v>10</v>
      </c>
      <c r="D1297">
        <v>4231</v>
      </c>
      <c r="E1297">
        <v>0</v>
      </c>
      <c r="F1297" t="s">
        <v>258</v>
      </c>
      <c r="G1297">
        <v>1</v>
      </c>
      <c r="H1297" t="s">
        <v>27</v>
      </c>
      <c r="I1297">
        <v>6892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4019</v>
      </c>
      <c r="E1298">
        <v>0</v>
      </c>
      <c r="F1298" t="s">
        <v>258</v>
      </c>
      <c r="G1298">
        <v>1</v>
      </c>
      <c r="H1298" t="s">
        <v>27</v>
      </c>
      <c r="I1298">
        <v>2756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4094</v>
      </c>
      <c r="E1299">
        <v>3</v>
      </c>
      <c r="F1299" t="s">
        <v>34</v>
      </c>
      <c r="G1299">
        <v>5</v>
      </c>
      <c r="H1299" t="s">
        <v>17</v>
      </c>
      <c r="I1299">
        <v>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4000</v>
      </c>
    </row>
    <row r="1300" spans="1:12">
      <c r="A1300" t="s">
        <v>172</v>
      </c>
      <c r="B1300" t="s">
        <v>9</v>
      </c>
      <c r="C1300">
        <v>10</v>
      </c>
      <c r="D1300">
        <v>4074</v>
      </c>
      <c r="E1300">
        <v>1</v>
      </c>
      <c r="F1300" t="s">
        <v>291</v>
      </c>
      <c r="G1300">
        <v>1</v>
      </c>
      <c r="H1300" t="s">
        <v>27</v>
      </c>
      <c r="I1300">
        <v>2940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4218</v>
      </c>
      <c r="E1301">
        <v>2</v>
      </c>
      <c r="F1301" t="s">
        <v>258</v>
      </c>
      <c r="G1301">
        <v>1</v>
      </c>
      <c r="H1301" t="s">
        <v>29</v>
      </c>
      <c r="I1301">
        <v>22824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3925</v>
      </c>
      <c r="E1302">
        <v>1</v>
      </c>
      <c r="F1302" t="s">
        <v>291</v>
      </c>
      <c r="G1302">
        <v>1</v>
      </c>
      <c r="H1302" t="s">
        <v>28</v>
      </c>
      <c r="I1302">
        <v>15300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:12">
      <c r="A1303" t="s">
        <v>172</v>
      </c>
      <c r="B1303" t="s">
        <v>9</v>
      </c>
      <c r="C1303">
        <v>10</v>
      </c>
      <c r="D1303">
        <v>4086</v>
      </c>
      <c r="E1303">
        <v>4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4019</v>
      </c>
      <c r="E1304">
        <v>1</v>
      </c>
      <c r="F1304" t="s">
        <v>258</v>
      </c>
      <c r="G1304">
        <v>1</v>
      </c>
      <c r="H1304" t="s">
        <v>29</v>
      </c>
      <c r="I1304">
        <v>8510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4281</v>
      </c>
      <c r="E1305">
        <v>2</v>
      </c>
      <c r="F1305" t="s">
        <v>34</v>
      </c>
      <c r="G1305">
        <v>5</v>
      </c>
      <c r="H1305" t="s">
        <v>17</v>
      </c>
      <c r="I1305">
        <v>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4000</v>
      </c>
    </row>
    <row r="1306" spans="1:12">
      <c r="A1306" t="s">
        <v>172</v>
      </c>
      <c r="B1306" t="s">
        <v>9</v>
      </c>
      <c r="C1306">
        <v>10</v>
      </c>
      <c r="D1306">
        <v>3978</v>
      </c>
      <c r="E1306">
        <v>1</v>
      </c>
      <c r="F1306" t="s">
        <v>258</v>
      </c>
      <c r="G1306">
        <v>1</v>
      </c>
      <c r="H1306" t="s">
        <v>28</v>
      </c>
      <c r="I1306">
        <v>5652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4032</v>
      </c>
      <c r="E1307">
        <v>2</v>
      </c>
      <c r="F1307" t="s">
        <v>258</v>
      </c>
      <c r="G1307">
        <v>1</v>
      </c>
      <c r="H1307" t="s">
        <v>28</v>
      </c>
      <c r="I1307">
        <v>6120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3957</v>
      </c>
      <c r="E1308">
        <v>0</v>
      </c>
      <c r="F1308" t="s">
        <v>291</v>
      </c>
      <c r="G1308">
        <v>1</v>
      </c>
      <c r="H1308" t="s">
        <v>28</v>
      </c>
      <c r="I1308">
        <v>6120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3863</v>
      </c>
      <c r="E1309">
        <v>1</v>
      </c>
      <c r="F1309" t="s">
        <v>318</v>
      </c>
      <c r="G1309">
        <v>1</v>
      </c>
      <c r="H1309" t="s">
        <v>28</v>
      </c>
      <c r="I1309">
        <v>10200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3842</v>
      </c>
      <c r="E1310">
        <v>0</v>
      </c>
      <c r="F1310" t="s">
        <v>258</v>
      </c>
      <c r="G1310">
        <v>1</v>
      </c>
      <c r="H1310" t="s">
        <v>28</v>
      </c>
      <c r="I1310">
        <v>5737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4207</v>
      </c>
      <c r="E1311">
        <v>3</v>
      </c>
      <c r="F1311" t="s">
        <v>291</v>
      </c>
      <c r="G1311">
        <v>1</v>
      </c>
      <c r="H1311" t="s">
        <v>29</v>
      </c>
      <c r="I1311">
        <v>27103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3865</v>
      </c>
      <c r="E1312">
        <v>0</v>
      </c>
      <c r="F1312" t="s">
        <v>291</v>
      </c>
      <c r="G1312">
        <v>1</v>
      </c>
      <c r="H1312" t="s">
        <v>27</v>
      </c>
      <c r="I1312">
        <v>4295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:12">
      <c r="A1313" t="s">
        <v>172</v>
      </c>
      <c r="B1313" t="s">
        <v>9</v>
      </c>
      <c r="C1313">
        <v>10</v>
      </c>
      <c r="D1313">
        <v>4382</v>
      </c>
      <c r="E1313">
        <v>2</v>
      </c>
      <c r="F1313" t="s">
        <v>258</v>
      </c>
      <c r="G1313">
        <v>1</v>
      </c>
      <c r="H1313" t="s">
        <v>28</v>
      </c>
      <c r="I1313">
        <v>3825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4218</v>
      </c>
      <c r="E1314">
        <v>2</v>
      </c>
      <c r="F1314" t="s">
        <v>291</v>
      </c>
      <c r="G1314">
        <v>1</v>
      </c>
      <c r="H1314" t="s">
        <v>28</v>
      </c>
      <c r="I1314">
        <v>3507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3737</v>
      </c>
      <c r="E1315">
        <v>1</v>
      </c>
      <c r="F1315" t="s">
        <v>34</v>
      </c>
      <c r="G1315">
        <v>5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4000</v>
      </c>
    </row>
    <row r="1316" spans="1:12">
      <c r="A1316" t="s">
        <v>172</v>
      </c>
      <c r="B1316" t="s">
        <v>9</v>
      </c>
      <c r="C1316">
        <v>10</v>
      </c>
      <c r="D1316">
        <v>3979</v>
      </c>
      <c r="E1316">
        <v>2</v>
      </c>
      <c r="F1316" t="s">
        <v>291</v>
      </c>
      <c r="G1316">
        <v>1</v>
      </c>
      <c r="H1316" t="s">
        <v>27</v>
      </c>
      <c r="I1316">
        <v>4547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3965</v>
      </c>
      <c r="E1317">
        <v>0</v>
      </c>
      <c r="F1317" t="s">
        <v>258</v>
      </c>
      <c r="G1317">
        <v>1</v>
      </c>
      <c r="H1317" t="s">
        <v>27</v>
      </c>
      <c r="I1317">
        <v>2573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:12">
      <c r="A1318" t="s">
        <v>172</v>
      </c>
      <c r="B1318" t="s">
        <v>9</v>
      </c>
      <c r="C1318">
        <v>10</v>
      </c>
      <c r="D1318">
        <v>3790</v>
      </c>
      <c r="E1318">
        <v>1</v>
      </c>
      <c r="F1318" t="s">
        <v>34</v>
      </c>
      <c r="G1318">
        <v>4</v>
      </c>
      <c r="H1318" t="s">
        <v>17</v>
      </c>
      <c r="I1318">
        <v>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3200</v>
      </c>
    </row>
    <row r="1319" spans="1:12">
      <c r="A1319" t="s">
        <v>172</v>
      </c>
      <c r="B1319" t="s">
        <v>9</v>
      </c>
      <c r="C1319">
        <v>10</v>
      </c>
      <c r="D1319">
        <v>4142</v>
      </c>
      <c r="E1319">
        <v>1</v>
      </c>
      <c r="F1319" t="s">
        <v>258</v>
      </c>
      <c r="G1319">
        <v>1</v>
      </c>
      <c r="H1319" t="s">
        <v>27</v>
      </c>
      <c r="I1319">
        <v>2411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172</v>
      </c>
      <c r="B1320" t="s">
        <v>9</v>
      </c>
      <c r="C1320">
        <v>10</v>
      </c>
      <c r="D1320">
        <v>3754</v>
      </c>
      <c r="E1320">
        <v>0</v>
      </c>
      <c r="F1320" t="s">
        <v>58</v>
      </c>
      <c r="G1320">
        <v>1</v>
      </c>
      <c r="H1320" t="s">
        <v>12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11500</v>
      </c>
      <c r="L1320" s="43">
        <f>IFERROR(SUMIFS(Tabela10[Exp Gain only 2*+],Tabela10[Drop],DropAnalityka[[#This Row],[Drop]],Tabela10[Grade],DropAnalityka[[#This Row],[Grade]])*DropAnalityka[[#This Row],[Quality/Quantity]],0)</f>
        <v>35822</v>
      </c>
    </row>
    <row r="1321" spans="1:12">
      <c r="A1321" t="s">
        <v>172</v>
      </c>
      <c r="B1321" t="s">
        <v>9</v>
      </c>
      <c r="C1321">
        <v>10</v>
      </c>
      <c r="D1321">
        <v>4313</v>
      </c>
      <c r="E1321">
        <v>1</v>
      </c>
      <c r="F1321" t="s">
        <v>258</v>
      </c>
      <c r="G1321">
        <v>1</v>
      </c>
      <c r="H1321" t="s">
        <v>28</v>
      </c>
      <c r="I1321">
        <v>11560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:12">
      <c r="A1322" t="s">
        <v>178</v>
      </c>
      <c r="B1322" t="s">
        <v>9</v>
      </c>
      <c r="C1322">
        <v>10</v>
      </c>
      <c r="D1322">
        <v>4211</v>
      </c>
      <c r="E1322">
        <v>0</v>
      </c>
      <c r="F1322" t="s">
        <v>318</v>
      </c>
      <c r="G1322">
        <v>1</v>
      </c>
      <c r="H1322" t="s">
        <v>28</v>
      </c>
      <c r="I1322">
        <v>10880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4311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4245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4436</v>
      </c>
      <c r="E1325">
        <v>1</v>
      </c>
      <c r="F1325" t="s">
        <v>258</v>
      </c>
      <c r="G1325">
        <v>1</v>
      </c>
      <c r="H1325" t="s">
        <v>28</v>
      </c>
      <c r="I1325">
        <v>8925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4301</v>
      </c>
      <c r="E1326">
        <v>0</v>
      </c>
      <c r="F1326" t="s">
        <v>34</v>
      </c>
      <c r="G1326">
        <v>5</v>
      </c>
      <c r="H1326" t="s">
        <v>17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4000</v>
      </c>
    </row>
    <row r="1327" spans="1:12">
      <c r="A1327" t="s">
        <v>178</v>
      </c>
      <c r="B1327" t="s">
        <v>9</v>
      </c>
      <c r="C1327">
        <v>10</v>
      </c>
      <c r="D1327">
        <v>4084</v>
      </c>
      <c r="E1327">
        <v>0</v>
      </c>
      <c r="F1327" t="s">
        <v>34</v>
      </c>
      <c r="G1327">
        <v>4</v>
      </c>
      <c r="H1327" t="s">
        <v>17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3200</v>
      </c>
    </row>
    <row r="1328" spans="1:12">
      <c r="A1328" t="s">
        <v>178</v>
      </c>
      <c r="B1328" t="s">
        <v>9</v>
      </c>
      <c r="C1328">
        <v>10</v>
      </c>
      <c r="D1328">
        <v>4184</v>
      </c>
      <c r="E1328">
        <v>1</v>
      </c>
      <c r="F1328" t="s">
        <v>291</v>
      </c>
      <c r="G1328">
        <v>1</v>
      </c>
      <c r="H1328" t="s">
        <v>28</v>
      </c>
      <c r="I1328">
        <v>13580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4874</v>
      </c>
      <c r="E1329">
        <v>1</v>
      </c>
      <c r="F1329" t="s">
        <v>58</v>
      </c>
      <c r="G1329">
        <v>1</v>
      </c>
      <c r="H1329" t="s">
        <v>12</v>
      </c>
      <c r="I1329">
        <v>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11500</v>
      </c>
      <c r="L1329" s="43">
        <f>IFERROR(SUMIFS(Tabela10[Exp Gain only 2*+],Tabela10[Drop],DropAnalityka[[#This Row],[Drop]],Tabela10[Grade],DropAnalityka[[#This Row],[Grade]])*DropAnalityka[[#This Row],[Quality/Quantity]],0)</f>
        <v>35822</v>
      </c>
    </row>
    <row r="1330" spans="1:12">
      <c r="A1330" t="s">
        <v>178</v>
      </c>
      <c r="B1330" t="s">
        <v>9</v>
      </c>
      <c r="C1330">
        <v>10</v>
      </c>
      <c r="D1330">
        <v>4504</v>
      </c>
      <c r="E1330">
        <v>3</v>
      </c>
      <c r="F1330" t="s">
        <v>205</v>
      </c>
      <c r="G1330">
        <v>3</v>
      </c>
      <c r="H1330" t="s">
        <v>26</v>
      </c>
      <c r="I1330">
        <v>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2587.5</v>
      </c>
      <c r="L133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31" spans="1:12">
      <c r="A1331" t="s">
        <v>178</v>
      </c>
      <c r="B1331" t="s">
        <v>9</v>
      </c>
      <c r="C1331">
        <v>10</v>
      </c>
      <c r="D1331">
        <v>4678</v>
      </c>
      <c r="E1331">
        <v>0</v>
      </c>
      <c r="F1331" t="s">
        <v>258</v>
      </c>
      <c r="G1331">
        <v>1</v>
      </c>
      <c r="H1331" t="s">
        <v>27</v>
      </c>
      <c r="I1331">
        <v>2940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:12">
      <c r="A1332" t="s">
        <v>178</v>
      </c>
      <c r="B1332" t="s">
        <v>9</v>
      </c>
      <c r="C1332">
        <v>10</v>
      </c>
      <c r="D1332">
        <v>4384</v>
      </c>
      <c r="E1332">
        <v>3</v>
      </c>
      <c r="F1332" t="s">
        <v>258</v>
      </c>
      <c r="G1332">
        <v>1</v>
      </c>
      <c r="H1332" t="s">
        <v>28</v>
      </c>
      <c r="I1332">
        <v>6120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4926</v>
      </c>
      <c r="E1333">
        <v>2</v>
      </c>
      <c r="F1333" t="s">
        <v>258</v>
      </c>
      <c r="G1333">
        <v>1</v>
      </c>
      <c r="H1333" t="s">
        <v>29</v>
      </c>
      <c r="I1333">
        <v>22190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10</v>
      </c>
      <c r="D1334">
        <v>4473</v>
      </c>
      <c r="E1334">
        <v>4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10</v>
      </c>
      <c r="D1335">
        <v>4685</v>
      </c>
      <c r="E1335">
        <v>0</v>
      </c>
      <c r="F1335" t="s">
        <v>258</v>
      </c>
      <c r="G1335">
        <v>1</v>
      </c>
      <c r="H1335" t="s">
        <v>27</v>
      </c>
      <c r="I1335">
        <v>3904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:12">
      <c r="A1336" t="s">
        <v>178</v>
      </c>
      <c r="B1336" t="s">
        <v>9</v>
      </c>
      <c r="C1336">
        <v>10</v>
      </c>
      <c r="D1336">
        <v>5046</v>
      </c>
      <c r="E1336">
        <v>1</v>
      </c>
      <c r="F1336" t="s">
        <v>258</v>
      </c>
      <c r="G1336">
        <v>1</v>
      </c>
      <c r="H1336" t="s">
        <v>28</v>
      </c>
      <c r="I1336">
        <v>10710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40" zoomScale="85" zoomScaleNormal="85" workbookViewId="0">
      <selection activeCell="B19" sqref="B1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5" t="s">
        <v>249</v>
      </c>
      <c r="G5" s="206"/>
      <c r="H5" s="207"/>
      <c r="I5" s="208" t="s">
        <v>250</v>
      </c>
      <c r="J5" s="209"/>
      <c r="K5" s="210"/>
      <c r="L5" s="211" t="s">
        <v>18</v>
      </c>
      <c r="M5" s="212"/>
      <c r="N5" s="213"/>
      <c r="O5" s="214" t="s">
        <v>252</v>
      </c>
      <c r="P5" s="215"/>
      <c r="Q5" s="216"/>
      <c r="R5" s="202" t="s">
        <v>251</v>
      </c>
      <c r="S5" s="203"/>
      <c r="T5" s="204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00" t="s">
        <v>281</v>
      </c>
      <c r="H27" s="200"/>
      <c r="I27" s="200"/>
      <c r="J27" s="200"/>
      <c r="K27" s="200"/>
      <c r="L27" s="200"/>
      <c r="M27" s="200"/>
      <c r="N27" s="200"/>
      <c r="O27" s="200"/>
      <c r="P27" s="200"/>
      <c r="Q27" s="200"/>
      <c r="R27" s="200"/>
      <c r="S27" s="200"/>
      <c r="T27" s="201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7" t="s">
        <v>280</v>
      </c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9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5" t="s">
        <v>249</v>
      </c>
      <c r="G37" s="206"/>
      <c r="H37" s="207"/>
      <c r="I37" s="208" t="s">
        <v>250</v>
      </c>
      <c r="J37" s="209"/>
      <c r="K37" s="210"/>
      <c r="L37" s="211" t="s">
        <v>18</v>
      </c>
      <c r="M37" s="212"/>
      <c r="N37" s="213"/>
      <c r="O37" s="214" t="s">
        <v>252</v>
      </c>
      <c r="P37" s="215"/>
      <c r="Q37" s="216"/>
      <c r="R37" s="202" t="s">
        <v>251</v>
      </c>
      <c r="S37" s="203"/>
      <c r="T37" s="204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200" t="s">
        <v>281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01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7" t="s">
        <v>280</v>
      </c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9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5" t="s">
        <v>249</v>
      </c>
      <c r="G69" s="206"/>
      <c r="H69" s="207"/>
      <c r="I69" s="208" t="s">
        <v>250</v>
      </c>
      <c r="J69" s="209"/>
      <c r="K69" s="210"/>
      <c r="L69" s="211" t="s">
        <v>18</v>
      </c>
      <c r="M69" s="212"/>
      <c r="N69" s="213"/>
      <c r="O69" s="214" t="s">
        <v>252</v>
      </c>
      <c r="P69" s="215"/>
      <c r="Q69" s="216"/>
      <c r="R69" s="202" t="s">
        <v>251</v>
      </c>
      <c r="S69" s="203"/>
      <c r="T69" s="204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200" t="s">
        <v>281</v>
      </c>
      <c r="H91" s="200"/>
      <c r="I91" s="200"/>
      <c r="J91" s="200"/>
      <c r="K91" s="200"/>
      <c r="L91" s="200"/>
      <c r="M91" s="200"/>
      <c r="N91" s="200"/>
      <c r="O91" s="200"/>
      <c r="P91" s="200"/>
      <c r="Q91" s="200"/>
      <c r="R91" s="200"/>
      <c r="S91" s="200"/>
      <c r="T91" s="201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7" t="s">
        <v>280</v>
      </c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9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topLeftCell="A7" zoomScale="85" zoomScaleNormal="85" workbookViewId="0">
      <selection activeCell="A32" sqref="A32:C3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319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60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1792.2906403940885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1623.8007518796992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246</v>
      </c>
      <c r="U5"/>
      <c r="V5"/>
    </row>
    <row r="6" spans="1:22" s="10" customFormat="1">
      <c r="A6" s="10" t="s">
        <v>60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1518.4476744186045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1768.050724637681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60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172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1680.7551020408164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223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286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1097.8548644338116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916.54666666666662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1284.4719101123596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1324.3554216867471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1284.4719101123596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285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1192.5469168900804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59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922.49280575539558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36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605.169642857143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262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596.11627906976742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778.62068965517244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36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635.48026315789468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36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962.46666666666681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36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172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29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29" s="50">
        <f>LocFeatures[[#This Row],[Drop worth gain]]/(LocFeatures[[#This Row],[E. Cost]]-LocFeatures[[#This Row],[Energy gain]])</f>
        <v>1825.9568181818183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495.59037878787882</v>
      </c>
      <c r="Q29" s="47">
        <f>COUNTIFS(DropAnalityka[Location],LocFeatures[[#This Row],[Location]],DropAnalityka[LVL],LocFeatures[[#This Row],[LVL]],DropAnalityka[Stage],LocFeatures[[#This Row],[Stage]])</f>
        <v>187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30" spans="1:22">
      <c r="A30" t="s">
        <v>178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8830.3333333333339</v>
      </c>
      <c r="J30" s="19">
        <f>AVERAGEIFS(DropAnalityka[Energy Drop],DropAnalityka[Location],LocFeatures[[#This Row],[Location]],DropAnalityka[LVL],LocFeatures[[#This Row],[LVL]],DropAnalityka[Stage],LocFeatures[[#This Row],[Stage]])</f>
        <v>0.33333333333333331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1151.7826086956522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86.956521739130423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3176.9304347826082</v>
      </c>
    </row>
    <row r="31" spans="1:22">
      <c r="A31" t="s">
        <v>178</v>
      </c>
      <c r="B31" t="s">
        <v>9</v>
      </c>
      <c r="C31">
        <v>8</v>
      </c>
      <c r="D31">
        <v>8</v>
      </c>
      <c r="E31" s="10"/>
      <c r="F31" s="10"/>
      <c r="G31" s="10"/>
      <c r="H31" s="10"/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31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31" s="10">
        <f>5*LocFeatures[[#This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31" s="50">
        <f>LocFeatures[[#This Row],[Drop worth gain]]/(LocFeatures[[#This Row],[E. Cost]]-LocFeatures[[#This Row],[Energy gain]])</f>
        <v>1691.6328125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448.60937500000006</v>
      </c>
      <c r="Q31" s="47">
        <f>COUNTIFS(DropAnalityka[Location],LocFeatures[[#This Row],[Location]],DropAnalityka[LVL],LocFeatures[[#This Row],[LVL]],DropAnalityka[Stage],LocFeatures[[#This Row],[Stage]])</f>
        <v>18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</row>
    <row r="32" spans="1:22">
      <c r="A32" t="s">
        <v>178</v>
      </c>
      <c r="B32" t="s">
        <v>9</v>
      </c>
      <c r="C32">
        <v>10</v>
      </c>
      <c r="D32">
        <v>8</v>
      </c>
      <c r="E32" s="10"/>
      <c r="F32" s="10"/>
      <c r="G32" s="10"/>
      <c r="H32" s="10"/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13645.233333333332</v>
      </c>
      <c r="J32" s="19">
        <f>AVERAGEIFS(DropAnalityka[Energy Drop],DropAnalityka[Location],LocFeatures[[#This Row],[Location]],DropAnalityka[LVL],LocFeatures[[#This Row],[LVL]],DropAnalityka[Stage],LocFeatures[[#This Row],[Stage]])</f>
        <v>1.0666666666666667</v>
      </c>
      <c r="K32" s="10">
        <f>5*LocFeatures[[#This Row],[XP Gain per member]]</f>
        <v>0</v>
      </c>
      <c r="L32">
        <f>3*LocFeatures[[#This Row],[XP Gain per member]]</f>
        <v>0</v>
      </c>
      <c r="M32" s="50">
        <f>AVERAGEIFS(DropAnalityka[Exp Gain],DropAnalityka[Location],LocFeatures[[#This Row],[Location]],DropAnalityka[LVL],LocFeatures[[#This Row],[LVL]],DropAnalityka[Stage],LocFeatures[[#This Row],[Stage]])</f>
        <v>3740.5766666666668</v>
      </c>
      <c r="N32" s="50">
        <f>LocFeatures[[#This Row],[Drop worth gain]]/(LocFeatures[[#This Row],[E. Cost]]-LocFeatures[[#This Row],[Energy gain]])</f>
        <v>1968.0624999999998</v>
      </c>
      <c r="O32" s="50">
        <f>LocFeatures[[#This Row],[XP Train Gain]]/(LocFeatures[[#This Row],[E. Cost]]-LocFeatures[[#This Row],[Energy gain]])</f>
        <v>0</v>
      </c>
      <c r="P32" s="50">
        <f>(LocFeatures[[#This Row],[XP Train Gain]]+LocFeatures[[#This Row],[XP drop]])/(LocFeatures[[#This Row],[E. Cost]]-LocFeatures[[#This Row],[Energy gain]])</f>
        <v>539.50625000000002</v>
      </c>
      <c r="Q32" s="47">
        <f>COUNTIFS(DropAnalityka[Location],LocFeatures[[#This Row],[Location]],DropAnalityka[LVL],LocFeatures[[#This Row],[LVL]],DropAnalityka[Stage],LocFeatures[[#This Row],[Stage]])</f>
        <v>15</v>
      </c>
      <c r="R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4792.3980769230766</v>
      </c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7" t="s">
        <v>273</v>
      </c>
      <c r="S2" s="217"/>
      <c r="T2" s="217"/>
      <c r="U2" s="217"/>
      <c r="V2" s="217"/>
      <c r="W2" s="21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3619.2617449664431</v>
      </c>
      <c r="C39" s="1">
        <v>4489.8758389261748</v>
      </c>
      <c r="D39" s="1">
        <v>1.0134228187919463</v>
      </c>
      <c r="E39" s="43">
        <v>280</v>
      </c>
    </row>
    <row r="40" spans="1:5">
      <c r="A40" s="13" t="s">
        <v>9</v>
      </c>
      <c r="B40" s="1">
        <v>3619.2617449664431</v>
      </c>
      <c r="C40" s="1">
        <v>4489.8758389261748</v>
      </c>
      <c r="D40" s="1">
        <v>1.0134228187919463</v>
      </c>
      <c r="E40" s="43">
        <v>280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4010.1813186813188</v>
      </c>
      <c r="C47" s="1">
        <v>5495.7527472527472</v>
      </c>
      <c r="D47" s="1">
        <v>0.9505494505494505</v>
      </c>
      <c r="E47" s="43">
        <v>182</v>
      </c>
    </row>
    <row r="48" spans="1:5">
      <c r="A48" s="12" t="s">
        <v>66</v>
      </c>
      <c r="B48" s="1">
        <v>2187.3163064833007</v>
      </c>
      <c r="C48" s="1">
        <v>1982.0929772502473</v>
      </c>
      <c r="D48" s="1">
        <v>0.91159135559921411</v>
      </c>
      <c r="E48" s="43">
        <v>558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8" t="s">
        <v>315</v>
      </c>
      <c r="X19" s="218"/>
      <c r="Y19" s="218"/>
      <c r="Z19" s="218"/>
      <c r="AA19" s="218"/>
      <c r="AB19" s="218"/>
      <c r="AC19" s="218"/>
      <c r="AD19" s="218"/>
      <c r="AE19" s="218"/>
      <c r="AF19" s="21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855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856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857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2015-12-05T11:41:21Z</dcterms:modified>
</cp:coreProperties>
</file>