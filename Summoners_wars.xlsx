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 activeTab="7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</sheets>
  <calcPr calcId="125725"/>
  <pivotCaches>
    <pivotCache cacheId="0" r:id="rId9"/>
  </pivotCaches>
</workbook>
</file>

<file path=xl/calcChain.xml><?xml version="1.0" encoding="utf-8"?>
<calcChain xmlns="http://schemas.openxmlformats.org/spreadsheetml/2006/main">
  <c r="L18" i="4"/>
  <c r="K16" i="8"/>
  <c r="J16"/>
  <c r="I16"/>
  <c r="H16"/>
  <c r="G16"/>
  <c r="F16"/>
  <c r="E16"/>
  <c r="D16"/>
  <c r="K12"/>
  <c r="J12"/>
  <c r="I12"/>
  <c r="H12"/>
  <c r="G12"/>
  <c r="E12"/>
  <c r="F12"/>
  <c r="D12"/>
  <c r="M17" i="1"/>
  <c r="O3" i="4"/>
  <c r="O5"/>
  <c r="O6"/>
  <c r="O7"/>
  <c r="O14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I14" i="4" s="1"/>
  <c r="N14" s="1"/>
  <c r="J179" i="3"/>
  <c r="J180"/>
  <c r="J181"/>
  <c r="J182"/>
  <c r="J183"/>
  <c r="J184"/>
  <c r="J185"/>
  <c r="J186"/>
  <c r="J187"/>
  <c r="J188"/>
  <c r="J189"/>
  <c r="I16" i="4" s="1"/>
  <c r="J190" i="3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J11" i="4"/>
  <c r="O11" s="1"/>
  <c r="J10"/>
  <c r="P10" s="1"/>
  <c r="O10" l="1"/>
  <c r="I17"/>
  <c r="N10"/>
  <c r="M2"/>
  <c r="M11"/>
  <c r="P11" s="1"/>
  <c r="M14"/>
  <c r="M16"/>
  <c r="J12"/>
  <c r="O12" s="1"/>
  <c r="M17" l="1"/>
  <c r="M18"/>
  <c r="M20"/>
  <c r="M12"/>
  <c r="M13"/>
  <c r="M8"/>
  <c r="M21"/>
  <c r="M4"/>
  <c r="M15"/>
  <c r="M9"/>
  <c r="M18" i="1"/>
  <c r="I743" i="3"/>
  <c r="I742"/>
  <c r="I741"/>
  <c r="I740"/>
  <c r="I739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3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11" i="4" s="1"/>
  <c r="N11" s="1"/>
  <c r="I59" i="3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I2" i="4" s="1"/>
  <c r="K21"/>
  <c r="L21"/>
  <c r="J21"/>
  <c r="O21" s="1"/>
  <c r="M16" i="1"/>
  <c r="O16" l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M4" s="1"/>
  <c r="O40" i="2"/>
  <c r="O39"/>
  <c r="S33"/>
  <c r="P38"/>
  <c r="P33"/>
  <c r="O38"/>
  <c r="M38"/>
  <c r="O33"/>
  <c r="O37"/>
  <c r="M37"/>
  <c r="O36"/>
  <c r="M36"/>
  <c r="O35"/>
  <c r="O34"/>
  <c r="O32"/>
  <c r="O31"/>
  <c r="M5" i="1" l="1"/>
  <c r="M7" s="1"/>
  <c r="O4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M6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15" s="1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N27" l="1"/>
  <c r="N15" i="4"/>
  <c r="O6" i="1"/>
  <c r="M9"/>
  <c r="M8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M10" i="1"/>
  <c r="O10" s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s="1"/>
  <c r="M11" i="1" l="1"/>
  <c r="O12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P14" s="1"/>
  <c r="J13"/>
  <c r="L13"/>
  <c r="O17" i="2"/>
  <c r="C45"/>
  <c r="B45"/>
  <c r="C44"/>
  <c r="B44"/>
  <c r="J8" i="4"/>
  <c r="J9"/>
  <c r="O9" s="1"/>
  <c r="O13" i="2"/>
  <c r="O12"/>
  <c r="O16"/>
  <c r="N13" i="4" l="1"/>
  <c r="O13"/>
  <c r="N8"/>
  <c r="O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P8" s="1"/>
  <c r="A3" i="2"/>
  <c r="B3" s="1"/>
  <c r="L2" i="4"/>
  <c r="J2"/>
  <c r="L4"/>
  <c r="J4"/>
  <c r="N2" l="1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<sst xmlns="http://schemas.openxmlformats.org/spreadsheetml/2006/main" count="1765" uniqueCount="243">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</sst>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</cellXfs>
  <cellStyles count="1">
    <cellStyle name="Normalny" xfId="0" builtinId="0"/>
  </cellStyles>
  <dxfs count="10"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>
      <customFilters>
        <customFilter operator="notEqual" val=" "/>
      </customFilters>
    </filterColumn>
    <filterColumn colId="12"/>
    <filterColumn colId="13">
      <filters blank="1">
        <filter val="1021,053336"/>
        <filter val="1130,666667"/>
        <filter val="1284,47191"/>
        <filter val="1303,01426"/>
        <filter val="1408,47619"/>
        <filter val="1518,447674"/>
        <filter val="1786,861936"/>
        <filter val="1826,43617"/>
        <filter val="2227"/>
        <filter val="2917,701149"/>
        <filter val="506,9545455"/>
        <filter val="663"/>
        <filter val="929,4146341"/>
        <filter val="962,4666667"/>
        <filter val="988"/>
      </filters>
    </filterColumn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7">
      <calculatedColumnFormula>4*LocFeatures[[#This Row],[XP Gain per member]]</calculatedColumnFormula>
    </tableColumn>
    <tableColumn id="11" name="XP Train Gain"/>
    <tableColumn id="22" name="XP drop" dataDxfId="4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0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L743" totalsRowShown="0">
  <autoFilter ref="A1:L743">
    <filterColumn colId="9"/>
  </autoFilter>
  <tableColumns count="12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2" name="Fod Worth" dataDxfId="2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3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workbookViewId="0">
      <selection activeCell="H30" sqref="H25:H3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5</v>
      </c>
      <c r="N3">
        <v>0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M3-Tabela6[[#This Row],[Done]]</f>
        <v>4</v>
      </c>
      <c r="N4">
        <v>1</v>
      </c>
      <c r="O4" s="1">
        <f>M4*$B$5</f>
        <v>759000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4*M3-Tabela6[[#This Row],[Done]]</f>
        <v>20</v>
      </c>
      <c r="N5">
        <v>0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M5-Tabela6[[#This Row],[Done]]</f>
        <v>20</v>
      </c>
      <c r="N6">
        <v>0</v>
      </c>
      <c r="O6" s="1">
        <f>M6*$B$4</f>
        <v>1643640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3*(M5+M4)-Tabela6[[#This Row],[Done]]</f>
        <v>72</v>
      </c>
      <c r="N7">
        <v>0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M7+M6-Tabela6[[#This Row],[Done]]</f>
        <v>92</v>
      </c>
      <c r="N8">
        <v>0</v>
      </c>
      <c r="O8" s="1">
        <f>M8*$B$3</f>
        <v>3295624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2*(M7+M6)-Tabela6[[#This Row],[Done]]</f>
        <v>184</v>
      </c>
      <c r="N9">
        <v>0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(M9+M8)-Tabela6[[#This Row],[Done]]</f>
        <v>276</v>
      </c>
      <c r="N10">
        <v>0</v>
      </c>
      <c r="O10" s="52">
        <f>Tabela6[[#This Row],[Missing]]*$B$2</f>
        <v>4173120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2*M10-Tabela6[[#This Row],[Done]]</f>
        <v>552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9871384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1</v>
      </c>
      <c r="N18">
        <v>3</v>
      </c>
      <c r="O18" s="1">
        <f>M18*$B$4</f>
        <v>82182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0</v>
      </c>
      <c r="N19">
        <v>12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</v>
      </c>
      <c r="N20">
        <v>0</v>
      </c>
      <c r="O20" s="1">
        <f>M20*$B$3</f>
        <v>35822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3</v>
      </c>
      <c r="N22">
        <v>0</v>
      </c>
      <c r="O22" s="52">
        <f>Tabela66[[#This Row],[Missing]]*$B$2</f>
        <v>45360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163364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topLeftCell="E1" workbookViewId="0">
      <selection activeCell="Q18" sqref="Q18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 hidden="1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 hidden="1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 hidden="1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 hidden="1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3597.7858563102154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1888.686567164179</v>
      </c>
      <c r="N8" s="57">
        <f>LocFeatures[[#This Row],[Drop worth gain]]/(LocFeatures[[#This Row],[E. Cost]]-LocFeatures[[#This Row],[Energy gain]])</f>
        <v>1148.6906649665148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1654.7131810825392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0.32189432780222726</v>
      </c>
      <c r="R9" s="10">
        <f>LocFeatures[[#This Row],[XP/Energy]]/P8-1</f>
        <v>-0.19515314623701707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 hidden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 hidden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4213.7449664429532</v>
      </c>
      <c r="J12" s="56">
        <f>AVERAGEIFS(DropAnalityka[Energy Drop],DropAnalityka[Location],'Location features'!$A12,DropAnalityka[LVL],'Location features'!$B12,DropAnalityka[Stage],'Location features'!$C12)</f>
        <v>0.93288590604026844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1634.5369127516778</v>
      </c>
      <c r="N12" s="57">
        <f>LocFeatures[[#This Row],[Drop worth gain]]/(LocFeatures[[#This Row],[E. Cost]]-LocFeatures[[#This Row],[Energy gain]])</f>
        <v>1036.052805280528</v>
      </c>
      <c r="O12" s="57">
        <f>LocFeatures[[#This Row],[XP Train Gain]]/(LocFeatures[[#This Row],[E. Cost]]-LocFeatures[[#This Row],[Energy gain]])</f>
        <v>1327.7227722772277</v>
      </c>
      <c r="P12" s="57">
        <f>(LocFeatures[[#This Row],[XP Train Gain]]+LocFeatures[[#This Row],[XP drop]])/(LocFeatures[[#This Row],[E. Cost]]-LocFeatures[[#This Row],[Energy gain]])</f>
        <v>1729.6138613861385</v>
      </c>
      <c r="Q12" s="10">
        <f>LocFeatures[[#This Row],[DropWorthGain/Energy]]/N9-1</f>
        <v>-0.31768949122516177</v>
      </c>
      <c r="R12" s="10">
        <f>LocFeatures[[#This Row],[XP/Energy]]/P9-1</f>
        <v>0.29871297675107744</v>
      </c>
      <c r="S12">
        <v>178</v>
      </c>
      <c r="T12" s="10" t="s">
        <v>157</v>
      </c>
      <c r="V12" s="10" t="s">
        <v>214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1786.8619358396911</v>
      </c>
      <c r="O18" s="57">
        <f>LocFeatures[[#This Row],[XP Train Gain]]/(LocFeatures[[#This Row],[E. Cost]]-LocFeatures[[#This Row],[Energy gain]])</f>
        <v>1225.5652173913043</v>
      </c>
      <c r="P18" s="57">
        <f>(LocFeatures[[#This Row],[XP Train Gain]]+LocFeatures[[#This Row],[XP drop]])/(LocFeatures[[#This Row],[E. Cost]]-LocFeatures[[#This Row],[Energy gain]])</f>
        <v>2547.0289548671753</v>
      </c>
      <c r="S18">
        <v>122</v>
      </c>
      <c r="T18" s="10" t="s">
        <v>154</v>
      </c>
    </row>
    <row r="19" spans="1:20" hidden="1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 hidden="1">
      <c r="A22" s="10"/>
      <c r="B22" s="10"/>
      <c r="C22" s="10"/>
      <c r="D22" s="10"/>
      <c r="E22" s="10"/>
      <c r="F22" s="10"/>
      <c r="G22" s="10"/>
      <c r="H22" s="10"/>
      <c r="I22" s="53"/>
      <c r="J22" s="10"/>
      <c r="K22" s="10"/>
      <c r="L22" s="10"/>
      <c r="M22" s="53"/>
      <c r="N22" s="10"/>
      <c r="O22" s="55" t="e">
        <f>LocFeatures[[#This Row],[XP Train Gain]]/(LocFeatures[[#This Row],[E. Cost]]-LocFeatures[[#This Row],[Energy gain]])</f>
        <v>#DIV/0!</v>
      </c>
      <c r="P22" s="10"/>
      <c r="Q22" s="10"/>
      <c r="R22" s="10"/>
    </row>
    <row r="23" spans="1:20" hidden="1">
      <c r="A23" s="10"/>
      <c r="B23" s="10"/>
      <c r="C23" s="10"/>
      <c r="D23" s="10"/>
      <c r="E23" s="10"/>
      <c r="F23" s="10"/>
      <c r="G23" s="10"/>
      <c r="H23" s="10"/>
      <c r="I23" s="53"/>
      <c r="J23" s="10"/>
      <c r="K23" s="10"/>
      <c r="L23" s="10"/>
      <c r="M23" s="53"/>
      <c r="N23" s="10"/>
      <c r="O23" s="55" t="e">
        <f>LocFeatures[[#This Row],[XP Train Gain]]/(LocFeatures[[#This Row],[E. Cost]]-LocFeatures[[#This Row],[Energy gain]])</f>
        <v>#DIV/0!</v>
      </c>
      <c r="P23" s="10"/>
      <c r="Q23" s="10"/>
      <c r="R23" s="10"/>
    </row>
    <row r="24" spans="1:20" hidden="1">
      <c r="I24" s="49"/>
      <c r="J24" s="10"/>
      <c r="K24" s="10"/>
      <c r="L24" s="10"/>
      <c r="M24" s="53"/>
      <c r="N24" s="10"/>
      <c r="O24" s="55" t="e">
        <f>LocFeatures[[#This Row],[XP Train Gain]]/(LocFeatures[[#This Row],[E. Cost]]-LocFeatures[[#This Row],[Energy gain]])</f>
        <v>#DIV/0!</v>
      </c>
      <c r="P24" s="10"/>
      <c r="Q24" s="10"/>
      <c r="R24" s="10"/>
    </row>
    <row r="25" spans="1:20" hidden="1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 hidden="1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 hidden="1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 hidden="1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 hidden="1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 hidden="1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 hidden="1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 hidden="1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 hidden="1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 hidden="1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 hidden="1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 hidden="1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 hidden="1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 hidden="1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 hidden="1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 hidden="1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 hidden="1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 hidden="1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 hidden="1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 hidden="1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 hidden="1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 hidden="1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 hidden="1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 hidden="1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 hidden="1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 hidden="1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 hidden="1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 hidden="1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 hidden="1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 hidden="1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 hidden="1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 hidden="1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 hidden="1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 hidden="1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 hidden="1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 hidden="1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 hidden="1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 hidden="1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 hidden="1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 hidden="1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 hidden="1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 hidden="1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 hidden="1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 hidden="1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 hidden="1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 hidden="1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 hidden="1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 hidden="1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 hidden="1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 hidden="1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 hidden="1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 hidden="1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 hidden="1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 hidden="1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 hidden="1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 hidden="1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 hidden="1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 hidden="1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 hidden="1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 hidden="1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 hidden="1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 hidden="1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 hidden="1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 hidden="1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 hidden="1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 hidden="1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 hidden="1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 hidden="1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 hidden="1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 hidden="1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 hidden="1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 hidden="1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 hidden="1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 hidden="1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 hidden="1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 hidden="1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 hidden="1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 hidden="1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 hidden="1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 hidden="1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 hidden="1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 hidden="1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 hidden="1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 hidden="1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 hidden="1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 hidden="1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 hidden="1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 hidden="1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 hidden="1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 hidden="1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 hidden="1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L743"/>
  <sheetViews>
    <sheetView workbookViewId="0">
      <pane ySplit="1" topLeftCell="A511" activePane="bottomLeft" state="frozen"/>
      <selection pane="bottomLeft" activeCell="G518" sqref="G518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1.125" bestFit="1" customWidth="1"/>
    <col min="9" max="9" width="13" bestFit="1" customWidth="1"/>
    <col min="10" max="11" width="13" customWidth="1"/>
  </cols>
  <sheetData>
    <row r="1" spans="1:12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208</v>
      </c>
      <c r="I1" t="s">
        <v>207</v>
      </c>
      <c r="J1" t="s">
        <v>216</v>
      </c>
      <c r="K1" t="s">
        <v>212</v>
      </c>
      <c r="L1" t="s">
        <v>79</v>
      </c>
    </row>
    <row r="2" spans="1:12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2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2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2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2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2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2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2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2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2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2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2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2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2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2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1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1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1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1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1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1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1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1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1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1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1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1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1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1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1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1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1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1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1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1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1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1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1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1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1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1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1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1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1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1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1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1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1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1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1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1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1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1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1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1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1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1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1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1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1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1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1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1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1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1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1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1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1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1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1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1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1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1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1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1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1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1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1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1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1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1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1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1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1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1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1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1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1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1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1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1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1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1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1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1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1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1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1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1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1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1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1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1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1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1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1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1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1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1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1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1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1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1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1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1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1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1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1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1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1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1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1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1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1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1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1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1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1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1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1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1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1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1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1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1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1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1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1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1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1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1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1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1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1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1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1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1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1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1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1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1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1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1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1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1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1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1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1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1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1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1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1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1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1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1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1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1">
      <c r="A177" t="s">
        <v>8</v>
      </c>
      <c r="B177" t="s">
        <v>32</v>
      </c>
      <c r="C177">
        <v>3</v>
      </c>
      <c r="D177">
        <v>1206</v>
      </c>
      <c r="E177">
        <v>0</v>
      </c>
      <c r="J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1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1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1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1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1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1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1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1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1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1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1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1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1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1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1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1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1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1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1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1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1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1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1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1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1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1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1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1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1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1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1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1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1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1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1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1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1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1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1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1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1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1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1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1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1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1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1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1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1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1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1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1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1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1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1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1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1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1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1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1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1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1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1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1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1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1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1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1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1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1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1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1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1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1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1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1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1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1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1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2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2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2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2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2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2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2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2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2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2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2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2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8" s="16">
        <v>0.33078703703703705</v>
      </c>
    </row>
    <row r="269" spans="1:12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9" s="16">
        <v>0.33269675925925929</v>
      </c>
    </row>
    <row r="270" spans="1:12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2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2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2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2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74" s="16">
        <v>0.34259259259259256</v>
      </c>
    </row>
    <row r="275" spans="1:12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2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2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2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2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2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2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1" s="16">
        <v>0.35532407407407413</v>
      </c>
    </row>
    <row r="282" spans="1:12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2" s="16">
        <v>0.35555555555555557</v>
      </c>
    </row>
    <row r="283" spans="1:12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2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2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2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2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2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1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1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1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1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1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1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1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1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1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1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1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1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1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1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1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1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1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1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1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1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1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1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1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1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1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1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1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1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1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1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1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1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1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1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1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1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1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1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1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1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1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1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1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1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1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1">
      <c r="A334" t="s">
        <v>204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1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1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J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1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1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1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1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1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1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1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1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1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1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1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1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1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1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1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1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1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1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1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1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1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1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1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1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1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1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1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1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1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1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1">
      <c r="A367" t="s">
        <v>204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1">
      <c r="A368" t="s">
        <v>204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1">
      <c r="A369" t="s">
        <v>204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1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1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1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1">
      <c r="A373" t="s">
        <v>204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1">
      <c r="A374" t="s">
        <v>204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1">
      <c r="A375" t="s">
        <v>204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1">
      <c r="A376" t="s">
        <v>204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1">
      <c r="A377" t="s">
        <v>204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1">
      <c r="A378" t="s">
        <v>204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1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1">
      <c r="A380" t="s">
        <v>204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1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1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1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1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1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1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1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1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1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1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1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1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1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1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1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1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1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1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1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1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1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1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1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1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1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1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1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1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1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1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1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1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1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1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1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1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1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1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1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1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1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1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1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1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1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1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1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1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1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1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1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1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1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1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1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1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1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1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1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1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1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1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1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1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1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1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1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1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1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1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1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1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1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1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1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1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1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1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1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1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1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1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1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1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1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1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1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1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1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1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1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1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1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1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1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1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1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1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1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1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1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1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1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1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1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1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1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1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1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1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1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1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1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1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1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1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1">
      <c r="A497" t="s">
        <v>8</v>
      </c>
      <c r="B497" t="s">
        <v>34</v>
      </c>
      <c r="C497">
        <v>3</v>
      </c>
      <c r="D497">
        <v>1167</v>
      </c>
      <c r="E497">
        <v>0</v>
      </c>
      <c r="H497">
        <v>2067</v>
      </c>
      <c r="I497">
        <f>DropAnalityka[[#This Row],[Sell Drop]]+IF(DropAnalityka[[#This Row],[Drop]]="Scroll", 2000*DropAnalityka[[#This Row],[Quality/Quantity]],0)</f>
        <v>2067</v>
      </c>
      <c r="J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1">
      <c r="A498" t="s">
        <v>8</v>
      </c>
      <c r="B498" t="s">
        <v>34</v>
      </c>
      <c r="C498">
        <v>3</v>
      </c>
      <c r="D498">
        <v>1156</v>
      </c>
      <c r="E498">
        <v>2</v>
      </c>
      <c r="H498">
        <v>1352</v>
      </c>
      <c r="I498">
        <f>DropAnalityka[[#This Row],[Sell Drop]]+IF(DropAnalityka[[#This Row],[Drop]]="Scroll", 2000*DropAnalityka[[#This Row],[Quality/Quantity]],0)</f>
        <v>1352</v>
      </c>
      <c r="J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1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H499">
        <v>0</v>
      </c>
      <c r="I499">
        <f>DropAnalityka[[#This Row],[Sell Drop]]+IF(DropAnalityka[[#This Row],[Drop]]="Scroll", 2000*DropAnalityka[[#This Row],[Quality/Quantity]],0)</f>
        <v>0</v>
      </c>
      <c r="J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1">
      <c r="A500" t="s">
        <v>8</v>
      </c>
      <c r="B500" t="s">
        <v>34</v>
      </c>
      <c r="C500">
        <v>3</v>
      </c>
      <c r="D500">
        <v>1462</v>
      </c>
      <c r="E500">
        <v>0</v>
      </c>
      <c r="H500">
        <v>1159</v>
      </c>
      <c r="I500">
        <f>DropAnalityka[[#This Row],[Sell Drop]]+IF(DropAnalityka[[#This Row],[Drop]]="Scroll", 2000*DropAnalityka[[#This Row],[Quality/Quantity]],0)</f>
        <v>1159</v>
      </c>
      <c r="J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1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H501">
        <v>0</v>
      </c>
      <c r="I501">
        <f>DropAnalityka[[#This Row],[Sell Drop]]+IF(DropAnalityka[[#This Row],[Drop]]="Scroll", 2000*DropAnalityka[[#This Row],[Quality/Quantity]],0)</f>
        <v>0</v>
      </c>
      <c r="J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1">
      <c r="A502" t="s">
        <v>8</v>
      </c>
      <c r="B502" t="s">
        <v>34</v>
      </c>
      <c r="C502">
        <v>3</v>
      </c>
      <c r="D502">
        <v>1051</v>
      </c>
      <c r="E502">
        <v>0</v>
      </c>
      <c r="H502">
        <v>2411</v>
      </c>
      <c r="I502">
        <f>DropAnalityka[[#This Row],[Sell Drop]]+IF(DropAnalityka[[#This Row],[Drop]]="Scroll", 2000*DropAnalityka[[#This Row],[Quality/Quantity]],0)</f>
        <v>2411</v>
      </c>
      <c r="J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1">
      <c r="A503" t="s">
        <v>8</v>
      </c>
      <c r="B503" t="s">
        <v>34</v>
      </c>
      <c r="C503">
        <v>3</v>
      </c>
      <c r="D503">
        <v>1187</v>
      </c>
      <c r="E503">
        <v>2</v>
      </c>
      <c r="H503">
        <v>1159</v>
      </c>
      <c r="I503">
        <f>DropAnalityka[[#This Row],[Sell Drop]]+IF(DropAnalityka[[#This Row],[Drop]]="Scroll", 2000*DropAnalityka[[#This Row],[Quality/Quantity]],0)</f>
        <v>1159</v>
      </c>
      <c r="J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1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I504">
        <f>DropAnalityka[[#This Row],[Sell Drop]]+IF(DropAnalityka[[#This Row],[Drop]]="Scroll", 2000*DropAnalityka[[#This Row],[Quality/Quantity]],0)</f>
        <v>6000</v>
      </c>
      <c r="J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1">
      <c r="A505" t="s">
        <v>8</v>
      </c>
      <c r="B505" t="s">
        <v>34</v>
      </c>
      <c r="C505">
        <v>3</v>
      </c>
      <c r="D505">
        <v>1909</v>
      </c>
      <c r="E505">
        <v>3</v>
      </c>
      <c r="H505">
        <v>1159</v>
      </c>
      <c r="I505">
        <f>DropAnalityka[[#This Row],[Sell Drop]]+IF(DropAnalityka[[#This Row],[Drop]]="Scroll", 2000*DropAnalityka[[#This Row],[Quality/Quantity]],0)</f>
        <v>1159</v>
      </c>
      <c r="J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1">
      <c r="A506" t="s">
        <v>8</v>
      </c>
      <c r="B506" t="s">
        <v>34</v>
      </c>
      <c r="C506">
        <v>3</v>
      </c>
      <c r="D506">
        <v>829</v>
      </c>
      <c r="E506">
        <v>2</v>
      </c>
      <c r="H506">
        <v>1159</v>
      </c>
      <c r="I506">
        <f>DropAnalityka[[#This Row],[Sell Drop]]+IF(DropAnalityka[[#This Row],[Drop]]="Scroll", 2000*DropAnalityka[[#This Row],[Quality/Quantity]],0)</f>
        <v>1159</v>
      </c>
      <c r="J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1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H507">
        <v>0</v>
      </c>
      <c r="I507">
        <f>DropAnalityka[[#This Row],[Sell Drop]]+IF(DropAnalityka[[#This Row],[Drop]]="Scroll", 2000*DropAnalityka[[#This Row],[Quality/Quantity]],0)</f>
        <v>6000</v>
      </c>
      <c r="J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1">
      <c r="A508" t="s">
        <v>8</v>
      </c>
      <c r="B508" t="s">
        <v>34</v>
      </c>
      <c r="C508">
        <v>3</v>
      </c>
      <c r="D508">
        <v>1770</v>
      </c>
      <c r="E508">
        <v>0</v>
      </c>
      <c r="H508">
        <v>1159</v>
      </c>
      <c r="I508">
        <f>DropAnalityka[[#This Row],[Sell Drop]]+IF(DropAnalityka[[#This Row],[Drop]]="Scroll", 2000*DropAnalityka[[#This Row],[Quality/Quantity]],0)</f>
        <v>1159</v>
      </c>
      <c r="J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1">
      <c r="A509" t="s">
        <v>8</v>
      </c>
      <c r="B509" t="s">
        <v>34</v>
      </c>
      <c r="C509">
        <v>3</v>
      </c>
      <c r="D509">
        <v>1190</v>
      </c>
      <c r="E509">
        <v>0</v>
      </c>
      <c r="H509">
        <v>1739</v>
      </c>
      <c r="I509">
        <f>DropAnalityka[[#This Row],[Sell Drop]]+IF(DropAnalityka[[#This Row],[Drop]]="Scroll", 2000*DropAnalityka[[#This Row],[Quality/Quantity]],0)</f>
        <v>1739</v>
      </c>
      <c r="J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1">
      <c r="A510" t="s">
        <v>68</v>
      </c>
      <c r="B510" t="s">
        <v>9</v>
      </c>
      <c r="C510">
        <v>1</v>
      </c>
      <c r="D510">
        <v>849</v>
      </c>
      <c r="E510">
        <v>2</v>
      </c>
      <c r="H510">
        <v>823</v>
      </c>
      <c r="I510">
        <f>DropAnalityka[[#This Row],[Sell Drop]]+IF(DropAnalityka[[#This Row],[Drop]]="Scroll", 2000*DropAnalityka[[#This Row],[Quality/Quantity]],0)</f>
        <v>823</v>
      </c>
      <c r="J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1">
      <c r="A511" t="s">
        <v>68</v>
      </c>
      <c r="B511" t="s">
        <v>9</v>
      </c>
      <c r="C511">
        <v>1</v>
      </c>
      <c r="D511">
        <v>1244</v>
      </c>
      <c r="E511">
        <v>2</v>
      </c>
      <c r="H511">
        <v>1976</v>
      </c>
      <c r="I511">
        <f>DropAnalityka[[#This Row],[Sell Drop]]+IF(DropAnalityka[[#This Row],[Drop]]="Scroll", 2000*DropAnalityka[[#This Row],[Quality/Quantity]],0)</f>
        <v>1976</v>
      </c>
      <c r="J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1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H512">
        <v>0</v>
      </c>
      <c r="I512">
        <f>DropAnalityka[[#This Row],[Sell Drop]]+IF(DropAnalityka[[#This Row],[Drop]]="Scroll", 2000*DropAnalityka[[#This Row],[Quality/Quantity]],0)</f>
        <v>2000</v>
      </c>
      <c r="J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1">
      <c r="A513" t="s">
        <v>68</v>
      </c>
      <c r="B513" t="s">
        <v>9</v>
      </c>
      <c r="C513">
        <v>1</v>
      </c>
      <c r="D513">
        <v>1295</v>
      </c>
      <c r="E513">
        <v>0</v>
      </c>
      <c r="H513">
        <v>1976</v>
      </c>
      <c r="I513">
        <f>DropAnalityka[[#This Row],[Sell Drop]]+IF(DropAnalityka[[#This Row],[Drop]]="Scroll", 2000*DropAnalityka[[#This Row],[Quality/Quantity]],0)</f>
        <v>1976</v>
      </c>
      <c r="J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1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H514">
        <v>0</v>
      </c>
      <c r="I514">
        <f>DropAnalityka[[#This Row],[Sell Drop]]+IF(DropAnalityka[[#This Row],[Drop]]="Scroll", 2000*DropAnalityka[[#This Row],[Quality/Quantity]],0)</f>
        <v>2000</v>
      </c>
      <c r="J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1">
      <c r="A515" t="s">
        <v>68</v>
      </c>
      <c r="B515" t="s">
        <v>9</v>
      </c>
      <c r="C515">
        <v>1</v>
      </c>
      <c r="D515">
        <v>1238</v>
      </c>
      <c r="E515">
        <v>0</v>
      </c>
      <c r="H515">
        <v>892</v>
      </c>
      <c r="I515">
        <f>DropAnalityka[[#This Row],[Sell Drop]]+IF(DropAnalityka[[#This Row],[Drop]]="Scroll", 2000*DropAnalityka[[#This Row],[Quality/Quantity]],0)</f>
        <v>892</v>
      </c>
      <c r="J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1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H516">
        <v>0</v>
      </c>
      <c r="I516">
        <f>DropAnalityka[[#This Row],[Sell Drop]]+IF(DropAnalityka[[#This Row],[Drop]]="Scroll", 2000*DropAnalityka[[#This Row],[Quality/Quantity]],0)</f>
        <v>2000</v>
      </c>
      <c r="J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1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H517">
        <v>0</v>
      </c>
      <c r="I517">
        <f>DropAnalityka[[#This Row],[Sell Drop]]+IF(DropAnalityka[[#This Row],[Drop]]="Scroll", 2000*DropAnalityka[[#This Row],[Quality/Quantity]],0)</f>
        <v>4000</v>
      </c>
      <c r="J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1">
      <c r="A518" t="s">
        <v>8</v>
      </c>
      <c r="B518" t="s">
        <v>32</v>
      </c>
      <c r="C518">
        <v>3</v>
      </c>
      <c r="I518">
        <f>DropAnalityka[[#This Row],[Sell Drop]]+IF(DropAnalityka[[#This Row],[Drop]]="Scroll", 2000*DropAnalityka[[#This Row],[Quality/Quantity]],0)</f>
        <v>0</v>
      </c>
      <c r="J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1">
      <c r="A519" t="s">
        <v>8</v>
      </c>
      <c r="B519" t="s">
        <v>32</v>
      </c>
      <c r="C519">
        <v>3</v>
      </c>
      <c r="I519">
        <f>DropAnalityka[[#This Row],[Sell Drop]]+IF(DropAnalityka[[#This Row],[Drop]]="Scroll", 2000*DropAnalityka[[#This Row],[Quality/Quantity]],0)</f>
        <v>0</v>
      </c>
      <c r="J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1">
      <c r="A520" t="s">
        <v>8</v>
      </c>
      <c r="B520" t="s">
        <v>32</v>
      </c>
      <c r="C520">
        <v>3</v>
      </c>
      <c r="I520">
        <f>DropAnalityka[[#This Row],[Sell Drop]]+IF(DropAnalityka[[#This Row],[Drop]]="Scroll", 2000*DropAnalityka[[#This Row],[Quality/Quantity]],0)</f>
        <v>0</v>
      </c>
      <c r="J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1" spans="1:11">
      <c r="A521" t="s">
        <v>8</v>
      </c>
      <c r="B521" t="s">
        <v>32</v>
      </c>
      <c r="C521">
        <v>3</v>
      </c>
      <c r="I521">
        <f>DropAnalityka[[#This Row],[Sell Drop]]+IF(DropAnalityka[[#This Row],[Drop]]="Scroll", 2000*DropAnalityka[[#This Row],[Quality/Quantity]],0)</f>
        <v>0</v>
      </c>
      <c r="J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1">
      <c r="A522" t="s">
        <v>8</v>
      </c>
      <c r="B522" t="s">
        <v>32</v>
      </c>
      <c r="C522">
        <v>3</v>
      </c>
      <c r="I522">
        <f>DropAnalityka[[#This Row],[Sell Drop]]+IF(DropAnalityka[[#This Row],[Drop]]="Scroll", 2000*DropAnalityka[[#This Row],[Quality/Quantity]],0)</f>
        <v>0</v>
      </c>
      <c r="J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1">
      <c r="A523" t="s">
        <v>8</v>
      </c>
      <c r="B523" t="s">
        <v>32</v>
      </c>
      <c r="C523">
        <v>3</v>
      </c>
      <c r="I523">
        <f>DropAnalityka[[#This Row],[Sell Drop]]+IF(DropAnalityka[[#This Row],[Drop]]="Scroll", 2000*DropAnalityka[[#This Row],[Quality/Quantity]],0)</f>
        <v>0</v>
      </c>
      <c r="J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1">
      <c r="A524" t="s">
        <v>8</v>
      </c>
      <c r="B524" t="s">
        <v>32</v>
      </c>
      <c r="C524">
        <v>3</v>
      </c>
      <c r="I524">
        <f>DropAnalityka[[#This Row],[Sell Drop]]+IF(DropAnalityka[[#This Row],[Drop]]="Scroll", 2000*DropAnalityka[[#This Row],[Quality/Quantity]],0)</f>
        <v>0</v>
      </c>
      <c r="J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1">
      <c r="A525" t="s">
        <v>8</v>
      </c>
      <c r="B525" t="s">
        <v>32</v>
      </c>
      <c r="C525">
        <v>3</v>
      </c>
      <c r="I525">
        <f>DropAnalityka[[#This Row],[Sell Drop]]+IF(DropAnalityka[[#This Row],[Drop]]="Scroll", 2000*DropAnalityka[[#This Row],[Quality/Quantity]],0)</f>
        <v>0</v>
      </c>
      <c r="J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1">
      <c r="A526" t="s">
        <v>8</v>
      </c>
      <c r="B526" t="s">
        <v>32</v>
      </c>
      <c r="C526">
        <v>3</v>
      </c>
      <c r="I526">
        <f>DropAnalityka[[#This Row],[Sell Drop]]+IF(DropAnalityka[[#This Row],[Drop]]="Scroll", 2000*DropAnalityka[[#This Row],[Quality/Quantity]],0)</f>
        <v>0</v>
      </c>
      <c r="J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1">
      <c r="A527" t="s">
        <v>8</v>
      </c>
      <c r="B527" t="s">
        <v>32</v>
      </c>
      <c r="C527">
        <v>3</v>
      </c>
      <c r="I527">
        <f>DropAnalityka[[#This Row],[Sell Drop]]+IF(DropAnalityka[[#This Row],[Drop]]="Scroll", 2000*DropAnalityka[[#This Row],[Quality/Quantity]],0)</f>
        <v>0</v>
      </c>
      <c r="J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1">
      <c r="A528" t="s">
        <v>8</v>
      </c>
      <c r="B528" t="s">
        <v>32</v>
      </c>
      <c r="C528">
        <v>3</v>
      </c>
      <c r="I528">
        <f>DropAnalityka[[#This Row],[Sell Drop]]+IF(DropAnalityka[[#This Row],[Drop]]="Scroll", 2000*DropAnalityka[[#This Row],[Quality/Quantity]],0)</f>
        <v>0</v>
      </c>
      <c r="J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9" spans="1:11">
      <c r="A529" t="s">
        <v>8</v>
      </c>
      <c r="B529" t="s">
        <v>32</v>
      </c>
      <c r="C529">
        <v>3</v>
      </c>
      <c r="I529">
        <f>DropAnalityka[[#This Row],[Sell Drop]]+IF(DropAnalityka[[#This Row],[Drop]]="Scroll", 2000*DropAnalityka[[#This Row],[Quality/Quantity]],0)</f>
        <v>0</v>
      </c>
      <c r="J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1">
      <c r="A530" t="s">
        <v>8</v>
      </c>
      <c r="B530" t="s">
        <v>32</v>
      </c>
      <c r="C530">
        <v>3</v>
      </c>
      <c r="I530">
        <f>DropAnalityka[[#This Row],[Sell Drop]]+IF(DropAnalityka[[#This Row],[Drop]]="Scroll", 2000*DropAnalityka[[#This Row],[Quality/Quantity]],0)</f>
        <v>0</v>
      </c>
      <c r="J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1">
      <c r="A531" t="s">
        <v>8</v>
      </c>
      <c r="B531" t="s">
        <v>32</v>
      </c>
      <c r="C531">
        <v>3</v>
      </c>
      <c r="I531">
        <f>DropAnalityka[[#This Row],[Sell Drop]]+IF(DropAnalityka[[#This Row],[Drop]]="Scroll", 2000*DropAnalityka[[#This Row],[Quality/Quantity]],0)</f>
        <v>0</v>
      </c>
      <c r="J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1">
      <c r="I532">
        <f>DropAnalityka[[#This Row],[Sell Drop]]+IF(DropAnalityka[[#This Row],[Drop]]="Scroll", 2000*DropAnalityka[[#This Row],[Quality/Quantity]],0)</f>
        <v>0</v>
      </c>
      <c r="J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1">
      <c r="I533">
        <f>DropAnalityka[[#This Row],[Sell Drop]]+IF(DropAnalityka[[#This Row],[Drop]]="Scroll", 2000*DropAnalityka[[#This Row],[Quality/Quantity]],0)</f>
        <v>0</v>
      </c>
      <c r="J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1">
      <c r="I534">
        <f>DropAnalityka[[#This Row],[Sell Drop]]+IF(DropAnalityka[[#This Row],[Drop]]="Scroll", 2000*DropAnalityka[[#This Row],[Quality/Quantity]],0)</f>
        <v>0</v>
      </c>
      <c r="J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1">
      <c r="I535">
        <f>DropAnalityka[[#This Row],[Sell Drop]]+IF(DropAnalityka[[#This Row],[Drop]]="Scroll", 2000*DropAnalityka[[#This Row],[Quality/Quantity]],0)</f>
        <v>0</v>
      </c>
      <c r="J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1">
      <c r="I536">
        <f>DropAnalityka[[#This Row],[Sell Drop]]+IF(DropAnalityka[[#This Row],[Drop]]="Scroll", 2000*DropAnalityka[[#This Row],[Quality/Quantity]],0)</f>
        <v>0</v>
      </c>
      <c r="J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1">
      <c r="I537">
        <f>DropAnalityka[[#This Row],[Sell Drop]]+IF(DropAnalityka[[#This Row],[Drop]]="Scroll", 2000*DropAnalityka[[#This Row],[Quality/Quantity]],0)</f>
        <v>0</v>
      </c>
      <c r="J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1">
      <c r="I538">
        <f>DropAnalityka[[#This Row],[Sell Drop]]+IF(DropAnalityka[[#This Row],[Drop]]="Scroll", 2000*DropAnalityka[[#This Row],[Quality/Quantity]],0)</f>
        <v>0</v>
      </c>
      <c r="J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1">
      <c r="I539">
        <f>DropAnalityka[[#This Row],[Sell Drop]]+IF(DropAnalityka[[#This Row],[Drop]]="Scroll", 2000*DropAnalityka[[#This Row],[Quality/Quantity]],0)</f>
        <v>0</v>
      </c>
      <c r="J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1">
      <c r="I540">
        <f>DropAnalityka[[#This Row],[Sell Drop]]+IF(DropAnalityka[[#This Row],[Drop]]="Scroll", 2000*DropAnalityka[[#This Row],[Quality/Quantity]],0)</f>
        <v>0</v>
      </c>
      <c r="J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1">
      <c r="I541">
        <f>DropAnalityka[[#This Row],[Sell Drop]]+IF(DropAnalityka[[#This Row],[Drop]]="Scroll", 2000*DropAnalityka[[#This Row],[Quality/Quantity]],0)</f>
        <v>0</v>
      </c>
      <c r="J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1">
      <c r="I542">
        <f>DropAnalityka[[#This Row],[Sell Drop]]+IF(DropAnalityka[[#This Row],[Drop]]="Scroll", 2000*DropAnalityka[[#This Row],[Quality/Quantity]],0)</f>
        <v>0</v>
      </c>
      <c r="J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1">
      <c r="I543">
        <f>DropAnalityka[[#This Row],[Sell Drop]]+IF(DropAnalityka[[#This Row],[Drop]]="Scroll", 2000*DropAnalityka[[#This Row],[Quality/Quantity]],0)</f>
        <v>0</v>
      </c>
      <c r="J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1">
      <c r="I544">
        <f>DropAnalityka[[#This Row],[Sell Drop]]+IF(DropAnalityka[[#This Row],[Drop]]="Scroll", 2000*DropAnalityka[[#This Row],[Quality/Quantity]],0)</f>
        <v>0</v>
      </c>
      <c r="J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9:11">
      <c r="I545">
        <f>DropAnalityka[[#This Row],[Sell Drop]]+IF(DropAnalityka[[#This Row],[Drop]]="Scroll", 2000*DropAnalityka[[#This Row],[Quality/Quantity]],0)</f>
        <v>0</v>
      </c>
      <c r="J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9:11">
      <c r="I546">
        <f>DropAnalityka[[#This Row],[Sell Drop]]+IF(DropAnalityka[[#This Row],[Drop]]="Scroll", 2000*DropAnalityka[[#This Row],[Quality/Quantity]],0)</f>
        <v>0</v>
      </c>
      <c r="J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9:11">
      <c r="I547">
        <f>DropAnalityka[[#This Row],[Sell Drop]]+IF(DropAnalityka[[#This Row],[Drop]]="Scroll", 2000*DropAnalityka[[#This Row],[Quality/Quantity]],0)</f>
        <v>0</v>
      </c>
      <c r="J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9:11">
      <c r="I548">
        <f>DropAnalityka[[#This Row],[Sell Drop]]+IF(DropAnalityka[[#This Row],[Drop]]="Scroll", 2000*DropAnalityka[[#This Row],[Quality/Quantity]],0)</f>
        <v>0</v>
      </c>
      <c r="J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9:11">
      <c r="I549">
        <f>DropAnalityka[[#This Row],[Sell Drop]]+IF(DropAnalityka[[#This Row],[Drop]]="Scroll", 2000*DropAnalityka[[#This Row],[Quality/Quantity]],0)</f>
        <v>0</v>
      </c>
      <c r="J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9:11">
      <c r="I550">
        <f>DropAnalityka[[#This Row],[Sell Drop]]+IF(DropAnalityka[[#This Row],[Drop]]="Scroll", 2000*DropAnalityka[[#This Row],[Quality/Quantity]],0)</f>
        <v>0</v>
      </c>
      <c r="J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9:11">
      <c r="I551">
        <f>DropAnalityka[[#This Row],[Sell Drop]]+IF(DropAnalityka[[#This Row],[Drop]]="Scroll", 2000*DropAnalityka[[#This Row],[Quality/Quantity]],0)</f>
        <v>0</v>
      </c>
      <c r="J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9:11">
      <c r="I552">
        <f>DropAnalityka[[#This Row],[Sell Drop]]+IF(DropAnalityka[[#This Row],[Drop]]="Scroll", 2000*DropAnalityka[[#This Row],[Quality/Quantity]],0)</f>
        <v>0</v>
      </c>
      <c r="J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9:11">
      <c r="I553">
        <f>DropAnalityka[[#This Row],[Sell Drop]]+IF(DropAnalityka[[#This Row],[Drop]]="Scroll", 2000*DropAnalityka[[#This Row],[Quality/Quantity]],0)</f>
        <v>0</v>
      </c>
      <c r="J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9:11">
      <c r="I554">
        <f>DropAnalityka[[#This Row],[Sell Drop]]+IF(DropAnalityka[[#This Row],[Drop]]="Scroll", 2000*DropAnalityka[[#This Row],[Quality/Quantity]],0)</f>
        <v>0</v>
      </c>
      <c r="J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9:11">
      <c r="I555">
        <f>DropAnalityka[[#This Row],[Sell Drop]]+IF(DropAnalityka[[#This Row],[Drop]]="Scroll", 2000*DropAnalityka[[#This Row],[Quality/Quantity]],0)</f>
        <v>0</v>
      </c>
      <c r="J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9:11">
      <c r="I556">
        <f>DropAnalityka[[#This Row],[Sell Drop]]+IF(DropAnalityka[[#This Row],[Drop]]="Scroll", 2000*DropAnalityka[[#This Row],[Quality/Quantity]],0)</f>
        <v>0</v>
      </c>
      <c r="J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9:11">
      <c r="I557">
        <f>DropAnalityka[[#This Row],[Sell Drop]]+IF(DropAnalityka[[#This Row],[Drop]]="Scroll", 2000*DropAnalityka[[#This Row],[Quality/Quantity]],0)</f>
        <v>0</v>
      </c>
      <c r="J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9:11">
      <c r="I558">
        <f>DropAnalityka[[#This Row],[Sell Drop]]+IF(DropAnalityka[[#This Row],[Drop]]="Scroll", 2000*DropAnalityka[[#This Row],[Quality/Quantity]],0)</f>
        <v>0</v>
      </c>
      <c r="J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9:11">
      <c r="I559">
        <f>DropAnalityka[[#This Row],[Sell Drop]]+IF(DropAnalityka[[#This Row],[Drop]]="Scroll", 2000*DropAnalityka[[#This Row],[Quality/Quantity]],0)</f>
        <v>0</v>
      </c>
      <c r="J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9:11">
      <c r="I560">
        <f>DropAnalityka[[#This Row],[Sell Drop]]+IF(DropAnalityka[[#This Row],[Drop]]="Scroll", 2000*DropAnalityka[[#This Row],[Quality/Quantity]],0)</f>
        <v>0</v>
      </c>
      <c r="J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9:11">
      <c r="I561">
        <f>DropAnalityka[[#This Row],[Sell Drop]]+IF(DropAnalityka[[#This Row],[Drop]]="Scroll", 2000*DropAnalityka[[#This Row],[Quality/Quantity]],0)</f>
        <v>0</v>
      </c>
      <c r="J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9:11">
      <c r="I562">
        <f>DropAnalityka[[#This Row],[Sell Drop]]+IF(DropAnalityka[[#This Row],[Drop]]="Scroll", 2000*DropAnalityka[[#This Row],[Quality/Quantity]],0)</f>
        <v>0</v>
      </c>
      <c r="J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9:11">
      <c r="I563">
        <f>DropAnalityka[[#This Row],[Sell Drop]]+IF(DropAnalityka[[#This Row],[Drop]]="Scroll", 2000*DropAnalityka[[#This Row],[Quality/Quantity]],0)</f>
        <v>0</v>
      </c>
      <c r="J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9:11">
      <c r="I564">
        <f>DropAnalityka[[#This Row],[Sell Drop]]+IF(DropAnalityka[[#This Row],[Drop]]="Scroll", 2000*DropAnalityka[[#This Row],[Quality/Quantity]],0)</f>
        <v>0</v>
      </c>
      <c r="J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9:11">
      <c r="I565">
        <f>DropAnalityka[[#This Row],[Sell Drop]]+IF(DropAnalityka[[#This Row],[Drop]]="Scroll", 2000*DropAnalityka[[#This Row],[Quality/Quantity]],0)</f>
        <v>0</v>
      </c>
      <c r="J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9:11">
      <c r="I566">
        <f>DropAnalityka[[#This Row],[Sell Drop]]+IF(DropAnalityka[[#This Row],[Drop]]="Scroll", 2000*DropAnalityka[[#This Row],[Quality/Quantity]],0)</f>
        <v>0</v>
      </c>
      <c r="J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9:11">
      <c r="I567">
        <f>DropAnalityka[[#This Row],[Sell Drop]]+IF(DropAnalityka[[#This Row],[Drop]]="Scroll", 2000*DropAnalityka[[#This Row],[Quality/Quantity]],0)</f>
        <v>0</v>
      </c>
      <c r="J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9:11">
      <c r="I568">
        <f>DropAnalityka[[#This Row],[Sell Drop]]+IF(DropAnalityka[[#This Row],[Drop]]="Scroll", 2000*DropAnalityka[[#This Row],[Quality/Quantity]],0)</f>
        <v>0</v>
      </c>
      <c r="J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9:11">
      <c r="I569">
        <f>DropAnalityka[[#This Row],[Sell Drop]]+IF(DropAnalityka[[#This Row],[Drop]]="Scroll", 2000*DropAnalityka[[#This Row],[Quality/Quantity]],0)</f>
        <v>0</v>
      </c>
      <c r="J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9:11">
      <c r="I570">
        <f>DropAnalityka[[#This Row],[Sell Drop]]+IF(DropAnalityka[[#This Row],[Drop]]="Scroll", 2000*DropAnalityka[[#This Row],[Quality/Quantity]],0)</f>
        <v>0</v>
      </c>
      <c r="J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9:11">
      <c r="I571">
        <f>DropAnalityka[[#This Row],[Sell Drop]]+IF(DropAnalityka[[#This Row],[Drop]]="Scroll", 2000*DropAnalityka[[#This Row],[Quality/Quantity]],0)</f>
        <v>0</v>
      </c>
      <c r="J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9:11">
      <c r="I572">
        <f>DropAnalityka[[#This Row],[Sell Drop]]+IF(DropAnalityka[[#This Row],[Drop]]="Scroll", 2000*DropAnalityka[[#This Row],[Quality/Quantity]],0)</f>
        <v>0</v>
      </c>
      <c r="J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9:11">
      <c r="I573">
        <f>DropAnalityka[[#This Row],[Sell Drop]]+IF(DropAnalityka[[#This Row],[Drop]]="Scroll", 2000*DropAnalityka[[#This Row],[Quality/Quantity]],0)</f>
        <v>0</v>
      </c>
      <c r="J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9:11">
      <c r="I574">
        <f>DropAnalityka[[#This Row],[Sell Drop]]+IF(DropAnalityka[[#This Row],[Drop]]="Scroll", 2000*DropAnalityka[[#This Row],[Quality/Quantity]],0)</f>
        <v>0</v>
      </c>
      <c r="J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9:11">
      <c r="I575">
        <f>DropAnalityka[[#This Row],[Sell Drop]]+IF(DropAnalityka[[#This Row],[Drop]]="Scroll", 2000*DropAnalityka[[#This Row],[Quality/Quantity]],0)</f>
        <v>0</v>
      </c>
      <c r="J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9:11">
      <c r="I576">
        <f>DropAnalityka[[#This Row],[Sell Drop]]+IF(DropAnalityka[[#This Row],[Drop]]="Scroll", 2000*DropAnalityka[[#This Row],[Quality/Quantity]],0)</f>
        <v>0</v>
      </c>
      <c r="J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9:11">
      <c r="I577">
        <f>DropAnalityka[[#This Row],[Sell Drop]]+IF(DropAnalityka[[#This Row],[Drop]]="Scroll", 2000*DropAnalityka[[#This Row],[Quality/Quantity]],0)</f>
        <v>0</v>
      </c>
      <c r="J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9:11">
      <c r="I578">
        <f>DropAnalityka[[#This Row],[Sell Drop]]+IF(DropAnalityka[[#This Row],[Drop]]="Scroll", 2000*DropAnalityka[[#This Row],[Quality/Quantity]],0)</f>
        <v>0</v>
      </c>
      <c r="J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9:11">
      <c r="I579">
        <f>DropAnalityka[[#This Row],[Sell Drop]]+IF(DropAnalityka[[#This Row],[Drop]]="Scroll", 2000*DropAnalityka[[#This Row],[Quality/Quantity]],0)</f>
        <v>0</v>
      </c>
      <c r="J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9:11">
      <c r="I580">
        <f>DropAnalityka[[#This Row],[Sell Drop]]+IF(DropAnalityka[[#This Row],[Drop]]="Scroll", 2000*DropAnalityka[[#This Row],[Quality/Quantity]],0)</f>
        <v>0</v>
      </c>
      <c r="J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9:11">
      <c r="I581">
        <f>DropAnalityka[[#This Row],[Sell Drop]]+IF(DropAnalityka[[#This Row],[Drop]]="Scroll", 2000*DropAnalityka[[#This Row],[Quality/Quantity]],0)</f>
        <v>0</v>
      </c>
      <c r="J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9:11">
      <c r="I582">
        <f>DropAnalityka[[#This Row],[Sell Drop]]+IF(DropAnalityka[[#This Row],[Drop]]="Scroll", 2000*DropAnalityka[[#This Row],[Quality/Quantity]],0)</f>
        <v>0</v>
      </c>
      <c r="J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9:11">
      <c r="I583">
        <f>DropAnalityka[[#This Row],[Sell Drop]]+IF(DropAnalityka[[#This Row],[Drop]]="Scroll", 2000*DropAnalityka[[#This Row],[Quality/Quantity]],0)</f>
        <v>0</v>
      </c>
      <c r="J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9:11">
      <c r="I584">
        <f>DropAnalityka[[#This Row],[Sell Drop]]+IF(DropAnalityka[[#This Row],[Drop]]="Scroll", 2000*DropAnalityka[[#This Row],[Quality/Quantity]],0)</f>
        <v>0</v>
      </c>
      <c r="J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9:11">
      <c r="I585">
        <f>DropAnalityka[[#This Row],[Sell Drop]]+IF(DropAnalityka[[#This Row],[Drop]]="Scroll", 2000*DropAnalityka[[#This Row],[Quality/Quantity]],0)</f>
        <v>0</v>
      </c>
      <c r="J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9:11">
      <c r="I586">
        <f>DropAnalityka[[#This Row],[Sell Drop]]+IF(DropAnalityka[[#This Row],[Drop]]="Scroll", 2000*DropAnalityka[[#This Row],[Quality/Quantity]],0)</f>
        <v>0</v>
      </c>
      <c r="J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9:11">
      <c r="I587">
        <f>DropAnalityka[[#This Row],[Sell Drop]]+IF(DropAnalityka[[#This Row],[Drop]]="Scroll", 2000*DropAnalityka[[#This Row],[Quality/Quantity]],0)</f>
        <v>0</v>
      </c>
      <c r="J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9:11">
      <c r="I588">
        <f>DropAnalityka[[#This Row],[Sell Drop]]+IF(DropAnalityka[[#This Row],[Drop]]="Scroll", 2000*DropAnalityka[[#This Row],[Quality/Quantity]],0)</f>
        <v>0</v>
      </c>
      <c r="J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9:11">
      <c r="I589">
        <f>DropAnalityka[[#This Row],[Sell Drop]]+IF(DropAnalityka[[#This Row],[Drop]]="Scroll", 2000*DropAnalityka[[#This Row],[Quality/Quantity]],0)</f>
        <v>0</v>
      </c>
      <c r="J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9:11">
      <c r="I590">
        <f>DropAnalityka[[#This Row],[Sell Drop]]+IF(DropAnalityka[[#This Row],[Drop]]="Scroll", 2000*DropAnalityka[[#This Row],[Quality/Quantity]],0)</f>
        <v>0</v>
      </c>
      <c r="J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9:11">
      <c r="I591">
        <f>DropAnalityka[[#This Row],[Sell Drop]]+IF(DropAnalityka[[#This Row],[Drop]]="Scroll", 2000*DropAnalityka[[#This Row],[Quality/Quantity]],0)</f>
        <v>0</v>
      </c>
      <c r="J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9:11">
      <c r="I592">
        <f>DropAnalityka[[#This Row],[Sell Drop]]+IF(DropAnalityka[[#This Row],[Drop]]="Scroll", 2000*DropAnalityka[[#This Row],[Quality/Quantity]],0)</f>
        <v>0</v>
      </c>
      <c r="J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9:11">
      <c r="I593">
        <f>DropAnalityka[[#This Row],[Sell Drop]]+IF(DropAnalityka[[#This Row],[Drop]]="Scroll", 2000*DropAnalityka[[#This Row],[Quality/Quantity]],0)</f>
        <v>0</v>
      </c>
      <c r="J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9:11">
      <c r="I594">
        <f>DropAnalityka[[#This Row],[Sell Drop]]+IF(DropAnalityka[[#This Row],[Drop]]="Scroll", 2000*DropAnalityka[[#This Row],[Quality/Quantity]],0)</f>
        <v>0</v>
      </c>
      <c r="J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9:11">
      <c r="I595">
        <f>DropAnalityka[[#This Row],[Sell Drop]]+IF(DropAnalityka[[#This Row],[Drop]]="Scroll", 2000*DropAnalityka[[#This Row],[Quality/Quantity]],0)</f>
        <v>0</v>
      </c>
      <c r="J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9:11">
      <c r="I596">
        <f>DropAnalityka[[#This Row],[Sell Drop]]+IF(DropAnalityka[[#This Row],[Drop]]="Scroll", 2000*DropAnalityka[[#This Row],[Quality/Quantity]],0)</f>
        <v>0</v>
      </c>
      <c r="J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9:11">
      <c r="I597">
        <f>DropAnalityka[[#This Row],[Sell Drop]]+IF(DropAnalityka[[#This Row],[Drop]]="Scroll", 2000*DropAnalityka[[#This Row],[Quality/Quantity]],0)</f>
        <v>0</v>
      </c>
      <c r="J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9:11">
      <c r="I598">
        <f>DropAnalityka[[#This Row],[Sell Drop]]+IF(DropAnalityka[[#This Row],[Drop]]="Scroll", 2000*DropAnalityka[[#This Row],[Quality/Quantity]],0)</f>
        <v>0</v>
      </c>
      <c r="J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9:11">
      <c r="I599">
        <f>DropAnalityka[[#This Row],[Sell Drop]]+IF(DropAnalityka[[#This Row],[Drop]]="Scroll", 2000*DropAnalityka[[#This Row],[Quality/Quantity]],0)</f>
        <v>0</v>
      </c>
      <c r="J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9:11">
      <c r="I600">
        <f>DropAnalityka[[#This Row],[Sell Drop]]+IF(DropAnalityka[[#This Row],[Drop]]="Scroll", 2000*DropAnalityka[[#This Row],[Quality/Quantity]],0)</f>
        <v>0</v>
      </c>
      <c r="J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9:11">
      <c r="I601">
        <f>DropAnalityka[[#This Row],[Sell Drop]]+IF(DropAnalityka[[#This Row],[Drop]]="Scroll", 2000*DropAnalityka[[#This Row],[Quality/Quantity]],0)</f>
        <v>0</v>
      </c>
      <c r="J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9:11">
      <c r="I602">
        <f>DropAnalityka[[#This Row],[Sell Drop]]+IF(DropAnalityka[[#This Row],[Drop]]="Scroll", 2000*DropAnalityka[[#This Row],[Quality/Quantity]],0)</f>
        <v>0</v>
      </c>
      <c r="J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9:11">
      <c r="I603">
        <f>DropAnalityka[[#This Row],[Sell Drop]]+IF(DropAnalityka[[#This Row],[Drop]]="Scroll", 2000*DropAnalityka[[#This Row],[Quality/Quantity]],0)</f>
        <v>0</v>
      </c>
      <c r="J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9:11">
      <c r="I604">
        <f>DropAnalityka[[#This Row],[Sell Drop]]+IF(DropAnalityka[[#This Row],[Drop]]="Scroll", 2000*DropAnalityka[[#This Row],[Quality/Quantity]],0)</f>
        <v>0</v>
      </c>
      <c r="J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9:11">
      <c r="I605">
        <f>DropAnalityka[[#This Row],[Sell Drop]]+IF(DropAnalityka[[#This Row],[Drop]]="Scroll", 2000*DropAnalityka[[#This Row],[Quality/Quantity]],0)</f>
        <v>0</v>
      </c>
      <c r="J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9:11">
      <c r="I606">
        <f>DropAnalityka[[#This Row],[Sell Drop]]+IF(DropAnalityka[[#This Row],[Drop]]="Scroll", 2000*DropAnalityka[[#This Row],[Quality/Quantity]],0)</f>
        <v>0</v>
      </c>
      <c r="J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9:11">
      <c r="I607">
        <f>DropAnalityka[[#This Row],[Sell Drop]]+IF(DropAnalityka[[#This Row],[Drop]]="Scroll", 2000*DropAnalityka[[#This Row],[Quality/Quantity]],0)</f>
        <v>0</v>
      </c>
      <c r="J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9:11">
      <c r="I608">
        <f>DropAnalityka[[#This Row],[Sell Drop]]+IF(DropAnalityka[[#This Row],[Drop]]="Scroll", 2000*DropAnalityka[[#This Row],[Quality/Quantity]],0)</f>
        <v>0</v>
      </c>
      <c r="J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9:11">
      <c r="I609">
        <f>DropAnalityka[[#This Row],[Sell Drop]]+IF(DropAnalityka[[#This Row],[Drop]]="Scroll", 2000*DropAnalityka[[#This Row],[Quality/Quantity]],0)</f>
        <v>0</v>
      </c>
      <c r="J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9:11">
      <c r="I610">
        <f>DropAnalityka[[#This Row],[Sell Drop]]+IF(DropAnalityka[[#This Row],[Drop]]="Scroll", 2000*DropAnalityka[[#This Row],[Quality/Quantity]],0)</f>
        <v>0</v>
      </c>
      <c r="J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9:11">
      <c r="I611">
        <f>DropAnalityka[[#This Row],[Sell Drop]]+IF(DropAnalityka[[#This Row],[Drop]]="Scroll", 2000*DropAnalityka[[#This Row],[Quality/Quantity]],0)</f>
        <v>0</v>
      </c>
      <c r="J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9:11">
      <c r="I612">
        <f>DropAnalityka[[#This Row],[Sell Drop]]+IF(DropAnalityka[[#This Row],[Drop]]="Scroll", 2000*DropAnalityka[[#This Row],[Quality/Quantity]],0)</f>
        <v>0</v>
      </c>
      <c r="J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9:11">
      <c r="I613">
        <f>DropAnalityka[[#This Row],[Sell Drop]]+IF(DropAnalityka[[#This Row],[Drop]]="Scroll", 2000*DropAnalityka[[#This Row],[Quality/Quantity]],0)</f>
        <v>0</v>
      </c>
      <c r="J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9:11">
      <c r="I614">
        <f>DropAnalityka[[#This Row],[Sell Drop]]+IF(DropAnalityka[[#This Row],[Drop]]="Scroll", 2000*DropAnalityka[[#This Row],[Quality/Quantity]],0)</f>
        <v>0</v>
      </c>
      <c r="J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9:11">
      <c r="I615">
        <f>DropAnalityka[[#This Row],[Sell Drop]]+IF(DropAnalityka[[#This Row],[Drop]]="Scroll", 2000*DropAnalityka[[#This Row],[Quality/Quantity]],0)</f>
        <v>0</v>
      </c>
      <c r="J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9:11">
      <c r="I616">
        <f>DropAnalityka[[#This Row],[Sell Drop]]+IF(DropAnalityka[[#This Row],[Drop]]="Scroll", 2000*DropAnalityka[[#This Row],[Quality/Quantity]],0)</f>
        <v>0</v>
      </c>
      <c r="J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9:11">
      <c r="I617">
        <f>DropAnalityka[[#This Row],[Sell Drop]]+IF(DropAnalityka[[#This Row],[Drop]]="Scroll", 2000*DropAnalityka[[#This Row],[Quality/Quantity]],0)</f>
        <v>0</v>
      </c>
      <c r="J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9:11">
      <c r="I618">
        <f>DropAnalityka[[#This Row],[Sell Drop]]+IF(DropAnalityka[[#This Row],[Drop]]="Scroll", 2000*DropAnalityka[[#This Row],[Quality/Quantity]],0)</f>
        <v>0</v>
      </c>
      <c r="J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9:11">
      <c r="I619">
        <f>DropAnalityka[[#This Row],[Sell Drop]]+IF(DropAnalityka[[#This Row],[Drop]]="Scroll", 2000*DropAnalityka[[#This Row],[Quality/Quantity]],0)</f>
        <v>0</v>
      </c>
      <c r="J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9:11">
      <c r="I620">
        <f>DropAnalityka[[#This Row],[Sell Drop]]+IF(DropAnalityka[[#This Row],[Drop]]="Scroll", 2000*DropAnalityka[[#This Row],[Quality/Quantity]],0)</f>
        <v>0</v>
      </c>
      <c r="J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9:11">
      <c r="I621">
        <f>DropAnalityka[[#This Row],[Sell Drop]]+IF(DropAnalityka[[#This Row],[Drop]]="Scroll", 2000*DropAnalityka[[#This Row],[Quality/Quantity]],0)</f>
        <v>0</v>
      </c>
      <c r="J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9:11">
      <c r="I622">
        <f>DropAnalityka[[#This Row],[Sell Drop]]+IF(DropAnalityka[[#This Row],[Drop]]="Scroll", 2000*DropAnalityka[[#This Row],[Quality/Quantity]],0)</f>
        <v>0</v>
      </c>
      <c r="J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9:11">
      <c r="I623">
        <f>DropAnalityka[[#This Row],[Sell Drop]]+IF(DropAnalityka[[#This Row],[Drop]]="Scroll", 2000*DropAnalityka[[#This Row],[Quality/Quantity]],0)</f>
        <v>0</v>
      </c>
      <c r="J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9:11">
      <c r="I624">
        <f>DropAnalityka[[#This Row],[Sell Drop]]+IF(DropAnalityka[[#This Row],[Drop]]="Scroll", 2000*DropAnalityka[[#This Row],[Quality/Quantity]],0)</f>
        <v>0</v>
      </c>
      <c r="J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9:11">
      <c r="I625">
        <f>DropAnalityka[[#This Row],[Sell Drop]]+IF(DropAnalityka[[#This Row],[Drop]]="Scroll", 2000*DropAnalityka[[#This Row],[Quality/Quantity]],0)</f>
        <v>0</v>
      </c>
      <c r="J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9:11">
      <c r="I626">
        <f>DropAnalityka[[#This Row],[Sell Drop]]+IF(DropAnalityka[[#This Row],[Drop]]="Scroll", 2000*DropAnalityka[[#This Row],[Quality/Quantity]],0)</f>
        <v>0</v>
      </c>
      <c r="J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9:11">
      <c r="I627">
        <f>DropAnalityka[[#This Row],[Sell Drop]]+IF(DropAnalityka[[#This Row],[Drop]]="Scroll", 2000*DropAnalityka[[#This Row],[Quality/Quantity]],0)</f>
        <v>0</v>
      </c>
      <c r="J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9:11">
      <c r="I628">
        <f>DropAnalityka[[#This Row],[Sell Drop]]+IF(DropAnalityka[[#This Row],[Drop]]="Scroll", 2000*DropAnalityka[[#This Row],[Quality/Quantity]],0)</f>
        <v>0</v>
      </c>
      <c r="J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9:11">
      <c r="I629">
        <f>DropAnalityka[[#This Row],[Sell Drop]]+IF(DropAnalityka[[#This Row],[Drop]]="Scroll", 2000*DropAnalityka[[#This Row],[Quality/Quantity]],0)</f>
        <v>0</v>
      </c>
      <c r="J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9:11">
      <c r="I630">
        <f>DropAnalityka[[#This Row],[Sell Drop]]+IF(DropAnalityka[[#This Row],[Drop]]="Scroll", 2000*DropAnalityka[[#This Row],[Quality/Quantity]],0)</f>
        <v>0</v>
      </c>
      <c r="J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9:11">
      <c r="I631">
        <f>DropAnalityka[[#This Row],[Sell Drop]]+IF(DropAnalityka[[#This Row],[Drop]]="Scroll", 2000*DropAnalityka[[#This Row],[Quality/Quantity]],0)</f>
        <v>0</v>
      </c>
      <c r="J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9:11">
      <c r="I632">
        <f>DropAnalityka[[#This Row],[Sell Drop]]+IF(DropAnalityka[[#This Row],[Drop]]="Scroll", 2000*DropAnalityka[[#This Row],[Quality/Quantity]],0)</f>
        <v>0</v>
      </c>
      <c r="J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9:11">
      <c r="I633">
        <f>DropAnalityka[[#This Row],[Sell Drop]]+IF(DropAnalityka[[#This Row],[Drop]]="Scroll", 2000*DropAnalityka[[#This Row],[Quality/Quantity]],0)</f>
        <v>0</v>
      </c>
      <c r="J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9:11">
      <c r="I634">
        <f>DropAnalityka[[#This Row],[Sell Drop]]+IF(DropAnalityka[[#This Row],[Drop]]="Scroll", 2000*DropAnalityka[[#This Row],[Quality/Quantity]],0)</f>
        <v>0</v>
      </c>
      <c r="J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9:11">
      <c r="I635">
        <f>DropAnalityka[[#This Row],[Sell Drop]]+IF(DropAnalityka[[#This Row],[Drop]]="Scroll", 2000*DropAnalityka[[#This Row],[Quality/Quantity]],0)</f>
        <v>0</v>
      </c>
      <c r="J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9:11">
      <c r="I636">
        <f>DropAnalityka[[#This Row],[Sell Drop]]+IF(DropAnalityka[[#This Row],[Drop]]="Scroll", 2000*DropAnalityka[[#This Row],[Quality/Quantity]],0)</f>
        <v>0</v>
      </c>
      <c r="J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9:11">
      <c r="I637">
        <f>DropAnalityka[[#This Row],[Sell Drop]]+IF(DropAnalityka[[#This Row],[Drop]]="Scroll", 2000*DropAnalityka[[#This Row],[Quality/Quantity]],0)</f>
        <v>0</v>
      </c>
      <c r="J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9:11">
      <c r="I638">
        <f>DropAnalityka[[#This Row],[Sell Drop]]+IF(DropAnalityka[[#This Row],[Drop]]="Scroll", 2000*DropAnalityka[[#This Row],[Quality/Quantity]],0)</f>
        <v>0</v>
      </c>
      <c r="J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9:11">
      <c r="I639">
        <f>DropAnalityka[[#This Row],[Sell Drop]]+IF(DropAnalityka[[#This Row],[Drop]]="Scroll", 2000*DropAnalityka[[#This Row],[Quality/Quantity]],0)</f>
        <v>0</v>
      </c>
      <c r="J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9:11">
      <c r="I640">
        <f>DropAnalityka[[#This Row],[Sell Drop]]+IF(DropAnalityka[[#This Row],[Drop]]="Scroll", 2000*DropAnalityka[[#This Row],[Quality/Quantity]],0)</f>
        <v>0</v>
      </c>
      <c r="J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9:11">
      <c r="I641">
        <f>DropAnalityka[[#This Row],[Sell Drop]]+IF(DropAnalityka[[#This Row],[Drop]]="Scroll", 2000*DropAnalityka[[#This Row],[Quality/Quantity]],0)</f>
        <v>0</v>
      </c>
      <c r="J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9:11">
      <c r="I642">
        <f>DropAnalityka[[#This Row],[Sell Drop]]+IF(DropAnalityka[[#This Row],[Drop]]="Scroll", 2000*DropAnalityka[[#This Row],[Quality/Quantity]],0)</f>
        <v>0</v>
      </c>
      <c r="J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9:11">
      <c r="I643">
        <f>DropAnalityka[[#This Row],[Sell Drop]]+IF(DropAnalityka[[#This Row],[Drop]]="Scroll", 2000*DropAnalityka[[#This Row],[Quality/Quantity]],0)</f>
        <v>0</v>
      </c>
      <c r="J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9:11">
      <c r="I644">
        <f>DropAnalityka[[#This Row],[Sell Drop]]+IF(DropAnalityka[[#This Row],[Drop]]="Scroll", 2000*DropAnalityka[[#This Row],[Quality/Quantity]],0)</f>
        <v>0</v>
      </c>
      <c r="J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9:11">
      <c r="I645">
        <f>DropAnalityka[[#This Row],[Sell Drop]]+IF(DropAnalityka[[#This Row],[Drop]]="Scroll", 2000*DropAnalityka[[#This Row],[Quality/Quantity]],0)</f>
        <v>0</v>
      </c>
      <c r="J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9:11">
      <c r="I646">
        <f>DropAnalityka[[#This Row],[Sell Drop]]+IF(DropAnalityka[[#This Row],[Drop]]="Scroll", 2000*DropAnalityka[[#This Row],[Quality/Quantity]],0)</f>
        <v>0</v>
      </c>
      <c r="J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9:11">
      <c r="I647">
        <f>DropAnalityka[[#This Row],[Sell Drop]]+IF(DropAnalityka[[#This Row],[Drop]]="Scroll", 2000*DropAnalityka[[#This Row],[Quality/Quantity]],0)</f>
        <v>0</v>
      </c>
      <c r="J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9:11">
      <c r="I648">
        <f>DropAnalityka[[#This Row],[Sell Drop]]+IF(DropAnalityka[[#This Row],[Drop]]="Scroll", 2000*DropAnalityka[[#This Row],[Quality/Quantity]],0)</f>
        <v>0</v>
      </c>
      <c r="J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9:11">
      <c r="I649">
        <f>DropAnalityka[[#This Row],[Sell Drop]]+IF(DropAnalityka[[#This Row],[Drop]]="Scroll", 2000*DropAnalityka[[#This Row],[Quality/Quantity]],0)</f>
        <v>0</v>
      </c>
      <c r="J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9:11">
      <c r="I650">
        <f>DropAnalityka[[#This Row],[Sell Drop]]+IF(DropAnalityka[[#This Row],[Drop]]="Scroll", 2000*DropAnalityka[[#This Row],[Quality/Quantity]],0)</f>
        <v>0</v>
      </c>
      <c r="J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9:11">
      <c r="I651">
        <f>DropAnalityka[[#This Row],[Sell Drop]]+IF(DropAnalityka[[#This Row],[Drop]]="Scroll", 2000*DropAnalityka[[#This Row],[Quality/Quantity]],0)</f>
        <v>0</v>
      </c>
      <c r="J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9:11">
      <c r="I652">
        <f>DropAnalityka[[#This Row],[Sell Drop]]+IF(DropAnalityka[[#This Row],[Drop]]="Scroll", 2000*DropAnalityka[[#This Row],[Quality/Quantity]],0)</f>
        <v>0</v>
      </c>
      <c r="J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9:11">
      <c r="I653">
        <f>DropAnalityka[[#This Row],[Sell Drop]]+IF(DropAnalityka[[#This Row],[Drop]]="Scroll", 2000*DropAnalityka[[#This Row],[Quality/Quantity]],0)</f>
        <v>0</v>
      </c>
      <c r="J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9:11">
      <c r="I654">
        <f>DropAnalityka[[#This Row],[Sell Drop]]+IF(DropAnalityka[[#This Row],[Drop]]="Scroll", 2000*DropAnalityka[[#This Row],[Quality/Quantity]],0)</f>
        <v>0</v>
      </c>
      <c r="J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9:11">
      <c r="I655">
        <f>DropAnalityka[[#This Row],[Sell Drop]]+IF(DropAnalityka[[#This Row],[Drop]]="Scroll", 2000*DropAnalityka[[#This Row],[Quality/Quantity]],0)</f>
        <v>0</v>
      </c>
      <c r="J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9:11">
      <c r="I656">
        <f>DropAnalityka[[#This Row],[Sell Drop]]+IF(DropAnalityka[[#This Row],[Drop]]="Scroll", 2000*DropAnalityka[[#This Row],[Quality/Quantity]],0)</f>
        <v>0</v>
      </c>
      <c r="J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9:11">
      <c r="I657">
        <f>DropAnalityka[[#This Row],[Sell Drop]]+IF(DropAnalityka[[#This Row],[Drop]]="Scroll", 2000*DropAnalityka[[#This Row],[Quality/Quantity]],0)</f>
        <v>0</v>
      </c>
      <c r="J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9:11">
      <c r="I658">
        <f>DropAnalityka[[#This Row],[Sell Drop]]+IF(DropAnalityka[[#This Row],[Drop]]="Scroll", 2000*DropAnalityka[[#This Row],[Quality/Quantity]],0)</f>
        <v>0</v>
      </c>
      <c r="J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9:11">
      <c r="I659">
        <f>DropAnalityka[[#This Row],[Sell Drop]]+IF(DropAnalityka[[#This Row],[Drop]]="Scroll", 2000*DropAnalityka[[#This Row],[Quality/Quantity]],0)</f>
        <v>0</v>
      </c>
      <c r="J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9:11">
      <c r="I660">
        <f>DropAnalityka[[#This Row],[Sell Drop]]+IF(DropAnalityka[[#This Row],[Drop]]="Scroll", 2000*DropAnalityka[[#This Row],[Quality/Quantity]],0)</f>
        <v>0</v>
      </c>
      <c r="J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9:11">
      <c r="I661">
        <f>DropAnalityka[[#This Row],[Sell Drop]]+IF(DropAnalityka[[#This Row],[Drop]]="Scroll", 2000*DropAnalityka[[#This Row],[Quality/Quantity]],0)</f>
        <v>0</v>
      </c>
      <c r="J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9:11">
      <c r="I662">
        <f>DropAnalityka[[#This Row],[Sell Drop]]+IF(DropAnalityka[[#This Row],[Drop]]="Scroll", 2000*DropAnalityka[[#This Row],[Quality/Quantity]],0)</f>
        <v>0</v>
      </c>
      <c r="J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9:11">
      <c r="I663">
        <f>DropAnalityka[[#This Row],[Sell Drop]]+IF(DropAnalityka[[#This Row],[Drop]]="Scroll", 2000*DropAnalityka[[#This Row],[Quality/Quantity]],0)</f>
        <v>0</v>
      </c>
      <c r="J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9:11">
      <c r="I664">
        <f>DropAnalityka[[#This Row],[Sell Drop]]+IF(DropAnalityka[[#This Row],[Drop]]="Scroll", 2000*DropAnalityka[[#This Row],[Quality/Quantity]],0)</f>
        <v>0</v>
      </c>
      <c r="J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9:11">
      <c r="I665">
        <f>DropAnalityka[[#This Row],[Sell Drop]]+IF(DropAnalityka[[#This Row],[Drop]]="Scroll", 2000*DropAnalityka[[#This Row],[Quality/Quantity]],0)</f>
        <v>0</v>
      </c>
      <c r="J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9:11">
      <c r="I666">
        <f>DropAnalityka[[#This Row],[Sell Drop]]+IF(DropAnalityka[[#This Row],[Drop]]="Scroll", 2000*DropAnalityka[[#This Row],[Quality/Quantity]],0)</f>
        <v>0</v>
      </c>
      <c r="J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9:11">
      <c r="I667">
        <f>DropAnalityka[[#This Row],[Sell Drop]]+IF(DropAnalityka[[#This Row],[Drop]]="Scroll", 2000*DropAnalityka[[#This Row],[Quality/Quantity]],0)</f>
        <v>0</v>
      </c>
      <c r="J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9:11">
      <c r="I668">
        <f>DropAnalityka[[#This Row],[Sell Drop]]+IF(DropAnalityka[[#This Row],[Drop]]="Scroll", 2000*DropAnalityka[[#This Row],[Quality/Quantity]],0)</f>
        <v>0</v>
      </c>
      <c r="J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9:11">
      <c r="I669">
        <f>DropAnalityka[[#This Row],[Sell Drop]]+IF(DropAnalityka[[#This Row],[Drop]]="Scroll", 2000*DropAnalityka[[#This Row],[Quality/Quantity]],0)</f>
        <v>0</v>
      </c>
      <c r="J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9:11">
      <c r="I670">
        <f>DropAnalityka[[#This Row],[Sell Drop]]+IF(DropAnalityka[[#This Row],[Drop]]="Scroll", 2000*DropAnalityka[[#This Row],[Quality/Quantity]],0)</f>
        <v>0</v>
      </c>
      <c r="J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9:11">
      <c r="I671">
        <f>DropAnalityka[[#This Row],[Sell Drop]]+IF(DropAnalityka[[#This Row],[Drop]]="Scroll", 2000*DropAnalityka[[#This Row],[Quality/Quantity]],0)</f>
        <v>0</v>
      </c>
      <c r="J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9:11">
      <c r="I672">
        <f>DropAnalityka[[#This Row],[Sell Drop]]+IF(DropAnalityka[[#This Row],[Drop]]="Scroll", 2000*DropAnalityka[[#This Row],[Quality/Quantity]],0)</f>
        <v>0</v>
      </c>
      <c r="J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9:11">
      <c r="I673">
        <f>DropAnalityka[[#This Row],[Sell Drop]]+IF(DropAnalityka[[#This Row],[Drop]]="Scroll", 2000*DropAnalityka[[#This Row],[Quality/Quantity]],0)</f>
        <v>0</v>
      </c>
      <c r="J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9:11">
      <c r="I674">
        <f>DropAnalityka[[#This Row],[Sell Drop]]+IF(DropAnalityka[[#This Row],[Drop]]="Scroll", 2000*DropAnalityka[[#This Row],[Quality/Quantity]],0)</f>
        <v>0</v>
      </c>
      <c r="J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9:11">
      <c r="I675">
        <f>DropAnalityka[[#This Row],[Sell Drop]]+IF(DropAnalityka[[#This Row],[Drop]]="Scroll", 2000*DropAnalityka[[#This Row],[Quality/Quantity]],0)</f>
        <v>0</v>
      </c>
      <c r="J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9:11">
      <c r="I676">
        <f>DropAnalityka[[#This Row],[Sell Drop]]+IF(DropAnalityka[[#This Row],[Drop]]="Scroll", 2000*DropAnalityka[[#This Row],[Quality/Quantity]],0)</f>
        <v>0</v>
      </c>
      <c r="J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9:11">
      <c r="I677">
        <f>DropAnalityka[[#This Row],[Sell Drop]]+IF(DropAnalityka[[#This Row],[Drop]]="Scroll", 2000*DropAnalityka[[#This Row],[Quality/Quantity]],0)</f>
        <v>0</v>
      </c>
      <c r="J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9:11">
      <c r="I678">
        <f>DropAnalityka[[#This Row],[Sell Drop]]+IF(DropAnalityka[[#This Row],[Drop]]="Scroll", 2000*DropAnalityka[[#This Row],[Quality/Quantity]],0)</f>
        <v>0</v>
      </c>
      <c r="J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9:11">
      <c r="I679">
        <f>DropAnalityka[[#This Row],[Sell Drop]]+IF(DropAnalityka[[#This Row],[Drop]]="Scroll", 2000*DropAnalityka[[#This Row],[Quality/Quantity]],0)</f>
        <v>0</v>
      </c>
      <c r="J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9:11">
      <c r="I680">
        <f>DropAnalityka[[#This Row],[Sell Drop]]+IF(DropAnalityka[[#This Row],[Drop]]="Scroll", 2000*DropAnalityka[[#This Row],[Quality/Quantity]],0)</f>
        <v>0</v>
      </c>
      <c r="J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9:11">
      <c r="I681">
        <f>DropAnalityka[[#This Row],[Sell Drop]]+IF(DropAnalityka[[#This Row],[Drop]]="Scroll", 2000*DropAnalityka[[#This Row],[Quality/Quantity]],0)</f>
        <v>0</v>
      </c>
      <c r="J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9:11">
      <c r="I682">
        <f>DropAnalityka[[#This Row],[Sell Drop]]+IF(DropAnalityka[[#This Row],[Drop]]="Scroll", 2000*DropAnalityka[[#This Row],[Quality/Quantity]],0)</f>
        <v>0</v>
      </c>
      <c r="J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9:11">
      <c r="I683">
        <f>DropAnalityka[[#This Row],[Sell Drop]]+IF(DropAnalityka[[#This Row],[Drop]]="Scroll", 2000*DropAnalityka[[#This Row],[Quality/Quantity]],0)</f>
        <v>0</v>
      </c>
      <c r="J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9:11">
      <c r="I684">
        <f>DropAnalityka[[#This Row],[Sell Drop]]+IF(DropAnalityka[[#This Row],[Drop]]="Scroll", 2000*DropAnalityka[[#This Row],[Quality/Quantity]],0)</f>
        <v>0</v>
      </c>
      <c r="J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9:11">
      <c r="I685">
        <f>DropAnalityka[[#This Row],[Sell Drop]]+IF(DropAnalityka[[#This Row],[Drop]]="Scroll", 2000*DropAnalityka[[#This Row],[Quality/Quantity]],0)</f>
        <v>0</v>
      </c>
      <c r="J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9:11">
      <c r="I686">
        <f>DropAnalityka[[#This Row],[Sell Drop]]+IF(DropAnalityka[[#This Row],[Drop]]="Scroll", 2000*DropAnalityka[[#This Row],[Quality/Quantity]],0)</f>
        <v>0</v>
      </c>
      <c r="J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9:11">
      <c r="I687">
        <f>DropAnalityka[[#This Row],[Sell Drop]]+IF(DropAnalityka[[#This Row],[Drop]]="Scroll", 2000*DropAnalityka[[#This Row],[Quality/Quantity]],0)</f>
        <v>0</v>
      </c>
      <c r="J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9:11">
      <c r="I688">
        <f>DropAnalityka[[#This Row],[Sell Drop]]+IF(DropAnalityka[[#This Row],[Drop]]="Scroll", 2000*DropAnalityka[[#This Row],[Quality/Quantity]],0)</f>
        <v>0</v>
      </c>
      <c r="J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9:11">
      <c r="I689">
        <f>DropAnalityka[[#This Row],[Sell Drop]]+IF(DropAnalityka[[#This Row],[Drop]]="Scroll", 2000*DropAnalityka[[#This Row],[Quality/Quantity]],0)</f>
        <v>0</v>
      </c>
      <c r="J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9:11">
      <c r="I690">
        <f>DropAnalityka[[#This Row],[Sell Drop]]+IF(DropAnalityka[[#This Row],[Drop]]="Scroll", 2000*DropAnalityka[[#This Row],[Quality/Quantity]],0)</f>
        <v>0</v>
      </c>
      <c r="J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9:11">
      <c r="I691">
        <f>DropAnalityka[[#This Row],[Sell Drop]]+IF(DropAnalityka[[#This Row],[Drop]]="Scroll", 2000*DropAnalityka[[#This Row],[Quality/Quantity]],0)</f>
        <v>0</v>
      </c>
      <c r="J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9:11">
      <c r="I692">
        <f>DropAnalityka[[#This Row],[Sell Drop]]+IF(DropAnalityka[[#This Row],[Drop]]="Scroll", 2000*DropAnalityka[[#This Row],[Quality/Quantity]],0)</f>
        <v>0</v>
      </c>
      <c r="J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9:11">
      <c r="I693">
        <f>DropAnalityka[[#This Row],[Sell Drop]]+IF(DropAnalityka[[#This Row],[Drop]]="Scroll", 2000*DropAnalityka[[#This Row],[Quality/Quantity]],0)</f>
        <v>0</v>
      </c>
      <c r="J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9:11">
      <c r="I694">
        <f>DropAnalityka[[#This Row],[Sell Drop]]+IF(DropAnalityka[[#This Row],[Drop]]="Scroll", 2000*DropAnalityka[[#This Row],[Quality/Quantity]],0)</f>
        <v>0</v>
      </c>
      <c r="J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9:11">
      <c r="I695">
        <f>DropAnalityka[[#This Row],[Sell Drop]]+IF(DropAnalityka[[#This Row],[Drop]]="Scroll", 2000*DropAnalityka[[#This Row],[Quality/Quantity]],0)</f>
        <v>0</v>
      </c>
      <c r="J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9:11">
      <c r="I696">
        <f>DropAnalityka[[#This Row],[Sell Drop]]+IF(DropAnalityka[[#This Row],[Drop]]="Scroll", 2000*DropAnalityka[[#This Row],[Quality/Quantity]],0)</f>
        <v>0</v>
      </c>
      <c r="J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9:11">
      <c r="I697">
        <f>DropAnalityka[[#This Row],[Sell Drop]]+IF(DropAnalityka[[#This Row],[Drop]]="Scroll", 2000*DropAnalityka[[#This Row],[Quality/Quantity]],0)</f>
        <v>0</v>
      </c>
      <c r="J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9:11">
      <c r="I698">
        <f>DropAnalityka[[#This Row],[Sell Drop]]+IF(DropAnalityka[[#This Row],[Drop]]="Scroll", 2000*DropAnalityka[[#This Row],[Quality/Quantity]],0)</f>
        <v>0</v>
      </c>
      <c r="J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9:11">
      <c r="I699">
        <f>DropAnalityka[[#This Row],[Sell Drop]]+IF(DropAnalityka[[#This Row],[Drop]]="Scroll", 2000*DropAnalityka[[#This Row],[Quality/Quantity]],0)</f>
        <v>0</v>
      </c>
      <c r="J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9:11">
      <c r="I700">
        <f>DropAnalityka[[#This Row],[Sell Drop]]+IF(DropAnalityka[[#This Row],[Drop]]="Scroll", 2000*DropAnalityka[[#This Row],[Quality/Quantity]],0)</f>
        <v>0</v>
      </c>
      <c r="J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9:11">
      <c r="I701">
        <f>DropAnalityka[[#This Row],[Sell Drop]]+IF(DropAnalityka[[#This Row],[Drop]]="Scroll", 2000*DropAnalityka[[#This Row],[Quality/Quantity]],0)</f>
        <v>0</v>
      </c>
      <c r="J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9:11">
      <c r="I702">
        <f>DropAnalityka[[#This Row],[Sell Drop]]+IF(DropAnalityka[[#This Row],[Drop]]="Scroll", 2000*DropAnalityka[[#This Row],[Quality/Quantity]],0)</f>
        <v>0</v>
      </c>
      <c r="J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9:11">
      <c r="I703">
        <f>DropAnalityka[[#This Row],[Sell Drop]]+IF(DropAnalityka[[#This Row],[Drop]]="Scroll", 2000*DropAnalityka[[#This Row],[Quality/Quantity]],0)</f>
        <v>0</v>
      </c>
      <c r="J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9:11">
      <c r="I704">
        <f>DropAnalityka[[#This Row],[Sell Drop]]+IF(DropAnalityka[[#This Row],[Drop]]="Scroll", 2000*DropAnalityka[[#This Row],[Quality/Quantity]],0)</f>
        <v>0</v>
      </c>
      <c r="J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9:11">
      <c r="I705">
        <f>DropAnalityka[[#This Row],[Sell Drop]]+IF(DropAnalityka[[#This Row],[Drop]]="Scroll", 2000*DropAnalityka[[#This Row],[Quality/Quantity]],0)</f>
        <v>0</v>
      </c>
      <c r="J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9:11">
      <c r="I706">
        <f>DropAnalityka[[#This Row],[Sell Drop]]+IF(DropAnalityka[[#This Row],[Drop]]="Scroll", 2000*DropAnalityka[[#This Row],[Quality/Quantity]],0)</f>
        <v>0</v>
      </c>
      <c r="J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9:11">
      <c r="I707">
        <f>DropAnalityka[[#This Row],[Sell Drop]]+IF(DropAnalityka[[#This Row],[Drop]]="Scroll", 2000*DropAnalityka[[#This Row],[Quality/Quantity]],0)</f>
        <v>0</v>
      </c>
      <c r="J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9:11">
      <c r="I708">
        <f>DropAnalityka[[#This Row],[Sell Drop]]+IF(DropAnalityka[[#This Row],[Drop]]="Scroll", 2000*DropAnalityka[[#This Row],[Quality/Quantity]],0)</f>
        <v>0</v>
      </c>
      <c r="J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9:11">
      <c r="I709">
        <f>DropAnalityka[[#This Row],[Sell Drop]]+IF(DropAnalityka[[#This Row],[Drop]]="Scroll", 2000*DropAnalityka[[#This Row],[Quality/Quantity]],0)</f>
        <v>0</v>
      </c>
      <c r="J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9:11">
      <c r="I710">
        <f>DropAnalityka[[#This Row],[Sell Drop]]+IF(DropAnalityka[[#This Row],[Drop]]="Scroll", 2000*DropAnalityka[[#This Row],[Quality/Quantity]],0)</f>
        <v>0</v>
      </c>
      <c r="J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9:11">
      <c r="I711">
        <f>DropAnalityka[[#This Row],[Sell Drop]]+IF(DropAnalityka[[#This Row],[Drop]]="Scroll", 2000*DropAnalityka[[#This Row],[Quality/Quantity]],0)</f>
        <v>0</v>
      </c>
      <c r="J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9:11">
      <c r="I712">
        <f>DropAnalityka[[#This Row],[Sell Drop]]+IF(DropAnalityka[[#This Row],[Drop]]="Scroll", 2000*DropAnalityka[[#This Row],[Quality/Quantity]],0)</f>
        <v>0</v>
      </c>
      <c r="J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9:11">
      <c r="I713">
        <f>DropAnalityka[[#This Row],[Sell Drop]]+IF(DropAnalityka[[#This Row],[Drop]]="Scroll", 2000*DropAnalityka[[#This Row],[Quality/Quantity]],0)</f>
        <v>0</v>
      </c>
      <c r="J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9:11">
      <c r="I714">
        <f>DropAnalityka[[#This Row],[Sell Drop]]+IF(DropAnalityka[[#This Row],[Drop]]="Scroll", 2000*DropAnalityka[[#This Row],[Quality/Quantity]],0)</f>
        <v>0</v>
      </c>
      <c r="J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9:11">
      <c r="I715">
        <f>DropAnalityka[[#This Row],[Sell Drop]]+IF(DropAnalityka[[#This Row],[Drop]]="Scroll", 2000*DropAnalityka[[#This Row],[Quality/Quantity]],0)</f>
        <v>0</v>
      </c>
      <c r="J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9:11">
      <c r="I716">
        <f>DropAnalityka[[#This Row],[Sell Drop]]+IF(DropAnalityka[[#This Row],[Drop]]="Scroll", 2000*DropAnalityka[[#This Row],[Quality/Quantity]],0)</f>
        <v>0</v>
      </c>
      <c r="J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9:11">
      <c r="I717">
        <f>DropAnalityka[[#This Row],[Sell Drop]]+IF(DropAnalityka[[#This Row],[Drop]]="Scroll", 2000*DropAnalityka[[#This Row],[Quality/Quantity]],0)</f>
        <v>0</v>
      </c>
      <c r="J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9:11">
      <c r="I718">
        <f>DropAnalityka[[#This Row],[Sell Drop]]+IF(DropAnalityka[[#This Row],[Drop]]="Scroll", 2000*DropAnalityka[[#This Row],[Quality/Quantity]],0)</f>
        <v>0</v>
      </c>
      <c r="J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9:11">
      <c r="I719">
        <f>DropAnalityka[[#This Row],[Sell Drop]]+IF(DropAnalityka[[#This Row],[Drop]]="Scroll", 2000*DropAnalityka[[#This Row],[Quality/Quantity]],0)</f>
        <v>0</v>
      </c>
      <c r="J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9:11">
      <c r="I720">
        <f>DropAnalityka[[#This Row],[Sell Drop]]+IF(DropAnalityka[[#This Row],[Drop]]="Scroll", 2000*DropAnalityka[[#This Row],[Quality/Quantity]],0)</f>
        <v>0</v>
      </c>
      <c r="J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9:11">
      <c r="I721">
        <f>DropAnalityka[[#This Row],[Sell Drop]]+IF(DropAnalityka[[#This Row],[Drop]]="Scroll", 2000*DropAnalityka[[#This Row],[Quality/Quantity]],0)</f>
        <v>0</v>
      </c>
      <c r="J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9:11">
      <c r="I722">
        <f>DropAnalityka[[#This Row],[Sell Drop]]+IF(DropAnalityka[[#This Row],[Drop]]="Scroll", 2000*DropAnalityka[[#This Row],[Quality/Quantity]],0)</f>
        <v>0</v>
      </c>
      <c r="J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9:11">
      <c r="I723">
        <f>DropAnalityka[[#This Row],[Sell Drop]]+IF(DropAnalityka[[#This Row],[Drop]]="Scroll", 2000*DropAnalityka[[#This Row],[Quality/Quantity]],0)</f>
        <v>0</v>
      </c>
      <c r="J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9:11">
      <c r="I724">
        <f>DropAnalityka[[#This Row],[Sell Drop]]+IF(DropAnalityka[[#This Row],[Drop]]="Scroll", 2000*DropAnalityka[[#This Row],[Quality/Quantity]],0)</f>
        <v>0</v>
      </c>
      <c r="J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9:11">
      <c r="I725">
        <f>DropAnalityka[[#This Row],[Sell Drop]]+IF(DropAnalityka[[#This Row],[Drop]]="Scroll", 2000*DropAnalityka[[#This Row],[Quality/Quantity]],0)</f>
        <v>0</v>
      </c>
      <c r="J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9:11">
      <c r="I726">
        <f>DropAnalityka[[#This Row],[Sell Drop]]+IF(DropAnalityka[[#This Row],[Drop]]="Scroll", 2000*DropAnalityka[[#This Row],[Quality/Quantity]],0)</f>
        <v>0</v>
      </c>
      <c r="J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9:11">
      <c r="I727">
        <f>DropAnalityka[[#This Row],[Sell Drop]]+IF(DropAnalityka[[#This Row],[Drop]]="Scroll", 2000*DropAnalityka[[#This Row],[Quality/Quantity]],0)</f>
        <v>0</v>
      </c>
      <c r="J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9:11">
      <c r="I728">
        <f>DropAnalityka[[#This Row],[Sell Drop]]+IF(DropAnalityka[[#This Row],[Drop]]="Scroll", 2000*DropAnalityka[[#This Row],[Quality/Quantity]],0)</f>
        <v>0</v>
      </c>
      <c r="J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9:11">
      <c r="I729">
        <f>DropAnalityka[[#This Row],[Sell Drop]]+IF(DropAnalityka[[#This Row],[Drop]]="Scroll", 2000*DropAnalityka[[#This Row],[Quality/Quantity]],0)</f>
        <v>0</v>
      </c>
      <c r="J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9:11">
      <c r="I730">
        <f>DropAnalityka[[#This Row],[Sell Drop]]+IF(DropAnalityka[[#This Row],[Drop]]="Scroll", 2000*DropAnalityka[[#This Row],[Quality/Quantity]],0)</f>
        <v>0</v>
      </c>
      <c r="J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9:11">
      <c r="I731">
        <f>DropAnalityka[[#This Row],[Sell Drop]]+IF(DropAnalityka[[#This Row],[Drop]]="Scroll", 2000*DropAnalityka[[#This Row],[Quality/Quantity]],0)</f>
        <v>0</v>
      </c>
      <c r="J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9:11">
      <c r="I732">
        <f>DropAnalityka[[#This Row],[Sell Drop]]+IF(DropAnalityka[[#This Row],[Drop]]="Scroll", 2000*DropAnalityka[[#This Row],[Quality/Quantity]],0)</f>
        <v>0</v>
      </c>
      <c r="J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9:11">
      <c r="I733">
        <f>DropAnalityka[[#This Row],[Sell Drop]]+IF(DropAnalityka[[#This Row],[Drop]]="Scroll", 2000*DropAnalityka[[#This Row],[Quality/Quantity]],0)</f>
        <v>0</v>
      </c>
      <c r="J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9:11">
      <c r="I734">
        <f>DropAnalityka[[#This Row],[Sell Drop]]+IF(DropAnalityka[[#This Row],[Drop]]="Scroll", 2000*DropAnalityka[[#This Row],[Quality/Quantity]],0)</f>
        <v>0</v>
      </c>
      <c r="J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9:11">
      <c r="I735">
        <f>DropAnalityka[[#This Row],[Sell Drop]]+IF(DropAnalityka[[#This Row],[Drop]]="Scroll", 2000*DropAnalityka[[#This Row],[Quality/Quantity]],0)</f>
        <v>0</v>
      </c>
      <c r="J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9:11">
      <c r="I736">
        <f>DropAnalityka[[#This Row],[Sell Drop]]+IF(DropAnalityka[[#This Row],[Drop]]="Scroll", 2000*DropAnalityka[[#This Row],[Quality/Quantity]],0)</f>
        <v>0</v>
      </c>
      <c r="J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1">
      <c r="I737">
        <f>DropAnalityka[[#This Row],[Sell Drop]]+IF(DropAnalityka[[#This Row],[Drop]]="Scroll", 2000*DropAnalityka[[#This Row],[Quality/Quantity]],0)</f>
        <v>0</v>
      </c>
      <c r="J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1">
      <c r="I738">
        <f>DropAnalityka[[#This Row],[Sell Drop]]+IF(DropAnalityka[[#This Row],[Drop]]="Scroll", 2000*DropAnalityka[[#This Row],[Quality/Quantity]],0)</f>
        <v>0</v>
      </c>
      <c r="J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1">
      <c r="I739">
        <f>DropAnalityka[[#This Row],[Sell Drop]]+IF(DropAnalityka[[#This Row],[Drop]]="Scroll", 2000*DropAnalityka[[#This Row],[Quality/Quantity]],0)</f>
        <v>0</v>
      </c>
      <c r="J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0" spans="1:11">
      <c r="I740">
        <f>DropAnalityka[[#This Row],[Sell Drop]]+IF(DropAnalityka[[#This Row],[Drop]]="Scroll", 2000*DropAnalityka[[#This Row],[Quality/Quantity]],0)</f>
        <v>0</v>
      </c>
      <c r="J7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1" spans="1:11">
      <c r="I741">
        <f>DropAnalityka[[#This Row],[Sell Drop]]+IF(DropAnalityka[[#This Row],[Drop]]="Scroll", 2000*DropAnalityka[[#This Row],[Quality/Quantity]],0)</f>
        <v>0</v>
      </c>
      <c r="J7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2" spans="1:11">
      <c r="I742">
        <f>DropAnalityka[[#This Row],[Sell Drop]]+IF(DropAnalityka[[#This Row],[Drop]]="Scroll", 2000*DropAnalityka[[#This Row],[Quality/Quantity]],0)</f>
        <v>0</v>
      </c>
      <c r="J7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3" spans="1:11">
      <c r="A743" s="6"/>
      <c r="B743" s="6"/>
      <c r="C743" s="6"/>
      <c r="D743" s="6"/>
      <c r="E743" s="6"/>
      <c r="F743" s="6"/>
      <c r="G743" s="6"/>
      <c r="H743" s="6"/>
      <c r="I743">
        <f>DropAnalityka[[#This Row],[Sell Drop]]+IF(DropAnalityka[[#This Row],[Drop]]="Scroll", 2000*DropAnalityka[[#This Row],[Quality/Quantity]],0)</f>
        <v>0</v>
      </c>
      <c r="J7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D54" sqref="D5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10.685009981583352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2304779.8859364158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3597.7858563102154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1891251.2465484703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3597.7858563102154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1837645.6821833665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3597.7858563102154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1837645.6821833665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3597.7858563102154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2663997.2213350367</v>
      </c>
      <c r="C18" s="1">
        <f t="shared" ref="C18:C21" si="4">($G18+$H18)/($O18-$N18)*M18</f>
        <v>2078778.6818552825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4213.7449664429532</v>
      </c>
      <c r="N18">
        <f>SUMIFS(LocFeatures[[#All],[Energy gain]],LocFeatures[[#All],[Location]],Summary!$I18,LocFeatures[[#All],[LVL]],Summary!$J18,LocFeatures[[#All],[Stage]],Summary!$K18)</f>
        <v>0.93288590604026844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4372034.0466304692</v>
      </c>
      <c r="C19" s="1">
        <f t="shared" si="4"/>
        <v>1705799.6719542923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4213.7449664429532</v>
      </c>
      <c r="N19">
        <f>SUMIFS(LocFeatures[[#All],[Energy gain]],LocFeatures[[#All],[Location]],Summary!$I19,LocFeatures[[#All],[LVL]],Summary!$J19,LocFeatures[[#All],[Stage]],Summary!$K19)</f>
        <v>0.93288590604026844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4009123.1555413604</v>
      </c>
      <c r="C20" s="1">
        <f t="shared" si="4"/>
        <v>1657450.541041201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4213.7449664429532</v>
      </c>
      <c r="N20">
        <f>SUMIFS(LocFeatures[[#All],[Energy gain]],LocFeatures[[#All],[Location]],Summary!$I20,LocFeatures[[#All],[LVL]],Summary!$J20,LocFeatures[[#All],[Stage]],Summary!$K20)</f>
        <v>0.93288590604026844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3858747.8441392523</v>
      </c>
      <c r="C21" s="1">
        <f t="shared" si="4"/>
        <v>1657450.541041201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4213.7449664429532</v>
      </c>
      <c r="N21">
        <f>SUMIFS(LocFeatures[[#All],[Energy gain]],LocFeatures[[#All],[Location]],Summary!$I21,LocFeatures[[#All],[LVL]],Summary!$J21,LocFeatures[[#All],[Stage]],Summary!$K21)</f>
        <v>0.93288590604026844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1532707.3149105955</v>
      </c>
      <c r="C22" s="1">
        <f t="shared" ref="C22" si="6">($G22+$H22)/($O22-$N22)*M22</f>
        <v>598003.49381803849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4213.7449664429532</v>
      </c>
      <c r="N22">
        <f>SUMIFS(LocFeatures[[#All],[Energy gain]],LocFeatures[[#All],[Location]],Summary!$I22,LocFeatures[[#All],[LVL]],Summary!$J22,LocFeatures[[#All],[Stage]],Summary!$K22)</f>
        <v>0.93288590604026844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2040067.4544873843</v>
      </c>
      <c r="C23" s="1">
        <f t="shared" ref="C23" si="9">($G23+$H23)/($O23-$N23)*M23</f>
        <v>795955.92292132438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4213.7449664429532</v>
      </c>
      <c r="N23">
        <f>SUMIFS(LocFeatures[[#All],[Energy gain]],LocFeatures[[#All],[Location]],Summary!$I23,LocFeatures[[#All],[LVL]],Summary!$J23,LocFeatures[[#All],[Stage]],Summary!$K23)</f>
        <v>0.93288590604026844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4287944.9377195779</v>
      </c>
      <c r="C24" s="1">
        <f t="shared" ref="C24:C26" si="11">($G24+$H24)/($O24-$N24)*M24</f>
        <v>1672991.3331204087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4213.7449664429532</v>
      </c>
      <c r="N24">
        <f>SUMIFS(LocFeatures[[#All],[Energy gain]],LocFeatures[[#All],[Location]],Summary!$I24,LocFeatures[[#All],[LVL]],Summary!$J24,LocFeatures[[#All],[Stage]],Summary!$K24)</f>
        <v>0.93288590604026844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938057.55349728523</v>
      </c>
      <c r="C34" s="1">
        <f t="shared" si="19"/>
        <v>365994.0087299053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4213.7449664429532</v>
      </c>
      <c r="N34">
        <f>SUMIFS(LocFeatures[[#All],[Energy gain]],LocFeatures[[#All],[Location]],Summary!$I34,LocFeatures[[#All],[LVL]],Summary!$J34,LocFeatures[[#All],[Stage]],Summary!$K34)</f>
        <v>0.93288590604026844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712002.04407537519</v>
      </c>
      <c r="C35" s="1">
        <f t="shared" ref="C35:C40" si="23">($G35+$H35)/($O35-$N35)*M35</f>
        <v>555591.67209624185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4213.7449664429532</v>
      </c>
      <c r="N35">
        <f>SUMIFS(LocFeatures[[#All],[Energy gain]],LocFeatures[[#All],[Location]],Summary!$I35,LocFeatures[[#All],[LVL]],Summary!$J35,LocFeatures[[#All],[Stage]],Summary!$K35)</f>
        <v>0.93288590604026844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B5" sqref="B5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tabSelected="1"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2015-09-29T07:38:22Z</dcterms:modified>
</cp:coreProperties>
</file>