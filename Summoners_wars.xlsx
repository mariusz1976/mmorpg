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1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  <sheet name="Fusion" sheetId="9" r:id="rId9"/>
  </sheets>
  <calcPr calcId="125725"/>
  <pivotCaches>
    <pivotCache cacheId="86" r:id="rId10"/>
  </pivotCaches>
</workbook>
</file>

<file path=xl/calcChain.xml><?xml version="1.0" encoding="utf-8"?>
<calcChain xmlns="http://schemas.openxmlformats.org/spreadsheetml/2006/main">
  <c r="O37" i="1"/>
  <c r="M35"/>
  <c r="M34"/>
  <c r="M33"/>
  <c r="M32"/>
  <c r="M19"/>
  <c r="M31"/>
  <c r="Q4" i="4" l="1"/>
  <c r="L4"/>
  <c r="K4"/>
  <c r="J4"/>
  <c r="O4" l="1"/>
  <c r="Q2"/>
  <c r="Q3"/>
  <c r="Q5"/>
  <c r="Q6"/>
  <c r="Q7"/>
  <c r="Q8"/>
  <c r="Q9"/>
  <c r="Q10"/>
  <c r="Q11"/>
  <c r="Q12"/>
  <c r="Q13"/>
  <c r="Q14"/>
  <c r="Q15"/>
  <c r="Q16"/>
  <c r="Q17"/>
  <c r="Q18"/>
  <c r="Q19"/>
  <c r="Q20"/>
  <c r="Q21"/>
  <c r="Q22"/>
  <c r="Q23"/>
  <c r="Q24"/>
  <c r="Q25"/>
  <c r="Q26"/>
  <c r="Q27"/>
  <c r="Q28"/>
  <c r="Q29"/>
  <c r="Q30"/>
  <c r="Q31"/>
  <c r="Q32"/>
  <c r="Q33"/>
  <c r="Q34"/>
  <c r="Q35"/>
  <c r="Q36"/>
  <c r="Q37"/>
  <c r="Q38"/>
  <c r="Q39"/>
  <c r="Q40"/>
  <c r="Q41"/>
  <c r="Q42"/>
  <c r="Q43"/>
  <c r="Q44"/>
  <c r="Q45"/>
  <c r="Q46"/>
  <c r="Q47"/>
  <c r="Q48"/>
  <c r="Q49"/>
  <c r="Q50"/>
  <c r="Q51"/>
  <c r="Q52"/>
  <c r="Q53"/>
  <c r="Q54"/>
  <c r="Q55"/>
  <c r="Q56"/>
  <c r="Q57"/>
  <c r="Q58"/>
  <c r="Q59"/>
  <c r="Q60"/>
  <c r="Q61"/>
  <c r="Q62"/>
  <c r="Q63"/>
  <c r="Q64"/>
  <c r="Q65"/>
  <c r="Q66"/>
  <c r="Q67"/>
  <c r="Q68"/>
  <c r="Q69"/>
  <c r="Q70"/>
  <c r="Q71"/>
  <c r="Q72"/>
  <c r="Q73"/>
  <c r="Q74"/>
  <c r="Q75"/>
  <c r="Q76"/>
  <c r="Q77"/>
  <c r="Q78"/>
  <c r="Q79"/>
  <c r="Q80"/>
  <c r="Q81"/>
  <c r="Q82"/>
  <c r="Q83"/>
  <c r="Q84"/>
  <c r="Q85"/>
  <c r="Q86"/>
  <c r="Q87"/>
  <c r="Q88"/>
  <c r="Q89"/>
  <c r="Q90"/>
  <c r="Q91"/>
  <c r="Q92"/>
  <c r="Q93"/>
  <c r="Q94"/>
  <c r="Q95"/>
  <c r="Q96"/>
  <c r="Q97"/>
  <c r="Q98"/>
  <c r="Q99"/>
  <c r="Q100"/>
  <c r="Q101"/>
  <c r="Q102"/>
  <c r="Q103"/>
  <c r="Q104"/>
  <c r="Q105"/>
  <c r="Q106"/>
  <c r="Q107"/>
  <c r="Q108"/>
  <c r="Q109"/>
  <c r="M30" i="1"/>
  <c r="O29"/>
  <c r="M17"/>
  <c r="M18"/>
  <c r="M6" i="4"/>
  <c r="M3"/>
  <c r="M13"/>
  <c r="M9"/>
  <c r="M8"/>
  <c r="M10"/>
  <c r="M11"/>
  <c r="M14"/>
  <c r="M7"/>
  <c r="M15"/>
  <c r="M17"/>
  <c r="M16"/>
  <c r="M18"/>
  <c r="M19"/>
  <c r="M12"/>
  <c r="M20"/>
  <c r="M2"/>
  <c r="J6"/>
  <c r="J3"/>
  <c r="J5"/>
  <c r="J13"/>
  <c r="J9"/>
  <c r="J8"/>
  <c r="J10"/>
  <c r="J11"/>
  <c r="J14"/>
  <c r="O14" s="1"/>
  <c r="J7"/>
  <c r="J15"/>
  <c r="J17"/>
  <c r="J16"/>
  <c r="J18"/>
  <c r="J19"/>
  <c r="J12"/>
  <c r="J20"/>
  <c r="J2"/>
  <c r="I13"/>
  <c r="I8"/>
  <c r="I11"/>
  <c r="I14"/>
  <c r="I15"/>
  <c r="I19"/>
  <c r="I12"/>
  <c r="I20"/>
  <c r="I2"/>
  <c r="L6"/>
  <c r="L3"/>
  <c r="L5"/>
  <c r="L13"/>
  <c r="L9"/>
  <c r="L8"/>
  <c r="L10"/>
  <c r="L11"/>
  <c r="L14"/>
  <c r="L7"/>
  <c r="L15"/>
  <c r="L17"/>
  <c r="L16"/>
  <c r="L18"/>
  <c r="L19"/>
  <c r="L12"/>
  <c r="L20"/>
  <c r="L2"/>
  <c r="O6"/>
  <c r="O9"/>
  <c r="N14" l="1"/>
  <c r="O16"/>
  <c r="N11"/>
  <c r="N13"/>
  <c r="O31" i="1"/>
  <c r="O20" i="4"/>
  <c r="N20"/>
  <c r="N19"/>
  <c r="N15"/>
  <c r="P12"/>
  <c r="P17"/>
  <c r="P11"/>
  <c r="P13"/>
  <c r="O18"/>
  <c r="O8"/>
  <c r="O3"/>
  <c r="N12"/>
  <c r="P20"/>
  <c r="P16"/>
  <c r="P14"/>
  <c r="P9"/>
  <c r="P6"/>
  <c r="O7"/>
  <c r="N8"/>
  <c r="O19"/>
  <c r="O15"/>
  <c r="O10"/>
  <c r="O5"/>
  <c r="O12"/>
  <c r="O17"/>
  <c r="O11"/>
  <c r="O13"/>
  <c r="P18"/>
  <c r="P7"/>
  <c r="P8"/>
  <c r="P3"/>
  <c r="P19"/>
  <c r="P15"/>
  <c r="P10"/>
  <c r="K5"/>
  <c r="O33" i="1" l="1"/>
  <c r="K20" i="4"/>
  <c r="O35" i="1" l="1"/>
  <c r="J543" i="3"/>
  <c r="M36" i="1" l="1"/>
  <c r="K15" i="4"/>
  <c r="K16" i="8" l="1"/>
  <c r="J16"/>
  <c r="I16"/>
  <c r="H16"/>
  <c r="G16"/>
  <c r="F16"/>
  <c r="E16"/>
  <c r="D16"/>
  <c r="K12"/>
  <c r="J12"/>
  <c r="I12"/>
  <c r="H12"/>
  <c r="G12"/>
  <c r="E12"/>
  <c r="F12"/>
  <c r="D12"/>
  <c r="K2" i="3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L179"/>
  <c r="L180"/>
  <c r="L181"/>
  <c r="L182"/>
  <c r="L183"/>
  <c r="L184"/>
  <c r="L185"/>
  <c r="L186"/>
  <c r="L187"/>
  <c r="L188"/>
  <c r="L189"/>
  <c r="L190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5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M5" i="4" s="1"/>
  <c r="P5" s="1"/>
  <c r="L620" i="3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M4" i="4" s="1"/>
  <c r="P4" s="1"/>
  <c r="L649" i="3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J739" l="1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I4" i="4" s="1"/>
  <c r="N4" s="1"/>
  <c r="J637" i="3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I5" i="4" s="1"/>
  <c r="N5" s="1"/>
  <c r="J618" i="3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79"/>
  <c r="I16" i="4" s="1"/>
  <c r="N16" s="1"/>
  <c r="J372" i="3"/>
  <c r="J371"/>
  <c r="J364"/>
  <c r="J360"/>
  <c r="J354"/>
  <c r="J349"/>
  <c r="J343"/>
  <c r="J324"/>
  <c r="J319"/>
  <c r="J314"/>
  <c r="J307"/>
  <c r="J299"/>
  <c r="J296"/>
  <c r="J294"/>
  <c r="I18" i="4" s="1"/>
  <c r="N18" s="1"/>
  <c r="J283" i="3"/>
  <c r="J276"/>
  <c r="J273"/>
  <c r="J271"/>
  <c r="J269"/>
  <c r="J267"/>
  <c r="J253"/>
  <c r="J252"/>
  <c r="J249"/>
  <c r="J248"/>
  <c r="J240"/>
  <c r="J234"/>
  <c r="J233"/>
  <c r="J232"/>
  <c r="J221"/>
  <c r="J216"/>
  <c r="J201"/>
  <c r="J200"/>
  <c r="J197"/>
  <c r="J185"/>
  <c r="J181"/>
  <c r="J175"/>
  <c r="I17" i="4" s="1"/>
  <c r="N17" s="1"/>
  <c r="J173" i="3"/>
  <c r="J172"/>
  <c r="J171"/>
  <c r="J169"/>
  <c r="J167"/>
  <c r="J166"/>
  <c r="J162"/>
  <c r="J161"/>
  <c r="J160"/>
  <c r="J157"/>
  <c r="J154"/>
  <c r="J152"/>
  <c r="J15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2"/>
  <c r="K16" i="4"/>
  <c r="M16" i="1"/>
  <c r="I10" i="4" l="1"/>
  <c r="N10" s="1"/>
  <c r="I6"/>
  <c r="N6" s="1"/>
  <c r="I3"/>
  <c r="N3" s="1"/>
  <c r="I9"/>
  <c r="N9" s="1"/>
  <c r="I7"/>
  <c r="N7" s="1"/>
  <c r="O16" i="1"/>
  <c r="M20"/>
  <c r="O18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11"/>
  <c r="K19"/>
  <c r="K10"/>
  <c r="K9"/>
  <c r="K12"/>
  <c r="K3"/>
  <c r="K17"/>
  <c r="K8"/>
  <c r="K7"/>
  <c r="K14"/>
  <c r="K13"/>
  <c r="K6"/>
  <c r="K18"/>
  <c r="Y8" i="1" l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D2" i="6"/>
  <c r="Y2" s="1"/>
  <c r="O2" s="1"/>
  <c r="P2" s="1"/>
  <c r="R2" s="1"/>
  <c r="AC2"/>
  <c r="X2" s="1"/>
  <c r="AB2"/>
  <c r="W2" s="1"/>
  <c r="E3"/>
  <c r="E4" s="1"/>
  <c r="F3"/>
  <c r="G4"/>
  <c r="G5" s="1"/>
  <c r="G6" s="1"/>
  <c r="N4"/>
  <c r="N7" s="1"/>
  <c r="U3" i="1"/>
  <c r="V3" s="1"/>
  <c r="U2"/>
  <c r="M7" l="1"/>
  <c r="O4"/>
  <c r="M6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9" i="1" l="1"/>
  <c r="M8"/>
  <c r="N27" i="2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M10" i="1" l="1"/>
  <c r="M11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O10" i="1" l="1"/>
  <c r="O12" s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L39" l="1"/>
  <c r="L40"/>
  <c r="N39"/>
  <c r="N40"/>
  <c r="N3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U33" l="1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A3"/>
  <c r="B3" s="1"/>
  <c r="N2" i="4" l="1"/>
  <c r="O2"/>
  <c r="P2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C33"/>
  <c r="B36"/>
  <c r="H37"/>
  <c r="F38"/>
  <c r="B34"/>
  <c r="C34"/>
  <c r="B31"/>
  <c r="C31"/>
  <c r="C32"/>
  <c r="B32"/>
  <c r="B35"/>
  <c r="C35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<sst xmlns="http://schemas.openxmlformats.org/spreadsheetml/2006/main" count="2232" uniqueCount="304">
  <si>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</si>
  <si>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</si>
  <si>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</si>
  <si>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</si>
  <si>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</si>
  <si>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</si>
  <si>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</si>
  <si>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</si>
  <si>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</si>
  <si>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</si>
  <si>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</si>
  <si>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</si>
  <si>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</si>
  <si>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</si>
  <si>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</si>
  <si>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</si>
  <si>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</si>
  <si>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</si>
  <si>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</si>
  <si>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</si>
  <si>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</si>
  <si>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</si>
  <si>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</si>
  <si>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</si>
  <si>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</si>
  <si>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</si>
  <si>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</si>
  <si>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</si>
  <si>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</si>
  <si>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</si>
  <si>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</si>
  <si>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</si>
  <si>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</si>
  <si>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</si>
  <si>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</si>
  <si>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</si>
  <si>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</si>
  <si>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</si>
  <si>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</si>
  <si>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</si>
  <si>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</si>
  <si>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</si>
  <si>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</si>
  <si>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</si>
  <si>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</si>
  <si>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</si>
  <si>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</si>
  <si>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</si>
  <si>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</si>
  <si>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</si>
  <si>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</si>
  <si>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</si>
  <si>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</si>
  <si>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</si>
  <si>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</si>
  <si>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</si>
  <si>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</si>
  <si>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</si>
  <si>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</si>
  <si>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</si>
  <si>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</si>
  <si>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</si>
  <si>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</si>
  <si>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</si>
  <si>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</si>
  <si>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</si>
  <si>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</si>
  <si>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</si>
  <si>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</si>
  <si>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</si>
  <si>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</si>
  <si>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</si>
  <si>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</si>
  <si>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</si>
  <si>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</si>
  <si>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</si>
  <si>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</si>
  <si>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</si>
  <si>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</si>
  <si>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</si>
  <si>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</si>
  <si>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</si>
  <si>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</si>
  <si>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</si>
  <si>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</si>
  <si>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</si>
  <si>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</si>
  <si>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</si>
  <si>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</si>
  <si>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</si>
  <si>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</si>
  <si>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</si>
  <si>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</si>
  <si>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</si>
  <si>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</si>
  <si>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</si>
  <si>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</si>
  <si>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</si>
  <si>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</si>
  <si>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</si>
  <si>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</si>
  <si>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</si>
  <si>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</si>
  <si>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</si>
  <si>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</si>
  <si>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</si>
  <si>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</si>
  <si>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</si>
  <si>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</si>
  <si>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</si>
  <si>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</si>
  <si>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</si>
  <si>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</si>
  <si>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</si>
  <si>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</si>
  <si>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</si>
  <si>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</si>
  <si>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</si>
  <si>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</si>
  <si>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</si>
  <si>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</si>
  <si>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</si>
  <si>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</si>
  <si>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</si>
  <si>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</si>
  <si>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</si>
  <si>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</si>
  <si>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</si>
  <si>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</si>
  <si>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</si>
  <si>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</si>
  <si>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</si>
  <si>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</si>
  <si>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</si>
  <si>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</si>
  <si>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</si>
  <si>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</si>
  <si>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</si>
  <si>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</si>
  <si>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</si>
  <si>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</si>
  <si>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</si>
  <si>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</si>
  <si>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</si>
  <si>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</si>
  <si>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</si>
  <si>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</si>
  <si>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</si>
  <si>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</si>
  <si>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</si>
  <si>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</si>
  <si>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</si>
  <si>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</si>
  <si>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</si>
  <si>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</si>
  <si>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</si>
  <si>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</si>
  <si>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</si>
  <si>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</si>
  <si>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</si>
  <si>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</si>
  <si>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</si>
  <si>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</si>
  <si>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</si>
  <si>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</si>
  <si>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</si>
  <si>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</si>
  <si>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</si>
  <si>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</si>
  <si>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</si>
  <si>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</si>
  <si>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</si>
  <si>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</si>
  <si>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</si>
  <si>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</si>
  <si>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</si>
  <si>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</si>
  <si>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</si>
  <si>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</si>
  <si>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</si>
  <si>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</si>
  <si>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</si>
  <si>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</si>
  <si>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</si>
  <si>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</si>
  <si>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</si>
  <si>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</si>
  <si>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</si>
  <si>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</si>
  <si>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</si>
  <si>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</si>
  <si>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</si>
  <si>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</si>
  <si>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</si>
  <si>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</si>
  <si>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</si>
  <si>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</si>
  <si>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</si>
  <si>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</si>
  <si>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</si>
  <si>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</si>
  <si>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</si>
  <si>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</si>
  <si>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</si>
  <si>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</si>
  <si>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</si>
  <si>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</si>
  <si>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</si>
  <si>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</si>
  <si>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</si>
  <si>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</si>
  <si>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</si>
  <si>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</si>
  <si>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</si>
  <si>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</si>
  <si>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</si>
  <si>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</si>
  <si>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</si>
  <si>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</si>
  <si>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</si>
  <si>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</si>
  <si>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</si>
  <si>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</si>
  <si>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</si>
  <si>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</si>
  <si>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</si>
  <si>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</si>
  <si>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</si>
  <si>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</si>
  <si>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</si>
  <si>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</si>
  <si>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</si>
  <si>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</si>
  <si>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</si>
  <si>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</si>
  <si>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</si>
  <si>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</si>
  <si>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</si>
  <si>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</si>
  <si>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</si>
  <si>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EoWat(Mid)</t>
  </si>
  <si>
    <t>SumStone</t>
  </si>
  <si>
    <t>EoWat(High)</t>
  </si>
  <si>
    <t>SD(Bearman)</t>
  </si>
  <si>
    <t>Angelmon</t>
  </si>
  <si>
    <t>HoWater</t>
  </si>
  <si>
    <t>EoMag(High)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</si>
  <si>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</si>
  <si>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</si>
  <si>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</si>
  <si>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</si>
  <si>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</si>
  <si>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</si>
  <si>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</si>
  <si>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</si>
  <si>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</si>
  <si>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</si>
  <si>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</si>
  <si>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</si>
  <si>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</si>
  <si>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</si>
  <si>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</si>
  <si>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</si>
  <si>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</si>
  <si>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</si>
  <si>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</si>
  <si>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</si>
  <si>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</si>
  <si>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</si>
  <si>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</si>
  <si>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</si>
  <si>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</si>
  <si>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</si>
  <si>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</si>
  <si>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</si>
  <si>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</si>
  <si>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</si>
  <si>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</si>
  <si>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</si>
  <si>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</si>
  <si>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</si>
  <si>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</si>
  <si>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</si>
  <si>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</si>
  <si>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</si>
  <si>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</si>
  <si>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</si>
  <si>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</si>
  <si>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</si>
  <si>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</si>
  <si>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</si>
  <si>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</si>
  <si>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</si>
  <si>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</si>
  <si>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</si>
  <si>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15.50</t>
  </si>
  <si>
    <t>17.18</t>
  </si>
  <si>
    <t>17.55</t>
  </si>
  <si>
    <t>18.37</t>
  </si>
  <si>
    <t>get</t>
  </si>
  <si>
    <t>19.23</t>
  </si>
  <si>
    <t>Time sec</t>
  </si>
  <si>
    <t>Próbka</t>
  </si>
  <si>
    <t>Lapis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</si>
</sst>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</cellXfs>
  <cellStyles count="1">
    <cellStyle name="Normalny" xfId="0" builtinId="0"/>
  </cellStyles>
  <dxfs count="12">
    <dxf>
      <numFmt numFmtId="0" formatCode="General"/>
    </dxf>
    <dxf>
      <numFmt numFmtId="4" formatCode="#,##0.0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8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8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0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LocFeatures" displayName="LocFeatures" ref="A1:V109" totalsRowShown="0">
  <autoFilter ref="A1:V109">
    <filterColumn colId="0"/>
  </autoFilter>
  <sortState ref="A2:V109">
    <sortCondition descending="1" ref="O2:O109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9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8">
      <calculatedColumnFormula>4*LocFeatures[[#This Row],[XP Gain per member]]</calculatedColumnFormula>
    </tableColumn>
    <tableColumn id="11" name="XP Train Gain"/>
    <tableColumn id="22" name="XP drop" dataDxfId="7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6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0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739" totalsRowShown="0">
  <autoFilter ref="A1:M739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5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4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opLeftCell="A4" workbookViewId="0">
      <selection activeCell="L26" sqref="L2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169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3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MAXA(4*M3-Tabela6[[#This Row],[Done]],0)</f>
        <v>20</v>
      </c>
      <c r="N5">
        <v>0</v>
      </c>
      <c r="O5" s="1"/>
      <c r="P5">
        <v>3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63</v>
      </c>
      <c r="N7">
        <v>0</v>
      </c>
      <c r="O7" s="1"/>
      <c r="P7">
        <v>8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192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193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163</v>
      </c>
      <c r="R15" t="s">
        <v>164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192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193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273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35</v>
      </c>
      <c r="M27" t="s">
        <v>138</v>
      </c>
      <c r="N27" t="s">
        <v>139</v>
      </c>
      <c r="O27" t="s">
        <v>142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140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89</v>
      </c>
      <c r="M29">
        <v>13</v>
      </c>
      <c r="N29">
        <v>0</v>
      </c>
      <c r="O29" s="1">
        <f>M29*$B$5</f>
        <v>2466750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88</v>
      </c>
      <c r="M30">
        <f>MAXA(4*M28-Tabela610[[#This Row],[Done]],0)</f>
        <v>16</v>
      </c>
      <c r="N30">
        <v>0</v>
      </c>
      <c r="O30" s="1"/>
    </row>
    <row r="31" spans="4:17">
      <c r="D31">
        <v>30</v>
      </c>
      <c r="I31">
        <v>32404</v>
      </c>
      <c r="J31">
        <v>39134</v>
      </c>
      <c r="L31" t="s">
        <v>86</v>
      </c>
      <c r="M31">
        <f>M29+M30</f>
        <v>29</v>
      </c>
      <c r="N31">
        <v>0</v>
      </c>
      <c r="O31" s="1">
        <f>M31*$B$4</f>
        <v>2383278</v>
      </c>
    </row>
    <row r="32" spans="4:17">
      <c r="D32">
        <v>31</v>
      </c>
      <c r="I32">
        <v>37348</v>
      </c>
      <c r="J32">
        <v>45107</v>
      </c>
      <c r="L32" t="s">
        <v>87</v>
      </c>
      <c r="M32">
        <f>3*(M29+M30)</f>
        <v>87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141</v>
      </c>
      <c r="M33">
        <f>3+M32</f>
        <v>90</v>
      </c>
      <c r="N33">
        <v>0</v>
      </c>
      <c r="O33" s="1">
        <f>M33*$B$3</f>
        <v>3223980</v>
      </c>
    </row>
    <row r="34" spans="4:15">
      <c r="D34">
        <v>33</v>
      </c>
      <c r="I34">
        <v>49617</v>
      </c>
      <c r="J34">
        <v>59924</v>
      </c>
      <c r="L34" s="6" t="s">
        <v>144</v>
      </c>
      <c r="M34" s="6">
        <f>2*(M31+M32-10)</f>
        <v>212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192</v>
      </c>
      <c r="M35">
        <f>M34+M33</f>
        <v>302</v>
      </c>
      <c r="N35">
        <v>0</v>
      </c>
      <c r="O35" s="52">
        <f>Tabela610[[#This Row],[Missing]]*$B$2</f>
        <v>4566240</v>
      </c>
    </row>
    <row r="36" spans="4:15">
      <c r="D36">
        <v>35</v>
      </c>
      <c r="J36">
        <v>76085</v>
      </c>
      <c r="L36" s="6" t="s">
        <v>193</v>
      </c>
      <c r="M36" s="6">
        <f>MAXA(2*M35-Tabela610[[#This Row],[Done]],0)</f>
        <v>304</v>
      </c>
      <c r="N36">
        <v>300</v>
      </c>
      <c r="O36" s="45"/>
    </row>
    <row r="37" spans="4:15" ht="15">
      <c r="D37">
        <v>36</v>
      </c>
      <c r="J37">
        <v>83816</v>
      </c>
      <c r="N37" t="s">
        <v>143</v>
      </c>
      <c r="O37" s="44">
        <f>SUM(Tabela610[XP to gain])+4*B6</f>
        <v>14426836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09"/>
  <sheetViews>
    <sheetView tabSelected="1" workbookViewId="0">
      <selection activeCell="A5" sqref="A5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208</v>
      </c>
      <c r="J1" t="s">
        <v>24</v>
      </c>
      <c r="K1" t="s">
        <v>60</v>
      </c>
      <c r="L1" t="s">
        <v>59</v>
      </c>
      <c r="M1" t="s">
        <v>212</v>
      </c>
      <c r="N1" t="s">
        <v>209</v>
      </c>
      <c r="O1" t="s">
        <v>214</v>
      </c>
      <c r="P1" t="s">
        <v>26</v>
      </c>
      <c r="Q1" t="s">
        <v>302</v>
      </c>
      <c r="R1" t="s">
        <v>38</v>
      </c>
      <c r="S1" t="s">
        <v>152</v>
      </c>
      <c r="T1" t="s">
        <v>151</v>
      </c>
      <c r="U1" t="s">
        <v>154</v>
      </c>
      <c r="V1" t="s">
        <v>155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2227</v>
      </c>
      <c r="J2" s="19">
        <f>AVERAGEIFS(DropAnalityka[Energy Drop],DropAnalityka[Location],LocFeatures[[#This Row],[Location]],DropAnalityka[LVL],LocFeatures[[#This Row],[LVL]],DropAnalityka[Stage],LocFeatures[[#This Row],[Stage]])</f>
        <v>2</v>
      </c>
      <c r="K2">
        <f>4*LocFeatures[[#This Row],[XP Gain per member]]</f>
        <v>2520</v>
      </c>
      <c r="L2">
        <f>3*LocFeatures[[#This Row],[XP Gain per member]]</f>
        <v>1890</v>
      </c>
      <c r="M2" s="56">
        <f>AVERAGEIFS(DropAnalityka[Exp Gain],DropAnalityka[Location],LocFeatures[[#This Row],[Location]],DropAnalityka[LVL],LocFeatures[[#This Row],[LVL]],DropAnalityka[Stage],LocFeatures[[#This Row],[Stage]])</f>
        <v>0</v>
      </c>
      <c r="N2" s="56">
        <f>LocFeatures[[#This Row],[Drop worth gain]]/(LocFeatures[[#This Row],[E. Cost]]-LocFeatures[[#This Row],[Energy gain]])</f>
        <v>2227</v>
      </c>
      <c r="O2" s="56">
        <f>LocFeatures[[#This Row],[XP Train Gain]]/(LocFeatures[[#This Row],[E. Cost]]-LocFeatures[[#This Row],[Energy gain]])</f>
        <v>1890</v>
      </c>
      <c r="P2" s="56">
        <f>(LocFeatures[[#This Row],[XP Train Gain]]+LocFeatures[[#This Row],[XP drop]])/(LocFeatures[[#This Row],[E. Cost]]-LocFeatures[[#This Row],[Energy gain]])</f>
        <v>1890</v>
      </c>
      <c r="Q2" s="49">
        <f>COUNTIFS(DropAnalityka[Location],LocFeatures[[#This Row],[Location]],DropAnalityka[LVL],LocFeatures[[#This Row],[LVL]],DropAnalityka[Stage],LocFeatures[[#This Row],[Stage]])</f>
        <v>1</v>
      </c>
    </row>
    <row r="3" spans="1:22">
      <c r="A3" s="10" t="s">
        <v>8</v>
      </c>
      <c r="B3" s="10" t="s">
        <v>34</v>
      </c>
      <c r="C3" s="10">
        <v>3</v>
      </c>
      <c r="D3" s="10">
        <v>5</v>
      </c>
      <c r="E3" s="10">
        <v>1800</v>
      </c>
      <c r="F3" s="10">
        <v>12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3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3" s="10">
        <f>4*LocFeatures[[#This Row],[XP Gain per member]]</f>
        <v>7200</v>
      </c>
      <c r="L3">
        <f>3*LocFeatures[[#This Row],[XP Gain per member]]</f>
        <v>5400</v>
      </c>
      <c r="M3" s="56">
        <f>AVERAGEIFS(DropAnalityka[Exp Gain],DropAnalityka[Location],LocFeatures[[#This Row],[Location]],DropAnalityka[LVL],LocFeatures[[#This Row],[LVL]],DropAnalityka[Stage],LocFeatures[[#This Row],[Stage]])</f>
        <v>1984.6666666666667</v>
      </c>
      <c r="N3" s="56">
        <f>LocFeatures[[#This Row],[Drop worth gain]]/(LocFeatures[[#This Row],[E. Cost]]-LocFeatures[[#This Row],[Energy gain]])</f>
        <v>1097.8548644338116</v>
      </c>
      <c r="O3" s="56">
        <f>LocFeatures[[#This Row],[XP Train Gain]]/(LocFeatures[[#This Row],[E. Cost]]-LocFeatures[[#This Row],[Energy gain]])</f>
        <v>1343.5406698564593</v>
      </c>
      <c r="P3" s="56">
        <f>(LocFeatures[[#This Row],[XP Train Gain]]+LocFeatures[[#This Row],[XP drop]])/(LocFeatures[[#This Row],[E. Cost]]-LocFeatures[[#This Row],[Energy gain]])</f>
        <v>1837.3333333333335</v>
      </c>
      <c r="Q3" s="53">
        <f>COUNTIFS(DropAnalityka[Location],LocFeatures[[#This Row],[Location]],DropAnalityka[LVL],LocFeatures[[#This Row],[LVL]],DropAnalityka[Stage],LocFeatures[[#This Row],[Stage]])</f>
        <v>156</v>
      </c>
      <c r="R3" s="10"/>
      <c r="T3" s="10"/>
      <c r="U3" s="10"/>
      <c r="V3" s="10"/>
    </row>
    <row r="4" spans="1:22">
      <c r="A4" s="10" t="s">
        <v>8</v>
      </c>
      <c r="B4" s="10" t="s">
        <v>34</v>
      </c>
      <c r="C4" s="10">
        <v>13</v>
      </c>
      <c r="D4" s="10">
        <v>5</v>
      </c>
      <c r="E4" s="10">
        <v>1800</v>
      </c>
      <c r="F4" s="10">
        <v>12</v>
      </c>
      <c r="G4" s="10"/>
      <c r="H4" s="10"/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4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4" s="10">
        <f>4*LocFeatures[[#This Row],[XP Gain per member]]</f>
        <v>7200</v>
      </c>
      <c r="L4">
        <f>3*LocFeatures[[#This Row],[XP Gain per member]]</f>
        <v>5400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916.54666666666662</v>
      </c>
      <c r="O4" s="56">
        <f>LocFeatures[[#This Row],[XP Train Gain]]/(LocFeatures[[#This Row],[E. Cost]]-LocFeatures[[#This Row],[Energy gain]])</f>
        <v>1296</v>
      </c>
      <c r="P4" s="56">
        <f>(LocFeatures[[#This Row],[XP Train Gain]]+LocFeatures[[#This Row],[XP drop]])/(LocFeatures[[#This Row],[E. Cost]]-LocFeatures[[#This Row],[Energy gain]])</f>
        <v>1296</v>
      </c>
      <c r="Q4" s="53">
        <f>COUNTIFS(DropAnalityka[Location],LocFeatures[[#This Row],[Location]],DropAnalityka[LVL],LocFeatures[[#This Row],[LVL]],DropAnalityka[Stage],LocFeatures[[#This Row],[Stage]])</f>
        <v>18</v>
      </c>
      <c r="S4">
        <v>92</v>
      </c>
      <c r="T4" s="10" t="s">
        <v>303</v>
      </c>
    </row>
    <row r="5" spans="1:22" s="10" customFormat="1">
      <c r="A5" s="10" t="s">
        <v>33</v>
      </c>
      <c r="B5" s="10" t="s">
        <v>32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4887.5714285714284</v>
      </c>
      <c r="J5" s="19">
        <f>AVERAGEIFS(DropAnalityka[Energy Drop],DropAnalityka[Location],LocFeatures[[#This Row],[Location]],DropAnalityka[LVL],LocFeatures[[#This Row],[LVL]],DropAnalityka[Stage],LocFeatures[[#This Row],[Stage]])</f>
        <v>0.83673469387755106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1234.2857142857142</v>
      </c>
      <c r="N5" s="56">
        <f>LocFeatures[[#This Row],[Drop worth gain]]/(LocFeatures[[#This Row],[E. Cost]]-LocFeatures[[#This Row],[Energy gain]])</f>
        <v>1545.1032258064515</v>
      </c>
      <c r="O5" s="56">
        <f>LocFeatures[[#This Row],[XP Train Gain]]/(LocFeatures[[#This Row],[E. Cost]]-LocFeatures[[#This Row],[Energy gain]])</f>
        <v>1210.1419354838708</v>
      </c>
      <c r="P5" s="56">
        <f>(LocFeatures[[#This Row],[XP Train Gain]]+LocFeatures[[#This Row],[XP drop]])/(LocFeatures[[#This Row],[E. Cost]]-LocFeatures[[#This Row],[Energy gain]])</f>
        <v>1600.3354838709674</v>
      </c>
      <c r="Q5" s="49">
        <f>COUNTIFS(DropAnalityka[Location],LocFeatures[[#This Row],[Location]],DropAnalityka[LVL],LocFeatures[[#This Row],[LVL]],DropAnalityka[Stage],LocFeatures[[#This Row],[Stage]])</f>
        <v>49</v>
      </c>
      <c r="R5"/>
      <c r="S5">
        <v>58</v>
      </c>
      <c r="T5" s="10" t="s">
        <v>303</v>
      </c>
      <c r="U5"/>
      <c r="V5"/>
    </row>
    <row r="6" spans="1:22" s="10" customFormat="1">
      <c r="A6" s="10" t="s">
        <v>33</v>
      </c>
      <c r="B6" s="10" t="s">
        <v>32</v>
      </c>
      <c r="C6" s="10">
        <v>1</v>
      </c>
      <c r="D6" s="10">
        <v>4</v>
      </c>
      <c r="E6" s="10">
        <v>1276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5581.1860465116279</v>
      </c>
      <c r="J6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6" s="10">
        <f>4*LocFeatures[[#This Row],[XP Gain per member]]</f>
        <v>5104</v>
      </c>
      <c r="L6">
        <f>3*LocFeatures[[#This Row],[XP Gain per member]]</f>
        <v>3828</v>
      </c>
      <c r="M6" s="56">
        <f>AVERAGEIFS(DropAnalityka[Exp Gain],DropAnalityka[Location],LocFeatures[[#This Row],[Location]],DropAnalityka[LVL],LocFeatures[[#This Row],[LVL]],DropAnalityka[Stage],LocFeatures[[#This Row],[Stage]])</f>
        <v>4127.5348837209303</v>
      </c>
      <c r="N6" s="56">
        <f>LocFeatures[[#This Row],[Drop worth gain]]/(LocFeatures[[#This Row],[E. Cost]]-LocFeatures[[#This Row],[Energy gain]])</f>
        <v>1739.0652173913045</v>
      </c>
      <c r="O6" s="56">
        <f>LocFeatures[[#This Row],[XP Train Gain]]/(LocFeatures[[#This Row],[E. Cost]]-LocFeatures[[#This Row],[Energy gain]])</f>
        <v>1192.7826086956522</v>
      </c>
      <c r="P6" s="56">
        <f>(LocFeatures[[#This Row],[XP Train Gain]]+LocFeatures[[#This Row],[XP drop]])/(LocFeatures[[#This Row],[E. Cost]]-LocFeatures[[#This Row],[Energy gain]])</f>
        <v>2478.898550724638</v>
      </c>
      <c r="Q6" s="53">
        <f>COUNTIFS(DropAnalityka[Location],LocFeatures[[#This Row],[Location]],DropAnalityka[LVL],LocFeatures[[#This Row],[LVL]],DropAnalityka[Stage],LocFeatures[[#This Row],[Stage]])</f>
        <v>43</v>
      </c>
      <c r="S6"/>
    </row>
    <row r="7" spans="1:22" s="10" customFormat="1">
      <c r="A7" s="10" t="s">
        <v>68</v>
      </c>
      <c r="B7" s="10" t="s">
        <v>9</v>
      </c>
      <c r="C7" s="10">
        <v>1</v>
      </c>
      <c r="D7" s="10">
        <v>3</v>
      </c>
      <c r="E7" s="10">
        <v>799</v>
      </c>
      <c r="F7" s="10">
        <v>13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7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7" s="10">
        <f>4*LocFeatures[[#This Row],[XP Gain per member]]</f>
        <v>3196</v>
      </c>
      <c r="L7">
        <f>3*LocFeatures[[#This Row],[XP Gain per member]]</f>
        <v>2397</v>
      </c>
      <c r="M7" s="56">
        <f>AVERAGEIFS(DropAnalityka[Exp Gain],DropAnalityka[Location],LocFeatures[[#This Row],[Location]],DropAnalityka[LVL],LocFeatures[[#This Row],[LVL]],DropAnalityka[Stage],LocFeatures[[#This Row],[Stage]])</f>
        <v>1417.5</v>
      </c>
      <c r="N7" s="56">
        <f>LocFeatures[[#This Row],[Drop worth gain]]/(LocFeatures[[#This Row],[E. Cost]]-LocFeatures[[#This Row],[Energy gain]])</f>
        <v>1792.2906403940885</v>
      </c>
      <c r="O7" s="56">
        <f>LocFeatures[[#This Row],[XP Train Gain]]/(LocFeatures[[#This Row],[E. Cost]]-LocFeatures[[#This Row],[Energy gain]])</f>
        <v>1133.5566502463053</v>
      </c>
      <c r="P7" s="56">
        <f>(LocFeatures[[#This Row],[XP Train Gain]]+LocFeatures[[#This Row],[XP drop]])/(LocFeatures[[#This Row],[E. Cost]]-LocFeatures[[#This Row],[Energy gain]])</f>
        <v>1803.9014778325122</v>
      </c>
      <c r="Q7" s="53">
        <f>COUNTIFS(DropAnalityka[Location],LocFeatures[[#This Row],[Location]],DropAnalityka[LVL],LocFeatures[[#This Row],[LVL]],DropAnalityka[Stage],LocFeatures[[#This Row],[Stage]])</f>
        <v>96</v>
      </c>
      <c r="S7"/>
    </row>
    <row r="8" spans="1:22" s="10" customFormat="1">
      <c r="A8" s="10" t="s">
        <v>67</v>
      </c>
      <c r="B8" s="10" t="s">
        <v>34</v>
      </c>
      <c r="C8" s="10">
        <v>2</v>
      </c>
      <c r="D8" s="10">
        <v>5</v>
      </c>
      <c r="E8" s="10">
        <v>1500</v>
      </c>
      <c r="F8" s="10">
        <v>10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8" s="19">
        <f>AVERAGEIFS(DropAnalityka[Energy Drop],DropAnalityka[Location],LocFeatures[[#This Row],[Location]],DropAnalityka[LVL],LocFeatures[[#This Row],[LVL]],DropAnalityka[Stage],LocFeatures[[#This Row],[Stage]])</f>
        <v>1</v>
      </c>
      <c r="K8" s="10">
        <f>4*LocFeatures[[#This Row],[XP Gain per member]]</f>
        <v>6000</v>
      </c>
      <c r="L8">
        <f>3*LocFeatures[[#This Row],[XP Gain per member]]</f>
        <v>4500</v>
      </c>
      <c r="M8" s="56">
        <f>AVERAGEIFS(DropAnalityka[Exp Gain],DropAnalityka[Location],LocFeatures[[#This Row],[Location]],DropAnalityka[LVL],LocFeatures[[#This Row],[LVL]],DropAnalityka[Stage],LocFeatures[[#This Row],[Stage]])</f>
        <v>66062</v>
      </c>
      <c r="N8" s="56">
        <f>LocFeatures[[#This Row],[Drop worth gain]]/(LocFeatures[[#This Row],[E. Cost]]-LocFeatures[[#This Row],[Energy gain]])</f>
        <v>3173</v>
      </c>
      <c r="O8" s="56">
        <f>LocFeatures[[#This Row],[XP Train Gain]]/(LocFeatures[[#This Row],[E. Cost]]-LocFeatures[[#This Row],[Energy gain]])</f>
        <v>1125</v>
      </c>
      <c r="P8" s="56">
        <f>(LocFeatures[[#This Row],[XP Train Gain]]+LocFeatures[[#This Row],[XP drop]])/(LocFeatures[[#This Row],[E. Cost]]-LocFeatures[[#This Row],[Energy gain]])</f>
        <v>17640.5</v>
      </c>
      <c r="Q8" s="53">
        <f>COUNTIFS(DropAnalityka[Location],LocFeatures[[#This Row],[Location]],DropAnalityka[LVL],LocFeatures[[#This Row],[LVL]],DropAnalityka[Stage],LocFeatures[[#This Row],[Stage]])</f>
        <v>1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9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9" s="10">
        <f>4*LocFeatures[[#This Row],[XP Gain per member]]</f>
        <v>3024</v>
      </c>
      <c r="L9">
        <f>3*LocFeatures[[#This Row],[XP Gain per member]]</f>
        <v>2268</v>
      </c>
      <c r="M9" s="56">
        <f>AVERAGEIFS(DropAnalityka[Exp Gain],DropAnalityka[Location],LocFeatures[[#This Row],[Location]],DropAnalityka[LVL],LocFeatures[[#This Row],[LVL]],DropAnalityka[Stage],LocFeatures[[#This Row],[Stage]])</f>
        <v>560</v>
      </c>
      <c r="N9" s="56">
        <f>LocFeatures[[#This Row],[Drop worth gain]]/(LocFeatures[[#This Row],[E. Cost]]-LocFeatures[[#This Row],[Energy gain]])</f>
        <v>1518.4476744186045</v>
      </c>
      <c r="O9" s="56">
        <f>LocFeatures[[#This Row],[XP Train Gain]]/(LocFeatures[[#This Row],[E. Cost]]-LocFeatures[[#This Row],[Energy gain]])</f>
        <v>1068.0697674418604</v>
      </c>
      <c r="P9" s="56">
        <f>(LocFeatures[[#This Row],[XP Train Gain]]+LocFeatures[[#This Row],[XP drop]])/(LocFeatures[[#This Row],[E. Cost]]-LocFeatures[[#This Row],[Energy gain]])</f>
        <v>1331.7906976744187</v>
      </c>
      <c r="Q9" s="53">
        <f>COUNTIFS(DropAnalityka[Location],LocFeatures[[#This Row],[Location]],DropAnalityka[LVL],LocFeatures[[#This Row],[LVL]],DropAnalityka[Stage],LocFeatures[[#This Row],[Stage]])</f>
        <v>81</v>
      </c>
      <c r="S9"/>
    </row>
    <row r="10" spans="1:22" s="10" customFormat="1">
      <c r="A10" s="10" t="s">
        <v>8</v>
      </c>
      <c r="B10" s="10" t="s">
        <v>32</v>
      </c>
      <c r="C10" s="10">
        <v>3</v>
      </c>
      <c r="D10" s="10">
        <v>4</v>
      </c>
      <c r="E10" s="10">
        <v>1098</v>
      </c>
      <c r="F10" s="10">
        <v>12</v>
      </c>
      <c r="G10" s="10" t="s">
        <v>19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4179.565312046444</v>
      </c>
      <c r="J10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0" s="10">
        <f>4*LocFeatures[[#This Row],[XP Gain per member]]</f>
        <v>4392</v>
      </c>
      <c r="L10">
        <f>3*LocFeatures[[#This Row],[XP Gain per member]]</f>
        <v>3294</v>
      </c>
      <c r="M10" s="56">
        <f>AVERAGEIFS(DropAnalityka[Exp Gain],DropAnalityka[Location],LocFeatures[[#This Row],[Location]],DropAnalityka[LVL],LocFeatures[[#This Row],[LVL]],DropAnalityka[Stage],LocFeatures[[#This Row],[Stage]])</f>
        <v>2387.5849056603774</v>
      </c>
      <c r="N10" s="56">
        <f>LocFeatures[[#This Row],[Drop worth gain]]/(LocFeatures[[#This Row],[E. Cost]]-LocFeatures[[#This Row],[Energy gain]])</f>
        <v>1334.4395273401299</v>
      </c>
      <c r="O10" s="56">
        <f>LocFeatures[[#This Row],[XP Train Gain]]/(LocFeatures[[#This Row],[E. Cost]]-LocFeatures[[#This Row],[Energy gain]])</f>
        <v>1051.698795180723</v>
      </c>
      <c r="P10" s="56">
        <f>(LocFeatures[[#This Row],[XP Train Gain]]+LocFeatures[[#This Row],[XP drop]])/(LocFeatures[[#This Row],[E. Cost]]-LocFeatures[[#This Row],[Energy gain]])</f>
        <v>1814.0000000000002</v>
      </c>
      <c r="Q10" s="53">
        <f>COUNTIFS(DropAnalityka[Location],LocFeatures[[#This Row],[Location]],DropAnalityka[LVL],LocFeatures[[#This Row],[LVL]],DropAnalityka[Stage],LocFeatures[[#This Row],[Stage]])</f>
        <v>53</v>
      </c>
      <c r="S10"/>
    </row>
    <row r="11" spans="1:22" s="10" customFormat="1">
      <c r="A11" t="s">
        <v>8</v>
      </c>
      <c r="B11" t="s">
        <v>9</v>
      </c>
      <c r="C11">
        <v>3</v>
      </c>
      <c r="D11">
        <v>3</v>
      </c>
      <c r="E11">
        <v>642</v>
      </c>
      <c r="F11">
        <v>12</v>
      </c>
      <c r="G11" t="s">
        <v>19</v>
      </c>
      <c r="H11" t="s">
        <v>23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1">
        <f>4*LocFeatures[[#This Row],[XP Gain per member]]</f>
        <v>2568</v>
      </c>
      <c r="L11">
        <f>3*LocFeatures[[#This Row],[XP Gain per member]]</f>
        <v>1926</v>
      </c>
      <c r="M11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11" s="56">
        <f>LocFeatures[[#This Row],[Drop worth gain]]/(LocFeatures[[#This Row],[E. Cost]]-LocFeatures[[#This Row],[Energy gain]])</f>
        <v>1284.4719101123596</v>
      </c>
      <c r="O11" s="56">
        <f>LocFeatures[[#This Row],[XP Train Gain]]/(LocFeatures[[#This Row],[E. Cost]]-LocFeatures[[#This Row],[Energy gain]])</f>
        <v>887.25842696629206</v>
      </c>
      <c r="P11" s="56">
        <f>(LocFeatures[[#This Row],[XP Train Gain]]+LocFeatures[[#This Row],[XP drop]])/(LocFeatures[[#This Row],[E. Cost]]-LocFeatures[[#This Row],[Energy gain]])</f>
        <v>1396.9213483146066</v>
      </c>
      <c r="Q11" s="49">
        <f>COUNTIFS(DropAnalityka[Location],LocFeatures[[#This Row],[Location]],DropAnalityka[LVL],LocFeatures[[#This Row],[LVL]],DropAnalityka[Stage],LocFeatures[[#This Row],[Stage]])</f>
        <v>41</v>
      </c>
      <c r="R11"/>
      <c r="S11"/>
      <c r="T11"/>
      <c r="U11"/>
      <c r="V11"/>
    </row>
    <row r="12" spans="1:22" s="10" customFormat="1">
      <c r="A12" s="10" t="s">
        <v>8</v>
      </c>
      <c r="B12" s="10" t="s">
        <v>32</v>
      </c>
      <c r="C12" s="10">
        <v>6</v>
      </c>
      <c r="D12" s="10">
        <v>5</v>
      </c>
      <c r="E12" s="10">
        <v>1116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2" s="19">
        <f>AVERAGEIFS(DropAnalityka[Energy Drop],DropAnalityka[Location],LocFeatures[[#This Row],[Location]],DropAnalityka[LVL],LocFeatures[[#This Row],[LVL]],DropAnalityka[Stage],LocFeatures[[#This Row],[Stage]])</f>
        <v>1</v>
      </c>
      <c r="K12" s="10">
        <f>4*LocFeatures[[#This Row],[XP Gain per member]]</f>
        <v>4464</v>
      </c>
      <c r="L12">
        <f>3*LocFeatures[[#This Row],[XP Gain per member]]</f>
        <v>3348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663</v>
      </c>
      <c r="O12" s="56">
        <f>LocFeatures[[#This Row],[XP Train Gain]]/(LocFeatures[[#This Row],[E. Cost]]-LocFeatures[[#This Row],[Energy gain]])</f>
        <v>837</v>
      </c>
      <c r="P12" s="56">
        <f>(LocFeatures[[#This Row],[XP Train Gain]]+LocFeatures[[#This Row],[XP drop]])/(LocFeatures[[#This Row],[E. Cost]]-LocFeatures[[#This Row],[Energy gain]])</f>
        <v>837</v>
      </c>
      <c r="Q12" s="53">
        <f>COUNTIFS(DropAnalityka[Location],LocFeatures[[#This Row],[Location]],DropAnalityka[LVL],LocFeatures[[#This Row],[LVL]],DropAnalityka[Stage],LocFeatures[[#This Row],[Stage]])</f>
        <v>1</v>
      </c>
      <c r="S12"/>
    </row>
    <row r="13" spans="1:22" s="10" customFormat="1">
      <c r="A13" s="10" t="s">
        <v>68</v>
      </c>
      <c r="B13" s="10" t="s">
        <v>9</v>
      </c>
      <c r="C13" s="10">
        <v>3</v>
      </c>
      <c r="D13" s="10">
        <v>3</v>
      </c>
      <c r="E13" s="10">
        <v>804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13" s="19">
        <f>AVERAGEIFS(DropAnalityka[Energy Drop],DropAnalityka[Location],LocFeatures[[#This Row],[Location]],DropAnalityka[LVL],LocFeatures[[#This Row],[LVL]],DropAnalityka[Stage],LocFeatures[[#This Row],[Stage]])</f>
        <v>0</v>
      </c>
      <c r="K13" s="10">
        <f>4*LocFeatures[[#This Row],[XP Gain per member]]</f>
        <v>3216</v>
      </c>
      <c r="L13">
        <f>3*LocFeatures[[#This Row],[XP Gain per member]]</f>
        <v>2412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988</v>
      </c>
      <c r="O13" s="56">
        <f>LocFeatures[[#This Row],[XP Train Gain]]/(LocFeatures[[#This Row],[E. Cost]]-LocFeatures[[#This Row],[Energy gain]])</f>
        <v>804</v>
      </c>
      <c r="P13" s="56">
        <f>(LocFeatures[[#This Row],[XP Train Gain]]+LocFeatures[[#This Row],[XP drop]])/(LocFeatures[[#This Row],[E. Cost]]-LocFeatures[[#This Row],[Energy gain]])</f>
        <v>804</v>
      </c>
      <c r="Q13" s="53">
        <f>COUNTIFS(DropAnalityka[Location],LocFeatures[[#This Row],[Location]],DropAnalityka[LVL],LocFeatures[[#This Row],[LVL]],DropAnalityka[Stage],LocFeatures[[#This Row],[Stage]])</f>
        <v>2</v>
      </c>
      <c r="S13"/>
    </row>
    <row r="14" spans="1:22" s="10" customFormat="1">
      <c r="A14" s="10" t="s">
        <v>68</v>
      </c>
      <c r="B14" s="10" t="s">
        <v>9</v>
      </c>
      <c r="C14" s="10">
        <v>2</v>
      </c>
      <c r="D14" s="10">
        <v>3</v>
      </c>
      <c r="E14" s="10">
        <v>804</v>
      </c>
      <c r="F14" s="10">
        <v>13</v>
      </c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14" s="19">
        <f>AVERAGEIFS(DropAnalityka[Energy Drop],DropAnalityka[Location],LocFeatures[[#This Row],[Location]],DropAnalityka[LVL],LocFeatures[[#This Row],[LVL]],DropAnalityka[Stage],LocFeatures[[#This Row],[Stage]])</f>
        <v>0</v>
      </c>
      <c r="K14" s="10">
        <f>4*LocFeatures[[#This Row],[XP Gain per member]]</f>
        <v>3216</v>
      </c>
      <c r="L14">
        <f>3*LocFeatures[[#This Row],[XP Gain per member]]</f>
        <v>2412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1130.6666666666667</v>
      </c>
      <c r="O14" s="56">
        <f>LocFeatures[[#This Row],[XP Train Gain]]/(LocFeatures[[#This Row],[E. Cost]]-LocFeatures[[#This Row],[Energy gain]])</f>
        <v>804</v>
      </c>
      <c r="P14" s="56">
        <f>(LocFeatures[[#This Row],[XP Train Gain]]+LocFeatures[[#This Row],[XP drop]])/(LocFeatures[[#This Row],[E. Cost]]-LocFeatures[[#This Row],[Energy gain]])</f>
        <v>804</v>
      </c>
      <c r="Q14" s="53">
        <f>COUNTIFS(DropAnalityka[Location],LocFeatures[[#This Row],[Location]],DropAnalityka[LVL],LocFeatures[[#This Row],[LVL]],DropAnalityka[Stage],LocFeatures[[#This Row],[Stage]])</f>
        <v>1</v>
      </c>
      <c r="S14"/>
    </row>
    <row r="15" spans="1:22">
      <c r="A15" s="10" t="s">
        <v>203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1360.3283582089553</v>
      </c>
      <c r="Q15" s="53">
        <f>COUNTIFS(DropAnalityka[Location],LocFeatures[[#This Row],[Location]],DropAnalityka[LVL],LocFeatures[[#This Row],[LVL]],DropAnalityka[Stage],LocFeatures[[#This Row],[Stage]])</f>
        <v>11</v>
      </c>
      <c r="R15" s="10"/>
    </row>
    <row r="16" spans="1:22">
      <c r="A16" s="10" t="s">
        <v>203</v>
      </c>
      <c r="B16" s="10" t="s">
        <v>9</v>
      </c>
      <c r="C16" s="10">
        <v>5</v>
      </c>
      <c r="D16" s="10">
        <v>7</v>
      </c>
      <c r="E16" s="10">
        <v>605</v>
      </c>
      <c r="F16" s="10"/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16" s="19">
        <f>AVERAGEIFS(DropAnalityka[Energy Drop],DropAnalityka[Location],LocFeatures[[#This Row],[Location]],DropAnalityka[LVL],LocFeatures[[#This Row],[LVL]],DropAnalityka[Stage],LocFeatures[[#This Row],[Stage]])</f>
        <v>1.75</v>
      </c>
      <c r="K16" s="10">
        <f>5*LocFeatures[[#This Row],[XP Gain per member]]</f>
        <v>3025</v>
      </c>
      <c r="L16">
        <f>3*LocFeatures[[#This Row],[XP Gain per member]]</f>
        <v>1815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1408.4761904761904</v>
      </c>
      <c r="O16" s="56">
        <f>LocFeatures[[#This Row],[XP Train Gain]]/(LocFeatures[[#This Row],[E. Cost]]-LocFeatures[[#This Row],[Energy gain]])</f>
        <v>345.71428571428572</v>
      </c>
      <c r="P16" s="56">
        <f>(LocFeatures[[#This Row],[XP Train Gain]]+LocFeatures[[#This Row],[XP drop]])/(LocFeatures[[#This Row],[E. Cost]]-LocFeatures[[#This Row],[Energy gain]])</f>
        <v>345.71428571428572</v>
      </c>
      <c r="Q16" s="53">
        <f>COUNTIFS(DropAnalityka[Location],LocFeatures[[#This Row],[Location]],DropAnalityka[LVL],LocFeatures[[#This Row],[LVL]],DropAnalityka[Stage],LocFeatures[[#This Row],[Stage]])</f>
        <v>16</v>
      </c>
      <c r="R16" s="10"/>
    </row>
    <row r="17" spans="1:22">
      <c r="A17" s="10" t="s">
        <v>40</v>
      </c>
      <c r="B17" s="10" t="s">
        <v>9</v>
      </c>
      <c r="C17" s="10">
        <v>4</v>
      </c>
      <c r="D17" s="10">
        <v>5</v>
      </c>
      <c r="E17" s="10">
        <v>439</v>
      </c>
      <c r="F17" s="10">
        <v>10</v>
      </c>
      <c r="G17" s="10"/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7" s="10">
        <f>4*LocFeatures[[#This Row],[XP Gain per member]]</f>
        <v>1756</v>
      </c>
      <c r="L17">
        <f>3*LocFeatures[[#This Row],[XP Gain per member]]</f>
        <v>1317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962.46666666666681</v>
      </c>
      <c r="O17" s="56">
        <f>LocFeatures[[#This Row],[XP Train Gain]]/(LocFeatures[[#This Row],[E. Cost]]-LocFeatures[[#This Row],[Energy gain]])</f>
        <v>307.3</v>
      </c>
      <c r="P17" s="56">
        <f>(LocFeatures[[#This Row],[XP Train Gain]]+LocFeatures[[#This Row],[XP drop]])/(LocFeatures[[#This Row],[E. Cost]]-LocFeatures[[#This Row],[Energy gain]])</f>
        <v>307.3</v>
      </c>
      <c r="Q17" s="53">
        <f>COUNTIFS(DropAnalityka[Location],LocFeatures[[#This Row],[Location]],DropAnalityka[LVL],LocFeatures[[#This Row],[LVL]],DropAnalityka[Stage],LocFeatures[[#This Row],[Stage]])</f>
        <v>7</v>
      </c>
      <c r="R17" s="10"/>
      <c r="T17" s="10"/>
      <c r="U17" s="10"/>
      <c r="V17" s="10"/>
    </row>
    <row r="18" spans="1:22">
      <c r="A18" s="10" t="s">
        <v>165</v>
      </c>
      <c r="B18" s="10" t="s">
        <v>9</v>
      </c>
      <c r="C18" s="10">
        <v>5</v>
      </c>
      <c r="D18" s="10">
        <v>6</v>
      </c>
      <c r="E18" s="10">
        <v>392</v>
      </c>
      <c r="F18" s="10"/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2788.25</v>
      </c>
      <c r="J18" s="19">
        <f>AVERAGEIFS(DropAnalityka[Energy Drop],DropAnalityka[Location],LocFeatures[[#This Row],[Location]],DropAnalityka[LVL],LocFeatures[[#This Row],[LVL]],DropAnalityka[Stage],LocFeatures[[#This Row],[Stage]])</f>
        <v>0.5</v>
      </c>
      <c r="K18" s="10">
        <f>5*LocFeatures[[#This Row],[XP Gain per member]]</f>
        <v>1960</v>
      </c>
      <c r="L18">
        <f>3*LocFeatures[[#This Row],[XP Gain per member]]</f>
        <v>1176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506.95454545454544</v>
      </c>
      <c r="O18" s="56">
        <f>LocFeatures[[#This Row],[XP Train Gain]]/(LocFeatures[[#This Row],[E. Cost]]-LocFeatures[[#This Row],[Energy gain]])</f>
        <v>213.81818181818181</v>
      </c>
      <c r="P18" s="56">
        <f>(LocFeatures[[#This Row],[XP Train Gain]]+LocFeatures[[#This Row],[XP drop]])/(LocFeatures[[#This Row],[E. Cost]]-LocFeatures[[#This Row],[Energy gain]])</f>
        <v>213.81818181818181</v>
      </c>
      <c r="Q18" s="53">
        <f>COUNTIFS(DropAnalityka[Location],LocFeatures[[#This Row],[Location]],DropAnalityka[LVL],LocFeatures[[#This Row],[LVL]],DropAnalityka[Stage],LocFeatures[[#This Row],[Stage]])</f>
        <v>16</v>
      </c>
      <c r="R18" s="10"/>
    </row>
    <row r="19" spans="1:22">
      <c r="A19" t="s">
        <v>8</v>
      </c>
      <c r="B19" t="s">
        <v>9</v>
      </c>
      <c r="C19">
        <v>3</v>
      </c>
      <c r="D19">
        <v>3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19" s="56">
        <f>LocFeatures[[#This Row],[Drop worth gain]]/(LocFeatures[[#This Row],[E. Cost]]-LocFeatures[[#This Row],[Energy gain]])</f>
        <v>1284.4719101123596</v>
      </c>
      <c r="O19" s="56">
        <f>LocFeatures[[#This Row],[XP Train Gain]]/(LocFeatures[[#This Row],[E. Cost]]-LocFeatures[[#This Row],[Energy gain]])</f>
        <v>0</v>
      </c>
      <c r="P19" s="56">
        <f>(LocFeatures[[#This Row],[XP Train Gain]]+LocFeatures[[#This Row],[XP drop]])/(LocFeatures[[#This Row],[E. Cost]]-LocFeatures[[#This Row],[Energy gain]])</f>
        <v>509.66292134831451</v>
      </c>
      <c r="Q19" s="49">
        <f>COUNTIFS(DropAnalityka[Location],LocFeatures[[#This Row],[Location]],DropAnalityka[LVL],LocFeatures[[#This Row],[LVL]],DropAnalityka[Stage],LocFeatures[[#This Row],[Stage]])</f>
        <v>41</v>
      </c>
    </row>
    <row r="20" spans="1:22">
      <c r="A20" s="10" t="s">
        <v>40</v>
      </c>
      <c r="B20" s="10" t="s">
        <v>9</v>
      </c>
      <c r="C20" s="10">
        <v>7</v>
      </c>
      <c r="D20" s="10">
        <v>7</v>
      </c>
      <c r="E20" s="10"/>
      <c r="F20" s="10"/>
      <c r="G20" s="10"/>
      <c r="H20" s="10"/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2767.4736842105262</v>
      </c>
      <c r="J20" s="19">
        <f>AVERAGEIFS(DropAnalityka[Energy Drop],DropAnalityka[Location],LocFeatures[[#This Row],[Location]],DropAnalityka[LVL],LocFeatures[[#This Row],[LVL]],DropAnalityka[Stage],LocFeatures[[#This Row],[Stage]])</f>
        <v>0.68421052631578949</v>
      </c>
      <c r="K20" s="10">
        <f>5*LocFeatures[[#This Row],[XP Gain per member]]</f>
        <v>0</v>
      </c>
      <c r="L20">
        <f>3*LocFeatures[[#This Row],[XP Gain per member]]</f>
        <v>0</v>
      </c>
      <c r="M20" s="56">
        <f>AVERAGEIFS(DropAnalityka[Exp Gain],DropAnalityka[Location],LocFeatures[[#This Row],[Location]],DropAnalityka[LVL],LocFeatures[[#This Row],[LVL]],DropAnalityka[Stage],LocFeatures[[#This Row],[Stage]])</f>
        <v>0</v>
      </c>
      <c r="N20" s="56">
        <f>LocFeatures[[#This Row],[Drop worth gain]]/(LocFeatures[[#This Row],[E. Cost]]-LocFeatures[[#This Row],[Energy gain]])</f>
        <v>438.18333333333334</v>
      </c>
      <c r="O20" s="56">
        <f>LocFeatures[[#This Row],[XP Train Gain]]/(LocFeatures[[#This Row],[E. Cost]]-LocFeatures[[#This Row],[Energy gain]])</f>
        <v>0</v>
      </c>
      <c r="P20" s="56">
        <f>(LocFeatures[[#This Row],[XP Train Gain]]+LocFeatures[[#This Row],[XP drop]])/(LocFeatures[[#This Row],[E. Cost]]-LocFeatures[[#This Row],[Energy gain]])</f>
        <v>0</v>
      </c>
      <c r="Q20" s="53">
        <f>COUNTIFS(DropAnalityka[Location],LocFeatures[[#This Row],[Location]],DropAnalityka[LVL],LocFeatures[[#This Row],[LVL]],DropAnalityka[Stage],LocFeatures[[#This Row],[Stage]])</f>
        <v>19</v>
      </c>
      <c r="R20" s="10"/>
    </row>
    <row r="21" spans="1:22">
      <c r="I21" s="49"/>
      <c r="M21" s="49"/>
      <c r="O21" s="54"/>
      <c r="Q21" s="49">
        <f>COUNTIFS(DropAnalityka[Location],LocFeatures[[#This Row],[Location]],DropAnalityka[LVL],LocFeatures[[#This Row],[LVL]],DropAnalityka[Stage],LocFeatures[[#This Row],[Stage]])</f>
        <v>0</v>
      </c>
    </row>
    <row r="22" spans="1:22">
      <c r="I22" s="49"/>
      <c r="M22" s="49"/>
      <c r="O22" s="54"/>
      <c r="Q22" s="49">
        <f>COUNTIFS(DropAnalityka[Location],LocFeatures[[#This Row],[Location]],DropAnalityka[LVL],LocFeatures[[#This Row],[LVL]],DropAnalityka[Stage],LocFeatures[[#This Row],[Stage]])</f>
        <v>0</v>
      </c>
    </row>
    <row r="23" spans="1:22">
      <c r="I23" s="49"/>
      <c r="M23" s="49"/>
      <c r="O23" s="54"/>
      <c r="Q23" s="49">
        <f>COUNTIFS(DropAnalityka[Location],LocFeatures[[#This Row],[Location]],DropAnalityka[LVL],LocFeatures[[#This Row],[LVL]],DropAnalityka[Stage],LocFeatures[[#This Row],[Stage]])</f>
        <v>0</v>
      </c>
    </row>
    <row r="24" spans="1:22">
      <c r="I24" s="49"/>
      <c r="M24" s="49"/>
      <c r="O24" s="54"/>
      <c r="Q24" s="49">
        <f>COUNTIFS(DropAnalityka[Location],LocFeatures[[#This Row],[Location]],DropAnalityka[LVL],LocFeatures[[#This Row],[LVL]],DropAnalityka[Stage],LocFeatures[[#This Row],[Stage]])</f>
        <v>0</v>
      </c>
    </row>
    <row r="25" spans="1:22">
      <c r="I25" s="49"/>
      <c r="M25" s="49"/>
      <c r="O25" s="54"/>
      <c r="Q25" s="49">
        <f>COUNTIFS(DropAnalityka[Location],LocFeatures[[#This Row],[Location]],DropAnalityka[LVL],LocFeatures[[#This Row],[LVL]],DropAnalityka[Stage],LocFeatures[[#This Row],[Stage]])</f>
        <v>0</v>
      </c>
    </row>
    <row r="26" spans="1:22">
      <c r="I26" s="49"/>
      <c r="M26" s="49"/>
      <c r="O26" s="54"/>
      <c r="Q26" s="49">
        <f>COUNTIFS(DropAnalityka[Location],LocFeatures[[#This Row],[Location]],DropAnalityka[LVL],LocFeatures[[#This Row],[LVL]],DropAnalityka[Stage],LocFeatures[[#This Row],[Stage]])</f>
        <v>0</v>
      </c>
    </row>
    <row r="27" spans="1:22">
      <c r="I27" s="49"/>
      <c r="M27" s="49"/>
      <c r="O27" s="54"/>
      <c r="Q27" s="49">
        <f>COUNTIFS(DropAnalityka[Location],LocFeatures[[#This Row],[Location]],DropAnalityka[LVL],LocFeatures[[#This Row],[LVL]],DropAnalityka[Stage],LocFeatures[[#This Row],[Stage]])</f>
        <v>0</v>
      </c>
    </row>
    <row r="28" spans="1:22">
      <c r="I28" s="49"/>
      <c r="M28" s="49"/>
      <c r="O28" s="54"/>
      <c r="Q28" s="49">
        <f>COUNTIFS(DropAnalityka[Location],LocFeatures[[#This Row],[Location]],DropAnalityka[LVL],LocFeatures[[#This Row],[LVL]],DropAnalityka[Stage],LocFeatures[[#This Row],[Stage]])</f>
        <v>0</v>
      </c>
    </row>
    <row r="29" spans="1:22">
      <c r="I29" s="49"/>
      <c r="M29" s="49"/>
      <c r="O29" s="54"/>
      <c r="Q29" s="49">
        <f>COUNTIFS(DropAnalityka[Location],LocFeatures[[#This Row],[Location]],DropAnalityka[LVL],LocFeatures[[#This Row],[LVL]],DropAnalityka[Stage],LocFeatures[[#This Row],[Stage]])</f>
        <v>0</v>
      </c>
    </row>
    <row r="30" spans="1:22">
      <c r="I30" s="49"/>
      <c r="M30" s="49"/>
      <c r="O30" s="54"/>
      <c r="Q30" s="49">
        <f>COUNTIFS(DropAnalityka[Location],LocFeatures[[#This Row],[Location]],DropAnalityka[LVL],LocFeatures[[#This Row],[LVL]],DropAnalityka[Stage],LocFeatures[[#This Row],[Stage]])</f>
        <v>0</v>
      </c>
    </row>
    <row r="31" spans="1:22">
      <c r="I31" s="49"/>
      <c r="M31" s="49"/>
      <c r="O31" s="54"/>
      <c r="Q31" s="49">
        <f>COUNTIFS(DropAnalityka[Location],LocFeatures[[#This Row],[Location]],DropAnalityka[LVL],LocFeatures[[#This Row],[LVL]],DropAnalityka[Stage],LocFeatures[[#This Row],[Stage]])</f>
        <v>0</v>
      </c>
    </row>
    <row r="32" spans="1:22">
      <c r="I32" s="49"/>
      <c r="M32" s="49"/>
      <c r="O32" s="54"/>
      <c r="Q32" s="49">
        <f>COUNTIFS(DropAnalityka[Location],LocFeatures[[#This Row],[Location]],DropAnalityka[LVL],LocFeatures[[#This Row],[LVL]],DropAnalityka[Stage],LocFeatures[[#This Row],[Stage]])</f>
        <v>0</v>
      </c>
    </row>
    <row r="33" spans="9:17">
      <c r="I33" s="49"/>
      <c r="M33" s="49"/>
      <c r="O33" s="54"/>
      <c r="Q33" s="49">
        <f>COUNTIFS(DropAnalityka[Location],LocFeatures[[#This Row],[Location]],DropAnalityka[LVL],LocFeatures[[#This Row],[LVL]],DropAnalityka[Stage],LocFeatures[[#This Row],[Stage]])</f>
        <v>0</v>
      </c>
    </row>
    <row r="34" spans="9:17">
      <c r="I34" s="49"/>
      <c r="M34" s="49"/>
      <c r="O34" s="54"/>
      <c r="Q34" s="49">
        <f>COUNTIFS(DropAnalityka[Location],LocFeatures[[#This Row],[Location]],DropAnalityka[LVL],LocFeatures[[#This Row],[LVL]],DropAnalityka[Stage],LocFeatures[[#This Row],[Stage]])</f>
        <v>0</v>
      </c>
    </row>
    <row r="35" spans="9:17">
      <c r="I35" s="49"/>
      <c r="M35" s="49"/>
      <c r="O35" s="54"/>
      <c r="Q35" s="49">
        <f>COUNTIFS(DropAnalityka[Location],LocFeatures[[#This Row],[Location]],DropAnalityka[LVL],LocFeatures[[#This Row],[LVL]],DropAnalityka[Stage],LocFeatures[[#This Row],[Stage]])</f>
        <v>0</v>
      </c>
    </row>
    <row r="36" spans="9:17">
      <c r="I36" s="49"/>
      <c r="M36" s="49"/>
      <c r="O36" s="54"/>
      <c r="Q36" s="49">
        <f>COUNTIFS(DropAnalityka[Location],LocFeatures[[#This Row],[Location]],DropAnalityka[LVL],LocFeatures[[#This Row],[LVL]],DropAnalityka[Stage],LocFeatures[[#This Row],[Stage]])</f>
        <v>0</v>
      </c>
    </row>
    <row r="37" spans="9:17">
      <c r="I37" s="49"/>
      <c r="M37" s="49"/>
      <c r="O37" s="54"/>
      <c r="Q37" s="49">
        <f>COUNTIFS(DropAnalityka[Location],LocFeatures[[#This Row],[Location]],DropAnalityka[LVL],LocFeatures[[#This Row],[LVL]],DropAnalityka[Stage],LocFeatures[[#This Row],[Stage]])</f>
        <v>0</v>
      </c>
    </row>
    <row r="38" spans="9:17">
      <c r="I38" s="49"/>
      <c r="M38" s="49"/>
      <c r="O38" s="54"/>
      <c r="Q38" s="49">
        <f>COUNTIFS(DropAnalityka[Location],LocFeatures[[#This Row],[Location]],DropAnalityka[LVL],LocFeatures[[#This Row],[LVL]],DropAnalityka[Stage],LocFeatures[[#This Row],[Stage]])</f>
        <v>0</v>
      </c>
    </row>
    <row r="39" spans="9:17">
      <c r="I39" s="49"/>
      <c r="M39" s="49"/>
      <c r="O39" s="54"/>
      <c r="Q39" s="49">
        <f>COUNTIFS(DropAnalityka[Location],LocFeatures[[#This Row],[Location]],DropAnalityka[LVL],LocFeatures[[#This Row],[LVL]],DropAnalityka[Stage],LocFeatures[[#This Row],[Stage]])</f>
        <v>0</v>
      </c>
    </row>
    <row r="40" spans="9:17">
      <c r="I40" s="49"/>
      <c r="M40" s="49"/>
      <c r="O40" s="54"/>
      <c r="Q40" s="49">
        <f>COUNTIFS(DropAnalityka[Location],LocFeatures[[#This Row],[Location]],DropAnalityka[LVL],LocFeatures[[#This Row],[LVL]],DropAnalityka[Stage],LocFeatures[[#This Row],[Stage]])</f>
        <v>0</v>
      </c>
    </row>
    <row r="41" spans="9:17">
      <c r="I41" s="49"/>
      <c r="M41" s="49"/>
      <c r="O41" s="54"/>
      <c r="Q41" s="49">
        <f>COUNTIFS(DropAnalityka[Location],LocFeatures[[#This Row],[Location]],DropAnalityka[LVL],LocFeatures[[#This Row],[LVL]],DropAnalityka[Stage],LocFeatures[[#This Row],[Stage]])</f>
        <v>0</v>
      </c>
    </row>
    <row r="42" spans="9:17">
      <c r="I42" s="49"/>
      <c r="M42" s="49"/>
      <c r="O42" s="54"/>
      <c r="Q42" s="49">
        <f>COUNTIFS(DropAnalityka[Location],LocFeatures[[#This Row],[Location]],DropAnalityka[LVL],LocFeatures[[#This Row],[LVL]],DropAnalityka[Stage],LocFeatures[[#This Row],[Stage]])</f>
        <v>0</v>
      </c>
    </row>
    <row r="43" spans="9:17">
      <c r="I43" s="49"/>
      <c r="M43" s="49"/>
      <c r="O43" s="54"/>
      <c r="Q43" s="49">
        <f>COUNTIFS(DropAnalityka[Location],LocFeatures[[#This Row],[Location]],DropAnalityka[LVL],LocFeatures[[#This Row],[LVL]],DropAnalityka[Stage],LocFeatures[[#This Row],[Stage]])</f>
        <v>0</v>
      </c>
    </row>
    <row r="44" spans="9:17">
      <c r="I44" s="49"/>
      <c r="M44" s="49"/>
      <c r="O44" s="54"/>
      <c r="Q44" s="49">
        <f>COUNTIFS(DropAnalityka[Location],LocFeatures[[#This Row],[Location]],DropAnalityka[LVL],LocFeatures[[#This Row],[LVL]],DropAnalityka[Stage],LocFeatures[[#This Row],[Stage]])</f>
        <v>0</v>
      </c>
    </row>
    <row r="45" spans="9:17">
      <c r="I45" s="49"/>
      <c r="M45" s="49"/>
      <c r="O45" s="54"/>
      <c r="Q45" s="49">
        <f>COUNTIFS(DropAnalityka[Location],LocFeatures[[#This Row],[Location]],DropAnalityka[LVL],LocFeatures[[#This Row],[LVL]],DropAnalityka[Stage],LocFeatures[[#This Row],[Stage]])</f>
        <v>0</v>
      </c>
    </row>
    <row r="46" spans="9:17">
      <c r="I46" s="49"/>
      <c r="M46" s="49"/>
      <c r="O46" s="54"/>
      <c r="Q46" s="49">
        <f>COUNTIFS(DropAnalityka[Location],LocFeatures[[#This Row],[Location]],DropAnalityka[LVL],LocFeatures[[#This Row],[LVL]],DropAnalityka[Stage],LocFeatures[[#This Row],[Stage]])</f>
        <v>0</v>
      </c>
    </row>
    <row r="47" spans="9:17">
      <c r="I47" s="49"/>
      <c r="M47" s="49"/>
      <c r="O47" s="54"/>
      <c r="Q47" s="49">
        <f>COUNTIFS(DropAnalityka[Location],LocFeatures[[#This Row],[Location]],DropAnalityka[LVL],LocFeatures[[#This Row],[LVL]],DropAnalityka[Stage],LocFeatures[[#This Row],[Stage]])</f>
        <v>0</v>
      </c>
    </row>
    <row r="48" spans="9:17">
      <c r="I48" s="49"/>
      <c r="M48" s="49"/>
      <c r="O48" s="54"/>
      <c r="Q48" s="49">
        <f>COUNTIFS(DropAnalityka[Location],LocFeatures[[#This Row],[Location]],DropAnalityka[LVL],LocFeatures[[#This Row],[LVL]],DropAnalityka[Stage],LocFeatures[[#This Row],[Stage]])</f>
        <v>0</v>
      </c>
    </row>
    <row r="49" spans="9:17">
      <c r="I49" s="49"/>
      <c r="M49" s="49"/>
      <c r="O49" s="54"/>
      <c r="Q49" s="49">
        <f>COUNTIFS(DropAnalityka[Location],LocFeatures[[#This Row],[Location]],DropAnalityka[LVL],LocFeatures[[#This Row],[LVL]],DropAnalityka[Stage],LocFeatures[[#This Row],[Stage]])</f>
        <v>0</v>
      </c>
    </row>
    <row r="50" spans="9:17">
      <c r="I50" s="49"/>
      <c r="M50" s="49"/>
      <c r="O50" s="54"/>
      <c r="Q50" s="49">
        <f>COUNTIFS(DropAnalityka[Location],LocFeatures[[#This Row],[Location]],DropAnalityka[LVL],LocFeatures[[#This Row],[LVL]],DropAnalityka[Stage],LocFeatures[[#This Row],[Stage]])</f>
        <v>0</v>
      </c>
    </row>
    <row r="51" spans="9:17">
      <c r="I51" s="49"/>
      <c r="M51" s="49"/>
      <c r="O51" s="54"/>
      <c r="Q51" s="49">
        <f>COUNTIFS(DropAnalityka[Location],LocFeatures[[#This Row],[Location]],DropAnalityka[LVL],LocFeatures[[#This Row],[LVL]],DropAnalityka[Stage],LocFeatures[[#This Row],[Stage]])</f>
        <v>0</v>
      </c>
    </row>
    <row r="52" spans="9:17">
      <c r="I52" s="49"/>
      <c r="M52" s="49"/>
      <c r="O52" s="54"/>
      <c r="Q52" s="49">
        <f>COUNTIFS(DropAnalityka[Location],LocFeatures[[#This Row],[Location]],DropAnalityka[LVL],LocFeatures[[#This Row],[LVL]],DropAnalityka[Stage],LocFeatures[[#This Row],[Stage]])</f>
        <v>0</v>
      </c>
    </row>
    <row r="53" spans="9:17">
      <c r="I53" s="49"/>
      <c r="M53" s="49"/>
      <c r="O53" s="54"/>
      <c r="Q53" s="49">
        <f>COUNTIFS(DropAnalityka[Location],LocFeatures[[#This Row],[Location]],DropAnalityka[LVL],LocFeatures[[#This Row],[LVL]],DropAnalityka[Stage],LocFeatures[[#This Row],[Stage]])</f>
        <v>0</v>
      </c>
    </row>
    <row r="54" spans="9:17">
      <c r="I54" s="49"/>
      <c r="M54" s="49"/>
      <c r="O54" s="54"/>
      <c r="Q54" s="49">
        <f>COUNTIFS(DropAnalityka[Location],LocFeatures[[#This Row],[Location]],DropAnalityka[LVL],LocFeatures[[#This Row],[LVL]],DropAnalityka[Stage],LocFeatures[[#This Row],[Stage]])</f>
        <v>0</v>
      </c>
    </row>
    <row r="55" spans="9:17">
      <c r="I55" s="49"/>
      <c r="M55" s="49"/>
      <c r="O55" s="54"/>
      <c r="Q55" s="49">
        <f>COUNTIFS(DropAnalityka[Location],LocFeatures[[#This Row],[Location]],DropAnalityka[LVL],LocFeatures[[#This Row],[LVL]],DropAnalityka[Stage],LocFeatures[[#This Row],[Stage]])</f>
        <v>0</v>
      </c>
    </row>
    <row r="56" spans="9:17">
      <c r="I56" s="49"/>
      <c r="M56" s="49"/>
      <c r="O56" s="54"/>
      <c r="Q56" s="49">
        <f>COUNTIFS(DropAnalityka[Location],LocFeatures[[#This Row],[Location]],DropAnalityka[LVL],LocFeatures[[#This Row],[LVL]],DropAnalityka[Stage],LocFeatures[[#This Row],[Stage]])</f>
        <v>0</v>
      </c>
    </row>
    <row r="57" spans="9:17">
      <c r="I57" s="49"/>
      <c r="M57" s="49"/>
      <c r="O57" s="54"/>
      <c r="Q57" s="49">
        <f>COUNTIFS(DropAnalityka[Location],LocFeatures[[#This Row],[Location]],DropAnalityka[LVL],LocFeatures[[#This Row],[LVL]],DropAnalityka[Stage],LocFeatures[[#This Row],[Stage]])</f>
        <v>0</v>
      </c>
    </row>
    <row r="58" spans="9:17">
      <c r="I58" s="49"/>
      <c r="M58" s="49"/>
      <c r="O58" s="54"/>
      <c r="Q58" s="49">
        <f>COUNTIFS(DropAnalityka[Location],LocFeatures[[#This Row],[Location]],DropAnalityka[LVL],LocFeatures[[#This Row],[LVL]],DropAnalityka[Stage],LocFeatures[[#This Row],[Stage]])</f>
        <v>0</v>
      </c>
    </row>
    <row r="59" spans="9:17">
      <c r="I59" s="49"/>
      <c r="M59" s="49"/>
      <c r="O59" s="54"/>
      <c r="Q59" s="49">
        <f>COUNTIFS(DropAnalityka[Location],LocFeatures[[#This Row],[Location]],DropAnalityka[LVL],LocFeatures[[#This Row],[LVL]],DropAnalityka[Stage],LocFeatures[[#This Row],[Stage]])</f>
        <v>0</v>
      </c>
    </row>
    <row r="60" spans="9:17">
      <c r="I60" s="49"/>
      <c r="M60" s="49"/>
      <c r="O60" s="54"/>
      <c r="Q60" s="49">
        <f>COUNTIFS(DropAnalityka[Location],LocFeatures[[#This Row],[Location]],DropAnalityka[LVL],LocFeatures[[#This Row],[LVL]],DropAnalityka[Stage],LocFeatures[[#This Row],[Stage]])</f>
        <v>0</v>
      </c>
    </row>
    <row r="61" spans="9:17">
      <c r="I61" s="49"/>
      <c r="M61" s="49"/>
      <c r="O61" s="54"/>
      <c r="Q61" s="49">
        <f>COUNTIFS(DropAnalityka[Location],LocFeatures[[#This Row],[Location]],DropAnalityka[LVL],LocFeatures[[#This Row],[LVL]],DropAnalityka[Stage],LocFeatures[[#This Row],[Stage]])</f>
        <v>0</v>
      </c>
    </row>
    <row r="62" spans="9:17">
      <c r="I62" s="49"/>
      <c r="M62" s="49"/>
      <c r="O62" s="54"/>
      <c r="Q62" s="49">
        <f>COUNTIFS(DropAnalityka[Location],LocFeatures[[#This Row],[Location]],DropAnalityka[LVL],LocFeatures[[#This Row],[LVL]],DropAnalityka[Stage],LocFeatures[[#This Row],[Stage]])</f>
        <v>0</v>
      </c>
    </row>
    <row r="63" spans="9:17">
      <c r="I63" s="49"/>
      <c r="M63" s="49"/>
      <c r="O63" s="54"/>
      <c r="Q63" s="49">
        <f>COUNTIFS(DropAnalityka[Location],LocFeatures[[#This Row],[Location]],DropAnalityka[LVL],LocFeatures[[#This Row],[LVL]],DropAnalityka[Stage],LocFeatures[[#This Row],[Stage]])</f>
        <v>0</v>
      </c>
    </row>
    <row r="64" spans="9:17">
      <c r="I64" s="49"/>
      <c r="M64" s="49"/>
      <c r="O64" s="54"/>
      <c r="Q64" s="49">
        <f>COUNTIFS(DropAnalityka[Location],LocFeatures[[#This Row],[Location]],DropAnalityka[LVL],LocFeatures[[#This Row],[LVL]],DropAnalityka[Stage],LocFeatures[[#This Row],[Stage]])</f>
        <v>0</v>
      </c>
    </row>
    <row r="65" spans="9:17">
      <c r="I65" s="49"/>
      <c r="M65" s="49"/>
      <c r="O65" s="54"/>
      <c r="Q65" s="49">
        <f>COUNTIFS(DropAnalityka[Location],LocFeatures[[#This Row],[Location]],DropAnalityka[LVL],LocFeatures[[#This Row],[LVL]],DropAnalityka[Stage],LocFeatures[[#This Row],[Stage]])</f>
        <v>0</v>
      </c>
    </row>
    <row r="66" spans="9:17">
      <c r="I66" s="49"/>
      <c r="M66" s="49"/>
      <c r="O66" s="54"/>
      <c r="Q66" s="49">
        <f>COUNTIFS(DropAnalityka[Location],LocFeatures[[#This Row],[Location]],DropAnalityka[LVL],LocFeatures[[#This Row],[LVL]],DropAnalityka[Stage],LocFeatures[[#This Row],[Stage]])</f>
        <v>0</v>
      </c>
    </row>
    <row r="67" spans="9:17">
      <c r="I67" s="49"/>
      <c r="M67" s="49"/>
      <c r="O67" s="54"/>
      <c r="Q67" s="49">
        <f>COUNTIFS(DropAnalityka[Location],LocFeatures[[#This Row],[Location]],DropAnalityka[LVL],LocFeatures[[#This Row],[LVL]],DropAnalityka[Stage],LocFeatures[[#This Row],[Stage]])</f>
        <v>0</v>
      </c>
    </row>
    <row r="68" spans="9:17">
      <c r="I68" s="49"/>
      <c r="M68" s="49"/>
      <c r="O68" s="54"/>
      <c r="Q68" s="49">
        <f>COUNTIFS(DropAnalityka[Location],LocFeatures[[#This Row],[Location]],DropAnalityka[LVL],LocFeatures[[#This Row],[LVL]],DropAnalityka[Stage],LocFeatures[[#This Row],[Stage]])</f>
        <v>0</v>
      </c>
    </row>
    <row r="69" spans="9:17">
      <c r="I69" s="49"/>
      <c r="M69" s="49"/>
      <c r="O69" s="54"/>
      <c r="Q69" s="49">
        <f>COUNTIFS(DropAnalityka[Location],LocFeatures[[#This Row],[Location]],DropAnalityka[LVL],LocFeatures[[#This Row],[LVL]],DropAnalityka[Stage],LocFeatures[[#This Row],[Stage]])</f>
        <v>0</v>
      </c>
    </row>
    <row r="70" spans="9:17">
      <c r="I70" s="49"/>
      <c r="M70" s="49"/>
      <c r="O70" s="54"/>
      <c r="Q70" s="49">
        <f>COUNTIFS(DropAnalityka[Location],LocFeatures[[#This Row],[Location]],DropAnalityka[LVL],LocFeatures[[#This Row],[LVL]],DropAnalityka[Stage],LocFeatures[[#This Row],[Stage]])</f>
        <v>0</v>
      </c>
    </row>
    <row r="71" spans="9:17">
      <c r="I71" s="49"/>
      <c r="M71" s="49"/>
      <c r="O71" s="54"/>
      <c r="Q71" s="49">
        <f>COUNTIFS(DropAnalityka[Location],LocFeatures[[#This Row],[Location]],DropAnalityka[LVL],LocFeatures[[#This Row],[LVL]],DropAnalityka[Stage],LocFeatures[[#This Row],[Stage]])</f>
        <v>0</v>
      </c>
    </row>
    <row r="72" spans="9:17">
      <c r="I72" s="49"/>
      <c r="M72" s="49"/>
      <c r="O72" s="54"/>
      <c r="Q72" s="49">
        <f>COUNTIFS(DropAnalityka[Location],LocFeatures[[#This Row],[Location]],DropAnalityka[LVL],LocFeatures[[#This Row],[LVL]],DropAnalityka[Stage],LocFeatures[[#This Row],[Stage]])</f>
        <v>0</v>
      </c>
    </row>
    <row r="73" spans="9:17">
      <c r="I73" s="49"/>
      <c r="M73" s="49"/>
      <c r="O73" s="54"/>
      <c r="Q73" s="49">
        <f>COUNTIFS(DropAnalityka[Location],LocFeatures[[#This Row],[Location]],DropAnalityka[LVL],LocFeatures[[#This Row],[LVL]],DropAnalityka[Stage],LocFeatures[[#This Row],[Stage]])</f>
        <v>0</v>
      </c>
    </row>
    <row r="74" spans="9:17">
      <c r="I74" s="49"/>
      <c r="M74" s="49"/>
      <c r="O74" s="54"/>
      <c r="Q74" s="49">
        <f>COUNTIFS(DropAnalityka[Location],LocFeatures[[#This Row],[Location]],DropAnalityka[LVL],LocFeatures[[#This Row],[LVL]],DropAnalityka[Stage],LocFeatures[[#This Row],[Stage]])</f>
        <v>0</v>
      </c>
    </row>
    <row r="75" spans="9:17">
      <c r="I75" s="49"/>
      <c r="M75" s="49"/>
      <c r="O75" s="54"/>
      <c r="Q75" s="49">
        <f>COUNTIFS(DropAnalityka[Location],LocFeatures[[#This Row],[Location]],DropAnalityka[LVL],LocFeatures[[#This Row],[LVL]],DropAnalityka[Stage],LocFeatures[[#This Row],[Stage]])</f>
        <v>0</v>
      </c>
    </row>
    <row r="76" spans="9:17">
      <c r="I76" s="49"/>
      <c r="M76" s="49"/>
      <c r="O76" s="54"/>
      <c r="Q76" s="49">
        <f>COUNTIFS(DropAnalityka[Location],LocFeatures[[#This Row],[Location]],DropAnalityka[LVL],LocFeatures[[#This Row],[LVL]],DropAnalityka[Stage],LocFeatures[[#This Row],[Stage]])</f>
        <v>0</v>
      </c>
    </row>
    <row r="77" spans="9:17">
      <c r="I77" s="49"/>
      <c r="M77" s="49"/>
      <c r="O77" s="54"/>
      <c r="Q77" s="49">
        <f>COUNTIFS(DropAnalityka[Location],LocFeatures[[#This Row],[Location]],DropAnalityka[LVL],LocFeatures[[#This Row],[LVL]],DropAnalityka[Stage],LocFeatures[[#This Row],[Stage]])</f>
        <v>0</v>
      </c>
    </row>
    <row r="78" spans="9:17">
      <c r="I78" s="49"/>
      <c r="M78" s="49"/>
      <c r="O78" s="54"/>
      <c r="Q78" s="49">
        <f>COUNTIFS(DropAnalityka[Location],LocFeatures[[#This Row],[Location]],DropAnalityka[LVL],LocFeatures[[#This Row],[LVL]],DropAnalityka[Stage],LocFeatures[[#This Row],[Stage]])</f>
        <v>0</v>
      </c>
    </row>
    <row r="79" spans="9:17">
      <c r="I79" s="49"/>
      <c r="M79" s="49"/>
      <c r="O79" s="54"/>
      <c r="Q79" s="49">
        <f>COUNTIFS(DropAnalityka[Location],LocFeatures[[#This Row],[Location]],DropAnalityka[LVL],LocFeatures[[#This Row],[LVL]],DropAnalityka[Stage],LocFeatures[[#This Row],[Stage]])</f>
        <v>0</v>
      </c>
    </row>
    <row r="80" spans="9:17">
      <c r="I80" s="49"/>
      <c r="M80" s="49"/>
      <c r="O80" s="54"/>
      <c r="Q80" s="49">
        <f>COUNTIFS(DropAnalityka[Location],LocFeatures[[#This Row],[Location]],DropAnalityka[LVL],LocFeatures[[#This Row],[LVL]],DropAnalityka[Stage],LocFeatures[[#This Row],[Stage]])</f>
        <v>0</v>
      </c>
    </row>
    <row r="81" spans="9:17">
      <c r="I81" s="49"/>
      <c r="M81" s="49"/>
      <c r="O81" s="54"/>
      <c r="Q81" s="49">
        <f>COUNTIFS(DropAnalityka[Location],LocFeatures[[#This Row],[Location]],DropAnalityka[LVL],LocFeatures[[#This Row],[LVL]],DropAnalityka[Stage],LocFeatures[[#This Row],[Stage]])</f>
        <v>0</v>
      </c>
    </row>
    <row r="82" spans="9:17">
      <c r="I82" s="49"/>
      <c r="M82" s="49"/>
      <c r="O82" s="54"/>
      <c r="Q82" s="49">
        <f>COUNTIFS(DropAnalityka[Location],LocFeatures[[#This Row],[Location]],DropAnalityka[LVL],LocFeatures[[#This Row],[LVL]],DropAnalityka[Stage],LocFeatures[[#This Row],[Stage]])</f>
        <v>0</v>
      </c>
    </row>
    <row r="83" spans="9:17">
      <c r="I83" s="49"/>
      <c r="M83" s="49"/>
      <c r="O83" s="54"/>
      <c r="Q83" s="49">
        <f>COUNTIFS(DropAnalityka[Location],LocFeatures[[#This Row],[Location]],DropAnalityka[LVL],LocFeatures[[#This Row],[LVL]],DropAnalityka[Stage],LocFeatures[[#This Row],[Stage]])</f>
        <v>0</v>
      </c>
    </row>
    <row r="84" spans="9:17">
      <c r="I84" s="49"/>
      <c r="M84" s="49"/>
      <c r="O84" s="54"/>
      <c r="Q84" s="49">
        <f>COUNTIFS(DropAnalityka[Location],LocFeatures[[#This Row],[Location]],DropAnalityka[LVL],LocFeatures[[#This Row],[LVL]],DropAnalityka[Stage],LocFeatures[[#This Row],[Stage]])</f>
        <v>0</v>
      </c>
    </row>
    <row r="85" spans="9:17">
      <c r="I85" s="49"/>
      <c r="M85" s="49"/>
      <c r="O85" s="54"/>
      <c r="Q85" s="49">
        <f>COUNTIFS(DropAnalityka[Location],LocFeatures[[#This Row],[Location]],DropAnalityka[LVL],LocFeatures[[#This Row],[LVL]],DropAnalityka[Stage],LocFeatures[[#This Row],[Stage]])</f>
        <v>0</v>
      </c>
    </row>
    <row r="86" spans="9:17">
      <c r="I86" s="49"/>
      <c r="M86" s="49"/>
      <c r="O86" s="54"/>
      <c r="Q86" s="49">
        <f>COUNTIFS(DropAnalityka[Location],LocFeatures[[#This Row],[Location]],DropAnalityka[LVL],LocFeatures[[#This Row],[LVL]],DropAnalityka[Stage],LocFeatures[[#This Row],[Stage]])</f>
        <v>0</v>
      </c>
    </row>
    <row r="87" spans="9:17">
      <c r="I87" s="49"/>
      <c r="M87" s="49"/>
      <c r="O87" s="54"/>
      <c r="Q87" s="49">
        <f>COUNTIFS(DropAnalityka[Location],LocFeatures[[#This Row],[Location]],DropAnalityka[LVL],LocFeatures[[#This Row],[LVL]],DropAnalityka[Stage],LocFeatures[[#This Row],[Stage]])</f>
        <v>0</v>
      </c>
    </row>
    <row r="88" spans="9:17">
      <c r="I88" s="49"/>
      <c r="M88" s="49"/>
      <c r="O88" s="54"/>
      <c r="Q88" s="49">
        <f>COUNTIFS(DropAnalityka[Location],LocFeatures[[#This Row],[Location]],DropAnalityka[LVL],LocFeatures[[#This Row],[LVL]],DropAnalityka[Stage],LocFeatures[[#This Row],[Stage]])</f>
        <v>0</v>
      </c>
    </row>
    <row r="89" spans="9:17">
      <c r="I89" s="49"/>
      <c r="M89" s="49"/>
      <c r="O89" s="54"/>
      <c r="Q89" s="49">
        <f>COUNTIFS(DropAnalityka[Location],LocFeatures[[#This Row],[Location]],DropAnalityka[LVL],LocFeatures[[#This Row],[LVL]],DropAnalityka[Stage],LocFeatures[[#This Row],[Stage]])</f>
        <v>0</v>
      </c>
    </row>
    <row r="90" spans="9:17">
      <c r="I90" s="49"/>
      <c r="M90" s="49"/>
      <c r="O90" s="54"/>
      <c r="Q90" s="49">
        <f>COUNTIFS(DropAnalityka[Location],LocFeatures[[#This Row],[Location]],DropAnalityka[LVL],LocFeatures[[#This Row],[LVL]],DropAnalityka[Stage],LocFeatures[[#This Row],[Stage]])</f>
        <v>0</v>
      </c>
    </row>
    <row r="91" spans="9:17">
      <c r="I91" s="49"/>
      <c r="M91" s="49"/>
      <c r="O91" s="54"/>
      <c r="Q91" s="49">
        <f>COUNTIFS(DropAnalityka[Location],LocFeatures[[#This Row],[Location]],DropAnalityka[LVL],LocFeatures[[#This Row],[LVL]],DropAnalityka[Stage],LocFeatures[[#This Row],[Stage]])</f>
        <v>0</v>
      </c>
    </row>
    <row r="92" spans="9:17">
      <c r="I92" s="49"/>
      <c r="M92" s="49"/>
      <c r="O92" s="54"/>
      <c r="Q92" s="49">
        <f>COUNTIFS(DropAnalityka[Location],LocFeatures[[#This Row],[Location]],DropAnalityka[LVL],LocFeatures[[#This Row],[LVL]],DropAnalityka[Stage],LocFeatures[[#This Row],[Stage]])</f>
        <v>0</v>
      </c>
    </row>
    <row r="93" spans="9:17">
      <c r="I93" s="49"/>
      <c r="M93" s="49"/>
      <c r="O93" s="54"/>
      <c r="Q93" s="49">
        <f>COUNTIFS(DropAnalityka[Location],LocFeatures[[#This Row],[Location]],DropAnalityka[LVL],LocFeatures[[#This Row],[LVL]],DropAnalityka[Stage],LocFeatures[[#This Row],[Stage]])</f>
        <v>0</v>
      </c>
    </row>
    <row r="94" spans="9:17">
      <c r="I94" s="49"/>
      <c r="M94" s="49"/>
      <c r="O94" s="54"/>
      <c r="Q94" s="49">
        <f>COUNTIFS(DropAnalityka[Location],LocFeatures[[#This Row],[Location]],DropAnalityka[LVL],LocFeatures[[#This Row],[LVL]],DropAnalityka[Stage],LocFeatures[[#This Row],[Stage]])</f>
        <v>0</v>
      </c>
    </row>
    <row r="95" spans="9:17">
      <c r="I95" s="49"/>
      <c r="M95" s="49"/>
      <c r="O95" s="54"/>
      <c r="Q95" s="49">
        <f>COUNTIFS(DropAnalityka[Location],LocFeatures[[#This Row],[Location]],DropAnalityka[LVL],LocFeatures[[#This Row],[LVL]],DropAnalityka[Stage],LocFeatures[[#This Row],[Stage]])</f>
        <v>0</v>
      </c>
    </row>
    <row r="96" spans="9:17">
      <c r="I96" s="49"/>
      <c r="M96" s="49"/>
      <c r="O96" s="54"/>
      <c r="Q96" s="49">
        <f>COUNTIFS(DropAnalityka[Location],LocFeatures[[#This Row],[Location]],DropAnalityka[LVL],LocFeatures[[#This Row],[LVL]],DropAnalityka[Stage],LocFeatures[[#This Row],[Stage]])</f>
        <v>0</v>
      </c>
    </row>
    <row r="97" spans="9:17">
      <c r="I97" s="49"/>
      <c r="M97" s="49"/>
      <c r="O97" s="54"/>
      <c r="Q97" s="49">
        <f>COUNTIFS(DropAnalityka[Location],LocFeatures[[#This Row],[Location]],DropAnalityka[LVL],LocFeatures[[#This Row],[LVL]],DropAnalityka[Stage],LocFeatures[[#This Row],[Stage]])</f>
        <v>0</v>
      </c>
    </row>
    <row r="98" spans="9:17">
      <c r="I98" s="49"/>
      <c r="M98" s="49"/>
      <c r="O98" s="54"/>
      <c r="Q98" s="49">
        <f>COUNTIFS(DropAnalityka[Location],LocFeatures[[#This Row],[Location]],DropAnalityka[LVL],LocFeatures[[#This Row],[LVL]],DropAnalityka[Stage],LocFeatures[[#This Row],[Stage]])</f>
        <v>0</v>
      </c>
    </row>
    <row r="99" spans="9:17">
      <c r="I99" s="49"/>
      <c r="M99" s="49"/>
      <c r="O99" s="54"/>
      <c r="Q99" s="49">
        <f>COUNTIFS(DropAnalityka[Location],LocFeatures[[#This Row],[Location]],DropAnalityka[LVL],LocFeatures[[#This Row],[LVL]],DropAnalityka[Stage],LocFeatures[[#This Row],[Stage]])</f>
        <v>0</v>
      </c>
    </row>
    <row r="100" spans="9:17">
      <c r="I100" s="49"/>
      <c r="M100" s="49"/>
      <c r="O100" s="54"/>
      <c r="Q100" s="49">
        <f>COUNTIFS(DropAnalityka[Location],LocFeatures[[#This Row],[Location]],DropAnalityka[LVL],LocFeatures[[#This Row],[LVL]],DropAnalityka[Stage],LocFeatures[[#This Row],[Stage]])</f>
        <v>0</v>
      </c>
    </row>
    <row r="101" spans="9:17">
      <c r="I101" s="49"/>
      <c r="M101" s="49"/>
      <c r="O101" s="54"/>
      <c r="Q101" s="49">
        <f>COUNTIFS(DropAnalityka[Location],LocFeatures[[#This Row],[Location]],DropAnalityka[LVL],LocFeatures[[#This Row],[LVL]],DropAnalityka[Stage],LocFeatures[[#This Row],[Stage]])</f>
        <v>0</v>
      </c>
    </row>
    <row r="102" spans="9:17">
      <c r="I102" s="49"/>
      <c r="M102" s="49"/>
      <c r="O102" s="54"/>
      <c r="Q102" s="49">
        <f>COUNTIFS(DropAnalityka[Location],LocFeatures[[#This Row],[Location]],DropAnalityka[LVL],LocFeatures[[#This Row],[LVL]],DropAnalityka[Stage],LocFeatures[[#This Row],[Stage]])</f>
        <v>0</v>
      </c>
    </row>
    <row r="103" spans="9:17">
      <c r="I103" s="49"/>
      <c r="M103" s="49"/>
      <c r="O103" s="54"/>
      <c r="Q103" s="49">
        <f>COUNTIFS(DropAnalityka[Location],LocFeatures[[#This Row],[Location]],DropAnalityka[LVL],LocFeatures[[#This Row],[LVL]],DropAnalityka[Stage],LocFeatures[[#This Row],[Stage]])</f>
        <v>0</v>
      </c>
    </row>
    <row r="104" spans="9:17">
      <c r="I104" s="49"/>
      <c r="M104" s="49"/>
      <c r="O104" s="54"/>
      <c r="Q104" s="49">
        <f>COUNTIFS(DropAnalityka[Location],LocFeatures[[#This Row],[Location]],DropAnalityka[LVL],LocFeatures[[#This Row],[LVL]],DropAnalityka[Stage],LocFeatures[[#This Row],[Stage]])</f>
        <v>0</v>
      </c>
    </row>
    <row r="105" spans="9:17">
      <c r="I105" s="49"/>
      <c r="M105" s="49"/>
      <c r="O105" s="54"/>
      <c r="Q105" s="49">
        <f>COUNTIFS(DropAnalityka[Location],LocFeatures[[#This Row],[Location]],DropAnalityka[LVL],LocFeatures[[#This Row],[LVL]],DropAnalityka[Stage],LocFeatures[[#This Row],[Stage]])</f>
        <v>0</v>
      </c>
    </row>
    <row r="106" spans="9:17">
      <c r="I106" s="49"/>
      <c r="M106" s="49"/>
      <c r="O106" s="54"/>
      <c r="Q106" s="49">
        <f>COUNTIFS(DropAnalityka[Location],LocFeatures[[#This Row],[Location]],DropAnalityka[LVL],LocFeatures[[#This Row],[LVL]],DropAnalityka[Stage],LocFeatures[[#This Row],[Stage]])</f>
        <v>0</v>
      </c>
    </row>
    <row r="107" spans="9:17">
      <c r="I107" s="49"/>
      <c r="M107" s="49"/>
      <c r="O107" s="54"/>
      <c r="Q107" s="49">
        <f>COUNTIFS(DropAnalityka[Location],LocFeatures[[#This Row],[Location]],DropAnalityka[LVL],LocFeatures[[#This Row],[LVL]],DropAnalityka[Stage],LocFeatures[[#This Row],[Stage]])</f>
        <v>0</v>
      </c>
    </row>
    <row r="108" spans="9:17">
      <c r="I108" s="49"/>
      <c r="M108" s="49"/>
      <c r="O108" s="54"/>
      <c r="Q108" s="49">
        <f>COUNTIFS(DropAnalityka[Location],LocFeatures[[#This Row],[Location]],DropAnalityka[LVL],LocFeatures[[#This Row],[LVL]],DropAnalityka[Stage],LocFeatures[[#This Row],[Stage]])</f>
        <v>0</v>
      </c>
    </row>
    <row r="109" spans="9:17">
      <c r="I109" s="49"/>
      <c r="M109" s="49"/>
      <c r="O109" s="54"/>
      <c r="Q109" s="49">
        <f>COUNTIFS(DropAnalityka[Location],LocFeatures[[#This Row],[Location]],DropAnalityka[LVL],LocFeatures[[#This Row],[LVL]],DropAnalityka[Stage],LocFeatures[[#This Row],[Stage]])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M739"/>
  <sheetViews>
    <sheetView zoomScale="85" zoomScaleNormal="85" workbookViewId="0">
      <pane ySplit="1" topLeftCell="A625" activePane="bottomLeft" state="frozen"/>
      <selection pane="bottomLeft" activeCell="C654" sqref="C654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236</v>
      </c>
      <c r="I1" t="s">
        <v>207</v>
      </c>
      <c r="J1" t="s">
        <v>206</v>
      </c>
      <c r="K1" t="s">
        <v>213</v>
      </c>
      <c r="L1" t="s">
        <v>211</v>
      </c>
      <c r="M1" t="s">
        <v>79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2">
      <c r="A42" t="s">
        <v>8</v>
      </c>
      <c r="B42" t="s">
        <v>32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2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2">
      <c r="A44" t="s">
        <v>33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2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2">
      <c r="A46" t="s">
        <v>33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2">
      <c r="A47" t="s">
        <v>33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2">
      <c r="A48" t="s">
        <v>33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2">
      <c r="A49" t="s">
        <v>33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2">
      <c r="A50" t="s">
        <v>33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2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2">
      <c r="A52" t="s">
        <v>33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2">
      <c r="A53" t="s">
        <v>33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2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2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2">
      <c r="A56" t="s">
        <v>33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2">
      <c r="A57" t="s">
        <v>33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2">
      <c r="A58" t="s">
        <v>8</v>
      </c>
      <c r="B58" t="s">
        <v>32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2">
      <c r="A59" t="s">
        <v>33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2">
      <c r="A60" t="s">
        <v>33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2">
      <c r="A61" t="s">
        <v>33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2">
      <c r="A62" t="s">
        <v>33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2">
      <c r="A63" t="s">
        <v>33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2">
      <c r="A64" t="s">
        <v>33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2">
      <c r="A65" t="s">
        <v>33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2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2">
      <c r="A67" t="s">
        <v>33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2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2">
      <c r="A69" t="s">
        <v>33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2">
      <c r="A70" t="s">
        <v>8</v>
      </c>
      <c r="B70" t="s">
        <v>32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2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2">
      <c r="A72" t="s">
        <v>8</v>
      </c>
      <c r="B72" t="s">
        <v>32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2">
      <c r="A73" t="s">
        <v>8</v>
      </c>
      <c r="B73" t="s">
        <v>32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2">
      <c r="A74" t="s">
        <v>8</v>
      </c>
      <c r="B74" t="s">
        <v>32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2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2">
      <c r="A76" t="s">
        <v>8</v>
      </c>
      <c r="B76" t="s">
        <v>32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2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2">
      <c r="A78" t="s">
        <v>8</v>
      </c>
      <c r="B78" t="s">
        <v>32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2">
      <c r="A79" t="s">
        <v>8</v>
      </c>
      <c r="B79" t="s">
        <v>32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2">
      <c r="A82" t="s">
        <v>8</v>
      </c>
      <c r="B82" t="s">
        <v>32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2">
      <c r="A83" t="s">
        <v>8</v>
      </c>
      <c r="B83" t="s">
        <v>32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2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2">
      <c r="A85" t="s">
        <v>8</v>
      </c>
      <c r="B85" t="s">
        <v>32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2">
      <c r="A86" t="s">
        <v>8</v>
      </c>
      <c r="B86" t="s">
        <v>32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2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2">
      <c r="A88" t="s">
        <v>8</v>
      </c>
      <c r="B88" t="s">
        <v>32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2">
      <c r="A89" t="s">
        <v>8</v>
      </c>
      <c r="B89" t="s">
        <v>32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2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2">
      <c r="A91" t="s">
        <v>8</v>
      </c>
      <c r="B91" t="s">
        <v>32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2">
      <c r="A92" t="s">
        <v>8</v>
      </c>
      <c r="B92" t="s">
        <v>32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2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2">
      <c r="A94" t="s">
        <v>8</v>
      </c>
      <c r="B94" t="s">
        <v>32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2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2">
      <c r="A96" t="s">
        <v>8</v>
      </c>
      <c r="B96" t="s">
        <v>32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2">
      <c r="A97" t="s">
        <v>8</v>
      </c>
      <c r="B97" t="s">
        <v>32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2">
      <c r="A98" t="s">
        <v>8</v>
      </c>
      <c r="B98" t="s">
        <v>32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2">
      <c r="A99" t="s">
        <v>8</v>
      </c>
      <c r="B99" t="s">
        <v>32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2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2">
      <c r="A101" t="s">
        <v>33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2">
      <c r="A102" t="s">
        <v>33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2">
      <c r="A103" t="s">
        <v>33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2">
      <c r="A104" t="s">
        <v>33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2">
      <c r="A105" t="s">
        <v>33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2">
      <c r="A106" t="s">
        <v>33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2">
      <c r="A107" t="s">
        <v>33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2">
      <c r="A108" t="s">
        <v>33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2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2">
      <c r="A110" t="s">
        <v>33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2">
      <c r="A111" t="s">
        <v>33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2">
      <c r="A112" t="s">
        <v>33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2">
      <c r="A113" t="s">
        <v>33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2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2">
      <c r="A115" t="s">
        <v>33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2">
      <c r="A116" t="s">
        <v>33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2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2">
      <c r="A118" t="s">
        <v>8</v>
      </c>
      <c r="B118" t="s">
        <v>32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2">
      <c r="A119" t="s">
        <v>39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2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2">
      <c r="A121" t="s">
        <v>8</v>
      </c>
      <c r="B121" t="s">
        <v>32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2">
      <c r="A122" t="s">
        <v>8</v>
      </c>
      <c r="B122" t="s">
        <v>32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2">
      <c r="A123" t="s">
        <v>8</v>
      </c>
      <c r="B123" t="s">
        <v>32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2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2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2">
      <c r="A126" t="s">
        <v>8</v>
      </c>
      <c r="B126" t="s">
        <v>32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2">
      <c r="A127" t="s">
        <v>8</v>
      </c>
      <c r="B127" t="s">
        <v>32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2">
      <c r="A128" t="s">
        <v>8</v>
      </c>
      <c r="B128" t="s">
        <v>32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2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2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2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2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2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2">
      <c r="A134" t="s">
        <v>33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2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2">
      <c r="A136" t="s">
        <v>33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2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2">
      <c r="A138" t="s">
        <v>33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2">
      <c r="A139" t="s">
        <v>33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2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2">
      <c r="A141" t="s">
        <v>33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2">
      <c r="A142" t="s">
        <v>33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2">
      <c r="A143" t="s">
        <v>33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2">
      <c r="A144" t="s">
        <v>33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2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2">
      <c r="A146" t="s">
        <v>33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2">
      <c r="A147" t="s">
        <v>33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2">
      <c r="A148" t="s">
        <v>33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2">
      <c r="A149" t="s">
        <v>33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2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2">
      <c r="A151" t="s">
        <v>33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2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2">
      <c r="A153" t="s">
        <v>33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2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2">
      <c r="A155" t="s">
        <v>33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2">
      <c r="A156" t="s">
        <v>33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2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2">
      <c r="A158" t="s">
        <v>33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2">
      <c r="A159" t="s">
        <v>33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2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2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2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2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2">
      <c r="A164" t="s">
        <v>33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2">
      <c r="A165" t="s">
        <v>33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2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2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2">
      <c r="A168" t="s">
        <v>33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2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2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2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2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2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2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2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2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2">
      <c r="A177" t="s">
        <v>8</v>
      </c>
      <c r="B177" t="s">
        <v>32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2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2">
      <c r="A179" t="s">
        <v>8</v>
      </c>
      <c r="B179" t="s">
        <v>32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2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2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2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2">
      <c r="A183" t="s">
        <v>8</v>
      </c>
      <c r="B183" t="s">
        <v>32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2">
      <c r="A184" t="s">
        <v>8</v>
      </c>
      <c r="B184" t="s">
        <v>32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2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2">
      <c r="A186" t="s">
        <v>8</v>
      </c>
      <c r="B186" t="s">
        <v>34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2">
      <c r="A187" t="s">
        <v>8</v>
      </c>
      <c r="B187" t="s">
        <v>34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2">
      <c r="A188" t="s">
        <v>68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2">
      <c r="A189" t="s">
        <v>68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2">
      <c r="A190" t="s">
        <v>68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2">
      <c r="A191" t="s">
        <v>68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2">
      <c r="A192" t="s">
        <v>68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2">
      <c r="A193" t="s">
        <v>68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2">
      <c r="A194" t="s">
        <v>68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2">
      <c r="A195" t="s">
        <v>68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2">
      <c r="A196" t="s">
        <v>68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2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2">
      <c r="A198" t="s">
        <v>68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2">
      <c r="A199" t="s">
        <v>68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2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2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2">
      <c r="A202" t="s">
        <v>68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2">
      <c r="A203" t="s">
        <v>68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2">
      <c r="A204" t="s">
        <v>68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2">
      <c r="A205" t="s">
        <v>68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2">
      <c r="A206" t="s">
        <v>68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2">
      <c r="A207" t="s">
        <v>68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2">
      <c r="A208" t="s">
        <v>68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2">
      <c r="A209" t="s">
        <v>68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2">
      <c r="A210" t="s">
        <v>68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2">
      <c r="A211" t="s">
        <v>68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2">
      <c r="A212" t="s">
        <v>68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2">
      <c r="A213" t="s">
        <v>68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2">
      <c r="A214" t="s">
        <v>68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2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2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2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2">
      <c r="A218" t="s">
        <v>68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2">
      <c r="A219" t="s">
        <v>68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2">
      <c r="A220" t="s">
        <v>68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2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2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2">
      <c r="A223" t="s">
        <v>68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2">
      <c r="A224" t="s">
        <v>68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2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2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2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2">
      <c r="A228" t="s">
        <v>68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2">
      <c r="A229" t="s">
        <v>68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2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2">
      <c r="A231" t="s">
        <v>68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2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2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2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2">
      <c r="A235" t="s">
        <v>68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2">
      <c r="A236" t="s">
        <v>68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2">
      <c r="A237" t="s">
        <v>68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2">
      <c r="A238" t="s">
        <v>68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2">
      <c r="A239" t="s">
        <v>68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2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2">
      <c r="A241" t="s">
        <v>68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2">
      <c r="A242" t="s">
        <v>68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2">
      <c r="A243" t="s">
        <v>68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2">
      <c r="A244" t="s">
        <v>68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2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2">
      <c r="A246" t="s">
        <v>68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2">
      <c r="A247" t="s">
        <v>68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2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2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2">
      <c r="A250" t="s">
        <v>68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2">
      <c r="A251" t="s">
        <v>68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2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2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2">
      <c r="A254" t="s">
        <v>68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2">
      <c r="A255" t="s">
        <v>68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2">
      <c r="A256" t="s">
        <v>68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3">
      <c r="A257" t="s">
        <v>68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3">
      <c r="A258" t="s">
        <v>68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3">
      <c r="A259" t="s">
        <v>68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3">
      <c r="A260" t="s">
        <v>68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3">
      <c r="A261" t="s">
        <v>68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3">
      <c r="A262" t="s">
        <v>68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3">
      <c r="A263" t="s">
        <v>8</v>
      </c>
      <c r="B263" t="s">
        <v>34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3">
      <c r="A264" t="s">
        <v>8</v>
      </c>
      <c r="B264" t="s">
        <v>34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3">
      <c r="A265" t="s">
        <v>68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3">
      <c r="A266" t="s">
        <v>68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3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3">
      <c r="A268" t="s">
        <v>68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8" s="16">
        <v>0.33078703703703705</v>
      </c>
    </row>
    <row r="269" spans="1:13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9" s="16">
        <v>0.33269675925925929</v>
      </c>
    </row>
    <row r="270" spans="1:13">
      <c r="A270" t="s">
        <v>68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3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3">
      <c r="A272" t="s">
        <v>68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3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3">
      <c r="A274" t="s">
        <v>68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74" s="16">
        <v>0.34259259259259256</v>
      </c>
    </row>
    <row r="275" spans="1:13">
      <c r="A275" t="s">
        <v>68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3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3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3">
      <c r="A278" t="s">
        <v>68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3">
      <c r="A279" t="s">
        <v>68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3">
      <c r="A280" t="s">
        <v>68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3">
      <c r="A281" t="s">
        <v>68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1" s="16">
        <v>0.35532407407407413</v>
      </c>
    </row>
    <row r="282" spans="1:13">
      <c r="A282" t="s">
        <v>33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2" s="16">
        <v>0.35555555555555557</v>
      </c>
    </row>
    <row r="283" spans="1:13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3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162</v>
      </c>
      <c r="G284">
        <v>4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3">
      <c r="A285" t="s">
        <v>165</v>
      </c>
      <c r="B285" t="s">
        <v>9</v>
      </c>
      <c r="C285">
        <v>5</v>
      </c>
      <c r="D285">
        <v>1500</v>
      </c>
      <c r="E285">
        <v>0</v>
      </c>
      <c r="F285" t="s">
        <v>166</v>
      </c>
      <c r="G285">
        <v>3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3">
      <c r="A286" t="s">
        <v>165</v>
      </c>
      <c r="B286" t="s">
        <v>9</v>
      </c>
      <c r="C286">
        <v>5</v>
      </c>
      <c r="D286">
        <v>1782</v>
      </c>
      <c r="E286">
        <v>0</v>
      </c>
      <c r="F286" t="s">
        <v>166</v>
      </c>
      <c r="G286">
        <v>2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3">
      <c r="A287" t="s">
        <v>165</v>
      </c>
      <c r="B287" t="s">
        <v>9</v>
      </c>
      <c r="C287">
        <v>5</v>
      </c>
      <c r="D287">
        <v>1666</v>
      </c>
      <c r="E287">
        <v>1</v>
      </c>
      <c r="F287" t="s">
        <v>167</v>
      </c>
      <c r="G287">
        <v>1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3">
      <c r="A288" t="s">
        <v>165</v>
      </c>
      <c r="B288" t="s">
        <v>9</v>
      </c>
      <c r="C288">
        <v>5</v>
      </c>
      <c r="D288">
        <v>1556</v>
      </c>
      <c r="E288">
        <v>0</v>
      </c>
      <c r="F288" t="s">
        <v>166</v>
      </c>
      <c r="G288">
        <v>2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2">
      <c r="A289" t="s">
        <v>165</v>
      </c>
      <c r="B289" t="s">
        <v>9</v>
      </c>
      <c r="C289">
        <v>5</v>
      </c>
      <c r="D289">
        <v>2860</v>
      </c>
      <c r="E289">
        <v>0</v>
      </c>
      <c r="F289" t="s">
        <v>167</v>
      </c>
      <c r="G289">
        <v>1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2">
      <c r="A290" t="s">
        <v>165</v>
      </c>
      <c r="B290" t="s">
        <v>9</v>
      </c>
      <c r="C290">
        <v>5</v>
      </c>
      <c r="D290">
        <v>2986</v>
      </c>
      <c r="E290">
        <v>0</v>
      </c>
      <c r="F290" t="s">
        <v>166</v>
      </c>
      <c r="G290">
        <v>2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2">
      <c r="A291" t="s">
        <v>165</v>
      </c>
      <c r="B291" t="s">
        <v>9</v>
      </c>
      <c r="C291">
        <v>5</v>
      </c>
      <c r="D291">
        <v>3172</v>
      </c>
      <c r="E291">
        <v>1</v>
      </c>
      <c r="F291" t="s">
        <v>168</v>
      </c>
      <c r="G291" t="s">
        <v>13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2">
      <c r="A292" t="s">
        <v>165</v>
      </c>
      <c r="B292" t="s">
        <v>9</v>
      </c>
      <c r="C292">
        <v>5</v>
      </c>
      <c r="D292">
        <v>1420</v>
      </c>
      <c r="E292">
        <v>0</v>
      </c>
      <c r="F292" t="s">
        <v>167</v>
      </c>
      <c r="G292">
        <v>2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2">
      <c r="A293" t="s">
        <v>165</v>
      </c>
      <c r="B293" t="s">
        <v>9</v>
      </c>
      <c r="C293">
        <v>5</v>
      </c>
      <c r="D293">
        <v>1352</v>
      </c>
      <c r="E293">
        <v>0</v>
      </c>
      <c r="F293" t="s">
        <v>167</v>
      </c>
      <c r="G293">
        <v>1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2">
      <c r="A294" t="s">
        <v>165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2">
      <c r="A295" t="s">
        <v>165</v>
      </c>
      <c r="B295" t="s">
        <v>9</v>
      </c>
      <c r="C295">
        <v>5</v>
      </c>
      <c r="D295">
        <v>1428</v>
      </c>
      <c r="E295">
        <v>1</v>
      </c>
      <c r="F295" t="s">
        <v>170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2">
      <c r="A296" t="s">
        <v>165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2">
      <c r="A297" t="s">
        <v>165</v>
      </c>
      <c r="B297" t="s">
        <v>9</v>
      </c>
      <c r="C297">
        <v>5</v>
      </c>
      <c r="D297">
        <v>1559</v>
      </c>
      <c r="E297">
        <v>0</v>
      </c>
      <c r="F297" t="s">
        <v>167</v>
      </c>
      <c r="G297">
        <v>1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2">
      <c r="A298" t="s">
        <v>165</v>
      </c>
      <c r="B298" t="s">
        <v>9</v>
      </c>
      <c r="C298">
        <v>5</v>
      </c>
      <c r="D298">
        <v>1600</v>
      </c>
      <c r="E298">
        <v>0</v>
      </c>
      <c r="F298" t="s">
        <v>167</v>
      </c>
      <c r="G298">
        <v>3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2">
      <c r="A299" t="s">
        <v>165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2">
      <c r="A300" t="s">
        <v>165</v>
      </c>
      <c r="B300" t="s">
        <v>9</v>
      </c>
      <c r="C300">
        <v>5</v>
      </c>
      <c r="D300">
        <v>1389</v>
      </c>
      <c r="E300">
        <v>0</v>
      </c>
      <c r="F300" t="s">
        <v>166</v>
      </c>
      <c r="G300">
        <v>4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2">
      <c r="A301" t="s">
        <v>33</v>
      </c>
      <c r="B301" t="s">
        <v>32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2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2">
      <c r="A303" t="s">
        <v>33</v>
      </c>
      <c r="B303" t="s">
        <v>32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2">
      <c r="A304" t="s">
        <v>33</v>
      </c>
      <c r="B304" t="s">
        <v>32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2">
      <c r="A305" t="s">
        <v>33</v>
      </c>
      <c r="B305" t="s">
        <v>32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2">
      <c r="A306" t="s">
        <v>33</v>
      </c>
      <c r="B306" t="s">
        <v>32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2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2">
      <c r="A308" t="s">
        <v>33</v>
      </c>
      <c r="B308" t="s">
        <v>32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2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174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2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2">
      <c r="A311" t="s">
        <v>33</v>
      </c>
      <c r="B311" t="s">
        <v>32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2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2">
      <c r="A313" t="s">
        <v>33</v>
      </c>
      <c r="B313" t="s">
        <v>32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2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2">
      <c r="A315" t="s">
        <v>33</v>
      </c>
      <c r="B315" t="s">
        <v>32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2">
      <c r="A316" t="s">
        <v>33</v>
      </c>
      <c r="B316" t="s">
        <v>32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2">
      <c r="A317" t="s">
        <v>33</v>
      </c>
      <c r="B317" t="s">
        <v>32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2">
      <c r="A318" t="s">
        <v>33</v>
      </c>
      <c r="B318" t="s">
        <v>32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2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2">
      <c r="A320" t="s">
        <v>33</v>
      </c>
      <c r="B320" t="s">
        <v>32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2">
      <c r="A321" t="s">
        <v>33</v>
      </c>
      <c r="B321" t="s">
        <v>32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2">
      <c r="A322" t="s">
        <v>33</v>
      </c>
      <c r="B322" t="s">
        <v>32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2">
      <c r="A323" t="s">
        <v>33</v>
      </c>
      <c r="B323" t="s">
        <v>32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2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2">
      <c r="A325" t="s">
        <v>33</v>
      </c>
      <c r="B325" t="s">
        <v>32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2">
      <c r="A326" t="s">
        <v>33</v>
      </c>
      <c r="B326" t="s">
        <v>32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2">
      <c r="A327" t="s">
        <v>33</v>
      </c>
      <c r="B327" t="s">
        <v>32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2">
      <c r="A328" t="s">
        <v>33</v>
      </c>
      <c r="B328" t="s">
        <v>32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2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2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2">
      <c r="A331" t="s">
        <v>33</v>
      </c>
      <c r="B331" t="s">
        <v>32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2">
      <c r="A332" t="s">
        <v>33</v>
      </c>
      <c r="B332" t="s">
        <v>32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2">
      <c r="A333" t="s">
        <v>33</v>
      </c>
      <c r="B333" t="s">
        <v>32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2">
      <c r="A334" t="s">
        <v>203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2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2">
      <c r="A336" t="s">
        <v>205</v>
      </c>
      <c r="B336" t="s">
        <v>9</v>
      </c>
      <c r="C336">
        <v>5</v>
      </c>
      <c r="D336">
        <v>1000</v>
      </c>
      <c r="E336">
        <v>0</v>
      </c>
      <c r="F336" t="s">
        <v>204</v>
      </c>
      <c r="G336">
        <v>5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2">
      <c r="A337" t="s">
        <v>8</v>
      </c>
      <c r="B337" t="s">
        <v>34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2">
      <c r="A338" t="s">
        <v>8</v>
      </c>
      <c r="B338" t="s">
        <v>34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2">
      <c r="A339" t="s">
        <v>8</v>
      </c>
      <c r="B339" t="s">
        <v>34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2">
      <c r="A340" t="s">
        <v>8</v>
      </c>
      <c r="B340" t="s">
        <v>34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2">
      <c r="A341" t="s">
        <v>8</v>
      </c>
      <c r="B341" t="s">
        <v>34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2">
      <c r="A342" t="s">
        <v>8</v>
      </c>
      <c r="B342" t="s">
        <v>34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2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2">
      <c r="A344" t="s">
        <v>8</v>
      </c>
      <c r="B344" t="s">
        <v>34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2">
      <c r="A345" t="s">
        <v>8</v>
      </c>
      <c r="B345" t="s">
        <v>34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2">
      <c r="A346" t="s">
        <v>8</v>
      </c>
      <c r="B346" t="s">
        <v>34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2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174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2">
      <c r="A348" t="s">
        <v>8</v>
      </c>
      <c r="B348" t="s">
        <v>34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2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2">
      <c r="A350" t="s">
        <v>8</v>
      </c>
      <c r="B350" t="s">
        <v>34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2">
      <c r="A351" t="s">
        <v>8</v>
      </c>
      <c r="B351" t="s">
        <v>34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2">
      <c r="A352" t="s">
        <v>8</v>
      </c>
      <c r="B352" t="s">
        <v>34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2">
      <c r="A353" t="s">
        <v>8</v>
      </c>
      <c r="B353" t="s">
        <v>34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2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2">
      <c r="A355" t="s">
        <v>8</v>
      </c>
      <c r="B355" t="s">
        <v>34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2">
      <c r="A356" t="s">
        <v>33</v>
      </c>
      <c r="B356" t="s">
        <v>32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2">
      <c r="A357" t="s">
        <v>33</v>
      </c>
      <c r="B357" t="s">
        <v>32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2">
      <c r="A358" t="s">
        <v>33</v>
      </c>
      <c r="B358" t="s">
        <v>32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2">
      <c r="A359" t="s">
        <v>33</v>
      </c>
      <c r="B359" t="s">
        <v>32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2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2">
      <c r="A361" t="s">
        <v>33</v>
      </c>
      <c r="B361" t="s">
        <v>32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2">
      <c r="A362" t="s">
        <v>33</v>
      </c>
      <c r="B362" t="s">
        <v>32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2">
      <c r="A363" t="s">
        <v>33</v>
      </c>
      <c r="B363" t="s">
        <v>32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2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2">
      <c r="A365" t="s">
        <v>33</v>
      </c>
      <c r="B365" t="s">
        <v>32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2">
      <c r="A366" t="s">
        <v>33</v>
      </c>
      <c r="B366" t="s">
        <v>32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2">
      <c r="A367" t="s">
        <v>203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2">
      <c r="A368" t="s">
        <v>203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2">
      <c r="A369" t="s">
        <v>203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2">
      <c r="A370" t="s">
        <v>203</v>
      </c>
      <c r="B370" t="s">
        <v>9</v>
      </c>
      <c r="C370">
        <v>5</v>
      </c>
      <c r="D370">
        <v>2547</v>
      </c>
      <c r="E370">
        <v>2</v>
      </c>
      <c r="F370" t="s">
        <v>174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2">
      <c r="A371" t="s">
        <v>203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2">
      <c r="A372" t="s">
        <v>203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2">
      <c r="A373" t="s">
        <v>203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2">
      <c r="A374" t="s">
        <v>203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2">
      <c r="A375" t="s">
        <v>203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2">
      <c r="A376" t="s">
        <v>203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2">
      <c r="A377" t="s">
        <v>203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2">
      <c r="A378" t="s">
        <v>203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2">
      <c r="A379" t="s">
        <v>203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2">
      <c r="A380" t="s">
        <v>203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2">
      <c r="A381" t="s">
        <v>203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2">
      <c r="A382" t="s">
        <v>203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2">
      <c r="A383" t="s">
        <v>8</v>
      </c>
      <c r="B383" t="s">
        <v>34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2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2">
      <c r="A385" t="s">
        <v>8</v>
      </c>
      <c r="B385" t="s">
        <v>34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2">
      <c r="A386" t="s">
        <v>8</v>
      </c>
      <c r="B386" t="s">
        <v>34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2">
      <c r="A387" t="s">
        <v>8</v>
      </c>
      <c r="B387" t="s">
        <v>34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2">
      <c r="A388" t="s">
        <v>8</v>
      </c>
      <c r="B388" t="s">
        <v>34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2">
      <c r="A389" t="s">
        <v>8</v>
      </c>
      <c r="B389" t="s">
        <v>34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2">
      <c r="A390" t="s">
        <v>8</v>
      </c>
      <c r="B390" t="s">
        <v>34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2">
      <c r="A391" t="s">
        <v>8</v>
      </c>
      <c r="B391" t="s">
        <v>34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2">
      <c r="A392" t="s">
        <v>8</v>
      </c>
      <c r="B392" t="s">
        <v>34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2">
      <c r="A393" t="s">
        <v>8</v>
      </c>
      <c r="B393" t="s">
        <v>34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2">
      <c r="A394" t="s">
        <v>8</v>
      </c>
      <c r="B394" t="s">
        <v>34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2">
      <c r="A395" t="s">
        <v>8</v>
      </c>
      <c r="B395" t="s">
        <v>34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2">
      <c r="A396" t="s">
        <v>8</v>
      </c>
      <c r="B396" t="s">
        <v>34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2">
      <c r="A397" t="s">
        <v>8</v>
      </c>
      <c r="B397" t="s">
        <v>34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2">
      <c r="A398" t="s">
        <v>8</v>
      </c>
      <c r="B398" t="s">
        <v>34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2">
      <c r="A399" t="s">
        <v>8</v>
      </c>
      <c r="B399" t="s">
        <v>34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2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2">
      <c r="A401" t="s">
        <v>8</v>
      </c>
      <c r="B401" t="s">
        <v>34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2">
      <c r="A402" t="s">
        <v>8</v>
      </c>
      <c r="B402" t="s">
        <v>34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2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2">
      <c r="A404" t="s">
        <v>8</v>
      </c>
      <c r="B404" t="s">
        <v>34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2">
      <c r="A405" t="s">
        <v>8</v>
      </c>
      <c r="B405" t="s">
        <v>34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2">
      <c r="A406" t="s">
        <v>8</v>
      </c>
      <c r="B406" t="s">
        <v>34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2">
      <c r="A407" t="s">
        <v>8</v>
      </c>
      <c r="B407" t="s">
        <v>34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2">
      <c r="A408" t="s">
        <v>8</v>
      </c>
      <c r="B408" t="s">
        <v>34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2">
      <c r="A409" t="s">
        <v>8</v>
      </c>
      <c r="B409" t="s">
        <v>34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2">
      <c r="A410" t="s">
        <v>8</v>
      </c>
      <c r="B410" t="s">
        <v>34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2">
      <c r="A411" t="s">
        <v>8</v>
      </c>
      <c r="B411" t="s">
        <v>34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2">
      <c r="A412" t="s">
        <v>8</v>
      </c>
      <c r="B412" t="s">
        <v>34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2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2">
      <c r="A414" t="s">
        <v>8</v>
      </c>
      <c r="B414" t="s">
        <v>34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2">
      <c r="A415" t="s">
        <v>8</v>
      </c>
      <c r="B415" t="s">
        <v>34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2">
      <c r="A416" t="s">
        <v>8</v>
      </c>
      <c r="B416" t="s">
        <v>34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2">
      <c r="A417" t="s">
        <v>8</v>
      </c>
      <c r="B417" t="s">
        <v>34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2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2">
      <c r="A419" t="s">
        <v>8</v>
      </c>
      <c r="B419" t="s">
        <v>34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2">
      <c r="A420" t="s">
        <v>8</v>
      </c>
      <c r="B420" t="s">
        <v>34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2">
      <c r="A421" t="s">
        <v>8</v>
      </c>
      <c r="B421" t="s">
        <v>34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2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2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2">
      <c r="A424" t="s">
        <v>8</v>
      </c>
      <c r="B424" t="s">
        <v>34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2">
      <c r="A425" t="s">
        <v>8</v>
      </c>
      <c r="B425" t="s">
        <v>34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2">
      <c r="A426" t="s">
        <v>8</v>
      </c>
      <c r="B426" t="s">
        <v>34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2">
      <c r="A427" t="s">
        <v>8</v>
      </c>
      <c r="B427" t="s">
        <v>34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2">
      <c r="A428" t="s">
        <v>8</v>
      </c>
      <c r="B428" t="s">
        <v>34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2">
      <c r="A429" t="s">
        <v>8</v>
      </c>
      <c r="B429" t="s">
        <v>34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2">
      <c r="A430" t="s">
        <v>8</v>
      </c>
      <c r="B430" t="s">
        <v>34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2">
      <c r="A431" t="s">
        <v>8</v>
      </c>
      <c r="B431" t="s">
        <v>34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2">
      <c r="A432" t="s">
        <v>8</v>
      </c>
      <c r="B432" t="s">
        <v>34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2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2">
      <c r="A434" t="s">
        <v>8</v>
      </c>
      <c r="B434" t="s">
        <v>34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2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2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2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2">
      <c r="A438" t="s">
        <v>210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2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2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2">
      <c r="A441" t="s">
        <v>8</v>
      </c>
      <c r="B441" t="s">
        <v>34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2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2">
      <c r="A443" t="s">
        <v>8</v>
      </c>
      <c r="B443" t="s">
        <v>34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2">
      <c r="A444" t="s">
        <v>8</v>
      </c>
      <c r="B444" t="s">
        <v>34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2">
      <c r="A445" t="s">
        <v>8</v>
      </c>
      <c r="B445" t="s">
        <v>34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2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2">
      <c r="A447" t="s">
        <v>8</v>
      </c>
      <c r="B447" t="s">
        <v>34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2">
      <c r="A448" t="s">
        <v>8</v>
      </c>
      <c r="B448" t="s">
        <v>34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2">
      <c r="A449" t="s">
        <v>8</v>
      </c>
      <c r="B449" t="s">
        <v>34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2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2">
      <c r="A451" t="s">
        <v>8</v>
      </c>
      <c r="B451" t="s">
        <v>34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2">
      <c r="A452" t="s">
        <v>8</v>
      </c>
      <c r="B452" t="s">
        <v>34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2">
      <c r="A453" t="s">
        <v>8</v>
      </c>
      <c r="B453" t="s">
        <v>34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2">
      <c r="A454" t="s">
        <v>8</v>
      </c>
      <c r="B454" t="s">
        <v>34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2">
      <c r="A455" t="s">
        <v>8</v>
      </c>
      <c r="B455" t="s">
        <v>34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2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2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2">
      <c r="A458" t="s">
        <v>8</v>
      </c>
      <c r="B458" t="s">
        <v>34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2">
      <c r="A459" t="s">
        <v>8</v>
      </c>
      <c r="B459" t="s">
        <v>34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2">
      <c r="A460" t="s">
        <v>8</v>
      </c>
      <c r="B460" t="s">
        <v>34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2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2">
      <c r="A462" t="s">
        <v>8</v>
      </c>
      <c r="B462" t="s">
        <v>34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2">
      <c r="A463" t="s">
        <v>8</v>
      </c>
      <c r="B463" t="s">
        <v>34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2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2">
      <c r="A465" t="s">
        <v>8</v>
      </c>
      <c r="B465" t="s">
        <v>34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2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174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2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174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2">
      <c r="A468" t="s">
        <v>8</v>
      </c>
      <c r="B468" t="s">
        <v>34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2">
      <c r="A469" t="s">
        <v>8</v>
      </c>
      <c r="B469" t="s">
        <v>34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2">
      <c r="A470" t="s">
        <v>8</v>
      </c>
      <c r="B470" t="s">
        <v>34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2">
      <c r="A471" t="s">
        <v>8</v>
      </c>
      <c r="B471" t="s">
        <v>34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2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2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174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2">
      <c r="A474" t="s">
        <v>8</v>
      </c>
      <c r="B474" t="s">
        <v>34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2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2">
      <c r="A476" t="s">
        <v>8</v>
      </c>
      <c r="B476" t="s">
        <v>34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2">
      <c r="A477" t="s">
        <v>8</v>
      </c>
      <c r="B477" t="s">
        <v>34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2">
      <c r="A478" t="s">
        <v>8</v>
      </c>
      <c r="B478" t="s">
        <v>34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2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2">
      <c r="A480" t="s">
        <v>8</v>
      </c>
      <c r="B480" t="s">
        <v>34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2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2">
      <c r="A482" t="s">
        <v>8</v>
      </c>
      <c r="B482" t="s">
        <v>34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2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2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174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2">
      <c r="A485" t="s">
        <v>8</v>
      </c>
      <c r="B485" t="s">
        <v>34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2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2">
      <c r="A487" t="s">
        <v>8</v>
      </c>
      <c r="B487" t="s">
        <v>34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2">
      <c r="A488" t="s">
        <v>8</v>
      </c>
      <c r="B488" t="s">
        <v>34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2">
      <c r="A489" t="s">
        <v>8</v>
      </c>
      <c r="B489" t="s">
        <v>34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2">
      <c r="A490" t="s">
        <v>8</v>
      </c>
      <c r="B490" t="s">
        <v>34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2">
      <c r="A491" t="s">
        <v>8</v>
      </c>
      <c r="B491" t="s">
        <v>34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2">
      <c r="A492" t="s">
        <v>8</v>
      </c>
      <c r="B492" t="s">
        <v>34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2">
      <c r="A493" t="s">
        <v>8</v>
      </c>
      <c r="B493" t="s">
        <v>34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2">
      <c r="A494" t="s">
        <v>8</v>
      </c>
      <c r="B494" t="s">
        <v>34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2">
      <c r="A495" t="s">
        <v>8</v>
      </c>
      <c r="B495" t="s">
        <v>34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2">
      <c r="A496" t="s">
        <v>8</v>
      </c>
      <c r="B496" t="s">
        <v>34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2">
      <c r="A497" t="s">
        <v>8</v>
      </c>
      <c r="B497" t="s">
        <v>34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2">
      <c r="A498" t="s">
        <v>8</v>
      </c>
      <c r="B498" t="s">
        <v>34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2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2">
      <c r="A500" t="s">
        <v>8</v>
      </c>
      <c r="B500" t="s">
        <v>34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2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174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2">
      <c r="A502" t="s">
        <v>8</v>
      </c>
      <c r="B502" t="s">
        <v>34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2">
      <c r="A503" t="s">
        <v>8</v>
      </c>
      <c r="B503" t="s">
        <v>34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2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2">
      <c r="A505" t="s">
        <v>8</v>
      </c>
      <c r="B505" t="s">
        <v>34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2">
      <c r="A506" t="s">
        <v>8</v>
      </c>
      <c r="B506" t="s">
        <v>34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2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2">
      <c r="A508" t="s">
        <v>8</v>
      </c>
      <c r="B508" t="s">
        <v>34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2">
      <c r="A509" t="s">
        <v>8</v>
      </c>
      <c r="B509" t="s">
        <v>34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2">
      <c r="A510" t="s">
        <v>68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2">
      <c r="A511" t="s">
        <v>68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2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2">
      <c r="A513" t="s">
        <v>68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2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2">
      <c r="A515" t="s">
        <v>68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2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2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2">
      <c r="A518" t="s">
        <v>8</v>
      </c>
      <c r="B518" t="s">
        <v>34</v>
      </c>
      <c r="C518">
        <v>3</v>
      </c>
      <c r="D518">
        <v>920</v>
      </c>
      <c r="E518">
        <v>2</v>
      </c>
      <c r="F518" t="s">
        <v>36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2">
      <c r="A519" t="s">
        <v>8</v>
      </c>
      <c r="B519" t="s">
        <v>34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2">
      <c r="A520" t="s">
        <v>8</v>
      </c>
      <c r="B520" t="s">
        <v>34</v>
      </c>
      <c r="C520">
        <v>3</v>
      </c>
      <c r="D520">
        <v>1500</v>
      </c>
      <c r="E520">
        <v>3</v>
      </c>
      <c r="F520" t="s">
        <v>62</v>
      </c>
      <c r="G520" t="s">
        <v>28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2">
      <c r="A521" t="s">
        <v>8</v>
      </c>
      <c r="B521" t="s">
        <v>34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2">
      <c r="A522" t="s">
        <v>40</v>
      </c>
      <c r="B522" t="s">
        <v>9</v>
      </c>
      <c r="C522">
        <v>7</v>
      </c>
      <c r="D522">
        <v>2340</v>
      </c>
      <c r="E522">
        <v>0</v>
      </c>
      <c r="F522" t="s">
        <v>65</v>
      </c>
      <c r="G522">
        <v>1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2">
      <c r="A523" t="s">
        <v>40</v>
      </c>
      <c r="B523" t="s">
        <v>9</v>
      </c>
      <c r="C523">
        <v>7</v>
      </c>
      <c r="D523">
        <v>2340</v>
      </c>
      <c r="E523">
        <v>0</v>
      </c>
      <c r="F523" t="s">
        <v>65</v>
      </c>
      <c r="G523">
        <v>1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2">
      <c r="A524" t="s">
        <v>40</v>
      </c>
      <c r="B524" t="s">
        <v>9</v>
      </c>
      <c r="C524">
        <v>7</v>
      </c>
      <c r="D524">
        <v>2182</v>
      </c>
      <c r="E524">
        <v>0</v>
      </c>
      <c r="F524" t="s">
        <v>66</v>
      </c>
      <c r="G524">
        <v>4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2">
      <c r="A525" s="10" t="s">
        <v>203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2">
      <c r="A526" s="10" t="s">
        <v>203</v>
      </c>
      <c r="B526" t="s">
        <v>9</v>
      </c>
      <c r="C526">
        <v>6</v>
      </c>
      <c r="D526">
        <v>2783</v>
      </c>
      <c r="E526">
        <v>2</v>
      </c>
      <c r="F526" t="s">
        <v>36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2">
      <c r="A527" s="10" t="s">
        <v>203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2">
      <c r="A528" s="10" t="s">
        <v>203</v>
      </c>
      <c r="B528" t="s">
        <v>9</v>
      </c>
      <c r="C528">
        <v>6</v>
      </c>
      <c r="D528">
        <v>2367</v>
      </c>
      <c r="E528">
        <v>0</v>
      </c>
      <c r="F528" t="s">
        <v>63</v>
      </c>
      <c r="G528" t="s">
        <v>13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2">
      <c r="A529" s="10" t="s">
        <v>203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2">
      <c r="A530" s="10" t="s">
        <v>203</v>
      </c>
      <c r="B530" t="s">
        <v>9</v>
      </c>
      <c r="C530">
        <v>6</v>
      </c>
      <c r="D530">
        <v>2638</v>
      </c>
      <c r="E530">
        <v>0</v>
      </c>
      <c r="F530" t="s">
        <v>174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2">
      <c r="A531" s="10" t="s">
        <v>203</v>
      </c>
      <c r="B531" t="s">
        <v>9</v>
      </c>
      <c r="C531">
        <v>6</v>
      </c>
      <c r="D531">
        <v>2603</v>
      </c>
      <c r="E531">
        <v>0</v>
      </c>
      <c r="F531" t="s">
        <v>36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2">
      <c r="A532" s="10" t="s">
        <v>203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2">
      <c r="A533" s="10" t="s">
        <v>203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2">
      <c r="A534" s="10" t="s">
        <v>203</v>
      </c>
      <c r="B534" t="s">
        <v>9</v>
      </c>
      <c r="C534">
        <v>6</v>
      </c>
      <c r="D534">
        <v>2460</v>
      </c>
      <c r="E534">
        <v>1</v>
      </c>
      <c r="F534" t="s">
        <v>36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2">
      <c r="A535" s="10" t="s">
        <v>245</v>
      </c>
      <c r="B535" t="s">
        <v>9</v>
      </c>
      <c r="C535">
        <v>8</v>
      </c>
      <c r="D535">
        <v>2498</v>
      </c>
      <c r="E535">
        <v>2</v>
      </c>
      <c r="F535" t="s">
        <v>64</v>
      </c>
      <c r="G535">
        <v>3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2">
      <c r="A536" s="10" t="s">
        <v>245</v>
      </c>
      <c r="B536" t="s">
        <v>9</v>
      </c>
      <c r="C536">
        <v>7</v>
      </c>
      <c r="D536">
        <v>2073</v>
      </c>
      <c r="E536">
        <v>0</v>
      </c>
      <c r="F536" t="s">
        <v>240</v>
      </c>
      <c r="G536">
        <v>1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2">
      <c r="A537" s="10" t="s">
        <v>245</v>
      </c>
      <c r="B537" t="s">
        <v>9</v>
      </c>
      <c r="C537">
        <v>7</v>
      </c>
      <c r="D537">
        <v>2143</v>
      </c>
      <c r="E537">
        <v>0</v>
      </c>
      <c r="F537" t="s">
        <v>64</v>
      </c>
      <c r="G537">
        <v>3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2">
      <c r="A538" s="10" t="s">
        <v>245</v>
      </c>
      <c r="B538" t="s">
        <v>9</v>
      </c>
      <c r="C538">
        <v>7</v>
      </c>
      <c r="D538">
        <v>1852</v>
      </c>
      <c r="E538">
        <v>1</v>
      </c>
      <c r="F538" t="s">
        <v>240</v>
      </c>
      <c r="G538">
        <v>1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2">
      <c r="A539" s="10" t="s">
        <v>245</v>
      </c>
      <c r="B539" t="s">
        <v>9</v>
      </c>
      <c r="C539">
        <v>7</v>
      </c>
      <c r="D539">
        <v>2417</v>
      </c>
      <c r="E539">
        <v>0</v>
      </c>
      <c r="F539" t="s">
        <v>241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2">
      <c r="A540" s="10" t="s">
        <v>245</v>
      </c>
      <c r="B540" t="s">
        <v>9</v>
      </c>
      <c r="C540">
        <v>8</v>
      </c>
      <c r="D540">
        <v>2146</v>
      </c>
      <c r="E540">
        <v>0</v>
      </c>
      <c r="F540" t="s">
        <v>240</v>
      </c>
      <c r="G540">
        <v>2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2">
      <c r="A541" s="10" t="s">
        <v>245</v>
      </c>
      <c r="B541" t="s">
        <v>9</v>
      </c>
      <c r="C541">
        <v>8</v>
      </c>
      <c r="D541">
        <v>2968</v>
      </c>
      <c r="E541">
        <v>0</v>
      </c>
      <c r="F541" t="s">
        <v>36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2">
      <c r="A542" s="10" t="s">
        <v>245</v>
      </c>
      <c r="B542" t="s">
        <v>9</v>
      </c>
      <c r="C542">
        <v>8</v>
      </c>
      <c r="D542">
        <v>2237</v>
      </c>
      <c r="E542">
        <v>0</v>
      </c>
      <c r="F542" t="s">
        <v>36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2">
      <c r="A543" s="10" t="s">
        <v>245</v>
      </c>
      <c r="B543" t="s">
        <v>9</v>
      </c>
      <c r="C543">
        <v>8</v>
      </c>
      <c r="D543">
        <v>2223</v>
      </c>
      <c r="E543">
        <v>1</v>
      </c>
      <c r="F543" t="s">
        <v>64</v>
      </c>
      <c r="G543">
        <v>5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2">
      <c r="A544" s="10" t="s">
        <v>245</v>
      </c>
      <c r="B544" t="s">
        <v>9</v>
      </c>
      <c r="C544">
        <v>8</v>
      </c>
      <c r="D544">
        <v>2246</v>
      </c>
      <c r="E544">
        <v>2</v>
      </c>
      <c r="F544" t="s">
        <v>36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1:12">
      <c r="A545" s="10" t="s">
        <v>245</v>
      </c>
      <c r="B545" t="s">
        <v>9</v>
      </c>
      <c r="C545">
        <v>8</v>
      </c>
      <c r="D545">
        <v>1945</v>
      </c>
      <c r="E545">
        <v>0</v>
      </c>
      <c r="F545" t="s">
        <v>36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1:12">
      <c r="A546" s="10" t="s">
        <v>245</v>
      </c>
      <c r="B546" t="s">
        <v>9</v>
      </c>
      <c r="C546">
        <v>8</v>
      </c>
      <c r="D546">
        <v>2404</v>
      </c>
      <c r="E546">
        <v>1</v>
      </c>
      <c r="F546" t="s">
        <v>64</v>
      </c>
      <c r="G546">
        <v>4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1:12">
      <c r="A547" s="10" t="s">
        <v>245</v>
      </c>
      <c r="B547" t="s">
        <v>9</v>
      </c>
      <c r="C547">
        <v>8</v>
      </c>
      <c r="D547">
        <v>3017</v>
      </c>
      <c r="E547">
        <v>1</v>
      </c>
      <c r="F547" t="s">
        <v>64</v>
      </c>
      <c r="G547">
        <v>4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1:12">
      <c r="A548" s="10" t="s">
        <v>245</v>
      </c>
      <c r="B548" t="s">
        <v>9</v>
      </c>
      <c r="C548">
        <v>8</v>
      </c>
      <c r="D548">
        <v>2175</v>
      </c>
      <c r="E548">
        <v>0</v>
      </c>
      <c r="F548" t="s">
        <v>174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1:12">
      <c r="A549" s="10" t="s">
        <v>245</v>
      </c>
      <c r="B549" t="s">
        <v>9</v>
      </c>
      <c r="C549">
        <v>8</v>
      </c>
      <c r="D549">
        <v>2276</v>
      </c>
      <c r="E549">
        <v>0</v>
      </c>
      <c r="F549" t="s">
        <v>64</v>
      </c>
      <c r="G549">
        <v>4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1:12">
      <c r="A550" s="10" t="s">
        <v>245</v>
      </c>
      <c r="B550" t="s">
        <v>9</v>
      </c>
      <c r="C550">
        <v>8</v>
      </c>
      <c r="D550">
        <v>2576</v>
      </c>
      <c r="E550">
        <v>3</v>
      </c>
      <c r="F550" t="s">
        <v>64</v>
      </c>
      <c r="G550">
        <v>4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1:12">
      <c r="A551" s="10" t="s">
        <v>245</v>
      </c>
      <c r="B551" t="s">
        <v>9</v>
      </c>
      <c r="C551">
        <v>8</v>
      </c>
      <c r="D551">
        <v>2058</v>
      </c>
      <c r="E551">
        <v>1</v>
      </c>
      <c r="F551" t="s">
        <v>64</v>
      </c>
      <c r="G551">
        <v>5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1:12">
      <c r="A552" s="10" t="s">
        <v>245</v>
      </c>
      <c r="B552" t="s">
        <v>9</v>
      </c>
      <c r="C552">
        <v>8</v>
      </c>
      <c r="D552">
        <v>2086</v>
      </c>
      <c r="E552">
        <v>1</v>
      </c>
      <c r="F552" t="s">
        <v>36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1:12">
      <c r="A553" s="10" t="s">
        <v>245</v>
      </c>
      <c r="B553" t="s">
        <v>9</v>
      </c>
      <c r="C553">
        <v>8</v>
      </c>
      <c r="D553">
        <v>2586</v>
      </c>
      <c r="E553">
        <v>3</v>
      </c>
      <c r="F553" t="s">
        <v>36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1:12">
      <c r="A554" s="10" t="s">
        <v>245</v>
      </c>
      <c r="B554" t="s">
        <v>9</v>
      </c>
      <c r="C554">
        <v>8</v>
      </c>
      <c r="D554">
        <v>2500</v>
      </c>
      <c r="E554">
        <v>1</v>
      </c>
      <c r="F554" t="s">
        <v>36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1:12">
      <c r="A555" s="10" t="s">
        <v>245</v>
      </c>
      <c r="B555" t="s">
        <v>9</v>
      </c>
      <c r="C555">
        <v>8</v>
      </c>
      <c r="D555">
        <v>2526</v>
      </c>
      <c r="E555">
        <v>0</v>
      </c>
      <c r="F555" t="s">
        <v>242</v>
      </c>
      <c r="G555">
        <v>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1:12">
      <c r="A556" s="10" t="s">
        <v>245</v>
      </c>
      <c r="B556" t="s">
        <v>9</v>
      </c>
      <c r="C556">
        <v>8</v>
      </c>
      <c r="D556">
        <v>2483</v>
      </c>
      <c r="E556">
        <v>3</v>
      </c>
      <c r="F556" t="s">
        <v>242</v>
      </c>
      <c r="G556">
        <v>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1:12">
      <c r="A557" s="10" t="s">
        <v>245</v>
      </c>
      <c r="B557" t="s">
        <v>9</v>
      </c>
      <c r="C557">
        <v>8</v>
      </c>
      <c r="D557">
        <v>2491</v>
      </c>
      <c r="E557">
        <v>0</v>
      </c>
      <c r="F557" t="s">
        <v>243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1:12">
      <c r="A558" s="10" t="s">
        <v>245</v>
      </c>
      <c r="B558" t="s">
        <v>9</v>
      </c>
      <c r="C558">
        <v>8</v>
      </c>
      <c r="D558">
        <v>2730</v>
      </c>
      <c r="E558">
        <v>0</v>
      </c>
      <c r="F558" t="s">
        <v>36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1:12">
      <c r="A559" s="10" t="s">
        <v>245</v>
      </c>
      <c r="B559" t="s">
        <v>9</v>
      </c>
      <c r="C559">
        <v>8</v>
      </c>
      <c r="D559">
        <v>2671</v>
      </c>
      <c r="E559">
        <v>2</v>
      </c>
      <c r="F559" t="s">
        <v>64</v>
      </c>
      <c r="G559">
        <v>4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1:12">
      <c r="A560" s="10" t="s">
        <v>245</v>
      </c>
      <c r="B560" t="s">
        <v>9</v>
      </c>
      <c r="C560">
        <v>8</v>
      </c>
      <c r="D560">
        <v>2186</v>
      </c>
      <c r="E560">
        <v>1</v>
      </c>
      <c r="F560" t="s">
        <v>244</v>
      </c>
      <c r="G560" t="s">
        <v>18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1:12">
      <c r="A561" s="10" t="s">
        <v>245</v>
      </c>
      <c r="B561" t="s">
        <v>9</v>
      </c>
      <c r="C561">
        <v>8</v>
      </c>
      <c r="D561">
        <v>2316</v>
      </c>
      <c r="E561">
        <v>0</v>
      </c>
      <c r="F561" t="s">
        <v>64</v>
      </c>
      <c r="G561">
        <v>3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1:12">
      <c r="A562" s="10" t="s">
        <v>245</v>
      </c>
      <c r="B562" t="s">
        <v>9</v>
      </c>
      <c r="C562">
        <v>8</v>
      </c>
      <c r="D562">
        <v>2046</v>
      </c>
      <c r="E562">
        <v>1</v>
      </c>
      <c r="F562" t="s">
        <v>64</v>
      </c>
      <c r="G562">
        <v>4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1:12">
      <c r="A563" s="10" t="s">
        <v>245</v>
      </c>
      <c r="B563" t="s">
        <v>9</v>
      </c>
      <c r="C563">
        <v>8</v>
      </c>
      <c r="D563">
        <v>2303</v>
      </c>
      <c r="E563">
        <v>3</v>
      </c>
      <c r="F563" t="s">
        <v>240</v>
      </c>
      <c r="G563">
        <v>1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1:12">
      <c r="A564" s="10" t="s">
        <v>245</v>
      </c>
      <c r="B564" t="s">
        <v>9</v>
      </c>
      <c r="C564">
        <v>8</v>
      </c>
      <c r="D564">
        <v>2396</v>
      </c>
      <c r="E564">
        <v>1</v>
      </c>
      <c r="F564" t="s">
        <v>240</v>
      </c>
      <c r="G564">
        <v>1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1:12">
      <c r="A565" s="10" t="s">
        <v>245</v>
      </c>
      <c r="B565" t="s">
        <v>9</v>
      </c>
      <c r="C565">
        <v>8</v>
      </c>
      <c r="D565">
        <v>2325</v>
      </c>
      <c r="E565">
        <v>1</v>
      </c>
      <c r="F565" t="s">
        <v>242</v>
      </c>
      <c r="G565">
        <v>2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1:12">
      <c r="A566" s="10" t="s">
        <v>245</v>
      </c>
      <c r="B566" t="s">
        <v>9</v>
      </c>
      <c r="C566">
        <v>8</v>
      </c>
      <c r="D566">
        <v>2398</v>
      </c>
      <c r="E566">
        <v>1</v>
      </c>
      <c r="F566" t="s">
        <v>64</v>
      </c>
      <c r="G566">
        <v>3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1:12">
      <c r="A567" s="10" t="s">
        <v>245</v>
      </c>
      <c r="B567" t="s">
        <v>9</v>
      </c>
      <c r="C567">
        <v>8</v>
      </c>
      <c r="D567">
        <v>2668</v>
      </c>
      <c r="E567">
        <v>0</v>
      </c>
      <c r="F567" t="s">
        <v>242</v>
      </c>
      <c r="G567">
        <v>3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1:12">
      <c r="A568" s="10" t="s">
        <v>40</v>
      </c>
      <c r="B568" t="s">
        <v>9</v>
      </c>
      <c r="C568">
        <v>7</v>
      </c>
      <c r="D568">
        <v>3002</v>
      </c>
      <c r="E568">
        <v>2</v>
      </c>
      <c r="F568" t="s">
        <v>65</v>
      </c>
      <c r="G568">
        <v>2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1:12">
      <c r="A569" s="10" t="s">
        <v>40</v>
      </c>
      <c r="B569" t="s">
        <v>9</v>
      </c>
      <c r="C569">
        <v>7</v>
      </c>
      <c r="D569">
        <v>2021</v>
      </c>
      <c r="E569">
        <v>1</v>
      </c>
      <c r="F569" t="s">
        <v>65</v>
      </c>
      <c r="G569">
        <v>1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1:12">
      <c r="A570" s="10" t="s">
        <v>40</v>
      </c>
      <c r="B570" t="s">
        <v>9</v>
      </c>
      <c r="C570">
        <v>7</v>
      </c>
      <c r="D570">
        <v>2168</v>
      </c>
      <c r="E570">
        <v>0</v>
      </c>
      <c r="F570" t="s">
        <v>66</v>
      </c>
      <c r="G570">
        <v>4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1:12">
      <c r="A571" s="10" t="s">
        <v>40</v>
      </c>
      <c r="B571" t="s">
        <v>9</v>
      </c>
      <c r="C571">
        <v>7</v>
      </c>
      <c r="D571">
        <v>2540</v>
      </c>
      <c r="E571">
        <v>3</v>
      </c>
      <c r="F571" t="s">
        <v>65</v>
      </c>
      <c r="G571">
        <v>1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1:12">
      <c r="A572" s="10" t="s">
        <v>40</v>
      </c>
      <c r="B572" t="s">
        <v>9</v>
      </c>
      <c r="C572">
        <v>7</v>
      </c>
      <c r="D572">
        <v>2251</v>
      </c>
      <c r="E572">
        <v>1</v>
      </c>
      <c r="F572" t="s">
        <v>65</v>
      </c>
      <c r="G572">
        <v>1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1:12">
      <c r="A573" s="10" t="s">
        <v>40</v>
      </c>
      <c r="B573" t="s">
        <v>9</v>
      </c>
      <c r="C573">
        <v>7</v>
      </c>
      <c r="D573">
        <v>2591</v>
      </c>
      <c r="E573">
        <v>1</v>
      </c>
      <c r="F573" t="s">
        <v>66</v>
      </c>
      <c r="G573">
        <v>4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1:12">
      <c r="A574" s="10" t="s">
        <v>40</v>
      </c>
      <c r="B574" t="s">
        <v>9</v>
      </c>
      <c r="C574">
        <v>7</v>
      </c>
      <c r="D574">
        <v>2238</v>
      </c>
      <c r="E574">
        <v>1</v>
      </c>
      <c r="F574" t="s">
        <v>65</v>
      </c>
      <c r="G574">
        <v>3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1:12">
      <c r="A575" s="10" t="s">
        <v>40</v>
      </c>
      <c r="B575" t="s">
        <v>9</v>
      </c>
      <c r="C575">
        <v>7</v>
      </c>
      <c r="D575">
        <v>2506</v>
      </c>
      <c r="E575">
        <v>0</v>
      </c>
      <c r="F575" t="s">
        <v>65</v>
      </c>
      <c r="G575">
        <v>3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1:12">
      <c r="A576" s="10" t="s">
        <v>40</v>
      </c>
      <c r="B576" t="s">
        <v>9</v>
      </c>
      <c r="C576">
        <v>7</v>
      </c>
      <c r="D576">
        <v>2339</v>
      </c>
      <c r="E576">
        <v>0</v>
      </c>
      <c r="F576" t="s">
        <v>66</v>
      </c>
      <c r="G576">
        <v>4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1:12">
      <c r="A577" s="10" t="s">
        <v>40</v>
      </c>
      <c r="B577" t="s">
        <v>9</v>
      </c>
      <c r="C577">
        <v>7</v>
      </c>
      <c r="D577">
        <v>2207</v>
      </c>
      <c r="E577">
        <v>1</v>
      </c>
      <c r="F577" t="s">
        <v>66</v>
      </c>
      <c r="G577">
        <v>3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1:12">
      <c r="A578" s="10" t="s">
        <v>40</v>
      </c>
      <c r="B578" t="s">
        <v>9</v>
      </c>
      <c r="C578">
        <v>7</v>
      </c>
      <c r="D578">
        <v>1988</v>
      </c>
      <c r="E578">
        <v>0</v>
      </c>
      <c r="F578" t="s">
        <v>64</v>
      </c>
      <c r="G578">
        <v>3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1:12">
      <c r="A579" s="10" t="s">
        <v>40</v>
      </c>
      <c r="B579" t="s">
        <v>9</v>
      </c>
      <c r="C579">
        <v>7</v>
      </c>
      <c r="D579">
        <v>2659</v>
      </c>
      <c r="E579">
        <v>0</v>
      </c>
      <c r="F579" t="s">
        <v>66</v>
      </c>
      <c r="G579">
        <v>5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1:12">
      <c r="A580" s="10" t="s">
        <v>40</v>
      </c>
      <c r="B580" t="s">
        <v>9</v>
      </c>
      <c r="C580">
        <v>7</v>
      </c>
      <c r="D580">
        <v>2237</v>
      </c>
      <c r="E580">
        <v>0</v>
      </c>
      <c r="F580" t="s">
        <v>36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1:12">
      <c r="A581" s="10" t="s">
        <v>40</v>
      </c>
      <c r="B581" t="s">
        <v>9</v>
      </c>
      <c r="C581">
        <v>7</v>
      </c>
      <c r="D581">
        <v>2137</v>
      </c>
      <c r="E581">
        <v>1</v>
      </c>
      <c r="F581" t="s">
        <v>174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1:12">
      <c r="A582" s="10" t="s">
        <v>40</v>
      </c>
      <c r="B582" t="s">
        <v>9</v>
      </c>
      <c r="C582">
        <v>7</v>
      </c>
      <c r="D582">
        <v>2588</v>
      </c>
      <c r="E582">
        <v>1</v>
      </c>
      <c r="F582" t="s">
        <v>66</v>
      </c>
      <c r="G582">
        <v>3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1:12">
      <c r="A583" s="10" t="s">
        <v>40</v>
      </c>
      <c r="B583" t="s">
        <v>9</v>
      </c>
      <c r="C583">
        <v>7</v>
      </c>
      <c r="D583">
        <v>2248</v>
      </c>
      <c r="E583">
        <v>1</v>
      </c>
      <c r="F583" t="s">
        <v>246</v>
      </c>
      <c r="G583">
        <v>2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1:12">
      <c r="A584" s="10" t="s">
        <v>203</v>
      </c>
      <c r="B584" t="s">
        <v>9</v>
      </c>
      <c r="C584">
        <v>6</v>
      </c>
      <c r="D584">
        <v>2097</v>
      </c>
      <c r="E584">
        <v>2</v>
      </c>
      <c r="F584" t="s">
        <v>100</v>
      </c>
      <c r="G584" t="s">
        <v>29</v>
      </c>
      <c r="H584" t="s">
        <v>249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1:12">
      <c r="A585" s="10" t="s">
        <v>33</v>
      </c>
      <c r="B585" t="s">
        <v>32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Drop]]+IF(DropAnalityka[[#This Row],[Drop]]="Scroll", 2000*DropAnalityka[[#This Row],[Quality/Quantity]],0)</f>
        <v>1824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1:12">
      <c r="A586" s="10" t="s">
        <v>33</v>
      </c>
      <c r="B586" t="s">
        <v>32</v>
      </c>
      <c r="C586">
        <v>11</v>
      </c>
      <c r="D586">
        <v>1504</v>
      </c>
      <c r="E586">
        <v>1</v>
      </c>
      <c r="F586" t="s">
        <v>62</v>
      </c>
      <c r="G586" t="s">
        <v>13</v>
      </c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7" spans="1:12">
      <c r="A587" s="10" t="s">
        <v>33</v>
      </c>
      <c r="B587" t="s">
        <v>32</v>
      </c>
      <c r="C587">
        <v>11</v>
      </c>
      <c r="D587">
        <v>1442</v>
      </c>
      <c r="E587">
        <v>1</v>
      </c>
      <c r="F587" t="s">
        <v>62</v>
      </c>
      <c r="G587" t="s">
        <v>13</v>
      </c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8" spans="1:12">
      <c r="A588" s="10" t="s">
        <v>33</v>
      </c>
      <c r="B588" t="s">
        <v>32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Drop]]+IF(DropAnalityka[[#This Row],[Drop]]="Scroll", 2000*DropAnalityka[[#This Row],[Quality/Quantity]],0)</f>
        <v>1824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1:12">
      <c r="A589" s="10" t="s">
        <v>33</v>
      </c>
      <c r="B589" t="s">
        <v>32</v>
      </c>
      <c r="C589">
        <v>11</v>
      </c>
      <c r="D589">
        <v>1606</v>
      </c>
      <c r="E589">
        <v>0</v>
      </c>
      <c r="F589" t="s">
        <v>36</v>
      </c>
      <c r="G589">
        <v>2</v>
      </c>
      <c r="J589">
        <f>DropAnalityka[[#This Row],[Sell Drop]]+IF(DropAnalityka[[#This Row],[Drop]]="Scroll", 2000*DropAnalityka[[#This Row],[Quality/Quantity]],0)</f>
        <v>4000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1:12">
      <c r="A590" s="10" t="s">
        <v>33</v>
      </c>
      <c r="B590" t="s">
        <v>32</v>
      </c>
      <c r="C590">
        <v>11</v>
      </c>
      <c r="D590">
        <v>1532</v>
      </c>
      <c r="E590">
        <v>1</v>
      </c>
      <c r="F590" t="s">
        <v>36</v>
      </c>
      <c r="G590">
        <v>2</v>
      </c>
      <c r="J590">
        <f>DropAnalityka[[#This Row],[Sell Drop]]+IF(DropAnalityka[[#This Row],[Drop]]="Scroll", 2000*DropAnalityka[[#This Row],[Quality/Quantity]],0)</f>
        <v>4000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1:12">
      <c r="A591" s="10" t="s">
        <v>33</v>
      </c>
      <c r="B591" t="s">
        <v>32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Drop]]+IF(DropAnalityka[[#This Row],[Drop]]="Scroll", 2000*DropAnalityka[[#This Row],[Quality/Quantity]],0)</f>
        <v>1824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1:12">
      <c r="A592" s="10" t="s">
        <v>33</v>
      </c>
      <c r="B592" t="s">
        <v>32</v>
      </c>
      <c r="C592">
        <v>11</v>
      </c>
      <c r="D592">
        <v>2175</v>
      </c>
      <c r="E592">
        <v>2</v>
      </c>
      <c r="F592" t="s">
        <v>36</v>
      </c>
      <c r="G592">
        <v>2</v>
      </c>
      <c r="J592">
        <f>DropAnalityka[[#This Row],[Sell Drop]]+IF(DropAnalityka[[#This Row],[Drop]]="Scroll", 2000*DropAnalityka[[#This Row],[Quality/Quantity]],0)</f>
        <v>4000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1:12">
      <c r="A593" s="10" t="s">
        <v>33</v>
      </c>
      <c r="B593" t="s">
        <v>32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Drop]]+IF(DropAnalityka[[#This Row],[Drop]]="Scroll", 2000*DropAnalityka[[#This Row],[Quality/Quantity]],0)</f>
        <v>3182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1:12">
      <c r="A594" s="10" t="s">
        <v>33</v>
      </c>
      <c r="B594" t="s">
        <v>32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Drop]]+IF(DropAnalityka[[#This Row],[Drop]]="Scroll", 2000*DropAnalityka[[#This Row],[Quality/Quantity]],0)</f>
        <v>3427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1:12">
      <c r="A595" s="10" t="s">
        <v>33</v>
      </c>
      <c r="B595" t="s">
        <v>32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Drop]]+IF(DropAnalityka[[#This Row],[Drop]]="Scroll", 2000*DropAnalityka[[#This Row],[Quality/Quantity]],0)</f>
        <v>1824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1:12">
      <c r="A596" s="10" t="s">
        <v>33</v>
      </c>
      <c r="B596" t="s">
        <v>32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Drop]]+IF(DropAnalityka[[#This Row],[Drop]]="Scroll", 2000*DropAnalityka[[#This Row],[Quality/Quantity]],0)</f>
        <v>1824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1:12">
      <c r="A597" s="10" t="s">
        <v>33</v>
      </c>
      <c r="B597" t="s">
        <v>32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Drop]]+IF(DropAnalityka[[#This Row],[Drop]]="Scroll", 2000*DropAnalityka[[#This Row],[Quality/Quantity]],0)</f>
        <v>1824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1:12">
      <c r="A598" s="10" t="s">
        <v>33</v>
      </c>
      <c r="B598" t="s">
        <v>32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Drop]]+IF(DropAnalityka[[#This Row],[Drop]]="Scroll", 2000*DropAnalityka[[#This Row],[Quality/Quantity]],0)</f>
        <v>1824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1:12">
      <c r="A599" s="10" t="s">
        <v>33</v>
      </c>
      <c r="B599" t="s">
        <v>32</v>
      </c>
      <c r="C599">
        <v>11</v>
      </c>
      <c r="D599">
        <v>1864</v>
      </c>
      <c r="E599">
        <v>1</v>
      </c>
      <c r="F599" t="s">
        <v>36</v>
      </c>
      <c r="G599">
        <v>2</v>
      </c>
      <c r="J599">
        <f>DropAnalityka[[#This Row],[Sell Drop]]+IF(DropAnalityka[[#This Row],[Drop]]="Scroll", 2000*DropAnalityka[[#This Row],[Quality/Quantity]],0)</f>
        <v>4000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1:12">
      <c r="A600" s="10" t="s">
        <v>33</v>
      </c>
      <c r="B600" t="s">
        <v>32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Drop]]+IF(DropAnalityka[[#This Row],[Drop]]="Scroll", 2000*DropAnalityka[[#This Row],[Quality/Quantity]],0)</f>
        <v>2280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1:12">
      <c r="A601" s="10" t="s">
        <v>33</v>
      </c>
      <c r="B601" t="s">
        <v>32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Drop]]+IF(DropAnalityka[[#This Row],[Drop]]="Scroll", 2000*DropAnalityka[[#This Row],[Quality/Quantity]],0)</f>
        <v>1824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1:12">
      <c r="A602" s="10" t="s">
        <v>33</v>
      </c>
      <c r="B602" t="s">
        <v>32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Drop]]+IF(DropAnalityka[[#This Row],[Drop]]="Scroll", 2000*DropAnalityka[[#This Row],[Quality/Quantity]],0)</f>
        <v>1824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1:12">
      <c r="A603" s="10" t="s">
        <v>33</v>
      </c>
      <c r="B603" t="s">
        <v>32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Drop]]+IF(DropAnalityka[[#This Row],[Drop]]="Scroll", 2000*DropAnalityka[[#This Row],[Quality/Quantity]],0)</f>
        <v>2128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1:12">
      <c r="A604" s="10" t="s">
        <v>33</v>
      </c>
      <c r="B604" t="s">
        <v>32</v>
      </c>
      <c r="C604">
        <v>11</v>
      </c>
      <c r="D604">
        <v>586</v>
      </c>
      <c r="E604">
        <v>1</v>
      </c>
      <c r="F604" t="s">
        <v>62</v>
      </c>
      <c r="G604" t="s">
        <v>13</v>
      </c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05" spans="1:12">
      <c r="A605" s="10" t="s">
        <v>33</v>
      </c>
      <c r="B605" t="s">
        <v>32</v>
      </c>
      <c r="C605">
        <v>11</v>
      </c>
      <c r="D605">
        <v>1287</v>
      </c>
      <c r="E605">
        <v>4</v>
      </c>
      <c r="F605" t="s">
        <v>36</v>
      </c>
      <c r="G605">
        <v>2</v>
      </c>
      <c r="J605">
        <f>DropAnalityka[[#This Row],[Sell Drop]]+IF(DropAnalityka[[#This Row],[Drop]]="Scroll", 2000*DropAnalityka[[#This Row],[Quality/Quantity]],0)</f>
        <v>4000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1:12">
      <c r="A606" s="10" t="s">
        <v>33</v>
      </c>
      <c r="B606" t="s">
        <v>32</v>
      </c>
      <c r="C606">
        <v>11</v>
      </c>
      <c r="D606">
        <v>1485</v>
      </c>
      <c r="E606">
        <v>1</v>
      </c>
      <c r="F606" t="s">
        <v>36</v>
      </c>
      <c r="G606">
        <v>2</v>
      </c>
      <c r="J606">
        <f>DropAnalityka[[#This Row],[Sell Drop]]+IF(DropAnalityka[[#This Row],[Drop]]="Scroll", 2000*DropAnalityka[[#This Row],[Quality/Quantity]],0)</f>
        <v>4000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1:12">
      <c r="A607" s="10" t="s">
        <v>33</v>
      </c>
      <c r="B607" t="s">
        <v>32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Drop]]+IF(DropAnalityka[[#This Row],[Drop]]="Scroll", 2000*DropAnalityka[[#This Row],[Quality/Quantity]],0)</f>
        <v>1824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1:12">
      <c r="A608" s="10" t="s">
        <v>33</v>
      </c>
      <c r="B608" t="s">
        <v>32</v>
      </c>
      <c r="C608">
        <v>11</v>
      </c>
      <c r="D608">
        <v>1784</v>
      </c>
      <c r="E608">
        <v>1</v>
      </c>
      <c r="F608" t="s">
        <v>36</v>
      </c>
      <c r="G608">
        <v>2</v>
      </c>
      <c r="J608">
        <f>DropAnalityka[[#This Row],[Sell Drop]]+IF(DropAnalityka[[#This Row],[Drop]]="Scroll", 2000*DropAnalityka[[#This Row],[Quality/Quantity]],0)</f>
        <v>4000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1:12">
      <c r="A609" s="10" t="s">
        <v>33</v>
      </c>
      <c r="B609" t="s">
        <v>32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Drop]]+IF(DropAnalityka[[#This Row],[Drop]]="Scroll", 2000*DropAnalityka[[#This Row],[Quality/Quantity]],0)</f>
        <v>1976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1:12">
      <c r="A610" s="10" t="s">
        <v>33</v>
      </c>
      <c r="B610" t="s">
        <v>32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Drop]]+IF(DropAnalityka[[#This Row],[Drop]]="Scroll", 2000*DropAnalityka[[#This Row],[Quality/Quantity]],0)</f>
        <v>1824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1:12">
      <c r="A611" s="10" t="s">
        <v>33</v>
      </c>
      <c r="B611" t="s">
        <v>32</v>
      </c>
      <c r="C611">
        <v>11</v>
      </c>
      <c r="D611">
        <v>1185</v>
      </c>
      <c r="E611">
        <v>0</v>
      </c>
      <c r="F611" t="s">
        <v>62</v>
      </c>
      <c r="G611" t="s">
        <v>13</v>
      </c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12" spans="1:12">
      <c r="A612" s="10" t="s">
        <v>33</v>
      </c>
      <c r="B612" t="s">
        <v>32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Drop]]+IF(DropAnalityka[[#This Row],[Drop]]="Scroll", 2000*DropAnalityka[[#This Row],[Quality/Quantity]],0)</f>
        <v>2937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1:12">
      <c r="A613" s="10" t="s">
        <v>33</v>
      </c>
      <c r="B613" t="s">
        <v>32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Drop]]+IF(DropAnalityka[[#This Row],[Drop]]="Scroll", 2000*DropAnalityka[[#This Row],[Quality/Quantity]],0)</f>
        <v>1824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1:12">
      <c r="A614" s="10" t="s">
        <v>33</v>
      </c>
      <c r="B614" t="s">
        <v>32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Drop]]+IF(DropAnalityka[[#This Row],[Drop]]="Scroll", 2000*DropAnalityka[[#This Row],[Quality/Quantity]],0)</f>
        <v>1824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1:12">
      <c r="A615" s="10" t="s">
        <v>33</v>
      </c>
      <c r="B615" t="s">
        <v>32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Drop]]+IF(DropAnalityka[[#This Row],[Drop]]="Scroll", 2000*DropAnalityka[[#This Row],[Quality/Quantity]],0)</f>
        <v>3427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1:12">
      <c r="A616" s="10" t="s">
        <v>8</v>
      </c>
      <c r="B616" t="s">
        <v>34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Drop]]+IF(DropAnalityka[[#This Row],[Drop]]="Scroll", 2000*DropAnalityka[[#This Row],[Quality/Quantity]],0)</f>
        <v>1159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1:12">
      <c r="A617" s="10" t="s">
        <v>8</v>
      </c>
      <c r="B617" t="s">
        <v>34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Drop]]+IF(DropAnalityka[[#This Row],[Drop]]="Scroll", 2000*DropAnalityka[[#This Row],[Quality/Quantity]],0)</f>
        <v>1159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1:12">
      <c r="A618" s="10" t="s">
        <v>8</v>
      </c>
      <c r="B618" t="s">
        <v>34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Drop]]+IF(DropAnalityka[[#This Row],[Drop]]="Scroll", 2000*DropAnalityka[[#This Row],[Quality/Quantity]],0)</f>
        <v>1159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1:12">
      <c r="A619" s="10" t="s">
        <v>33</v>
      </c>
      <c r="B619" t="s">
        <v>32</v>
      </c>
      <c r="C619">
        <v>11</v>
      </c>
      <c r="D619">
        <v>2000</v>
      </c>
      <c r="E619">
        <v>2</v>
      </c>
      <c r="F619" t="s">
        <v>36</v>
      </c>
      <c r="G619">
        <v>2</v>
      </c>
      <c r="J619">
        <f>DropAnalityka[[#This Row],[Sell Drop]]+IF(DropAnalityka[[#This Row],[Drop]]="Scroll", 2000*DropAnalityka[[#This Row],[Quality/Quantity]],0)</f>
        <v>4000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1:12">
      <c r="A620" s="10" t="s">
        <v>33</v>
      </c>
      <c r="B620" t="s">
        <v>32</v>
      </c>
      <c r="C620">
        <v>11</v>
      </c>
      <c r="D620">
        <v>1918</v>
      </c>
      <c r="E620">
        <v>0</v>
      </c>
      <c r="F620" t="s">
        <v>36</v>
      </c>
      <c r="G620">
        <v>2</v>
      </c>
      <c r="J620">
        <f>DropAnalityka[[#This Row],[Sell Drop]]+IF(DropAnalityka[[#This Row],[Drop]]="Scroll", 2000*DropAnalityka[[#This Row],[Quality/Quantity]],0)</f>
        <v>4000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1:12">
      <c r="A621" s="10" t="s">
        <v>33</v>
      </c>
      <c r="B621" t="s">
        <v>32</v>
      </c>
      <c r="C621">
        <v>11</v>
      </c>
      <c r="D621">
        <v>1961</v>
      </c>
      <c r="E621">
        <v>1</v>
      </c>
      <c r="F621" t="s">
        <v>36</v>
      </c>
      <c r="G621">
        <v>2</v>
      </c>
      <c r="J621">
        <f>DropAnalityka[[#This Row],[Sell Drop]]+IF(DropAnalityka[[#This Row],[Drop]]="Scroll", 2000*DropAnalityka[[#This Row],[Quality/Quantity]],0)</f>
        <v>4000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1:12">
      <c r="A622" s="10" t="s">
        <v>33</v>
      </c>
      <c r="B622" t="s">
        <v>32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Drop]]+IF(DropAnalityka[[#This Row],[Drop]]="Scroll", 2000*DropAnalityka[[#This Row],[Quality/Quantity]],0)</f>
        <v>1824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1:12">
      <c r="A623" s="10" t="s">
        <v>33</v>
      </c>
      <c r="B623" t="s">
        <v>32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Drop]]+IF(DropAnalityka[[#This Row],[Drop]]="Scroll", 2000*DropAnalityka[[#This Row],[Quality/Quantity]],0)</f>
        <v>1976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1:12">
      <c r="A624" s="10" t="s">
        <v>33</v>
      </c>
      <c r="B624" t="s">
        <v>32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Drop]]+IF(DropAnalityka[[#This Row],[Drop]]="Scroll", 2000*DropAnalityka[[#This Row],[Quality/Quantity]],0)</f>
        <v>1976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1:12">
      <c r="A625" s="10" t="s">
        <v>33</v>
      </c>
      <c r="B625" t="s">
        <v>32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Drop]]+IF(DropAnalityka[[#This Row],[Drop]]="Scroll", 2000*DropAnalityka[[#This Row],[Quality/Quantity]],0)</f>
        <v>1824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1:12">
      <c r="A626" s="10" t="s">
        <v>33</v>
      </c>
      <c r="B626" t="s">
        <v>32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Drop]]+IF(DropAnalityka[[#This Row],[Drop]]="Scroll", 2000*DropAnalityka[[#This Row],[Quality/Quantity]],0)</f>
        <v>1824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1:12">
      <c r="A627" s="10" t="s">
        <v>33</v>
      </c>
      <c r="B627" t="s">
        <v>32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Drop]]+IF(DropAnalityka[[#This Row],[Drop]]="Scroll", 2000*DropAnalityka[[#This Row],[Quality/Quantity]],0)</f>
        <v>2937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1:12">
      <c r="A628" s="10" t="s">
        <v>33</v>
      </c>
      <c r="B628" t="s">
        <v>32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Drop]]+IF(DropAnalityka[[#This Row],[Drop]]="Scroll", 2000*DropAnalityka[[#This Row],[Quality/Quantity]],0)</f>
        <v>1824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1:12">
      <c r="A629" s="10" t="s">
        <v>33</v>
      </c>
      <c r="B629" t="s">
        <v>32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Drop]]+IF(DropAnalityka[[#This Row],[Drop]]="Scroll", 2000*DropAnalityka[[#This Row],[Quality/Quantity]],0)</f>
        <v>1824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1:12">
      <c r="A630" s="10" t="s">
        <v>33</v>
      </c>
      <c r="B630" t="s">
        <v>32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Drop]]+IF(DropAnalityka[[#This Row],[Drop]]="Scroll", 2000*DropAnalityka[[#This Row],[Quality/Quantity]],0)</f>
        <v>1824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1:12">
      <c r="A631" s="10" t="s">
        <v>33</v>
      </c>
      <c r="B631" t="s">
        <v>32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Drop]]+IF(DropAnalityka[[#This Row],[Drop]]="Scroll", 2000*DropAnalityka[[#This Row],[Quality/Quantity]],0)</f>
        <v>1824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1:12">
      <c r="A632" s="10" t="s">
        <v>33</v>
      </c>
      <c r="B632" t="s">
        <v>32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Drop]]+IF(DropAnalityka[[#This Row],[Drop]]="Scroll", 2000*DropAnalityka[[#This Row],[Quality/Quantity]],0)</f>
        <v>2937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1:12">
      <c r="A633" s="10" t="s">
        <v>33</v>
      </c>
      <c r="B633" t="s">
        <v>32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Drop]]+IF(DropAnalityka[[#This Row],[Drop]]="Scroll", 2000*DropAnalityka[[#This Row],[Quality/Quantity]],0)</f>
        <v>3182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1:12">
      <c r="A634" s="10" t="s">
        <v>33</v>
      </c>
      <c r="B634" t="s">
        <v>32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Drop]]+IF(DropAnalityka[[#This Row],[Drop]]="Scroll", 2000*DropAnalityka[[#This Row],[Quality/Quantity]],0)</f>
        <v>2128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1:12">
      <c r="A635" s="10" t="s">
        <v>33</v>
      </c>
      <c r="B635" t="s">
        <v>32</v>
      </c>
      <c r="C635">
        <v>11</v>
      </c>
      <c r="D635">
        <v>1954</v>
      </c>
      <c r="E635">
        <v>0</v>
      </c>
      <c r="F635" t="s">
        <v>36</v>
      </c>
      <c r="G635">
        <v>2</v>
      </c>
      <c r="J635">
        <f>DropAnalityka[[#This Row],[Sell Drop]]+IF(DropAnalityka[[#This Row],[Drop]]="Scroll", 2000*DropAnalityka[[#This Row],[Quality/Quantity]],0)</f>
        <v>4000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1:12">
      <c r="A636" t="s">
        <v>8</v>
      </c>
      <c r="B636" t="s">
        <v>34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Drop]]+IF(DropAnalityka[[#This Row],[Drop]]="Scroll", 2000*DropAnalityka[[#This Row],[Quality/Quantity]],0)</f>
        <v>1352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1:12">
      <c r="A637" t="s">
        <v>8</v>
      </c>
      <c r="B637" t="s">
        <v>34</v>
      </c>
      <c r="C637">
        <v>13</v>
      </c>
      <c r="D637">
        <v>1596</v>
      </c>
      <c r="E637">
        <v>1</v>
      </c>
      <c r="F637" t="s">
        <v>36</v>
      </c>
      <c r="G637">
        <v>3</v>
      </c>
      <c r="J637">
        <f>DropAnalityka[[#This Row],[Sell Drop]]+IF(DropAnalityka[[#This Row],[Drop]]="Scroll", 2000*DropAnalityka[[#This Row],[Quality/Quantity]],0)</f>
        <v>6000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1:12">
      <c r="A638" t="s">
        <v>8</v>
      </c>
      <c r="B638" t="s">
        <v>34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Drop]]+IF(DropAnalityka[[#This Row],[Drop]]="Scroll", 2000*DropAnalityka[[#This Row],[Quality/Quantity]],0)</f>
        <v>1352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1:12">
      <c r="A639" t="s">
        <v>8</v>
      </c>
      <c r="B639" t="s">
        <v>34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Drop]]+IF(DropAnalityka[[#This Row],[Drop]]="Scroll", 2000*DropAnalityka[[#This Row],[Quality/Quantity]],0)</f>
        <v>1352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1:12">
      <c r="A640" t="s">
        <v>8</v>
      </c>
      <c r="B640" t="s">
        <v>34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Drop]]+IF(DropAnalityka[[#This Row],[Drop]]="Scroll", 2000*DropAnalityka[[#This Row],[Quality/Quantity]],0)</f>
        <v>2411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1:13">
      <c r="A641" t="s">
        <v>8</v>
      </c>
      <c r="B641" t="s">
        <v>34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Drop]]+IF(DropAnalityka[[#This Row],[Drop]]="Scroll", 2000*DropAnalityka[[#This Row],[Quality/Quantity]],0)</f>
        <v>2067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1:13">
      <c r="A642" t="s">
        <v>8</v>
      </c>
      <c r="B642" t="s">
        <v>34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Drop]]+IF(DropAnalityka[[#This Row],[Drop]]="Scroll", 2000*DropAnalityka[[#This Row],[Quality/Quantity]],0)</f>
        <v>1159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1:13">
      <c r="A643" t="s">
        <v>8</v>
      </c>
      <c r="B643" t="s">
        <v>34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Drop]]+IF(DropAnalityka[[#This Row],[Drop]]="Scroll", 2000*DropAnalityka[[#This Row],[Quality/Quantity]],0)</f>
        <v>1159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1:13">
      <c r="A644" t="s">
        <v>8</v>
      </c>
      <c r="B644" t="s">
        <v>34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Drop]]+IF(DropAnalityka[[#This Row],[Drop]]="Scroll", 2000*DropAnalityka[[#This Row],[Quality/Quantity]],0)</f>
        <v>2067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1:13">
      <c r="A645" t="s">
        <v>8</v>
      </c>
      <c r="B645" t="s">
        <v>34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Drop]]+IF(DropAnalityka[[#This Row],[Drop]]="Scroll", 2000*DropAnalityka[[#This Row],[Quality/Quantity]],0)</f>
        <v>1546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1:13">
      <c r="A646" t="s">
        <v>8</v>
      </c>
      <c r="B646" t="s">
        <v>34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Drop]]+IF(DropAnalityka[[#This Row],[Drop]]="Scroll", 2000*DropAnalityka[[#This Row],[Quality/Quantity]],0)</f>
        <v>1159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1:13">
      <c r="A647" t="s">
        <v>8</v>
      </c>
      <c r="B647" t="s">
        <v>34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Drop]]+IF(DropAnalityka[[#This Row],[Drop]]="Scroll", 2000*DropAnalityka[[#This Row],[Quality/Quantity]],0)</f>
        <v>2067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1:13">
      <c r="A648" t="s">
        <v>8</v>
      </c>
      <c r="B648" t="s">
        <v>34</v>
      </c>
      <c r="C648">
        <v>13</v>
      </c>
      <c r="D648">
        <v>904</v>
      </c>
      <c r="E648">
        <v>2</v>
      </c>
      <c r="F648" t="s">
        <v>36</v>
      </c>
      <c r="G648">
        <v>3</v>
      </c>
      <c r="J648">
        <f>DropAnalityka[[#This Row],[Sell Drop]]+IF(DropAnalityka[[#This Row],[Drop]]="Scroll", 2000*DropAnalityka[[#This Row],[Quality/Quantity]],0)</f>
        <v>6000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1:13">
      <c r="A649" t="s">
        <v>8</v>
      </c>
      <c r="B649" t="s">
        <v>34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Drop]]+IF(DropAnalityka[[#This Row],[Drop]]="Scroll", 2000*DropAnalityka[[#This Row],[Quality/Quantity]],0)</f>
        <v>1159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1:13">
      <c r="A650" t="s">
        <v>8</v>
      </c>
      <c r="B650" t="s">
        <v>34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Drop]]+IF(DropAnalityka[[#This Row],[Drop]]="Scroll", 2000*DropAnalityka[[#This Row],[Quality/Quantity]],0)</f>
        <v>1159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1:13">
      <c r="A651" t="s">
        <v>8</v>
      </c>
      <c r="B651" t="s">
        <v>34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Drop]]+IF(DropAnalityka[[#This Row],[Drop]]="Scroll", 2000*DropAnalityka[[#This Row],[Quality/Quantity]],0)</f>
        <v>1159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1:13">
      <c r="A652" t="s">
        <v>8</v>
      </c>
      <c r="B652" t="s">
        <v>34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Drop]]+IF(DropAnalityka[[#This Row],[Drop]]="Scroll", 2000*DropAnalityka[[#This Row],[Quality/Quantity]],0)</f>
        <v>1159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1:13">
      <c r="A653" t="s">
        <v>8</v>
      </c>
      <c r="B653" t="s">
        <v>34</v>
      </c>
      <c r="C653">
        <v>13</v>
      </c>
      <c r="D653">
        <v>1495</v>
      </c>
      <c r="E653">
        <v>1</v>
      </c>
      <c r="F653" t="s">
        <v>36</v>
      </c>
      <c r="G653">
        <v>3</v>
      </c>
      <c r="J653">
        <f>DropAnalityka[[#This Row],[Sell Drop]]+IF(DropAnalityka[[#This Row],[Drop]]="Scroll", 2000*DropAnalityka[[#This Row],[Quality/Quantity]],0)</f>
        <v>6000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653">
        <v>92</v>
      </c>
    </row>
    <row r="654" spans="1:13">
      <c r="A654" t="s">
        <v>33</v>
      </c>
      <c r="B654" t="s">
        <v>32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Drop]]+IF(DropAnalityka[[#This Row],[Drop]]="Scroll", 2000*DropAnalityka[[#This Row],[Quality/Quantity]],0)</f>
        <v>1824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1:13"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1:13"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10:12"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10:12"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10:12">
      <c r="J659">
        <f>DropAnalityka[[#This Row],[Sell Drop]]+IF(DropAnalityka[[#This Row],[Drop]]="Scroll", 2000*DropAnalityka[[#This Row],[Quality/Quantity]],0)</f>
        <v>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10:12"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10:12">
      <c r="J661">
        <f>DropAnalityka[[#This Row],[Sell Drop]]+IF(DropAnalityka[[#This Row],[Drop]]="Scroll", 2000*DropAnalityka[[#This Row],[Quality/Quantity]],0)</f>
        <v>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10:12"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10:12"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10:12"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10:12"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10:12"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10:12"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10:12"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10:12"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10:12"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10:12"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10:12"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10:12"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10:12"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10:12"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10:12"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10:12"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10:12"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10:12"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10:12">
      <c r="J680">
        <f>DropAnalityka[[#This Row],[Sell Drop]]+IF(DropAnalityka[[#This Row],[Drop]]="Scroll", 2000*DropAnalityka[[#This Row],[Quality/Quantity]],0)</f>
        <v>0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10:12">
      <c r="J681">
        <f>DropAnalityka[[#This Row],[Sell Drop]]+IF(DropAnalityka[[#This Row],[Drop]]="Scroll", 2000*DropAnalityka[[#This Row],[Quality/Quantity]],0)</f>
        <v>0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10:12">
      <c r="J682">
        <f>DropAnalityka[[#This Row],[Sell Drop]]+IF(DropAnalityka[[#This Row],[Drop]]="Scroll", 2000*DropAnalityka[[#This Row],[Quality/Quantity]],0)</f>
        <v>0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10:12">
      <c r="J683">
        <f>DropAnalityka[[#This Row],[Sell Drop]]+IF(DropAnalityka[[#This Row],[Drop]]="Scroll", 2000*DropAnalityka[[#This Row],[Quality/Quantity]],0)</f>
        <v>0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10:12">
      <c r="J684">
        <f>DropAnalityka[[#This Row],[Sell Drop]]+IF(DropAnalityka[[#This Row],[Drop]]="Scroll", 2000*DropAnalityka[[#This Row],[Quality/Quantity]],0)</f>
        <v>0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10:12">
      <c r="J685">
        <f>DropAnalityka[[#This Row],[Sell Drop]]+IF(DropAnalityka[[#This Row],[Drop]]="Scroll", 2000*DropAnalityka[[#This Row],[Quality/Quantity]],0)</f>
        <v>0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10:12">
      <c r="J686">
        <f>DropAnalityka[[#This Row],[Sell Drop]]+IF(DropAnalityka[[#This Row],[Drop]]="Scroll", 2000*DropAnalityka[[#This Row],[Quality/Quantity]],0)</f>
        <v>0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10:12">
      <c r="J687">
        <f>DropAnalityka[[#This Row],[Sell Drop]]+IF(DropAnalityka[[#This Row],[Drop]]="Scroll", 2000*DropAnalityka[[#This Row],[Quality/Quantity]],0)</f>
        <v>0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10:12">
      <c r="J688">
        <f>DropAnalityka[[#This Row],[Sell Drop]]+IF(DropAnalityka[[#This Row],[Drop]]="Scroll", 2000*DropAnalityka[[#This Row],[Quality/Quantity]],0)</f>
        <v>0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10:12">
      <c r="J689">
        <f>DropAnalityka[[#This Row],[Sell Drop]]+IF(DropAnalityka[[#This Row],[Drop]]="Scroll", 2000*DropAnalityka[[#This Row],[Quality/Quantity]],0)</f>
        <v>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10:12"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10:12"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10:12"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10:12"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10:12"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10:12"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10:12"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10:12"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10:12"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10:12"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10:12">
      <c r="J700">
        <f>DropAnalityka[[#This Row],[Sell Drop]]+IF(DropAnalityka[[#This Row],[Drop]]="Scroll", 2000*DropAnalityka[[#This Row],[Quality/Quantity]],0)</f>
        <v>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10:12"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10:12"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10:12"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10:12"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10:12">
      <c r="J705">
        <f>DropAnalityka[[#This Row],[Sell Drop]]+IF(DropAnalityka[[#This Row],[Drop]]="Scroll", 2000*DropAnalityka[[#This Row],[Quality/Quantity]],0)</f>
        <v>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10:12"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10:12"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10:12"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10:12">
      <c r="J709">
        <f>DropAnalityka[[#This Row],[Sell Drop]]+IF(DropAnalityka[[#This Row],[Drop]]="Scroll", 2000*DropAnalityka[[#This Row],[Quality/Quantity]],0)</f>
        <v>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10:12"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10:12"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10:12"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10:12"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10:12"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10:12"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10:12"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10:12"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10:12"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10:12"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10:12"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10:12"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10:12"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10:12"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10:12"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10:12"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10:12"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10:12"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10:12"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10:12"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10:12"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10:12"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10:12"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10:12"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10:12"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10:12">
      <c r="J735">
        <f>DropAnalityka[[#This Row],[Sell Drop]]+IF(DropAnalityka[[#This Row],[Drop]]="Scroll", 2000*DropAnalityka[[#This Row],[Quality/Quantity]],0)</f>
        <v>0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10:12">
      <c r="J736">
        <f>DropAnalityka[[#This Row],[Sell Drop]]+IF(DropAnalityka[[#This Row],[Drop]]="Scroll", 2000*DropAnalityka[[#This Row],[Quality/Quantity]],0)</f>
        <v>0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2">
      <c r="J737">
        <f>DropAnalityka[[#This Row],[Sell Drop]]+IF(DropAnalityka[[#This Row],[Drop]]="Scroll", 2000*DropAnalityka[[#This Row],[Quality/Quantity]],0)</f>
        <v>0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2">
      <c r="J738">
        <f>DropAnalityka[[#This Row],[Sell Drop]]+IF(DropAnalityka[[#This Row],[Drop]]="Scroll", 2000*DropAnalityka[[#This Row],[Quality/Quantity]],0)</f>
        <v>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2">
      <c r="A739" s="6"/>
      <c r="B739" s="6"/>
      <c r="C739" s="6"/>
      <c r="D739" s="6"/>
      <c r="E739" s="6"/>
      <c r="F739" s="6"/>
      <c r="G739" s="6"/>
      <c r="H739" s="6"/>
      <c r="I739" s="6"/>
      <c r="J739">
        <f>DropAnalityka[[#This Row],[Sell Drop]]+IF(DropAnalityka[[#This Row],[Drop]]="Scroll", 2000*DropAnalityka[[#This Row],[Quality/Quantity]],0)</f>
        <v>0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A28" sqref="A28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features'!$P$6</f>
        <v>726956.99111734459</v>
      </c>
      <c r="D3">
        <f>'EXP lvls'!O10/Summary!C3</f>
        <v>5.2413554674583978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157</v>
      </c>
      <c r="R9" s="4" t="s">
        <v>158</v>
      </c>
      <c r="S9" s="4" t="s">
        <v>159</v>
      </c>
      <c r="T9" s="4" t="s">
        <v>160</v>
      </c>
      <c r="U9" s="4" t="s">
        <v>158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2695734.8973607039</v>
      </c>
      <c r="C18" s="1">
        <f t="shared" ref="C18:C21" si="4">($G18+$H18)/($O18-$N18)*M18</f>
        <v>2202780.8585858587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4424120.5124247577</v>
      </c>
      <c r="C19" s="1">
        <f t="shared" si="4"/>
        <v>1807553.1073896864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4056886.0626639915</v>
      </c>
      <c r="C20" s="1">
        <f t="shared" si="4"/>
        <v>1756319.8803827749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3904719.2467973451</v>
      </c>
      <c r="C21" s="1">
        <f t="shared" si="4"/>
        <v>1756319.8803827749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2064371.909245254</v>
      </c>
      <c r="C23" s="1">
        <f t="shared" ref="C23" si="9">($G23+$H23)/($O23-$N23)*M23</f>
        <v>843435.85326953745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4339029.6033338476</v>
      </c>
      <c r="C24" s="1">
        <f t="shared" ref="C24:C26" si="11">($G24+$H24)/($O24-$N24)*M24</f>
        <v>1772787.703349282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149</v>
      </c>
      <c r="B34" s="1">
        <f t="shared" si="18"/>
        <v>949233.15326439263</v>
      </c>
      <c r="C34" s="1">
        <f t="shared" si="19"/>
        <v>387826.08452950552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720484.51921592839</v>
      </c>
      <c r="C35" s="1">
        <f t="shared" ref="C35:C40" si="23">($G35+$H35)/($O35-$N35)*M35</f>
        <v>588733.52472089301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842720.1514726507</v>
      </c>
      <c r="C36" s="1">
        <f t="shared" si="23"/>
        <v>614338.81276297336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639639.29312762967</v>
      </c>
      <c r="C37" s="1">
        <f t="shared" si="23"/>
        <v>932587.74754558201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852852.39083683956</v>
      </c>
      <c r="C38" s="1">
        <f t="shared" si="23"/>
        <v>932587.74754558201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161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H35" sqref="H35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172</v>
      </c>
      <c r="H3" s="11" t="s">
        <v>171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174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173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185</v>
      </c>
      <c r="B1" t="s">
        <v>186</v>
      </c>
      <c r="C1" t="s">
        <v>187</v>
      </c>
      <c r="D1" t="s">
        <v>191</v>
      </c>
      <c r="E1" t="s">
        <v>188</v>
      </c>
      <c r="F1" t="s">
        <v>10</v>
      </c>
    </row>
    <row r="2" spans="1:6">
      <c r="A2" t="s">
        <v>175</v>
      </c>
      <c r="B2" t="s">
        <v>220</v>
      </c>
      <c r="C2" t="s">
        <v>195</v>
      </c>
      <c r="D2" t="s">
        <v>200</v>
      </c>
      <c r="E2" t="s">
        <v>201</v>
      </c>
      <c r="F2" t="s">
        <v>223</v>
      </c>
    </row>
    <row r="3" spans="1:6">
      <c r="A3" t="s">
        <v>176</v>
      </c>
      <c r="B3" t="s">
        <v>220</v>
      </c>
      <c r="C3" t="s">
        <v>199</v>
      </c>
      <c r="D3" t="s">
        <v>197</v>
      </c>
      <c r="E3" t="s">
        <v>198</v>
      </c>
      <c r="F3" t="s">
        <v>223</v>
      </c>
    </row>
    <row r="4" spans="1:6">
      <c r="A4" t="s">
        <v>177</v>
      </c>
      <c r="B4" t="s">
        <v>220</v>
      </c>
      <c r="C4" t="s">
        <v>178</v>
      </c>
      <c r="D4" t="s">
        <v>200</v>
      </c>
      <c r="E4" t="s">
        <v>202</v>
      </c>
      <c r="F4" t="s">
        <v>224</v>
      </c>
    </row>
    <row r="5" spans="1:6">
      <c r="A5" t="s">
        <v>180</v>
      </c>
      <c r="B5" t="s">
        <v>179</v>
      </c>
      <c r="C5" t="s">
        <v>195</v>
      </c>
      <c r="D5" t="s">
        <v>215</v>
      </c>
      <c r="E5" t="s">
        <v>196</v>
      </c>
      <c r="F5" t="s">
        <v>224</v>
      </c>
    </row>
    <row r="6" spans="1:6">
      <c r="A6" t="s">
        <v>181</v>
      </c>
      <c r="B6" t="s">
        <v>182</v>
      </c>
      <c r="C6" t="s">
        <v>183</v>
      </c>
      <c r="D6" t="s">
        <v>194</v>
      </c>
      <c r="E6" t="s">
        <v>189</v>
      </c>
      <c r="F6" t="s">
        <v>224</v>
      </c>
    </row>
    <row r="7" spans="1:6">
      <c r="A7" t="s">
        <v>156</v>
      </c>
      <c r="B7" t="s">
        <v>216</v>
      </c>
      <c r="C7" t="s">
        <v>217</v>
      </c>
    </row>
    <row r="8" spans="1:6">
      <c r="A8" t="s">
        <v>218</v>
      </c>
      <c r="B8" t="s">
        <v>184</v>
      </c>
      <c r="C8" t="s">
        <v>98</v>
      </c>
      <c r="D8" t="s">
        <v>219</v>
      </c>
    </row>
    <row r="9" spans="1:6">
      <c r="A9" t="s">
        <v>221</v>
      </c>
      <c r="B9" t="s">
        <v>182</v>
      </c>
      <c r="C9" t="s">
        <v>222</v>
      </c>
      <c r="D9" t="s">
        <v>200</v>
      </c>
      <c r="F9" t="s">
        <v>224</v>
      </c>
    </row>
    <row r="10" spans="1:6">
      <c r="A10" t="s">
        <v>247</v>
      </c>
      <c r="B10" t="s">
        <v>184</v>
      </c>
      <c r="C10" t="s">
        <v>98</v>
      </c>
    </row>
    <row r="11" spans="1:6">
      <c r="A11" t="s">
        <v>248</v>
      </c>
      <c r="B11" t="s">
        <v>179</v>
      </c>
      <c r="C11" t="s">
        <v>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225</v>
      </c>
      <c r="B1" t="s">
        <v>236</v>
      </c>
      <c r="C1" t="s">
        <v>226</v>
      </c>
      <c r="D1" t="s">
        <v>227</v>
      </c>
      <c r="E1" t="s">
        <v>228</v>
      </c>
      <c r="F1" t="s">
        <v>229</v>
      </c>
      <c r="G1" t="s">
        <v>190</v>
      </c>
      <c r="H1" t="s">
        <v>230</v>
      </c>
      <c r="I1" t="s">
        <v>231</v>
      </c>
      <c r="J1" t="s">
        <v>232</v>
      </c>
      <c r="K1" t="s">
        <v>235</v>
      </c>
      <c r="L1" t="s">
        <v>237</v>
      </c>
      <c r="M1" t="s">
        <v>238</v>
      </c>
    </row>
    <row r="2" spans="1:13">
      <c r="A2" t="s">
        <v>233</v>
      </c>
      <c r="C2">
        <v>1</v>
      </c>
      <c r="D2">
        <v>4</v>
      </c>
      <c r="G2">
        <v>3</v>
      </c>
      <c r="J2">
        <v>7</v>
      </c>
    </row>
    <row r="3" spans="1:13">
      <c r="A3" t="s">
        <v>233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234</v>
      </c>
      <c r="C4">
        <v>1</v>
      </c>
      <c r="E4">
        <v>119</v>
      </c>
      <c r="G4">
        <v>3</v>
      </c>
      <c r="H4">
        <v>5</v>
      </c>
      <c r="J4">
        <v>10</v>
      </c>
      <c r="M4" t="s">
        <v>239</v>
      </c>
    </row>
    <row r="5" spans="1:13">
      <c r="A5" t="s">
        <v>233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239</v>
      </c>
    </row>
    <row r="6" spans="1:13">
      <c r="A6" t="s">
        <v>234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233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233</v>
      </c>
      <c r="C8">
        <v>4</v>
      </c>
      <c r="G8">
        <v>6</v>
      </c>
      <c r="H8">
        <v>6</v>
      </c>
    </row>
    <row r="9" spans="1:13">
      <c r="A9" t="s">
        <v>234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233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Q20"/>
  <sheetViews>
    <sheetView workbookViewId="0">
      <selection activeCell="N11" sqref="N11"/>
    </sheetView>
  </sheetViews>
  <sheetFormatPr defaultRowHeight="14.25"/>
  <cols>
    <col min="1" max="1" width="16.625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</cols>
  <sheetData>
    <row r="1" spans="1:17" ht="15" thickBot="1"/>
    <row r="2" spans="1:17" ht="15.75" thickBot="1">
      <c r="A2" s="76" t="s">
        <v>272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8"/>
    </row>
    <row r="3" spans="1:17" ht="15">
      <c r="A3" s="37" t="s">
        <v>250</v>
      </c>
      <c r="B3" s="36" t="s">
        <v>265</v>
      </c>
      <c r="C3" s="36" t="s">
        <v>271</v>
      </c>
      <c r="D3" s="36" t="s">
        <v>255</v>
      </c>
      <c r="E3" s="36" t="s">
        <v>265</v>
      </c>
      <c r="F3" s="36" t="s">
        <v>271</v>
      </c>
      <c r="G3" s="36" t="s">
        <v>260</v>
      </c>
      <c r="H3" s="36" t="s">
        <v>265</v>
      </c>
      <c r="I3" s="36" t="s">
        <v>271</v>
      </c>
      <c r="J3" s="57"/>
      <c r="K3" s="36" t="s">
        <v>265</v>
      </c>
      <c r="L3" s="58" t="s">
        <v>271</v>
      </c>
    </row>
    <row r="4" spans="1:17">
      <c r="A4" s="5" t="s">
        <v>253</v>
      </c>
      <c r="B4" s="6" t="s">
        <v>266</v>
      </c>
      <c r="C4" s="6" t="s">
        <v>239</v>
      </c>
      <c r="D4" s="6" t="s">
        <v>256</v>
      </c>
      <c r="E4" s="6" t="s">
        <v>266</v>
      </c>
      <c r="F4" s="6"/>
      <c r="G4" s="6" t="s">
        <v>261</v>
      </c>
      <c r="H4" s="6" t="s">
        <v>266</v>
      </c>
      <c r="I4" s="62" t="s">
        <v>239</v>
      </c>
      <c r="J4" s="59" t="s">
        <v>269</v>
      </c>
      <c r="K4" s="59" t="s">
        <v>36</v>
      </c>
      <c r="L4" s="60" t="s">
        <v>239</v>
      </c>
    </row>
    <row r="5" spans="1:17">
      <c r="A5" s="5" t="s">
        <v>252</v>
      </c>
      <c r="B5" s="6" t="s">
        <v>267</v>
      </c>
      <c r="C5" s="6" t="s">
        <v>239</v>
      </c>
      <c r="D5" s="6" t="s">
        <v>257</v>
      </c>
      <c r="E5" s="6" t="s">
        <v>267</v>
      </c>
      <c r="F5" s="6"/>
      <c r="G5" s="6" t="s">
        <v>262</v>
      </c>
      <c r="H5" s="6" t="s">
        <v>36</v>
      </c>
      <c r="I5" s="6" t="s">
        <v>239</v>
      </c>
      <c r="J5" s="6"/>
      <c r="K5" s="6"/>
      <c r="L5" s="61"/>
    </row>
    <row r="6" spans="1:17">
      <c r="A6" s="5" t="s">
        <v>251</v>
      </c>
      <c r="B6" s="6" t="s">
        <v>267</v>
      </c>
      <c r="C6" s="62" t="s">
        <v>239</v>
      </c>
      <c r="D6" s="6" t="s">
        <v>258</v>
      </c>
      <c r="E6" s="6" t="s">
        <v>267</v>
      </c>
      <c r="F6" s="6" t="s">
        <v>239</v>
      </c>
      <c r="G6" s="6" t="s">
        <v>263</v>
      </c>
      <c r="H6" s="6" t="s">
        <v>266</v>
      </c>
      <c r="I6" s="62" t="s">
        <v>239</v>
      </c>
      <c r="J6" s="6"/>
      <c r="K6" s="6"/>
      <c r="L6" s="61"/>
    </row>
    <row r="7" spans="1:17" ht="15" thickBot="1">
      <c r="A7" s="7" t="s">
        <v>254</v>
      </c>
      <c r="B7" s="8" t="s">
        <v>270</v>
      </c>
      <c r="C7" s="8" t="s">
        <v>239</v>
      </c>
      <c r="D7" s="8" t="s">
        <v>259</v>
      </c>
      <c r="E7" s="8" t="s">
        <v>268</v>
      </c>
      <c r="F7" s="8"/>
      <c r="G7" s="8" t="s">
        <v>264</v>
      </c>
      <c r="H7" s="8" t="s">
        <v>268</v>
      </c>
      <c r="I7" s="8" t="s">
        <v>239</v>
      </c>
      <c r="J7" s="8"/>
      <c r="K7" s="8"/>
      <c r="L7" s="9"/>
    </row>
    <row r="8" spans="1:17" ht="15" thickBot="1"/>
    <row r="9" spans="1:17" ht="15.75" thickBot="1">
      <c r="A9" s="63"/>
      <c r="B9" s="64"/>
      <c r="C9" s="64"/>
      <c r="D9" s="79" t="s">
        <v>273</v>
      </c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1"/>
    </row>
    <row r="10" spans="1:17" ht="15">
      <c r="A10" s="37" t="s">
        <v>274</v>
      </c>
      <c r="B10" s="36" t="s">
        <v>265</v>
      </c>
      <c r="C10" s="36" t="s">
        <v>271</v>
      </c>
      <c r="D10" s="72" t="s">
        <v>275</v>
      </c>
      <c r="E10" s="71" t="s">
        <v>265</v>
      </c>
      <c r="F10" s="71" t="s">
        <v>271</v>
      </c>
      <c r="G10" s="71" t="s">
        <v>276</v>
      </c>
      <c r="H10" s="71" t="s">
        <v>265</v>
      </c>
      <c r="I10" s="71" t="s">
        <v>271</v>
      </c>
      <c r="J10" s="71" t="s">
        <v>216</v>
      </c>
      <c r="K10" s="71"/>
      <c r="L10" s="71" t="s">
        <v>265</v>
      </c>
      <c r="M10" s="71" t="s">
        <v>271</v>
      </c>
      <c r="N10" s="65"/>
      <c r="O10" s="71" t="s">
        <v>265</v>
      </c>
      <c r="P10" s="73" t="s">
        <v>271</v>
      </c>
    </row>
    <row r="11" spans="1:17">
      <c r="A11" s="5" t="s">
        <v>290</v>
      </c>
      <c r="B11" s="6" t="s">
        <v>267</v>
      </c>
      <c r="C11" s="74" t="s">
        <v>239</v>
      </c>
      <c r="D11" s="69" t="s">
        <v>277</v>
      </c>
      <c r="E11" s="65" t="s">
        <v>267</v>
      </c>
      <c r="F11" s="65"/>
      <c r="G11" s="65" t="s">
        <v>281</v>
      </c>
      <c r="H11" s="65" t="s">
        <v>36</v>
      </c>
      <c r="I11" s="65" t="s">
        <v>239</v>
      </c>
      <c r="J11" s="65" t="s">
        <v>285</v>
      </c>
      <c r="K11" s="65"/>
      <c r="L11" s="65" t="s">
        <v>267</v>
      </c>
      <c r="M11" s="65"/>
      <c r="N11" s="65" t="s">
        <v>289</v>
      </c>
      <c r="O11" s="65"/>
      <c r="P11" s="66" t="s">
        <v>239</v>
      </c>
    </row>
    <row r="12" spans="1:17">
      <c r="A12" s="5" t="s">
        <v>291</v>
      </c>
      <c r="B12" s="6" t="s">
        <v>36</v>
      </c>
      <c r="C12" s="74" t="s">
        <v>239</v>
      </c>
      <c r="D12" s="69" t="s">
        <v>278</v>
      </c>
      <c r="E12" s="65" t="s">
        <v>36</v>
      </c>
      <c r="F12" s="65" t="s">
        <v>239</v>
      </c>
      <c r="G12" s="65" t="s">
        <v>282</v>
      </c>
      <c r="H12" s="65" t="s">
        <v>266</v>
      </c>
      <c r="I12" s="65" t="s">
        <v>239</v>
      </c>
      <c r="J12" s="65" t="s">
        <v>286</v>
      </c>
      <c r="K12" s="65"/>
      <c r="L12" s="65" t="s">
        <v>266</v>
      </c>
      <c r="M12" s="65"/>
      <c r="N12" s="65"/>
      <c r="O12" s="65"/>
      <c r="P12" s="66"/>
    </row>
    <row r="13" spans="1:17">
      <c r="A13" s="5" t="s">
        <v>292</v>
      </c>
      <c r="B13" s="6" t="s">
        <v>267</v>
      </c>
      <c r="C13" s="74" t="s">
        <v>239</v>
      </c>
      <c r="D13" s="69" t="s">
        <v>279</v>
      </c>
      <c r="E13" s="65" t="s">
        <v>267</v>
      </c>
      <c r="F13" s="65"/>
      <c r="G13" s="65" t="s">
        <v>283</v>
      </c>
      <c r="H13" s="65" t="s">
        <v>267</v>
      </c>
      <c r="I13" s="65" t="s">
        <v>239</v>
      </c>
      <c r="J13" s="65" t="s">
        <v>287</v>
      </c>
      <c r="K13" s="65"/>
      <c r="L13" s="65" t="s">
        <v>266</v>
      </c>
      <c r="M13" s="65" t="s">
        <v>239</v>
      </c>
      <c r="N13" s="65"/>
      <c r="O13" s="65"/>
      <c r="P13" s="66"/>
    </row>
    <row r="14" spans="1:17" ht="15" thickBot="1">
      <c r="A14" s="7" t="s">
        <v>293</v>
      </c>
      <c r="B14" s="8" t="s">
        <v>266</v>
      </c>
      <c r="C14" s="75" t="s">
        <v>239</v>
      </c>
      <c r="D14" s="70" t="s">
        <v>280</v>
      </c>
      <c r="E14" s="67" t="s">
        <v>294</v>
      </c>
      <c r="F14" s="67" t="s">
        <v>239</v>
      </c>
      <c r="G14" s="67" t="s">
        <v>284</v>
      </c>
      <c r="H14" s="67" t="s">
        <v>294</v>
      </c>
      <c r="I14" s="67" t="s">
        <v>239</v>
      </c>
      <c r="J14" s="67" t="s">
        <v>288</v>
      </c>
      <c r="K14" s="67"/>
      <c r="L14" s="67" t="s">
        <v>294</v>
      </c>
      <c r="M14" s="67" t="s">
        <v>239</v>
      </c>
      <c r="N14" s="67"/>
      <c r="O14" s="67"/>
      <c r="P14" s="68"/>
    </row>
    <row r="15" spans="1:17">
      <c r="N15" t="s">
        <v>289</v>
      </c>
      <c r="P15" t="s">
        <v>299</v>
      </c>
      <c r="Q15" t="s">
        <v>301</v>
      </c>
    </row>
    <row r="16" spans="1:17">
      <c r="N16" t="s">
        <v>295</v>
      </c>
      <c r="O16">
        <v>1</v>
      </c>
    </row>
    <row r="17" spans="14:17">
      <c r="N17" t="s">
        <v>296</v>
      </c>
      <c r="O17">
        <v>6</v>
      </c>
      <c r="P17">
        <v>2</v>
      </c>
      <c r="Q17">
        <v>88</v>
      </c>
    </row>
    <row r="18" spans="14:17">
      <c r="N18" t="s">
        <v>297</v>
      </c>
      <c r="O18">
        <v>7</v>
      </c>
      <c r="P18">
        <v>2.5</v>
      </c>
      <c r="Q18">
        <v>125</v>
      </c>
    </row>
    <row r="19" spans="14:17">
      <c r="N19" t="s">
        <v>298</v>
      </c>
      <c r="O19">
        <v>8</v>
      </c>
      <c r="P19">
        <v>3</v>
      </c>
      <c r="Q19">
        <v>167</v>
      </c>
    </row>
    <row r="20" spans="14:17">
      <c r="N20" t="s">
        <v>300</v>
      </c>
      <c r="O20">
        <v>9</v>
      </c>
      <c r="P20">
        <v>3.5</v>
      </c>
      <c r="Q20">
        <v>213</v>
      </c>
    </row>
  </sheetData>
  <mergeCells count="2">
    <mergeCell ref="A2:L2"/>
    <mergeCell ref="D9:P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  <vt:lpstr>Fusion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2015-10-16T14:52:55Z</dcterms:modified>
</cp:coreProperties>
</file>