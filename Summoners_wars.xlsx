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25725"/>
  <pivotCaches>
    <pivotCache cacheId="0" r:id="rId18"/>
    <pivotCache cacheId="1" r:id="rId19"/>
    <pivotCache cacheId="15" r:id="rId20"/>
  </pivotCaches>
</workbook>
</file>

<file path=xl/calcChain.xml><?xml version="1.0" encoding="utf-8"?>
<calcChain xmlns="http://schemas.openxmlformats.org/spreadsheetml/2006/main">
  <c r="G5" i="18"/>
  <c r="G4"/>
  <c r="G3"/>
  <c r="G2"/>
  <c r="D2"/>
  <c r="D3" s="1"/>
  <c r="C5"/>
  <c r="C4"/>
  <c r="C2"/>
  <c r="C9" l="1"/>
  <c r="E9" s="1"/>
  <c r="C8"/>
  <c r="C3"/>
  <c r="C7" s="1"/>
  <c r="I2"/>
  <c r="D6"/>
  <c r="D7"/>
  <c r="D4"/>
  <c r="D5" l="1"/>
  <c r="I5" s="1"/>
  <c r="E2"/>
  <c r="F2" s="1"/>
  <c r="H2" s="1"/>
  <c r="C6"/>
  <c r="E6" s="1"/>
  <c r="F6" s="1"/>
  <c r="D8"/>
  <c r="I4"/>
  <c r="E8"/>
  <c r="E4"/>
  <c r="F4" s="1"/>
  <c r="J55" i="6"/>
  <c r="J46"/>
  <c r="H4" i="18" l="1"/>
  <c r="E5"/>
  <c r="F5" s="1"/>
  <c r="H5" s="1"/>
  <c r="F8"/>
  <c r="D9"/>
  <c r="F9" s="1"/>
  <c r="I3"/>
  <c r="E7"/>
  <c r="F7" s="1"/>
  <c r="E3"/>
  <c r="F3" s="1"/>
  <c r="Q31" i="4"/>
  <c r="L31"/>
  <c r="K31"/>
  <c r="J31"/>
  <c r="K2" i="17"/>
  <c r="J2"/>
  <c r="I2"/>
  <c r="H2"/>
  <c r="G2"/>
  <c r="H3" i="18" l="1"/>
  <c r="O31" i="4"/>
  <c r="R31" s="1"/>
  <c r="D3" i="17"/>
  <c r="B4"/>
  <c r="B3"/>
  <c r="D2"/>
  <c r="Q6" i="3"/>
  <c r="Q30" i="4" l="1"/>
  <c r="L30"/>
  <c r="K30"/>
  <c r="J30"/>
  <c r="O30" l="1"/>
  <c r="R30" s="1"/>
  <c r="O6" i="14"/>
  <c r="O9" s="1"/>
  <c r="P6"/>
  <c r="P9" s="1"/>
  <c r="M3" i="1"/>
  <c r="O4" s="1"/>
  <c r="Q29" i="4" l="1"/>
  <c r="L29"/>
  <c r="K29"/>
  <c r="J29"/>
  <c r="O29" l="1"/>
  <c r="R29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5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17" i="14"/>
  <c r="G16"/>
  <c r="G6"/>
  <c r="G7"/>
  <c r="G9"/>
  <c r="G10"/>
  <c r="G11"/>
  <c r="G12"/>
  <c r="G2"/>
  <c r="J4" i="6"/>
  <c r="R4" s="1"/>
  <c r="H4"/>
  <c r="F4" s="1"/>
  <c r="I4"/>
  <c r="G4" s="1"/>
  <c r="C17" i="14"/>
  <c r="C12"/>
  <c r="C16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19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S6" i="5"/>
  <c r="U6"/>
  <c r="V6"/>
  <c r="T6"/>
  <c r="R6"/>
  <c r="W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7"/>
  <c r="L1228"/>
  <c r="L1229"/>
  <c r="L1230"/>
  <c r="L1231"/>
  <c r="L1232"/>
  <c r="L1233"/>
  <c r="L1234"/>
  <c r="L1235"/>
  <c r="L1236"/>
  <c r="L1237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7"/>
  <c r="K1228"/>
  <c r="K1229"/>
  <c r="K1230"/>
  <c r="K1231"/>
  <c r="K1232"/>
  <c r="K1233"/>
  <c r="K1234"/>
  <c r="K1235"/>
  <c r="K1236"/>
  <c r="K1237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M31" i="4" l="1"/>
  <c r="P31" s="1"/>
  <c r="I31"/>
  <c r="N31" s="1"/>
  <c r="K1238" i="3"/>
  <c r="K1226"/>
  <c r="L1238"/>
  <c r="L1226"/>
  <c r="I30" i="4"/>
  <c r="N30" s="1"/>
  <c r="M30"/>
  <c r="P30" s="1"/>
  <c r="L1115" i="3"/>
  <c r="I29" i="4"/>
  <c r="N29" s="1"/>
  <c r="AT16" i="6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L12"/>
  <c r="M29" l="1"/>
  <c r="P29" s="1"/>
  <c r="AT17" i="6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R5" i="5"/>
  <c r="V5"/>
  <c r="U5"/>
  <c r="W5"/>
  <c r="S4"/>
  <c r="U4"/>
  <c r="V4"/>
  <c r="S5"/>
  <c r="T4"/>
  <c r="W4"/>
  <c r="T5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R57" s="1"/>
  <c r="Q24"/>
  <c r="P24"/>
  <c r="O24"/>
  <c r="N24"/>
  <c r="M24"/>
  <c r="L24"/>
  <c r="K24"/>
  <c r="J24"/>
  <c r="I24"/>
  <c r="H24"/>
  <c r="H26" s="1"/>
  <c r="G24"/>
  <c r="G26" s="1"/>
  <c r="F24"/>
  <c r="F26" s="1"/>
  <c r="R89" l="1"/>
  <c r="R58"/>
  <c r="R26"/>
  <c r="R29" s="1"/>
  <c r="R90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15" i="4"/>
  <c r="L15"/>
  <c r="K15"/>
  <c r="J15"/>
  <c r="J34" i="9" l="1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U34" i="9" l="1"/>
  <c r="U35"/>
  <c r="U33"/>
  <c r="U97"/>
  <c r="U99"/>
  <c r="U98"/>
  <c r="AT25" i="6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O31" i="1" l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<sst xmlns="http://schemas.openxmlformats.org/spreadsheetml/2006/main" count="7010" uniqueCount="873">
  <si>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</si>
  <si>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</si>
  <si>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</si>
  <si>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</si>
  <si>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</si>
  <si>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</si>
  <si>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</si>
  <si>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</si>
  <si>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</si>
  <si>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</si>
  <si>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</si>
  <si>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</si>
  <si>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</si>
  <si>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</si>
  <si>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</si>
  <si>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</si>
  <si>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</si>
  <si>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</si>
  <si>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</si>
  <si>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</si>
  <si>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</si>
  <si>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</si>
  <si>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</si>
  <si>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</si>
  <si>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</si>
  <si>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</si>
  <si>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</si>
  <si>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</si>
  <si>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</si>
  <si>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</si>
  <si>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</si>
  <si>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</si>
  <si>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</si>
  <si>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</si>
  <si>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</si>
  <si>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</si>
  <si>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</si>
  <si>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</si>
  <si>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</si>
  <si>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</si>
  <si>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</si>
  <si>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</si>
  <si>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</si>
  <si>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</si>
  <si>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</si>
  <si>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</si>
  <si>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</si>
  <si>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</si>
  <si>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</si>
  <si>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</si>
  <si>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</si>
  <si>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</si>
  <si>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</si>
  <si>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</si>
  <si>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</si>
  <si>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</si>
  <si>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</si>
  <si>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</si>
  <si>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</si>
  <si>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</si>
  <si>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</si>
  <si>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</si>
  <si>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</si>
  <si>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</si>
  <si>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</si>
  <si>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</si>
  <si>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</si>
  <si>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</si>
  <si>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</si>
  <si>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</si>
  <si>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</si>
  <si>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</si>
  <si>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</si>
  <si>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</si>
  <si>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</si>
  <si>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</si>
  <si>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</si>
  <si>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</si>
  <si>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</si>
  <si>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</si>
  <si>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</si>
  <si>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</si>
  <si>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</si>
  <si>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</si>
  <si>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</si>
  <si>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</si>
  <si>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</si>
  <si>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</si>
  <si>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</si>
  <si>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</si>
  <si>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</si>
  <si>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</si>
  <si>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</si>
  <si>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</si>
  <si>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</si>
  <si>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</si>
  <si>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</si>
  <si>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</si>
  <si>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</si>
  <si>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</si>
  <si>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</si>
  <si>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</si>
  <si>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</si>
  <si>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</si>
  <si>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</si>
  <si>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</si>
  <si>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</si>
  <si>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</si>
  <si>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</si>
  <si>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</si>
  <si>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</si>
  <si>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</si>
  <si>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</si>
  <si>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</si>
  <si>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</si>
  <si>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</si>
  <si>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</si>
  <si>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</si>
  <si>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</si>
  <si>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</si>
  <si>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</si>
  <si>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</si>
  <si>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</si>
  <si>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</si>
  <si>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</si>
  <si>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</si>
  <si>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</si>
  <si>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</si>
  <si>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</si>
  <si>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</si>
  <si>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</si>
  <si>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</si>
  <si>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</si>
  <si>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</si>
  <si>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</si>
  <si>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</si>
  <si>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</si>
  <si>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</si>
  <si>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</si>
  <si>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</si>
  <si>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</si>
  <si>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</si>
  <si>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</si>
  <si>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</si>
  <si>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</si>
  <si>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</si>
  <si>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</si>
  <si>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</si>
  <si>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</si>
  <si>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</si>
  <si>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</si>
  <si>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</si>
  <si>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</si>
  <si>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</si>
  <si>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</si>
  <si>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</si>
  <si>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</si>
  <si>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</si>
  <si>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</si>
  <si>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</si>
  <si>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</si>
  <si>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</si>
  <si>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</si>
  <si>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</si>
  <si>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</si>
  <si>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</si>
  <si>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</si>
  <si>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</si>
  <si>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</si>
  <si>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</si>
  <si>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</si>
  <si>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</si>
  <si>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</si>
  <si>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</si>
  <si>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</si>
  <si>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</si>
  <si>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</si>
  <si>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</si>
  <si>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</si>
  <si>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</si>
  <si>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</si>
  <si>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</si>
  <si>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</si>
  <si>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</si>
  <si>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</si>
  <si>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</si>
  <si>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</si>
  <si>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</si>
  <si>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</si>
  <si>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</si>
  <si>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</si>
  <si>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</si>
  <si>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</si>
  <si>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</si>
  <si>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</si>
  <si>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</si>
  <si>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</si>
  <si>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</si>
  <si>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</si>
  <si>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</si>
  <si>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</si>
  <si>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</si>
  <si>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</si>
  <si>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</si>
  <si>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</si>
  <si>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</si>
  <si>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</si>
  <si>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</si>
  <si>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</si>
  <si>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</si>
  <si>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</si>
  <si>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</si>
  <si>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</si>
  <si>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</si>
  <si>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</si>
  <si>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</si>
  <si>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</si>
  <si>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</si>
  <si>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</si>
  <si>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</si>
  <si>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</si>
  <si>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</si>
  <si>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</si>
  <si>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</si>
  <si>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</si>
  <si>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</si>
  <si>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</si>
  <si>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</si>
  <si>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</si>
  <si>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</si>
  <si>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</si>
  <si>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</si>
  <si>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</si>
  <si>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</si>
  <si>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</si>
  <si>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</si>
  <si>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</si>
  <si>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</si>
  <si>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</si>
  <si>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</si>
  <si>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</si>
  <si>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</si>
  <si>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</si>
  <si>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</si>
  <si>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</si>
  <si>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</si>
  <si>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</si>
  <si>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</si>
  <si>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</si>
  <si>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</si>
  <si>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</si>
  <si>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</si>
  <si>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</si>
  <si>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</si>
  <si>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</si>
  <si>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</si>
  <si>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</si>
  <si>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</si>
  <si>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</si>
  <si>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</si>
  <si>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</si>
  <si>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</si>
  <si>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</si>
  <si>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</si>
  <si>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</si>
  <si>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</si>
  <si>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</si>
  <si>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</si>
  <si>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</si>
  <si>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</si>
  <si>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</si>
  <si>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</si>
  <si>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</si>
  <si>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</si>
  <si>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</si>
  <si>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</si>
  <si>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</si>
  <si>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</si>
  <si>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</si>
  <si>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</si>
  <si>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</si>
  <si>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</si>
  <si>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</si>
  <si>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</si>
  <si>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</si>
  <si>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</si>
  <si>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</si>
  <si>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</si>
  <si>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</si>
  <si>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</si>
  <si>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</si>
  <si>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</si>
  <si>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</si>
  <si>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</si>
  <si>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</si>
  <si>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</si>
  <si>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</si>
  <si>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</si>
  <si>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</si>
  <si>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</si>
  <si>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</si>
  <si>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</si>
  <si>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</si>
  <si>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</si>
  <si>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</si>
  <si>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</si>
  <si>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</si>
  <si>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</si>
  <si>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</si>
  <si>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</si>
  <si>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</si>
  <si>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</si>
  <si>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</si>
  <si>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</si>
  <si>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</si>
  <si>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</si>
  <si>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</si>
  <si>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</si>
  <si>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</si>
  <si>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</si>
  <si>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</si>
  <si>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</si>
  <si>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</si>
  <si>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</si>
  <si>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</si>
  <si>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</si>
  <si>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</si>
  <si>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</si>
  <si>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</si>
  <si>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</si>
  <si>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</si>
  <si>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</si>
  <si>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</si>
  <si>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</si>
  <si>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</si>
  <si>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</si>
  <si>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</si>
  <si>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</si>
  <si>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</si>
  <si>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</si>
  <si>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</si>
  <si>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</si>
  <si>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</si>
  <si>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</si>
  <si>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</si>
  <si>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</si>
  <si>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</si>
  <si>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</si>
  <si>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</si>
  <si>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</si>
  <si>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</si>
  <si>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</si>
  <si>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</si>
  <si>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</si>
  <si>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</si>
  <si>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</si>
  <si>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</si>
  <si>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</si>
  <si>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</si>
  <si>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</si>
  <si>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</si>
  <si>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</si>
  <si>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</si>
  <si>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</si>
  <si>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</si>
  <si>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</si>
  <si>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</si>
  <si>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</si>
  <si>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</si>
  <si>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</si>
  <si>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</si>
  <si>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</si>
  <si>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</si>
  <si>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</si>
  <si>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</si>
  <si>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</si>
  <si>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</si>
  <si>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</si>
  <si>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</si>
  <si>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</si>
  <si>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</si>
  <si>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</si>
  <si>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</si>
  <si>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</si>
  <si>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</si>
  <si>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</si>
  <si>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</si>
  <si>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</si>
  <si>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</si>
  <si>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</si>
  <si>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</si>
  <si>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</si>
  <si>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</si>
  <si>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</si>
  <si>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</si>
  <si>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</si>
  <si>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</si>
  <si>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</si>
  <si>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</si>
  <si>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</si>
  <si>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</si>
  <si>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</si>
  <si>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</si>
  <si>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</si>
  <si>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</si>
  <si>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</si>
  <si>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</si>
  <si>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</si>
  <si>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</si>
  <si>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</si>
  <si>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</si>
  <si>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</si>
  <si>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</si>
  <si>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</si>
  <si>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</si>
  <si>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</si>
  <si>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</si>
  <si>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</si>
  <si>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</si>
  <si>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</si>
  <si>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</si>
  <si>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</si>
  <si>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</si>
  <si>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</si>
  <si>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</si>
  <si>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</si>
  <si>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</si>
  <si>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</si>
  <si>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</si>
  <si>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</si>
  <si>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</si>
  <si>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</si>
  <si>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</si>
  <si>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</si>
  <si>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</si>
  <si>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</si>
  <si>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</si>
  <si>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</si>
  <si>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</si>
  <si>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</si>
  <si>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</si>
  <si>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</si>
  <si>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</si>
  <si>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</si>
  <si>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</si>
  <si>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</si>
  <si>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</si>
  <si>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</si>
  <si>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</si>
  <si>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</si>
  <si>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</si>
  <si>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</si>
  <si>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</si>
  <si>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</si>
  <si>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</si>
  <si>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</si>
  <si>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</si>
  <si>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</si>
  <si>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</si>
  <si>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</si>
  <si>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</si>
  <si>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</si>
  <si>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</si>
  <si>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</si>
  <si>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</si>
  <si>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</si>
  <si>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</si>
  <si>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</si>
  <si>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</si>
  <si>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</si>
  <si>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</si>
  <si>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</si>
  <si>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</si>
  <si>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</si>
  <si>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</si>
  <si>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</si>
  <si>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</si>
  <si>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</si>
  <si>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</si>
  <si>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</si>
  <si>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</si>
  <si>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</si>
  <si>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</si>
  <si>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</si>
  <si>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</si>
  <si>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</si>
  <si>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</si>
  <si>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</si>
  <si>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</si>
  <si>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</si>
  <si>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</si>
  <si>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</si>
  <si>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</si>
  <si>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</si>
  <si>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</si>
  <si>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</si>
  <si>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</si>
  <si>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</si>
  <si>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</si>
  <si>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</si>
  <si>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</si>
  <si>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</si>
  <si>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</si>
  <si>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</si>
  <si>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</si>
  <si>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</si>
  <si>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</si>
  <si>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</si>
  <si>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</si>
  <si>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</si>
  <si>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</si>
  <si>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</si>
  <si>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</si>
  <si>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</si>
  <si>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</si>
  <si>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</si>
  <si>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</si>
  <si>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</si>
  <si>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</si>
  <si>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</si>
  <si>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</si>
  <si>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</si>
  <si>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</si>
  <si>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</si>
  <si>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</si>
  <si>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</si>
  <si>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</si>
  <si>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</si>
  <si>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</si>
  <si>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</si>
  <si>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</si>
  <si>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</si>
  <si>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</si>
  <si>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</si>
  <si>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</si>
  <si>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</si>
  <si>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</si>
  <si>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</si>
  <si>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</si>
  <si>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</si>
  <si>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</si>
  <si>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</si>
  <si>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</si>
  <si>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</si>
  <si>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</si>
  <si>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</si>
  <si>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</si>
  <si>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</si>
  <si>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</si>
  <si>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</si>
  <si>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</si>
  <si>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</si>
  <si>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</si>
  <si>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</si>
  <si>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</si>
  <si>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</si>
  <si>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</si>
  <si>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</si>
  <si>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</si>
  <si>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</si>
  <si>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</si>
  <si>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</si>
  <si>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</si>
  <si>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</si>
  <si>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</si>
  <si>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</si>
  <si>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</si>
  <si>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</si>
  <si>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</si>
  <si>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</si>
  <si>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</si>
  <si>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</si>
  <si>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</si>
  <si>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</si>
  <si>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</si>
  <si>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</si>
  <si>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</si>
  <si>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</si>
  <si>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</si>
  <si>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</si>
  <si>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</si>
  <si>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</si>
  <si>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</si>
  <si>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</si>
  <si>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</si>
  <si>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</si>
  <si>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</si>
  <si>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</si>
  <si>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</si>
  <si>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</si>
  <si>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</si>
  <si>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</si>
  <si>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</si>
  <si>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</si>
  <si>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</si>
  <si>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</si>
  <si>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</si>
  <si>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</si>
  <si>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</si>
  <si>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</si>
  <si>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</si>
  <si>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</si>
  <si>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</si>
  <si>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</si>
  <si>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</si>
  <si>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</si>
  <si>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</si>
  <si>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</si>
  <si>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</si>
  <si>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</si>
  <si>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</si>
  <si>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</si>
  <si>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</si>
  <si>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</si>
  <si>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</si>
  <si>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</si>
  <si>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</si>
  <si>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</si>
  <si>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</si>
  <si>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</si>
  <si>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</si>
  <si>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</si>
  <si>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</si>
  <si>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</si>
  <si>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</si>
  <si>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</si>
  <si>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</si>
  <si>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</si>
  <si>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</si>
  <si>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</si>
  <si>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</si>
  <si>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</si>
  <si>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</si>
  <si>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</si>
  <si>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</si>
  <si>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</si>
  <si>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</si>
  <si>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</si>
  <si>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</si>
  <si>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</si>
  <si>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</si>
  <si>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</si>
  <si>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</si>
  <si>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</si>
  <si>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</si>
  <si>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</si>
  <si>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</si>
  <si>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</si>
  <si>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</si>
  <si>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</si>
  <si>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</si>
  <si>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</si>
  <si>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</si>
  <si>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</si>
  <si>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</si>
  <si>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</si>
  <si>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</si>
  <si>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</si>
  <si>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</si>
  <si>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</si>
  <si>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</si>
  <si>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</si>
  <si>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</si>
  <si>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</si>
  <si>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</si>
  <si>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</si>
  <si>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</si>
  <si>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</si>
  <si>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</si>
  <si>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</si>
  <si>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</si>
  <si>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</si>
  <si>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</si>
  <si>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</si>
  <si>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</si>
  <si>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</si>
  <si>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</si>
  <si>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</si>
  <si>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</si>
  <si>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</si>
  <si>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</si>
  <si>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</si>
  <si>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</si>
  <si>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</si>
  <si>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</si>
  <si>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</si>
  <si>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</si>
  <si>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</si>
  <si>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</si>
  <si>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</si>
  <si>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</si>
  <si>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</si>
  <si>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</si>
  <si>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</si>
  <si>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</si>
  <si>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</si>
  <si>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</si>
  <si>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</si>
  <si>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</si>
  <si>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</si>
  <si>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</si>
  <si>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</si>
  <si>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</si>
  <si>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</si>
  <si>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</si>
  <si>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</si>
  <si>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</si>
  <si>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</si>
  <si>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</si>
  <si>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</si>
  <si>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</si>
  <si>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</si>
  <si>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</si>
  <si>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</si>
  <si>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</si>
  <si>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</si>
  <si>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</si>
  <si>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</si>
  <si>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</si>
  <si>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</si>
  <si>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</si>
  <si>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</si>
  <si>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</si>
  <si>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</si>
  <si>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</si>
  <si>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</si>
  <si>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</si>
  <si>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</si>
  <si>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</si>
  <si>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</si>
  <si>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</si>
  <si>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</si>
  <si>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</si>
  <si>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</si>
  <si>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</si>
  <si>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</si>
  <si>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</si>
  <si>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</si>
  <si>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</si>
  <si>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</si>
  <si>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</si>
  <si>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</si>
  <si>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</si>
  <si>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</si>
  <si>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</si>
  <si>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</si>
  <si>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</si>
  <si>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</si>
  <si>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</si>
  <si>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</si>
  <si>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</si>
  <si>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</si>
  <si>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</si>
  <si>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</si>
  <si>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</si>
  <si>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</si>
  <si>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</si>
  <si>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</si>
  <si>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</si>
  <si>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</si>
  <si>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</si>
  <si>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</si>
  <si>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</si>
  <si>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</si>
  <si>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</si>
  <si>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</si>
  <si>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</si>
  <si>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</si>
  <si>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</si>
  <si>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</si>
  <si>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</si>
  <si>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</si>
  <si>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</si>
  <si>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</si>
  <si>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</si>
  <si>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</si>
  <si>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</si>
  <si>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</si>
  <si>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</si>
  <si>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</si>
  <si>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</si>
  <si>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</si>
  <si>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</si>
  <si>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</si>
  <si>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</si>
  <si>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</si>
  <si>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</si>
  <si>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</si>
  <si>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</si>
  <si>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</si>
  <si>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</si>
  <si>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</si>
  <si>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</si>
  <si>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</si>
  <si>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</si>
  <si>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</si>
  <si>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</si>
  <si>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</si>
  <si>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</si>
  <si>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</si>
  <si>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</si>
  <si>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</si>
  <si>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</si>
  <si>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</si>
  <si>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</si>
  <si>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</si>
  <si>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</si>
  <si>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</si>
  <si>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</si>
  <si>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</si>
  <si>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</si>
  <si>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</si>
  <si>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</si>
  <si>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</si>
  <si>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</si>
  <si>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</si>
  <si>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</si>
  <si>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</si>
  <si>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</si>
  <si>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</si>
  <si>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</si>
  <si>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</si>
  <si>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</si>
  <si>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</si>
  <si>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</si>
  <si>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</si>
  <si>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</si>
  <si>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</si>
  <si>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</si>
  <si>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</si>
  <si>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</si>
  <si>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</si>
  <si>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</si>
  <si>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</si>
  <si>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</si>
  <si>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</si>
  <si>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</si>
  <si>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</si>
  <si>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</si>
  <si>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</si>
  <si>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</si>
  <si>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</si>
  <si>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</si>
  <si>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</si>
  <si>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</si>
  <si>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</si>
  <si>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</si>
  <si>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</si>
  <si>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</si>
  <si>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</si>
  <si>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</si>
  <si>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</si>
  <si>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</si>
  <si>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</si>
  <si>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null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</si>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</sst>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2" borderId="0" xfId="0" applyNumberFormat="1" applyFill="1"/>
    <xf numFmtId="164" fontId="0" fillId="2" borderId="0" xfId="0" applyNumberFormat="1" applyFill="1"/>
  </cellXfs>
  <cellStyles count="3">
    <cellStyle name="Normalny" xfId="0" builtinId="0"/>
    <cellStyle name="Normalny 2" xfId="2"/>
    <cellStyle name="Procentowy" xfId="1" builtinId="5"/>
  </cellStyles>
  <dxfs count="125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68E-2"/>
          <c:w val="0.72971464242649176"/>
          <c:h val="0.89097169207608529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13714688"/>
        <c:axId val="113716224"/>
      </c:lineChart>
      <c:catAx>
        <c:axId val="113714688"/>
        <c:scaling>
          <c:orientation val="minMax"/>
        </c:scaling>
        <c:axPos val="b"/>
        <c:tickLblPos val="nextTo"/>
        <c:crossAx val="113716224"/>
        <c:crosses val="autoZero"/>
        <c:auto val="1"/>
        <c:lblAlgn val="ctr"/>
        <c:lblOffset val="100"/>
      </c:catAx>
      <c:valAx>
        <c:axId val="113716224"/>
        <c:scaling>
          <c:orientation val="minMax"/>
        </c:scaling>
        <c:axPos val="l"/>
        <c:majorGridlines/>
        <c:numFmt formatCode="General" sourceLinked="1"/>
        <c:tickLblPos val="nextTo"/>
        <c:crossAx val="113714688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9.61784421296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8"/>
    <x v="0"/>
    <x v="1"/>
    <n v="1940"/>
    <n v="0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9"/>
    <x v="0"/>
    <x v="7"/>
    <n v="2498"/>
    <n v="2"/>
    <s v="Water"/>
    <n v="3"/>
    <x v="3"/>
    <n v="0"/>
    <n v="0"/>
    <n v="0"/>
    <n v="0"/>
    <m/>
  </r>
  <r>
    <x v="9"/>
    <x v="0"/>
    <x v="6"/>
    <n v="2073"/>
    <n v="0"/>
    <s v="Water"/>
    <n v="1"/>
    <x v="4"/>
    <n v="0"/>
    <n v="0"/>
    <n v="0"/>
    <n v="0"/>
    <m/>
  </r>
  <r>
    <x v="9"/>
    <x v="0"/>
    <x v="6"/>
    <n v="2143"/>
    <n v="0"/>
    <s v="Water"/>
    <n v="3"/>
    <x v="3"/>
    <n v="0"/>
    <n v="0"/>
    <n v="0"/>
    <n v="0"/>
    <m/>
  </r>
  <r>
    <x v="9"/>
    <x v="0"/>
    <x v="6"/>
    <n v="1852"/>
    <n v="1"/>
    <s v="Water"/>
    <n v="1"/>
    <x v="4"/>
    <n v="0"/>
    <n v="0"/>
    <n v="0"/>
    <n v="0"/>
    <m/>
  </r>
  <r>
    <x v="9"/>
    <x v="0"/>
    <x v="6"/>
    <n v="2417"/>
    <n v="0"/>
    <s v="SumStone"/>
    <n v="1"/>
    <x v="5"/>
    <n v="0"/>
    <n v="0"/>
    <n v="862.5"/>
    <n v="895.55"/>
    <m/>
  </r>
  <r>
    <x v="9"/>
    <x v="0"/>
    <x v="7"/>
    <n v="2146"/>
    <n v="0"/>
    <s v="Water"/>
    <n v="2"/>
    <x v="4"/>
    <n v="0"/>
    <n v="0"/>
    <n v="0"/>
    <n v="0"/>
    <m/>
  </r>
  <r>
    <x v="9"/>
    <x v="0"/>
    <x v="7"/>
    <n v="2968"/>
    <n v="0"/>
    <s v="Scroll"/>
    <n v="4"/>
    <x v="2"/>
    <n v="0"/>
    <n v="8000"/>
    <n v="0"/>
    <n v="3200"/>
    <m/>
  </r>
  <r>
    <x v="9"/>
    <x v="0"/>
    <x v="7"/>
    <n v="2237"/>
    <n v="0"/>
    <s v="Scroll"/>
    <n v="4"/>
    <x v="2"/>
    <n v="0"/>
    <n v="8000"/>
    <n v="0"/>
    <n v="3200"/>
    <m/>
  </r>
  <r>
    <x v="9"/>
    <x v="0"/>
    <x v="7"/>
    <n v="2223"/>
    <n v="1"/>
    <s v="Water"/>
    <n v="5"/>
    <x v="3"/>
    <n v="0"/>
    <n v="0"/>
    <n v="0"/>
    <n v="0"/>
    <m/>
  </r>
  <r>
    <x v="9"/>
    <x v="0"/>
    <x v="7"/>
    <n v="2246"/>
    <n v="2"/>
    <s v="Scroll"/>
    <n v="4"/>
    <x v="2"/>
    <n v="0"/>
    <n v="8000"/>
    <n v="0"/>
    <n v="3200"/>
    <m/>
  </r>
  <r>
    <x v="9"/>
    <x v="0"/>
    <x v="7"/>
    <n v="1945"/>
    <n v="0"/>
    <s v="Scroll"/>
    <n v="4"/>
    <x v="2"/>
    <n v="0"/>
    <n v="8000"/>
    <n v="0"/>
    <n v="3200"/>
    <m/>
  </r>
  <r>
    <x v="9"/>
    <x v="0"/>
    <x v="7"/>
    <n v="2404"/>
    <n v="1"/>
    <s v="Water"/>
    <n v="4"/>
    <x v="3"/>
    <n v="0"/>
    <n v="0"/>
    <n v="0"/>
    <n v="0"/>
    <m/>
  </r>
  <r>
    <x v="9"/>
    <x v="0"/>
    <x v="7"/>
    <n v="3017"/>
    <n v="1"/>
    <s v="Water"/>
    <n v="4"/>
    <x v="3"/>
    <n v="0"/>
    <n v="0"/>
    <n v="0"/>
    <n v="0"/>
    <m/>
  </r>
  <r>
    <x v="9"/>
    <x v="0"/>
    <x v="7"/>
    <n v="2175"/>
    <n v="0"/>
    <s v="SweetCookie"/>
    <n v="1"/>
    <x v="0"/>
    <n v="0"/>
    <n v="0"/>
    <n v="0"/>
    <n v="0"/>
    <m/>
  </r>
  <r>
    <x v="9"/>
    <x v="0"/>
    <x v="7"/>
    <n v="2276"/>
    <n v="0"/>
    <s v="Water"/>
    <n v="4"/>
    <x v="3"/>
    <n v="0"/>
    <n v="0"/>
    <n v="0"/>
    <n v="0"/>
    <m/>
  </r>
  <r>
    <x v="9"/>
    <x v="0"/>
    <x v="7"/>
    <n v="2576"/>
    <n v="3"/>
    <s v="Water"/>
    <n v="4"/>
    <x v="3"/>
    <n v="0"/>
    <n v="0"/>
    <n v="0"/>
    <n v="0"/>
    <m/>
  </r>
  <r>
    <x v="9"/>
    <x v="0"/>
    <x v="7"/>
    <n v="2058"/>
    <n v="1"/>
    <s v="Water"/>
    <n v="5"/>
    <x v="3"/>
    <n v="0"/>
    <n v="0"/>
    <n v="0"/>
    <n v="0"/>
    <m/>
  </r>
  <r>
    <x v="9"/>
    <x v="0"/>
    <x v="7"/>
    <n v="2086"/>
    <n v="1"/>
    <s v="Scroll"/>
    <n v="4"/>
    <x v="2"/>
    <n v="0"/>
    <n v="8000"/>
    <n v="0"/>
    <n v="3200"/>
    <m/>
  </r>
  <r>
    <x v="9"/>
    <x v="0"/>
    <x v="7"/>
    <n v="2586"/>
    <n v="3"/>
    <s v="Scroll"/>
    <n v="4"/>
    <x v="2"/>
    <n v="0"/>
    <n v="8000"/>
    <n v="0"/>
    <n v="3200"/>
    <m/>
  </r>
  <r>
    <x v="9"/>
    <x v="0"/>
    <x v="7"/>
    <n v="2500"/>
    <n v="1"/>
    <s v="Scroll"/>
    <n v="5"/>
    <x v="2"/>
    <n v="0"/>
    <n v="10000"/>
    <n v="0"/>
    <n v="4000"/>
    <m/>
  </r>
  <r>
    <x v="9"/>
    <x v="0"/>
    <x v="7"/>
    <n v="2526"/>
    <n v="0"/>
    <s v="Water"/>
    <n v="1"/>
    <x v="6"/>
    <n v="0"/>
    <n v="0"/>
    <n v="0"/>
    <n v="0"/>
    <m/>
  </r>
  <r>
    <x v="9"/>
    <x v="0"/>
    <x v="7"/>
    <n v="2483"/>
    <n v="3"/>
    <s v="Water"/>
    <n v="1"/>
    <x v="6"/>
    <n v="0"/>
    <n v="0"/>
    <n v="0"/>
    <n v="0"/>
    <m/>
  </r>
  <r>
    <x v="9"/>
    <x v="0"/>
    <x v="7"/>
    <n v="2491"/>
    <n v="0"/>
    <s v="SD"/>
    <s v="Bearman"/>
    <x v="5"/>
    <n v="0"/>
    <n v="0"/>
    <n v="0"/>
    <n v="0"/>
    <m/>
  </r>
  <r>
    <x v="9"/>
    <x v="0"/>
    <x v="7"/>
    <n v="2730"/>
    <n v="0"/>
    <s v="Scroll"/>
    <n v="4"/>
    <x v="2"/>
    <n v="0"/>
    <n v="8000"/>
    <n v="0"/>
    <n v="3200"/>
    <m/>
  </r>
  <r>
    <x v="9"/>
    <x v="0"/>
    <x v="7"/>
    <n v="2671"/>
    <n v="2"/>
    <s v="Water"/>
    <n v="4"/>
    <x v="3"/>
    <n v="0"/>
    <n v="0"/>
    <n v="0"/>
    <n v="0"/>
    <m/>
  </r>
  <r>
    <x v="9"/>
    <x v="0"/>
    <x v="7"/>
    <n v="2186"/>
    <n v="1"/>
    <s v="Angelmon"/>
    <n v="1"/>
    <x v="2"/>
    <n v="0"/>
    <n v="0"/>
    <n v="0"/>
    <n v="0"/>
    <m/>
  </r>
  <r>
    <x v="9"/>
    <x v="0"/>
    <x v="7"/>
    <n v="2316"/>
    <n v="0"/>
    <s v="Water"/>
    <n v="3"/>
    <x v="3"/>
    <n v="0"/>
    <n v="0"/>
    <n v="0"/>
    <n v="0"/>
    <m/>
  </r>
  <r>
    <x v="9"/>
    <x v="0"/>
    <x v="7"/>
    <n v="2046"/>
    <n v="1"/>
    <s v="Water"/>
    <n v="4"/>
    <x v="3"/>
    <n v="0"/>
    <n v="0"/>
    <n v="0"/>
    <n v="0"/>
    <m/>
  </r>
  <r>
    <x v="9"/>
    <x v="0"/>
    <x v="7"/>
    <n v="2303"/>
    <n v="3"/>
    <s v="Water"/>
    <n v="1"/>
    <x v="4"/>
    <n v="0"/>
    <n v="0"/>
    <n v="0"/>
    <n v="0"/>
    <m/>
  </r>
  <r>
    <x v="9"/>
    <x v="0"/>
    <x v="7"/>
    <n v="2396"/>
    <n v="1"/>
    <s v="Water"/>
    <n v="1"/>
    <x v="4"/>
    <n v="0"/>
    <n v="0"/>
    <n v="0"/>
    <n v="0"/>
    <m/>
  </r>
  <r>
    <x v="9"/>
    <x v="0"/>
    <x v="7"/>
    <n v="2325"/>
    <n v="1"/>
    <s v="Water"/>
    <n v="2"/>
    <x v="6"/>
    <n v="0"/>
    <n v="0"/>
    <n v="0"/>
    <n v="0"/>
    <m/>
  </r>
  <r>
    <x v="9"/>
    <x v="0"/>
    <x v="7"/>
    <n v="2398"/>
    <n v="1"/>
    <s v="Water"/>
    <n v="3"/>
    <x v="3"/>
    <n v="0"/>
    <n v="0"/>
    <n v="0"/>
    <n v="0"/>
    <m/>
  </r>
  <r>
    <x v="9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10"/>
    <x v="0"/>
    <x v="10"/>
    <n v="2891"/>
    <n v="0"/>
    <s v="Scroll"/>
    <n v="4"/>
    <x v="2"/>
    <n v="0"/>
    <n v="8000"/>
    <n v="0"/>
    <n v="3200"/>
    <m/>
  </r>
  <r>
    <x v="10"/>
    <x v="0"/>
    <x v="10"/>
    <n v="2801"/>
    <n v="0"/>
    <s v="Fire"/>
    <n v="4"/>
    <x v="3"/>
    <n v="0"/>
    <n v="0"/>
    <n v="0"/>
    <n v="0"/>
    <m/>
  </r>
  <r>
    <x v="10"/>
    <x v="0"/>
    <x v="10"/>
    <n v="2407"/>
    <n v="0"/>
    <s v="Fire"/>
    <n v="1"/>
    <x v="4"/>
    <n v="0"/>
    <n v="0"/>
    <n v="0"/>
    <n v="0"/>
    <m/>
  </r>
  <r>
    <x v="10"/>
    <x v="0"/>
    <x v="10"/>
    <n v="2748"/>
    <n v="0"/>
    <m/>
    <m/>
    <x v="0"/>
    <n v="0"/>
    <n v="0"/>
    <n v="0"/>
    <n v="0"/>
    <m/>
  </r>
  <r>
    <x v="10"/>
    <x v="0"/>
    <x v="10"/>
    <n v="2679"/>
    <n v="1"/>
    <s v="Rainb"/>
    <n v="1"/>
    <x v="1"/>
    <n v="0"/>
    <n v="0"/>
    <n v="11500"/>
    <n v="35822"/>
    <m/>
  </r>
  <r>
    <x v="10"/>
    <x v="0"/>
    <x v="11"/>
    <n v="2720"/>
    <n v="0"/>
    <s v="Fire"/>
    <n v="1"/>
    <x v="4"/>
    <n v="0"/>
    <n v="0"/>
    <n v="0"/>
    <n v="0"/>
    <m/>
  </r>
  <r>
    <x v="10"/>
    <x v="0"/>
    <x v="11"/>
    <n v="0"/>
    <n v="0"/>
    <m/>
    <m/>
    <x v="0"/>
    <n v="0"/>
    <n v="0"/>
    <n v="0"/>
    <n v="0"/>
    <s v="Y"/>
  </r>
  <r>
    <x v="10"/>
    <x v="0"/>
    <x v="10"/>
    <n v="2875"/>
    <n v="0"/>
    <s v="Angelmon"/>
    <n v="1"/>
    <x v="2"/>
    <n v="0"/>
    <n v="0"/>
    <n v="0"/>
    <n v="0"/>
    <m/>
  </r>
  <r>
    <x v="10"/>
    <x v="0"/>
    <x v="10"/>
    <n v="2734"/>
    <n v="0"/>
    <s v="Fire"/>
    <n v="3"/>
    <x v="6"/>
    <n v="0"/>
    <n v="0"/>
    <n v="0"/>
    <n v="0"/>
    <m/>
  </r>
  <r>
    <x v="10"/>
    <x v="0"/>
    <x v="10"/>
    <n v="3073"/>
    <n v="0"/>
    <s v="Fire"/>
    <n v="2"/>
    <x v="4"/>
    <n v="0"/>
    <n v="0"/>
    <n v="0"/>
    <n v="0"/>
    <m/>
  </r>
  <r>
    <x v="10"/>
    <x v="0"/>
    <x v="10"/>
    <n v="2813"/>
    <n v="0"/>
    <s v="Fire"/>
    <n v="2"/>
    <x v="4"/>
    <n v="0"/>
    <n v="0"/>
    <n v="0"/>
    <n v="0"/>
    <m/>
  </r>
  <r>
    <x v="10"/>
    <x v="0"/>
    <x v="10"/>
    <n v="2758"/>
    <n v="0"/>
    <s v="Candy"/>
    <n v="3"/>
    <x v="0"/>
    <n v="0"/>
    <n v="0"/>
    <n v="0"/>
    <n v="0"/>
    <m/>
  </r>
  <r>
    <x v="10"/>
    <x v="0"/>
    <x v="10"/>
    <n v="2313"/>
    <n v="1"/>
    <s v="Fire"/>
    <n v="3"/>
    <x v="4"/>
    <n v="0"/>
    <n v="0"/>
    <n v="0"/>
    <n v="0"/>
    <m/>
  </r>
  <r>
    <x v="10"/>
    <x v="0"/>
    <x v="10"/>
    <n v="2625"/>
    <n v="1"/>
    <s v="Fire"/>
    <n v="3"/>
    <x v="4"/>
    <n v="0"/>
    <n v="0"/>
    <n v="0"/>
    <n v="0"/>
    <m/>
  </r>
  <r>
    <x v="10"/>
    <x v="0"/>
    <x v="10"/>
    <n v="2515"/>
    <n v="0"/>
    <s v="Fire"/>
    <n v="1"/>
    <x v="6"/>
    <n v="0"/>
    <n v="0"/>
    <n v="0"/>
    <n v="0"/>
    <m/>
  </r>
  <r>
    <x v="10"/>
    <x v="0"/>
    <x v="10"/>
    <n v="2516"/>
    <n v="1"/>
    <s v="Candy"/>
    <n v="1"/>
    <x v="0"/>
    <n v="0"/>
    <n v="0"/>
    <n v="0"/>
    <n v="0"/>
    <m/>
  </r>
  <r>
    <x v="10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10"/>
    <x v="0"/>
    <x v="10"/>
    <n v="2517"/>
    <n v="0"/>
    <s v="Candy"/>
    <n v="2"/>
    <x v="0"/>
    <n v="0"/>
    <n v="0"/>
    <n v="0"/>
    <n v="0"/>
    <m/>
  </r>
  <r>
    <x v="10"/>
    <x v="0"/>
    <x v="10"/>
    <n v="2615"/>
    <n v="2"/>
    <s v="Fire"/>
    <n v="2"/>
    <x v="6"/>
    <n v="0"/>
    <n v="0"/>
    <n v="0"/>
    <n v="0"/>
    <m/>
  </r>
  <r>
    <x v="10"/>
    <x v="0"/>
    <x v="10"/>
    <n v="2798"/>
    <n v="2"/>
    <s v="Rainb"/>
    <n v="1"/>
    <x v="1"/>
    <n v="0"/>
    <n v="0"/>
    <n v="11500"/>
    <n v="35822"/>
    <m/>
  </r>
  <r>
    <x v="10"/>
    <x v="0"/>
    <x v="10"/>
    <n v="2602"/>
    <n v="0"/>
    <s v="Fire"/>
    <n v="3"/>
    <x v="4"/>
    <n v="0"/>
    <n v="0"/>
    <n v="0"/>
    <n v="0"/>
    <m/>
  </r>
  <r>
    <x v="10"/>
    <x v="0"/>
    <x v="10"/>
    <n v="2901"/>
    <n v="1"/>
    <s v="Fire"/>
    <n v="1"/>
    <x v="4"/>
    <n v="0"/>
    <n v="0"/>
    <n v="0"/>
    <n v="0"/>
    <m/>
  </r>
  <r>
    <x v="10"/>
    <x v="0"/>
    <x v="10"/>
    <n v="540"/>
    <n v="0"/>
    <m/>
    <m/>
    <x v="0"/>
    <n v="0"/>
    <n v="0"/>
    <n v="0"/>
    <n v="0"/>
    <s v="Y"/>
  </r>
  <r>
    <x v="10"/>
    <x v="0"/>
    <x v="10"/>
    <n v="3199"/>
    <n v="0"/>
    <s v="Fire"/>
    <n v="1"/>
    <x v="4"/>
    <n v="0"/>
    <n v="0"/>
    <n v="0"/>
    <n v="0"/>
    <m/>
  </r>
  <r>
    <x v="10"/>
    <x v="0"/>
    <x v="10"/>
    <n v="2926"/>
    <n v="1"/>
    <s v="Fire"/>
    <n v="1"/>
    <x v="4"/>
    <n v="0"/>
    <n v="0"/>
    <n v="0"/>
    <n v="0"/>
    <m/>
  </r>
  <r>
    <x v="10"/>
    <x v="0"/>
    <x v="10"/>
    <n v="2560"/>
    <n v="1"/>
    <s v="Fire"/>
    <n v="4"/>
    <x v="3"/>
    <n v="0"/>
    <n v="0"/>
    <n v="0"/>
    <n v="0"/>
    <m/>
  </r>
  <r>
    <x v="10"/>
    <x v="0"/>
    <x v="10"/>
    <n v="2313"/>
    <n v="1"/>
    <s v="Fire"/>
    <n v="4"/>
    <x v="3"/>
    <n v="0"/>
    <n v="0"/>
    <n v="0"/>
    <n v="0"/>
    <m/>
  </r>
  <r>
    <x v="10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10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9"/>
    <x v="0"/>
    <x v="10"/>
    <n v="2924"/>
    <n v="1"/>
    <s v="Water"/>
    <n v="1"/>
    <x v="4"/>
    <n v="0"/>
    <n v="0"/>
    <n v="0"/>
    <n v="0"/>
    <m/>
  </r>
  <r>
    <x v="9"/>
    <x v="0"/>
    <x v="10"/>
    <n v="3192"/>
    <n v="2"/>
    <s v="Water"/>
    <n v="2"/>
    <x v="4"/>
    <n v="0"/>
    <n v="0"/>
    <n v="0"/>
    <n v="0"/>
    <m/>
  </r>
  <r>
    <x v="9"/>
    <x v="0"/>
    <x v="10"/>
    <n v="2967"/>
    <n v="1"/>
    <s v="Water"/>
    <n v="2"/>
    <x v="4"/>
    <n v="0"/>
    <n v="0"/>
    <n v="0"/>
    <n v="0"/>
    <m/>
  </r>
  <r>
    <x v="9"/>
    <x v="0"/>
    <x v="10"/>
    <n v="2926"/>
    <n v="0"/>
    <s v="Water"/>
    <n v="3"/>
    <x v="3"/>
    <n v="0"/>
    <n v="0"/>
    <n v="0"/>
    <n v="0"/>
    <m/>
  </r>
  <r>
    <x v="9"/>
    <x v="0"/>
    <x v="10"/>
    <n v="2801"/>
    <n v="1"/>
    <s v="Water"/>
    <n v="3"/>
    <x v="3"/>
    <n v="0"/>
    <n v="0"/>
    <n v="0"/>
    <n v="0"/>
    <m/>
  </r>
  <r>
    <x v="9"/>
    <x v="0"/>
    <x v="10"/>
    <n v="2800"/>
    <n v="0"/>
    <s v="SD"/>
    <s v="Vagabond"/>
    <x v="1"/>
    <n v="0"/>
    <n v="0"/>
    <n v="0"/>
    <n v="0"/>
    <m/>
  </r>
  <r>
    <x v="9"/>
    <x v="0"/>
    <x v="10"/>
    <n v="2913"/>
    <n v="0"/>
    <s v="Water"/>
    <n v="1"/>
    <x v="6"/>
    <n v="0"/>
    <n v="0"/>
    <n v="0"/>
    <n v="0"/>
    <m/>
  </r>
  <r>
    <x v="9"/>
    <x v="0"/>
    <x v="10"/>
    <n v="2812"/>
    <n v="1"/>
    <s v="Water"/>
    <n v="1"/>
    <x v="4"/>
    <n v="0"/>
    <n v="0"/>
    <n v="0"/>
    <n v="0"/>
    <m/>
  </r>
  <r>
    <x v="9"/>
    <x v="0"/>
    <x v="10"/>
    <n v="2449"/>
    <n v="0"/>
    <s v="Rainb"/>
    <n v="1"/>
    <x v="1"/>
    <n v="0"/>
    <n v="0"/>
    <n v="11500"/>
    <n v="35822"/>
    <m/>
  </r>
  <r>
    <x v="9"/>
    <x v="0"/>
    <x v="10"/>
    <n v="2754"/>
    <n v="1"/>
    <s v="MystScroll"/>
    <n v="1"/>
    <x v="2"/>
    <n v="0"/>
    <n v="120000"/>
    <n v="0"/>
    <n v="0"/>
    <m/>
  </r>
  <r>
    <x v="9"/>
    <x v="0"/>
    <x v="10"/>
    <n v="2824"/>
    <n v="1"/>
    <s v="SD"/>
    <s v="Pixie"/>
    <x v="1"/>
    <n v="0"/>
    <n v="0"/>
    <n v="0"/>
    <n v="0"/>
    <m/>
  </r>
  <r>
    <x v="9"/>
    <x v="0"/>
    <x v="10"/>
    <n v="2980"/>
    <n v="0"/>
    <s v="Water"/>
    <n v="1"/>
    <x v="4"/>
    <n v="0"/>
    <n v="0"/>
    <n v="0"/>
    <n v="0"/>
    <m/>
  </r>
  <r>
    <x v="9"/>
    <x v="0"/>
    <x v="10"/>
    <n v="2957"/>
    <n v="0"/>
    <s v="Angelmon"/>
    <n v="1"/>
    <x v="2"/>
    <n v="0"/>
    <n v="0"/>
    <n v="0"/>
    <n v="0"/>
    <m/>
  </r>
  <r>
    <x v="9"/>
    <x v="0"/>
    <x v="10"/>
    <n v="2417"/>
    <n v="0"/>
    <s v="Scroll"/>
    <n v="4"/>
    <x v="2"/>
    <n v="0"/>
    <n v="8000"/>
    <n v="0"/>
    <n v="3200"/>
    <m/>
  </r>
  <r>
    <x v="9"/>
    <x v="0"/>
    <x v="10"/>
    <n v="2671"/>
    <n v="0"/>
    <s v="Water"/>
    <n v="5"/>
    <x v="3"/>
    <n v="0"/>
    <n v="0"/>
    <n v="0"/>
    <n v="0"/>
    <m/>
  </r>
  <r>
    <x v="9"/>
    <x v="0"/>
    <x v="10"/>
    <n v="2947"/>
    <n v="1"/>
    <s v="Water"/>
    <n v="1"/>
    <x v="6"/>
    <n v="0"/>
    <n v="0"/>
    <n v="0"/>
    <n v="0"/>
    <m/>
  </r>
  <r>
    <x v="9"/>
    <x v="0"/>
    <x v="10"/>
    <n v="3358"/>
    <n v="1"/>
    <s v="Scroll"/>
    <n v="4"/>
    <x v="2"/>
    <n v="0"/>
    <n v="8000"/>
    <n v="0"/>
    <n v="3200"/>
    <m/>
  </r>
  <r>
    <x v="9"/>
    <x v="0"/>
    <x v="10"/>
    <n v="2184"/>
    <n v="0"/>
    <s v="Water"/>
    <n v="4"/>
    <x v="3"/>
    <n v="0"/>
    <n v="0"/>
    <n v="0"/>
    <n v="0"/>
    <m/>
  </r>
  <r>
    <x v="9"/>
    <x v="0"/>
    <x v="10"/>
    <n v="2654"/>
    <n v="3"/>
    <s v="Water"/>
    <n v="1"/>
    <x v="4"/>
    <n v="0"/>
    <n v="0"/>
    <n v="0"/>
    <n v="0"/>
    <m/>
  </r>
  <r>
    <x v="9"/>
    <x v="0"/>
    <x v="10"/>
    <n v="2592"/>
    <n v="1"/>
    <s v="Water"/>
    <n v="1"/>
    <x v="4"/>
    <n v="0"/>
    <n v="0"/>
    <n v="0"/>
    <n v="0"/>
    <m/>
  </r>
  <r>
    <x v="9"/>
    <x v="0"/>
    <x v="10"/>
    <n v="2625"/>
    <n v="0"/>
    <s v="Water"/>
    <n v="1"/>
    <x v="6"/>
    <n v="0"/>
    <n v="0"/>
    <n v="0"/>
    <n v="0"/>
    <m/>
  </r>
  <r>
    <x v="9"/>
    <x v="0"/>
    <x v="10"/>
    <n v="3029"/>
    <n v="0"/>
    <s v="Water"/>
    <n v="1"/>
    <x v="4"/>
    <n v="0"/>
    <n v="0"/>
    <n v="0"/>
    <n v="0"/>
    <m/>
  </r>
  <r>
    <x v="9"/>
    <x v="0"/>
    <x v="10"/>
    <n v="2865"/>
    <n v="1"/>
    <s v="Water"/>
    <n v="1"/>
    <x v="4"/>
    <n v="0"/>
    <n v="0"/>
    <n v="0"/>
    <n v="0"/>
    <m/>
  </r>
  <r>
    <x v="9"/>
    <x v="0"/>
    <x v="10"/>
    <n v="3075"/>
    <n v="3"/>
    <s v="Water"/>
    <n v="5"/>
    <x v="3"/>
    <n v="0"/>
    <n v="0"/>
    <n v="0"/>
    <n v="0"/>
    <m/>
  </r>
  <r>
    <x v="9"/>
    <x v="0"/>
    <x v="10"/>
    <n v="3767"/>
    <n v="2"/>
    <s v="Water"/>
    <n v="4"/>
    <x v="3"/>
    <n v="0"/>
    <n v="0"/>
    <n v="0"/>
    <n v="0"/>
    <m/>
  </r>
  <r>
    <x v="9"/>
    <x v="0"/>
    <x v="10"/>
    <n v="3007"/>
    <n v="2"/>
    <s v="Water"/>
    <n v="3"/>
    <x v="4"/>
    <n v="0"/>
    <n v="0"/>
    <n v="0"/>
    <n v="0"/>
    <m/>
  </r>
  <r>
    <x v="9"/>
    <x v="0"/>
    <x v="10"/>
    <n v="2942"/>
    <n v="0"/>
    <s v="Water"/>
    <n v="1"/>
    <x v="4"/>
    <n v="0"/>
    <n v="0"/>
    <n v="0"/>
    <n v="0"/>
    <m/>
  </r>
  <r>
    <x v="9"/>
    <x v="0"/>
    <x v="10"/>
    <n v="2701"/>
    <n v="0"/>
    <s v="Water"/>
    <n v="5"/>
    <x v="3"/>
    <n v="0"/>
    <n v="0"/>
    <n v="0"/>
    <n v="0"/>
    <m/>
  </r>
  <r>
    <x v="9"/>
    <x v="0"/>
    <x v="10"/>
    <n v="3320"/>
    <n v="0"/>
    <s v="Water"/>
    <n v="3"/>
    <x v="6"/>
    <n v="0"/>
    <n v="0"/>
    <n v="0"/>
    <n v="0"/>
    <m/>
  </r>
  <r>
    <x v="9"/>
    <x v="0"/>
    <x v="10"/>
    <n v="2890"/>
    <n v="2"/>
    <s v="Water"/>
    <n v="3"/>
    <x v="3"/>
    <n v="0"/>
    <n v="0"/>
    <n v="0"/>
    <n v="0"/>
    <m/>
  </r>
  <r>
    <x v="9"/>
    <x v="0"/>
    <x v="10"/>
    <n v="3274"/>
    <n v="1"/>
    <s v="Water"/>
    <n v="2"/>
    <x v="6"/>
    <n v="0"/>
    <n v="0"/>
    <n v="0"/>
    <n v="0"/>
    <m/>
  </r>
  <r>
    <x v="9"/>
    <x v="0"/>
    <x v="10"/>
    <n v="2847"/>
    <n v="1"/>
    <s v="Water"/>
    <n v="1"/>
    <x v="6"/>
    <n v="0"/>
    <n v="0"/>
    <n v="0"/>
    <n v="0"/>
    <m/>
  </r>
  <r>
    <x v="9"/>
    <x v="0"/>
    <x v="10"/>
    <n v="2602"/>
    <n v="0"/>
    <s v="Water"/>
    <n v="4"/>
    <x v="3"/>
    <n v="0"/>
    <n v="0"/>
    <n v="0"/>
    <n v="0"/>
    <m/>
  </r>
  <r>
    <x v="9"/>
    <x v="0"/>
    <x v="10"/>
    <n v="2901"/>
    <n v="1"/>
    <s v="SD"/>
    <s v="Golem"/>
    <x v="5"/>
    <n v="0"/>
    <n v="0"/>
    <n v="0"/>
    <n v="0"/>
    <m/>
  </r>
  <r>
    <x v="9"/>
    <x v="0"/>
    <x v="10"/>
    <n v="2768"/>
    <n v="0"/>
    <s v="Water"/>
    <n v="5"/>
    <x v="3"/>
    <n v="0"/>
    <n v="0"/>
    <n v="0"/>
    <n v="0"/>
    <m/>
  </r>
  <r>
    <x v="9"/>
    <x v="0"/>
    <x v="10"/>
    <n v="2401"/>
    <n v="1"/>
    <s v="Water"/>
    <n v="1"/>
    <x v="4"/>
    <n v="0"/>
    <n v="0"/>
    <n v="0"/>
    <n v="0"/>
    <m/>
  </r>
  <r>
    <x v="9"/>
    <x v="0"/>
    <x v="10"/>
    <n v="2915"/>
    <n v="0"/>
    <s v="SumStone"/>
    <n v="3"/>
    <x v="5"/>
    <n v="0"/>
    <n v="0"/>
    <n v="2587.5"/>
    <n v="2686.6499999999996"/>
    <m/>
  </r>
  <r>
    <x v="9"/>
    <x v="0"/>
    <x v="10"/>
    <n v="2978"/>
    <n v="0"/>
    <s v="Water"/>
    <n v="4"/>
    <x v="3"/>
    <n v="0"/>
    <n v="0"/>
    <n v="0"/>
    <n v="0"/>
    <m/>
  </r>
  <r>
    <x v="9"/>
    <x v="0"/>
    <x v="10"/>
    <n v="2956"/>
    <n v="0"/>
    <s v="Water"/>
    <n v="5"/>
    <x v="3"/>
    <n v="0"/>
    <n v="0"/>
    <n v="0"/>
    <n v="0"/>
    <m/>
  </r>
  <r>
    <x v="9"/>
    <x v="0"/>
    <x v="10"/>
    <n v="2657"/>
    <n v="1"/>
    <s v="Water"/>
    <n v="5"/>
    <x v="3"/>
    <n v="0"/>
    <n v="0"/>
    <n v="0"/>
    <n v="0"/>
    <m/>
  </r>
  <r>
    <x v="9"/>
    <x v="0"/>
    <x v="10"/>
    <n v="2789"/>
    <n v="0"/>
    <s v="Angelmon"/>
    <n v="1"/>
    <x v="2"/>
    <n v="0"/>
    <n v="0"/>
    <n v="0"/>
    <n v="0"/>
    <m/>
  </r>
  <r>
    <x v="9"/>
    <x v="0"/>
    <x v="10"/>
    <n v="2793"/>
    <n v="1"/>
    <s v="Water"/>
    <n v="5"/>
    <x v="3"/>
    <n v="0"/>
    <n v="0"/>
    <n v="0"/>
    <n v="0"/>
    <m/>
  </r>
  <r>
    <x v="9"/>
    <x v="0"/>
    <x v="10"/>
    <n v="2869"/>
    <n v="2"/>
    <s v="Water"/>
    <n v="4"/>
    <x v="3"/>
    <n v="0"/>
    <n v="0"/>
    <n v="0"/>
    <n v="0"/>
    <m/>
  </r>
  <r>
    <x v="9"/>
    <x v="0"/>
    <x v="10"/>
    <n v="2638"/>
    <n v="1"/>
    <s v="Angelmon"/>
    <n v="1"/>
    <x v="2"/>
    <n v="0"/>
    <n v="0"/>
    <n v="0"/>
    <n v="0"/>
    <m/>
  </r>
  <r>
    <x v="9"/>
    <x v="0"/>
    <x v="10"/>
    <n v="2929"/>
    <n v="1"/>
    <s v="Water"/>
    <n v="1"/>
    <x v="4"/>
    <n v="0"/>
    <n v="0"/>
    <n v="0"/>
    <n v="0"/>
    <m/>
  </r>
  <r>
    <x v="9"/>
    <x v="0"/>
    <x v="10"/>
    <n v="2423"/>
    <n v="1"/>
    <s v="Water"/>
    <n v="3"/>
    <x v="3"/>
    <n v="0"/>
    <n v="0"/>
    <n v="0"/>
    <n v="0"/>
    <m/>
  </r>
  <r>
    <x v="9"/>
    <x v="0"/>
    <x v="10"/>
    <n v="2881"/>
    <n v="0"/>
    <s v="Water"/>
    <n v="5"/>
    <x v="3"/>
    <n v="0"/>
    <n v="0"/>
    <n v="0"/>
    <n v="0"/>
    <m/>
  </r>
  <r>
    <x v="9"/>
    <x v="0"/>
    <x v="10"/>
    <n v="3128"/>
    <n v="1"/>
    <s v="Water"/>
    <n v="4"/>
    <x v="3"/>
    <n v="0"/>
    <n v="0"/>
    <n v="0"/>
    <n v="0"/>
    <m/>
  </r>
  <r>
    <x v="9"/>
    <x v="0"/>
    <x v="10"/>
    <n v="3042"/>
    <n v="0"/>
    <s v="Water"/>
    <n v="3"/>
    <x v="6"/>
    <n v="0"/>
    <n v="0"/>
    <n v="0"/>
    <n v="0"/>
    <m/>
  </r>
  <r>
    <x v="9"/>
    <x v="0"/>
    <x v="10"/>
    <n v="2846"/>
    <n v="1"/>
    <s v="Water"/>
    <n v="1"/>
    <x v="6"/>
    <n v="0"/>
    <n v="0"/>
    <n v="0"/>
    <n v="0"/>
    <m/>
  </r>
  <r>
    <x v="9"/>
    <x v="0"/>
    <x v="10"/>
    <n v="3112"/>
    <n v="1"/>
    <s v="Water"/>
    <n v="1"/>
    <x v="6"/>
    <n v="0"/>
    <n v="0"/>
    <n v="0"/>
    <n v="0"/>
    <m/>
  </r>
  <r>
    <x v="9"/>
    <x v="0"/>
    <x v="10"/>
    <n v="2928"/>
    <n v="1"/>
    <s v="Water"/>
    <n v="4"/>
    <x v="3"/>
    <n v="0"/>
    <n v="0"/>
    <n v="0"/>
    <n v="0"/>
    <m/>
  </r>
  <r>
    <x v="9"/>
    <x v="0"/>
    <x v="10"/>
    <n v="2702"/>
    <n v="1"/>
    <s v="Water"/>
    <n v="2"/>
    <x v="4"/>
    <n v="0"/>
    <n v="0"/>
    <n v="0"/>
    <n v="0"/>
    <m/>
  </r>
  <r>
    <x v="11"/>
    <x v="0"/>
    <x v="12"/>
    <n v="6071"/>
    <n v="0"/>
    <s v="SumStone"/>
    <n v="4"/>
    <x v="5"/>
    <n v="0"/>
    <n v="0"/>
    <n v="3450"/>
    <n v="3582.2"/>
    <m/>
  </r>
  <r>
    <x v="11"/>
    <x v="0"/>
    <x v="12"/>
    <n v="5719"/>
    <n v="0"/>
    <s v="SumStone"/>
    <n v="4"/>
    <x v="5"/>
    <n v="0"/>
    <n v="0"/>
    <n v="3450"/>
    <n v="3582.2"/>
    <m/>
  </r>
  <r>
    <x v="11"/>
    <x v="0"/>
    <x v="12"/>
    <n v="5444"/>
    <n v="0"/>
    <s v="SumStone"/>
    <n v="4"/>
    <x v="5"/>
    <n v="0"/>
    <n v="0"/>
    <n v="3450"/>
    <n v="3582.2"/>
    <m/>
  </r>
  <r>
    <x v="11"/>
    <x v="0"/>
    <x v="12"/>
    <n v="5741"/>
    <n v="0"/>
    <s v="SumStone"/>
    <n v="4"/>
    <x v="5"/>
    <n v="0"/>
    <n v="0"/>
    <n v="3450"/>
    <n v="3582.2"/>
    <m/>
  </r>
  <r>
    <x v="11"/>
    <x v="0"/>
    <x v="12"/>
    <n v="6031"/>
    <n v="0"/>
    <s v="SumStone"/>
    <n v="4"/>
    <x v="5"/>
    <n v="0"/>
    <n v="0"/>
    <n v="3450"/>
    <n v="3582.2"/>
    <m/>
  </r>
  <r>
    <x v="11"/>
    <x v="0"/>
    <x v="12"/>
    <n v="5574"/>
    <n v="0"/>
    <s v="SumStone"/>
    <n v="4"/>
    <x v="5"/>
    <n v="0"/>
    <n v="0"/>
    <n v="3450"/>
    <n v="3582.2"/>
    <m/>
  </r>
  <r>
    <x v="11"/>
    <x v="0"/>
    <x v="12"/>
    <n v="6065"/>
    <n v="0"/>
    <s v="SumStone"/>
    <n v="4"/>
    <x v="5"/>
    <n v="0"/>
    <n v="0"/>
    <n v="3450"/>
    <n v="3582.2"/>
    <m/>
  </r>
  <r>
    <x v="11"/>
    <x v="0"/>
    <x v="12"/>
    <n v="5631"/>
    <n v="0"/>
    <s v="SumStone"/>
    <n v="4"/>
    <x v="5"/>
    <n v="0"/>
    <n v="0"/>
    <n v="3450"/>
    <n v="3582.2"/>
    <m/>
  </r>
  <r>
    <x v="9"/>
    <x v="0"/>
    <x v="10"/>
    <n v="2671"/>
    <n v="0"/>
    <s v="Water"/>
    <n v="1"/>
    <x v="4"/>
    <n v="0"/>
    <n v="0"/>
    <n v="0"/>
    <n v="0"/>
    <m/>
  </r>
  <r>
    <x v="9"/>
    <x v="0"/>
    <x v="10"/>
    <n v="2940"/>
    <n v="0"/>
    <s v="Water"/>
    <n v="1"/>
    <x v="6"/>
    <n v="0"/>
    <n v="0"/>
    <n v="0"/>
    <n v="0"/>
    <m/>
  </r>
  <r>
    <x v="9"/>
    <x v="0"/>
    <x v="10"/>
    <n v="2643"/>
    <n v="2"/>
    <s v="Water"/>
    <n v="1"/>
    <x v="6"/>
    <n v="0"/>
    <n v="0"/>
    <n v="0"/>
    <n v="0"/>
    <m/>
  </r>
  <r>
    <x v="9"/>
    <x v="0"/>
    <x v="10"/>
    <n v="2968"/>
    <n v="0"/>
    <s v="Water"/>
    <n v="3"/>
    <x v="4"/>
    <n v="0"/>
    <n v="0"/>
    <n v="0"/>
    <n v="0"/>
    <m/>
  </r>
  <r>
    <x v="9"/>
    <x v="0"/>
    <x v="10"/>
    <n v="2502"/>
    <n v="2"/>
    <s v="Water"/>
    <n v="2"/>
    <x v="4"/>
    <n v="0"/>
    <n v="0"/>
    <n v="0"/>
    <n v="0"/>
    <m/>
  </r>
  <r>
    <x v="9"/>
    <x v="0"/>
    <x v="10"/>
    <n v="2719"/>
    <n v="3"/>
    <s v="SD"/>
    <s v="Serpent"/>
    <x v="5"/>
    <n v="0"/>
    <n v="0"/>
    <n v="0"/>
    <n v="0"/>
    <m/>
  </r>
  <r>
    <x v="9"/>
    <x v="0"/>
    <x v="10"/>
    <n v="2733"/>
    <n v="1"/>
    <s v="Water"/>
    <n v="1"/>
    <x v="4"/>
    <n v="0"/>
    <n v="0"/>
    <n v="0"/>
    <n v="0"/>
    <m/>
  </r>
  <r>
    <x v="9"/>
    <x v="0"/>
    <x v="10"/>
    <n v="2917"/>
    <n v="1"/>
    <s v="Water"/>
    <n v="1"/>
    <x v="4"/>
    <n v="0"/>
    <n v="0"/>
    <n v="0"/>
    <n v="0"/>
    <m/>
  </r>
  <r>
    <x v="9"/>
    <x v="0"/>
    <x v="10"/>
    <n v="2662"/>
    <n v="0"/>
    <s v="Water"/>
    <n v="3"/>
    <x v="6"/>
    <n v="0"/>
    <n v="0"/>
    <n v="0"/>
    <n v="0"/>
    <m/>
  </r>
  <r>
    <x v="9"/>
    <x v="0"/>
    <x v="10"/>
    <n v="2980"/>
    <n v="1"/>
    <s v="Water"/>
    <n v="2"/>
    <x v="4"/>
    <n v="0"/>
    <n v="0"/>
    <n v="0"/>
    <n v="0"/>
    <m/>
  </r>
  <r>
    <x v="9"/>
    <x v="0"/>
    <x v="10"/>
    <n v="2778"/>
    <n v="0"/>
    <s v="Rainb"/>
    <n v="1"/>
    <x v="5"/>
    <n v="0"/>
    <n v="0"/>
    <n v="34500"/>
    <n v="118004"/>
    <m/>
  </r>
  <r>
    <x v="9"/>
    <x v="0"/>
    <x v="10"/>
    <n v="2383"/>
    <n v="0"/>
    <s v="Scroll"/>
    <n v="5"/>
    <x v="2"/>
    <n v="0"/>
    <n v="10000"/>
    <n v="0"/>
    <n v="4000"/>
    <m/>
  </r>
  <r>
    <x v="9"/>
    <x v="0"/>
    <x v="10"/>
    <n v="2705"/>
    <n v="1"/>
    <s v="Water"/>
    <n v="1"/>
    <x v="6"/>
    <n v="0"/>
    <n v="0"/>
    <n v="0"/>
    <n v="0"/>
    <m/>
  </r>
  <r>
    <x v="9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2"/>
    <x v="0"/>
    <x v="10"/>
    <n v="2838"/>
    <n v="0"/>
    <s v="Wind"/>
    <n v="4"/>
    <x v="3"/>
    <n v="0"/>
    <n v="0"/>
    <n v="0"/>
    <n v="0"/>
    <m/>
  </r>
  <r>
    <x v="12"/>
    <x v="0"/>
    <x v="10"/>
    <n v="2427"/>
    <n v="1"/>
    <s v="Candy"/>
    <n v="3"/>
    <x v="0"/>
    <n v="0"/>
    <n v="0"/>
    <n v="0"/>
    <n v="0"/>
    <m/>
  </r>
  <r>
    <x v="12"/>
    <x v="0"/>
    <x v="10"/>
    <n v="3047"/>
    <n v="2"/>
    <s v="Wind"/>
    <n v="1"/>
    <x v="4"/>
    <n v="0"/>
    <n v="0"/>
    <n v="0"/>
    <n v="0"/>
    <m/>
  </r>
  <r>
    <x v="12"/>
    <x v="0"/>
    <x v="10"/>
    <n v="2866"/>
    <n v="1"/>
    <s v="Angelmon"/>
    <n v="1"/>
    <x v="2"/>
    <n v="0"/>
    <n v="0"/>
    <n v="0"/>
    <n v="0"/>
    <m/>
  </r>
  <r>
    <x v="12"/>
    <x v="0"/>
    <x v="10"/>
    <n v="2763"/>
    <n v="0"/>
    <s v="Candy"/>
    <n v="2"/>
    <x v="0"/>
    <n v="0"/>
    <n v="0"/>
    <n v="0"/>
    <n v="0"/>
    <m/>
  </r>
  <r>
    <x v="12"/>
    <x v="0"/>
    <x v="10"/>
    <n v="3056"/>
    <n v="1"/>
    <s v="Candy"/>
    <n v="1"/>
    <x v="0"/>
    <n v="0"/>
    <n v="0"/>
    <n v="0"/>
    <n v="0"/>
    <m/>
  </r>
  <r>
    <x v="12"/>
    <x v="0"/>
    <x v="10"/>
    <n v="2719"/>
    <n v="0"/>
    <s v="Wind"/>
    <n v="5"/>
    <x v="3"/>
    <n v="0"/>
    <n v="0"/>
    <n v="0"/>
    <n v="0"/>
    <m/>
  </r>
  <r>
    <x v="12"/>
    <x v="0"/>
    <x v="10"/>
    <n v="2911"/>
    <n v="1"/>
    <s v="Wind"/>
    <n v="5"/>
    <x v="3"/>
    <n v="0"/>
    <n v="0"/>
    <n v="0"/>
    <n v="0"/>
    <m/>
  </r>
  <r>
    <x v="12"/>
    <x v="0"/>
    <x v="10"/>
    <n v="2858"/>
    <n v="0"/>
    <s v="Wind"/>
    <n v="1"/>
    <x v="4"/>
    <n v="0"/>
    <n v="0"/>
    <n v="0"/>
    <n v="0"/>
    <m/>
  </r>
  <r>
    <x v="12"/>
    <x v="0"/>
    <x v="10"/>
    <n v="2965"/>
    <n v="1"/>
    <s v="Wind"/>
    <n v="3"/>
    <x v="4"/>
    <n v="0"/>
    <n v="0"/>
    <n v="0"/>
    <n v="0"/>
    <m/>
  </r>
  <r>
    <x v="12"/>
    <x v="0"/>
    <x v="10"/>
    <n v="3486"/>
    <n v="1"/>
    <s v="Angelmon"/>
    <n v="1"/>
    <x v="2"/>
    <n v="0"/>
    <n v="0"/>
    <n v="0"/>
    <n v="0"/>
    <m/>
  </r>
  <r>
    <x v="12"/>
    <x v="0"/>
    <x v="10"/>
    <n v="2992"/>
    <n v="0"/>
    <s v="Rainb"/>
    <n v="1"/>
    <x v="5"/>
    <n v="0"/>
    <n v="0"/>
    <n v="34500"/>
    <n v="118004"/>
    <m/>
  </r>
  <r>
    <x v="12"/>
    <x v="0"/>
    <x v="10"/>
    <n v="2961"/>
    <n v="1"/>
    <s v="Scroll"/>
    <n v="5"/>
    <x v="2"/>
    <n v="0"/>
    <n v="10000"/>
    <n v="0"/>
    <n v="4000"/>
    <m/>
  </r>
  <r>
    <x v="12"/>
    <x v="0"/>
    <x v="10"/>
    <n v="2744"/>
    <n v="1"/>
    <s v="Wind"/>
    <n v="1"/>
    <x v="6"/>
    <n v="0"/>
    <n v="0"/>
    <n v="0"/>
    <n v="0"/>
    <m/>
  </r>
  <r>
    <x v="12"/>
    <x v="0"/>
    <x v="10"/>
    <n v="2564"/>
    <n v="0"/>
    <s v="Wind"/>
    <n v="5"/>
    <x v="3"/>
    <n v="0"/>
    <n v="0"/>
    <n v="0"/>
    <n v="0"/>
    <m/>
  </r>
  <r>
    <x v="12"/>
    <x v="0"/>
    <x v="10"/>
    <n v="2876"/>
    <n v="2"/>
    <s v="Rainb"/>
    <n v="1"/>
    <x v="5"/>
    <n v="0"/>
    <n v="0"/>
    <n v="34500"/>
    <n v="118004"/>
    <m/>
  </r>
  <r>
    <x v="12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2"/>
    <x v="0"/>
    <x v="10"/>
    <n v="3032"/>
    <n v="0"/>
    <s v="Wind"/>
    <n v="5"/>
    <x v="3"/>
    <n v="0"/>
    <n v="0"/>
    <n v="0"/>
    <n v="0"/>
    <m/>
  </r>
  <r>
    <x v="12"/>
    <x v="0"/>
    <x v="10"/>
    <n v="2865"/>
    <n v="1"/>
    <s v="Rainb"/>
    <n v="1"/>
    <x v="5"/>
    <n v="0"/>
    <n v="0"/>
    <n v="34500"/>
    <n v="118004"/>
    <m/>
  </r>
  <r>
    <x v="12"/>
    <x v="0"/>
    <x v="10"/>
    <n v="2891"/>
    <n v="2"/>
    <s v="Wind"/>
    <n v="1"/>
    <x v="4"/>
    <n v="0"/>
    <n v="0"/>
    <n v="0"/>
    <n v="0"/>
    <m/>
  </r>
  <r>
    <x v="12"/>
    <x v="0"/>
    <x v="10"/>
    <n v="2799"/>
    <n v="0"/>
    <s v="Wind"/>
    <n v="2"/>
    <x v="4"/>
    <n v="0"/>
    <n v="0"/>
    <n v="0"/>
    <n v="0"/>
    <m/>
  </r>
  <r>
    <x v="12"/>
    <x v="0"/>
    <x v="10"/>
    <n v="3197"/>
    <n v="1"/>
    <s v="Wind"/>
    <n v="2"/>
    <x v="4"/>
    <n v="0"/>
    <n v="0"/>
    <n v="0"/>
    <n v="0"/>
    <m/>
  </r>
  <r>
    <x v="12"/>
    <x v="0"/>
    <x v="10"/>
    <n v="3013"/>
    <n v="0"/>
    <s v="Wind"/>
    <n v="4"/>
    <x v="3"/>
    <n v="0"/>
    <n v="0"/>
    <n v="0"/>
    <n v="0"/>
    <m/>
  </r>
  <r>
    <x v="12"/>
    <x v="0"/>
    <x v="10"/>
    <n v="3393"/>
    <n v="1"/>
    <s v="Wind"/>
    <n v="4"/>
    <x v="3"/>
    <n v="0"/>
    <n v="0"/>
    <n v="0"/>
    <n v="0"/>
    <m/>
  </r>
  <r>
    <x v="12"/>
    <x v="0"/>
    <x v="10"/>
    <n v="3290"/>
    <n v="0"/>
    <s v="MystScroll"/>
    <n v="1"/>
    <x v="2"/>
    <n v="0"/>
    <n v="120000"/>
    <n v="0"/>
    <n v="0"/>
    <m/>
  </r>
  <r>
    <x v="13"/>
    <x v="2"/>
    <x v="3"/>
    <n v="1311"/>
    <n v="0"/>
    <m/>
    <m/>
    <x v="0"/>
    <n v="1236"/>
    <n v="1236"/>
    <n v="0"/>
    <n v="0"/>
    <m/>
  </r>
  <r>
    <x v="12"/>
    <x v="0"/>
    <x v="10"/>
    <n v="2551"/>
    <n v="1"/>
    <s v="SD"/>
    <s v="Yeti"/>
    <x v="1"/>
    <n v="0"/>
    <n v="0"/>
    <n v="0"/>
    <n v="0"/>
    <m/>
  </r>
  <r>
    <x v="12"/>
    <x v="0"/>
    <x v="10"/>
    <n v="2856"/>
    <n v="0"/>
    <s v="Wind"/>
    <n v="1"/>
    <x v="6"/>
    <n v="0"/>
    <n v="0"/>
    <n v="0"/>
    <n v="0"/>
    <m/>
  </r>
  <r>
    <x v="12"/>
    <x v="0"/>
    <x v="10"/>
    <n v="2488"/>
    <n v="1"/>
    <s v="Wind"/>
    <n v="3"/>
    <x v="4"/>
    <n v="0"/>
    <n v="0"/>
    <n v="0"/>
    <n v="0"/>
    <m/>
  </r>
  <r>
    <x v="12"/>
    <x v="0"/>
    <x v="10"/>
    <n v="2583"/>
    <n v="0"/>
    <s v="Wind"/>
    <n v="5"/>
    <x v="3"/>
    <n v="0"/>
    <n v="0"/>
    <n v="0"/>
    <n v="0"/>
    <m/>
  </r>
  <r>
    <x v="12"/>
    <x v="0"/>
    <x v="10"/>
    <n v="2394"/>
    <n v="0"/>
    <s v="Wind"/>
    <n v="4"/>
    <x v="3"/>
    <n v="0"/>
    <n v="0"/>
    <n v="0"/>
    <n v="0"/>
    <m/>
  </r>
  <r>
    <x v="12"/>
    <x v="0"/>
    <x v="10"/>
    <n v="2703"/>
    <n v="0"/>
    <s v="Wind"/>
    <n v="1"/>
    <x v="6"/>
    <n v="0"/>
    <n v="0"/>
    <n v="0"/>
    <n v="0"/>
    <m/>
  </r>
  <r>
    <x v="12"/>
    <x v="0"/>
    <x v="10"/>
    <n v="2880"/>
    <n v="1"/>
    <s v="Wind"/>
    <n v="4"/>
    <x v="3"/>
    <n v="0"/>
    <n v="0"/>
    <n v="0"/>
    <n v="0"/>
    <m/>
  </r>
  <r>
    <x v="12"/>
    <x v="0"/>
    <x v="10"/>
    <n v="2802"/>
    <n v="0"/>
    <s v="Wind"/>
    <n v="3"/>
    <x v="4"/>
    <n v="0"/>
    <n v="0"/>
    <n v="0"/>
    <n v="0"/>
    <m/>
  </r>
  <r>
    <x v="12"/>
    <x v="0"/>
    <x v="10"/>
    <n v="2784"/>
    <n v="2"/>
    <s v="Candy"/>
    <n v="2"/>
    <x v="0"/>
    <n v="0"/>
    <n v="0"/>
    <n v="0"/>
    <n v="0"/>
    <m/>
  </r>
  <r>
    <x v="12"/>
    <x v="0"/>
    <x v="10"/>
    <n v="2856"/>
    <n v="0"/>
    <s v="Wind"/>
    <n v="3"/>
    <x v="4"/>
    <n v="0"/>
    <n v="0"/>
    <n v="0"/>
    <n v="0"/>
    <m/>
  </r>
  <r>
    <x v="12"/>
    <x v="0"/>
    <x v="10"/>
    <n v="3481"/>
    <n v="0"/>
    <s v="Wind"/>
    <n v="4"/>
    <x v="3"/>
    <n v="0"/>
    <n v="0"/>
    <n v="0"/>
    <n v="0"/>
    <m/>
  </r>
  <r>
    <x v="12"/>
    <x v="0"/>
    <x v="10"/>
    <n v="2701"/>
    <n v="0"/>
    <s v="Rainb"/>
    <s v="2*"/>
    <x v="0"/>
    <n v="0"/>
    <n v="0"/>
    <n v="0"/>
    <n v="0"/>
    <m/>
  </r>
  <r>
    <x v="12"/>
    <x v="0"/>
    <x v="10"/>
    <n v="2809"/>
    <n v="1"/>
    <s v="Angelmon"/>
    <s v="1*"/>
    <x v="0"/>
    <n v="0"/>
    <n v="0"/>
    <n v="0"/>
    <n v="0"/>
    <m/>
  </r>
  <r>
    <x v="12"/>
    <x v="0"/>
    <x v="10"/>
    <n v="2999"/>
    <n v="0"/>
    <s v="Wind"/>
    <n v="5"/>
    <x v="3"/>
    <n v="0"/>
    <n v="0"/>
    <n v="0"/>
    <n v="0"/>
    <m/>
  </r>
  <r>
    <x v="12"/>
    <x v="0"/>
    <x v="10"/>
    <n v="2639"/>
    <n v="1"/>
    <s v="Wind"/>
    <n v="2"/>
    <x v="4"/>
    <n v="0"/>
    <n v="0"/>
    <n v="0"/>
    <n v="0"/>
    <m/>
  </r>
  <r>
    <x v="12"/>
    <x v="0"/>
    <x v="10"/>
    <n v="2853"/>
    <n v="0"/>
    <s v="Wind"/>
    <n v="2"/>
    <x v="6"/>
    <n v="0"/>
    <n v="0"/>
    <n v="0"/>
    <n v="0"/>
    <m/>
  </r>
  <r>
    <x v="12"/>
    <x v="0"/>
    <x v="10"/>
    <n v="3206"/>
    <n v="1"/>
    <s v="Wind"/>
    <n v="4"/>
    <x v="3"/>
    <n v="0"/>
    <n v="0"/>
    <n v="0"/>
    <n v="0"/>
    <m/>
  </r>
  <r>
    <x v="12"/>
    <x v="0"/>
    <x v="10"/>
    <n v="3218"/>
    <n v="0"/>
    <s v="Wind"/>
    <n v="3"/>
    <x v="4"/>
    <n v="0"/>
    <n v="0"/>
    <n v="0"/>
    <n v="0"/>
    <m/>
  </r>
  <r>
    <x v="12"/>
    <x v="0"/>
    <x v="10"/>
    <n v="2853"/>
    <n v="2"/>
    <s v="Wind"/>
    <n v="3"/>
    <x v="6"/>
    <n v="0"/>
    <n v="0"/>
    <n v="0"/>
    <n v="0"/>
    <m/>
  </r>
  <r>
    <x v="12"/>
    <x v="0"/>
    <x v="10"/>
    <n v="2921"/>
    <n v="0"/>
    <s v="Wind"/>
    <n v="1"/>
    <x v="6"/>
    <n v="0"/>
    <n v="0"/>
    <n v="0"/>
    <n v="0"/>
    <m/>
  </r>
  <r>
    <x v="12"/>
    <x v="0"/>
    <x v="10"/>
    <n v="2840"/>
    <n v="0"/>
    <s v="Angelmon"/>
    <s v="1*"/>
    <x v="0"/>
    <n v="0"/>
    <n v="0"/>
    <n v="0"/>
    <n v="0"/>
    <m/>
  </r>
  <r>
    <x v="12"/>
    <x v="0"/>
    <x v="10"/>
    <n v="3444"/>
    <n v="0"/>
    <s v="Candy"/>
    <n v="1"/>
    <x v="0"/>
    <n v="0"/>
    <n v="0"/>
    <n v="0"/>
    <n v="0"/>
    <m/>
  </r>
  <r>
    <x v="12"/>
    <x v="0"/>
    <x v="10"/>
    <n v="2844"/>
    <n v="0"/>
    <s v="Wind"/>
    <n v="2"/>
    <x v="4"/>
    <n v="0"/>
    <n v="0"/>
    <n v="0"/>
    <n v="0"/>
    <m/>
  </r>
  <r>
    <x v="12"/>
    <x v="0"/>
    <x v="10"/>
    <n v="2720"/>
    <n v="0"/>
    <s v="Wind"/>
    <n v="4"/>
    <x v="3"/>
    <n v="0"/>
    <n v="0"/>
    <n v="0"/>
    <n v="0"/>
    <m/>
  </r>
  <r>
    <x v="12"/>
    <x v="0"/>
    <x v="10"/>
    <n v="2990"/>
    <n v="1"/>
    <s v="Wind"/>
    <n v="4"/>
    <x v="3"/>
    <n v="0"/>
    <n v="0"/>
    <n v="0"/>
    <n v="0"/>
    <m/>
  </r>
  <r>
    <x v="12"/>
    <x v="0"/>
    <x v="10"/>
    <n v="2846"/>
    <n v="4"/>
    <s v="Wind"/>
    <n v="1"/>
    <x v="4"/>
    <n v="0"/>
    <n v="0"/>
    <n v="0"/>
    <n v="0"/>
    <m/>
  </r>
  <r>
    <x v="12"/>
    <x v="0"/>
    <x v="10"/>
    <n v="2740"/>
    <n v="1"/>
    <s v="Candy"/>
    <n v="1"/>
    <x v="0"/>
    <n v="0"/>
    <n v="0"/>
    <n v="0"/>
    <n v="0"/>
    <m/>
  </r>
  <r>
    <x v="12"/>
    <x v="0"/>
    <x v="10"/>
    <n v="2619"/>
    <n v="2"/>
    <s v="Wind"/>
    <n v="1"/>
    <x v="4"/>
    <n v="0"/>
    <n v="0"/>
    <n v="0"/>
    <n v="0"/>
    <m/>
  </r>
  <r>
    <x v="12"/>
    <x v="0"/>
    <x v="10"/>
    <n v="3000"/>
    <n v="1"/>
    <s v="Wind"/>
    <n v="2"/>
    <x v="4"/>
    <n v="0"/>
    <n v="0"/>
    <n v="0"/>
    <n v="0"/>
    <m/>
  </r>
  <r>
    <x v="12"/>
    <x v="0"/>
    <x v="10"/>
    <n v="2846"/>
    <n v="3"/>
    <s v="Wind"/>
    <n v="4"/>
    <x v="3"/>
    <n v="0"/>
    <n v="0"/>
    <n v="0"/>
    <n v="0"/>
    <m/>
  </r>
  <r>
    <x v="12"/>
    <x v="0"/>
    <x v="10"/>
    <n v="2824"/>
    <n v="2"/>
    <s v="Candy"/>
    <n v="3"/>
    <x v="0"/>
    <n v="0"/>
    <n v="0"/>
    <n v="0"/>
    <n v="0"/>
    <m/>
  </r>
  <r>
    <x v="12"/>
    <x v="0"/>
    <x v="10"/>
    <n v="3201"/>
    <n v="0"/>
    <s v="Wind"/>
    <n v="5"/>
    <x v="3"/>
    <n v="0"/>
    <n v="0"/>
    <n v="0"/>
    <n v="0"/>
    <m/>
  </r>
  <r>
    <x v="12"/>
    <x v="0"/>
    <x v="10"/>
    <n v="2638"/>
    <n v="0"/>
    <s v="Wind"/>
    <n v="3"/>
    <x v="3"/>
    <n v="0"/>
    <n v="0"/>
    <n v="0"/>
    <n v="0"/>
    <m/>
  </r>
  <r>
    <x v="12"/>
    <x v="0"/>
    <x v="10"/>
    <n v="2887"/>
    <n v="1"/>
    <s v="Scroll"/>
    <n v="4"/>
    <x v="2"/>
    <n v="0"/>
    <n v="8000"/>
    <n v="0"/>
    <n v="3200"/>
    <m/>
  </r>
  <r>
    <x v="12"/>
    <x v="0"/>
    <x v="10"/>
    <n v="2399"/>
    <n v="0"/>
    <s v="Wind"/>
    <n v="3"/>
    <x v="6"/>
    <n v="0"/>
    <n v="0"/>
    <n v="0"/>
    <n v="0"/>
    <m/>
  </r>
  <r>
    <x v="12"/>
    <x v="0"/>
    <x v="10"/>
    <n v="3055"/>
    <n v="1"/>
    <s v="Wind"/>
    <n v="1"/>
    <x v="4"/>
    <n v="0"/>
    <n v="0"/>
    <n v="0"/>
    <n v="0"/>
    <m/>
  </r>
  <r>
    <x v="12"/>
    <x v="0"/>
    <x v="10"/>
    <n v="2841"/>
    <n v="0"/>
    <s v="Wind"/>
    <n v="5"/>
    <x v="3"/>
    <n v="0"/>
    <n v="0"/>
    <n v="0"/>
    <n v="0"/>
    <m/>
  </r>
  <r>
    <x v="12"/>
    <x v="0"/>
    <x v="10"/>
    <n v="2937"/>
    <n v="0"/>
    <s v="SD"/>
    <s v="2*"/>
    <x v="0"/>
    <n v="0"/>
    <n v="0"/>
    <n v="0"/>
    <n v="0"/>
    <m/>
  </r>
  <r>
    <x v="12"/>
    <x v="0"/>
    <x v="10"/>
    <n v="2426"/>
    <n v="0"/>
    <s v="Wind"/>
    <n v="1"/>
    <x v="6"/>
    <n v="0"/>
    <n v="0"/>
    <n v="0"/>
    <n v="0"/>
    <m/>
  </r>
  <r>
    <x v="12"/>
    <x v="0"/>
    <x v="10"/>
    <n v="2552"/>
    <n v="1"/>
    <s v="Wind"/>
    <n v="3"/>
    <x v="4"/>
    <n v="0"/>
    <n v="0"/>
    <n v="0"/>
    <n v="0"/>
    <m/>
  </r>
  <r>
    <x v="12"/>
    <x v="0"/>
    <x v="10"/>
    <n v="2771"/>
    <n v="2"/>
    <s v="Wind"/>
    <n v="1"/>
    <x v="4"/>
    <n v="0"/>
    <n v="0"/>
    <n v="0"/>
    <n v="0"/>
    <m/>
  </r>
  <r>
    <x v="12"/>
    <x v="0"/>
    <x v="10"/>
    <n v="2652"/>
    <n v="2"/>
    <s v="Wind"/>
    <n v="4"/>
    <x v="3"/>
    <n v="0"/>
    <n v="0"/>
    <n v="0"/>
    <n v="0"/>
    <m/>
  </r>
  <r>
    <x v="12"/>
    <x v="0"/>
    <x v="10"/>
    <n v="2708"/>
    <n v="0"/>
    <s v="Wind"/>
    <n v="1"/>
    <x v="6"/>
    <n v="0"/>
    <n v="0"/>
    <n v="0"/>
    <n v="0"/>
    <m/>
  </r>
  <r>
    <x v="12"/>
    <x v="0"/>
    <x v="10"/>
    <n v="2684"/>
    <n v="1"/>
    <s v="Wind"/>
    <n v="1"/>
    <x v="6"/>
    <n v="0"/>
    <n v="0"/>
    <n v="0"/>
    <n v="0"/>
    <m/>
  </r>
  <r>
    <x v="12"/>
    <x v="0"/>
    <x v="10"/>
    <n v="3108"/>
    <n v="3"/>
    <s v="Wind"/>
    <n v="4"/>
    <x v="3"/>
    <n v="0"/>
    <n v="0"/>
    <n v="0"/>
    <n v="0"/>
    <m/>
  </r>
  <r>
    <x v="12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3"/>
    <x v="2"/>
    <x v="3"/>
    <n v="2208"/>
    <n v="2"/>
    <m/>
    <m/>
    <x v="0"/>
    <n v="1236"/>
    <n v="1236"/>
    <n v="0"/>
    <n v="0"/>
    <m/>
  </r>
  <r>
    <x v="13"/>
    <x v="2"/>
    <x v="3"/>
    <n v="2585"/>
    <n v="2"/>
    <m/>
    <m/>
    <x v="0"/>
    <n v="2205"/>
    <n v="2205"/>
    <n v="0"/>
    <n v="0"/>
    <m/>
  </r>
  <r>
    <x v="13"/>
    <x v="2"/>
    <x v="3"/>
    <n v="2501"/>
    <n v="0"/>
    <m/>
    <m/>
    <x v="0"/>
    <n v="1236"/>
    <n v="1236"/>
    <n v="0"/>
    <n v="0"/>
    <m/>
  </r>
  <r>
    <x v="13"/>
    <x v="2"/>
    <x v="3"/>
    <n v="1564"/>
    <n v="1"/>
    <m/>
    <m/>
    <x v="0"/>
    <n v="1236"/>
    <n v="1236"/>
    <n v="0"/>
    <n v="0"/>
    <m/>
  </r>
  <r>
    <x v="13"/>
    <x v="2"/>
    <x v="3"/>
    <n v="1352"/>
    <n v="0"/>
    <m/>
    <m/>
    <x v="0"/>
    <n v="2205"/>
    <n v="2205"/>
    <n v="0"/>
    <n v="0"/>
    <m/>
  </r>
  <r>
    <x v="13"/>
    <x v="2"/>
    <x v="3"/>
    <n v="828"/>
    <n v="0"/>
    <m/>
    <m/>
    <x v="0"/>
    <n v="1236"/>
    <n v="1236"/>
    <n v="0"/>
    <n v="0"/>
    <m/>
  </r>
  <r>
    <x v="13"/>
    <x v="2"/>
    <x v="3"/>
    <n v="1020"/>
    <n v="1"/>
    <s v="Candy"/>
    <n v="2"/>
    <x v="0"/>
    <n v="0"/>
    <n v="0"/>
    <n v="0"/>
    <n v="0"/>
    <m/>
  </r>
  <r>
    <x v="13"/>
    <x v="2"/>
    <x v="3"/>
    <n v="1937"/>
    <n v="1"/>
    <s v="Candy"/>
    <n v="3"/>
    <x v="0"/>
    <n v="0"/>
    <n v="0"/>
    <n v="0"/>
    <n v="0"/>
    <m/>
  </r>
  <r>
    <x v="13"/>
    <x v="2"/>
    <x v="3"/>
    <n v="2126"/>
    <n v="1"/>
    <m/>
    <m/>
    <x v="0"/>
    <n v="1443"/>
    <n v="1443"/>
    <n v="0"/>
    <n v="0"/>
    <m/>
  </r>
  <r>
    <x v="13"/>
    <x v="2"/>
    <x v="3"/>
    <n v="1860"/>
    <n v="1"/>
    <m/>
    <m/>
    <x v="0"/>
    <n v="1236"/>
    <n v="1236"/>
    <n v="0"/>
    <n v="0"/>
    <m/>
  </r>
  <r>
    <x v="13"/>
    <x v="2"/>
    <x v="3"/>
    <n v="1824"/>
    <n v="1"/>
    <m/>
    <m/>
    <x v="0"/>
    <n v="1236"/>
    <n v="1236"/>
    <n v="0"/>
    <n v="0"/>
    <m/>
  </r>
  <r>
    <x v="13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4"/>
    <x v="1"/>
    <x v="0"/>
    <n v="1544"/>
    <n v="0"/>
    <m/>
    <m/>
    <x v="0"/>
    <n v="1824"/>
    <n v="1824"/>
    <n v="0"/>
    <n v="0"/>
    <m/>
  </r>
  <r>
    <x v="14"/>
    <x v="1"/>
    <x v="0"/>
    <n v="1180"/>
    <n v="0"/>
    <m/>
    <m/>
    <x v="0"/>
    <n v="1976"/>
    <n v="1976"/>
    <n v="0"/>
    <n v="0"/>
    <m/>
  </r>
  <r>
    <x v="14"/>
    <x v="1"/>
    <x v="0"/>
    <n v="1734"/>
    <n v="4"/>
    <m/>
    <m/>
    <x v="0"/>
    <n v="1824"/>
    <n v="1824"/>
    <n v="0"/>
    <n v="0"/>
    <m/>
  </r>
  <r>
    <x v="14"/>
    <x v="1"/>
    <x v="0"/>
    <n v="1594"/>
    <n v="0"/>
    <m/>
    <m/>
    <x v="0"/>
    <n v="2128"/>
    <n v="2128"/>
    <n v="0"/>
    <n v="0"/>
    <m/>
  </r>
  <r>
    <x v="14"/>
    <x v="1"/>
    <x v="0"/>
    <n v="1672"/>
    <n v="0"/>
    <m/>
    <m/>
    <x v="0"/>
    <n v="1824"/>
    <n v="1824"/>
    <n v="0"/>
    <n v="0"/>
    <m/>
  </r>
  <r>
    <x v="14"/>
    <x v="1"/>
    <x v="0"/>
    <n v="1879"/>
    <n v="1"/>
    <m/>
    <m/>
    <x v="0"/>
    <n v="1824"/>
    <n v="1824"/>
    <n v="0"/>
    <n v="0"/>
    <m/>
  </r>
  <r>
    <x v="14"/>
    <x v="1"/>
    <x v="0"/>
    <n v="1455"/>
    <n v="1"/>
    <m/>
    <m/>
    <x v="0"/>
    <n v="2280"/>
    <n v="2280"/>
    <n v="0"/>
    <n v="0"/>
    <m/>
  </r>
  <r>
    <x v="14"/>
    <x v="1"/>
    <x v="0"/>
    <n v="1898"/>
    <n v="1"/>
    <m/>
    <m/>
    <x v="0"/>
    <n v="1824"/>
    <n v="1824"/>
    <n v="0"/>
    <n v="0"/>
    <m/>
  </r>
  <r>
    <x v="13"/>
    <x v="2"/>
    <x v="3"/>
    <n v="1959"/>
    <n v="1"/>
    <m/>
    <m/>
    <x v="0"/>
    <n v="2205"/>
    <n v="2205"/>
    <n v="0"/>
    <n v="0"/>
    <m/>
  </r>
  <r>
    <x v="13"/>
    <x v="2"/>
    <x v="3"/>
    <n v="1626"/>
    <n v="0"/>
    <m/>
    <m/>
    <x v="0"/>
    <n v="1236"/>
    <n v="1236"/>
    <n v="0"/>
    <n v="0"/>
    <m/>
  </r>
  <r>
    <x v="13"/>
    <x v="2"/>
    <x v="3"/>
    <n v="2155"/>
    <n v="0"/>
    <m/>
    <m/>
    <x v="0"/>
    <n v="1236"/>
    <n v="1236"/>
    <n v="0"/>
    <n v="0"/>
    <m/>
  </r>
  <r>
    <x v="13"/>
    <x v="2"/>
    <x v="3"/>
    <n v="1844"/>
    <n v="1"/>
    <m/>
    <m/>
    <x v="0"/>
    <n v="2205"/>
    <n v="2205"/>
    <n v="0"/>
    <n v="0"/>
    <m/>
  </r>
  <r>
    <x v="13"/>
    <x v="2"/>
    <x v="3"/>
    <n v="645"/>
    <n v="2"/>
    <s v="Scroll"/>
    <n v="3"/>
    <x v="0"/>
    <n v="0"/>
    <n v="0"/>
    <n v="0"/>
    <n v="0"/>
    <m/>
  </r>
  <r>
    <x v="13"/>
    <x v="2"/>
    <x v="3"/>
    <n v="623"/>
    <n v="1"/>
    <m/>
    <m/>
    <x v="0"/>
    <n v="2205"/>
    <n v="2205"/>
    <n v="0"/>
    <n v="0"/>
    <m/>
  </r>
  <r>
    <x v="13"/>
    <x v="2"/>
    <x v="3"/>
    <n v="1484"/>
    <n v="2"/>
    <m/>
    <m/>
    <x v="0"/>
    <n v="2205"/>
    <n v="2205"/>
    <n v="0"/>
    <n v="0"/>
    <m/>
  </r>
  <r>
    <x v="13"/>
    <x v="2"/>
    <x v="3"/>
    <n v="1281"/>
    <n v="0"/>
    <m/>
    <m/>
    <x v="0"/>
    <n v="2572"/>
    <n v="2572"/>
    <n v="0"/>
    <n v="0"/>
    <m/>
  </r>
  <r>
    <x v="13"/>
    <x v="2"/>
    <x v="3"/>
    <n v="839"/>
    <n v="1"/>
    <m/>
    <m/>
    <x v="0"/>
    <n v="2940"/>
    <n v="2940"/>
    <n v="0"/>
    <n v="0"/>
    <m/>
  </r>
  <r>
    <x v="13"/>
    <x v="2"/>
    <x v="3"/>
    <n v="1785"/>
    <n v="2"/>
    <m/>
    <m/>
    <x v="0"/>
    <n v="1824"/>
    <n v="1824"/>
    <n v="0"/>
    <n v="0"/>
    <m/>
  </r>
  <r>
    <x v="13"/>
    <x v="2"/>
    <x v="3"/>
    <n v="1214"/>
    <n v="0"/>
    <m/>
    <m/>
    <x v="0"/>
    <n v="1236"/>
    <n v="1236"/>
    <n v="0"/>
    <n v="0"/>
    <m/>
  </r>
  <r>
    <x v="13"/>
    <x v="2"/>
    <x v="3"/>
    <n v="1200"/>
    <n v="0"/>
    <m/>
    <m/>
    <x v="0"/>
    <n v="1236"/>
    <n v="1236"/>
    <n v="0"/>
    <n v="0"/>
    <m/>
  </r>
  <r>
    <x v="13"/>
    <x v="2"/>
    <x v="3"/>
    <n v="1357"/>
    <n v="2"/>
    <s v="Fod"/>
    <n v="1"/>
    <x v="2"/>
    <n v="0"/>
    <n v="0"/>
    <n v="0"/>
    <n v="0"/>
    <m/>
  </r>
  <r>
    <x v="13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8"/>
    <x v="0"/>
    <x v="10"/>
    <n v="0"/>
    <n v="0"/>
    <s v="null"/>
    <n v="0"/>
    <x v="10"/>
    <n v="0"/>
    <n v="0"/>
    <n v="0"/>
    <n v="0"/>
    <s v="Y"/>
  </r>
  <r>
    <x v="8"/>
    <x v="0"/>
    <x v="10"/>
    <n v="3980"/>
    <n v="0"/>
    <s v="Violet"/>
    <n v="1"/>
    <x v="8"/>
    <n v="8160"/>
    <n v="8160"/>
    <n v="0"/>
    <n v="0"/>
    <m/>
  </r>
  <r>
    <x v="8"/>
    <x v="0"/>
    <x v="10"/>
    <n v="4393"/>
    <n v="0"/>
    <s v="Blue"/>
    <n v="1"/>
    <x v="8"/>
    <n v="10200"/>
    <n v="10200"/>
    <n v="0"/>
    <n v="0"/>
    <m/>
  </r>
  <r>
    <x v="8"/>
    <x v="0"/>
    <x v="10"/>
    <n v="4309"/>
    <n v="1"/>
    <s v="Blue"/>
    <n v="1"/>
    <x v="8"/>
    <n v="7650"/>
    <n v="7650"/>
    <n v="0"/>
    <n v="0"/>
    <m/>
  </r>
  <r>
    <x v="8"/>
    <x v="0"/>
    <x v="10"/>
    <n v="4290"/>
    <n v="1"/>
    <s v="Scroll"/>
    <n v="5"/>
    <x v="2"/>
    <n v="0"/>
    <n v="10000"/>
    <n v="0"/>
    <n v="4000"/>
    <m/>
  </r>
  <r>
    <x v="8"/>
    <x v="0"/>
    <x v="10"/>
    <n v="0"/>
    <n v="0"/>
    <s v="null"/>
    <n v="0"/>
    <x v="10"/>
    <n v="0"/>
    <n v="0"/>
    <n v="0"/>
    <n v="0"/>
    <s v="Y"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8"/>
    <x v="0"/>
    <x v="6"/>
    <n v="3713"/>
    <n v="1"/>
    <s v="Blue"/>
    <n v="1"/>
    <x v="7"/>
    <n v="7350"/>
    <n v="7350"/>
    <n v="0"/>
    <n v="0"/>
    <m/>
  </r>
  <r>
    <x v="8"/>
    <x v="0"/>
    <x v="6"/>
    <n v="3997"/>
    <n v="1"/>
    <s v="Blue"/>
    <n v="1"/>
    <x v="7"/>
    <n v="3445"/>
    <n v="3445"/>
    <n v="0"/>
    <n v="0"/>
    <m/>
  </r>
  <r>
    <x v="8"/>
    <x v="0"/>
    <x v="6"/>
    <n v="3898"/>
    <n v="0"/>
    <s v="Blue"/>
    <n v="1"/>
    <x v="7"/>
    <n v="3491"/>
    <n v="3491"/>
    <n v="0"/>
    <n v="0"/>
    <m/>
  </r>
  <r>
    <x v="8"/>
    <x v="0"/>
    <x v="7"/>
    <n v="3967"/>
    <n v="1"/>
    <s v="Scroll"/>
    <n v="4"/>
    <x v="2"/>
    <n v="0"/>
    <n v="8000"/>
    <n v="0"/>
    <n v="3200"/>
    <m/>
  </r>
  <r>
    <x v="8"/>
    <x v="0"/>
    <x v="7"/>
    <n v="3757"/>
    <n v="0"/>
    <s v="Blue"/>
    <n v="1"/>
    <x v="7"/>
    <n v="2940"/>
    <n v="2940"/>
    <n v="0"/>
    <n v="0"/>
    <m/>
  </r>
  <r>
    <x v="8"/>
    <x v="0"/>
    <x v="7"/>
    <n v="3610"/>
    <n v="2"/>
    <s v="Scroll"/>
    <n v="5"/>
    <x v="2"/>
    <m/>
    <n v="10000"/>
    <n v="0"/>
    <n v="4000"/>
    <m/>
  </r>
  <r>
    <x v="8"/>
    <x v="0"/>
    <x v="7"/>
    <n v="4254"/>
    <n v="0"/>
    <s v="Rainb"/>
    <n v="1"/>
    <x v="1"/>
    <n v="0"/>
    <n v="0"/>
    <n v="11500"/>
    <n v="35822"/>
    <m/>
  </r>
  <r>
    <x v="8"/>
    <x v="0"/>
    <x v="7"/>
    <n v="3927"/>
    <n v="1"/>
    <s v="Orange"/>
    <n v="1"/>
    <x v="8"/>
    <n v="16150"/>
    <n v="16150"/>
    <n v="0"/>
    <n v="0"/>
    <m/>
  </r>
  <r>
    <x v="8"/>
    <x v="0"/>
    <x v="7"/>
    <n v="3878"/>
    <n v="0"/>
    <s v="Blue"/>
    <n v="1"/>
    <x v="8"/>
    <n v="7225"/>
    <n v="7225"/>
    <n v="0"/>
    <n v="0"/>
    <m/>
  </r>
  <r>
    <x v="8"/>
    <x v="0"/>
    <x v="7"/>
    <n v="3941"/>
    <n v="0"/>
    <s v="Scroll"/>
    <n v="5"/>
    <x v="2"/>
    <n v="0"/>
    <n v="10000"/>
    <n v="0"/>
    <n v="4000"/>
    <m/>
  </r>
  <r>
    <x v="8"/>
    <x v="0"/>
    <x v="7"/>
    <n v="4409"/>
    <n v="0"/>
    <s v="Blue"/>
    <n v="1"/>
    <x v="7"/>
    <n v="4364"/>
    <n v="4364"/>
    <n v="0"/>
    <n v="0"/>
    <m/>
  </r>
  <r>
    <x v="8"/>
    <x v="0"/>
    <x v="7"/>
    <n v="4062"/>
    <n v="4"/>
    <s v="Scroll"/>
    <n v="5"/>
    <x v="2"/>
    <n v="0"/>
    <n v="10000"/>
    <n v="0"/>
    <n v="4000"/>
    <m/>
  </r>
  <r>
    <x v="8"/>
    <x v="0"/>
    <x v="7"/>
    <n v="3764"/>
    <n v="0"/>
    <s v="Blue"/>
    <n v="1"/>
    <x v="8"/>
    <n v="12920"/>
    <n v="12920"/>
    <n v="0"/>
    <n v="0"/>
    <m/>
  </r>
  <r>
    <x v="8"/>
    <x v="0"/>
    <x v="7"/>
    <n v="3972"/>
    <n v="3"/>
    <s v="Blue"/>
    <n v="1"/>
    <x v="8"/>
    <n v="12920"/>
    <n v="12920"/>
    <n v="0"/>
    <n v="0"/>
    <m/>
  </r>
  <r>
    <x v="8"/>
    <x v="0"/>
    <x v="7"/>
    <n v="3793"/>
    <n v="1"/>
    <s v="Blue"/>
    <n v="1"/>
    <x v="7"/>
    <n v="6615"/>
    <n v="6615"/>
    <n v="0"/>
    <n v="0"/>
    <m/>
  </r>
  <r>
    <x v="8"/>
    <x v="0"/>
    <x v="7"/>
    <n v="3869"/>
    <n v="0"/>
    <s v="Scroll"/>
    <n v="4"/>
    <x v="2"/>
    <n v="0"/>
    <n v="8000"/>
    <n v="0"/>
    <n v="3200"/>
    <m/>
  </r>
  <r>
    <x v="8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8"/>
    <x v="0"/>
    <x v="7"/>
    <n v="3963"/>
    <n v="4"/>
    <s v="Blue"/>
    <n v="1"/>
    <x v="8"/>
    <n v="6375"/>
    <n v="6375"/>
    <n v="0"/>
    <n v="0"/>
    <m/>
  </r>
  <r>
    <x v="8"/>
    <x v="0"/>
    <x v="7"/>
    <n v="3833"/>
    <n v="0"/>
    <s v="Scroll"/>
    <n v="4"/>
    <x v="2"/>
    <n v="0"/>
    <n v="8000"/>
    <n v="0"/>
    <n v="3200"/>
    <m/>
  </r>
  <r>
    <x v="8"/>
    <x v="0"/>
    <x v="7"/>
    <n v="3798"/>
    <n v="0"/>
    <s v="Blue"/>
    <n v="1"/>
    <x v="7"/>
    <n v="4134"/>
    <n v="4134"/>
    <n v="0"/>
    <n v="0"/>
    <m/>
  </r>
  <r>
    <x v="8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15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5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40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9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8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7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4">
      <calculatedColumnFormula>MAXA(-(4*M1-Tabela6[[#This Row],[Done]]),0)</calculatedColumnFormula>
    </tableColumn>
    <tableColumn id="4" name="XP to gain" dataDxfId="123"/>
    <tableColumn id="6" name="Mana Cost" dataDxfId="122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21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2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9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8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7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6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5">
      <calculatedColumnFormula>4*LocFeatures[[#This Row],[XP Gain per member]]</calculatedColumnFormula>
    </tableColumn>
    <tableColumn id="11" name="XP Train Gain"/>
    <tableColumn id="22" name="XP drop" dataDxfId="114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3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2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11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8" tableBorderDxfId="107">
  <autoFilter ref="Q3:W6"/>
  <tableColumns count="7">
    <tableColumn id="1" name="Kolumna1">
      <calculatedColumnFormula>G5</calculatedColumnFormula>
    </tableColumn>
    <tableColumn id="2" name="4" dataDxfId="106"/>
    <tableColumn id="3" name="5" dataDxfId="105"/>
    <tableColumn id="4" name="7" dataDxfId="104"/>
    <tableColumn id="5" name="8" dataDxfId="103"/>
    <tableColumn id="6" name="9" dataDxfId="102"/>
    <tableColumn id="7" name="10" dataDxfId="101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100">
  <autoFilter ref="X1:AB5"/>
  <tableColumns count="5">
    <tableColumn id="1" name="Set Name" dataDxfId="99"/>
    <tableColumn id="2" name="Attack" dataDxfId="98"/>
    <tableColumn id="3" name="Crit.Dmg" dataDxfId="97"/>
    <tableColumn id="4" name="Crit.Cha" dataDxfId="96"/>
    <tableColumn id="5" name="Speed" dataDxfId="95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4" dataDxfId="93" tableBorderDxfId="92">
  <autoFilter ref="A1:U74"/>
  <tableColumns count="21">
    <tableColumn id="1" name="Set" dataDxfId="91"/>
    <tableColumn id="2" name="Runes" dataDxfId="90"/>
    <tableColumn id="3" name="Fatal Nbr" dataDxfId="89"/>
    <tableColumn id="4" name="Rage Nbr" dataDxfId="88"/>
    <tableColumn id="5" name="Blade Nbr" dataDxfId="87"/>
    <tableColumn id="6" name="Atk Mult" dataDxfId="86"/>
    <tableColumn id="7" name="CritD" dataDxfId="85"/>
    <tableColumn id="8" name="Atk % from subs" dataDxfId="84"/>
    <tableColumn id="9" name="Crit D % from subs" dataDxfId="83"/>
    <tableColumn id="10" name="% of Crit C from subs" dataDxfId="82"/>
    <tableColumn id="11" name="Nbr of Atk rune" dataDxfId="81"/>
    <tableColumn id="12" name="Nbr of Crit D rune" dataDxfId="80"/>
    <tableColumn id="13" name="Nbr of Crit C rune" dataDxfId="79"/>
    <tableColumn id="14" name="Atk" dataDxfId="78"/>
    <tableColumn id="15" name="Dmg" dataDxfId="77"/>
    <tableColumn id="16" name="DmgC" dataDxfId="76"/>
    <tableColumn id="17" name="Crit Chance Basic" dataDxfId="75"/>
    <tableColumn id="18" name="Final Crit Chance" dataDxfId="74"/>
    <tableColumn id="19" name="AvgDmg" dataDxfId="73"/>
    <tableColumn id="20" name="AvgDmg Basic" dataDxfId="72"/>
    <tableColumn id="21" name="% change to basic" dataDxfId="71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70">
  <autoFilter ref="W20:AF43"/>
  <tableColumns count="10">
    <tableColumn id="1" name="Crit C" dataDxfId="69"/>
    <tableColumn id="2" name="Crit D" dataDxfId="68"/>
    <tableColumn id="3" name="Atk " dataDxfId="67"/>
    <tableColumn id="4" name="Set1" dataDxfId="66"/>
    <tableColumn id="5" name="Set2" dataDxfId="65"/>
    <tableColumn id="6" name="Rune1" dataDxfId="64"/>
    <tableColumn id="7" name="NBR R1"/>
    <tableColumn id="8" name="Rune2" dataDxfId="63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62">
  <autoFilter ref="AJ2:AU1190"/>
  <tableColumns count="12">
    <tableColumn id="1" name="Att stones" dataDxfId="61"/>
    <tableColumn id="2" name="Crid D stone" dataDxfId="60"/>
    <tableColumn id="3" name="Crit C stone" dataDxfId="59"/>
    <tableColumn id="11" name="Kolumna1" dataDxfId="58">
      <calculatedColumnFormula>Tabela21[[#This Row],[Att subs]]+Tabela21[[#This Row],[Crit D subs]]</calculatedColumnFormula>
    </tableColumn>
    <tableColumn id="4" name="Att subs" dataDxfId="57"/>
    <tableColumn id="5" name="Crit D subs" dataDxfId="56"/>
    <tableColumn id="6" name="Crit C subs" dataDxfId="55"/>
    <tableColumn id="7" name="Fatal + Blade" dataDxfId="54">
      <calculatedColumnFormula>$AG$3*(1+$AJ3*$Y$2+$AN3+0.35)*(MAXA(1-$AI$3-$AL3*$AA$3-$AP3-0.12,0)+MINA($AI$3+$AL3*$AA$3+$AP3+0.12,1)*(1+$AH$3+$AO3+$AK3*$Z$4))</calculatedColumnFormula>
    </tableColumn>
    <tableColumn id="8" name="Rage + Blade" dataDxfId="53">
      <calculatedColumnFormula>$AG$3*(1+$AJ3*$Y$2+$AN3)*(MAXA(1-$AI$3-$AL3*$AA$3-$AP3-0.12,0)+MINA($AI$3+$AL3*$AA$3+$AP3+0.12,1)*(1+$AH$3+$AO3+$AK3*$Z$4+0.4))</calculatedColumnFormula>
    </tableColumn>
    <tableColumn id="9" name="3x Blade" dataDxfId="52">
      <calculatedColumnFormula>$AG$3*(1+$AJ3*$Y$2+$AN3)*(MAXA(1-$AI$3-$AL3*$AA$3-$AP3-0.36,0)+MINA($AI$3+$AL3*$AA$3+$AP3+0.36,1)*(1+$AH$3+$AO3+$AK3*$Z$4))</calculatedColumnFormula>
    </tableColumn>
    <tableColumn id="10" name="DobSk Fatal+balde" dataDxfId="51">
      <calculatedColumnFormula>$AG$3*(1+$AJ3*$Y$2+$AN3)*(MAXA(1-$AI$3-$AL3*$AA$3-$AP3-0.36,0)+2*MINA($AI$3+$AL3*$AA$3+$AP3+0.36,1)*(1+$AH$3+$AO3+$AK3*$Z$4))</calculatedColumnFormula>
    </tableColumn>
    <tableColumn id="12" name="DobSk Fatal+balde2" dataDxfId="50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9">
      <calculatedColumnFormula>FLOOR((J$17+J$18*(Tabela1318[[#This Row],[Type]]-1))*1.2,1)</calculatedColumnFormula>
    </tableColumn>
    <tableColumn id="9" name="Att" dataDxfId="48">
      <calculatedColumnFormula>FLOOR((K$17+K$18*(Tabela1318[[#This Row],[Type]]-1))*1.2,1)</calculatedColumnFormula>
    </tableColumn>
    <tableColumn id="10" name="Def" dataDxfId="47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6"/>
    <tableColumn id="5" name="HP"/>
    <tableColumn id="6" name="Acc%"/>
    <tableColumn id="7" name="SPD"/>
    <tableColumn id="8" name="Crit Rate%" dataDxfId="45"/>
    <tableColumn id="9" name="Crit DMG%" dataDxfId="44"/>
    <tableColumn id="10" name="Att%" dataDxfId="43"/>
    <tableColumn id="16" name="Att"/>
    <tableColumn id="11" name="Def%" dataDxfId="42"/>
    <tableColumn id="14" name="Def"/>
    <tableColumn id="12" name="Res%" dataDxfId="41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3">
  <autoFilter ref="A6:R38"/>
  <tableColumns count="18">
    <tableColumn id="1" name="Scenario"/>
    <tableColumn id="2" name="XP" dataDxfId="32">
      <calculatedColumnFormula>(2*$J7+$K7)/($R7-$Q7)*O7</calculatedColumnFormula>
    </tableColumn>
    <tableColumn id="3" name="Gold" dataDxfId="31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0"/>
    <tableColumn id="11" name="Ene normal" dataDxfId="29"/>
    <tableColumn id="12" name="Location" dataDxfId="28"/>
    <tableColumn id="13" name="LVL" dataDxfId="27"/>
    <tableColumn id="14" name="Stage" dataDxfId="26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5" dataDxfId="24">
  <autoFilter ref="A1:T327"/>
  <sortState ref="A2:T327">
    <sortCondition descending="1" ref="T2:T327"/>
  </sortState>
  <tableColumns count="20">
    <tableColumn id="1" name="LP" dataDxfId="23" dataCellStyle="Normalny 2"/>
    <tableColumn id="16" name="Awakened2" dataDxfId="22" dataCellStyle="Normalny 2"/>
    <tableColumn id="2" name="Name" dataDxfId="21"/>
    <tableColumn id="3" name="Stars" dataDxfId="20"/>
    <tableColumn id="4" name="Attribute" dataDxfId="19"/>
    <tableColumn id="5" name="G" dataDxfId="18"/>
    <tableColumn id="6" name="D" dataDxfId="17"/>
    <tableColumn id="7" name="N" dataDxfId="16"/>
    <tableColumn id="8" name="AO" dataDxfId="15"/>
    <tableColumn id="9" name="AD" dataDxfId="14"/>
    <tableColumn id="10" name="HM" dataDxfId="13"/>
    <tableColumn id="11" name="GWO" dataDxfId="12"/>
    <tableColumn id="12" name="GWD" dataDxfId="11"/>
    <tableColumn id="13" name="Fusion" dataDxfId="10"/>
    <tableColumn id="15" name="Possesion" dataDxfId="9" dataCellStyle="Normalny 2"/>
    <tableColumn id="20" name="Try to Get" dataDxfId="8" dataCellStyle="Normalny 2"/>
    <tableColumn id="17" name="Suma PVE" dataDxfId="7" dataCellStyle="Normalny 2">
      <calculatedColumnFormula>SUM(Tabela2[[#This Row],[G]]+Tabela2[[#This Row],[D]]+Tabela2[[#This Row],[N]]+Tabela2[[#This Row],[HM]])</calculatedColumnFormula>
    </tableColumn>
    <tableColumn id="18" name="Suma PVP" dataDxfId="6" dataCellStyle="Normalny 2">
      <calculatedColumnFormula>SUM(Tabela2[[#This Row],[AO]]+Tabela2[[#This Row],[AD]]+Tabela2[[#This Row],[GWO]]+Tabela2[[#This Row],[GWD]])</calculatedColumnFormula>
    </tableColumn>
    <tableColumn id="19" name="Suma GW" dataDxfId="5" dataCellStyle="Normalny 2">
      <calculatedColumnFormula>Tabela2[[#This Row],[GWO]]+Tabela2[[#This Row],[GWD]]</calculatedColumnFormula>
    </tableColumn>
    <tableColumn id="14" name="Suma ALL" dataDxfId="4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workbookViewId="0">
      <selection activeCell="N6" sqref="N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2</v>
      </c>
      <c r="N3">
        <v>3</v>
      </c>
      <c r="O3" s="43">
        <v>0</v>
      </c>
      <c r="P3" s="1">
        <v>0</v>
      </c>
      <c r="Q3" s="1">
        <f>Tabela6[[#This Row],[Missing]]*22300</f>
        <v>44600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2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4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38400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11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8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21</v>
      </c>
      <c r="N9">
        <v>3</v>
      </c>
      <c r="O9" s="43">
        <f>MAXA(-(2*M7+M8-Tabela6[[#This Row],[Done]]),0)</f>
        <v>0</v>
      </c>
      <c r="P9" s="39"/>
      <c r="Q9" s="39">
        <f>Tabela6[[#This Row],[Missing]]*11000</f>
        <v>231000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362000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11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8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selection activeCell="G3" sqref="G3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4.375" customWidth="1"/>
    <col min="9" max="9" width="10.875" bestFit="1" customWidth="1"/>
    <col min="12" max="12" width="10" bestFit="1" customWidth="1"/>
  </cols>
  <sheetData>
    <row r="1" spans="1:14">
      <c r="A1" t="s">
        <v>868</v>
      </c>
      <c r="B1" t="s">
        <v>863</v>
      </c>
      <c r="C1" t="s">
        <v>340</v>
      </c>
      <c r="D1" t="s">
        <v>858</v>
      </c>
      <c r="E1" t="s">
        <v>865</v>
      </c>
      <c r="F1" t="s">
        <v>866</v>
      </c>
      <c r="G1" t="s">
        <v>872</v>
      </c>
      <c r="I1" t="s">
        <v>867</v>
      </c>
      <c r="K1" t="s">
        <v>871</v>
      </c>
      <c r="L1" t="s">
        <v>869</v>
      </c>
      <c r="M1" t="s">
        <v>864</v>
      </c>
      <c r="N1" t="s">
        <v>870</v>
      </c>
    </row>
    <row r="2" spans="1:14">
      <c r="A2" t="s">
        <v>859</v>
      </c>
      <c r="B2">
        <v>1</v>
      </c>
      <c r="C2" s="15">
        <f>$L$2+M2+0.35</f>
        <v>2.48</v>
      </c>
      <c r="D2">
        <f>$K$2</f>
        <v>130</v>
      </c>
      <c r="E2" s="19">
        <f>(265+1.25*$D2)/100*(1+$C2)</f>
        <v>14.877000000000001</v>
      </c>
      <c r="F2" s="17">
        <f>E2</f>
        <v>14.877000000000001</v>
      </c>
      <c r="G2" s="17">
        <f>E2+E6</f>
        <v>27.524999999999999</v>
      </c>
      <c r="H2" s="17">
        <f>F2+F6</f>
        <v>27.524999999999999</v>
      </c>
      <c r="I2" s="19">
        <f>(265+1.25*$D2*1.33)/100*(1+$C2)</f>
        <v>16.74315</v>
      </c>
      <c r="K2">
        <v>130</v>
      </c>
      <c r="L2" s="15">
        <v>1.5</v>
      </c>
      <c r="M2" s="15">
        <v>0.63</v>
      </c>
      <c r="N2">
        <v>42</v>
      </c>
    </row>
    <row r="3" spans="1:14">
      <c r="A3" s="2" t="s">
        <v>860</v>
      </c>
      <c r="B3" s="2">
        <v>1</v>
      </c>
      <c r="C3" s="144">
        <f>C2-M2</f>
        <v>1.85</v>
      </c>
      <c r="D3" s="2">
        <f>D2+$N$2</f>
        <v>172</v>
      </c>
      <c r="E3" s="217">
        <f t="shared" ref="E3:E5" si="0">(265+1.25*$D3)/100*(1+$C3)</f>
        <v>13.68</v>
      </c>
      <c r="F3" s="218">
        <f t="shared" ref="F3:F9" si="1">E3*D3/$D$2</f>
        <v>18.099692307692308</v>
      </c>
      <c r="G3" s="218">
        <f t="shared" ref="G3:G5" si="2">E3+E7</f>
        <v>23.115000000000002</v>
      </c>
      <c r="H3" s="218">
        <f>F3+F7</f>
        <v>30.58292307692308</v>
      </c>
      <c r="I3" s="217">
        <f>(265+1.25*$D3*1.33)/100*(1+$C3)</f>
        <v>15.702075000000001</v>
      </c>
    </row>
    <row r="4" spans="1:14">
      <c r="A4" t="s">
        <v>861</v>
      </c>
      <c r="B4">
        <v>1</v>
      </c>
      <c r="C4" s="15">
        <f>$L$2+M2</f>
        <v>2.13</v>
      </c>
      <c r="D4">
        <f>D2+20</f>
        <v>150</v>
      </c>
      <c r="E4" s="19">
        <f t="shared" si="0"/>
        <v>14.163250000000001</v>
      </c>
      <c r="F4" s="17">
        <f t="shared" si="1"/>
        <v>16.342211538461541</v>
      </c>
      <c r="G4" s="17">
        <f t="shared" si="2"/>
        <v>25.026250000000001</v>
      </c>
      <c r="H4" s="17">
        <f>F4+F8</f>
        <v>28.876442307692308</v>
      </c>
      <c r="I4" s="19">
        <f>(265+1.25*$D4*1.33)/100*(1+$C4)</f>
        <v>16.099937499999999</v>
      </c>
    </row>
    <row r="5" spans="1:14">
      <c r="A5" t="s">
        <v>862</v>
      </c>
      <c r="B5">
        <v>1</v>
      </c>
      <c r="C5" s="15">
        <f>$L$2</f>
        <v>1.5</v>
      </c>
      <c r="D5">
        <f>D4+$N$2</f>
        <v>192</v>
      </c>
      <c r="E5" s="19">
        <f t="shared" si="0"/>
        <v>12.625</v>
      </c>
      <c r="F5" s="17">
        <f t="shared" si="1"/>
        <v>18.646153846153847</v>
      </c>
      <c r="G5" s="17">
        <f t="shared" si="2"/>
        <v>20.274999999999999</v>
      </c>
      <c r="H5" s="17">
        <f>F5+F9</f>
        <v>29.944615384615386</v>
      </c>
      <c r="I5" s="19">
        <f>(265+1.25*$D5*1.33)/100*(1+$C5)</f>
        <v>14.605</v>
      </c>
    </row>
    <row r="6" spans="1:14">
      <c r="A6" t="s">
        <v>859</v>
      </c>
      <c r="B6">
        <v>2</v>
      </c>
      <c r="C6" s="15">
        <f t="shared" ref="C6:D9" si="3">C2</f>
        <v>2.48</v>
      </c>
      <c r="D6">
        <f t="shared" si="3"/>
        <v>130</v>
      </c>
      <c r="E6" s="19">
        <f>1.7*3*C6</f>
        <v>12.648</v>
      </c>
      <c r="F6" s="17">
        <f t="shared" si="1"/>
        <v>12.648</v>
      </c>
      <c r="G6" s="17"/>
    </row>
    <row r="7" spans="1:14">
      <c r="A7" t="s">
        <v>860</v>
      </c>
      <c r="B7">
        <v>2</v>
      </c>
      <c r="C7" s="15">
        <f t="shared" si="3"/>
        <v>1.85</v>
      </c>
      <c r="D7">
        <f t="shared" si="3"/>
        <v>172</v>
      </c>
      <c r="E7" s="19">
        <f>1.7*3*C7</f>
        <v>9.4350000000000005</v>
      </c>
      <c r="F7" s="17">
        <f t="shared" si="1"/>
        <v>12.48323076923077</v>
      </c>
      <c r="G7" s="17"/>
    </row>
    <row r="8" spans="1:14">
      <c r="A8" t="s">
        <v>861</v>
      </c>
      <c r="B8">
        <v>2</v>
      </c>
      <c r="C8" s="15">
        <f t="shared" si="3"/>
        <v>2.13</v>
      </c>
      <c r="D8">
        <f t="shared" si="3"/>
        <v>150</v>
      </c>
      <c r="E8" s="19">
        <f>1.7*3*C8</f>
        <v>10.863</v>
      </c>
      <c r="F8" s="17">
        <f t="shared" si="1"/>
        <v>12.534230769230767</v>
      </c>
      <c r="G8" s="17"/>
    </row>
    <row r="9" spans="1:14">
      <c r="A9" t="s">
        <v>862</v>
      </c>
      <c r="B9">
        <v>2</v>
      </c>
      <c r="C9" s="15">
        <f t="shared" si="3"/>
        <v>1.5</v>
      </c>
      <c r="D9">
        <f t="shared" si="3"/>
        <v>192</v>
      </c>
      <c r="E9" s="19">
        <f>1.7*3*C9</f>
        <v>7.6499999999999995</v>
      </c>
      <c r="F9" s="17">
        <f t="shared" si="1"/>
        <v>11.298461538461538</v>
      </c>
      <c r="G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000"/>
  <sheetViews>
    <sheetView tabSelected="1" zoomScale="85" zoomScaleNormal="85" workbookViewId="0">
      <pane ySplit="1" topLeftCell="A1280" activePane="bottomLeft" state="frozen"/>
      <selection pane="bottomLeft" activeCell="H1322" sqref="H1322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8" width="3.125" customWidth="1"/>
    <col min="19" max="19" width="2.75" customWidth="1"/>
    <col min="20" max="20" width="3.125" customWidth="1"/>
    <col min="21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1</v>
      </c>
      <c r="Q12" s="43">
        <v>59</v>
      </c>
      <c r="R12" s="43">
        <v>10</v>
      </c>
      <c r="S12" s="43">
        <v>7</v>
      </c>
      <c r="T12" s="43">
        <v>84</v>
      </c>
      <c r="U12" s="43">
        <v>104</v>
      </c>
      <c r="V12" s="43">
        <v>12</v>
      </c>
      <c r="W12" s="43">
        <v>21</v>
      </c>
      <c r="X12" s="43">
        <v>298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>
        <v>1</v>
      </c>
      <c r="X13" s="43">
        <v>1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>
        <v>1</v>
      </c>
      <c r="X14" s="43">
        <v>1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>
        <v>5</v>
      </c>
      <c r="R15" s="43"/>
      <c r="S15" s="43"/>
      <c r="T15" s="43"/>
      <c r="U15" s="43"/>
      <c r="V15" s="43"/>
      <c r="W15" s="43">
        <v>11</v>
      </c>
      <c r="X15" s="43">
        <v>16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/>
      <c r="Q16" s="43">
        <v>3</v>
      </c>
      <c r="R16" s="43">
        <v>1</v>
      </c>
      <c r="S16" s="43"/>
      <c r="T16" s="43">
        <v>1</v>
      </c>
      <c r="U16" s="43"/>
      <c r="V16" s="43"/>
      <c r="W16" s="43">
        <v>6</v>
      </c>
      <c r="X16" s="43">
        <v>11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/>
      <c r="Q17" s="43">
        <v>17</v>
      </c>
      <c r="R17" s="43">
        <v>1</v>
      </c>
      <c r="S17" s="43">
        <v>3</v>
      </c>
      <c r="T17" s="43">
        <v>23</v>
      </c>
      <c r="U17" s="43">
        <v>5</v>
      </c>
      <c r="V17" s="43"/>
      <c r="W17" s="43">
        <v>1</v>
      </c>
      <c r="X17" s="43">
        <v>50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/>
      <c r="Q18" s="43">
        <v>8</v>
      </c>
      <c r="R18" s="43"/>
      <c r="S18" s="43"/>
      <c r="T18" s="43">
        <v>17</v>
      </c>
      <c r="U18" s="43">
        <v>11</v>
      </c>
      <c r="V18" s="43"/>
      <c r="W18" s="43">
        <v>1</v>
      </c>
      <c r="X18" s="43">
        <v>37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1</v>
      </c>
      <c r="Q19" s="43">
        <v>26</v>
      </c>
      <c r="R19" s="43">
        <v>8</v>
      </c>
      <c r="S19" s="43">
        <v>4</v>
      </c>
      <c r="T19" s="43">
        <v>43</v>
      </c>
      <c r="U19" s="43">
        <v>88</v>
      </c>
      <c r="V19" s="43">
        <v>12</v>
      </c>
      <c r="W19" s="43"/>
      <c r="X19" s="43">
        <v>182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1</v>
      </c>
      <c r="Q20" s="43">
        <v>59</v>
      </c>
      <c r="R20" s="43">
        <v>10</v>
      </c>
      <c r="S20" s="43">
        <v>7</v>
      </c>
      <c r="T20" s="43">
        <v>84</v>
      </c>
      <c r="U20" s="43">
        <v>104</v>
      </c>
      <c r="V20" s="43">
        <v>12</v>
      </c>
      <c r="W20" s="43">
        <v>21</v>
      </c>
      <c r="X20" s="43">
        <v>298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F1196" t="s">
        <v>854</v>
      </c>
      <c r="G1196">
        <v>0</v>
      </c>
      <c r="H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E1201">
        <v>0</v>
      </c>
      <c r="F1201" t="s">
        <v>854</v>
      </c>
      <c r="G1201">
        <v>0</v>
      </c>
      <c r="H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172</v>
      </c>
      <c r="B1215" t="s">
        <v>9</v>
      </c>
      <c r="C1215">
        <v>10</v>
      </c>
      <c r="D1215">
        <v>4220</v>
      </c>
      <c r="E1215">
        <v>0</v>
      </c>
      <c r="F1215" t="s">
        <v>258</v>
      </c>
      <c r="G1215">
        <v>1</v>
      </c>
      <c r="H1215" t="s">
        <v>27</v>
      </c>
      <c r="I1215">
        <v>2756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172</v>
      </c>
      <c r="B1216" t="s">
        <v>9</v>
      </c>
      <c r="C1216">
        <v>10</v>
      </c>
      <c r="D1216">
        <v>4125</v>
      </c>
      <c r="E1216">
        <v>3</v>
      </c>
      <c r="F1216" t="s">
        <v>258</v>
      </c>
      <c r="G1216">
        <v>1</v>
      </c>
      <c r="H1216" t="s">
        <v>27</v>
      </c>
      <c r="I1216">
        <v>2480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:12">
      <c r="A1217" t="s">
        <v>172</v>
      </c>
      <c r="B1217" t="s">
        <v>9</v>
      </c>
      <c r="C1217">
        <v>10</v>
      </c>
      <c r="D1217">
        <v>3847</v>
      </c>
      <c r="E1217">
        <v>0</v>
      </c>
      <c r="F1217" t="s">
        <v>58</v>
      </c>
      <c r="G1217">
        <v>1</v>
      </c>
      <c r="H1217" t="s">
        <v>12</v>
      </c>
      <c r="I1217">
        <v>0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11500</v>
      </c>
      <c r="L1217" s="43">
        <f>IFERROR(SUMIFS(Tabela10[Exp Gain only 2*+],Tabela10[Drop],DropAnalityka[[#This Row],[Drop]],Tabela10[Grade],DropAnalityka[[#This Row],[Grade]])*DropAnalityka[[#This Row],[Quality/Quantity]],0)</f>
        <v>35822</v>
      </c>
    </row>
    <row r="1218" spans="1:12">
      <c r="A1218" t="s">
        <v>172</v>
      </c>
      <c r="B1218" t="s">
        <v>9</v>
      </c>
      <c r="C1218">
        <v>10</v>
      </c>
      <c r="D1218">
        <v>4181</v>
      </c>
      <c r="E1218">
        <v>1</v>
      </c>
      <c r="F1218" t="s">
        <v>258</v>
      </c>
      <c r="G1218">
        <v>1</v>
      </c>
      <c r="H1218" t="s">
        <v>28</v>
      </c>
      <c r="I1218">
        <v>5440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3847</v>
      </c>
      <c r="E1219">
        <v>0</v>
      </c>
      <c r="F1219" t="s">
        <v>34</v>
      </c>
      <c r="G1219">
        <v>4</v>
      </c>
      <c r="H1219" t="s">
        <v>17</v>
      </c>
      <c r="I1219">
        <v>0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3200</v>
      </c>
    </row>
    <row r="1220" spans="1:12">
      <c r="A1220" t="s">
        <v>172</v>
      </c>
      <c r="B1220" t="s">
        <v>9</v>
      </c>
      <c r="C1220">
        <v>10</v>
      </c>
      <c r="D1220">
        <v>4162</v>
      </c>
      <c r="E1220">
        <v>2</v>
      </c>
      <c r="F1220" t="s">
        <v>258</v>
      </c>
      <c r="G1220">
        <v>1</v>
      </c>
      <c r="H1220" t="s">
        <v>28</v>
      </c>
      <c r="I1220">
        <v>4335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3389</v>
      </c>
      <c r="E1221">
        <v>0</v>
      </c>
      <c r="F1221" t="s">
        <v>291</v>
      </c>
      <c r="G1221">
        <v>1</v>
      </c>
      <c r="H1221" t="s">
        <v>28</v>
      </c>
      <c r="I1221">
        <v>6075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:12">
      <c r="A1222" t="s">
        <v>172</v>
      </c>
      <c r="B1222" t="s">
        <v>9</v>
      </c>
      <c r="C1222">
        <v>10</v>
      </c>
      <c r="D1222">
        <v>3666</v>
      </c>
      <c r="E1222">
        <v>1</v>
      </c>
      <c r="F1222" t="s">
        <v>258</v>
      </c>
      <c r="G1222">
        <v>1</v>
      </c>
      <c r="H1222" t="s">
        <v>27</v>
      </c>
      <c r="I1222">
        <v>2756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3605</v>
      </c>
      <c r="E1223">
        <v>1</v>
      </c>
      <c r="F1223" t="s">
        <v>291</v>
      </c>
      <c r="G1223">
        <v>1</v>
      </c>
      <c r="H1223" t="s">
        <v>28</v>
      </c>
      <c r="I1223">
        <v>5737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:12">
      <c r="A1224" t="s">
        <v>172</v>
      </c>
      <c r="B1224" t="s">
        <v>9</v>
      </c>
      <c r="C1224">
        <v>10</v>
      </c>
      <c r="D1224">
        <v>3793</v>
      </c>
      <c r="E1224">
        <v>2</v>
      </c>
      <c r="F1224" t="s">
        <v>34</v>
      </c>
      <c r="G1224">
        <v>4</v>
      </c>
      <c r="H1224" t="s">
        <v>17</v>
      </c>
      <c r="I1224">
        <v>0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3200</v>
      </c>
    </row>
    <row r="1225" spans="1:12">
      <c r="A1225" t="s">
        <v>172</v>
      </c>
      <c r="B1225" t="s">
        <v>9</v>
      </c>
      <c r="C1225">
        <v>10</v>
      </c>
      <c r="D1225">
        <v>4423</v>
      </c>
      <c r="E1225">
        <v>0</v>
      </c>
      <c r="F1225" t="s">
        <v>258</v>
      </c>
      <c r="G1225">
        <v>1</v>
      </c>
      <c r="H1225" t="s">
        <v>28</v>
      </c>
      <c r="I1225">
        <v>8075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4020</v>
      </c>
      <c r="E1226">
        <v>1</v>
      </c>
      <c r="F1226" t="s">
        <v>205</v>
      </c>
      <c r="G1226">
        <v>3</v>
      </c>
      <c r="H1226" t="s">
        <v>26</v>
      </c>
      <c r="I1226">
        <v>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2587.5</v>
      </c>
      <c r="L122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7" spans="1:12">
      <c r="A1227" t="s">
        <v>172</v>
      </c>
      <c r="B1227" t="s">
        <v>9</v>
      </c>
      <c r="C1227">
        <v>10</v>
      </c>
      <c r="D1227">
        <v>3900</v>
      </c>
      <c r="E1227">
        <v>1</v>
      </c>
      <c r="F1227" t="s">
        <v>291</v>
      </c>
      <c r="G1227">
        <v>1</v>
      </c>
      <c r="H1227" t="s">
        <v>27</v>
      </c>
      <c r="I1227">
        <v>3307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4316</v>
      </c>
      <c r="E1228">
        <v>1</v>
      </c>
      <c r="F1228" t="s">
        <v>258</v>
      </c>
      <c r="G1228">
        <v>1</v>
      </c>
      <c r="H1228" t="s">
        <v>28</v>
      </c>
      <c r="I1228">
        <v>14535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3854</v>
      </c>
      <c r="E1229">
        <v>0</v>
      </c>
      <c r="F1229" t="s">
        <v>258</v>
      </c>
      <c r="G1229">
        <v>1</v>
      </c>
      <c r="H1229" t="s">
        <v>27</v>
      </c>
      <c r="I1229">
        <v>2940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:12">
      <c r="A1230" t="s">
        <v>172</v>
      </c>
      <c r="B1230" t="s">
        <v>9</v>
      </c>
      <c r="C1230">
        <v>10</v>
      </c>
      <c r="D1230">
        <v>4559</v>
      </c>
      <c r="E1230">
        <v>1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4127</v>
      </c>
      <c r="E1231">
        <v>1</v>
      </c>
      <c r="F1231" t="s">
        <v>258</v>
      </c>
      <c r="G1231">
        <v>1</v>
      </c>
      <c r="H1231" t="s">
        <v>27</v>
      </c>
      <c r="I1231">
        <v>5512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:12">
      <c r="A1232" t="s">
        <v>172</v>
      </c>
      <c r="B1232" t="s">
        <v>9</v>
      </c>
      <c r="C1232">
        <v>10</v>
      </c>
      <c r="D1232">
        <v>4449</v>
      </c>
      <c r="E1232">
        <v>1</v>
      </c>
      <c r="F1232" t="s">
        <v>34</v>
      </c>
      <c r="G1232">
        <v>5</v>
      </c>
      <c r="H1232" t="s">
        <v>17</v>
      </c>
      <c r="I1232">
        <v>0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4000</v>
      </c>
    </row>
    <row r="1233" spans="1:12">
      <c r="A1233" t="s">
        <v>172</v>
      </c>
      <c r="B1233" t="s">
        <v>9</v>
      </c>
      <c r="C1233">
        <v>10</v>
      </c>
      <c r="D1233">
        <v>4660</v>
      </c>
      <c r="E1233">
        <v>3</v>
      </c>
      <c r="F1233" t="s">
        <v>258</v>
      </c>
      <c r="G1233">
        <v>1</v>
      </c>
      <c r="H1233" t="s">
        <v>28</v>
      </c>
      <c r="I1233">
        <v>6120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4104</v>
      </c>
      <c r="E1234">
        <v>1</v>
      </c>
      <c r="F1234" t="s">
        <v>58</v>
      </c>
      <c r="G1234">
        <v>1</v>
      </c>
      <c r="H1234" t="s">
        <v>26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34500</v>
      </c>
      <c r="L1234" s="43">
        <f>IFERROR(SUMIFS(Tabela10[Exp Gain only 2*+],Tabela10[Drop],DropAnalityka[[#This Row],[Drop]],Tabela10[Grade],DropAnalityka[[#This Row],[Grade]])*DropAnalityka[[#This Row],[Quality/Quantity]],0)</f>
        <v>118004</v>
      </c>
    </row>
    <row r="1235" spans="1:12">
      <c r="A1235" t="s">
        <v>172</v>
      </c>
      <c r="B1235" t="s">
        <v>9</v>
      </c>
      <c r="C1235">
        <v>10</v>
      </c>
      <c r="D1235">
        <v>4042</v>
      </c>
      <c r="E1235">
        <v>1</v>
      </c>
      <c r="F1235" t="s">
        <v>258</v>
      </c>
      <c r="G1235">
        <v>1</v>
      </c>
      <c r="H1235" t="s">
        <v>27</v>
      </c>
      <c r="I1235">
        <v>6615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:12">
      <c r="A1236" t="s">
        <v>172</v>
      </c>
      <c r="B1236" t="s">
        <v>9</v>
      </c>
      <c r="C1236">
        <v>10</v>
      </c>
      <c r="D1236">
        <v>3926</v>
      </c>
      <c r="E1236">
        <v>2</v>
      </c>
      <c r="F1236" t="s">
        <v>258</v>
      </c>
      <c r="G1236">
        <v>1</v>
      </c>
      <c r="H1236" t="s">
        <v>28</v>
      </c>
      <c r="I1236">
        <v>6502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3945</v>
      </c>
      <c r="E1237">
        <v>2</v>
      </c>
      <c r="F1237" t="s">
        <v>34</v>
      </c>
      <c r="G1237">
        <v>4</v>
      </c>
      <c r="H1237" t="s">
        <v>17</v>
      </c>
      <c r="I1237">
        <v>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3200</v>
      </c>
    </row>
    <row r="1238" spans="1:12">
      <c r="A1238" t="s">
        <v>172</v>
      </c>
      <c r="B1238" t="s">
        <v>9</v>
      </c>
      <c r="C1238">
        <v>10</v>
      </c>
      <c r="D1238">
        <v>4195</v>
      </c>
      <c r="E1238">
        <v>3</v>
      </c>
      <c r="F1238" t="s">
        <v>205</v>
      </c>
      <c r="G1238">
        <v>3</v>
      </c>
      <c r="H1238" t="s">
        <v>26</v>
      </c>
      <c r="I1238">
        <v>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2587.5</v>
      </c>
      <c r="L1238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9" spans="1:12">
      <c r="A1239" t="s">
        <v>172</v>
      </c>
      <c r="B1239" t="s">
        <v>9</v>
      </c>
      <c r="C1239">
        <v>10</v>
      </c>
      <c r="D1239">
        <v>4313</v>
      </c>
      <c r="E1239">
        <v>3</v>
      </c>
      <c r="F1239" t="s">
        <v>291</v>
      </c>
      <c r="G1239">
        <v>1</v>
      </c>
      <c r="H1239" t="s">
        <v>27</v>
      </c>
      <c r="I1239">
        <v>4961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172</v>
      </c>
      <c r="B1240" t="s">
        <v>9</v>
      </c>
      <c r="C1240">
        <v>10</v>
      </c>
      <c r="D1240">
        <v>3617</v>
      </c>
      <c r="E1240">
        <v>1</v>
      </c>
      <c r="F1240" t="s">
        <v>258</v>
      </c>
      <c r="G1240">
        <v>1</v>
      </c>
      <c r="H1240" t="s">
        <v>28</v>
      </c>
      <c r="I1240">
        <v>13770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7</v>
      </c>
      <c r="D1241">
        <v>3713</v>
      </c>
      <c r="E1241">
        <v>1</v>
      </c>
      <c r="F1241" t="s">
        <v>258</v>
      </c>
      <c r="G1241">
        <v>1</v>
      </c>
      <c r="H1241" t="s">
        <v>27</v>
      </c>
      <c r="I1241">
        <v>7350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:12">
      <c r="A1242" t="s">
        <v>178</v>
      </c>
      <c r="B1242" t="s">
        <v>9</v>
      </c>
      <c r="C1242">
        <v>7</v>
      </c>
      <c r="D1242">
        <v>3997</v>
      </c>
      <c r="E1242">
        <v>1</v>
      </c>
      <c r="F1242" t="s">
        <v>258</v>
      </c>
      <c r="G1242">
        <v>1</v>
      </c>
      <c r="H1242" t="s">
        <v>27</v>
      </c>
      <c r="I1242">
        <v>3445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7</v>
      </c>
      <c r="D1243">
        <v>3898</v>
      </c>
      <c r="E1243">
        <v>0</v>
      </c>
      <c r="F1243" t="s">
        <v>258</v>
      </c>
      <c r="G1243">
        <v>1</v>
      </c>
      <c r="H1243" t="s">
        <v>27</v>
      </c>
      <c r="I1243">
        <v>3491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:12">
      <c r="A1244" t="s">
        <v>178</v>
      </c>
      <c r="B1244" t="s">
        <v>9</v>
      </c>
      <c r="C1244">
        <v>8</v>
      </c>
      <c r="D1244">
        <v>3967</v>
      </c>
      <c r="E1244">
        <v>1</v>
      </c>
      <c r="F1244" t="s">
        <v>34</v>
      </c>
      <c r="G1244">
        <v>4</v>
      </c>
      <c r="H1244" t="s">
        <v>17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3200</v>
      </c>
    </row>
    <row r="1245" spans="1:12">
      <c r="A1245" t="s">
        <v>178</v>
      </c>
      <c r="B1245" t="s">
        <v>9</v>
      </c>
      <c r="C1245">
        <v>8</v>
      </c>
      <c r="D1245">
        <v>3757</v>
      </c>
      <c r="E1245">
        <v>0</v>
      </c>
      <c r="F1245" t="s">
        <v>258</v>
      </c>
      <c r="G1245">
        <v>1</v>
      </c>
      <c r="H1245" t="s">
        <v>27</v>
      </c>
      <c r="I1245">
        <v>2940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3610</v>
      </c>
      <c r="E1246">
        <v>2</v>
      </c>
      <c r="F1246" t="s">
        <v>34</v>
      </c>
      <c r="G1246">
        <v>5</v>
      </c>
      <c r="H1246" t="s">
        <v>17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4000</v>
      </c>
    </row>
    <row r="1247" spans="1:12">
      <c r="A1247" t="s">
        <v>178</v>
      </c>
      <c r="B1247" t="s">
        <v>9</v>
      </c>
      <c r="C1247">
        <v>8</v>
      </c>
      <c r="D1247">
        <v>4254</v>
      </c>
      <c r="E1247">
        <v>0</v>
      </c>
      <c r="F1247" t="s">
        <v>58</v>
      </c>
      <c r="G1247">
        <v>1</v>
      </c>
      <c r="H1247" t="s">
        <v>12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11500</v>
      </c>
      <c r="L1247" s="43">
        <f>IFERROR(SUMIFS(Tabela10[Exp Gain only 2*+],Tabela10[Drop],DropAnalityka[[#This Row],[Drop]],Tabela10[Grade],DropAnalityka[[#This Row],[Grade]])*DropAnalityka[[#This Row],[Quality/Quantity]],0)</f>
        <v>35822</v>
      </c>
    </row>
    <row r="1248" spans="1:12">
      <c r="A1248" t="s">
        <v>178</v>
      </c>
      <c r="B1248" t="s">
        <v>9</v>
      </c>
      <c r="C1248">
        <v>8</v>
      </c>
      <c r="D1248">
        <v>3927</v>
      </c>
      <c r="E1248">
        <v>1</v>
      </c>
      <c r="F1248" t="s">
        <v>318</v>
      </c>
      <c r="G1248">
        <v>1</v>
      </c>
      <c r="H1248" t="s">
        <v>28</v>
      </c>
      <c r="I1248">
        <v>16150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3878</v>
      </c>
      <c r="E1249">
        <v>0</v>
      </c>
      <c r="F1249" t="s">
        <v>258</v>
      </c>
      <c r="G1249">
        <v>1</v>
      </c>
      <c r="H1249" t="s">
        <v>28</v>
      </c>
      <c r="I1249">
        <v>7225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:12">
      <c r="A1250" t="s">
        <v>178</v>
      </c>
      <c r="B1250" t="s">
        <v>9</v>
      </c>
      <c r="C1250">
        <v>8</v>
      </c>
      <c r="D1250">
        <v>3941</v>
      </c>
      <c r="E1250">
        <v>0</v>
      </c>
      <c r="F1250" t="s">
        <v>34</v>
      </c>
      <c r="G1250">
        <v>5</v>
      </c>
      <c r="H1250" t="s">
        <v>17</v>
      </c>
      <c r="I1250">
        <v>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4000</v>
      </c>
    </row>
    <row r="1251" spans="1:12">
      <c r="A1251" t="s">
        <v>178</v>
      </c>
      <c r="B1251" t="s">
        <v>9</v>
      </c>
      <c r="C1251">
        <v>8</v>
      </c>
      <c r="D1251">
        <v>4409</v>
      </c>
      <c r="E1251">
        <v>0</v>
      </c>
      <c r="F1251" t="s">
        <v>258</v>
      </c>
      <c r="G1251">
        <v>1</v>
      </c>
      <c r="H1251" t="s">
        <v>27</v>
      </c>
      <c r="I1251">
        <v>4364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4062</v>
      </c>
      <c r="E1252">
        <v>4</v>
      </c>
      <c r="F1252" t="s">
        <v>34</v>
      </c>
      <c r="G1252">
        <v>5</v>
      </c>
      <c r="H1252" t="s">
        <v>17</v>
      </c>
      <c r="I1252">
        <v>0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4000</v>
      </c>
    </row>
    <row r="1253" spans="1:12">
      <c r="A1253" t="s">
        <v>178</v>
      </c>
      <c r="B1253" t="s">
        <v>9</v>
      </c>
      <c r="C1253">
        <v>8</v>
      </c>
      <c r="D1253">
        <v>3764</v>
      </c>
      <c r="E1253">
        <v>0</v>
      </c>
      <c r="F1253" t="s">
        <v>258</v>
      </c>
      <c r="G1253">
        <v>1</v>
      </c>
      <c r="H1253" t="s">
        <v>28</v>
      </c>
      <c r="I1253">
        <v>12920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:12">
      <c r="A1254" t="s">
        <v>178</v>
      </c>
      <c r="B1254" t="s">
        <v>9</v>
      </c>
      <c r="C1254">
        <v>8</v>
      </c>
      <c r="D1254">
        <v>3972</v>
      </c>
      <c r="E1254">
        <v>3</v>
      </c>
      <c r="F1254" t="s">
        <v>258</v>
      </c>
      <c r="G1254">
        <v>1</v>
      </c>
      <c r="H1254" t="s">
        <v>28</v>
      </c>
      <c r="I1254">
        <v>12920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178</v>
      </c>
      <c r="B1255" t="s">
        <v>9</v>
      </c>
      <c r="C1255">
        <v>8</v>
      </c>
      <c r="D1255">
        <v>3793</v>
      </c>
      <c r="E1255">
        <v>1</v>
      </c>
      <c r="F1255" t="s">
        <v>258</v>
      </c>
      <c r="G1255">
        <v>1</v>
      </c>
      <c r="H1255" t="s">
        <v>27</v>
      </c>
      <c r="I1255">
        <v>6615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178</v>
      </c>
      <c r="B1256" t="s">
        <v>9</v>
      </c>
      <c r="C1256">
        <v>8</v>
      </c>
      <c r="D1256">
        <v>3869</v>
      </c>
      <c r="E1256">
        <v>0</v>
      </c>
      <c r="F1256" t="s">
        <v>34</v>
      </c>
      <c r="G1256">
        <v>4</v>
      </c>
      <c r="H1256" t="s">
        <v>17</v>
      </c>
      <c r="I1256">
        <v>0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3200</v>
      </c>
    </row>
    <row r="1257" spans="1:12">
      <c r="A1257" t="s">
        <v>178</v>
      </c>
      <c r="B1257" t="s">
        <v>9</v>
      </c>
      <c r="C1257">
        <v>8</v>
      </c>
      <c r="D1257">
        <v>3629</v>
      </c>
      <c r="E1257">
        <v>0</v>
      </c>
      <c r="F1257" t="s">
        <v>291</v>
      </c>
      <c r="G1257">
        <v>1</v>
      </c>
      <c r="H1257" t="s">
        <v>27</v>
      </c>
      <c r="I1257">
        <v>4134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4330</v>
      </c>
      <c r="E1258">
        <v>2</v>
      </c>
      <c r="F1258" t="s">
        <v>258</v>
      </c>
      <c r="G1258">
        <v>1</v>
      </c>
      <c r="H1258" t="s">
        <v>28</v>
      </c>
      <c r="I1258">
        <v>8500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3405</v>
      </c>
      <c r="E1259">
        <v>2</v>
      </c>
      <c r="F1259" t="s">
        <v>258</v>
      </c>
      <c r="G1259">
        <v>1</v>
      </c>
      <c r="H1259" t="s">
        <v>27</v>
      </c>
      <c r="I1259">
        <v>4134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4212</v>
      </c>
      <c r="E1260">
        <v>0</v>
      </c>
      <c r="F1260" t="s">
        <v>318</v>
      </c>
      <c r="G1260">
        <v>1</v>
      </c>
      <c r="H1260" t="s">
        <v>27</v>
      </c>
      <c r="I1260">
        <v>12154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172</v>
      </c>
      <c r="B1261" t="s">
        <v>9</v>
      </c>
      <c r="C1261">
        <v>10</v>
      </c>
      <c r="D1261">
        <v>3954</v>
      </c>
      <c r="E1261">
        <v>1</v>
      </c>
      <c r="F1261" t="s">
        <v>258</v>
      </c>
      <c r="G1261">
        <v>1</v>
      </c>
      <c r="H1261" t="s">
        <v>28</v>
      </c>
      <c r="I1261">
        <v>8524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172</v>
      </c>
      <c r="B1262" t="s">
        <v>9</v>
      </c>
      <c r="C1262">
        <v>10</v>
      </c>
      <c r="D1262">
        <v>4287</v>
      </c>
      <c r="E1262">
        <v>0</v>
      </c>
      <c r="F1262" t="s">
        <v>291</v>
      </c>
      <c r="G1262">
        <v>1</v>
      </c>
      <c r="H1262" t="s">
        <v>27</v>
      </c>
      <c r="I1262">
        <v>5512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:12">
      <c r="A1263" t="s">
        <v>172</v>
      </c>
      <c r="B1263" t="s">
        <v>9</v>
      </c>
      <c r="C1263">
        <v>10</v>
      </c>
      <c r="D1263">
        <v>4017</v>
      </c>
      <c r="E1263">
        <v>0</v>
      </c>
      <c r="F1263" t="s">
        <v>291</v>
      </c>
      <c r="G1263">
        <v>1</v>
      </c>
      <c r="H1263" t="s">
        <v>28</v>
      </c>
      <c r="I1263">
        <v>8160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3963</v>
      </c>
      <c r="E1264">
        <v>4</v>
      </c>
      <c r="F1264" t="s">
        <v>258</v>
      </c>
      <c r="G1264">
        <v>1</v>
      </c>
      <c r="H1264" t="s">
        <v>28</v>
      </c>
      <c r="I1264">
        <v>6375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178</v>
      </c>
      <c r="B1265" t="s">
        <v>9</v>
      </c>
      <c r="C1265">
        <v>8</v>
      </c>
      <c r="D1265">
        <v>3833</v>
      </c>
      <c r="E1265">
        <v>0</v>
      </c>
      <c r="F1265" t="s">
        <v>34</v>
      </c>
      <c r="G1265">
        <v>4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3200</v>
      </c>
    </row>
    <row r="1266" spans="1:12">
      <c r="A1266" t="s">
        <v>178</v>
      </c>
      <c r="B1266" t="s">
        <v>9</v>
      </c>
      <c r="C1266">
        <v>8</v>
      </c>
      <c r="D1266">
        <v>3798</v>
      </c>
      <c r="E1266">
        <v>0</v>
      </c>
      <c r="F1266" t="s">
        <v>258</v>
      </c>
      <c r="G1266">
        <v>1</v>
      </c>
      <c r="H1266" t="s">
        <v>27</v>
      </c>
      <c r="I1266">
        <v>4134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178</v>
      </c>
      <c r="B1267" t="s">
        <v>9</v>
      </c>
      <c r="C1267">
        <v>8</v>
      </c>
      <c r="D1267">
        <v>3703</v>
      </c>
      <c r="E1267">
        <v>0</v>
      </c>
      <c r="F1267" t="s">
        <v>258</v>
      </c>
      <c r="G1267">
        <v>1</v>
      </c>
      <c r="H1267" t="s">
        <v>27</v>
      </c>
      <c r="I1267">
        <v>3123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4015</v>
      </c>
      <c r="E1268">
        <v>3</v>
      </c>
      <c r="F1268" t="s">
        <v>34</v>
      </c>
      <c r="G1268">
        <v>5</v>
      </c>
      <c r="H1268" t="s">
        <v>17</v>
      </c>
      <c r="I1268">
        <v>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4000</v>
      </c>
    </row>
    <row r="1269" spans="1:12">
      <c r="A1269" t="s">
        <v>172</v>
      </c>
      <c r="B1269" t="s">
        <v>9</v>
      </c>
      <c r="C1269">
        <v>10</v>
      </c>
      <c r="D1269">
        <v>3736</v>
      </c>
      <c r="E1269">
        <v>0</v>
      </c>
      <c r="F1269" t="s">
        <v>258</v>
      </c>
      <c r="G1269">
        <v>1</v>
      </c>
      <c r="H1269" t="s">
        <v>28</v>
      </c>
      <c r="I1269">
        <v>5100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3629</v>
      </c>
      <c r="E1270">
        <v>0</v>
      </c>
      <c r="F1270" t="s">
        <v>291</v>
      </c>
      <c r="G1270">
        <v>1</v>
      </c>
      <c r="H1270" t="s">
        <v>28</v>
      </c>
      <c r="I1270">
        <v>8160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4069</v>
      </c>
      <c r="E1271">
        <v>0</v>
      </c>
      <c r="F1271" t="s">
        <v>258</v>
      </c>
      <c r="G1271">
        <v>1</v>
      </c>
      <c r="H1271" t="s">
        <v>28</v>
      </c>
      <c r="I1271">
        <v>8500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:12">
      <c r="A1272" t="s">
        <v>172</v>
      </c>
      <c r="B1272" t="s">
        <v>9</v>
      </c>
      <c r="C1272">
        <v>10</v>
      </c>
      <c r="D1272">
        <v>3900</v>
      </c>
      <c r="E1272">
        <v>1</v>
      </c>
      <c r="F1272" t="s">
        <v>258</v>
      </c>
      <c r="G1272">
        <v>1</v>
      </c>
      <c r="H1272" t="s">
        <v>27</v>
      </c>
      <c r="I1272">
        <v>2411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:12">
      <c r="A1273" t="s">
        <v>172</v>
      </c>
      <c r="B1273" t="s">
        <v>9</v>
      </c>
      <c r="C1273">
        <v>10</v>
      </c>
      <c r="D1273">
        <v>3744</v>
      </c>
      <c r="E1273">
        <v>0</v>
      </c>
      <c r="F1273" t="s">
        <v>258</v>
      </c>
      <c r="G1273">
        <v>1</v>
      </c>
      <c r="H1273" t="s">
        <v>27</v>
      </c>
      <c r="I1273">
        <v>3215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4648</v>
      </c>
      <c r="E1274">
        <v>1</v>
      </c>
      <c r="F1274" t="s">
        <v>58</v>
      </c>
      <c r="G1274">
        <v>1</v>
      </c>
      <c r="H1274" t="s">
        <v>12</v>
      </c>
      <c r="I1274">
        <v>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11500</v>
      </c>
      <c r="L1274" s="43">
        <f>IFERROR(SUMIFS(Tabela10[Exp Gain only 2*+],Tabela10[Drop],DropAnalityka[[#This Row],[Drop]],Tabela10[Grade],DropAnalityka[[#This Row],[Grade]])*DropAnalityka[[#This Row],[Quality/Quantity]],0)</f>
        <v>35822</v>
      </c>
    </row>
    <row r="1275" spans="1:12">
      <c r="A1275" t="s">
        <v>172</v>
      </c>
      <c r="B1275" t="s">
        <v>9</v>
      </c>
      <c r="C1275">
        <v>10</v>
      </c>
      <c r="D1275">
        <v>4164</v>
      </c>
      <c r="E1275">
        <v>0</v>
      </c>
      <c r="F1275" t="s">
        <v>34</v>
      </c>
      <c r="G1275">
        <v>5</v>
      </c>
      <c r="H1275" t="s">
        <v>17</v>
      </c>
      <c r="I1275">
        <v>0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4000</v>
      </c>
    </row>
    <row r="1276" spans="1:12">
      <c r="A1276" t="s">
        <v>172</v>
      </c>
      <c r="B1276" t="s">
        <v>9</v>
      </c>
      <c r="C1276">
        <v>10</v>
      </c>
      <c r="D1276">
        <v>3725</v>
      </c>
      <c r="E1276">
        <v>0</v>
      </c>
      <c r="F1276" t="s">
        <v>258</v>
      </c>
      <c r="G1276">
        <v>1</v>
      </c>
      <c r="H1276" t="s">
        <v>29</v>
      </c>
      <c r="I1276">
        <v>8876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4116</v>
      </c>
      <c r="E1277">
        <v>1</v>
      </c>
      <c r="F1277" t="s">
        <v>258</v>
      </c>
      <c r="G1277">
        <v>1</v>
      </c>
      <c r="H1277" t="s">
        <v>27</v>
      </c>
      <c r="I1277">
        <v>2940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3438</v>
      </c>
      <c r="E1278">
        <v>0</v>
      </c>
      <c r="F1278" t="s">
        <v>258</v>
      </c>
      <c r="G1278">
        <v>1</v>
      </c>
      <c r="H1278" t="s">
        <v>28</v>
      </c>
      <c r="I1278">
        <v>3825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4013</v>
      </c>
      <c r="E1279">
        <v>0</v>
      </c>
      <c r="F1279" t="s">
        <v>258</v>
      </c>
      <c r="G1279">
        <v>1</v>
      </c>
      <c r="H1279" t="s">
        <v>29</v>
      </c>
      <c r="I1279">
        <v>8321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4287</v>
      </c>
      <c r="E1280">
        <v>1</v>
      </c>
      <c r="F1280" t="s">
        <v>318</v>
      </c>
      <c r="G1280">
        <v>1</v>
      </c>
      <c r="H1280" t="s">
        <v>27</v>
      </c>
      <c r="I1280">
        <v>5971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3423</v>
      </c>
      <c r="E1281">
        <v>0</v>
      </c>
      <c r="F1281" t="s">
        <v>258</v>
      </c>
      <c r="G1281">
        <v>1</v>
      </c>
      <c r="H1281" t="s">
        <v>28</v>
      </c>
      <c r="I1281">
        <v>6502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3869</v>
      </c>
      <c r="E1282">
        <v>0</v>
      </c>
      <c r="F1282" t="s">
        <v>258</v>
      </c>
      <c r="G1282">
        <v>1</v>
      </c>
      <c r="H1282" t="s">
        <v>28</v>
      </c>
      <c r="I1282">
        <v>10880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4067</v>
      </c>
      <c r="E1283">
        <v>1</v>
      </c>
      <c r="F1283" t="s">
        <v>291</v>
      </c>
      <c r="G1283">
        <v>1</v>
      </c>
      <c r="H1283" t="s">
        <v>28</v>
      </c>
      <c r="I1283">
        <v>7267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:13">
      <c r="A1284" t="s">
        <v>172</v>
      </c>
      <c r="B1284" t="s">
        <v>9</v>
      </c>
      <c r="C1284">
        <v>10</v>
      </c>
      <c r="D1284">
        <v>4317</v>
      </c>
      <c r="E1284">
        <v>1</v>
      </c>
      <c r="F1284" t="s">
        <v>258</v>
      </c>
      <c r="G1284">
        <v>1</v>
      </c>
      <c r="H1284" t="s">
        <v>27</v>
      </c>
      <c r="I1284">
        <v>2067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3502</v>
      </c>
      <c r="E1285">
        <v>1</v>
      </c>
      <c r="F1285" t="s">
        <v>258</v>
      </c>
      <c r="G1285">
        <v>1</v>
      </c>
      <c r="H1285" t="s">
        <v>27</v>
      </c>
      <c r="I1285">
        <v>2411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4182</v>
      </c>
      <c r="E1286">
        <v>0</v>
      </c>
      <c r="F1286" t="s">
        <v>34</v>
      </c>
      <c r="G1286">
        <v>4</v>
      </c>
      <c r="H1286" t="s">
        <v>17</v>
      </c>
      <c r="I1286">
        <v>0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3200</v>
      </c>
    </row>
    <row r="1287" spans="1:13">
      <c r="A1287" t="s">
        <v>172</v>
      </c>
      <c r="B1287" t="s">
        <v>9</v>
      </c>
      <c r="C1287">
        <v>10</v>
      </c>
      <c r="D1287">
        <v>3429</v>
      </c>
      <c r="E1287">
        <v>0</v>
      </c>
      <c r="F1287" t="s">
        <v>258</v>
      </c>
      <c r="G1287">
        <v>1</v>
      </c>
      <c r="H1287" t="s">
        <v>28</v>
      </c>
      <c r="I1287">
        <v>10880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:13">
      <c r="A1288" t="s">
        <v>172</v>
      </c>
      <c r="B1288" t="s">
        <v>9</v>
      </c>
      <c r="C1288">
        <v>10</v>
      </c>
      <c r="D1288">
        <v>4311</v>
      </c>
      <c r="E1288">
        <v>1</v>
      </c>
      <c r="F1288" t="s">
        <v>258</v>
      </c>
      <c r="G1288">
        <v>1</v>
      </c>
      <c r="H1288" t="s">
        <v>28</v>
      </c>
      <c r="I1288">
        <v>8075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3883</v>
      </c>
      <c r="E1289">
        <v>0</v>
      </c>
      <c r="F1289" t="s">
        <v>291</v>
      </c>
      <c r="G1289">
        <v>1</v>
      </c>
      <c r="H1289" t="s">
        <v>28</v>
      </c>
      <c r="I1289">
        <v>6885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961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  <c r="M1290" t="s">
        <v>204</v>
      </c>
    </row>
    <row r="1291" spans="1:13">
      <c r="A1291" t="s">
        <v>172</v>
      </c>
      <c r="B1291" t="s">
        <v>9</v>
      </c>
      <c r="C1291">
        <v>10</v>
      </c>
      <c r="D1291">
        <v>4397</v>
      </c>
      <c r="E1291">
        <v>3</v>
      </c>
      <c r="F1291" t="s">
        <v>258</v>
      </c>
      <c r="G1291">
        <v>1</v>
      </c>
      <c r="H1291" t="s">
        <v>27</v>
      </c>
      <c r="I1291">
        <v>3514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3818</v>
      </c>
      <c r="E1292">
        <v>2</v>
      </c>
      <c r="F1292" t="s">
        <v>258</v>
      </c>
      <c r="G1292">
        <v>1</v>
      </c>
      <c r="H1292" t="s">
        <v>27</v>
      </c>
      <c r="I1292">
        <v>3675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4006</v>
      </c>
      <c r="E1293">
        <v>2</v>
      </c>
      <c r="F1293" t="s">
        <v>258</v>
      </c>
      <c r="G1293">
        <v>1</v>
      </c>
      <c r="H1293" t="s">
        <v>29</v>
      </c>
      <c r="I1293">
        <v>12680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4249</v>
      </c>
      <c r="E1294">
        <v>2</v>
      </c>
      <c r="F1294" t="s">
        <v>258</v>
      </c>
      <c r="G1294">
        <v>1</v>
      </c>
      <c r="H1294" t="s">
        <v>28</v>
      </c>
      <c r="I1294">
        <v>6120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3495</v>
      </c>
      <c r="E1295">
        <v>1</v>
      </c>
      <c r="F1295" t="s">
        <v>258</v>
      </c>
      <c r="G1295">
        <v>1</v>
      </c>
      <c r="H1295" t="s">
        <v>28</v>
      </c>
      <c r="I1295">
        <v>3825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4286</v>
      </c>
      <c r="E1296">
        <v>1</v>
      </c>
      <c r="F1296" t="s">
        <v>258</v>
      </c>
      <c r="G1296">
        <v>1</v>
      </c>
      <c r="H1296" t="s">
        <v>28</v>
      </c>
      <c r="I1296">
        <v>4335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:12">
      <c r="A1297" t="s">
        <v>172</v>
      </c>
      <c r="B1297" t="s">
        <v>9</v>
      </c>
      <c r="C1297">
        <v>10</v>
      </c>
      <c r="D1297">
        <v>4231</v>
      </c>
      <c r="E1297">
        <v>0</v>
      </c>
      <c r="F1297" t="s">
        <v>258</v>
      </c>
      <c r="G1297">
        <v>1</v>
      </c>
      <c r="H1297" t="s">
        <v>27</v>
      </c>
      <c r="I1297">
        <v>6892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4019</v>
      </c>
      <c r="E1298">
        <v>0</v>
      </c>
      <c r="F1298" t="s">
        <v>258</v>
      </c>
      <c r="G1298">
        <v>1</v>
      </c>
      <c r="H1298" t="s">
        <v>27</v>
      </c>
      <c r="I1298">
        <v>2756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4094</v>
      </c>
      <c r="E1299">
        <v>3</v>
      </c>
      <c r="F1299" t="s">
        <v>34</v>
      </c>
      <c r="G1299">
        <v>5</v>
      </c>
      <c r="H1299" t="s">
        <v>17</v>
      </c>
      <c r="I1299">
        <v>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4000</v>
      </c>
    </row>
    <row r="1300" spans="1:12">
      <c r="A1300" t="s">
        <v>172</v>
      </c>
      <c r="B1300" t="s">
        <v>9</v>
      </c>
      <c r="C1300">
        <v>10</v>
      </c>
      <c r="D1300">
        <v>4074</v>
      </c>
      <c r="E1300">
        <v>1</v>
      </c>
      <c r="F1300" t="s">
        <v>291</v>
      </c>
      <c r="G1300">
        <v>1</v>
      </c>
      <c r="H1300" t="s">
        <v>27</v>
      </c>
      <c r="I1300">
        <v>2940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4218</v>
      </c>
      <c r="E1301">
        <v>2</v>
      </c>
      <c r="F1301" t="s">
        <v>258</v>
      </c>
      <c r="G1301">
        <v>1</v>
      </c>
      <c r="H1301" t="s">
        <v>29</v>
      </c>
      <c r="I1301">
        <v>22824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3925</v>
      </c>
      <c r="E1302">
        <v>1</v>
      </c>
      <c r="F1302" t="s">
        <v>291</v>
      </c>
      <c r="G1302">
        <v>1</v>
      </c>
      <c r="H1302" t="s">
        <v>28</v>
      </c>
      <c r="I1302">
        <v>15300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:12">
      <c r="A1303" t="s">
        <v>172</v>
      </c>
      <c r="B1303" t="s">
        <v>9</v>
      </c>
      <c r="C1303">
        <v>10</v>
      </c>
      <c r="D1303">
        <v>4086</v>
      </c>
      <c r="E1303">
        <v>4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4019</v>
      </c>
      <c r="E1304">
        <v>1</v>
      </c>
      <c r="F1304" t="s">
        <v>258</v>
      </c>
      <c r="G1304">
        <v>1</v>
      </c>
      <c r="H1304" t="s">
        <v>29</v>
      </c>
      <c r="I1304">
        <v>8510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4281</v>
      </c>
      <c r="E1305">
        <v>2</v>
      </c>
      <c r="F1305" t="s">
        <v>34</v>
      </c>
      <c r="G1305">
        <v>5</v>
      </c>
      <c r="H1305" t="s">
        <v>17</v>
      </c>
      <c r="I1305">
        <v>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4000</v>
      </c>
    </row>
    <row r="1306" spans="1:12">
      <c r="A1306" t="s">
        <v>172</v>
      </c>
      <c r="B1306" t="s">
        <v>9</v>
      </c>
      <c r="C1306">
        <v>10</v>
      </c>
      <c r="D1306">
        <v>3978</v>
      </c>
      <c r="E1306">
        <v>1</v>
      </c>
      <c r="F1306" t="s">
        <v>258</v>
      </c>
      <c r="G1306">
        <v>1</v>
      </c>
      <c r="H1306" t="s">
        <v>28</v>
      </c>
      <c r="I1306">
        <v>5652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4032</v>
      </c>
      <c r="E1307">
        <v>2</v>
      </c>
      <c r="F1307" t="s">
        <v>258</v>
      </c>
      <c r="G1307">
        <v>1</v>
      </c>
      <c r="H1307" t="s">
        <v>28</v>
      </c>
      <c r="I1307">
        <v>6120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3957</v>
      </c>
      <c r="E1308">
        <v>0</v>
      </c>
      <c r="F1308" t="s">
        <v>291</v>
      </c>
      <c r="G1308">
        <v>1</v>
      </c>
      <c r="H1308" t="s">
        <v>28</v>
      </c>
      <c r="I1308">
        <v>6120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3863</v>
      </c>
      <c r="E1309">
        <v>1</v>
      </c>
      <c r="F1309" t="s">
        <v>318</v>
      </c>
      <c r="G1309">
        <v>1</v>
      </c>
      <c r="H1309" t="s">
        <v>28</v>
      </c>
      <c r="I1309">
        <v>10200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3842</v>
      </c>
      <c r="E1310">
        <v>0</v>
      </c>
      <c r="F1310" t="s">
        <v>258</v>
      </c>
      <c r="G1310">
        <v>1</v>
      </c>
      <c r="H1310" t="s">
        <v>28</v>
      </c>
      <c r="I1310">
        <v>5737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4207</v>
      </c>
      <c r="E1311">
        <v>3</v>
      </c>
      <c r="F1311" t="s">
        <v>291</v>
      </c>
      <c r="G1311">
        <v>1</v>
      </c>
      <c r="H1311" t="s">
        <v>29</v>
      </c>
      <c r="I1311">
        <v>27103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3865</v>
      </c>
      <c r="E1312">
        <v>0</v>
      </c>
      <c r="F1312" t="s">
        <v>291</v>
      </c>
      <c r="G1312">
        <v>1</v>
      </c>
      <c r="H1312" t="s">
        <v>27</v>
      </c>
      <c r="I1312">
        <v>4295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:12">
      <c r="A1313" t="s">
        <v>172</v>
      </c>
      <c r="B1313" t="s">
        <v>9</v>
      </c>
      <c r="C1313">
        <v>10</v>
      </c>
      <c r="D1313">
        <v>4382</v>
      </c>
      <c r="E1313">
        <v>2</v>
      </c>
      <c r="F1313" t="s">
        <v>258</v>
      </c>
      <c r="G1313">
        <v>1</v>
      </c>
      <c r="H1313" t="s">
        <v>28</v>
      </c>
      <c r="I1313">
        <v>3825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4218</v>
      </c>
      <c r="E1314">
        <v>2</v>
      </c>
      <c r="F1314" t="s">
        <v>291</v>
      </c>
      <c r="G1314">
        <v>1</v>
      </c>
      <c r="H1314" t="s">
        <v>28</v>
      </c>
      <c r="I1314">
        <v>3507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3737</v>
      </c>
      <c r="E1315">
        <v>1</v>
      </c>
      <c r="F1315" t="s">
        <v>34</v>
      </c>
      <c r="G1315">
        <v>5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4000</v>
      </c>
    </row>
    <row r="1316" spans="1:12">
      <c r="A1316" t="s">
        <v>172</v>
      </c>
      <c r="B1316" t="s">
        <v>9</v>
      </c>
      <c r="C1316">
        <v>10</v>
      </c>
      <c r="D1316">
        <v>3979</v>
      </c>
      <c r="E1316">
        <v>2</v>
      </c>
      <c r="F1316" t="s">
        <v>291</v>
      </c>
      <c r="G1316">
        <v>1</v>
      </c>
      <c r="H1316" t="s">
        <v>27</v>
      </c>
      <c r="I1316">
        <v>4547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3965</v>
      </c>
      <c r="E1317">
        <v>0</v>
      </c>
      <c r="F1317" t="s">
        <v>258</v>
      </c>
      <c r="G1317">
        <v>1</v>
      </c>
      <c r="H1317" t="s">
        <v>27</v>
      </c>
      <c r="I1317">
        <v>2573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:12">
      <c r="A1318" t="s">
        <v>172</v>
      </c>
      <c r="B1318" t="s">
        <v>9</v>
      </c>
      <c r="C1318">
        <v>10</v>
      </c>
      <c r="D1318">
        <v>3790</v>
      </c>
      <c r="E1318">
        <v>1</v>
      </c>
      <c r="F1318" t="s">
        <v>34</v>
      </c>
      <c r="G1318">
        <v>4</v>
      </c>
      <c r="H1318" t="s">
        <v>17</v>
      </c>
      <c r="I1318">
        <v>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3200</v>
      </c>
    </row>
    <row r="1319" spans="1:12">
      <c r="A1319" t="s">
        <v>172</v>
      </c>
      <c r="B1319" t="s">
        <v>9</v>
      </c>
      <c r="C1319">
        <v>10</v>
      </c>
      <c r="D1319">
        <v>4142</v>
      </c>
      <c r="E1319">
        <v>1</v>
      </c>
      <c r="F1319" t="s">
        <v>258</v>
      </c>
      <c r="G1319">
        <v>1</v>
      </c>
      <c r="H1319" t="s">
        <v>27</v>
      </c>
      <c r="I1319">
        <v>2411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172</v>
      </c>
      <c r="B1320" t="s">
        <v>9</v>
      </c>
      <c r="C1320">
        <v>10</v>
      </c>
      <c r="D1320">
        <v>3754</v>
      </c>
      <c r="E1320">
        <v>0</v>
      </c>
      <c r="F1320" t="s">
        <v>58</v>
      </c>
      <c r="G1320">
        <v>1</v>
      </c>
      <c r="H1320" t="s">
        <v>12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11500</v>
      </c>
      <c r="L1320" s="43">
        <f>IFERROR(SUMIFS(Tabela10[Exp Gain only 2*+],Tabela10[Drop],DropAnalityka[[#This Row],[Drop]],Tabela10[Grade],DropAnalityka[[#This Row],[Grade]])*DropAnalityka[[#This Row],[Quality/Quantity]],0)</f>
        <v>35822</v>
      </c>
    </row>
    <row r="1321" spans="1:12">
      <c r="A1321" t="s">
        <v>172</v>
      </c>
      <c r="B1321" t="s">
        <v>9</v>
      </c>
      <c r="C1321">
        <v>10</v>
      </c>
      <c r="D1321">
        <v>4313</v>
      </c>
      <c r="E1321">
        <v>1</v>
      </c>
      <c r="F1321" t="s">
        <v>258</v>
      </c>
      <c r="G1321">
        <v>1</v>
      </c>
      <c r="H1321" t="s">
        <v>28</v>
      </c>
      <c r="I1321">
        <v>11560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:12">
      <c r="A1322" t="s">
        <v>172</v>
      </c>
      <c r="B1322" t="s">
        <v>9</v>
      </c>
      <c r="C1322">
        <v>10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172</v>
      </c>
      <c r="B1323" t="s">
        <v>9</v>
      </c>
      <c r="C1323">
        <v>10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:12">
      <c r="A1324" t="s">
        <v>172</v>
      </c>
      <c r="B1324" t="s">
        <v>9</v>
      </c>
      <c r="C1324">
        <v>10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:12">
      <c r="A1325" t="s">
        <v>172</v>
      </c>
      <c r="B1325" t="s">
        <v>9</v>
      </c>
      <c r="C1325">
        <v>10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172</v>
      </c>
      <c r="B1326" t="s">
        <v>9</v>
      </c>
      <c r="C1326">
        <v>10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4:U99"/>
  <sheetViews>
    <sheetView topLeftCell="A57" zoomScale="85" zoomScaleNormal="85" workbookViewId="0">
      <selection activeCell="C80" sqref="C8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0" t="s">
        <v>249</v>
      </c>
      <c r="G5" s="201"/>
      <c r="H5" s="202"/>
      <c r="I5" s="203" t="s">
        <v>250</v>
      </c>
      <c r="J5" s="204"/>
      <c r="K5" s="205"/>
      <c r="L5" s="206" t="s">
        <v>18</v>
      </c>
      <c r="M5" s="207"/>
      <c r="N5" s="208"/>
      <c r="O5" s="209" t="s">
        <v>252</v>
      </c>
      <c r="P5" s="210"/>
      <c r="Q5" s="211"/>
      <c r="R5" s="212" t="s">
        <v>251</v>
      </c>
      <c r="S5" s="213"/>
      <c r="T5" s="214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5" t="s">
        <v>281</v>
      </c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6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7" t="s">
        <v>280</v>
      </c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9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0" t="s">
        <v>249</v>
      </c>
      <c r="G37" s="201"/>
      <c r="H37" s="202"/>
      <c r="I37" s="203" t="s">
        <v>250</v>
      </c>
      <c r="J37" s="204"/>
      <c r="K37" s="205"/>
      <c r="L37" s="206" t="s">
        <v>18</v>
      </c>
      <c r="M37" s="207"/>
      <c r="N37" s="208"/>
      <c r="O37" s="209" t="s">
        <v>252</v>
      </c>
      <c r="P37" s="210"/>
      <c r="Q37" s="211"/>
      <c r="R37" s="212" t="s">
        <v>251</v>
      </c>
      <c r="S37" s="213"/>
      <c r="T37" s="214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5" t="s">
        <v>281</v>
      </c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6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7" t="s">
        <v>280</v>
      </c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9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0" t="s">
        <v>249</v>
      </c>
      <c r="G69" s="201"/>
      <c r="H69" s="202"/>
      <c r="I69" s="203" t="s">
        <v>250</v>
      </c>
      <c r="J69" s="204"/>
      <c r="K69" s="205"/>
      <c r="L69" s="206" t="s">
        <v>18</v>
      </c>
      <c r="M69" s="207"/>
      <c r="N69" s="208"/>
      <c r="O69" s="209" t="s">
        <v>252</v>
      </c>
      <c r="P69" s="210"/>
      <c r="Q69" s="211"/>
      <c r="R69" s="212" t="s">
        <v>251</v>
      </c>
      <c r="S69" s="213"/>
      <c r="T69" s="214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5" t="s">
        <v>281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6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7" t="s">
        <v>280</v>
      </c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9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A12" sqref="A12:XFD1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12657.872827540106</v>
      </c>
      <c r="J29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3407.1838541666671</v>
      </c>
      <c r="N29" s="50">
        <f>LocFeatures[[#This Row],[Drop worth gain]]/(LocFeatures[[#This Row],[E. Cost]]-LocFeatures[[#This Row],[Energy gain]])</f>
        <v>1793.1986505681818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482.68437934027787</v>
      </c>
      <c r="Q29" s="47">
        <f>COUNTIFS(DropAnalityka[Location],LocFeatures[[#This Row],[Location]],DropAnalityka[LVL],LocFeatures[[#This Row],[LVL]],DropAnalityka[Stage],LocFeatures[[#This Row],[Stage]])</f>
        <v>192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0.33333333333333331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1151.7826086956522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86.956521739130423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3176.9304347826082</v>
      </c>
    </row>
    <row r="31" spans="1:22">
      <c r="A31" t="s">
        <v>178</v>
      </c>
      <c r="B31" t="s">
        <v>9</v>
      </c>
      <c r="C31">
        <v>8</v>
      </c>
      <c r="D31">
        <v>8</v>
      </c>
      <c r="E31" s="10"/>
      <c r="F31" s="10"/>
      <c r="G31" s="10"/>
      <c r="H31" s="10"/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31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31" s="10">
        <f>5*LocFeatures[[#This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31" s="50">
        <f>LocFeatures[[#This Row],[Drop worth gain]]/(LocFeatures[[#This Row],[E. Cost]]-LocFeatures[[#This Row],[Energy gain]])</f>
        <v>1691.6328125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448.60937500000006</v>
      </c>
      <c r="Q31" s="47">
        <f>COUNTIFS(DropAnalityka[Location],LocFeatures[[#This Row],[Location]],DropAnalityka[LVL],LocFeatures[[#This Row],[LVL]],DropAnalityka[Stage],LocFeatures[[#This Row],[Stage]])</f>
        <v>18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5" t="s">
        <v>273</v>
      </c>
      <c r="S2" s="215"/>
      <c r="T2" s="215"/>
      <c r="U2" s="215"/>
      <c r="V2" s="215"/>
      <c r="W2" s="215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3619.2617449664431</v>
      </c>
      <c r="C39" s="1">
        <v>4489.8758389261748</v>
      </c>
      <c r="D39" s="1">
        <v>1.0134228187919463</v>
      </c>
      <c r="E39" s="43">
        <v>280</v>
      </c>
    </row>
    <row r="40" spans="1:5">
      <c r="A40" s="13" t="s">
        <v>9</v>
      </c>
      <c r="B40" s="1">
        <v>3619.2617449664431</v>
      </c>
      <c r="C40" s="1">
        <v>4489.8758389261748</v>
      </c>
      <c r="D40" s="1">
        <v>1.0134228187919463</v>
      </c>
      <c r="E40" s="43">
        <v>280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4010.1813186813188</v>
      </c>
      <c r="C47" s="1">
        <v>5495.7527472527472</v>
      </c>
      <c r="D47" s="1">
        <v>0.9505494505494505</v>
      </c>
      <c r="E47" s="43">
        <v>182</v>
      </c>
    </row>
    <row r="48" spans="1:5">
      <c r="A48" s="12" t="s">
        <v>66</v>
      </c>
      <c r="B48" s="1">
        <v>2187.3163064833007</v>
      </c>
      <c r="C48" s="1">
        <v>1982.0929772502473</v>
      </c>
      <c r="D48" s="1">
        <v>0.91159135559921411</v>
      </c>
      <c r="E48" s="43">
        <v>558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6" t="s">
        <v>315</v>
      </c>
      <c r="X19" s="216"/>
      <c r="Y19" s="216"/>
      <c r="Z19" s="216"/>
      <c r="AA19" s="216"/>
      <c r="AB19" s="216"/>
      <c r="AC19" s="216"/>
      <c r="AD19" s="216"/>
      <c r="AE19" s="216"/>
      <c r="AF19" s="216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39" sqref="F39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855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856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857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2015-12-01T15:33:31Z</dcterms:modified>
</cp:coreProperties>
</file>