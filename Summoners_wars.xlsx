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/>
  </bookViews>
  <sheets>
    <sheet name="HP vs DEF" sheetId="19" r:id="rId1"/>
    <sheet name="Crystals" sheetId="14" r:id="rId2"/>
    <sheet name="EXP lvls" sheetId="1" r:id="rId3"/>
    <sheet name="Arkusz3" sheetId="18" r:id="rId4"/>
    <sheet name="Drop analityka" sheetId="3" r:id="rId5"/>
    <sheet name="Fusion" sheetId="9" r:id="rId6"/>
    <sheet name="Location features" sheetId="4" r:id="rId7"/>
    <sheet name="TabPrz" sheetId="5" r:id="rId8"/>
    <sheet name="Arkusz1" sheetId="15" r:id="rId9"/>
    <sheet name="Runes for DPS" sheetId="6" r:id="rId10"/>
    <sheet name="Runes stats" sheetId="11" r:id="rId11"/>
    <sheet name="Runes DB" sheetId="8" r:id="rId12"/>
    <sheet name="TP_Mon.Runes" sheetId="12" r:id="rId13"/>
    <sheet name="Grind.Summary" sheetId="2" r:id="rId14"/>
    <sheet name="Runes Mon.build" sheetId="7" r:id="rId15"/>
    <sheet name="ToA auto" sheetId="16" r:id="rId16"/>
    <sheet name="Mon.Utilities" sheetId="13" r:id="rId17"/>
    <sheet name="Arkusz2" sheetId="17" r:id="rId18"/>
  </sheets>
  <definedNames>
    <definedName name="_xlnm._FilterDatabase" localSheetId="16" hidden="1">Mon.Utilities!$A$1:$N$1</definedName>
  </definedNames>
  <calcPr calcId="125725"/>
  <pivotCaches>
    <pivotCache cacheId="0" r:id="rId19"/>
    <pivotCache cacheId="1" r:id="rId20"/>
    <pivotCache cacheId="2" r:id="rId21"/>
  </pivotCaches>
</workbook>
</file>

<file path=xl/calcChain.xml><?xml version="1.0" encoding="utf-8"?>
<calcChain xmlns="http://schemas.openxmlformats.org/spreadsheetml/2006/main">
  <c r="C14" i="19"/>
  <c r="F35"/>
  <c r="D35"/>
  <c r="C12" s="1"/>
  <c r="L31"/>
  <c r="K31"/>
  <c r="I31"/>
  <c r="H31"/>
  <c r="G31"/>
  <c r="E31"/>
  <c r="D31"/>
  <c r="J31" s="1"/>
  <c r="C31"/>
  <c r="L30"/>
  <c r="K30"/>
  <c r="J30"/>
  <c r="H30"/>
  <c r="G30"/>
  <c r="F30"/>
  <c r="D30"/>
  <c r="C30"/>
  <c r="I30" s="1"/>
  <c r="L29"/>
  <c r="K29"/>
  <c r="I29"/>
  <c r="H29"/>
  <c r="G29"/>
  <c r="E29"/>
  <c r="D29"/>
  <c r="J29" s="1"/>
  <c r="C29"/>
  <c r="L28"/>
  <c r="K28"/>
  <c r="J28"/>
  <c r="H28"/>
  <c r="G28"/>
  <c r="F28"/>
  <c r="D28"/>
  <c r="C28"/>
  <c r="I28" s="1"/>
  <c r="L27"/>
  <c r="K27"/>
  <c r="I27"/>
  <c r="H27"/>
  <c r="G27"/>
  <c r="E27"/>
  <c r="D27"/>
  <c r="J27" s="1"/>
  <c r="C27"/>
  <c r="L26"/>
  <c r="K26"/>
  <c r="J26"/>
  <c r="H26"/>
  <c r="G26"/>
  <c r="F26"/>
  <c r="D26"/>
  <c r="C26"/>
  <c r="I26" s="1"/>
  <c r="L25"/>
  <c r="K25"/>
  <c r="I25"/>
  <c r="H25"/>
  <c r="G25"/>
  <c r="E25"/>
  <c r="D25"/>
  <c r="J25" s="1"/>
  <c r="C25"/>
  <c r="L24"/>
  <c r="K24"/>
  <c r="J24"/>
  <c r="H24"/>
  <c r="G24"/>
  <c r="F24"/>
  <c r="D24"/>
  <c r="C24"/>
  <c r="I24" s="1"/>
  <c r="L23"/>
  <c r="K23"/>
  <c r="I23"/>
  <c r="H23"/>
  <c r="G23"/>
  <c r="E23"/>
  <c r="D23"/>
  <c r="J23" s="1"/>
  <c r="C23"/>
  <c r="L22"/>
  <c r="K22"/>
  <c r="J22"/>
  <c r="H22"/>
  <c r="G22"/>
  <c r="F22"/>
  <c r="D22"/>
  <c r="C22"/>
  <c r="I22" s="1"/>
  <c r="E14"/>
  <c r="F14" s="1"/>
  <c r="D14"/>
  <c r="E13"/>
  <c r="F13" s="1"/>
  <c r="D13"/>
  <c r="B13"/>
  <c r="B14" s="1"/>
  <c r="P11"/>
  <c r="O11"/>
  <c r="M11"/>
  <c r="L11"/>
  <c r="K11"/>
  <c r="J11"/>
  <c r="I11"/>
  <c r="G11"/>
  <c r="E11"/>
  <c r="N11" s="1"/>
  <c r="D11"/>
  <c r="P10"/>
  <c r="O10"/>
  <c r="M10"/>
  <c r="L10"/>
  <c r="J10"/>
  <c r="I10"/>
  <c r="H10"/>
  <c r="E10"/>
  <c r="N10" s="1"/>
  <c r="D10"/>
  <c r="K10" s="1"/>
  <c r="P9"/>
  <c r="O9"/>
  <c r="M9"/>
  <c r="L9"/>
  <c r="J9"/>
  <c r="I9"/>
  <c r="E9"/>
  <c r="H9" s="1"/>
  <c r="D9"/>
  <c r="K9" s="1"/>
  <c r="P8"/>
  <c r="O8"/>
  <c r="N8"/>
  <c r="M8"/>
  <c r="L8"/>
  <c r="J8"/>
  <c r="I8"/>
  <c r="F8"/>
  <c r="E8"/>
  <c r="H8" s="1"/>
  <c r="D8"/>
  <c r="K8" s="1"/>
  <c r="P7"/>
  <c r="O7"/>
  <c r="M7"/>
  <c r="L7"/>
  <c r="K7"/>
  <c r="J7"/>
  <c r="I7"/>
  <c r="G7"/>
  <c r="E7"/>
  <c r="N7" s="1"/>
  <c r="D7"/>
  <c r="P6"/>
  <c r="O6"/>
  <c r="M6"/>
  <c r="L6"/>
  <c r="J6"/>
  <c r="I6"/>
  <c r="H6"/>
  <c r="E6"/>
  <c r="N6" s="1"/>
  <c r="D6"/>
  <c r="K6" s="1"/>
  <c r="P5"/>
  <c r="O5"/>
  <c r="M5"/>
  <c r="L5"/>
  <c r="J5"/>
  <c r="I5"/>
  <c r="E5"/>
  <c r="H5" s="1"/>
  <c r="D5"/>
  <c r="K5" s="1"/>
  <c r="P4"/>
  <c r="O4"/>
  <c r="N4"/>
  <c r="M4"/>
  <c r="L4"/>
  <c r="J4"/>
  <c r="I4"/>
  <c r="F4"/>
  <c r="E4"/>
  <c r="H4" s="1"/>
  <c r="D4"/>
  <c r="K4" s="1"/>
  <c r="P3"/>
  <c r="O3"/>
  <c r="M3"/>
  <c r="L3"/>
  <c r="K3"/>
  <c r="J3"/>
  <c r="I3"/>
  <c r="G3"/>
  <c r="E3"/>
  <c r="N3" s="1"/>
  <c r="D3"/>
  <c r="P2"/>
  <c r="O2"/>
  <c r="M2"/>
  <c r="L2"/>
  <c r="J2"/>
  <c r="I2"/>
  <c r="H2"/>
  <c r="E2"/>
  <c r="N2" s="1"/>
  <c r="D2"/>
  <c r="K2" s="1"/>
  <c r="D1461" i="3"/>
  <c r="D1460"/>
  <c r="D1459"/>
  <c r="O12" i="19" l="1"/>
  <c r="E12"/>
  <c r="P12"/>
  <c r="L12"/>
  <c r="D12"/>
  <c r="M12"/>
  <c r="J12"/>
  <c r="I12"/>
  <c r="G14"/>
  <c r="H14"/>
  <c r="G13"/>
  <c r="H3"/>
  <c r="G4"/>
  <c r="F5"/>
  <c r="N5"/>
  <c r="H7"/>
  <c r="G8"/>
  <c r="F9"/>
  <c r="N9"/>
  <c r="H11"/>
  <c r="H13"/>
  <c r="B32"/>
  <c r="G2"/>
  <c r="F3"/>
  <c r="G6"/>
  <c r="F7"/>
  <c r="G10"/>
  <c r="F11"/>
  <c r="E22"/>
  <c r="E24"/>
  <c r="E26"/>
  <c r="E28"/>
  <c r="E30"/>
  <c r="F2"/>
  <c r="G5"/>
  <c r="F6"/>
  <c r="G9"/>
  <c r="F10"/>
  <c r="F23"/>
  <c r="F25"/>
  <c r="F27"/>
  <c r="F29"/>
  <c r="F31"/>
  <c r="O18" i="14"/>
  <c r="C18"/>
  <c r="C17"/>
  <c r="C16"/>
  <c r="C15"/>
  <c r="C14"/>
  <c r="C13"/>
  <c r="G18"/>
  <c r="G16"/>
  <c r="G15"/>
  <c r="Q13"/>
  <c r="K12" i="19" l="1"/>
  <c r="G12"/>
  <c r="K32"/>
  <c r="G32"/>
  <c r="C32"/>
  <c r="L32"/>
  <c r="H32"/>
  <c r="D32"/>
  <c r="H12"/>
  <c r="N12"/>
  <c r="F12"/>
  <c r="R18" i="14"/>
  <c r="I32" i="19" l="1"/>
  <c r="E32"/>
  <c r="J32"/>
  <c r="F32"/>
  <c r="P33" i="4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O19" i="14"/>
  <c r="D2" i="18" l="1"/>
  <c r="R8" i="4" l="1"/>
  <c r="L8"/>
  <c r="K8"/>
  <c r="J8"/>
  <c r="O8" s="1"/>
  <c r="S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R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S6" s="1"/>
  <c r="D3" i="17"/>
  <c r="B4"/>
  <c r="B3"/>
  <c r="D2"/>
  <c r="Q6" i="3"/>
  <c r="R7" i="4" l="1"/>
  <c r="L7"/>
  <c r="K7"/>
  <c r="J7"/>
  <c r="S7" l="1"/>
  <c r="O7"/>
  <c r="O6" i="14"/>
  <c r="P6"/>
  <c r="M3" i="1"/>
  <c r="O4" s="1"/>
  <c r="O9" i="14" l="1"/>
  <c r="O13"/>
  <c r="P9"/>
  <c r="P13"/>
  <c r="R14" i="4"/>
  <c r="L14"/>
  <c r="K14"/>
  <c r="J14"/>
  <c r="O14" l="1"/>
  <c r="S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7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20" i="14"/>
  <c r="G19"/>
  <c r="G6"/>
  <c r="G7"/>
  <c r="G9"/>
  <c r="G10"/>
  <c r="G11"/>
  <c r="G12"/>
  <c r="G2"/>
  <c r="J4" i="6"/>
  <c r="R4" s="1"/>
  <c r="H4"/>
  <c r="F4" s="1"/>
  <c r="I4"/>
  <c r="G4" s="1"/>
  <c r="C20" i="14"/>
  <c r="C12"/>
  <c r="C19" s="1"/>
  <c r="S2" i="13"/>
  <c r="S3"/>
  <c r="S4"/>
  <c r="S5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S61"/>
  <c r="S62"/>
  <c r="S63"/>
  <c r="S64"/>
  <c r="S65"/>
  <c r="S66"/>
  <c r="S67"/>
  <c r="S68"/>
  <c r="S69"/>
  <c r="S70"/>
  <c r="S71"/>
  <c r="S72"/>
  <c r="S73"/>
  <c r="S74"/>
  <c r="S75"/>
  <c r="S76"/>
  <c r="S77"/>
  <c r="S78"/>
  <c r="S79"/>
  <c r="S80"/>
  <c r="S81"/>
  <c r="S82"/>
  <c r="S83"/>
  <c r="S84"/>
  <c r="S85"/>
  <c r="S86"/>
  <c r="S87"/>
  <c r="S88"/>
  <c r="S89"/>
  <c r="S90"/>
  <c r="S91"/>
  <c r="S92"/>
  <c r="S93"/>
  <c r="S94"/>
  <c r="S95"/>
  <c r="S96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116"/>
  <c r="S117"/>
  <c r="S118"/>
  <c r="S119"/>
  <c r="S120"/>
  <c r="S121"/>
  <c r="S122"/>
  <c r="S123"/>
  <c r="S124"/>
  <c r="S125"/>
  <c r="S126"/>
  <c r="S127"/>
  <c r="S128"/>
  <c r="S129"/>
  <c r="S130"/>
  <c r="S131"/>
  <c r="S132"/>
  <c r="S133"/>
  <c r="S134"/>
  <c r="S135"/>
  <c r="S136"/>
  <c r="S137"/>
  <c r="S138"/>
  <c r="S139"/>
  <c r="S140"/>
  <c r="S141"/>
  <c r="S142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165"/>
  <c r="S166"/>
  <c r="S167"/>
  <c r="S168"/>
  <c r="S169"/>
  <c r="S170"/>
  <c r="S171"/>
  <c r="S172"/>
  <c r="S173"/>
  <c r="S174"/>
  <c r="S175"/>
  <c r="S176"/>
  <c r="S177"/>
  <c r="S178"/>
  <c r="S179"/>
  <c r="S180"/>
  <c r="S181"/>
  <c r="S182"/>
  <c r="S183"/>
  <c r="S184"/>
  <c r="S185"/>
  <c r="S186"/>
  <c r="S187"/>
  <c r="S188"/>
  <c r="S189"/>
  <c r="S190"/>
  <c r="S191"/>
  <c r="S192"/>
  <c r="S193"/>
  <c r="S194"/>
  <c r="S195"/>
  <c r="S196"/>
  <c r="S197"/>
  <c r="S198"/>
  <c r="S199"/>
  <c r="S200"/>
  <c r="S201"/>
  <c r="S202"/>
  <c r="S203"/>
  <c r="S204"/>
  <c r="S205"/>
  <c r="S206"/>
  <c r="S207"/>
  <c r="S208"/>
  <c r="S209"/>
  <c r="S210"/>
  <c r="S211"/>
  <c r="S212"/>
  <c r="S213"/>
  <c r="S214"/>
  <c r="S215"/>
  <c r="S216"/>
  <c r="S217"/>
  <c r="S218"/>
  <c r="S219"/>
  <c r="S220"/>
  <c r="S221"/>
  <c r="S222"/>
  <c r="S223"/>
  <c r="S224"/>
  <c r="S225"/>
  <c r="S226"/>
  <c r="S227"/>
  <c r="S228"/>
  <c r="S229"/>
  <c r="S230"/>
  <c r="S231"/>
  <c r="S232"/>
  <c r="S233"/>
  <c r="S234"/>
  <c r="S235"/>
  <c r="S236"/>
  <c r="S237"/>
  <c r="S238"/>
  <c r="S239"/>
  <c r="S240"/>
  <c r="S241"/>
  <c r="S242"/>
  <c r="S243"/>
  <c r="S244"/>
  <c r="S245"/>
  <c r="S246"/>
  <c r="S247"/>
  <c r="S248"/>
  <c r="S249"/>
  <c r="S250"/>
  <c r="S251"/>
  <c r="S252"/>
  <c r="S253"/>
  <c r="S254"/>
  <c r="S255"/>
  <c r="S256"/>
  <c r="S257"/>
  <c r="S258"/>
  <c r="S259"/>
  <c r="S260"/>
  <c r="S261"/>
  <c r="S262"/>
  <c r="S263"/>
  <c r="S264"/>
  <c r="S265"/>
  <c r="S266"/>
  <c r="S267"/>
  <c r="S268"/>
  <c r="S269"/>
  <c r="S270"/>
  <c r="S271"/>
  <c r="S272"/>
  <c r="S273"/>
  <c r="S274"/>
  <c r="S275"/>
  <c r="S276"/>
  <c r="S277"/>
  <c r="S278"/>
  <c r="S279"/>
  <c r="S280"/>
  <c r="S281"/>
  <c r="S282"/>
  <c r="S283"/>
  <c r="S284"/>
  <c r="S285"/>
  <c r="S286"/>
  <c r="S287"/>
  <c r="S288"/>
  <c r="S289"/>
  <c r="S290"/>
  <c r="S291"/>
  <c r="S292"/>
  <c r="S293"/>
  <c r="S294"/>
  <c r="S295"/>
  <c r="S296"/>
  <c r="S297"/>
  <c r="S298"/>
  <c r="S299"/>
  <c r="S300"/>
  <c r="S301"/>
  <c r="S302"/>
  <c r="S303"/>
  <c r="S304"/>
  <c r="S305"/>
  <c r="S306"/>
  <c r="S307"/>
  <c r="S308"/>
  <c r="S309"/>
  <c r="S310"/>
  <c r="S311"/>
  <c r="S312"/>
  <c r="S313"/>
  <c r="S314"/>
  <c r="S315"/>
  <c r="S316"/>
  <c r="S317"/>
  <c r="S318"/>
  <c r="S319"/>
  <c r="S320"/>
  <c r="S321"/>
  <c r="S322"/>
  <c r="S323"/>
  <c r="S324"/>
  <c r="S325"/>
  <c r="S326"/>
  <c r="S327"/>
  <c r="R2"/>
  <c r="R3"/>
  <c r="R4"/>
  <c r="R5"/>
  <c r="R6"/>
  <c r="R7"/>
  <c r="R8"/>
  <c r="R9"/>
  <c r="R10"/>
  <c r="R11"/>
  <c r="R12"/>
  <c r="R13"/>
  <c r="R14"/>
  <c r="R15"/>
  <c r="R16"/>
  <c r="R17"/>
  <c r="R18"/>
  <c r="R19"/>
  <c r="R20"/>
  <c r="R21"/>
  <c r="R22"/>
  <c r="R23"/>
  <c r="R24"/>
  <c r="R25"/>
  <c r="R26"/>
  <c r="R27"/>
  <c r="R28"/>
  <c r="R29"/>
  <c r="R30"/>
  <c r="R31"/>
  <c r="R32"/>
  <c r="R33"/>
  <c r="R34"/>
  <c r="R35"/>
  <c r="R36"/>
  <c r="R37"/>
  <c r="R38"/>
  <c r="R39"/>
  <c r="R40"/>
  <c r="R41"/>
  <c r="R42"/>
  <c r="R43"/>
  <c r="R44"/>
  <c r="R45"/>
  <c r="R46"/>
  <c r="R47"/>
  <c r="R48"/>
  <c r="R49"/>
  <c r="R50"/>
  <c r="R51"/>
  <c r="R52"/>
  <c r="R53"/>
  <c r="R54"/>
  <c r="R55"/>
  <c r="R56"/>
  <c r="R57"/>
  <c r="R58"/>
  <c r="R59"/>
  <c r="R60"/>
  <c r="R61"/>
  <c r="R62"/>
  <c r="R63"/>
  <c r="R64"/>
  <c r="R65"/>
  <c r="R66"/>
  <c r="R67"/>
  <c r="R68"/>
  <c r="R69"/>
  <c r="R70"/>
  <c r="R71"/>
  <c r="R72"/>
  <c r="R73"/>
  <c r="R74"/>
  <c r="R75"/>
  <c r="R76"/>
  <c r="R77"/>
  <c r="R78"/>
  <c r="R79"/>
  <c r="R80"/>
  <c r="R81"/>
  <c r="R82"/>
  <c r="R83"/>
  <c r="R84"/>
  <c r="R85"/>
  <c r="R86"/>
  <c r="R87"/>
  <c r="R88"/>
  <c r="R89"/>
  <c r="R90"/>
  <c r="R91"/>
  <c r="R92"/>
  <c r="R93"/>
  <c r="R94"/>
  <c r="R95"/>
  <c r="R96"/>
  <c r="R97"/>
  <c r="R98"/>
  <c r="R99"/>
  <c r="R100"/>
  <c r="R101"/>
  <c r="R102"/>
  <c r="R103"/>
  <c r="R104"/>
  <c r="R105"/>
  <c r="R106"/>
  <c r="R107"/>
  <c r="R108"/>
  <c r="R109"/>
  <c r="R110"/>
  <c r="R111"/>
  <c r="R112"/>
  <c r="R113"/>
  <c r="R114"/>
  <c r="R115"/>
  <c r="R116"/>
  <c r="R117"/>
  <c r="R118"/>
  <c r="R119"/>
  <c r="R120"/>
  <c r="R121"/>
  <c r="R122"/>
  <c r="R123"/>
  <c r="R124"/>
  <c r="R125"/>
  <c r="R126"/>
  <c r="R127"/>
  <c r="R128"/>
  <c r="R129"/>
  <c r="R130"/>
  <c r="R131"/>
  <c r="R132"/>
  <c r="R133"/>
  <c r="R134"/>
  <c r="R135"/>
  <c r="R136"/>
  <c r="R137"/>
  <c r="R138"/>
  <c r="R139"/>
  <c r="R140"/>
  <c r="R141"/>
  <c r="R142"/>
  <c r="R143"/>
  <c r="R144"/>
  <c r="R145"/>
  <c r="R146"/>
  <c r="R147"/>
  <c r="R148"/>
  <c r="R149"/>
  <c r="R150"/>
  <c r="R151"/>
  <c r="R152"/>
  <c r="R153"/>
  <c r="R154"/>
  <c r="R155"/>
  <c r="R156"/>
  <c r="R157"/>
  <c r="R158"/>
  <c r="R159"/>
  <c r="R160"/>
  <c r="R161"/>
  <c r="R162"/>
  <c r="R163"/>
  <c r="R164"/>
  <c r="R165"/>
  <c r="R166"/>
  <c r="R167"/>
  <c r="R168"/>
  <c r="R169"/>
  <c r="R170"/>
  <c r="R171"/>
  <c r="R172"/>
  <c r="R173"/>
  <c r="R174"/>
  <c r="R175"/>
  <c r="R176"/>
  <c r="R177"/>
  <c r="R178"/>
  <c r="R179"/>
  <c r="R180"/>
  <c r="R181"/>
  <c r="R182"/>
  <c r="R183"/>
  <c r="R184"/>
  <c r="R185"/>
  <c r="R186"/>
  <c r="R187"/>
  <c r="R188"/>
  <c r="R189"/>
  <c r="R190"/>
  <c r="R191"/>
  <c r="R192"/>
  <c r="R193"/>
  <c r="R194"/>
  <c r="R195"/>
  <c r="R196"/>
  <c r="R197"/>
  <c r="R198"/>
  <c r="R199"/>
  <c r="R200"/>
  <c r="R201"/>
  <c r="R202"/>
  <c r="R203"/>
  <c r="R204"/>
  <c r="R205"/>
  <c r="R206"/>
  <c r="R207"/>
  <c r="R208"/>
  <c r="R209"/>
  <c r="R210"/>
  <c r="R211"/>
  <c r="R212"/>
  <c r="R213"/>
  <c r="R214"/>
  <c r="R215"/>
  <c r="R216"/>
  <c r="R217"/>
  <c r="R218"/>
  <c r="R219"/>
  <c r="R220"/>
  <c r="R221"/>
  <c r="R222"/>
  <c r="R223"/>
  <c r="R224"/>
  <c r="R225"/>
  <c r="R226"/>
  <c r="R227"/>
  <c r="R228"/>
  <c r="R229"/>
  <c r="R230"/>
  <c r="R231"/>
  <c r="R232"/>
  <c r="R233"/>
  <c r="R234"/>
  <c r="R235"/>
  <c r="R236"/>
  <c r="R237"/>
  <c r="R238"/>
  <c r="R239"/>
  <c r="R240"/>
  <c r="R241"/>
  <c r="R242"/>
  <c r="R243"/>
  <c r="R244"/>
  <c r="R245"/>
  <c r="R246"/>
  <c r="R247"/>
  <c r="R248"/>
  <c r="R249"/>
  <c r="R250"/>
  <c r="R251"/>
  <c r="R252"/>
  <c r="R253"/>
  <c r="R254"/>
  <c r="R255"/>
  <c r="R256"/>
  <c r="R257"/>
  <c r="R258"/>
  <c r="R259"/>
  <c r="R260"/>
  <c r="R261"/>
  <c r="R262"/>
  <c r="R263"/>
  <c r="R264"/>
  <c r="R265"/>
  <c r="R266"/>
  <c r="R267"/>
  <c r="R268"/>
  <c r="R269"/>
  <c r="R270"/>
  <c r="R271"/>
  <c r="R272"/>
  <c r="R273"/>
  <c r="R274"/>
  <c r="R275"/>
  <c r="R276"/>
  <c r="R277"/>
  <c r="R278"/>
  <c r="R279"/>
  <c r="R280"/>
  <c r="R281"/>
  <c r="R282"/>
  <c r="R283"/>
  <c r="R284"/>
  <c r="R285"/>
  <c r="R286"/>
  <c r="R287"/>
  <c r="R288"/>
  <c r="R289"/>
  <c r="R290"/>
  <c r="R291"/>
  <c r="R292"/>
  <c r="R293"/>
  <c r="R294"/>
  <c r="R295"/>
  <c r="R296"/>
  <c r="R297"/>
  <c r="R298"/>
  <c r="R299"/>
  <c r="R300"/>
  <c r="R301"/>
  <c r="R302"/>
  <c r="R303"/>
  <c r="R304"/>
  <c r="R305"/>
  <c r="R306"/>
  <c r="R307"/>
  <c r="R308"/>
  <c r="R309"/>
  <c r="R310"/>
  <c r="R311"/>
  <c r="R312"/>
  <c r="R313"/>
  <c r="R314"/>
  <c r="R315"/>
  <c r="R316"/>
  <c r="R317"/>
  <c r="R318"/>
  <c r="R319"/>
  <c r="R320"/>
  <c r="R321"/>
  <c r="R322"/>
  <c r="R323"/>
  <c r="R324"/>
  <c r="R325"/>
  <c r="R326"/>
  <c r="R327"/>
  <c r="Q2"/>
  <c r="Q3"/>
  <c r="Q4"/>
  <c r="Q5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116"/>
  <c r="Q117"/>
  <c r="Q118"/>
  <c r="Q119"/>
  <c r="Q120"/>
  <c r="Q121"/>
  <c r="Q122"/>
  <c r="Q123"/>
  <c r="Q124"/>
  <c r="Q125"/>
  <c r="Q126"/>
  <c r="Q127"/>
  <c r="Q128"/>
  <c r="Q129"/>
  <c r="Q130"/>
  <c r="Q131"/>
  <c r="Q132"/>
  <c r="Q133"/>
  <c r="Q134"/>
  <c r="Q135"/>
  <c r="Q136"/>
  <c r="Q137"/>
  <c r="Q138"/>
  <c r="Q139"/>
  <c r="Q140"/>
  <c r="Q141"/>
  <c r="Q142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Q179"/>
  <c r="Q180"/>
  <c r="Q181"/>
  <c r="Q182"/>
  <c r="Q183"/>
  <c r="Q184"/>
  <c r="Q185"/>
  <c r="Q186"/>
  <c r="Q187"/>
  <c r="Q188"/>
  <c r="Q189"/>
  <c r="Q190"/>
  <c r="Q191"/>
  <c r="Q192"/>
  <c r="Q193"/>
  <c r="Q194"/>
  <c r="Q195"/>
  <c r="Q196"/>
  <c r="Q197"/>
  <c r="Q19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218"/>
  <c r="Q219"/>
  <c r="Q220"/>
  <c r="Q221"/>
  <c r="Q222"/>
  <c r="Q223"/>
  <c r="Q224"/>
  <c r="Q225"/>
  <c r="Q226"/>
  <c r="Q227"/>
  <c r="Q228"/>
  <c r="Q229"/>
  <c r="Q230"/>
  <c r="Q231"/>
  <c r="Q232"/>
  <c r="Q233"/>
  <c r="Q234"/>
  <c r="Q235"/>
  <c r="Q236"/>
  <c r="Q237"/>
  <c r="Q238"/>
  <c r="Q239"/>
  <c r="Q240"/>
  <c r="Q241"/>
  <c r="Q242"/>
  <c r="Q243"/>
  <c r="Q244"/>
  <c r="Q245"/>
  <c r="Q246"/>
  <c r="Q247"/>
  <c r="Q248"/>
  <c r="Q249"/>
  <c r="Q250"/>
  <c r="Q251"/>
  <c r="Q252"/>
  <c r="Q253"/>
  <c r="Q254"/>
  <c r="Q255"/>
  <c r="Q256"/>
  <c r="Q257"/>
  <c r="Q258"/>
  <c r="Q259"/>
  <c r="Q260"/>
  <c r="Q261"/>
  <c r="Q262"/>
  <c r="Q263"/>
  <c r="Q264"/>
  <c r="Q265"/>
  <c r="Q266"/>
  <c r="Q267"/>
  <c r="Q268"/>
  <c r="Q269"/>
  <c r="Q270"/>
  <c r="Q271"/>
  <c r="Q272"/>
  <c r="Q273"/>
  <c r="Q274"/>
  <c r="Q275"/>
  <c r="Q276"/>
  <c r="Q277"/>
  <c r="Q278"/>
  <c r="Q279"/>
  <c r="Q280"/>
  <c r="Q281"/>
  <c r="Q282"/>
  <c r="Q283"/>
  <c r="Q284"/>
  <c r="Q285"/>
  <c r="Q286"/>
  <c r="Q287"/>
  <c r="Q288"/>
  <c r="Q289"/>
  <c r="Q290"/>
  <c r="Q291"/>
  <c r="Q292"/>
  <c r="Q293"/>
  <c r="Q294"/>
  <c r="Q295"/>
  <c r="Q296"/>
  <c r="Q297"/>
  <c r="Q298"/>
  <c r="Q299"/>
  <c r="Q300"/>
  <c r="Q301"/>
  <c r="Q302"/>
  <c r="Q303"/>
  <c r="Q304"/>
  <c r="Q305"/>
  <c r="Q306"/>
  <c r="Q307"/>
  <c r="Q308"/>
  <c r="Q309"/>
  <c r="Q310"/>
  <c r="Q311"/>
  <c r="Q312"/>
  <c r="Q313"/>
  <c r="Q314"/>
  <c r="Q315"/>
  <c r="Q316"/>
  <c r="Q317"/>
  <c r="Q318"/>
  <c r="Q319"/>
  <c r="Q320"/>
  <c r="Q321"/>
  <c r="Q322"/>
  <c r="Q323"/>
  <c r="Q324"/>
  <c r="Q325"/>
  <c r="Q326"/>
  <c r="Q327"/>
  <c r="T2"/>
  <c r="T3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T50"/>
  <c r="T51"/>
  <c r="T52"/>
  <c r="T53"/>
  <c r="T54"/>
  <c r="T55"/>
  <c r="T56"/>
  <c r="T57"/>
  <c r="T58"/>
  <c r="T59"/>
  <c r="T60"/>
  <c r="T61"/>
  <c r="T62"/>
  <c r="T63"/>
  <c r="T64"/>
  <c r="T65"/>
  <c r="T66"/>
  <c r="T67"/>
  <c r="T68"/>
  <c r="T69"/>
  <c r="T70"/>
  <c r="T71"/>
  <c r="T72"/>
  <c r="T73"/>
  <c r="T74"/>
  <c r="T75"/>
  <c r="T76"/>
  <c r="T77"/>
  <c r="T78"/>
  <c r="T79"/>
  <c r="T80"/>
  <c r="T81"/>
  <c r="T82"/>
  <c r="T83"/>
  <c r="T84"/>
  <c r="T85"/>
  <c r="T86"/>
  <c r="T87"/>
  <c r="T88"/>
  <c r="T89"/>
  <c r="T90"/>
  <c r="T91"/>
  <c r="T92"/>
  <c r="T93"/>
  <c r="T94"/>
  <c r="T95"/>
  <c r="T96"/>
  <c r="T97"/>
  <c r="T98"/>
  <c r="T99"/>
  <c r="T100"/>
  <c r="T101"/>
  <c r="T102"/>
  <c r="T103"/>
  <c r="T104"/>
  <c r="T105"/>
  <c r="T106"/>
  <c r="T107"/>
  <c r="T108"/>
  <c r="T109"/>
  <c r="T110"/>
  <c r="T111"/>
  <c r="T112"/>
  <c r="T113"/>
  <c r="T114"/>
  <c r="T115"/>
  <c r="T116"/>
  <c r="T117"/>
  <c r="T118"/>
  <c r="T119"/>
  <c r="T120"/>
  <c r="T121"/>
  <c r="T122"/>
  <c r="T123"/>
  <c r="T124"/>
  <c r="T125"/>
  <c r="T126"/>
  <c r="T127"/>
  <c r="T128"/>
  <c r="T129"/>
  <c r="T130"/>
  <c r="T131"/>
  <c r="T132"/>
  <c r="T133"/>
  <c r="T134"/>
  <c r="T135"/>
  <c r="T136"/>
  <c r="T137"/>
  <c r="T138"/>
  <c r="T139"/>
  <c r="T140"/>
  <c r="T141"/>
  <c r="T142"/>
  <c r="T143"/>
  <c r="T144"/>
  <c r="T145"/>
  <c r="T146"/>
  <c r="T147"/>
  <c r="T148"/>
  <c r="T149"/>
  <c r="T150"/>
  <c r="T151"/>
  <c r="T152"/>
  <c r="T153"/>
  <c r="T154"/>
  <c r="T155"/>
  <c r="T156"/>
  <c r="T157"/>
  <c r="T158"/>
  <c r="T159"/>
  <c r="T160"/>
  <c r="T161"/>
  <c r="T162"/>
  <c r="T163"/>
  <c r="T164"/>
  <c r="T165"/>
  <c r="T166"/>
  <c r="T167"/>
  <c r="T168"/>
  <c r="T169"/>
  <c r="T170"/>
  <c r="T171"/>
  <c r="T172"/>
  <c r="T173"/>
  <c r="T174"/>
  <c r="T175"/>
  <c r="T176"/>
  <c r="T177"/>
  <c r="T178"/>
  <c r="T179"/>
  <c r="T180"/>
  <c r="T181"/>
  <c r="T182"/>
  <c r="T183"/>
  <c r="T184"/>
  <c r="T185"/>
  <c r="T186"/>
  <c r="T187"/>
  <c r="T188"/>
  <c r="T189"/>
  <c r="T190"/>
  <c r="T191"/>
  <c r="T192"/>
  <c r="T193"/>
  <c r="T194"/>
  <c r="T195"/>
  <c r="T196"/>
  <c r="T197"/>
  <c r="T198"/>
  <c r="T199"/>
  <c r="T200"/>
  <c r="T201"/>
  <c r="T202"/>
  <c r="T203"/>
  <c r="T204"/>
  <c r="T205"/>
  <c r="T206"/>
  <c r="T207"/>
  <c r="T208"/>
  <c r="T209"/>
  <c r="T210"/>
  <c r="T211"/>
  <c r="T212"/>
  <c r="T213"/>
  <c r="T214"/>
  <c r="T215"/>
  <c r="T216"/>
  <c r="T217"/>
  <c r="T218"/>
  <c r="T219"/>
  <c r="T220"/>
  <c r="T221"/>
  <c r="T222"/>
  <c r="T223"/>
  <c r="T224"/>
  <c r="T225"/>
  <c r="T226"/>
  <c r="T227"/>
  <c r="T228"/>
  <c r="T229"/>
  <c r="T230"/>
  <c r="T231"/>
  <c r="T232"/>
  <c r="T233"/>
  <c r="T234"/>
  <c r="T235"/>
  <c r="T236"/>
  <c r="T237"/>
  <c r="T238"/>
  <c r="T239"/>
  <c r="T240"/>
  <c r="T241"/>
  <c r="T242"/>
  <c r="T243"/>
  <c r="T244"/>
  <c r="T245"/>
  <c r="T246"/>
  <c r="T247"/>
  <c r="T248"/>
  <c r="T249"/>
  <c r="T250"/>
  <c r="T251"/>
  <c r="T252"/>
  <c r="T253"/>
  <c r="T254"/>
  <c r="T255"/>
  <c r="T256"/>
  <c r="T257"/>
  <c r="T258"/>
  <c r="T259"/>
  <c r="T260"/>
  <c r="T261"/>
  <c r="T262"/>
  <c r="T263"/>
  <c r="T264"/>
  <c r="T265"/>
  <c r="T266"/>
  <c r="T267"/>
  <c r="T268"/>
  <c r="T269"/>
  <c r="T270"/>
  <c r="T271"/>
  <c r="T272"/>
  <c r="T273"/>
  <c r="T274"/>
  <c r="T275"/>
  <c r="T276"/>
  <c r="T277"/>
  <c r="T278"/>
  <c r="T279"/>
  <c r="T280"/>
  <c r="T281"/>
  <c r="T282"/>
  <c r="T283"/>
  <c r="T284"/>
  <c r="T285"/>
  <c r="T286"/>
  <c r="T287"/>
  <c r="T288"/>
  <c r="T289"/>
  <c r="T290"/>
  <c r="T291"/>
  <c r="T292"/>
  <c r="T293"/>
  <c r="T294"/>
  <c r="T295"/>
  <c r="T296"/>
  <c r="T297"/>
  <c r="T298"/>
  <c r="T299"/>
  <c r="T300"/>
  <c r="T301"/>
  <c r="T302"/>
  <c r="T303"/>
  <c r="T304"/>
  <c r="T305"/>
  <c r="T306"/>
  <c r="T307"/>
  <c r="T308"/>
  <c r="T309"/>
  <c r="T310"/>
  <c r="T311"/>
  <c r="T312"/>
  <c r="T313"/>
  <c r="T314"/>
  <c r="T315"/>
  <c r="T316"/>
  <c r="T317"/>
  <c r="T318"/>
  <c r="T319"/>
  <c r="T320"/>
  <c r="T321"/>
  <c r="T322"/>
  <c r="T323"/>
  <c r="T324"/>
  <c r="T325"/>
  <c r="T326"/>
  <c r="T327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2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AT11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R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S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R13" i="4"/>
  <c r="L13"/>
  <c r="K13"/>
  <c r="J13"/>
  <c r="T6" i="5"/>
  <c r="W6"/>
  <c r="V6"/>
  <c r="U6"/>
  <c r="R6"/>
  <c r="S6"/>
  <c r="AT15" i="6" l="1"/>
  <c r="AS15"/>
  <c r="AO16"/>
  <c r="AU16" s="1"/>
  <c r="AM15"/>
  <c r="AQ12"/>
  <c r="AR12"/>
  <c r="I38" i="2"/>
  <c r="J37"/>
  <c r="K37"/>
  <c r="O13" i="4"/>
  <c r="S13" s="1"/>
  <c r="R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L1370" l="1"/>
  <c r="L1346"/>
  <c r="M7" i="4" s="1"/>
  <c r="K1370" i="3"/>
  <c r="K1346"/>
  <c r="I8" i="4"/>
  <c r="N8" s="1"/>
  <c r="L1327" i="3"/>
  <c r="M8" i="4" s="1"/>
  <c r="K1327" i="3"/>
  <c r="L1231"/>
  <c r="M6" i="4"/>
  <c r="I6"/>
  <c r="N6" s="1"/>
  <c r="K1235" i="3"/>
  <c r="K1223"/>
  <c r="L1235"/>
  <c r="L1223"/>
  <c r="I7" i="4"/>
  <c r="N7" s="1"/>
  <c r="L1114" i="3"/>
  <c r="I14" i="4"/>
  <c r="N14" s="1"/>
  <c r="AT16" i="6"/>
  <c r="AS16"/>
  <c r="AO17"/>
  <c r="AU17" s="1"/>
  <c r="AM16"/>
  <c r="AR13"/>
  <c r="AQ13"/>
  <c r="I32" i="4"/>
  <c r="N32" s="1"/>
  <c r="M32"/>
  <c r="K38" i="2"/>
  <c r="J38"/>
  <c r="M23" i="4"/>
  <c r="K1016" i="3"/>
  <c r="L1016"/>
  <c r="M30" i="4"/>
  <c r="M31"/>
  <c r="M12"/>
  <c r="M15"/>
  <c r="M19"/>
  <c r="M10"/>
  <c r="M9"/>
  <c r="M3"/>
  <c r="M17"/>
  <c r="M11"/>
  <c r="M13"/>
  <c r="M18"/>
  <c r="M29"/>
  <c r="M20"/>
  <c r="M5"/>
  <c r="M28"/>
  <c r="M16"/>
  <c r="M26"/>
  <c r="I13"/>
  <c r="N13" s="1"/>
  <c r="I22"/>
  <c r="N22" s="1"/>
  <c r="O22"/>
  <c r="S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R23" i="4"/>
  <c r="J23"/>
  <c r="L23"/>
  <c r="Q32" l="1"/>
  <c r="P32"/>
  <c r="R20" i="14"/>
  <c r="O12"/>
  <c r="O10" s="1"/>
  <c r="Q6" i="4"/>
  <c r="P6"/>
  <c r="Q13"/>
  <c r="P13"/>
  <c r="P23"/>
  <c r="Q8"/>
  <c r="P8"/>
  <c r="Q7"/>
  <c r="P7"/>
  <c r="P12" i="14"/>
  <c r="P10" s="1"/>
  <c r="Q12"/>
  <c r="Q10" s="1"/>
  <c r="M14" i="4"/>
  <c r="AT17" i="6"/>
  <c r="AS17"/>
  <c r="AO18"/>
  <c r="AU18" s="1"/>
  <c r="AM17"/>
  <c r="AR14"/>
  <c r="AQ14"/>
  <c r="M22" i="4"/>
  <c r="M25"/>
  <c r="K23"/>
  <c r="O23"/>
  <c r="S23" s="1"/>
  <c r="Q23"/>
  <c r="R25"/>
  <c r="L25"/>
  <c r="K25"/>
  <c r="J25"/>
  <c r="R15"/>
  <c r="L15"/>
  <c r="J15"/>
  <c r="P15" s="1"/>
  <c r="R21"/>
  <c r="L21"/>
  <c r="J21"/>
  <c r="P21" s="1"/>
  <c r="R20"/>
  <c r="L20"/>
  <c r="J20"/>
  <c r="P20" s="1"/>
  <c r="R17"/>
  <c r="L17"/>
  <c r="J17"/>
  <c r="P17" s="1"/>
  <c r="T4" i="5"/>
  <c r="W5"/>
  <c r="S4"/>
  <c r="T5"/>
  <c r="U5"/>
  <c r="S5"/>
  <c r="U4"/>
  <c r="R5"/>
  <c r="V4"/>
  <c r="V5"/>
  <c r="W4"/>
  <c r="P25" i="4" l="1"/>
  <c r="Q14"/>
  <c r="P14"/>
  <c r="R21" i="14" s="1"/>
  <c r="Q22" i="4"/>
  <c r="P22"/>
  <c r="AT18" i="6"/>
  <c r="AS18"/>
  <c r="AO19"/>
  <c r="AU19" s="1"/>
  <c r="AM18"/>
  <c r="AR15"/>
  <c r="AQ15"/>
  <c r="Q25" i="4"/>
  <c r="O25"/>
  <c r="S25" s="1"/>
  <c r="O15"/>
  <c r="S15" s="1"/>
  <c r="O20"/>
  <c r="O17"/>
  <c r="S17" s="1"/>
  <c r="O21"/>
  <c r="S21" s="1"/>
  <c r="S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R19"/>
  <c r="L19"/>
  <c r="K19"/>
  <c r="J19"/>
  <c r="P19" s="1"/>
  <c r="J2"/>
  <c r="AT20" i="6" l="1"/>
  <c r="AS20"/>
  <c r="AO21"/>
  <c r="AU21" s="1"/>
  <c r="AM20"/>
  <c r="AR17"/>
  <c r="AQ17"/>
  <c r="I25" i="4"/>
  <c r="N25" s="1"/>
  <c r="Q21"/>
  <c r="I21"/>
  <c r="N21" s="1"/>
  <c r="O20" i="14" s="1"/>
  <c r="I15" i="4"/>
  <c r="N15" s="1"/>
  <c r="Q15"/>
  <c r="O19"/>
  <c r="S19" s="1"/>
  <c r="AT21" i="6" l="1"/>
  <c r="AS21"/>
  <c r="AO22"/>
  <c r="AU22" s="1"/>
  <c r="AM21"/>
  <c r="AR18"/>
  <c r="AQ18"/>
  <c r="K2" i="4"/>
  <c r="R2"/>
  <c r="L2"/>
  <c r="AT22" i="6" l="1"/>
  <c r="AS22"/>
  <c r="AO23"/>
  <c r="AU23" s="1"/>
  <c r="AM22"/>
  <c r="AR19"/>
  <c r="AQ19"/>
  <c r="O2" i="4"/>
  <c r="S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90" l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R29" i="4"/>
  <c r="L29"/>
  <c r="K29"/>
  <c r="J29"/>
  <c r="P29" s="1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S29" s="1"/>
  <c r="R28"/>
  <c r="R10"/>
  <c r="R9"/>
  <c r="R3"/>
  <c r="R24"/>
  <c r="R11"/>
  <c r="R26"/>
  <c r="R30"/>
  <c r="R27"/>
  <c r="R5"/>
  <c r="R4"/>
  <c r="R12"/>
  <c r="R16"/>
  <c r="R31"/>
  <c r="R18"/>
  <c r="O29" i="1"/>
  <c r="M17"/>
  <c r="M18" s="1"/>
  <c r="J9" i="4"/>
  <c r="J28"/>
  <c r="P28" s="1"/>
  <c r="J10"/>
  <c r="J5"/>
  <c r="P5" s="1"/>
  <c r="J11"/>
  <c r="P11" s="1"/>
  <c r="J24"/>
  <c r="P24" s="1"/>
  <c r="J26"/>
  <c r="P26" s="1"/>
  <c r="J30"/>
  <c r="P30" s="1"/>
  <c r="J4"/>
  <c r="P4" s="1"/>
  <c r="J3"/>
  <c r="P3" s="1"/>
  <c r="J12"/>
  <c r="P12" s="1"/>
  <c r="J16"/>
  <c r="P16" s="1"/>
  <c r="J31"/>
  <c r="P31" s="1"/>
  <c r="J27"/>
  <c r="P27" s="1"/>
  <c r="J18"/>
  <c r="P18" s="1"/>
  <c r="L9"/>
  <c r="L28"/>
  <c r="L10"/>
  <c r="L5"/>
  <c r="L11"/>
  <c r="L24"/>
  <c r="L26"/>
  <c r="L30"/>
  <c r="L4"/>
  <c r="L3"/>
  <c r="L12"/>
  <c r="L16"/>
  <c r="L31"/>
  <c r="L27"/>
  <c r="L18"/>
  <c r="P9" l="1"/>
  <c r="N18" i="14"/>
  <c r="P10" i="4"/>
  <c r="U34" i="9"/>
  <c r="U35"/>
  <c r="U33"/>
  <c r="U97"/>
  <c r="S15" i="1" s="1"/>
  <c r="Q11" i="14" s="1"/>
  <c r="Q9" s="1"/>
  <c r="U99" i="9"/>
  <c r="U98"/>
  <c r="AT25" i="6"/>
  <c r="AS25"/>
  <c r="AO26"/>
  <c r="AU26" s="1"/>
  <c r="AM25"/>
  <c r="AQ22"/>
  <c r="AR22"/>
  <c r="Q35" i="2"/>
  <c r="Q37"/>
  <c r="O37"/>
  <c r="O35"/>
  <c r="O9" i="4"/>
  <c r="S9" s="1"/>
  <c r="O4"/>
  <c r="S4" s="1"/>
  <c r="O11"/>
  <c r="S11" s="1"/>
  <c r="O18"/>
  <c r="S18" s="1"/>
  <c r="O24"/>
  <c r="S24" s="1"/>
  <c r="O28"/>
  <c r="S28" s="1"/>
  <c r="O3"/>
  <c r="S3" s="1"/>
  <c r="O31"/>
  <c r="S31" s="1"/>
  <c r="O12"/>
  <c r="S12" s="1"/>
  <c r="O26"/>
  <c r="S26" s="1"/>
  <c r="O10"/>
  <c r="S10" s="1"/>
  <c r="O27"/>
  <c r="S27" s="1"/>
  <c r="O16"/>
  <c r="S16" s="1"/>
  <c r="O30"/>
  <c r="S30" s="1"/>
  <c r="O5"/>
  <c r="S5" s="1"/>
  <c r="K10"/>
  <c r="N21" i="14" l="1"/>
  <c r="P18"/>
  <c r="Q18" s="1"/>
  <c r="Q21" s="1"/>
  <c r="N19"/>
  <c r="P19" s="1"/>
  <c r="P22" s="1"/>
  <c r="AT26" i="6"/>
  <c r="AS26"/>
  <c r="AO27"/>
  <c r="AU27" s="1"/>
  <c r="AM26"/>
  <c r="AR23"/>
  <c r="AQ23"/>
  <c r="B35" i="2"/>
  <c r="K18" i="4"/>
  <c r="Q20" i="14" l="1"/>
  <c r="Q19"/>
  <c r="AT27" i="6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Q27"/>
  <c r="Q24"/>
  <c r="Q4"/>
  <c r="Q20"/>
  <c r="AT30" i="6" l="1"/>
  <c r="AS30"/>
  <c r="AO31"/>
  <c r="AU31" s="1"/>
  <c r="AM30"/>
  <c r="AR27"/>
  <c r="AQ27"/>
  <c r="Q17" i="4"/>
  <c r="M2"/>
  <c r="I5"/>
  <c r="N5" s="1"/>
  <c r="Q19"/>
  <c r="Q10"/>
  <c r="P21" i="14" s="1"/>
  <c r="Q30" i="4"/>
  <c r="Q31"/>
  <c r="Q5"/>
  <c r="Q26"/>
  <c r="Q18"/>
  <c r="Q28"/>
  <c r="Q16"/>
  <c r="Q12"/>
  <c r="Q9"/>
  <c r="Q29"/>
  <c r="Q3"/>
  <c r="Q11"/>
  <c r="I27"/>
  <c r="N27" s="1"/>
  <c r="I17"/>
  <c r="N17" s="1"/>
  <c r="M16" i="1"/>
  <c r="M19" s="1"/>
  <c r="Q2" i="4" l="1"/>
  <c r="P2"/>
  <c r="AT31" i="6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N20" i="14" l="1"/>
  <c r="P20" s="1"/>
  <c r="W8" i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P7" s="1"/>
  <c r="S7" s="1"/>
  <c r="U7" s="1"/>
  <c r="O31" i="1"/>
  <c r="N33"/>
  <c r="O33" s="1"/>
  <c r="Q8"/>
  <c r="Q12" s="1"/>
  <c r="P8"/>
  <c r="F8" i="6"/>
  <c r="N8" s="1"/>
  <c r="Q11"/>
  <c r="R10"/>
  <c r="H9"/>
  <c r="F9" s="1"/>
  <c r="I8"/>
  <c r="G8" s="1"/>
  <c r="J13"/>
  <c r="P6"/>
  <c r="S6" s="1"/>
  <c r="U6" s="1"/>
  <c r="P10" i="1"/>
  <c r="O32" i="2"/>
  <c r="O31"/>
  <c r="P32"/>
  <c r="P31"/>
  <c r="O21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8" i="6" l="1"/>
  <c r="O37" i="1"/>
  <c r="P12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P20" s="1"/>
  <c r="S20" s="1"/>
  <c r="U20" s="1"/>
  <c r="I21"/>
  <c r="G21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<sst xmlns="http://schemas.openxmlformats.org/spreadsheetml/2006/main" count="7658" uniqueCount="917">
  <si>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</si>
  <si>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</si>
  <si>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</si>
  <si>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</si>
  <si>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</si>
  <si>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</si>
  <si>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</si>
  <si>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</si>
  <si>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</si>
  <si>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</si>
  <si>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</si>
  <si>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</si>
  <si>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</si>
  <si>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</si>
  <si>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</si>
  <si>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</si>
  <si>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</si>
  <si>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</si>
  <si>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</si>
  <si>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</si>
  <si>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</si>
  <si>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</si>
  <si>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</si>
  <si>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</si>
  <si>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</si>
  <si>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</si>
  <si>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</si>
  <si>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</si>
  <si>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</si>
  <si>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</si>
  <si>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</si>
  <si>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</si>
  <si>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</si>
  <si>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</si>
  <si>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</si>
  <si>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</si>
  <si>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</si>
  <si>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</si>
  <si>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</si>
  <si>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</si>
  <si>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</si>
  <si>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</si>
  <si>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</si>
  <si>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</si>
  <si>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</si>
  <si>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</si>
  <si>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</si>
  <si>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</si>
  <si>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</si>
  <si>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</si>
  <si>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</si>
  <si>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</si>
  <si>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</si>
  <si>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</si>
  <si>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</si>
  <si>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</si>
  <si>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</si>
  <si>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</si>
  <si>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</si>
  <si>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</si>
  <si>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</si>
  <si>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</si>
  <si>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</si>
  <si>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</si>
  <si>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</si>
  <si>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</si>
  <si>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</si>
  <si>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</si>
  <si>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</si>
  <si>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</si>
  <si>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</si>
  <si>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</si>
  <si>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</si>
  <si>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</si>
  <si>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</si>
  <si>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</si>
  <si>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</si>
  <si>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</si>
  <si>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</si>
  <si>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</si>
  <si>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</si>
  <si>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</si>
  <si>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</si>
  <si>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</si>
  <si>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</si>
  <si>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</si>
  <si>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</si>
  <si>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</si>
  <si>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</si>
  <si>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</si>
  <si>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</si>
  <si>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</si>
  <si>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</si>
  <si>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</si>
  <si>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</si>
  <si>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</si>
  <si>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</si>
  <si>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</si>
  <si>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</si>
  <si>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</si>
  <si>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</si>
  <si>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</si>
  <si>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</si>
  <si>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</si>
  <si>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</si>
  <si>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</si>
  <si>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</si>
  <si>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</si>
  <si>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</si>
  <si>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</si>
  <si>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</si>
  <si>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</si>
  <si>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</si>
  <si>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</si>
  <si>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</si>
  <si>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</si>
  <si>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</si>
  <si>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</si>
  <si>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</si>
  <si>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</si>
  <si>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</si>
  <si>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</si>
  <si>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</si>
  <si>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</si>
  <si>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</si>
  <si>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</si>
  <si>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</si>
  <si>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</si>
  <si>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</si>
  <si>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</si>
  <si>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</si>
  <si>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</si>
  <si>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</si>
  <si>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</si>
  <si>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</si>
  <si>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</si>
  <si>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</si>
  <si>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</si>
  <si>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</si>
  <si>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</si>
  <si>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</si>
  <si>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</si>
  <si>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</si>
  <si>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</si>
  <si>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</si>
  <si>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</si>
  <si>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</si>
  <si>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</si>
  <si>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</si>
  <si>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</si>
  <si>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</si>
  <si>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</si>
  <si>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</si>
  <si>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</si>
  <si>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</si>
  <si>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</si>
  <si>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</si>
  <si>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</si>
  <si>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</si>
  <si>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</si>
  <si>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</si>
  <si>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</si>
  <si>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</si>
  <si>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</si>
  <si>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</si>
  <si>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</si>
  <si>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</si>
  <si>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</si>
  <si>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</si>
  <si>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</si>
  <si>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</si>
  <si>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</si>
  <si>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</si>
  <si>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</si>
  <si>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</si>
  <si>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</si>
  <si>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</si>
  <si>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</si>
  <si>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</si>
  <si>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</si>
  <si>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</si>
  <si>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</si>
  <si>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</si>
  <si>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</si>
  <si>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</si>
  <si>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</si>
  <si>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</si>
  <si>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</si>
  <si>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</si>
  <si>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</si>
  <si>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</si>
  <si>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</si>
  <si>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</si>
  <si>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</si>
  <si>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</si>
  <si>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</si>
  <si>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</si>
  <si>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</si>
  <si>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</si>
  <si>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</si>
  <si>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</si>
  <si>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</si>
  <si>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</si>
  <si>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</si>
  <si>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</si>
  <si>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</si>
  <si>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</si>
  <si>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</si>
  <si>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</si>
  <si>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</si>
  <si>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</si>
  <si>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</si>
  <si>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</si>
  <si>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</si>
  <si>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</si>
  <si>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</si>
  <si>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</si>
  <si>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</si>
  <si>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</si>
  <si>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</si>
  <si>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</si>
  <si>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</si>
  <si>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</si>
  <si>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</si>
  <si>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</si>
  <si>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</si>
  <si>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</si>
  <si>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</si>
  <si>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</si>
  <si>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</si>
  <si>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</si>
  <si>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</si>
  <si>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</si>
  <si>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</si>
  <si>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</si>
  <si>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</si>
  <si>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</si>
  <si>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</si>
  <si>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</si>
  <si>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</si>
  <si>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</si>
  <si>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</si>
  <si>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</si>
  <si>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</si>
  <si>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</si>
  <si>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</si>
  <si>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</si>
  <si>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</si>
  <si>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</si>
  <si>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</si>
  <si>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</si>
  <si>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</si>
  <si>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</si>
  <si>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</si>
  <si>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</si>
  <si>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</si>
  <si>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</si>
  <si>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</si>
  <si>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</si>
  <si>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</si>
  <si>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</si>
  <si>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</si>
  <si>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</si>
  <si>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</si>
  <si>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</si>
  <si>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</si>
  <si>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</si>
  <si>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</si>
  <si>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</si>
  <si>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</si>
  <si>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</si>
  <si>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</si>
  <si>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</si>
  <si>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</si>
  <si>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</si>
  <si>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</si>
  <si>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</si>
  <si>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</si>
  <si>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</si>
  <si>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</si>
  <si>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</si>
  <si>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</si>
  <si>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</si>
  <si>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</si>
  <si>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</si>
  <si>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</si>
  <si>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</si>
  <si>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</si>
  <si>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</si>
  <si>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</si>
  <si>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</si>
  <si>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</si>
  <si>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</si>
  <si>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</si>
  <si>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</si>
  <si>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</si>
  <si>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</si>
  <si>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</si>
  <si>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</si>
  <si>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</si>
  <si>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</si>
  <si>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</si>
  <si>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</si>
  <si>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</si>
  <si>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</si>
  <si>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</si>
  <si>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</si>
  <si>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</si>
  <si>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</si>
  <si>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</si>
  <si>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</si>
  <si>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</si>
  <si>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</si>
  <si>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</si>
  <si>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</si>
  <si>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</si>
  <si>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</si>
  <si>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</si>
  <si>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</si>
  <si>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</si>
  <si>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</si>
  <si>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</si>
  <si>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</si>
  <si>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</si>
  <si>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</si>
  <si>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</si>
  <si>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</si>
  <si>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</si>
  <si>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</si>
  <si>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</si>
  <si>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</si>
  <si>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</si>
  <si>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</si>
  <si>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</si>
  <si>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</si>
  <si>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</si>
  <si>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</si>
  <si>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</si>
  <si>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</si>
  <si>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</si>
  <si>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</si>
  <si>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</si>
  <si>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</si>
  <si>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</si>
  <si>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</si>
  <si>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</si>
  <si>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</si>
  <si>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</si>
  <si>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</si>
  <si>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</si>
  <si>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</si>
  <si>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</si>
  <si>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</si>
  <si>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</si>
  <si>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</si>
  <si>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</si>
  <si>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</si>
  <si>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</si>
  <si>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</si>
  <si>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</si>
  <si>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</si>
  <si>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</si>
  <si>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</si>
  <si>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</si>
  <si>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</si>
  <si>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</si>
  <si>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</si>
  <si>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</si>
  <si>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</si>
  <si>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</si>
  <si>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</si>
  <si>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</si>
  <si>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</si>
  <si>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</si>
  <si>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</si>
  <si>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</si>
  <si>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</si>
  <si>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</si>
  <si>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</si>
  <si>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</si>
  <si>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</si>
  <si>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</si>
  <si>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</si>
  <si>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</si>
  <si>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</si>
  <si>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</si>
  <si>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</si>
  <si>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</si>
  <si>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</si>
  <si>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</si>
  <si>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</si>
  <si>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</si>
  <si>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</si>
  <si>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</si>
  <si>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</si>
  <si>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</si>
  <si>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</si>
  <si>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</si>
  <si>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</si>
  <si>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</si>
  <si>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</si>
  <si>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</si>
  <si>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</si>
  <si>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</si>
  <si>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</si>
  <si>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</si>
  <si>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</si>
  <si>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</si>
  <si>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</si>
  <si>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</si>
  <si>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</si>
  <si>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</si>
  <si>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</si>
  <si>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</si>
  <si>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</si>
  <si>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</si>
  <si>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</si>
  <si>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</si>
  <si>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</si>
  <si>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</si>
  <si>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</si>
  <si>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</si>
  <si>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</si>
  <si>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</si>
  <si>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</si>
  <si>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</si>
  <si>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</si>
  <si>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</si>
  <si>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</si>
  <si>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</si>
  <si>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</si>
  <si>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</si>
  <si>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</si>
  <si>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</si>
  <si>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</si>
  <si>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</si>
  <si>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</si>
  <si>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</si>
  <si>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</si>
  <si>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</si>
  <si>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</si>
  <si>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</si>
  <si>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</si>
  <si>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</si>
  <si>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</si>
  <si>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</si>
  <si>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</si>
  <si>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</si>
  <si>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</si>
  <si>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</si>
  <si>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</si>
  <si>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</si>
  <si>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</si>
  <si>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</si>
  <si>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</si>
  <si>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</si>
  <si>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</si>
  <si>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</si>
  <si>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</si>
  <si>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</si>
  <si>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</si>
  <si>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</si>
  <si>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</si>
  <si>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</si>
  <si>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</si>
  <si>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</si>
  <si>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</si>
  <si>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</si>
  <si>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</si>
  <si>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</si>
  <si>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</si>
  <si>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</si>
  <si>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</si>
  <si>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</si>
  <si>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</si>
  <si>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</si>
  <si>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</si>
  <si>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</si>
  <si>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</si>
  <si>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</si>
  <si>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</si>
  <si>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</si>
  <si>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</si>
  <si>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</si>
  <si>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</si>
  <si>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</si>
  <si>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</si>
  <si>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</si>
  <si>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</si>
  <si>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</si>
  <si>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</si>
  <si>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</si>
  <si>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</si>
  <si>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</si>
  <si>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</si>
  <si>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</si>
  <si>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</si>
  <si>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</si>
  <si>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</si>
  <si>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</si>
  <si>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</si>
  <si>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</si>
  <si>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</si>
  <si>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</si>
  <si>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</si>
  <si>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</si>
  <si>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</si>
  <si>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</si>
  <si>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</si>
  <si>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</si>
  <si>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</si>
  <si>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</si>
  <si>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</si>
  <si>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</si>
  <si>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</si>
  <si>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</si>
  <si>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</si>
  <si>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</si>
  <si>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</si>
  <si>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</si>
  <si>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</si>
  <si>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</si>
  <si>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</si>
  <si>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</si>
  <si>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</si>
  <si>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</si>
  <si>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</si>
  <si>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</si>
  <si>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</si>
  <si>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</si>
  <si>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</si>
  <si>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</si>
  <si>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</si>
  <si>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</si>
  <si>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</si>
  <si>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</si>
  <si>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</si>
  <si>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</si>
  <si>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</si>
  <si>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</si>
  <si>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</si>
  <si>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</si>
  <si>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</si>
  <si>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</si>
  <si>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</si>
  <si>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</si>
  <si>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</si>
  <si>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</si>
  <si>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</si>
  <si>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</si>
  <si>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</si>
  <si>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</si>
  <si>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</si>
  <si>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</si>
  <si>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</si>
  <si>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</si>
  <si>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</si>
  <si>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</si>
  <si>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</si>
  <si>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</si>
  <si>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</si>
  <si>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</si>
  <si>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</si>
  <si>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</si>
  <si>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</si>
  <si>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</si>
  <si>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</si>
  <si>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</si>
  <si>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</si>
  <si>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</si>
  <si>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</si>
  <si>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</si>
  <si>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</si>
  <si>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</si>
  <si>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</si>
  <si>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</si>
  <si>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</si>
  <si>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</si>
  <si>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</si>
  <si>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</si>
  <si>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</si>
  <si>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</si>
  <si>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</si>
  <si>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</si>
  <si>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</si>
  <si>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</si>
  <si>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</si>
  <si>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</si>
  <si>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</si>
  <si>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</si>
  <si>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</si>
  <si>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</si>
  <si>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</si>
  <si>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</si>
  <si>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</si>
  <si>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</si>
  <si>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</si>
  <si>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</si>
  <si>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</si>
  <si>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</si>
  <si>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</si>
  <si>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</si>
  <si>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</si>
  <si>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</si>
  <si>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</si>
  <si>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</si>
  <si>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</si>
  <si>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</si>
  <si>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</si>
  <si>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</si>
  <si>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</si>
  <si>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</si>
  <si>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</si>
  <si>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</si>
  <si>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</si>
  <si>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</si>
  <si>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</si>
  <si>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</si>
  <si>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</si>
  <si>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</si>
  <si>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</si>
  <si>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</si>
  <si>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</si>
  <si>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</si>
  <si>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</si>
  <si>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</si>
  <si>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</si>
  <si>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</si>
  <si>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</si>
  <si>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</si>
  <si>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</si>
  <si>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</si>
  <si>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</si>
  <si>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</si>
  <si>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</si>
  <si>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</si>
  <si>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</si>
  <si>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</si>
  <si>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</si>
  <si>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</si>
  <si>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</si>
  <si>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</si>
  <si>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</si>
  <si>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</si>
  <si>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</si>
  <si>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</si>
  <si>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</si>
  <si>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</si>
  <si>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</si>
  <si>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</si>
  <si>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</si>
  <si>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</si>
  <si>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</si>
  <si>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</si>
  <si>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</si>
  <si>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</si>
  <si>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</si>
  <si>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</si>
  <si>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</si>
  <si>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</si>
  <si>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</si>
  <si>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</si>
  <si>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</si>
  <si>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</si>
  <si>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</si>
  <si>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</si>
  <si>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</si>
  <si>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</si>
  <si>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</si>
  <si>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</si>
  <si>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</si>
  <si>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</si>
  <si>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</si>
  <si>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</si>
  <si>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</si>
  <si>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</si>
  <si>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</si>
  <si>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</si>
  <si>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</si>
  <si>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</si>
  <si>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</si>
  <si>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</si>
  <si>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</si>
  <si>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</si>
  <si>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</si>
  <si>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</si>
  <si>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</si>
  <si>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</si>
  <si>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</si>
  <si>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</si>
  <si>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</si>
  <si>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</si>
  <si>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</si>
  <si>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</si>
  <si>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</si>
  <si>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</si>
  <si>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</si>
  <si>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</si>
  <si>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</si>
  <si>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</si>
  <si>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</si>
  <si>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</si>
  <si>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</si>
  <si>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</si>
  <si>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</si>
  <si>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</si>
  <si>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</si>
  <si>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</si>
  <si>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</si>
  <si>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</si>
  <si>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</si>
  <si>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</si>
  <si>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</si>
  <si>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</si>
  <si>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</si>
  <si>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</si>
  <si>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</si>
  <si>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</si>
  <si>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</si>
  <si>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</si>
  <si>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</si>
  <si>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</si>
  <si>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</si>
  <si>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</si>
  <si>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</si>
  <si>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</si>
  <si>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</si>
  <si>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</si>
  <si>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</si>
  <si>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</si>
  <si>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</si>
  <si>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</si>
  <si>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</si>
  <si>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</si>
  <si>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</si>
  <si>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</si>
  <si>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</si>
  <si>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</si>
  <si>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</si>
  <si>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</si>
  <si>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</si>
  <si>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</si>
  <si>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</si>
  <si>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</si>
  <si>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</si>
  <si>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</si>
  <si>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</si>
  <si>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</si>
  <si>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</si>
  <si>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</si>
  <si>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</si>
  <si>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</si>
  <si>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</si>
  <si>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</si>
  <si>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</si>
  <si>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</si>
  <si>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</si>
  <si>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</si>
  <si>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</si>
  <si>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</si>
  <si>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</si>
  <si>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</si>
  <si>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</si>
  <si>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</si>
  <si>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</si>
  <si>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</si>
  <si>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</si>
  <si>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</si>
  <si>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</si>
  <si>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</si>
  <si>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</si>
  <si>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</si>
  <si>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</si>
  <si>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</si>
  <si>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</si>
  <si>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</si>
  <si>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</si>
  <si>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</si>
  <si>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</si>
  <si>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</si>
  <si>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</si>
  <si>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</si>
  <si>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</si>
  <si>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</si>
  <si>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</si>
  <si>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</si>
  <si>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</si>
  <si>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</si>
  <si>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</si>
  <si>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</si>
  <si>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</si>
  <si>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</si>
  <si>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</si>
  <si>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</si>
  <si>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</si>
  <si>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</si>
  <si>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</si>
  <si>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</si>
  <si>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</si>
  <si>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</si>
  <si>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</si>
  <si>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</si>
  <si>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</si>
  <si>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</si>
  <si>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</si>
  <si>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</si>
  <si>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</si>
  <si>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</si>
  <si>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</si>
  <si>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</si>
  <si>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</si>
  <si>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</si>
  <si>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</si>
  <si>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</si>
  <si>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</si>
  <si>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</si>
  <si>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</si>
  <si>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</si>
  <si>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</si>
  <si>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</si>
  <si>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</si>
  <si>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</si>
  <si>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</si>
  <si>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</si>
  <si>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</si>
  <si>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</si>
  <si>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</si>
  <si>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</si>
  <si>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</si>
  <si>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</si>
  <si>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</si>
  <si>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</si>
  <si>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</si>
  <si>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</si>
  <si>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</si>
  <si>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</si>
  <si>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</si>
  <si>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</si>
  <si>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</si>
  <si>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</si>
  <si>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</si>
  <si>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</si>
  <si>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</si>
  <si>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</si>
  <si>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</si>
  <si>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</si>
  <si>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</si>
  <si>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</si>
  <si>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</si>
  <si>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</si>
  <si>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</si>
  <si>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</si>
  <si>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</si>
  <si>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</si>
  <si>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</si>
  <si>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</si>
  <si>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</si>
  <si>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</si>
  <si>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</si>
  <si>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</si>
  <si>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</si>
  <si>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</si>
  <si>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</si>
  <si>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</si>
  <si>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</si>
  <si>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</si>
  <si>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</si>
  <si>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</si>
  <si>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</si>
  <si>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</si>
  <si>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</si>
  <si>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</si>
  <si>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</si>
  <si>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</si>
  <si>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</si>
  <si>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</si>
  <si>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</si>
  <si>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</si>
  <si>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</si>
  <si>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</si>
  <si>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</si>
  <si>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</si>
  <si>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</si>
  <si>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</si>
  <si>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</si>
  <si>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</si>
  <si>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</si>
  <si>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</si>
  <si>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</si>
  <si>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</si>
  <si>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</si>
  <si>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</si>
  <si>
    <t>ToA NM Manu</t>
  </si>
  <si>
    <t>Baretta+Vero+Ahman+Bella+Koma</t>
  </si>
  <si>
    <t>Shield</t>
  </si>
  <si>
    <t>Resist</t>
  </si>
  <si>
    <t>Tot HP</t>
  </si>
  <si>
    <t>Total Def</t>
  </si>
  <si>
    <t>% mitigation</t>
  </si>
  <si>
    <t>% mitigation with Def brake</t>
  </si>
  <si>
    <t>Def Brake Inc % DMG</t>
  </si>
  <si>
    <t>effective 2xHP</t>
  </si>
  <si>
    <t>effective 2xHP DEF brake</t>
  </si>
  <si>
    <t>effective HP+DEF</t>
  </si>
  <si>
    <t>effective HP+DEF DEF brake</t>
  </si>
  <si>
    <t>effective 3xHP</t>
  </si>
  <si>
    <t>effective  2xHP+DEF</t>
  </si>
  <si>
    <t>effective  HP+2xDEF</t>
  </si>
  <si>
    <t>effective 3xHP DEF brake</t>
  </si>
  <si>
    <t>effective 2xHP+DEF DEF brake</t>
  </si>
  <si>
    <t>effective HP+2xDEF DEF brake</t>
  </si>
  <si>
    <t>No stones</t>
  </si>
  <si>
    <t>Base HP</t>
  </si>
  <si>
    <t>Total HP</t>
  </si>
  <si>
    <t>Base Def</t>
  </si>
  <si>
    <t xml:space="preserve">Total % </t>
  </si>
  <si>
    <t>Proc of how much DEF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</si>
</sst>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5" fillId="0" borderId="0"/>
  </cellStyleXfs>
  <cellXfs count="231">
    <xf numFmtId="0" fontId="0" fillId="0" borderId="0" xfId="0"/>
    <xf numFmtId="4" fontId="0" fillId="0" borderId="0" xfId="0" applyNumberFormat="1"/>
    <xf numFmtId="0" fontId="0" fillId="2" borderId="0" xfId="0" applyFill="1"/>
    <xf numFmtId="0" fontId="6" fillId="3" borderId="1" xfId="0" applyFont="1" applyFill="1" applyBorder="1"/>
    <xf numFmtId="0" fontId="6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7" fillId="0" borderId="10" xfId="0" applyNumberFormat="1" applyFont="1" applyFill="1" applyBorder="1" applyAlignment="1">
      <alignment horizontal="left" wrapText="1"/>
    </xf>
    <xf numFmtId="0" fontId="7" fillId="0" borderId="10" xfId="0" applyFont="1" applyFill="1" applyBorder="1" applyAlignment="1">
      <alignment horizontal="left" wrapText="1"/>
    </xf>
    <xf numFmtId="3" fontId="7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8" fillId="0" borderId="5" xfId="0" applyNumberFormat="1" applyFont="1" applyBorder="1"/>
    <xf numFmtId="0" fontId="8" fillId="0" borderId="4" xfId="0" applyFont="1" applyBorder="1"/>
    <xf numFmtId="0" fontId="8" fillId="0" borderId="3" xfId="0" applyFont="1" applyBorder="1"/>
    <xf numFmtId="165" fontId="8" fillId="0" borderId="14" xfId="0" applyNumberFormat="1" applyFont="1" applyBorder="1"/>
    <xf numFmtId="0" fontId="9" fillId="4" borderId="0" xfId="0" applyFont="1" applyFill="1" applyBorder="1" applyAlignment="1">
      <alignment horizontal="left" vertical="center" wrapText="1"/>
    </xf>
    <xf numFmtId="0" fontId="8" fillId="0" borderId="0" xfId="0" applyFont="1"/>
    <xf numFmtId="4" fontId="7" fillId="0" borderId="10" xfId="0" applyNumberFormat="1" applyFont="1" applyFill="1" applyBorder="1" applyAlignment="1">
      <alignment horizontal="left" wrapText="1"/>
    </xf>
    <xf numFmtId="4" fontId="8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10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8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8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8" fillId="0" borderId="16" xfId="0" applyFont="1" applyFill="1" applyBorder="1"/>
    <xf numFmtId="0" fontId="0" fillId="0" borderId="0" xfId="0" applyAlignment="1">
      <alignment wrapText="1"/>
    </xf>
    <xf numFmtId="0" fontId="8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8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8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8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8" fillId="9" borderId="8" xfId="0" applyFont="1" applyFill="1" applyBorder="1"/>
    <xf numFmtId="0" fontId="0" fillId="9" borderId="5" xfId="0" applyFill="1" applyBorder="1"/>
    <xf numFmtId="0" fontId="8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8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8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7" fillId="4" borderId="0" xfId="0" applyFont="1" applyFill="1" applyBorder="1" applyAlignment="1">
      <alignment horizontal="left" vertical="center" wrapText="1"/>
    </xf>
    <xf numFmtId="0" fontId="7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9" fillId="0" borderId="20" xfId="0" applyFont="1" applyFill="1" applyBorder="1" applyAlignment="1">
      <alignment horizontal="left" vertical="center" wrapText="1"/>
    </xf>
    <xf numFmtId="0" fontId="9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8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2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2" fillId="0" borderId="20" xfId="0" applyFont="1" applyFill="1" applyBorder="1" applyAlignment="1">
      <alignment horizontal="left" wrapText="1"/>
    </xf>
    <xf numFmtId="0" fontId="12" fillId="0" borderId="10" xfId="0" applyFont="1" applyFill="1" applyBorder="1" applyAlignment="1">
      <alignment horizontal="left" wrapText="1"/>
    </xf>
    <xf numFmtId="9" fontId="12" fillId="0" borderId="10" xfId="0" applyNumberFormat="1" applyFont="1" applyFill="1" applyBorder="1" applyAlignment="1">
      <alignment horizontal="left" wrapText="1"/>
    </xf>
    <xf numFmtId="3" fontId="12" fillId="0" borderId="10" xfId="0" applyNumberFormat="1" applyFont="1" applyFill="1" applyBorder="1" applyAlignment="1">
      <alignment horizontal="left" wrapText="1"/>
    </xf>
    <xf numFmtId="4" fontId="12" fillId="0" borderId="10" xfId="0" applyNumberFormat="1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9" fontId="12" fillId="0" borderId="22" xfId="0" applyNumberFormat="1" applyFont="1" applyFill="1" applyBorder="1" applyAlignment="1">
      <alignment horizontal="left" wrapText="1"/>
    </xf>
    <xf numFmtId="3" fontId="12" fillId="0" borderId="22" xfId="0" applyNumberFormat="1" applyFont="1" applyFill="1" applyBorder="1" applyAlignment="1">
      <alignment horizontal="left" wrapText="1"/>
    </xf>
    <xf numFmtId="4" fontId="12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5" fillId="0" borderId="0" xfId="2"/>
    <xf numFmtId="0" fontId="5" fillId="0" borderId="0" xfId="2" applyAlignment="1">
      <alignment vertical="center" wrapText="1"/>
    </xf>
    <xf numFmtId="0" fontId="14" fillId="0" borderId="0" xfId="2" applyFont="1" applyAlignment="1">
      <alignment vertical="center" wrapText="1"/>
    </xf>
    <xf numFmtId="0" fontId="15" fillId="0" borderId="0" xfId="2" applyFont="1" applyAlignment="1">
      <alignment vertical="center" wrapText="1"/>
    </xf>
    <xf numFmtId="0" fontId="5" fillId="13" borderId="0" xfId="2" applyFill="1" applyAlignment="1">
      <alignment vertical="center" wrapText="1"/>
    </xf>
    <xf numFmtId="0" fontId="16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5" fillId="5" borderId="0" xfId="2" applyFill="1" applyAlignment="1">
      <alignment vertical="center" wrapText="1"/>
    </xf>
    <xf numFmtId="0" fontId="15" fillId="4" borderId="0" xfId="2" applyFont="1" applyFill="1" applyAlignment="1">
      <alignment vertical="center" wrapText="1"/>
    </xf>
    <xf numFmtId="0" fontId="16" fillId="13" borderId="0" xfId="2" applyFont="1" applyFill="1" applyAlignment="1">
      <alignment vertical="center" wrapText="1"/>
    </xf>
    <xf numFmtId="0" fontId="5" fillId="0" borderId="0" xfId="2" applyNumberFormat="1" applyAlignment="1">
      <alignment vertical="center" wrapText="1"/>
    </xf>
    <xf numFmtId="0" fontId="5" fillId="13" borderId="0" xfId="2" applyNumberFormat="1" applyFill="1" applyAlignment="1">
      <alignment vertical="center" wrapText="1"/>
    </xf>
    <xf numFmtId="0" fontId="5" fillId="5" borderId="0" xfId="2" applyNumberFormat="1" applyFill="1" applyAlignment="1">
      <alignment vertical="center" wrapText="1"/>
    </xf>
    <xf numFmtId="0" fontId="5" fillId="0" borderId="0" xfId="2" applyFill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6" fillId="0" borderId="0" xfId="2" applyNumberFormat="1" applyFont="1" applyAlignment="1">
      <alignment vertical="center" wrapText="1"/>
    </xf>
    <xf numFmtId="0" fontId="15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8" fillId="0" borderId="7" xfId="0" applyFont="1" applyFill="1" applyBorder="1"/>
    <xf numFmtId="0" fontId="4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3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8" fillId="0" borderId="27" xfId="0" applyFont="1" applyBorder="1"/>
    <xf numFmtId="3" fontId="8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8" fillId="0" borderId="30" xfId="0" applyNumberFormat="1" applyFont="1" applyBorder="1"/>
    <xf numFmtId="0" fontId="2" fillId="0" borderId="0" xfId="2" applyFont="1" applyAlignment="1">
      <alignment vertical="center" wrapText="1"/>
    </xf>
    <xf numFmtId="0" fontId="1" fillId="0" borderId="0" xfId="2" applyFont="1" applyAlignment="1">
      <alignment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492E-2"/>
          <c:w val="0.72971464242649331"/>
          <c:h val="0.89097169207608673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13563136"/>
        <c:axId val="113564672"/>
      </c:lineChart>
      <c:catAx>
        <c:axId val="113563136"/>
        <c:scaling>
          <c:orientation val="minMax"/>
        </c:scaling>
        <c:axPos val="b"/>
        <c:tickLblPos val="nextTo"/>
        <c:crossAx val="113564672"/>
        <c:crosses val="autoZero"/>
        <c:auto val="1"/>
        <c:lblAlgn val="ctr"/>
        <c:lblOffset val="100"/>
      </c:catAx>
      <c:valAx>
        <c:axId val="113564672"/>
        <c:scaling>
          <c:orientation val="minMax"/>
        </c:scaling>
        <c:axPos val="l"/>
        <c:majorGridlines/>
        <c:numFmt formatCode="General" sourceLinked="1"/>
        <c:tickLblPos val="nextTo"/>
        <c:crossAx val="113563136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ref="A2:A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5"/>
  <sheetViews>
    <sheetView tabSelected="1" zoomScale="85" zoomScaleNormal="85" workbookViewId="0">
      <selection activeCell="C14" sqref="C14"/>
    </sheetView>
  </sheetViews>
  <sheetFormatPr defaultRowHeight="14.25"/>
  <cols>
    <col min="3" max="3" width="10.75" bestFit="1" customWidth="1"/>
    <col min="4" max="4" width="14.625" customWidth="1"/>
    <col min="5" max="5" width="18.875" bestFit="1" customWidth="1"/>
    <col min="6" max="6" width="20.5" customWidth="1"/>
    <col min="7" max="7" width="15.625" bestFit="1" customWidth="1"/>
    <col min="8" max="8" width="25.125" bestFit="1" customWidth="1"/>
    <col min="9" max="9" width="12.5" bestFit="1" customWidth="1"/>
    <col min="10" max="10" width="22.125" bestFit="1" customWidth="1"/>
    <col min="11" max="11" width="18.125" bestFit="1" customWidth="1"/>
    <col min="12" max="12" width="20.875" customWidth="1"/>
    <col min="13" max="13" width="24.75" customWidth="1"/>
    <col min="14" max="14" width="16.875" customWidth="1"/>
  </cols>
  <sheetData>
    <row r="1" spans="1:16">
      <c r="B1" t="s">
        <v>896</v>
      </c>
      <c r="C1" t="s">
        <v>897</v>
      </c>
      <c r="D1" t="s">
        <v>898</v>
      </c>
      <c r="E1" t="s">
        <v>899</v>
      </c>
      <c r="F1" t="s">
        <v>900</v>
      </c>
      <c r="G1" t="s">
        <v>901</v>
      </c>
      <c r="H1" t="s">
        <v>902</v>
      </c>
      <c r="I1" t="s">
        <v>903</v>
      </c>
      <c r="J1" t="s">
        <v>904</v>
      </c>
      <c r="K1" t="s">
        <v>905</v>
      </c>
      <c r="L1" t="s">
        <v>906</v>
      </c>
      <c r="M1" t="s">
        <v>907</v>
      </c>
      <c r="N1" t="s">
        <v>908</v>
      </c>
      <c r="O1" t="s">
        <v>909</v>
      </c>
      <c r="P1" t="s">
        <v>910</v>
      </c>
    </row>
    <row r="2" spans="1:16">
      <c r="C2">
        <v>186</v>
      </c>
      <c r="D2" s="15">
        <f>1-1000/(1000+3*$C2)</f>
        <v>0.35815147625160459</v>
      </c>
      <c r="E2" s="15">
        <f>1-1000/(1000+3*$C2/2)</f>
        <v>0.21813917122752147</v>
      </c>
      <c r="F2" s="15">
        <f>(1-E2)/(1-D2)-1</f>
        <v>0.21813917122752158</v>
      </c>
      <c r="G2" s="50">
        <f>($A$35*2*63%+$B$35)/(1-$D2)</f>
        <v>43037.413</v>
      </c>
      <c r="H2" s="50">
        <f>($A$35*2*63%+$B$35)/(1-$E2)</f>
        <v>35330.4565</v>
      </c>
      <c r="I2" s="50">
        <f>($A$35*63%+$B$35)/(1-(1-1000/(1000+3*($C2+63%*$C$35))))</f>
        <v>65230.655784999995</v>
      </c>
      <c r="J2" s="50">
        <f>($A$35*63%+$B$35)/(1-(1-1000/(1000+3*($C2+63%*$C$35)/2)))</f>
        <v>43521.202892499998</v>
      </c>
      <c r="K2" s="50">
        <f>($A$35*3*63%+$B$35)/(1-$D2)</f>
        <v>52092.119500000001</v>
      </c>
      <c r="L2" s="50">
        <f>($A$35*2*63%+$B$35)/(1-(1-1000/(1000+3*($C2+63%*$C$35))))</f>
        <v>82611.391569999992</v>
      </c>
      <c r="M2" s="50">
        <f>($A$35*63%+$B$35)/(1-(1-1000/(1000+3*($C2+2*63%*$C$35))))</f>
        <v>96478.605069999991</v>
      </c>
      <c r="N2" s="50">
        <f>($A$35*3*63%+$B$35)/(1-$E2)</f>
        <v>42763.68475</v>
      </c>
      <c r="O2" s="50">
        <f>($A$35*2*63%+$B$35)/(1-(1-1000/(1000+3*($C2+63%*$C$35)/2)))</f>
        <v>55117.445784999996</v>
      </c>
      <c r="P2" s="50">
        <f>($A$35*63%+$B$35)/(1-(1-1000/(1000+3*($C2+2*63%*$C$35)/2)))</f>
        <v>59145.177534999995</v>
      </c>
    </row>
    <row r="3" spans="1:16">
      <c r="C3">
        <v>228</v>
      </c>
      <c r="D3" s="15">
        <f t="shared" ref="D3:D14" si="0">1-1000/(1000+3*$C3)</f>
        <v>0.40617577197149646</v>
      </c>
      <c r="E3" s="15">
        <f t="shared" ref="E3:E14" si="1">1-1000/(1000+3*$C3/2)</f>
        <v>0.2548435171385991</v>
      </c>
      <c r="F3" s="15">
        <f t="shared" ref="F3:F14" si="2">(1-E3)/(1-D3)-1</f>
        <v>0.25484351713859921</v>
      </c>
      <c r="G3" s="50">
        <f>($A$35*2*63%+$B$35)/(1-$D3)</f>
        <v>46517.974000000002</v>
      </c>
      <c r="H3" s="50">
        <f>($A$35*2*63%+$B$35)/(1-$E3)</f>
        <v>37070.737000000001</v>
      </c>
      <c r="I3" s="50">
        <f>($A$35*63%+$B$35)/(1-(1-1000/(1000+3*($C3+63%*$C$35))))</f>
        <v>67978.936285000018</v>
      </c>
      <c r="J3" s="50">
        <f>($A$35*63%+$B$35)/(1-(1-1000/(1000+3*($C3+63%*$C$35)/2)))</f>
        <v>44895.343142500002</v>
      </c>
      <c r="K3" s="50">
        <f>($A$35*3*63%+$B$35)/(1-$D3)</f>
        <v>56304.961000000003</v>
      </c>
      <c r="L3" s="50">
        <f>($A$35*2*63%+$B$35)/(1-(1-1000/(1000+3*($C3+63%*$C$35))))</f>
        <v>86091.952570000023</v>
      </c>
      <c r="M3" s="50">
        <f>($A$35*63%+$B$35)/(1-(1-1000/(1000+3*($C3+2*63%*$C$35))))</f>
        <v>99226.885570000013</v>
      </c>
      <c r="N3" s="50">
        <f>($A$35*3*63%+$B$35)/(1-$E3)</f>
        <v>44870.105499999998</v>
      </c>
      <c r="O3" s="50">
        <f>($A$35*2*63%+$B$35)/(1-(1-1000/(1000+3*($C3+63%*$C$35)/2)))</f>
        <v>56857.726284999997</v>
      </c>
      <c r="P3" s="50">
        <f>($A$35*63%+$B$35)/(1-(1-1000/(1000+3*($C3+2*63%*$C$35)/2)))</f>
        <v>60519.317784999999</v>
      </c>
    </row>
    <row r="4" spans="1:16">
      <c r="C4">
        <v>500</v>
      </c>
      <c r="D4" s="15">
        <f t="shared" si="0"/>
        <v>0.6</v>
      </c>
      <c r="E4" s="15">
        <f t="shared" si="1"/>
        <v>0.4285714285714286</v>
      </c>
      <c r="F4" s="15">
        <f t="shared" si="2"/>
        <v>0.42857142857142838</v>
      </c>
      <c r="G4" s="50">
        <f>($A$35*2*63%+$B$35)/(1-$D4)</f>
        <v>69058.75</v>
      </c>
      <c r="H4" s="50">
        <f>($A$35*2*63%+$B$35)/(1-$E4)</f>
        <v>48341.125</v>
      </c>
      <c r="I4" s="50">
        <f>($A$35*63%+$B$35)/(1-(1-1000/(1000+3*($C4+63%*$C$35))))</f>
        <v>85777.324285000024</v>
      </c>
      <c r="J4" s="50">
        <f>($A$35*63%+$B$35)/(1-(1-1000/(1000+3*($C4+63%*$C$35)/2)))</f>
        <v>53794.537142500012</v>
      </c>
      <c r="K4" s="50">
        <f>($A$35*3*63%+$B$35)/(1-$D4)</f>
        <v>83588.125</v>
      </c>
      <c r="L4" s="50">
        <f>($A$35*2*63%+$B$35)/(1-(1-1000/(1000+3*($C4+63%*$C$35))))</f>
        <v>108632.72857000002</v>
      </c>
      <c r="M4" s="50">
        <f>($A$35*63%+$B$35)/(1-(1-1000/(1000+3*($C4+2*63%*$C$35))))</f>
        <v>117025.27357000002</v>
      </c>
      <c r="N4" s="50">
        <f>($A$35*3*63%+$B$35)/(1-$E4)</f>
        <v>58511.6875</v>
      </c>
      <c r="O4" s="50">
        <f>($A$35*2*63%+$B$35)/(1-(1-1000/(1000+3*($C4+63%*$C$35)/2)))</f>
        <v>68128.114285000018</v>
      </c>
      <c r="P4" s="50">
        <f>($A$35*63%+$B$35)/(1-(1-1000/(1000+3*($C4+2*63%*$C$35)/2)))</f>
        <v>69418.511784999995</v>
      </c>
    </row>
    <row r="5" spans="1:16">
      <c r="C5">
        <v>750</v>
      </c>
      <c r="D5" s="15">
        <f t="shared" si="0"/>
        <v>0.69230769230769229</v>
      </c>
      <c r="E5" s="15">
        <f t="shared" si="1"/>
        <v>0.52941176470588236</v>
      </c>
      <c r="F5" s="15">
        <f t="shared" si="2"/>
        <v>0.52941176470588225</v>
      </c>
      <c r="G5" s="50">
        <f>($A$35*2*63%+$B$35)/(1-$D5)</f>
        <v>89776.375</v>
      </c>
      <c r="H5" s="50">
        <f>($A$35*2*63%+$B$35)/(1-$E5)</f>
        <v>58699.9375</v>
      </c>
      <c r="I5" s="50">
        <f>($A$35*63%+$B$35)/(1-(1-1000/(1000+3*($C5+63%*$C$35))))</f>
        <v>102136.136785</v>
      </c>
      <c r="J5" s="50">
        <f>($A$35*63%+$B$35)/(1-(1-1000/(1000+3*($C5+63%*$C$35)/2)))</f>
        <v>61973.943392499998</v>
      </c>
      <c r="K5" s="50">
        <f>($A$35*3*63%+$B$35)/(1-$D5)</f>
        <v>108664.5625</v>
      </c>
      <c r="L5" s="50">
        <f>($A$35*2*63%+$B$35)/(1-(1-1000/(1000+3*($C5+63%*$C$35))))</f>
        <v>129350.35356999999</v>
      </c>
      <c r="M5" s="50">
        <f>($A$35*63%+$B$35)/(1-(1-1000/(1000+3*($C5+2*63%*$C$35))))</f>
        <v>133384.08606999999</v>
      </c>
      <c r="N5" s="50">
        <f>($A$35*3*63%+$B$35)/(1-$E5)</f>
        <v>71049.90625</v>
      </c>
      <c r="O5" s="50">
        <f>($A$35*2*63%+$B$35)/(1-(1-1000/(1000+3*($C5+63%*$C$35)/2)))</f>
        <v>78486.926785000003</v>
      </c>
      <c r="P5" s="50">
        <f>($A$35*63%+$B$35)/(1-(1-1000/(1000+3*($C5+2*63%*$C$35)/2)))</f>
        <v>77597.918034999981</v>
      </c>
    </row>
    <row r="6" spans="1:16">
      <c r="C6">
        <v>900</v>
      </c>
      <c r="D6" s="15">
        <f t="shared" si="0"/>
        <v>0.72972972972972971</v>
      </c>
      <c r="E6" s="15">
        <f t="shared" si="1"/>
        <v>0.57446808510638303</v>
      </c>
      <c r="F6" s="15">
        <f t="shared" si="2"/>
        <v>0.57446808510638281</v>
      </c>
      <c r="G6" s="50">
        <f>($A$35*2*63%+$B$35)/(1-$D6)</f>
        <v>102206.95</v>
      </c>
      <c r="H6" s="50">
        <f>($A$35*2*63%+$B$35)/(1-$E6)</f>
        <v>64915.225000000006</v>
      </c>
      <c r="I6" s="50">
        <f>($A$35*63%+$B$35)/(1-(1-1000/(1000+3*($C6+63%*$C$35))))</f>
        <v>111951.42428499997</v>
      </c>
      <c r="J6" s="50">
        <f>($A$35*63%+$B$35)/(1-(1-1000/(1000+3*($C6+63%*$C$35)/2)))</f>
        <v>66881.587142500008</v>
      </c>
      <c r="K6" s="50">
        <f>($A$35*3*63%+$B$35)/(1-$D6)</f>
        <v>123710.42499999999</v>
      </c>
      <c r="L6" s="50">
        <f>($A$35*2*63%+$B$35)/(1-(1-1000/(1000+3*($C6+63%*$C$35))))</f>
        <v>141780.92856999996</v>
      </c>
      <c r="M6" s="50">
        <f>($A$35*63%+$B$35)/(1-(1-1000/(1000+3*($C6+2*63%*$C$35))))</f>
        <v>143199.37356999997</v>
      </c>
      <c r="N6" s="50">
        <f>($A$35*3*63%+$B$35)/(1-$E6)</f>
        <v>78572.837500000009</v>
      </c>
      <c r="O6" s="50">
        <f>($A$35*2*63%+$B$35)/(1-(1-1000/(1000+3*($C6+63%*$C$35)/2)))</f>
        <v>84702.214285000009</v>
      </c>
      <c r="P6" s="50">
        <f>($A$35*63%+$B$35)/(1-(1-1000/(1000+3*($C6+2*63%*$C$35)/2)))</f>
        <v>82505.561784999998</v>
      </c>
    </row>
    <row r="7" spans="1:16">
      <c r="C7">
        <v>1000</v>
      </c>
      <c r="D7" s="15">
        <f t="shared" si="0"/>
        <v>0.75</v>
      </c>
      <c r="E7" s="15">
        <f t="shared" si="1"/>
        <v>0.6</v>
      </c>
      <c r="F7" s="15">
        <f t="shared" si="2"/>
        <v>0.60000000000000009</v>
      </c>
      <c r="G7" s="50">
        <f>($A$35*2*63%+$B$35)/(1-$D7)</f>
        <v>110494</v>
      </c>
      <c r="H7" s="50">
        <f>($A$35*2*63%+$B$35)/(1-$E7)</f>
        <v>69058.75</v>
      </c>
      <c r="I7" s="50">
        <f>($A$35*63%+$B$35)/(1-(1-1000/(1000+3*($C7+63%*$C$35))))</f>
        <v>118494.949285</v>
      </c>
      <c r="J7" s="50">
        <f>($A$35*63%+$B$35)/(1-(1-1000/(1000+3*($C7+63%*$C$35)/2)))</f>
        <v>70153.349642500019</v>
      </c>
      <c r="K7" s="50">
        <f>($A$35*3*63%+$B$35)/(1-$D7)</f>
        <v>133741</v>
      </c>
      <c r="L7" s="50">
        <f>($A$35*2*63%+$B$35)/(1-(1-1000/(1000+3*($C7+63%*$C$35))))</f>
        <v>150067.97857000001</v>
      </c>
      <c r="M7" s="50">
        <f>($A$35*63%+$B$35)/(1-(1-1000/(1000+3*($C7+2*63%*$C$35))))</f>
        <v>149742.89857000002</v>
      </c>
      <c r="N7" s="50">
        <f>($A$35*3*63%+$B$35)/(1-$E7)</f>
        <v>83588.125</v>
      </c>
      <c r="O7" s="50">
        <f>($A$35*2*63%+$B$35)/(1-(1-1000/(1000+3*($C7+63%*$C$35)/2)))</f>
        <v>88845.739285000018</v>
      </c>
      <c r="P7" s="50">
        <f>($A$35*63%+$B$35)/(1-(1-1000/(1000+3*($C7+2*63%*$C$35)/2)))</f>
        <v>85777.324285000024</v>
      </c>
    </row>
    <row r="8" spans="1:16">
      <c r="C8">
        <v>1250</v>
      </c>
      <c r="D8" s="15">
        <f t="shared" si="0"/>
        <v>0.78947368421052633</v>
      </c>
      <c r="E8" s="15">
        <f t="shared" si="1"/>
        <v>0.65217391304347827</v>
      </c>
      <c r="F8" s="15">
        <f t="shared" si="2"/>
        <v>0.65217391304347827</v>
      </c>
      <c r="G8" s="50">
        <f>($A$35*2*63%+$B$35)/(1-$D8)</f>
        <v>131211.625</v>
      </c>
      <c r="H8" s="50">
        <f>($A$35*2*63%+$B$35)/(1-$E8)</f>
        <v>79417.5625</v>
      </c>
      <c r="I8" s="50">
        <f>($A$35*63%+$B$35)/(1-(1-1000/(1000+3*($C8+63%*$C$35))))</f>
        <v>134853.76178499998</v>
      </c>
      <c r="J8" s="50">
        <f>($A$35*63%+$B$35)/(1-(1-1000/(1000+3*($C8+63%*$C$35)/2)))</f>
        <v>78332.755892500005</v>
      </c>
      <c r="K8" s="50">
        <f>($A$35*3*63%+$B$35)/(1-$D8)</f>
        <v>158817.4375</v>
      </c>
      <c r="L8" s="50">
        <f>($A$35*2*63%+$B$35)/(1-(1-1000/(1000+3*($C8+63%*$C$35))))</f>
        <v>170785.60356999995</v>
      </c>
      <c r="M8" s="50">
        <f>($A$35*63%+$B$35)/(1-(1-1000/(1000+3*($C8+2*63%*$C$35))))</f>
        <v>166101.71107000005</v>
      </c>
      <c r="N8" s="50">
        <f>($A$35*3*63%+$B$35)/(1-$E8)</f>
        <v>96126.34375</v>
      </c>
      <c r="O8" s="50">
        <f>($A$35*2*63%+$B$35)/(1-(1-1000/(1000+3*($C8+63%*$C$35)/2)))</f>
        <v>99204.551785000003</v>
      </c>
      <c r="P8" s="50">
        <f>($A$35*63%+$B$35)/(1-(1-1000/(1000+3*($C8+2*63%*$C$35)/2)))</f>
        <v>93956.730534999981</v>
      </c>
    </row>
    <row r="9" spans="1:16">
      <c r="C9">
        <v>1500</v>
      </c>
      <c r="D9" s="15">
        <f t="shared" si="0"/>
        <v>0.81818181818181812</v>
      </c>
      <c r="E9" s="15">
        <f t="shared" si="1"/>
        <v>0.69230769230769229</v>
      </c>
      <c r="F9" s="15">
        <f t="shared" si="2"/>
        <v>0.69230769230769185</v>
      </c>
      <c r="G9" s="50">
        <f>($A$35*2*63%+$B$35)/(1-$D9)</f>
        <v>151929.24999999994</v>
      </c>
      <c r="H9" s="50">
        <f>($A$35*2*63%+$B$35)/(1-$E9)</f>
        <v>89776.375</v>
      </c>
      <c r="I9" s="50">
        <f>($A$35*63%+$B$35)/(1-(1-1000/(1000+3*($C9+63%*$C$35))))</f>
        <v>151212.57428500004</v>
      </c>
      <c r="J9" s="50">
        <f>($A$35*63%+$B$35)/(1-(1-1000/(1000+3*($C9+63%*$C$35)/2)))</f>
        <v>86512.16214249999</v>
      </c>
      <c r="K9" s="50">
        <f>($A$35*3*63%+$B$35)/(1-$D9)</f>
        <v>183893.87499999994</v>
      </c>
      <c r="L9" s="50">
        <f>($A$35*2*63%+$B$35)/(1-(1-1000/(1000+3*($C9+63%*$C$35))))</f>
        <v>191503.22857000004</v>
      </c>
      <c r="M9" s="50">
        <f>($A$35*63%+$B$35)/(1-(1-1000/(1000+3*($C9+2*63%*$C$35))))</f>
        <v>182460.52356999993</v>
      </c>
      <c r="N9" s="50">
        <f>($A$35*3*63%+$B$35)/(1-$E9)</f>
        <v>108664.5625</v>
      </c>
      <c r="O9" s="50">
        <f>($A$35*2*63%+$B$35)/(1-(1-1000/(1000+3*($C9+63%*$C$35)/2)))</f>
        <v>109563.36428499999</v>
      </c>
      <c r="P9" s="50">
        <f>($A$35*63%+$B$35)/(1-(1-1000/(1000+3*($C9+2*63%*$C$35)/2)))</f>
        <v>102136.136785</v>
      </c>
    </row>
    <row r="10" spans="1:16">
      <c r="C10">
        <v>1750</v>
      </c>
      <c r="D10" s="15">
        <f t="shared" si="0"/>
        <v>0.84</v>
      </c>
      <c r="E10" s="15">
        <f t="shared" si="1"/>
        <v>0.72413793103448276</v>
      </c>
      <c r="F10" s="15">
        <f t="shared" si="2"/>
        <v>0.72413793103448243</v>
      </c>
      <c r="G10" s="50">
        <f>($A$35*2*63%+$B$35)/(1-$D10)</f>
        <v>172646.87499999997</v>
      </c>
      <c r="H10" s="50">
        <f>($A$35*2*63%+$B$35)/(1-$E10)</f>
        <v>100135.1875</v>
      </c>
      <c r="I10" s="50">
        <f>($A$35*63%+$B$35)/(1-(1-1000/(1000+3*($C10+63%*$C$35))))</f>
        <v>167571.38678499998</v>
      </c>
      <c r="J10" s="50">
        <f>($A$35*63%+$B$35)/(1-(1-1000/(1000+3*($C10+63%*$C$35)/2)))</f>
        <v>94691.56839249999</v>
      </c>
      <c r="K10" s="50">
        <f>($A$35*3*63%+$B$35)/(1-$D10)</f>
        <v>208970.31249999997</v>
      </c>
      <c r="L10" s="50">
        <f>($A$35*2*63%+$B$35)/(1-(1-1000/(1000+3*($C10+63%*$C$35))))</f>
        <v>212220.85356999998</v>
      </c>
      <c r="M10" s="50">
        <f>($A$35*63%+$B$35)/(1-(1-1000/(1000+3*($C10+2*63%*$C$35))))</f>
        <v>198819.3360699999</v>
      </c>
      <c r="N10" s="50">
        <f>($A$35*3*63%+$B$35)/(1-$E10)</f>
        <v>121202.78125</v>
      </c>
      <c r="O10" s="50">
        <f>($A$35*2*63%+$B$35)/(1-(1-1000/(1000+3*($C10+63%*$C$35)/2)))</f>
        <v>119922.17678499999</v>
      </c>
      <c r="P10" s="50">
        <f>($A$35*63%+$B$35)/(1-(1-1000/(1000+3*($C10+2*63%*$C$35)/2)))</f>
        <v>110315.54303499998</v>
      </c>
    </row>
    <row r="11" spans="1:16">
      <c r="C11">
        <v>2000</v>
      </c>
      <c r="D11" s="15">
        <f t="shared" si="0"/>
        <v>0.85714285714285721</v>
      </c>
      <c r="E11" s="15">
        <f t="shared" si="1"/>
        <v>0.75</v>
      </c>
      <c r="F11" s="15">
        <f t="shared" si="2"/>
        <v>0.75000000000000089</v>
      </c>
      <c r="G11" s="50">
        <f>($A$35*2*63%+$B$35)/(1-$D11)</f>
        <v>193364.50000000009</v>
      </c>
      <c r="H11" s="50">
        <f>($A$35*2*63%+$B$35)/(1-$E11)</f>
        <v>110494</v>
      </c>
      <c r="I11" s="50">
        <f>($A$35*63%+$B$35)/(1-(1-1000/(1000+3*($C11+63%*$C$35))))</f>
        <v>183930.19928499992</v>
      </c>
      <c r="J11" s="50">
        <f>($A$35*63%+$B$35)/(1-(1-1000/(1000+3*($C11+63%*$C$35)/2)))</f>
        <v>102870.97464249999</v>
      </c>
      <c r="K11" s="50">
        <f>($A$35*3*63%+$B$35)/(1-$D11)</f>
        <v>234046.75000000012</v>
      </c>
      <c r="L11" s="50">
        <f>($A$35*2*63%+$B$35)/(1-(1-1000/(1000+3*($C11+63%*$C$35))))</f>
        <v>232938.47856999989</v>
      </c>
      <c r="M11" s="50">
        <f>($A$35*63%+$B$35)/(1-(1-1000/(1000+3*($C11+2*63%*$C$35))))</f>
        <v>215178.14856999993</v>
      </c>
      <c r="N11" s="50">
        <f>($A$35*3*63%+$B$35)/(1-$E11)</f>
        <v>133741</v>
      </c>
      <c r="O11" s="50">
        <f>($A$35*2*63%+$B$35)/(1-(1-1000/(1000+3*($C11+63%*$C$35)/2)))</f>
        <v>130280.98928499999</v>
      </c>
      <c r="P11" s="50">
        <f>($A$35*63%+$B$35)/(1-(1-1000/(1000+3*($C11+2*63%*$C$35)/2)))</f>
        <v>118494.949285</v>
      </c>
    </row>
    <row r="12" spans="1:16">
      <c r="C12">
        <f>D35</f>
        <v>1221</v>
      </c>
      <c r="D12" s="15">
        <f t="shared" si="0"/>
        <v>0.78554578597469438</v>
      </c>
      <c r="E12" s="15">
        <f t="shared" si="1"/>
        <v>0.64683030196009184</v>
      </c>
      <c r="F12" s="15">
        <f t="shared" si="2"/>
        <v>0.64683030196009161</v>
      </c>
      <c r="G12" s="50">
        <f>($A$35*2*63%+$B$35)/(1-$D12)</f>
        <v>128808.38049999998</v>
      </c>
      <c r="H12" s="50">
        <f>($A$35*2*63%+$B$35)/(1-$E12)</f>
        <v>78215.94025</v>
      </c>
      <c r="I12" s="50">
        <f>($A$35*63%+$B$35)/(1-(1-1000/(1000+3*($C12+63%*$C$35))))</f>
        <v>132956.13953499999</v>
      </c>
      <c r="J12" s="50">
        <f>($A$35*63%+$B$35)/(1-(1-1000/(1000+3*($C12+63%*$C$35)/2)))</f>
        <v>77383.944767500012</v>
      </c>
      <c r="K12" s="50">
        <f>($A$35*3*63%+$B$35)/(1-$D12)</f>
        <v>155908.57074999998</v>
      </c>
      <c r="L12" s="50">
        <f>($A$35*2*63%+$B$35)/(1-(1-1000/(1000+3*($C12+63%*$C$35))))</f>
        <v>168382.35906999998</v>
      </c>
      <c r="M12" s="50">
        <f>($A$35*63%+$B$35)/(1-(1-1000/(1000+3*($C12+2*63%*$C$35))))</f>
        <v>164204.08882000003</v>
      </c>
      <c r="N12" s="50">
        <f>($A$35*3*63%+$B$35)/(1-$E12)</f>
        <v>94671.910375000007</v>
      </c>
      <c r="O12" s="50">
        <f>($A$35*2*63%+$B$35)/(1-(1-1000/(1000+3*($C12+63%*$C$35)/2)))</f>
        <v>98002.929535000003</v>
      </c>
      <c r="P12" s="50">
        <f>($A$35*63%+$B$35)/(1-(1-1000/(1000+3*($C12+2*63%*$C$35)/2)))</f>
        <v>93007.919410000017</v>
      </c>
    </row>
    <row r="13" spans="1:16">
      <c r="A13" t="s">
        <v>911</v>
      </c>
      <c r="B13">
        <f>9225+13476</f>
        <v>22701</v>
      </c>
      <c r="C13">
        <v>1221</v>
      </c>
      <c r="D13" s="15">
        <f t="shared" si="0"/>
        <v>0.78554578597469438</v>
      </c>
      <c r="E13" s="15">
        <f t="shared" si="1"/>
        <v>0.64683030196009184</v>
      </c>
      <c r="F13" s="15">
        <f t="shared" si="2"/>
        <v>0.64683030196009161</v>
      </c>
      <c r="G13" s="50">
        <f>$B13/(1-$D13)</f>
        <v>105854.76299999999</v>
      </c>
      <c r="H13" s="50">
        <f>$B13/(1-$E13)</f>
        <v>64277.881500000003</v>
      </c>
    </row>
    <row r="14" spans="1:16">
      <c r="A14" t="s">
        <v>911</v>
      </c>
      <c r="B14">
        <f>B13-3700</f>
        <v>19001</v>
      </c>
      <c r="C14">
        <f>C13+$C$35*37%</f>
        <v>1501.46</v>
      </c>
      <c r="D14" s="15">
        <f t="shared" si="0"/>
        <v>0.81832649635381283</v>
      </c>
      <c r="E14" s="15">
        <f t="shared" si="1"/>
        <v>0.69251488996645338</v>
      </c>
      <c r="F14" s="15">
        <f t="shared" si="2"/>
        <v>0.69251488996645372</v>
      </c>
      <c r="G14" s="50">
        <f>$B14/(1-$D14)</f>
        <v>104588.72438000003</v>
      </c>
      <c r="H14" s="50">
        <f>$B14/(1-$E14)</f>
        <v>61794.86219</v>
      </c>
    </row>
    <row r="15" spans="1:16">
      <c r="C15" s="15"/>
      <c r="D15" s="15"/>
    </row>
    <row r="16" spans="1:16">
      <c r="C16" s="15"/>
      <c r="D16" s="15"/>
    </row>
    <row r="17" spans="2:12">
      <c r="C17" s="15"/>
      <c r="D17" s="15"/>
    </row>
    <row r="18" spans="2:12">
      <c r="C18" s="15"/>
      <c r="D18" s="15"/>
    </row>
    <row r="19" spans="2:12">
      <c r="C19" s="15"/>
      <c r="D19" s="15"/>
    </row>
    <row r="20" spans="2:12">
      <c r="C20" s="15"/>
      <c r="D20" s="15"/>
    </row>
    <row r="21" spans="2:12">
      <c r="B21" t="s">
        <v>897</v>
      </c>
      <c r="C21" t="s">
        <v>898</v>
      </c>
      <c r="D21" t="s">
        <v>899</v>
      </c>
      <c r="E21" t="s">
        <v>901</v>
      </c>
      <c r="F21" t="s">
        <v>902</v>
      </c>
      <c r="G21" t="s">
        <v>903</v>
      </c>
      <c r="H21" t="s">
        <v>904</v>
      </c>
      <c r="I21" t="s">
        <v>905</v>
      </c>
      <c r="J21" t="s">
        <v>908</v>
      </c>
      <c r="K21" t="s">
        <v>906</v>
      </c>
      <c r="L21" t="s">
        <v>909</v>
      </c>
    </row>
    <row r="22" spans="2:12">
      <c r="B22">
        <v>50</v>
      </c>
      <c r="C22" s="15">
        <f>1-(1-0.00075)^$B22</f>
        <v>3.6819133881618282E-2</v>
      </c>
      <c r="D22" s="15">
        <f>1-(1-0.00075)^($B22/2)</f>
        <v>1.8582216322537981E-2</v>
      </c>
      <c r="E22" s="50">
        <f>($A$35*2*63%+$B$35)/(1-$C22)</f>
        <v>28679.452605119419</v>
      </c>
      <c r="F22" s="50">
        <f>($A$35*2*63%+$B$35)/(1-$D22)</f>
        <v>28146.524812799114</v>
      </c>
      <c r="G22" s="50">
        <f>($A$35*63%+$B$35)/(1-(1-(1-0.00075)^($B22+63%*$C$35)))</f>
        <v>32403.040476718274</v>
      </c>
      <c r="H22" s="50">
        <f>($A$35*63%+$B$35)/(1-(1-(1-0.00075)^(($B22+63%*$C$35)/2)))</f>
        <v>26585.09014688609</v>
      </c>
      <c r="I22" s="50">
        <f>($A$35*3*63%+$B$35)/(1-$C22)</f>
        <v>34713.366072920486</v>
      </c>
      <c r="J22" s="50">
        <f>($A$35*3*63%+$B$35)/(1-$D22)</f>
        <v>34068.314795270031</v>
      </c>
      <c r="K22" s="50">
        <f>($A$35*2*63%+$B$35)/(1-(1-(1-0.00075)^($B22+63%*$C$35)))</f>
        <v>41036.84429762065</v>
      </c>
      <c r="L22" s="50">
        <f>($A$35*2*63%+$B$35)/(1-(1-(1-0.00075)^(($B22+63%*$C$35)/2)))</f>
        <v>33668.69864511137</v>
      </c>
    </row>
    <row r="23" spans="2:12">
      <c r="B23">
        <v>250</v>
      </c>
      <c r="C23" s="15">
        <f t="shared" ref="C23:C32" si="3">1-(1-0.00075)^$B23</f>
        <v>0.17102920004013511</v>
      </c>
      <c r="D23" s="15">
        <f t="shared" ref="D23:D32" si="4">1-(1-0.00075)^($B23/2)</f>
        <v>8.9521664200698958E-2</v>
      </c>
      <c r="E23" s="50">
        <f>($A$35*2*63%+$B$35)/(1-$C23)</f>
        <v>33322.645383091185</v>
      </c>
      <c r="F23" s="50">
        <f>($A$35*2*63%+$B$35)/(1-$D23)</f>
        <v>30339.54671282713</v>
      </c>
      <c r="G23" s="50">
        <f t="shared" ref="G23:G32" si="5">($A$35*63%+$B$35)/(1-(1-(1-0.00075)^($B23+63%*$C$35)))</f>
        <v>37649.080755010422</v>
      </c>
      <c r="H23" s="50">
        <f t="shared" ref="H23:H32" si="6">($A$35*63%+$B$35)/(1-(1-(1-0.00075)^(($B23+63%*$C$35)/2)))</f>
        <v>28656.453673790456</v>
      </c>
      <c r="I23" s="50">
        <f t="shared" ref="I23:I32" si="7">($A$35*3*63%+$B$35)/(1-$C23)</f>
        <v>40333.447211432278</v>
      </c>
      <c r="J23" s="50">
        <f t="shared" ref="J23:J32" si="8">($A$35*3*63%+$B$35)/(1-$D23)</f>
        <v>36722.729894113829</v>
      </c>
      <c r="K23" s="50">
        <f t="shared" ref="K23:K32" si="9">($A$35*2*63%+$B$35)/(1-(1-(1-0.00075)^($B23+63%*$C$35)))</f>
        <v>47680.694223802784</v>
      </c>
      <c r="L23" s="50">
        <f t="shared" ref="L23:L32" si="10">($A$35*2*63%+$B$35)/(1-(1-(1-0.00075)^(($B23+63%*$C$35)/2)))</f>
        <v>36291.977858628983</v>
      </c>
    </row>
    <row r="24" spans="2:12">
      <c r="B24">
        <v>500</v>
      </c>
      <c r="C24" s="15">
        <f t="shared" si="3"/>
        <v>0.31280741281390179</v>
      </c>
      <c r="D24" s="15">
        <f t="shared" si="4"/>
        <v>0.17102920004013511</v>
      </c>
      <c r="E24" s="50">
        <f>($A$35*2*63%+$B$35)/(1-$C24)</f>
        <v>40197.610560835834</v>
      </c>
      <c r="F24" s="50">
        <f>($A$35*2*63%+$B$35)/(1-$D24)</f>
        <v>33322.645383091185</v>
      </c>
      <c r="G24" s="50">
        <f t="shared" si="5"/>
        <v>45416.654913337501</v>
      </c>
      <c r="H24" s="50">
        <f t="shared" si="6"/>
        <v>31474.064288013218</v>
      </c>
      <c r="I24" s="50">
        <f t="shared" si="7"/>
        <v>48654.846724860581</v>
      </c>
      <c r="J24" s="50">
        <f t="shared" si="8"/>
        <v>40333.447211432278</v>
      </c>
      <c r="K24" s="50">
        <f t="shared" si="9"/>
        <v>57517.94179736053</v>
      </c>
      <c r="L24" s="50">
        <f t="shared" si="10"/>
        <v>39860.342011068948</v>
      </c>
    </row>
    <row r="25" spans="2:12">
      <c r="B25">
        <v>750</v>
      </c>
      <c r="C25" s="15">
        <f t="shared" si="3"/>
        <v>0.43033741127385094</v>
      </c>
      <c r="D25" s="15">
        <f t="shared" si="4"/>
        <v>0.24524004562632695</v>
      </c>
      <c r="E25" s="50">
        <f>($A$35*2*63%+$B$35)/(1-$C25)</f>
        <v>48490.984921039468</v>
      </c>
      <c r="F25" s="50">
        <f>($A$35*2*63%+$B$35)/(1-$D25)</f>
        <v>36599.053566538219</v>
      </c>
      <c r="G25" s="50">
        <f t="shared" si="5"/>
        <v>54786.796972265467</v>
      </c>
      <c r="H25" s="50">
        <f t="shared" si="6"/>
        <v>34568.713005546088</v>
      </c>
      <c r="I25" s="50">
        <f t="shared" si="7"/>
        <v>58693.076676785517</v>
      </c>
      <c r="J25" s="50">
        <f t="shared" si="8"/>
        <v>44299.183874621136</v>
      </c>
      <c r="K25" s="50">
        <f t="shared" si="9"/>
        <v>69384.762165501394</v>
      </c>
      <c r="L25" s="50">
        <f t="shared" si="10"/>
        <v>43779.561186456951</v>
      </c>
    </row>
    <row r="26" spans="2:12">
      <c r="B26">
        <v>900</v>
      </c>
      <c r="C26" s="15">
        <f t="shared" si="3"/>
        <v>0.49097250776145562</v>
      </c>
      <c r="D26" s="15">
        <f t="shared" si="4"/>
        <v>0.28653837367483848</v>
      </c>
      <c r="E26" s="50">
        <f>($A$35*2*63%+$B$35)/(1-$C26)</f>
        <v>54267.206430286213</v>
      </c>
      <c r="F26" s="50">
        <f>($A$35*2*63%+$B$35)/(1-$D26)</f>
        <v>38717.569355875261</v>
      </c>
      <c r="G26" s="50">
        <f t="shared" si="5"/>
        <v>61312.972417232137</v>
      </c>
      <c r="H26" s="50">
        <f t="shared" si="6"/>
        <v>36569.70366466706</v>
      </c>
      <c r="I26" s="50">
        <f t="shared" si="7"/>
        <v>65684.566177284811</v>
      </c>
      <c r="J26" s="50">
        <f t="shared" si="8"/>
        <v>46863.41740930832</v>
      </c>
      <c r="K26" s="50">
        <f t="shared" si="9"/>
        <v>77649.839814201609</v>
      </c>
      <c r="L26" s="50">
        <f t="shared" si="10"/>
        <v>46313.71665184731</v>
      </c>
    </row>
    <row r="27" spans="2:12">
      <c r="B27">
        <v>1000</v>
      </c>
      <c r="C27" s="15">
        <f t="shared" si="3"/>
        <v>0.52776634811647671</v>
      </c>
      <c r="D27" s="15">
        <f t="shared" si="4"/>
        <v>0.31280741281390179</v>
      </c>
      <c r="E27" s="50">
        <f>($A$35*2*63%+$B$35)/(1-$C27)</f>
        <v>58495.407707228267</v>
      </c>
      <c r="F27" s="50">
        <f>($A$35*2*63%+$B$35)/(1-$D27)</f>
        <v>40197.610560835834</v>
      </c>
      <c r="G27" s="50">
        <f t="shared" si="5"/>
        <v>66090.140901124789</v>
      </c>
      <c r="H27" s="50">
        <f t="shared" si="6"/>
        <v>37967.639257663999</v>
      </c>
      <c r="I27" s="50">
        <f t="shared" si="7"/>
        <v>70802.345124372514</v>
      </c>
      <c r="J27" s="50">
        <f t="shared" si="8"/>
        <v>48654.846724860581</v>
      </c>
      <c r="K27" s="50">
        <f t="shared" si="9"/>
        <v>83699.886858331898</v>
      </c>
      <c r="L27" s="50">
        <f t="shared" si="10"/>
        <v>48084.132774036079</v>
      </c>
    </row>
    <row r="28" spans="2:12">
      <c r="B28">
        <v>1250</v>
      </c>
      <c r="C28" s="15">
        <f t="shared" si="3"/>
        <v>0.60853209183014734</v>
      </c>
      <c r="D28" s="15">
        <f t="shared" si="4"/>
        <v>0.37432603684518517</v>
      </c>
      <c r="E28" s="50">
        <f>($A$35*2*63%+$B$35)/(1-$C28)</f>
        <v>70563.894060032457</v>
      </c>
      <c r="F28" s="50">
        <f>($A$35*2*63%+$B$35)/(1-$D28)</f>
        <v>44149.991252177017</v>
      </c>
      <c r="G28" s="50">
        <f t="shared" si="5"/>
        <v>79725.535452303899</v>
      </c>
      <c r="H28" s="50">
        <f t="shared" si="6"/>
        <v>41700.760759268996</v>
      </c>
      <c r="I28" s="50">
        <f t="shared" si="7"/>
        <v>85409.938598320281</v>
      </c>
      <c r="J28" s="50">
        <f t="shared" si="8"/>
        <v>53438.774775620455</v>
      </c>
      <c r="K28" s="50">
        <f t="shared" si="9"/>
        <v>100968.43804677372</v>
      </c>
      <c r="L28" s="50">
        <f t="shared" si="10"/>
        <v>52811.946076480206</v>
      </c>
    </row>
    <row r="29" spans="2:12">
      <c r="B29">
        <v>1500</v>
      </c>
      <c r="C29" s="15">
        <f t="shared" si="3"/>
        <v>0.67548453500582228</v>
      </c>
      <c r="D29" s="15">
        <f t="shared" si="4"/>
        <v>0.43033741127385094</v>
      </c>
      <c r="E29" s="50">
        <f>($A$35*2*63%+$B$35)/(1-$C29)</f>
        <v>85122.291476911909</v>
      </c>
      <c r="F29" s="50">
        <f>($A$35*2*63%+$B$35)/(1-$D29)</f>
        <v>48490.984921039468</v>
      </c>
      <c r="G29" s="50">
        <f t="shared" si="5"/>
        <v>96174.117901576334</v>
      </c>
      <c r="H29" s="50">
        <f t="shared" si="6"/>
        <v>45800.936847838675</v>
      </c>
      <c r="I29" s="50">
        <f t="shared" si="7"/>
        <v>103031.29929601314</v>
      </c>
      <c r="J29" s="50">
        <f t="shared" si="8"/>
        <v>58693.076676785517</v>
      </c>
      <c r="K29" s="50">
        <f t="shared" si="9"/>
        <v>121799.75223694539</v>
      </c>
      <c r="L29" s="50">
        <f t="shared" si="10"/>
        <v>58004.615815616431</v>
      </c>
    </row>
    <row r="30" spans="2:12">
      <c r="B30">
        <v>1750</v>
      </c>
      <c r="C30" s="15">
        <f t="shared" si="3"/>
        <v>0.73098615538442901</v>
      </c>
      <c r="D30" s="15">
        <f t="shared" si="4"/>
        <v>0.48133455424949412</v>
      </c>
      <c r="E30" s="50">
        <f>($A$35*2*63%+$B$35)/(1-$C30)</f>
        <v>102684.30622771414</v>
      </c>
      <c r="F30" s="50">
        <f>($A$35*2*63%+$B$35)/(1-$D30)</f>
        <v>53258.801461178809</v>
      </c>
      <c r="G30" s="50">
        <f t="shared" si="5"/>
        <v>116016.29141368173</v>
      </c>
      <c r="H30" s="50">
        <f t="shared" si="6"/>
        <v>50304.257714853251</v>
      </c>
      <c r="I30" s="50">
        <f t="shared" si="7"/>
        <v>124288.21292740526</v>
      </c>
      <c r="J30" s="50">
        <f t="shared" si="8"/>
        <v>64464.001359526446</v>
      </c>
      <c r="K30" s="50">
        <f t="shared" si="9"/>
        <v>146928.88126197289</v>
      </c>
      <c r="L30" s="50">
        <f t="shared" si="10"/>
        <v>63707.848429688063</v>
      </c>
    </row>
    <row r="31" spans="2:12">
      <c r="B31">
        <v>2000</v>
      </c>
      <c r="C31" s="15">
        <f t="shared" si="3"/>
        <v>0.77699537802875129</v>
      </c>
      <c r="D31" s="15">
        <f t="shared" si="4"/>
        <v>0.52776634811647671</v>
      </c>
      <c r="E31" s="50">
        <f>($A$35*2*63%+$B$35)/(1-$C31)</f>
        <v>123869.62994677936</v>
      </c>
      <c r="F31" s="50">
        <f>($A$35*2*63%+$B$35)/(1-$D31)</f>
        <v>58495.407707228267</v>
      </c>
      <c r="G31" s="50">
        <f t="shared" si="5"/>
        <v>139952.2050949189</v>
      </c>
      <c r="H31" s="50">
        <f t="shared" si="6"/>
        <v>55250.362075547499</v>
      </c>
      <c r="I31" s="50">
        <f t="shared" si="7"/>
        <v>149930.74898829093</v>
      </c>
      <c r="J31" s="50">
        <f t="shared" si="8"/>
        <v>70802.345124372514</v>
      </c>
      <c r="K31" s="50">
        <f t="shared" si="9"/>
        <v>177242.52925324618</v>
      </c>
      <c r="L31" s="50">
        <f t="shared" si="10"/>
        <v>69971.844386346187</v>
      </c>
    </row>
    <row r="32" spans="2:12">
      <c r="B32">
        <f>D35</f>
        <v>1221</v>
      </c>
      <c r="C32" s="15">
        <f t="shared" si="3"/>
        <v>0.59992113069581676</v>
      </c>
      <c r="D32" s="15">
        <f t="shared" si="4"/>
        <v>0.36748211937987174</v>
      </c>
      <c r="E32" s="50">
        <f>($A$35*2*63%+$B$35)/(1-$C32)</f>
        <v>69045.136145387442</v>
      </c>
      <c r="F32" s="50">
        <f>($A$35*2*63%+$B$35)/(1-$D32)</f>
        <v>43672.283181809158</v>
      </c>
      <c r="G32" s="50">
        <f t="shared" si="5"/>
        <v>78009.59007286538</v>
      </c>
      <c r="H32" s="50">
        <f t="shared" si="6"/>
        <v>41249.553649364752</v>
      </c>
      <c r="I32" s="50">
        <f t="shared" si="7"/>
        <v>83571.646905897709</v>
      </c>
      <c r="J32" s="50">
        <f t="shared" si="8"/>
        <v>52860.560980852701</v>
      </c>
      <c r="K32" s="50">
        <f t="shared" si="9"/>
        <v>98795.278296230099</v>
      </c>
      <c r="L32" s="50">
        <f t="shared" si="10"/>
        <v>52240.514641568298</v>
      </c>
    </row>
    <row r="33" spans="1:8">
      <c r="C33" s="15"/>
      <c r="D33" s="15"/>
      <c r="E33" s="50"/>
      <c r="F33" s="50"/>
      <c r="G33" s="50"/>
      <c r="H33" s="50"/>
    </row>
    <row r="34" spans="1:8">
      <c r="A34" t="s">
        <v>912</v>
      </c>
      <c r="B34" t="s">
        <v>913</v>
      </c>
      <c r="C34" t="s">
        <v>914</v>
      </c>
      <c r="D34" t="s">
        <v>897</v>
      </c>
      <c r="E34" t="s">
        <v>915</v>
      </c>
      <c r="F34" t="s">
        <v>916</v>
      </c>
    </row>
    <row r="35" spans="1:8">
      <c r="A35">
        <v>9225</v>
      </c>
      <c r="B35">
        <v>16000</v>
      </c>
      <c r="C35">
        <v>758</v>
      </c>
      <c r="D35">
        <f>758+463</f>
        <v>1221</v>
      </c>
      <c r="E35" s="15">
        <v>1.26</v>
      </c>
      <c r="F35" s="15">
        <f>(C35*3*E35*E35-1000*E35)/(6*C35*E35*E35)</f>
        <v>0.32549454844969355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2"/>
  <sheetViews>
    <sheetView workbookViewId="0">
      <selection activeCell="N20" sqref="N20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13.229545304116078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1882.6795155190996</v>
      </c>
    </row>
    <row r="12" spans="1:18">
      <c r="A12" t="s">
        <v>786</v>
      </c>
      <c r="C12">
        <f t="shared" ref="C12:C17" si="1"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 t="shared" si="1"/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 t="shared" si="1"/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 t="shared" si="1"/>
        <v>720</v>
      </c>
      <c r="D15">
        <v>30</v>
      </c>
      <c r="E15">
        <v>30</v>
      </c>
      <c r="F15">
        <v>2</v>
      </c>
      <c r="G15">
        <f>F15*E15</f>
        <v>60</v>
      </c>
      <c r="N15" s="206" t="s">
        <v>888</v>
      </c>
      <c r="O15" s="207"/>
      <c r="P15" s="208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 t="shared" si="1"/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 t="shared" si="1"/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950*3+150</f>
        <v>3000</v>
      </c>
      <c r="P18" s="199">
        <f>SUM(N18,O18)</f>
        <v>5030.1609195402307</v>
      </c>
      <c r="Q18" s="50">
        <f>P18</f>
        <v>5030.1609195402307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1184.2105263157894</v>
      </c>
      <c r="P19" s="199">
        <f>SUM(N19,O19)</f>
        <v>1985.589836660617</v>
      </c>
      <c r="Q19" s="50">
        <f>P19</f>
        <v>1985.589836660617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features'!N10-480000*3</f>
        <v>1856576.8275862075</v>
      </c>
      <c r="O20" s="39">
        <f>O18*'Location features'!N21</f>
        <v>2767478.4172661868</v>
      </c>
      <c r="P20" s="199">
        <f>SUM(N20,O20)</f>
        <v>4624055.2448523939</v>
      </c>
      <c r="Q20" s="1">
        <f>'Location features'!$N$14*Crystals!Q18</f>
        <v>9184856.6275862083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2492899.355478928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179.04513350559864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627.55983850636653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997"/>
  <sheetViews>
    <sheetView zoomScale="85" zoomScaleNormal="85" workbookViewId="0">
      <pane ySplit="1" topLeftCell="A1433" activePane="bottomLeft" state="frozen"/>
      <selection pane="bottomLeft" activeCell="H1461" sqref="H146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261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261</v>
      </c>
    </row>
    <row r="1448" spans="1:13">
      <c r="A1448" t="s">
        <v>178</v>
      </c>
      <c r="B1448" t="s">
        <v>9</v>
      </c>
      <c r="C1448">
        <v>10</v>
      </c>
      <c r="D1448">
        <v>5081</v>
      </c>
      <c r="E1448">
        <v>1</v>
      </c>
      <c r="F1448" t="s">
        <v>258</v>
      </c>
      <c r="G1448">
        <v>1</v>
      </c>
      <c r="H1448" t="s">
        <v>28</v>
      </c>
      <c r="I1448">
        <v>5780</v>
      </c>
      <c r="J144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  <c r="M1448" t="s">
        <v>893</v>
      </c>
    </row>
    <row r="1449" spans="1:13">
      <c r="A1449" t="s">
        <v>178</v>
      </c>
      <c r="B1449" t="s">
        <v>9</v>
      </c>
      <c r="C1449">
        <v>10</v>
      </c>
      <c r="D1449">
        <v>4851</v>
      </c>
      <c r="E1449">
        <v>2</v>
      </c>
      <c r="F1449" t="s">
        <v>34</v>
      </c>
      <c r="G1449">
        <v>5</v>
      </c>
      <c r="H1449" t="s">
        <v>17</v>
      </c>
      <c r="I1449">
        <v>0</v>
      </c>
      <c r="J14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4000</v>
      </c>
    </row>
    <row r="1450" spans="1:13">
      <c r="A1450" t="s">
        <v>178</v>
      </c>
      <c r="B1450" t="s">
        <v>9</v>
      </c>
      <c r="C1450">
        <v>10</v>
      </c>
      <c r="D1450">
        <v>4678</v>
      </c>
      <c r="E1450">
        <v>1</v>
      </c>
      <c r="F1450" t="s">
        <v>258</v>
      </c>
      <c r="G1450">
        <v>1</v>
      </c>
      <c r="H1450" t="s">
        <v>28</v>
      </c>
      <c r="I1450">
        <v>7650</v>
      </c>
      <c r="J1450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A1451" t="s">
        <v>178</v>
      </c>
      <c r="B1451" t="s">
        <v>9</v>
      </c>
      <c r="C1451">
        <v>10</v>
      </c>
      <c r="D1451">
        <v>4734</v>
      </c>
      <c r="E1451">
        <v>1</v>
      </c>
      <c r="F1451" t="s">
        <v>58</v>
      </c>
      <c r="G1451">
        <v>1</v>
      </c>
      <c r="H1451" t="s">
        <v>26</v>
      </c>
      <c r="I1451">
        <v>0</v>
      </c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34500</v>
      </c>
      <c r="L1451" s="43">
        <f>IFERROR(SUMIFS(Tabela10[Exp Gain only 2*+],Tabela10[Drop],DropAnalityka[[#This Row],[Drop]],Tabela10[Grade],DropAnalityka[[#This Row],[Grade]])*DropAnalityka[[#This Row],[Quality/Quantity]],0)</f>
        <v>118004</v>
      </c>
    </row>
    <row r="1452" spans="1:13">
      <c r="A1452" t="s">
        <v>178</v>
      </c>
      <c r="B1452" t="s">
        <v>9</v>
      </c>
      <c r="C1452">
        <v>10</v>
      </c>
      <c r="D1452">
        <v>4456</v>
      </c>
      <c r="E1452">
        <v>1</v>
      </c>
      <c r="F1452" t="s">
        <v>291</v>
      </c>
      <c r="G1452">
        <v>1</v>
      </c>
      <c r="H1452" t="s">
        <v>28</v>
      </c>
      <c r="I1452">
        <v>11475</v>
      </c>
      <c r="J1452">
        <f>DropAnalityka[[#This Row],[Sell Drop]]+IFERROR(SUMIFS(Tabela10[Drop Worth],Tabela10[Drop],DropAnalityka[[#This Row],[Drop]],Tabela10[Grade],DropAnalityka[[#This Row],[Grade]])*DropAnalityka[[#This Row],[Quality/Quantity]],0)</f>
        <v>11475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  <c r="M1452" t="s">
        <v>190</v>
      </c>
    </row>
    <row r="1453" spans="1:13">
      <c r="A1453" t="s">
        <v>178</v>
      </c>
      <c r="B1453" t="s">
        <v>9</v>
      </c>
      <c r="C1453">
        <v>10</v>
      </c>
      <c r="D1453">
        <v>4601</v>
      </c>
      <c r="F1453" t="s">
        <v>318</v>
      </c>
      <c r="G1453">
        <v>1</v>
      </c>
      <c r="H1453" t="s">
        <v>27</v>
      </c>
      <c r="I1453">
        <v>9600</v>
      </c>
      <c r="J1453">
        <f>DropAnalityka[[#This Row],[Sell Drop]]+IFERROR(SUMIFS(Tabela10[Drop Worth],Tabela10[Drop],DropAnalityka[[#This Row],[Drop]],Tabela10[Grade],DropAnalityka[[#This Row],[Grade]])*DropAnalityka[[#This Row],[Quality/Quantity]],0)</f>
        <v>9600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  <c r="M1453" t="s">
        <v>894</v>
      </c>
    </row>
    <row r="1454" spans="1:13">
      <c r="A1454" t="s">
        <v>178</v>
      </c>
      <c r="B1454" t="s">
        <v>9</v>
      </c>
      <c r="C1454">
        <v>10</v>
      </c>
      <c r="D1454">
        <v>4829</v>
      </c>
      <c r="E1454">
        <v>0</v>
      </c>
      <c r="F1454" t="s">
        <v>258</v>
      </c>
      <c r="G1454">
        <v>1</v>
      </c>
      <c r="H1454" t="s">
        <v>28</v>
      </c>
      <c r="I1454">
        <v>8925</v>
      </c>
      <c r="J1454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  <c r="M1454" t="s">
        <v>333</v>
      </c>
    </row>
    <row r="1455" spans="1:13">
      <c r="A1455" t="s">
        <v>178</v>
      </c>
      <c r="B1455" t="s">
        <v>9</v>
      </c>
      <c r="C1455">
        <v>10</v>
      </c>
      <c r="D1455">
        <v>814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  <c r="M1455" t="s">
        <v>261</v>
      </c>
    </row>
    <row r="1456" spans="1:13">
      <c r="A1456" t="s">
        <v>178</v>
      </c>
      <c r="B1456" t="s">
        <v>9</v>
      </c>
      <c r="C1456">
        <v>10</v>
      </c>
      <c r="D1456">
        <v>4868</v>
      </c>
      <c r="E1456">
        <v>0</v>
      </c>
      <c r="F1456" t="s">
        <v>318</v>
      </c>
      <c r="G1456">
        <v>1</v>
      </c>
      <c r="H1456" t="s">
        <v>28</v>
      </c>
      <c r="I1456">
        <v>11560</v>
      </c>
      <c r="J145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  <c r="M1456" t="s">
        <v>895</v>
      </c>
    </row>
    <row r="1457" spans="1:13">
      <c r="A1457" t="s">
        <v>178</v>
      </c>
      <c r="B1457" t="s">
        <v>9</v>
      </c>
      <c r="C1457">
        <v>10</v>
      </c>
      <c r="D1457">
        <v>4836</v>
      </c>
      <c r="E1457">
        <v>0</v>
      </c>
      <c r="F1457" t="s">
        <v>258</v>
      </c>
      <c r="G1457">
        <v>1</v>
      </c>
      <c r="H1457" t="s">
        <v>28</v>
      </c>
      <c r="I1457">
        <v>11900</v>
      </c>
      <c r="J1457">
        <f>DropAnalityka[[#This Row],[Sell Drop]]+IFERROR(SUMIFS(Tabela10[Drop Worth],Tabela10[Drop],DropAnalityka[[#This Row],[Drop]],Tabela10[Grade],DropAnalityka[[#This Row],[Grade]])*DropAnalityka[[#This Row],[Quality/Quantity]],0)</f>
        <v>11900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  <c r="M1457" t="s">
        <v>894</v>
      </c>
    </row>
    <row r="1458" spans="1:13">
      <c r="A1458" t="s">
        <v>178</v>
      </c>
      <c r="B1458" t="s">
        <v>9</v>
      </c>
      <c r="C1458">
        <v>10</v>
      </c>
      <c r="D1458">
        <v>5295</v>
      </c>
      <c r="E1458">
        <v>0</v>
      </c>
      <c r="F1458" t="s">
        <v>34</v>
      </c>
      <c r="G1458">
        <v>4</v>
      </c>
      <c r="H1458" t="s">
        <v>17</v>
      </c>
      <c r="I1458">
        <v>0</v>
      </c>
      <c r="J14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3200</v>
      </c>
    </row>
    <row r="1459" spans="1:13">
      <c r="A1459" t="s">
        <v>178</v>
      </c>
      <c r="B1459" t="s">
        <v>9</v>
      </c>
      <c r="C1459">
        <v>10</v>
      </c>
      <c r="D1459">
        <f>9994/2</f>
        <v>4997</v>
      </c>
      <c r="E1459">
        <v>0</v>
      </c>
      <c r="F1459" t="s">
        <v>291</v>
      </c>
      <c r="G1459">
        <v>1</v>
      </c>
      <c r="H1459" t="s">
        <v>28</v>
      </c>
      <c r="I1459">
        <v>13600</v>
      </c>
      <c r="J1459">
        <f>DropAnalityka[[#This Row],[Sell Drop]]+IFERROR(SUMIFS(Tabela10[Drop Worth],Tabela10[Drop],DropAnalityka[[#This Row],[Drop]],Tabela10[Grade],DropAnalityka[[#This Row],[Grade]])*DropAnalityka[[#This Row],[Quality/Quantity]],0)</f>
        <v>13600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  <c r="M1459" t="s">
        <v>333</v>
      </c>
    </row>
    <row r="1460" spans="1:13">
      <c r="A1460" t="s">
        <v>178</v>
      </c>
      <c r="B1460" t="s">
        <v>9</v>
      </c>
      <c r="C1460">
        <v>10</v>
      </c>
      <c r="D1460">
        <f>9539/2</f>
        <v>4769.5</v>
      </c>
      <c r="E1460">
        <v>0</v>
      </c>
      <c r="F1460" t="s">
        <v>34</v>
      </c>
      <c r="G1460">
        <v>4</v>
      </c>
      <c r="H1460" t="s">
        <v>17</v>
      </c>
      <c r="I1460">
        <v>0</v>
      </c>
      <c r="J14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3200</v>
      </c>
    </row>
    <row r="1461" spans="1:13">
      <c r="A1461" t="s">
        <v>178</v>
      </c>
      <c r="B1461" t="s">
        <v>9</v>
      </c>
      <c r="C1461">
        <v>10</v>
      </c>
      <c r="D1461">
        <f>9591/2</f>
        <v>4795.5</v>
      </c>
      <c r="E1461">
        <v>0</v>
      </c>
      <c r="F1461" t="s">
        <v>291</v>
      </c>
      <c r="G1461">
        <v>1</v>
      </c>
      <c r="H1461" t="s">
        <v>29</v>
      </c>
      <c r="I1461">
        <v>25360</v>
      </c>
      <c r="J1461">
        <f>DropAnalityka[[#This Row],[Sell Drop]]+IFERROR(SUMIFS(Tabela10[Drop Worth],Tabela10[Drop],DropAnalityka[[#This Row],[Drop]],Tabela10[Grade],DropAnalityka[[#This Row],[Grade]])*DropAnalityka[[#This Row],[Quality/Quantity]],0)</f>
        <v>25360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  <c r="M1461" t="s">
        <v>153</v>
      </c>
    </row>
    <row r="1462" spans="1:13">
      <c r="A1462" t="s">
        <v>178</v>
      </c>
      <c r="B1462" t="s">
        <v>9</v>
      </c>
      <c r="C1462">
        <v>10</v>
      </c>
      <c r="D1462">
        <v>4681</v>
      </c>
      <c r="E1462">
        <v>0</v>
      </c>
      <c r="F1462" t="s">
        <v>258</v>
      </c>
      <c r="G1462">
        <v>1</v>
      </c>
      <c r="H1462" t="s">
        <v>28</v>
      </c>
      <c r="I1462">
        <v>7650</v>
      </c>
      <c r="J146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  <c r="M1462" t="s">
        <v>190</v>
      </c>
    </row>
    <row r="1463" spans="1:13">
      <c r="A1463" t="s">
        <v>178</v>
      </c>
      <c r="B1463" t="s">
        <v>9</v>
      </c>
      <c r="C1463">
        <v>10</v>
      </c>
      <c r="D1463">
        <v>4583</v>
      </c>
      <c r="E1463">
        <v>2</v>
      </c>
      <c r="F1463" t="s">
        <v>34</v>
      </c>
      <c r="G1463">
        <v>4</v>
      </c>
      <c r="H1463" t="s">
        <v>17</v>
      </c>
      <c r="I1463">
        <v>0</v>
      </c>
      <c r="J146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3200</v>
      </c>
    </row>
    <row r="1464" spans="1:13">
      <c r="A1464" t="s">
        <v>178</v>
      </c>
      <c r="B1464" t="s">
        <v>9</v>
      </c>
      <c r="C1464">
        <v>10</v>
      </c>
      <c r="D1464">
        <v>4399</v>
      </c>
      <c r="E1464">
        <v>1</v>
      </c>
      <c r="F1464" t="s">
        <v>258</v>
      </c>
      <c r="G1464">
        <v>1</v>
      </c>
      <c r="H1464" t="s">
        <v>28</v>
      </c>
      <c r="I1464">
        <v>3445</v>
      </c>
      <c r="J146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  <c r="M1464" t="s">
        <v>895</v>
      </c>
    </row>
    <row r="1465" spans="1:13">
      <c r="A1465" t="s">
        <v>178</v>
      </c>
      <c r="B1465" t="s">
        <v>9</v>
      </c>
      <c r="C1465">
        <v>10</v>
      </c>
      <c r="D1465">
        <v>5013</v>
      </c>
      <c r="E1465">
        <v>4</v>
      </c>
      <c r="F1465" t="s">
        <v>34</v>
      </c>
      <c r="G1465">
        <v>4</v>
      </c>
      <c r="H1465" t="s">
        <v>17</v>
      </c>
      <c r="I1465">
        <v>0</v>
      </c>
      <c r="J14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3200</v>
      </c>
    </row>
    <row r="1466" spans="1:13">
      <c r="A1466" t="s">
        <v>178</v>
      </c>
      <c r="B1466" t="s">
        <v>9</v>
      </c>
      <c r="C1466">
        <v>10</v>
      </c>
      <c r="D1466">
        <v>4722</v>
      </c>
      <c r="E1466">
        <v>3</v>
      </c>
      <c r="F1466" t="s">
        <v>258</v>
      </c>
      <c r="G1466">
        <v>1</v>
      </c>
      <c r="H1466" t="s">
        <v>28</v>
      </c>
      <c r="I1466">
        <v>10200</v>
      </c>
      <c r="J146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  <c r="M1466" t="s">
        <v>153</v>
      </c>
    </row>
    <row r="1467" spans="1:13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:13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:13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:13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:13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:13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4:U99"/>
  <sheetViews>
    <sheetView topLeftCell="A49" zoomScale="85" zoomScaleNormal="85" workbookViewId="0">
      <selection activeCell="C79" sqref="C7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4" t="s">
        <v>249</v>
      </c>
      <c r="G5" s="215"/>
      <c r="H5" s="216"/>
      <c r="I5" s="217" t="s">
        <v>250</v>
      </c>
      <c r="J5" s="218"/>
      <c r="K5" s="219"/>
      <c r="L5" s="220" t="s">
        <v>18</v>
      </c>
      <c r="M5" s="221"/>
      <c r="N5" s="222"/>
      <c r="O5" s="223" t="s">
        <v>252</v>
      </c>
      <c r="P5" s="224"/>
      <c r="Q5" s="225"/>
      <c r="R5" s="226" t="s">
        <v>251</v>
      </c>
      <c r="S5" s="227"/>
      <c r="T5" s="228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9" t="s">
        <v>281</v>
      </c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10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11" t="s">
        <v>280</v>
      </c>
      <c r="H32" s="212"/>
      <c r="I32" s="212"/>
      <c r="J32" s="212"/>
      <c r="K32" s="212"/>
      <c r="L32" s="212"/>
      <c r="M32" s="212"/>
      <c r="N32" s="212"/>
      <c r="O32" s="212"/>
      <c r="P32" s="212"/>
      <c r="Q32" s="212"/>
      <c r="R32" s="212"/>
      <c r="S32" s="212"/>
      <c r="T32" s="213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4" t="s">
        <v>249</v>
      </c>
      <c r="G37" s="215"/>
      <c r="H37" s="216"/>
      <c r="I37" s="217" t="s">
        <v>250</v>
      </c>
      <c r="J37" s="218"/>
      <c r="K37" s="219"/>
      <c r="L37" s="220" t="s">
        <v>18</v>
      </c>
      <c r="M37" s="221"/>
      <c r="N37" s="222"/>
      <c r="O37" s="223" t="s">
        <v>252</v>
      </c>
      <c r="P37" s="224"/>
      <c r="Q37" s="225"/>
      <c r="R37" s="226" t="s">
        <v>251</v>
      </c>
      <c r="S37" s="227"/>
      <c r="T37" s="228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09" t="s">
        <v>281</v>
      </c>
      <c r="H59" s="209"/>
      <c r="I59" s="209"/>
      <c r="J59" s="209"/>
      <c r="K59" s="209"/>
      <c r="L59" s="209"/>
      <c r="M59" s="209"/>
      <c r="N59" s="209"/>
      <c r="O59" s="209"/>
      <c r="P59" s="209"/>
      <c r="Q59" s="209"/>
      <c r="R59" s="209"/>
      <c r="S59" s="209"/>
      <c r="T59" s="210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11" t="s">
        <v>280</v>
      </c>
      <c r="H64" s="212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4" t="s">
        <v>249</v>
      </c>
      <c r="G69" s="215"/>
      <c r="H69" s="216"/>
      <c r="I69" s="217" t="s">
        <v>250</v>
      </c>
      <c r="J69" s="218"/>
      <c r="K69" s="219"/>
      <c r="L69" s="220" t="s">
        <v>18</v>
      </c>
      <c r="M69" s="221"/>
      <c r="N69" s="222"/>
      <c r="O69" s="223" t="s">
        <v>252</v>
      </c>
      <c r="P69" s="224"/>
      <c r="Q69" s="225"/>
      <c r="R69" s="226" t="s">
        <v>251</v>
      </c>
      <c r="S69" s="227"/>
      <c r="T69" s="228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4</v>
      </c>
      <c r="D72" s="64"/>
      <c r="E72" s="53"/>
      <c r="F72" s="76"/>
      <c r="G72" s="77"/>
      <c r="H72" s="78"/>
      <c r="I72" s="84"/>
      <c r="J72" s="85"/>
      <c r="K72" s="86"/>
      <c r="L72" s="92">
        <v>10</v>
      </c>
      <c r="M72" s="93">
        <v>15</v>
      </c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3</v>
      </c>
      <c r="D73" s="64"/>
      <c r="E73" s="53"/>
      <c r="F73" s="76"/>
      <c r="G73" s="77"/>
      <c r="H73" s="78"/>
      <c r="I73" s="84"/>
      <c r="J73" s="85"/>
      <c r="K73" s="86"/>
      <c r="L73" s="92">
        <v>10</v>
      </c>
      <c r="M73" s="93">
        <v>15</v>
      </c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4</v>
      </c>
      <c r="D74" s="64"/>
      <c r="E74" s="53"/>
      <c r="F74" s="76">
        <v>5</v>
      </c>
      <c r="G74" s="77">
        <v>20</v>
      </c>
      <c r="H74" s="78"/>
      <c r="I74" s="84"/>
      <c r="J74" s="85"/>
      <c r="K74" s="86"/>
      <c r="L74" s="92"/>
      <c r="M74" s="93"/>
      <c r="N74" s="94"/>
      <c r="O74" s="110">
        <v>5</v>
      </c>
      <c r="P74" s="111">
        <v>15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3</v>
      </c>
      <c r="D75" s="64"/>
      <c r="E75" s="53"/>
      <c r="F75" s="76"/>
      <c r="G75" s="77"/>
      <c r="H75" s="78"/>
      <c r="I75" s="84">
        <v>20</v>
      </c>
      <c r="J75" s="85"/>
      <c r="K75" s="86"/>
      <c r="L75" s="92"/>
      <c r="M75" s="93"/>
      <c r="N75" s="94"/>
      <c r="O75" s="110">
        <v>10</v>
      </c>
      <c r="P75" s="111">
        <v>2</v>
      </c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0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5</v>
      </c>
      <c r="G88" s="79">
        <f t="shared" ref="G88:T88" si="4">SUM(G71:G87)</f>
        <v>20</v>
      </c>
      <c r="H88" s="79">
        <f t="shared" si="4"/>
        <v>0</v>
      </c>
      <c r="I88" s="87">
        <f t="shared" si="4"/>
        <v>20</v>
      </c>
      <c r="J88" s="87">
        <f t="shared" si="4"/>
        <v>0</v>
      </c>
      <c r="K88" s="87">
        <f t="shared" si="4"/>
        <v>0</v>
      </c>
      <c r="L88" s="95">
        <f t="shared" si="4"/>
        <v>20</v>
      </c>
      <c r="M88" s="95">
        <f t="shared" si="4"/>
        <v>30</v>
      </c>
      <c r="N88" s="95">
        <f t="shared" si="4"/>
        <v>0</v>
      </c>
      <c r="O88" s="113">
        <f t="shared" si="4"/>
        <v>25</v>
      </c>
      <c r="P88" s="113">
        <f t="shared" si="4"/>
        <v>37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5</v>
      </c>
      <c r="G90" s="80">
        <f t="shared" ref="G90:T90" si="5">MAXA(G88-G89,0)</f>
        <v>20</v>
      </c>
      <c r="H90" s="80">
        <f t="shared" si="5"/>
        <v>0</v>
      </c>
      <c r="I90" s="88">
        <f t="shared" si="5"/>
        <v>20</v>
      </c>
      <c r="J90" s="88">
        <f t="shared" si="5"/>
        <v>0</v>
      </c>
      <c r="K90" s="88">
        <f t="shared" si="5"/>
        <v>0</v>
      </c>
      <c r="L90" s="96">
        <f t="shared" si="5"/>
        <v>20</v>
      </c>
      <c r="M90" s="96">
        <f t="shared" si="5"/>
        <v>30</v>
      </c>
      <c r="N90" s="96">
        <f t="shared" si="5"/>
        <v>0</v>
      </c>
      <c r="O90" s="114">
        <f t="shared" si="5"/>
        <v>25</v>
      </c>
      <c r="P90" s="114">
        <f t="shared" si="5"/>
        <v>37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09" t="s">
        <v>281</v>
      </c>
      <c r="H91" s="209"/>
      <c r="I91" s="209"/>
      <c r="J91" s="209"/>
      <c r="K91" s="209"/>
      <c r="L91" s="209"/>
      <c r="M91" s="209"/>
      <c r="N91" s="209"/>
      <c r="O91" s="209"/>
      <c r="P91" s="209"/>
      <c r="Q91" s="209"/>
      <c r="R91" s="209"/>
      <c r="S91" s="209"/>
      <c r="T91" s="210"/>
    </row>
    <row r="92" spans="1:21">
      <c r="E92" s="5">
        <v>9</v>
      </c>
      <c r="F92" s="6">
        <f>F$90/VLOOKUP(F$6,Tabela11[#All],6,FALSE)</f>
        <v>4.4776119402985071</v>
      </c>
      <c r="G92" s="118">
        <f>G$90/VLOOKUP(G$6,Tabela11[#All],6,FALSE)</f>
        <v>35.820895522388057</v>
      </c>
      <c r="H92" s="118">
        <f>H$90/VLOOKUP(H$6,Tabela11[#All],6,FALSE)</f>
        <v>0</v>
      </c>
      <c r="I92" s="118">
        <f>I$90/VLOOKUP(I$6,Tabela11[#All],6,FALSE)</f>
        <v>17.910447761194028</v>
      </c>
      <c r="J92" s="118">
        <f>J$90/VLOOKUP(J$6,Tabela11[#All],6,FALSE)</f>
        <v>0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53.731343283582085</v>
      </c>
      <c r="N92" s="118">
        <f>N$90/VLOOKUP(N$6,Tabela11[#All],6,FALSE)</f>
        <v>0</v>
      </c>
      <c r="O92" s="118">
        <f>O$90/VLOOKUP(O$6,Tabela11[#All],6,FALSE)</f>
        <v>22.388059701492537</v>
      </c>
      <c r="P92" s="118">
        <f>P$90/VLOOKUP(P$6,Tabela11[#All],6,FALSE)</f>
        <v>66.268656716417908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3.7209302325581395</v>
      </c>
      <c r="G93" s="118">
        <f>G$90/VLOOKUP(G$6,Tabela11[#All],5,FALSE)</f>
        <v>91.428571428571431</v>
      </c>
      <c r="H93" s="118">
        <f>H$90/VLOOKUP(H$6,Tabela11[#All],5,FALSE)</f>
        <v>0</v>
      </c>
      <c r="I93" s="118">
        <f>I$90/VLOOKUP(I$6,Tabela11[#All],5,FALSE)</f>
        <v>14.883720930232558</v>
      </c>
      <c r="J93" s="118">
        <f>J$90/VLOOKUP(J$6,Tabela11[#All],5,FALSE)</f>
        <v>0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137.14285714285714</v>
      </c>
      <c r="N93" s="118">
        <f>N$90/VLOOKUP(N$6,Tabela11[#All],5,FALSE)</f>
        <v>0</v>
      </c>
      <c r="O93" s="118">
        <f>O$90/VLOOKUP(O$6,Tabela11[#All],5,FALSE)</f>
        <v>18.604651162790699</v>
      </c>
      <c r="P93" s="118">
        <f>P$90/VLOOKUP(P$6,Tabela11[#All],5,FALSE)</f>
        <v>169.14285714285714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3.5263157894736841</v>
      </c>
      <c r="G94" s="120">
        <f>G$90/VLOOKUP(G$6,Tabela11[#All],4,FALSE)</f>
        <v>36.21621621621621</v>
      </c>
      <c r="H94" s="120">
        <f>H$90/VLOOKUP(H$6,Tabela11[#All],4,FALSE)</f>
        <v>0</v>
      </c>
      <c r="I94" s="120">
        <f>I$90/VLOOKUP(I$6,Tabela11[#All],4,FALSE)</f>
        <v>14.105263157894736</v>
      </c>
      <c r="J94" s="120">
        <f>J$90/VLOOKUP(J$6,Tabela11[#All],4,FALSE)</f>
        <v>0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54.324324324324323</v>
      </c>
      <c r="N94" s="120">
        <f>N$90/VLOOKUP(N$6,Tabela11[#All],4,FALSE)</f>
        <v>0</v>
      </c>
      <c r="O94" s="120">
        <f>O$90/VLOOKUP(O$6,Tabela11[#All],4,FALSE)</f>
        <v>17.631578947368421</v>
      </c>
      <c r="P94" s="120">
        <f>P$90/VLOOKUP(P$6,Tabela11[#All],4,FALSE)</f>
        <v>67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11" t="s">
        <v>280</v>
      </c>
      <c r="H96" s="212"/>
      <c r="I96" s="212"/>
      <c r="J96" s="212"/>
      <c r="K96" s="212"/>
      <c r="L96" s="212"/>
      <c r="M96" s="212"/>
      <c r="N96" s="212"/>
      <c r="O96" s="212"/>
      <c r="P96" s="212"/>
      <c r="Q96" s="212"/>
      <c r="R96" s="212"/>
      <c r="S96" s="212"/>
      <c r="T96" s="213"/>
      <c r="U96" s="122" t="s">
        <v>282</v>
      </c>
    </row>
    <row r="97" spans="5:21">
      <c r="E97" s="5">
        <v>9</v>
      </c>
      <c r="F97" s="6">
        <f>F$90/VLOOKUP(F$6,Tabela11[#All],6,FALSE)*(7-12*0.065)</f>
        <v>27.850746268656714</v>
      </c>
      <c r="G97" s="126">
        <f>G$90/VLOOKUP(G$6,Tabela11[#All],6,FALSE)*(7-12*0.065)</f>
        <v>222.80597014925371</v>
      </c>
      <c r="H97" s="126">
        <f>H$90/VLOOKUP(H$6,Tabela11[#All],6,FALSE)*(7-12*0.065)</f>
        <v>0</v>
      </c>
      <c r="I97" s="126">
        <f>I$90/VLOOKUP(I$6,Tabela11[#All],6,FALSE)*(7-12*0.065)</f>
        <v>111.40298507462686</v>
      </c>
      <c r="J97" s="126">
        <f>J$90/VLOOKUP(J$6,Tabela11[#All],6,FALSE)*(7-12*0.065)</f>
        <v>0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334.20895522388054</v>
      </c>
      <c r="N97" s="126">
        <f>N$90/VLOOKUP(N$6,Tabela11[#All],6,FALSE)*(7-12*0.065)</f>
        <v>0</v>
      </c>
      <c r="O97" s="126">
        <f>O$90/VLOOKUP(O$6,Tabela11[#All],6,FALSE)*(7-12*0.065)</f>
        <v>139.25373134328356</v>
      </c>
      <c r="P97" s="126">
        <f>P$90/VLOOKUP(P$6,Tabela11[#All],6,FALSE)*(7-12*0.065)</f>
        <v>412.19104477611938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1080.6089552238805</v>
      </c>
    </row>
    <row r="98" spans="5:21">
      <c r="E98" s="5">
        <v>8</v>
      </c>
      <c r="F98" s="6">
        <f>F$90/VLOOKUP(F$6,Tabela11[#All],5,FALSE)*(7-12*0.065)</f>
        <v>23.144186046511628</v>
      </c>
      <c r="G98" s="126">
        <f>G$90/VLOOKUP(G$6,Tabela11[#All],5,FALSE)*(7-12*0.065)</f>
        <v>568.68571428571431</v>
      </c>
      <c r="H98" s="126">
        <f>H$90/VLOOKUP(H$6,Tabela11[#All],5,FALSE)*(7-12*0.065)</f>
        <v>0</v>
      </c>
      <c r="I98" s="126">
        <f>I$90/VLOOKUP(I$6,Tabela11[#All],5,FALSE)*(7-12*0.065)</f>
        <v>92.576744186046511</v>
      </c>
      <c r="J98" s="126">
        <f>J$90/VLOOKUP(J$6,Tabela11[#All],5,FALSE)*(7-12*0.065)</f>
        <v>0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853.02857142857135</v>
      </c>
      <c r="N98" s="126">
        <f>N$90/VLOOKUP(N$6,Tabela11[#All],5,FALSE)*(7-12*0.065)</f>
        <v>0</v>
      </c>
      <c r="O98" s="126">
        <f>O$90/VLOOKUP(O$6,Tabela11[#All],5,FALSE)*(7-12*0.065)</f>
        <v>115.72093023255815</v>
      </c>
      <c r="P98" s="126">
        <f>P$90/VLOOKUP(P$6,Tabela11[#All],5,FALSE)*(7-12*0.065)</f>
        <v>1052.0685714285714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2566.3596013289034</v>
      </c>
    </row>
    <row r="99" spans="5:21" ht="15" thickBot="1">
      <c r="E99" s="7">
        <v>7</v>
      </c>
      <c r="F99" s="8">
        <f>F$90/VLOOKUP(F$6,Tabela11[#All],4,FALSE)*(6-12*0.065)</f>
        <v>18.407368421052631</v>
      </c>
      <c r="G99" s="128">
        <f>G$90/VLOOKUP(G$6,Tabela11[#All],4,FALSE)*(6-12*0.065)</f>
        <v>189.04864864864862</v>
      </c>
      <c r="H99" s="128">
        <f>H$90/VLOOKUP(H$6,Tabela11[#All],4,FALSE)*(6-12*0.065)</f>
        <v>0</v>
      </c>
      <c r="I99" s="128">
        <f>I$90/VLOOKUP(I$6,Tabela11[#All],4,FALSE)*(6-12*0.065)</f>
        <v>73.629473684210524</v>
      </c>
      <c r="J99" s="128">
        <f>J$90/VLOOKUP(J$6,Tabela11[#All],4,FALSE)*(6-12*0.065)</f>
        <v>0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283.57297297297293</v>
      </c>
      <c r="N99" s="128">
        <f>N$90/VLOOKUP(N$6,Tabela11[#All],4,FALSE)*(6-12*0.065)</f>
        <v>0</v>
      </c>
      <c r="O99" s="128">
        <f>O$90/VLOOKUP(O$6,Tabela11[#All],4,FALSE)*(6-12*0.065)</f>
        <v>92.036842105263148</v>
      </c>
      <c r="P99" s="128">
        <f>P$90/VLOOKUP(P$6,Tabela11[#All],4,FALSE)*(6-12*0.065)</f>
        <v>349.74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895.99109530583212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14057.797619047618</v>
      </c>
      <c r="J8" s="19">
        <f>AVERAGEIFS(DropAnalityka[Energy Drop],DropAnalityka[Location],LocFeatures[[#This Row],[Location]],DropAnalityka[LVL],LocFeatures[[#This Row],[LVL]],DropAnalityka[Stage],LocFeatures[[#This Row],[Stage]])</f>
        <v>1.0731707317073171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4812.2059523809521</v>
      </c>
      <c r="N8" s="50">
        <f>LocFeatures[[#This Row],[Drop worth gain]]/(LocFeatures[[#This Row],[E. Cost]]-LocFeatures[[#This Row],[Energy gain]])</f>
        <v>2029.4707830315224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694.71987340710928</v>
      </c>
      <c r="Q8" s="50">
        <f>(LocFeatures[[#This Row],[XP Train Gain]]+LocFeatures[[#This Row],[XP drop]])/(LocFeatures[[#This Row],[E. Cost]]-LocFeatures[[#This Row],[Energy gain]])</f>
        <v>694.71987340710928</v>
      </c>
      <c r="R8" s="47">
        <f>COUNTIFS(DropAnalityka[Location],LocFeatures[[#This Row],[Location]],DropAnalityka[LVL],LocFeatures[[#This Row],[LVL]],DropAnalityka[Stage],LocFeatures[[#This Row],[Stage]])</f>
        <v>42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5000.0751173708913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9" t="s">
        <v>273</v>
      </c>
      <c r="S2" s="229"/>
      <c r="T2" s="229"/>
      <c r="U2" s="229"/>
      <c r="V2" s="229"/>
      <c r="W2" s="229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U1190"/>
  <sheetViews>
    <sheetView topLeftCell="A16" zoomScale="85" zoomScaleNormal="85" workbookViewId="0">
      <selection activeCell="I51" sqref="I51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0.63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2.2599999999999998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1663.36</v>
      </c>
      <c r="O3" s="37">
        <f t="shared" ref="O3:O28" si="2">O$2*$F3</f>
        <v>4746</v>
      </c>
      <c r="P3" s="37">
        <f t="shared" ref="P3" si="3">O3*G3</f>
        <v>7119</v>
      </c>
      <c r="Q3" s="20">
        <v>0.15</v>
      </c>
      <c r="R3" s="20">
        <f>MINA(Q3+M3*$AA$3+0.12*E3+J3, 1)</f>
        <v>0.35</v>
      </c>
      <c r="S3" s="37">
        <f t="shared" ref="S3" si="4">R3*P3+(1-R3)*O3</f>
        <v>5576.5499999999993</v>
      </c>
      <c r="T3" s="138">
        <v>5172.027000000001</v>
      </c>
      <c r="U3" s="139">
        <f t="shared" ref="U3" si="5">S3/T3-1</f>
        <v>7.8213628815162473E-2</v>
      </c>
      <c r="V3" s="18"/>
      <c r="W3" s="18"/>
      <c r="X3" s="18" t="s">
        <v>84</v>
      </c>
      <c r="Y3" s="18"/>
      <c r="Z3" s="18"/>
      <c r="AA3" s="18">
        <v>0.57999999999999996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3526.11</v>
      </c>
      <c r="AR3" s="189">
        <f>$AG$3*(1+$AJ3*$Y$2+$AN3)*(MAXA(1-$AI$3-$AL3*$AA$3-$AP3-0.12,0)+MINA($AI$3+$AL3*$AA$3+$AP3+0.12,1)*(1+$AH$3+$AO3+$AK3*$Z$4+0.4))</f>
        <v>3297.34</v>
      </c>
      <c r="AS3" s="189">
        <f t="shared" ref="AS3:AS66" si="6">$AG$3*(1+$AJ3*$Y$2+$AN3)*(MAXA(1-$AI$3-$AL3*$AA$3-$AP3-0.36,0)+MINA($AI$3+$AL3*$AA$3+$AP3+0.36,1)*(1+$AH$3+$AO3+$AK3*$Z$4))</f>
        <v>3758.3799999999997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4944.8799999999992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2.89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2127.04</v>
      </c>
      <c r="O4" s="37">
        <f t="shared" si="2"/>
        <v>6069</v>
      </c>
      <c r="P4" s="37">
        <f t="shared" si="0"/>
        <v>9103.5</v>
      </c>
      <c r="Q4" s="20">
        <v>0.15</v>
      </c>
      <c r="R4" s="20">
        <f t="shared" ref="R4:R28" si="10">MINA(Q4+M4*$AA$3+0.12*E4+J4, 1)</f>
        <v>0.35</v>
      </c>
      <c r="S4" s="37">
        <f t="shared" si="1"/>
        <v>7131.0749999999998</v>
      </c>
      <c r="T4" s="138">
        <v>5979.3678</v>
      </c>
      <c r="U4" s="139">
        <f t="shared" ref="U4:U17" si="11">S4/T4-1</f>
        <v>0.19261354018061905</v>
      </c>
      <c r="V4" s="18"/>
      <c r="W4" s="18"/>
      <c r="X4" s="18" t="s">
        <v>85</v>
      </c>
      <c r="Y4" s="18"/>
      <c r="Z4" s="18">
        <v>0.8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3865.41</v>
      </c>
      <c r="AR4" s="189">
        <f t="shared" ref="AR4:AR67" si="13">$AG$3*(1+$AJ4*$Y$2+$AN4)*(MAXA(1-$AI$3-$AL4*$AA$3-$AP4-0.12,0)+MINA($AI$3+$AL4*$AA$3+$AP4+0.12,1)*(1+$AH$3+$AO4+$AK4*$Z$4+0.4))</f>
        <v>3681.54</v>
      </c>
      <c r="AS4" s="189">
        <f t="shared" si="6"/>
        <v>4052.1799999999994</v>
      </c>
      <c r="AT4" s="189">
        <f t="shared" ref="AT4:AT35" si="14">$AG$3*(1+$AJ4*$Y$2+$AN4)*(MAXA(1-$AI$3-$AL4*$AA$3-$AP4-0.36,0)+2*MINA($AI$3+$AL4*$AA$3+$AP4+0.36,1)*(1+$AH$3+$AO4+$AK4*$Z$4))</f>
        <v>7222.9599999999991</v>
      </c>
      <c r="AU4" s="50">
        <f t="shared" si="7"/>
        <v>5939.2799999999988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2.2599999999999998</v>
      </c>
      <c r="G5" s="20">
        <f t="shared" si="9"/>
        <v>2.2999999999999998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1663.36</v>
      </c>
      <c r="O5" s="37">
        <f t="shared" si="2"/>
        <v>4746</v>
      </c>
      <c r="P5" s="37">
        <f t="shared" si="0"/>
        <v>10915.8</v>
      </c>
      <c r="Q5" s="20">
        <f>Q4</f>
        <v>0.15</v>
      </c>
      <c r="R5" s="20">
        <f t="shared" si="10"/>
        <v>0.35</v>
      </c>
      <c r="S5" s="37">
        <f t="shared" si="1"/>
        <v>6905.4299999999994</v>
      </c>
      <c r="T5" s="138">
        <v>5859.1050000000014</v>
      </c>
      <c r="U5" s="139">
        <f t="shared" si="11"/>
        <v>0.17858102901381656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4204.7099999999991</v>
      </c>
      <c r="AR5" s="189">
        <f t="shared" si="13"/>
        <v>4065.74</v>
      </c>
      <c r="AS5" s="189">
        <f t="shared" si="6"/>
        <v>4345.9799999999987</v>
      </c>
      <c r="AT5" s="189">
        <f t="shared" si="14"/>
        <v>8036.5599999999995</v>
      </c>
      <c r="AU5" s="50">
        <f t="shared" si="7"/>
        <v>6933.6799999999994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2.2599999999999998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1663.36</v>
      </c>
      <c r="O6" s="37">
        <f t="shared" si="2"/>
        <v>4746</v>
      </c>
      <c r="P6" s="37">
        <f t="shared" si="0"/>
        <v>7119</v>
      </c>
      <c r="Q6" s="20">
        <f>Q5</f>
        <v>0.15</v>
      </c>
      <c r="R6" s="20">
        <f t="shared" si="10"/>
        <v>0.92999999999999994</v>
      </c>
      <c r="S6" s="37">
        <f t="shared" si="1"/>
        <v>6952.8899999999994</v>
      </c>
      <c r="T6" s="138">
        <v>5879.3385000000007</v>
      </c>
      <c r="U6" s="139">
        <f t="shared" si="11"/>
        <v>0.18259732791367567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4544.0099999999993</v>
      </c>
      <c r="AR6" s="189">
        <f t="shared" si="13"/>
        <v>4449.9399999999996</v>
      </c>
      <c r="AS6" s="189">
        <f t="shared" si="6"/>
        <v>4639.78</v>
      </c>
      <c r="AT6" s="189">
        <f t="shared" si="14"/>
        <v>8850.159999999998</v>
      </c>
      <c r="AU6" s="50">
        <f t="shared" si="7"/>
        <v>7928.079999999999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3.24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2384.6400000000003</v>
      </c>
      <c r="O7" s="37">
        <f t="shared" si="2"/>
        <v>6804</v>
      </c>
      <c r="P7" s="37">
        <f t="shared" si="0"/>
        <v>10206</v>
      </c>
      <c r="Q7" s="20">
        <f>Q5</f>
        <v>0.15</v>
      </c>
      <c r="R7" s="20">
        <f t="shared" si="10"/>
        <v>0.35</v>
      </c>
      <c r="S7" s="37">
        <f t="shared" si="1"/>
        <v>7994.7000000000007</v>
      </c>
      <c r="T7" s="138">
        <v>6862.3968000000004</v>
      </c>
      <c r="U7" s="139">
        <f t="shared" si="11"/>
        <v>0.16500112613715379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4883.3100000000004</v>
      </c>
      <c r="AR7" s="189">
        <f t="shared" si="13"/>
        <v>4834.1399999999994</v>
      </c>
      <c r="AS7" s="189">
        <f t="shared" si="6"/>
        <v>4933.58</v>
      </c>
      <c r="AT7" s="189">
        <f t="shared" si="14"/>
        <v>9663.76</v>
      </c>
      <c r="AU7" s="50">
        <f t="shared" si="7"/>
        <v>8922.48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2.89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2127.04</v>
      </c>
      <c r="O8" s="37">
        <f t="shared" si="2"/>
        <v>6069</v>
      </c>
      <c r="P8" s="37">
        <f t="shared" si="0"/>
        <v>11531.1</v>
      </c>
      <c r="Q8" s="20">
        <f t="shared" ref="Q8:Q28" si="19">Q7</f>
        <v>0.15</v>
      </c>
      <c r="R8" s="20">
        <f t="shared" si="10"/>
        <v>0.35</v>
      </c>
      <c r="S8" s="37">
        <f t="shared" si="1"/>
        <v>7980.7349999999997</v>
      </c>
      <c r="T8" s="138">
        <v>6735.8717999999999</v>
      </c>
      <c r="U8" s="139">
        <f t="shared" si="11"/>
        <v>0.18481099952050739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5222.6099999999997</v>
      </c>
      <c r="AR8" s="189">
        <f t="shared" si="13"/>
        <v>5218.3399999999992</v>
      </c>
      <c r="AS8" s="189">
        <f t="shared" si="6"/>
        <v>5198</v>
      </c>
      <c r="AT8" s="189">
        <f t="shared" si="14"/>
        <v>10396</v>
      </c>
      <c r="AU8" s="50">
        <f t="shared" si="7"/>
        <v>9916.8799999999992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2.89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2127.04</v>
      </c>
      <c r="O9" s="37">
        <f t="shared" si="2"/>
        <v>6069</v>
      </c>
      <c r="P9" s="37">
        <f t="shared" si="0"/>
        <v>9103.5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8223.494999999999</v>
      </c>
      <c r="T9" s="138">
        <v>6928.9794000000002</v>
      </c>
      <c r="U9" s="139">
        <f t="shared" si="11"/>
        <v>0.18682630229785335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5561.91</v>
      </c>
      <c r="AR9" s="189">
        <f t="shared" si="13"/>
        <v>5602.5399999999991</v>
      </c>
      <c r="AS9" s="189">
        <f t="shared" si="6"/>
        <v>5198</v>
      </c>
      <c r="AT9" s="189">
        <f t="shared" si="14"/>
        <v>10396</v>
      </c>
      <c r="AU9" s="50">
        <f t="shared" si="7"/>
        <v>10911.279999999999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3.24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2384.6400000000003</v>
      </c>
      <c r="O10" s="37">
        <f t="shared" si="2"/>
        <v>6804</v>
      </c>
      <c r="P10" s="37">
        <f t="shared" si="0"/>
        <v>10206</v>
      </c>
      <c r="Q10" s="20">
        <f t="shared" si="19"/>
        <v>0.15</v>
      </c>
      <c r="R10" s="20">
        <f t="shared" si="10"/>
        <v>0.47000000000000003</v>
      </c>
      <c r="S10" s="37">
        <f t="shared" si="23"/>
        <v>8402.94</v>
      </c>
      <c r="T10" s="138">
        <v>7225.68</v>
      </c>
      <c r="U10" s="139">
        <f t="shared" si="11"/>
        <v>0.16292722622645894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5901.21</v>
      </c>
      <c r="AR10" s="189">
        <f t="shared" si="13"/>
        <v>5986.74</v>
      </c>
      <c r="AS10" s="189">
        <f t="shared" si="6"/>
        <v>5198</v>
      </c>
      <c r="AT10" s="189">
        <f t="shared" si="14"/>
        <v>10396</v>
      </c>
      <c r="AU10" s="50">
        <f t="shared" si="7"/>
        <v>11905.68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2.89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2127.04</v>
      </c>
      <c r="O11" s="37">
        <f t="shared" si="2"/>
        <v>6069</v>
      </c>
      <c r="P11" s="37">
        <f t="shared" si="0"/>
        <v>11531.1</v>
      </c>
      <c r="Q11" s="20">
        <f t="shared" si="19"/>
        <v>0.15</v>
      </c>
      <c r="R11" s="20">
        <f t="shared" si="10"/>
        <v>0.47000000000000003</v>
      </c>
      <c r="S11" s="37">
        <f t="shared" si="23"/>
        <v>8636.1869999999999</v>
      </c>
      <c r="T11" s="138">
        <v>7291.3050000000003</v>
      </c>
      <c r="U11" s="139">
        <f t="shared" si="11"/>
        <v>0.18445010872539269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6002.9999999999991</v>
      </c>
      <c r="AR11" s="189">
        <f t="shared" si="13"/>
        <v>6101.9999999999991</v>
      </c>
      <c r="AS11" s="189">
        <f t="shared" si="6"/>
        <v>5198</v>
      </c>
      <c r="AT11" s="189">
        <f t="shared" si="14"/>
        <v>10396</v>
      </c>
      <c r="AU11" s="50">
        <f t="shared" si="7"/>
        <v>12203.999999999998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2.2599999999999998</v>
      </c>
      <c r="G12" s="20">
        <f t="shared" si="9"/>
        <v>2.2999999999999998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1663.36</v>
      </c>
      <c r="O12" s="37">
        <f t="shared" si="2"/>
        <v>4746</v>
      </c>
      <c r="P12" s="37">
        <f t="shared" si="0"/>
        <v>10915.8</v>
      </c>
      <c r="Q12" s="20">
        <f t="shared" si="19"/>
        <v>0.15</v>
      </c>
      <c r="R12" s="20">
        <f t="shared" si="10"/>
        <v>0.71</v>
      </c>
      <c r="S12" s="37">
        <f t="shared" si="23"/>
        <v>9126.5579999999991</v>
      </c>
      <c r="T12" s="138">
        <v>7331.4150000000018</v>
      </c>
      <c r="U12" s="139">
        <f t="shared" si="11"/>
        <v>0.24485627944946464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6002.9999999999991</v>
      </c>
      <c r="AR12" s="189">
        <f t="shared" si="13"/>
        <v>6101.9999999999991</v>
      </c>
      <c r="AS12" s="189">
        <f t="shared" si="6"/>
        <v>5198</v>
      </c>
      <c r="AT12" s="189">
        <f t="shared" si="14"/>
        <v>10396</v>
      </c>
      <c r="AU12" s="50">
        <f t="shared" si="7"/>
        <v>12203.999999999998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2.61</v>
      </c>
      <c r="G13" s="20">
        <f t="shared" si="9"/>
        <v>2.2999999999999998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1920.9599999999998</v>
      </c>
      <c r="O13" s="37">
        <f t="shared" si="2"/>
        <v>5481</v>
      </c>
      <c r="P13" s="37">
        <f t="shared" si="0"/>
        <v>12606.3</v>
      </c>
      <c r="Q13" s="20">
        <f t="shared" si="19"/>
        <v>0.15</v>
      </c>
      <c r="R13" s="20">
        <f t="shared" si="10"/>
        <v>0.47000000000000003</v>
      </c>
      <c r="S13" s="37">
        <f t="shared" si="23"/>
        <v>8829.8909999999996</v>
      </c>
      <c r="T13" s="138">
        <v>7434.0000000000018</v>
      </c>
      <c r="U13" s="139">
        <f t="shared" si="11"/>
        <v>0.1877711864406777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6002.9999999999991</v>
      </c>
      <c r="AR13" s="189">
        <f t="shared" si="13"/>
        <v>6101.9999999999991</v>
      </c>
      <c r="AS13" s="189">
        <f t="shared" si="6"/>
        <v>5198</v>
      </c>
      <c r="AT13" s="189">
        <f t="shared" si="14"/>
        <v>10396</v>
      </c>
      <c r="AU13" s="50">
        <f t="shared" si="7"/>
        <v>12203.999999999998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2.2599999999999998</v>
      </c>
      <c r="G14" s="20">
        <f t="shared" si="9"/>
        <v>2.6999999999999997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1663.36</v>
      </c>
      <c r="O14" s="37">
        <f t="shared" si="2"/>
        <v>4746</v>
      </c>
      <c r="P14" s="37">
        <f t="shared" si="0"/>
        <v>12814.199999999999</v>
      </c>
      <c r="Q14" s="20">
        <f t="shared" si="19"/>
        <v>0.15</v>
      </c>
      <c r="R14" s="20">
        <f t="shared" si="10"/>
        <v>0.47000000000000003</v>
      </c>
      <c r="S14" s="37">
        <f t="shared" si="23"/>
        <v>8538.0540000000001</v>
      </c>
      <c r="T14" s="138">
        <v>7210.8750000000018</v>
      </c>
      <c r="U14" s="139">
        <f t="shared" si="11"/>
        <v>0.18405242082271545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3719.2499999999995</v>
      </c>
      <c r="AR14" s="189">
        <f t="shared" si="13"/>
        <v>3988.9</v>
      </c>
      <c r="AS14" s="189">
        <f t="shared" si="6"/>
        <v>3390</v>
      </c>
      <c r="AT14" s="189">
        <f t="shared" si="14"/>
        <v>6780</v>
      </c>
      <c r="AU14" s="50">
        <f t="shared" si="7"/>
        <v>7638.8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2.2599999999999998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1663.36</v>
      </c>
      <c r="O15" s="37">
        <f t="shared" si="2"/>
        <v>4746</v>
      </c>
      <c r="P15" s="37">
        <f t="shared" si="0"/>
        <v>7119</v>
      </c>
      <c r="Q15" s="20">
        <f t="shared" si="19"/>
        <v>0.15</v>
      </c>
      <c r="R15" s="20">
        <f t="shared" si="10"/>
        <v>1</v>
      </c>
      <c r="S15" s="37">
        <f t="shared" si="23"/>
        <v>7119</v>
      </c>
      <c r="T15" s="138">
        <v>6586.6500000000015</v>
      </c>
      <c r="U15" s="139">
        <f t="shared" si="11"/>
        <v>8.0822572931611436E-2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3849.7499999999995</v>
      </c>
      <c r="AR15" s="189">
        <f t="shared" si="13"/>
        <v>4192.3</v>
      </c>
      <c r="AS15" s="189">
        <f t="shared" si="6"/>
        <v>3390</v>
      </c>
      <c r="AT15" s="189">
        <f t="shared" si="14"/>
        <v>6780</v>
      </c>
      <c r="AU15" s="50">
        <f t="shared" si="7"/>
        <v>8271.5999999999985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2.61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1920.9599999999998</v>
      </c>
      <c r="O16" s="37">
        <f t="shared" si="2"/>
        <v>5481</v>
      </c>
      <c r="P16" s="37">
        <f t="shared" si="0"/>
        <v>8221.5</v>
      </c>
      <c r="Q16" s="20">
        <f t="shared" si="19"/>
        <v>0.15</v>
      </c>
      <c r="R16" s="20">
        <f t="shared" si="10"/>
        <v>1</v>
      </c>
      <c r="S16" s="37">
        <f t="shared" si="23"/>
        <v>8221.5</v>
      </c>
      <c r="T16" s="138">
        <v>7203.6720000000014</v>
      </c>
      <c r="U16" s="139">
        <f t="shared" si="11"/>
        <v>0.14129294060029363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3915</v>
      </c>
      <c r="AR16" s="189">
        <f t="shared" si="13"/>
        <v>4294</v>
      </c>
      <c r="AS16" s="189">
        <f t="shared" si="6"/>
        <v>3390</v>
      </c>
      <c r="AT16" s="189">
        <f t="shared" si="14"/>
        <v>6780</v>
      </c>
      <c r="AU16" s="50">
        <f t="shared" si="7"/>
        <v>8588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2.2599999999999998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1663.36</v>
      </c>
      <c r="O17" s="37">
        <f t="shared" si="2"/>
        <v>4746</v>
      </c>
      <c r="P17" s="37">
        <f t="shared" si="0"/>
        <v>9017.4</v>
      </c>
      <c r="Q17" s="20">
        <f t="shared" si="19"/>
        <v>0.15</v>
      </c>
      <c r="R17" s="20">
        <f t="shared" si="10"/>
        <v>1</v>
      </c>
      <c r="S17" s="37">
        <f t="shared" si="23"/>
        <v>9017.4</v>
      </c>
      <c r="T17" s="138">
        <v>7547.956500000003</v>
      </c>
      <c r="U17" s="139">
        <f t="shared" si="11"/>
        <v>0.19468097093564274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3915</v>
      </c>
      <c r="AR17" s="189">
        <f t="shared" si="13"/>
        <v>4294</v>
      </c>
      <c r="AS17" s="189">
        <f t="shared" si="6"/>
        <v>3390</v>
      </c>
      <c r="AT17" s="189">
        <f t="shared" si="14"/>
        <v>6780</v>
      </c>
      <c r="AU17" s="50">
        <f t="shared" si="7"/>
        <v>8588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1.63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1199.6799999999998</v>
      </c>
      <c r="O18" s="37">
        <f t="shared" si="2"/>
        <v>3423</v>
      </c>
      <c r="P18" s="37">
        <f t="shared" ref="P18" si="24">O18*G18</f>
        <v>6503.7</v>
      </c>
      <c r="Q18" s="20">
        <f t="shared" si="19"/>
        <v>0.15</v>
      </c>
      <c r="R18" s="20">
        <f t="shared" si="10"/>
        <v>0.92999999999999994</v>
      </c>
      <c r="S18" s="37">
        <f t="shared" ref="S18" si="25">R18*P18+(1-R18)*O18</f>
        <v>6288.0510000000004</v>
      </c>
      <c r="T18" s="138">
        <v>7547.956500000003</v>
      </c>
      <c r="U18" s="139">
        <f t="shared" ref="U18" si="26">S18/T18-1</f>
        <v>-0.16692007962685029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3915</v>
      </c>
      <c r="AR18" s="189">
        <f t="shared" si="13"/>
        <v>4294</v>
      </c>
      <c r="AS18" s="189">
        <f t="shared" si="6"/>
        <v>3390</v>
      </c>
      <c r="AT18" s="189">
        <f t="shared" si="14"/>
        <v>6780</v>
      </c>
      <c r="AU18" s="50">
        <f t="shared" si="7"/>
        <v>8588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3.24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2384.6400000000003</v>
      </c>
      <c r="O19" s="37">
        <f t="shared" si="2"/>
        <v>6804</v>
      </c>
      <c r="P19" s="37">
        <f t="shared" ref="P19" si="27">O19*G19</f>
        <v>10206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8402.94</v>
      </c>
      <c r="T19" s="138">
        <v>7547.956500000003</v>
      </c>
      <c r="U19" s="139">
        <f t="shared" ref="U19" si="29">S19/T19-1</f>
        <v>0.11327350654445301</v>
      </c>
      <c r="V19" s="18"/>
      <c r="W19" s="230" t="s">
        <v>315</v>
      </c>
      <c r="X19" s="230"/>
      <c r="Y19" s="230"/>
      <c r="Z19" s="230"/>
      <c r="AA19" s="230"/>
      <c r="AB19" s="230"/>
      <c r="AC19" s="230"/>
      <c r="AD19" s="230"/>
      <c r="AE19" s="230"/>
      <c r="AF19" s="230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3915</v>
      </c>
      <c r="AR19" s="189">
        <f t="shared" si="13"/>
        <v>4294</v>
      </c>
      <c r="AS19" s="189">
        <f t="shared" si="6"/>
        <v>3390</v>
      </c>
      <c r="AT19" s="189">
        <f t="shared" si="14"/>
        <v>6780</v>
      </c>
      <c r="AU19" s="50">
        <f t="shared" si="7"/>
        <v>8588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3.24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2384.6400000000003</v>
      </c>
      <c r="O20" s="37">
        <f t="shared" si="2"/>
        <v>6804</v>
      </c>
      <c r="P20" s="37">
        <f t="shared" ref="P20" si="32">O20*G20</f>
        <v>10206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8402.94</v>
      </c>
      <c r="T20" s="138">
        <v>7547.956500000003</v>
      </c>
      <c r="U20" s="139">
        <f t="shared" ref="U20" si="34">S20/T20-1</f>
        <v>0.11327350654445301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3915</v>
      </c>
      <c r="AR20" s="189">
        <f t="shared" si="13"/>
        <v>4294</v>
      </c>
      <c r="AS20" s="189">
        <f t="shared" si="6"/>
        <v>3390</v>
      </c>
      <c r="AT20" s="189">
        <f t="shared" si="14"/>
        <v>6780</v>
      </c>
      <c r="AU20" s="50">
        <f t="shared" si="7"/>
        <v>8588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2.61</v>
      </c>
      <c r="G21" s="20">
        <f t="shared" si="9"/>
        <v>2.2999999999999998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1920.9599999999998</v>
      </c>
      <c r="O21" s="37">
        <f t="shared" si="2"/>
        <v>5481</v>
      </c>
      <c r="P21" s="37">
        <f t="shared" ref="P21:P22" si="35">O21*G21</f>
        <v>12606.3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8829.8909999999996</v>
      </c>
      <c r="T21" s="138">
        <v>7547.956500000003</v>
      </c>
      <c r="U21" s="139">
        <f t="shared" ref="U21:U22" si="37">S21/T21-1</f>
        <v>0.16983861790936339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3915</v>
      </c>
      <c r="AR21" s="189">
        <f t="shared" si="13"/>
        <v>4294</v>
      </c>
      <c r="AS21" s="189">
        <f t="shared" si="6"/>
        <v>3390</v>
      </c>
      <c r="AT21" s="189">
        <f t="shared" si="14"/>
        <v>6780</v>
      </c>
      <c r="AU21" s="50">
        <f t="shared" si="7"/>
        <v>8588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2.61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1920.9599999999998</v>
      </c>
      <c r="O22" s="37">
        <f t="shared" si="2"/>
        <v>5481</v>
      </c>
      <c r="P22" s="37">
        <f t="shared" si="35"/>
        <v>8221.5</v>
      </c>
      <c r="Q22" s="20">
        <f t="shared" si="19"/>
        <v>0.15</v>
      </c>
      <c r="R22" s="20">
        <f t="shared" si="10"/>
        <v>1</v>
      </c>
      <c r="S22" s="37">
        <f t="shared" si="36"/>
        <v>8221.5</v>
      </c>
      <c r="T22" s="138">
        <v>7547.956500000003</v>
      </c>
      <c r="U22" s="139">
        <f t="shared" si="37"/>
        <v>8.9235212206111303E-2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3915</v>
      </c>
      <c r="AR22" s="189">
        <f t="shared" si="13"/>
        <v>4294</v>
      </c>
      <c r="AS22" s="189">
        <f t="shared" si="6"/>
        <v>3390</v>
      </c>
      <c r="AT22" s="189">
        <f t="shared" si="14"/>
        <v>6780</v>
      </c>
      <c r="AU22" s="50">
        <f t="shared" si="7"/>
        <v>8588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2.89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2127.04</v>
      </c>
      <c r="O23" s="37">
        <f t="shared" si="2"/>
        <v>6069</v>
      </c>
      <c r="P23" s="37">
        <f t="shared" ref="P23" si="38">O23*G23</f>
        <v>11531.1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8636.1869999999999</v>
      </c>
      <c r="T23" s="138">
        <v>7547.956500000003</v>
      </c>
      <c r="U23" s="139">
        <f t="shared" ref="U23" si="40">S23/T23-1</f>
        <v>0.14417551293518938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3915</v>
      </c>
      <c r="AR23" s="189">
        <f t="shared" si="13"/>
        <v>4294</v>
      </c>
      <c r="AS23" s="189">
        <f t="shared" si="6"/>
        <v>3390</v>
      </c>
      <c r="AT23" s="189">
        <f t="shared" si="14"/>
        <v>6780</v>
      </c>
      <c r="AU23" s="50">
        <f t="shared" si="7"/>
        <v>8588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2.2599999999999998</v>
      </c>
      <c r="G24" s="20">
        <f t="shared" si="9"/>
        <v>2.6999999999999997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1663.36</v>
      </c>
      <c r="O24" s="37">
        <f t="shared" si="2"/>
        <v>4746</v>
      </c>
      <c r="P24" s="37">
        <f t="shared" ref="P24:P26" si="41">O24*G24</f>
        <v>12814.199999999999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8538.0540000000001</v>
      </c>
      <c r="T24" s="138">
        <v>7547.956500000003</v>
      </c>
      <c r="U24" s="139">
        <f t="shared" ref="U24:U26" si="43">S24/T24-1</f>
        <v>0.13117424563853763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3915</v>
      </c>
      <c r="AR24" s="189">
        <f t="shared" si="13"/>
        <v>4294</v>
      </c>
      <c r="AS24" s="189">
        <f t="shared" si="6"/>
        <v>3390</v>
      </c>
      <c r="AT24" s="189">
        <f t="shared" si="14"/>
        <v>6780</v>
      </c>
      <c r="AU24" s="50">
        <f t="shared" si="7"/>
        <v>8588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2.2599999999999998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1663.36</v>
      </c>
      <c r="O25" s="37">
        <f t="shared" si="2"/>
        <v>4746</v>
      </c>
      <c r="P25" s="37">
        <f t="shared" si="41"/>
        <v>9017.4</v>
      </c>
      <c r="Q25" s="20">
        <f t="shared" si="19"/>
        <v>0.15</v>
      </c>
      <c r="R25" s="20">
        <f t="shared" si="10"/>
        <v>1</v>
      </c>
      <c r="S25" s="37">
        <f t="shared" si="42"/>
        <v>9017.4</v>
      </c>
      <c r="T25" s="138">
        <v>7547.956500000003</v>
      </c>
      <c r="U25" s="139">
        <f t="shared" si="43"/>
        <v>0.19468097093564274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3677.4</v>
      </c>
      <c r="AR25" s="189">
        <f t="shared" si="13"/>
        <v>3592.2699999999995</v>
      </c>
      <c r="AS25" s="189">
        <f t="shared" si="6"/>
        <v>3626.95</v>
      </c>
      <c r="AT25" s="189">
        <f t="shared" si="14"/>
        <v>5837.8</v>
      </c>
      <c r="AU25" s="50">
        <f t="shared" si="7"/>
        <v>5074.84</v>
      </c>
    </row>
    <row r="26" spans="1:47" ht="15" thickBot="1">
      <c r="A26" s="131" t="s">
        <v>88</v>
      </c>
      <c r="B26" s="21"/>
      <c r="C26" s="21"/>
      <c r="D26" s="21"/>
      <c r="E26" s="21">
        <v>1</v>
      </c>
      <c r="F26" s="20">
        <f t="shared" si="8"/>
        <v>2.89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2127.04</v>
      </c>
      <c r="O26" s="37">
        <f t="shared" si="2"/>
        <v>6069</v>
      </c>
      <c r="P26" s="37">
        <f t="shared" si="41"/>
        <v>9103.5</v>
      </c>
      <c r="Q26" s="20">
        <f t="shared" si="19"/>
        <v>0.15</v>
      </c>
      <c r="R26" s="20">
        <f t="shared" si="10"/>
        <v>0.47000000000000003</v>
      </c>
      <c r="S26" s="37">
        <f t="shared" si="42"/>
        <v>7495.2150000000001</v>
      </c>
      <c r="T26" s="138">
        <v>7547.956500000003</v>
      </c>
      <c r="U26" s="139">
        <f t="shared" si="43"/>
        <v>-6.9875203970773958E-3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3839.4</v>
      </c>
      <c r="AR26" s="189">
        <f t="shared" si="13"/>
        <v>3852.37</v>
      </c>
      <c r="AS26" s="189">
        <f t="shared" si="6"/>
        <v>3771.4500000000003</v>
      </c>
      <c r="AT26" s="189">
        <f t="shared" si="14"/>
        <v>6415.8</v>
      </c>
      <c r="AU26" s="50">
        <f t="shared" si="7"/>
        <v>5884.04</v>
      </c>
    </row>
    <row r="27" spans="1:47" ht="15" thickBot="1">
      <c r="A27" s="131" t="s">
        <v>88</v>
      </c>
      <c r="B27" s="21"/>
      <c r="C27" s="21"/>
      <c r="D27" s="21"/>
      <c r="E27" s="21">
        <v>1</v>
      </c>
      <c r="F27" s="20">
        <f t="shared" si="8"/>
        <v>2.2599999999999998</v>
      </c>
      <c r="G27" s="20">
        <f t="shared" si="9"/>
        <v>2.2999999999999998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1663.36</v>
      </c>
      <c r="O27" s="37">
        <f t="shared" si="2"/>
        <v>4746</v>
      </c>
      <c r="P27" s="37">
        <f t="shared" ref="P27:P28" si="44">O27*G27</f>
        <v>10915.8</v>
      </c>
      <c r="Q27" s="20">
        <f t="shared" si="19"/>
        <v>0.15</v>
      </c>
      <c r="R27" s="20">
        <f t="shared" si="10"/>
        <v>0.47000000000000003</v>
      </c>
      <c r="S27" s="37">
        <f t="shared" ref="S27:S28" si="45">R27*P27+(1-R27)*O27</f>
        <v>7645.8060000000005</v>
      </c>
      <c r="T27" s="138">
        <v>7547.956500000003</v>
      </c>
      <c r="U27" s="139">
        <f t="shared" ref="U27:U28" si="46">S27/T27-1</f>
        <v>1.2963707461747687E-2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4001.3999999999996</v>
      </c>
      <c r="AR27" s="189">
        <f t="shared" si="13"/>
        <v>4112.4699999999993</v>
      </c>
      <c r="AS27" s="189">
        <f t="shared" si="6"/>
        <v>3915.95</v>
      </c>
      <c r="AT27" s="189">
        <f t="shared" si="14"/>
        <v>6993.8</v>
      </c>
      <c r="AU27" s="50">
        <f t="shared" si="7"/>
        <v>6693.24</v>
      </c>
    </row>
    <row r="28" spans="1:47" ht="15" thickBot="1">
      <c r="A28" s="131" t="s">
        <v>88</v>
      </c>
      <c r="B28" s="21"/>
      <c r="C28" s="21"/>
      <c r="D28" s="21"/>
      <c r="E28" s="21">
        <v>1</v>
      </c>
      <c r="F28" s="20">
        <f t="shared" si="8"/>
        <v>2.2599999999999998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1663.36</v>
      </c>
      <c r="O28" s="37">
        <f t="shared" si="2"/>
        <v>4746</v>
      </c>
      <c r="P28" s="37">
        <f t="shared" si="44"/>
        <v>7119</v>
      </c>
      <c r="Q28" s="20">
        <f t="shared" si="19"/>
        <v>0.15</v>
      </c>
      <c r="R28" s="20">
        <f t="shared" si="10"/>
        <v>1</v>
      </c>
      <c r="S28" s="37">
        <f t="shared" si="45"/>
        <v>7119</v>
      </c>
      <c r="T28" s="138">
        <v>7547.956500000003</v>
      </c>
      <c r="U28" s="139">
        <f t="shared" si="46"/>
        <v>-5.6830812419229382E-2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4163.4000000000005</v>
      </c>
      <c r="AR28" s="189">
        <f t="shared" si="13"/>
        <v>4372.57</v>
      </c>
      <c r="AS28" s="189">
        <f t="shared" si="6"/>
        <v>4060.4499999999994</v>
      </c>
      <c r="AT28" s="189">
        <f t="shared" si="14"/>
        <v>7571.7999999999993</v>
      </c>
      <c r="AU28" s="50">
        <f t="shared" si="7"/>
        <v>7502.4400000000005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4325.3999999999996</v>
      </c>
      <c r="AR29" s="189">
        <f t="shared" si="13"/>
        <v>4632.6699999999992</v>
      </c>
      <c r="AS29" s="189">
        <f t="shared" si="6"/>
        <v>4204.95</v>
      </c>
      <c r="AT29" s="189">
        <f t="shared" si="14"/>
        <v>8149.7999999999993</v>
      </c>
      <c r="AU29" s="50">
        <f t="shared" si="7"/>
        <v>8311.64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4487.3999999999996</v>
      </c>
      <c r="AR30" s="189">
        <f t="shared" si="13"/>
        <v>4892.7699999999995</v>
      </c>
      <c r="AS30" s="189">
        <f t="shared" si="6"/>
        <v>4335</v>
      </c>
      <c r="AT30" s="189">
        <f t="shared" si="14"/>
        <v>8670</v>
      </c>
      <c r="AU30" s="50">
        <f t="shared" si="7"/>
        <v>9120.8399999999983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4649.4000000000005</v>
      </c>
      <c r="AR31" s="189">
        <f t="shared" si="13"/>
        <v>5152.87</v>
      </c>
      <c r="AS31" s="189">
        <f t="shared" si="6"/>
        <v>4335</v>
      </c>
      <c r="AT31" s="189">
        <f t="shared" si="14"/>
        <v>8670</v>
      </c>
      <c r="AU31" s="50">
        <f t="shared" si="7"/>
        <v>9930.0399999999991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4811.4000000000005</v>
      </c>
      <c r="AR32" s="189">
        <f t="shared" si="13"/>
        <v>5412.97</v>
      </c>
      <c r="AS32" s="189">
        <f t="shared" si="6"/>
        <v>4335</v>
      </c>
      <c r="AT32" s="189">
        <f t="shared" si="14"/>
        <v>8670</v>
      </c>
      <c r="AU32" s="50">
        <f t="shared" si="7"/>
        <v>10739.24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4860</v>
      </c>
      <c r="AR33" s="189">
        <f t="shared" si="13"/>
        <v>5491</v>
      </c>
      <c r="AS33" s="189">
        <f t="shared" si="6"/>
        <v>4335</v>
      </c>
      <c r="AT33" s="189">
        <f t="shared" si="14"/>
        <v>8670</v>
      </c>
      <c r="AU33" s="50">
        <f t="shared" si="7"/>
        <v>10982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4860</v>
      </c>
      <c r="AR34" s="189">
        <f t="shared" si="13"/>
        <v>5491</v>
      </c>
      <c r="AS34" s="189">
        <f t="shared" si="6"/>
        <v>4335</v>
      </c>
      <c r="AT34" s="189">
        <f t="shared" si="14"/>
        <v>8670</v>
      </c>
      <c r="AU34" s="50">
        <f t="shared" si="7"/>
        <v>10982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4860</v>
      </c>
      <c r="AR35" s="189">
        <f t="shared" si="13"/>
        <v>5491</v>
      </c>
      <c r="AS35" s="189">
        <f t="shared" si="6"/>
        <v>4335</v>
      </c>
      <c r="AT35" s="189">
        <f t="shared" si="14"/>
        <v>8670</v>
      </c>
      <c r="AU35" s="50">
        <f t="shared" si="7"/>
        <v>10982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3796.31</v>
      </c>
      <c r="AR36" s="189">
        <f t="shared" si="13"/>
        <v>3589.1400000000003</v>
      </c>
      <c r="AS36" s="189">
        <f t="shared" si="6"/>
        <v>4090.9799999999996</v>
      </c>
      <c r="AT36" s="189">
        <f>$AG$3*(1+$AJ36*$Y$2+$AN36+0.35)*(MAXA(1-$AI$3-$AL36*$AA$3-$AP36-0.12,0)+2*MINA($AI$3+$AL36*$AA$3+$AP36+0.12,1)*(1+$AH$3+$AO36+$AK36*$Z$4))</f>
        <v>5541.32</v>
      </c>
      <c r="AU36" s="189">
        <f t="shared" si="7"/>
        <v>5382.48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4161.6099999999997</v>
      </c>
      <c r="AR37" s="189">
        <f t="shared" si="13"/>
        <v>4007.34</v>
      </c>
      <c r="AS37" s="189">
        <f t="shared" si="6"/>
        <v>4410.7799999999988</v>
      </c>
      <c r="AT37" s="189">
        <f t="shared" ref="AT37:AT68" si="47">$AG$3*(1+$AJ37*$Y$2+$AN37+0.35)*(MAXA(1-$AI$3-$AL37*$AA$3-$AP37-0.12,0)+2*MINA($AI$3+$AL37*$AA$3+$AP37+0.12,1)*(1+$AH$3+$AO37+$AK37*$Z$4))</f>
        <v>6552.9199999999992</v>
      </c>
      <c r="AU37" s="189">
        <f t="shared" si="7"/>
        <v>6464.8799999999992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4526.9099999999989</v>
      </c>
      <c r="AR38" s="189">
        <f t="shared" si="13"/>
        <v>4425.54</v>
      </c>
      <c r="AS38" s="189">
        <f t="shared" si="6"/>
        <v>4730.579999999999</v>
      </c>
      <c r="AT38" s="189">
        <f t="shared" si="47"/>
        <v>7564.5199999999995</v>
      </c>
      <c r="AU38" s="189">
        <f t="shared" si="7"/>
        <v>7547.2799999999988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4892.2099999999991</v>
      </c>
      <c r="AR39" s="189">
        <f t="shared" si="13"/>
        <v>4843.74</v>
      </c>
      <c r="AS39" s="189">
        <f t="shared" si="6"/>
        <v>5050.38</v>
      </c>
      <c r="AT39" s="189">
        <f t="shared" si="47"/>
        <v>8576.119999999999</v>
      </c>
      <c r="AU39" s="189">
        <f t="shared" si="7"/>
        <v>8629.6799999999985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5257.51</v>
      </c>
      <c r="AR40" s="189">
        <f t="shared" si="13"/>
        <v>5261.94</v>
      </c>
      <c r="AS40" s="189">
        <f t="shared" si="6"/>
        <v>5370.1799999999994</v>
      </c>
      <c r="AT40" s="189">
        <f t="shared" si="47"/>
        <v>9587.7199999999993</v>
      </c>
      <c r="AU40" s="189">
        <f t="shared" si="7"/>
        <v>9712.08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5622.8099999999995</v>
      </c>
      <c r="AR41" s="189">
        <f t="shared" si="13"/>
        <v>5680.1399999999994</v>
      </c>
      <c r="AS41" s="189">
        <f t="shared" si="6"/>
        <v>5658</v>
      </c>
      <c r="AT41" s="189">
        <f t="shared" si="47"/>
        <v>10599.32</v>
      </c>
      <c r="AU41" s="189">
        <f t="shared" si="7"/>
        <v>10794.48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0.63</v>
      </c>
      <c r="I42" s="20">
        <v>0.15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5988.11</v>
      </c>
      <c r="AR42" s="189">
        <f t="shared" si="13"/>
        <v>6098.3399999999992</v>
      </c>
      <c r="AS42" s="189">
        <f t="shared" si="6"/>
        <v>5658</v>
      </c>
      <c r="AT42" s="189">
        <f t="shared" si="47"/>
        <v>11610.919999999998</v>
      </c>
      <c r="AU42" s="189">
        <f t="shared" si="7"/>
        <v>11876.88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0.16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6353.4100000000008</v>
      </c>
      <c r="AR43" s="189">
        <f t="shared" si="13"/>
        <v>6516.54</v>
      </c>
      <c r="AS43" s="189">
        <f t="shared" si="6"/>
        <v>5658</v>
      </c>
      <c r="AT43" s="189">
        <f t="shared" si="47"/>
        <v>12622.52</v>
      </c>
      <c r="AU43" s="189">
        <f t="shared" si="7"/>
        <v>12959.279999999999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6462.9999999999991</v>
      </c>
      <c r="AR44" s="189">
        <f t="shared" si="13"/>
        <v>6641.9999999999991</v>
      </c>
      <c r="AS44" s="189">
        <f t="shared" si="6"/>
        <v>5658</v>
      </c>
      <c r="AT44" s="189">
        <f t="shared" si="47"/>
        <v>12925.999999999998</v>
      </c>
      <c r="AU44" s="189">
        <f t="shared" si="7"/>
        <v>13283.999999999998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/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6462.9999999999991</v>
      </c>
      <c r="AR45" s="189">
        <f t="shared" si="13"/>
        <v>6641.9999999999991</v>
      </c>
      <c r="AS45" s="189">
        <f t="shared" si="6"/>
        <v>5658</v>
      </c>
      <c r="AT45" s="189">
        <f t="shared" si="47"/>
        <v>12925.999999999998</v>
      </c>
      <c r="AU45" s="189">
        <f t="shared" si="7"/>
        <v>13283.999999999998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2.63</v>
      </c>
      <c r="G46" s="20">
        <f>$G$2+I46+L46*$Z$4+D46*0.4</f>
        <v>1.87</v>
      </c>
      <c r="H46" s="20">
        <f>SUM(H39:H45)</f>
        <v>1.63</v>
      </c>
      <c r="I46" s="20">
        <f>SUM(I39:I45)</f>
        <v>0.37</v>
      </c>
      <c r="J46" s="20">
        <f>SUM(J39:J45)+0.15</f>
        <v>0.61</v>
      </c>
      <c r="K46" s="22"/>
      <c r="L46" s="22"/>
      <c r="M46" s="10"/>
      <c r="N46" s="37">
        <f t="shared" ref="N46:O46" si="50">N$2*$F46</f>
        <v>1935.6799999999998</v>
      </c>
      <c r="O46" s="37">
        <f t="shared" si="50"/>
        <v>5523</v>
      </c>
      <c r="P46" s="37">
        <f t="shared" ref="P46" si="51">O46*G46</f>
        <v>10328.01</v>
      </c>
      <c r="Q46" s="20">
        <v>0.15</v>
      </c>
      <c r="R46" s="20">
        <f t="shared" ref="R46" si="52">MINA(Q46+M46*$AA$3+0.12*E46+J46, 1)</f>
        <v>0.76</v>
      </c>
      <c r="S46" s="37">
        <f t="shared" ref="S46" si="53">R46*P46+(1-R46)*O46</f>
        <v>9174.8076000000001</v>
      </c>
      <c r="T46" s="138">
        <v>7547.956500000003</v>
      </c>
      <c r="U46" s="139">
        <f t="shared" ref="U46" si="54">S46/T46-1</f>
        <v>0.21553530415815159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6462.9999999999991</v>
      </c>
      <c r="AR46" s="189">
        <f t="shared" si="13"/>
        <v>6641.9999999999991</v>
      </c>
      <c r="AS46" s="189">
        <f t="shared" si="6"/>
        <v>5658</v>
      </c>
      <c r="AT46" s="189">
        <f t="shared" si="47"/>
        <v>12925.999999999998</v>
      </c>
      <c r="AU46" s="189">
        <f t="shared" si="7"/>
        <v>13283.999999999998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4004.2499999999995</v>
      </c>
      <c r="AR47" s="189">
        <f t="shared" si="13"/>
        <v>4341.9000000000005</v>
      </c>
      <c r="AS47" s="189">
        <f t="shared" si="6"/>
        <v>3690</v>
      </c>
      <c r="AT47" s="189">
        <f t="shared" si="47"/>
        <v>7586.9999999999991</v>
      </c>
      <c r="AU47" s="189">
        <f t="shared" si="7"/>
        <v>8314.7999999999993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4144.75</v>
      </c>
      <c r="AR48" s="189">
        <f t="shared" si="13"/>
        <v>4563.3</v>
      </c>
      <c r="AS48" s="189">
        <f t="shared" si="6"/>
        <v>3690</v>
      </c>
      <c r="AT48" s="189">
        <f t="shared" si="47"/>
        <v>8148.9999999999982</v>
      </c>
      <c r="AU48" s="189">
        <f t="shared" si="7"/>
        <v>9003.5999999999985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4215</v>
      </c>
      <c r="AR49" s="189">
        <f t="shared" si="13"/>
        <v>4674</v>
      </c>
      <c r="AS49" s="189">
        <f t="shared" si="6"/>
        <v>3690</v>
      </c>
      <c r="AT49" s="189">
        <f t="shared" si="47"/>
        <v>8430</v>
      </c>
      <c r="AU49" s="189">
        <f t="shared" si="7"/>
        <v>9348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4215</v>
      </c>
      <c r="AR50" s="189">
        <f t="shared" si="13"/>
        <v>4674</v>
      </c>
      <c r="AS50" s="189">
        <f t="shared" si="6"/>
        <v>3690</v>
      </c>
      <c r="AT50" s="189">
        <f t="shared" si="47"/>
        <v>8430</v>
      </c>
      <c r="AU50" s="189">
        <f t="shared" si="7"/>
        <v>9348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/>
      <c r="I51" s="20">
        <v>0.8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4215</v>
      </c>
      <c r="AR51" s="189">
        <f t="shared" si="13"/>
        <v>4674</v>
      </c>
      <c r="AS51" s="189">
        <f t="shared" si="6"/>
        <v>3690</v>
      </c>
      <c r="AT51" s="189">
        <f t="shared" si="47"/>
        <v>8430</v>
      </c>
      <c r="AU51" s="189">
        <f t="shared" si="7"/>
        <v>9348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4215</v>
      </c>
      <c r="AR52" s="189">
        <f t="shared" si="13"/>
        <v>4674</v>
      </c>
      <c r="AS52" s="189">
        <f t="shared" si="6"/>
        <v>3690</v>
      </c>
      <c r="AT52" s="189">
        <f t="shared" si="47"/>
        <v>8430</v>
      </c>
      <c r="AU52" s="189">
        <f t="shared" si="7"/>
        <v>9348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4215</v>
      </c>
      <c r="AR53" s="189">
        <f t="shared" si="13"/>
        <v>4674</v>
      </c>
      <c r="AS53" s="189">
        <f t="shared" si="6"/>
        <v>3690</v>
      </c>
      <c r="AT53" s="189">
        <f t="shared" si="47"/>
        <v>8430</v>
      </c>
      <c r="AU53" s="189">
        <f t="shared" si="7"/>
        <v>9348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/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4215</v>
      </c>
      <c r="AR54" s="189">
        <f t="shared" si="13"/>
        <v>4674</v>
      </c>
      <c r="AS54" s="189">
        <f t="shared" si="6"/>
        <v>3690</v>
      </c>
      <c r="AT54" s="189">
        <f t="shared" si="47"/>
        <v>8430</v>
      </c>
      <c r="AU54" s="189">
        <f t="shared" si="7"/>
        <v>9348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</v>
      </c>
      <c r="G55" s="20">
        <f t="shared" ref="G55" si="56">$G$2+I55+L55*$Z$4+D55*0.4</f>
        <v>2.52</v>
      </c>
      <c r="H55" s="20">
        <f>SUM(H48:H54)</f>
        <v>1</v>
      </c>
      <c r="I55" s="20">
        <f>SUM(I48:I54)</f>
        <v>1.02</v>
      </c>
      <c r="J55" s="20">
        <f>SUM(J48:J54)+0.15</f>
        <v>0.61</v>
      </c>
      <c r="K55" s="22"/>
      <c r="L55" s="22"/>
      <c r="M55" s="10"/>
      <c r="N55" s="37">
        <f t="shared" ref="N55:O55" si="57">N$2*$F55</f>
        <v>1472</v>
      </c>
      <c r="O55" s="37">
        <f t="shared" si="57"/>
        <v>4200</v>
      </c>
      <c r="P55" s="37">
        <f t="shared" ref="P55" si="58">O55*G55</f>
        <v>10584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9051.84</v>
      </c>
      <c r="T55" s="138">
        <v>7547.956500000003</v>
      </c>
      <c r="U55" s="139">
        <f t="shared" ref="U55" si="61">S55/T55-1</f>
        <v>0.19924379532393921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4215</v>
      </c>
      <c r="AR55" s="189">
        <f t="shared" si="13"/>
        <v>4674</v>
      </c>
      <c r="AS55" s="189">
        <f t="shared" si="6"/>
        <v>3690</v>
      </c>
      <c r="AT55" s="189">
        <f t="shared" si="47"/>
        <v>8430</v>
      </c>
      <c r="AU55" s="189">
        <f t="shared" si="7"/>
        <v>9348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4215</v>
      </c>
      <c r="AR56" s="189">
        <f t="shared" si="13"/>
        <v>4674</v>
      </c>
      <c r="AS56" s="189">
        <f t="shared" si="6"/>
        <v>3690</v>
      </c>
      <c r="AT56" s="189">
        <f t="shared" si="47"/>
        <v>8430</v>
      </c>
      <c r="AU56" s="189">
        <f t="shared" si="7"/>
        <v>9348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4215</v>
      </c>
      <c r="AR57" s="189">
        <f t="shared" si="13"/>
        <v>4674</v>
      </c>
      <c r="AS57" s="189">
        <f t="shared" si="6"/>
        <v>3690</v>
      </c>
      <c r="AT57" s="189">
        <f t="shared" si="47"/>
        <v>8430</v>
      </c>
      <c r="AU57" s="189">
        <f t="shared" si="7"/>
        <v>9348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3904.4000000000005</v>
      </c>
      <c r="AR58" s="189">
        <f t="shared" si="13"/>
        <v>3840.8700000000003</v>
      </c>
      <c r="AS58" s="189">
        <f t="shared" si="6"/>
        <v>3877.9500000000003</v>
      </c>
      <c r="AT58" s="189">
        <f t="shared" si="47"/>
        <v>5297.6000000000013</v>
      </c>
      <c r="AU58" s="189">
        <f t="shared" si="7"/>
        <v>5426.0400000000009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4076.4000000000005</v>
      </c>
      <c r="AR59" s="189">
        <f t="shared" si="13"/>
        <v>4118.97</v>
      </c>
      <c r="AS59" s="189">
        <f t="shared" si="6"/>
        <v>4032.4500000000012</v>
      </c>
      <c r="AT59" s="189">
        <f t="shared" si="47"/>
        <v>5985.6</v>
      </c>
      <c r="AU59" s="189">
        <f t="shared" si="7"/>
        <v>6291.2400000000007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4248.4000000000005</v>
      </c>
      <c r="AR60" s="189">
        <f t="shared" si="13"/>
        <v>4397.07</v>
      </c>
      <c r="AS60" s="189">
        <f t="shared" si="6"/>
        <v>4186.9500000000007</v>
      </c>
      <c r="AT60" s="189">
        <f t="shared" si="47"/>
        <v>6673.6</v>
      </c>
      <c r="AU60" s="189">
        <f t="shared" si="7"/>
        <v>7156.4400000000005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4420.4000000000015</v>
      </c>
      <c r="AR61" s="189">
        <f t="shared" si="13"/>
        <v>4675.17</v>
      </c>
      <c r="AS61" s="189">
        <f t="shared" si="6"/>
        <v>4341.45</v>
      </c>
      <c r="AT61" s="189">
        <f t="shared" si="47"/>
        <v>7361.6000000000013</v>
      </c>
      <c r="AU61" s="189">
        <f t="shared" si="7"/>
        <v>8021.6400000000012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4592.4000000000005</v>
      </c>
      <c r="AR62" s="189">
        <f t="shared" si="13"/>
        <v>4953.2700000000004</v>
      </c>
      <c r="AS62" s="189">
        <f t="shared" si="6"/>
        <v>4495.9500000000007</v>
      </c>
      <c r="AT62" s="189">
        <f t="shared" si="47"/>
        <v>8049.6000000000022</v>
      </c>
      <c r="AU62" s="189">
        <f t="shared" si="7"/>
        <v>8886.84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4764.4000000000005</v>
      </c>
      <c r="AR63" s="189">
        <f t="shared" si="13"/>
        <v>5231.37</v>
      </c>
      <c r="AS63" s="189">
        <f t="shared" si="6"/>
        <v>4635.0000000000009</v>
      </c>
      <c r="AT63" s="189">
        <f t="shared" si="47"/>
        <v>8737.6000000000022</v>
      </c>
      <c r="AU63" s="189">
        <f t="shared" si="7"/>
        <v>9752.0400000000009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4936.4000000000005</v>
      </c>
      <c r="AR64" s="189">
        <f t="shared" si="13"/>
        <v>5509.47</v>
      </c>
      <c r="AS64" s="189">
        <f t="shared" si="6"/>
        <v>4635.0000000000009</v>
      </c>
      <c r="AT64" s="189">
        <f t="shared" si="47"/>
        <v>9425.6</v>
      </c>
      <c r="AU64" s="189">
        <f t="shared" si="7"/>
        <v>10617.240000000002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5108.4000000000015</v>
      </c>
      <c r="AR65" s="189">
        <f t="shared" si="13"/>
        <v>5787.5700000000006</v>
      </c>
      <c r="AS65" s="189">
        <f t="shared" si="6"/>
        <v>4635.0000000000009</v>
      </c>
      <c r="AT65" s="189">
        <f t="shared" si="47"/>
        <v>10113.600000000002</v>
      </c>
      <c r="AU65" s="189">
        <f t="shared" si="7"/>
        <v>11482.440000000002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5160.0000000000009</v>
      </c>
      <c r="AR66" s="189">
        <f t="shared" si="13"/>
        <v>5871.0000000000009</v>
      </c>
      <c r="AS66" s="189">
        <f t="shared" si="6"/>
        <v>4635.0000000000009</v>
      </c>
      <c r="AT66" s="189">
        <f t="shared" si="47"/>
        <v>10320.000000000002</v>
      </c>
      <c r="AU66" s="189">
        <f t="shared" si="7"/>
        <v>11742.000000000002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5160.0000000000009</v>
      </c>
      <c r="AR67" s="189">
        <f t="shared" si="13"/>
        <v>5871.0000000000009</v>
      </c>
      <c r="AS67" s="189">
        <f t="shared" ref="AS67:AS130" si="62">$AG$3*(1+$AJ67*$Y$2+$AN67)*(MAXA(1-$AI$3-$AL67*$AA$3-$AP67-0.36,0)+MINA($AI$3+$AL67*$AA$3+$AP67+0.36,1)*(1+$AH$3+$AO67+$AK67*$Z$4))</f>
        <v>4635.0000000000009</v>
      </c>
      <c r="AT67" s="189">
        <f t="shared" si="47"/>
        <v>10320.000000000002</v>
      </c>
      <c r="AU67" s="189">
        <f t="shared" ref="AU67:AU68" si="63">$AG$3*(1+$AJ67*$Y$2+$AN67)*(MAXA(1-$AI$3-$AL67*$AA$3-$AP67-0.12,0)+2*MINA($AI$3+$AL67*$AA$3+$AP67+0.12,1)*(1+$AH$3+$AO67+$AK67*$Z$4+0.4))</f>
        <v>11742.000000000002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5160.0000000000009</v>
      </c>
      <c r="AR68" s="189">
        <f t="shared" ref="AR68:AR131" si="65">$AG$3*(1+$AJ68*$Y$2+$AN68)*(MAXA(1-$AI$3-$AL68*$AA$3-$AP68-0.12,0)+MINA($AI$3+$AL68*$AA$3+$AP68+0.12,1)*(1+$AH$3+$AO68+$AK68*$Z$4+0.4))</f>
        <v>5871.0000000000009</v>
      </c>
      <c r="AS68" s="189">
        <f t="shared" si="62"/>
        <v>4635.0000000000009</v>
      </c>
      <c r="AT68" s="189">
        <f t="shared" si="47"/>
        <v>10320.000000000002</v>
      </c>
      <c r="AU68" s="189">
        <f t="shared" si="63"/>
        <v>11742.000000000002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4066.5099999999998</v>
      </c>
      <c r="AR69" s="189">
        <f t="shared" si="65"/>
        <v>3880.9399999999996</v>
      </c>
      <c r="AS69" s="189">
        <f t="shared" si="62"/>
        <v>4423.579999999999</v>
      </c>
      <c r="AT69" s="189">
        <f t="shared" ref="AT69:AT130" si="66">$AG$3*(1+$AJ69*$Y$2+$AN69)*(MAXA(1-$AI$3-$AL69*$AA$3-$AP69-0.36,0)+2*MINA($AI$3+$AL69*$AA$3+$AP69+0.36,1)*(1+$AH$3+$AO69+$AK69*$Z$4))</f>
        <v>7543.7599999999975</v>
      </c>
      <c r="AU69" s="50">
        <f t="shared" ref="AU69:AU130" si="67">$AG$3*(1+$AJ69*$Y$2+$AN69)*(MAXA(1-$AI$3-$AL69*$AA$3-$AP69-0.12,0)+2*MINA($AI$3+$AL69*$AA$3+$AP69+0.12,1)*(1+$AH$3+$AO69+$AK69*$Z$4+0.4))</f>
        <v>5820.0799999999981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4457.8099999999995</v>
      </c>
      <c r="AR70" s="189">
        <f t="shared" si="65"/>
        <v>4333.1399999999994</v>
      </c>
      <c r="AS70" s="189">
        <f t="shared" si="62"/>
        <v>4769.3799999999983</v>
      </c>
      <c r="AT70" s="189">
        <f t="shared" si="66"/>
        <v>8501.3599999999969</v>
      </c>
      <c r="AU70" s="50">
        <f t="shared" si="67"/>
        <v>6990.4799999999977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4849.1099999999997</v>
      </c>
      <c r="AR71" s="189">
        <f t="shared" si="65"/>
        <v>4785.3399999999992</v>
      </c>
      <c r="AS71" s="189">
        <f t="shared" si="62"/>
        <v>5115.1799999999985</v>
      </c>
      <c r="AT71" s="189">
        <f t="shared" si="66"/>
        <v>9458.9599999999973</v>
      </c>
      <c r="AU71" s="50">
        <f t="shared" si="67"/>
        <v>8160.8799999999974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5240.4099999999989</v>
      </c>
      <c r="AR72" s="189">
        <f t="shared" si="65"/>
        <v>5237.5399999999991</v>
      </c>
      <c r="AS72" s="189">
        <f t="shared" si="62"/>
        <v>5460.9799999999987</v>
      </c>
      <c r="AT72" s="189">
        <f t="shared" si="66"/>
        <v>10416.559999999998</v>
      </c>
      <c r="AU72" s="50">
        <f t="shared" si="67"/>
        <v>9331.279999999997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5631.71</v>
      </c>
      <c r="AR73" s="189">
        <f t="shared" si="65"/>
        <v>5689.7399999999989</v>
      </c>
      <c r="AS73" s="189">
        <f t="shared" si="62"/>
        <v>5806.7799999999988</v>
      </c>
      <c r="AT73" s="189">
        <f t="shared" si="66"/>
        <v>11374.159999999998</v>
      </c>
      <c r="AU73" s="50">
        <f t="shared" si="67"/>
        <v>10501.679999999998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6023.0099999999993</v>
      </c>
      <c r="AR74" s="189">
        <f t="shared" si="65"/>
        <v>6141.9399999999978</v>
      </c>
      <c r="AS74" s="189">
        <f t="shared" si="62"/>
        <v>6117.9999999999982</v>
      </c>
      <c r="AT74" s="189">
        <f t="shared" si="66"/>
        <v>12235.999999999996</v>
      </c>
      <c r="AU74" s="50">
        <f t="shared" si="67"/>
        <v>11672.079999999998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6414.3099999999995</v>
      </c>
      <c r="AR75" s="189">
        <f t="shared" si="65"/>
        <v>6594.1399999999976</v>
      </c>
      <c r="AS75" s="189">
        <f t="shared" si="62"/>
        <v>6117.9999999999982</v>
      </c>
      <c r="AT75" s="189">
        <f t="shared" si="66"/>
        <v>12235.999999999996</v>
      </c>
      <c r="AU75" s="50">
        <f t="shared" si="67"/>
        <v>12842.479999999996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6805.6100000000006</v>
      </c>
      <c r="AR76" s="189">
        <f t="shared" si="65"/>
        <v>7046.3399999999992</v>
      </c>
      <c r="AS76" s="189">
        <f t="shared" si="62"/>
        <v>6117.9999999999982</v>
      </c>
      <c r="AT76" s="189">
        <f t="shared" si="66"/>
        <v>12235.999999999996</v>
      </c>
      <c r="AU76" s="50">
        <f t="shared" si="67"/>
        <v>14012.879999999997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6922.9999999999991</v>
      </c>
      <c r="AR77" s="189">
        <f t="shared" si="65"/>
        <v>7181.9999999999982</v>
      </c>
      <c r="AS77" s="189">
        <f t="shared" si="62"/>
        <v>6117.9999999999982</v>
      </c>
      <c r="AT77" s="189">
        <f t="shared" si="66"/>
        <v>12235.999999999996</v>
      </c>
      <c r="AU77" s="50">
        <f t="shared" si="67"/>
        <v>14363.999999999996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6922.9999999999991</v>
      </c>
      <c r="AR78" s="189">
        <f t="shared" si="65"/>
        <v>7181.9999999999982</v>
      </c>
      <c r="AS78" s="189">
        <f t="shared" si="62"/>
        <v>6117.9999999999982</v>
      </c>
      <c r="AT78" s="189">
        <f t="shared" si="66"/>
        <v>12235.999999999996</v>
      </c>
      <c r="AU78" s="50">
        <f t="shared" si="67"/>
        <v>14363.999999999996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6922.9999999999991</v>
      </c>
      <c r="AR79" s="189">
        <f t="shared" si="65"/>
        <v>7181.9999999999982</v>
      </c>
      <c r="AS79" s="189">
        <f t="shared" si="62"/>
        <v>6117.9999999999982</v>
      </c>
      <c r="AT79" s="189">
        <f t="shared" si="66"/>
        <v>12235.999999999996</v>
      </c>
      <c r="AU79" s="50">
        <f t="shared" si="67"/>
        <v>14363.999999999996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4289.2499999999991</v>
      </c>
      <c r="AR80" s="189">
        <f t="shared" si="65"/>
        <v>4694.8999999999996</v>
      </c>
      <c r="AS80" s="189">
        <f t="shared" si="62"/>
        <v>3989.9999999999991</v>
      </c>
      <c r="AT80" s="189">
        <f t="shared" si="66"/>
        <v>7979.9999999999982</v>
      </c>
      <c r="AU80" s="50">
        <f t="shared" si="67"/>
        <v>8990.7999999999975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4439.75</v>
      </c>
      <c r="AR81" s="189">
        <f t="shared" si="65"/>
        <v>4934.2999999999993</v>
      </c>
      <c r="AS81" s="189">
        <f t="shared" si="62"/>
        <v>3989.9999999999991</v>
      </c>
      <c r="AT81" s="189">
        <f t="shared" si="66"/>
        <v>7979.9999999999982</v>
      </c>
      <c r="AU81" s="50">
        <f t="shared" si="67"/>
        <v>9735.5999999999967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4515</v>
      </c>
      <c r="AR82" s="189">
        <f t="shared" si="65"/>
        <v>5053.9999999999991</v>
      </c>
      <c r="AS82" s="189">
        <f t="shared" si="62"/>
        <v>3989.9999999999991</v>
      </c>
      <c r="AT82" s="189">
        <f t="shared" si="66"/>
        <v>7979.9999999999982</v>
      </c>
      <c r="AU82" s="50">
        <f t="shared" si="67"/>
        <v>10107.999999999998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4515</v>
      </c>
      <c r="AR83" s="189">
        <f t="shared" si="65"/>
        <v>5053.9999999999991</v>
      </c>
      <c r="AS83" s="189">
        <f t="shared" si="62"/>
        <v>3989.9999999999991</v>
      </c>
      <c r="AT83" s="189">
        <f t="shared" si="66"/>
        <v>7979.9999999999982</v>
      </c>
      <c r="AU83" s="50">
        <f t="shared" si="67"/>
        <v>10107.999999999998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4515</v>
      </c>
      <c r="AR84" s="189">
        <f t="shared" si="65"/>
        <v>5053.9999999999991</v>
      </c>
      <c r="AS84" s="189">
        <f t="shared" si="62"/>
        <v>3989.9999999999991</v>
      </c>
      <c r="AT84" s="189">
        <f t="shared" si="66"/>
        <v>7979.9999999999982</v>
      </c>
      <c r="AU84" s="50">
        <f t="shared" si="67"/>
        <v>10107.999999999998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4515</v>
      </c>
      <c r="AR85" s="189">
        <f t="shared" si="65"/>
        <v>5053.9999999999991</v>
      </c>
      <c r="AS85" s="189">
        <f t="shared" si="62"/>
        <v>3989.9999999999991</v>
      </c>
      <c r="AT85" s="189">
        <f t="shared" si="66"/>
        <v>7979.9999999999982</v>
      </c>
      <c r="AU85" s="50">
        <f t="shared" si="67"/>
        <v>10107.999999999998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4515</v>
      </c>
      <c r="AR86" s="189">
        <f t="shared" si="65"/>
        <v>5053.9999999999991</v>
      </c>
      <c r="AS86" s="189">
        <f t="shared" si="62"/>
        <v>3989.9999999999991</v>
      </c>
      <c r="AT86" s="189">
        <f t="shared" si="66"/>
        <v>7979.9999999999982</v>
      </c>
      <c r="AU86" s="50">
        <f t="shared" si="67"/>
        <v>10107.999999999998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4515</v>
      </c>
      <c r="AR87" s="189">
        <f t="shared" si="65"/>
        <v>5053.9999999999991</v>
      </c>
      <c r="AS87" s="189">
        <f t="shared" si="62"/>
        <v>3989.9999999999991</v>
      </c>
      <c r="AT87" s="189">
        <f t="shared" si="66"/>
        <v>7979.9999999999982</v>
      </c>
      <c r="AU87" s="50">
        <f t="shared" si="67"/>
        <v>10107.999999999998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4515</v>
      </c>
      <c r="AR88" s="189">
        <f t="shared" si="65"/>
        <v>5053.9999999999991</v>
      </c>
      <c r="AS88" s="189">
        <f t="shared" si="62"/>
        <v>3989.9999999999991</v>
      </c>
      <c r="AT88" s="189">
        <f t="shared" si="66"/>
        <v>7979.9999999999982</v>
      </c>
      <c r="AU88" s="50">
        <f t="shared" si="67"/>
        <v>10107.999999999998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4515</v>
      </c>
      <c r="AR89" s="189">
        <f t="shared" si="65"/>
        <v>5053.9999999999991</v>
      </c>
      <c r="AS89" s="189">
        <f t="shared" si="62"/>
        <v>3989.9999999999991</v>
      </c>
      <c r="AT89" s="189">
        <f t="shared" si="66"/>
        <v>7979.9999999999982</v>
      </c>
      <c r="AU89" s="50">
        <f t="shared" si="67"/>
        <v>10107.999999999998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4515</v>
      </c>
      <c r="AR90" s="189">
        <f t="shared" si="65"/>
        <v>5053.9999999999991</v>
      </c>
      <c r="AS90" s="189">
        <f t="shared" si="62"/>
        <v>3989.9999999999991</v>
      </c>
      <c r="AT90" s="189">
        <f t="shared" si="66"/>
        <v>7979.9999999999982</v>
      </c>
      <c r="AU90" s="50">
        <f t="shared" si="67"/>
        <v>10107.999999999998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4131.3999999999996</v>
      </c>
      <c r="AR91" s="189">
        <f t="shared" si="65"/>
        <v>4089.47</v>
      </c>
      <c r="AS91" s="189">
        <f t="shared" si="62"/>
        <v>4128.95</v>
      </c>
      <c r="AT91" s="189">
        <f t="shared" si="66"/>
        <v>6645.8</v>
      </c>
      <c r="AU91" s="50">
        <f t="shared" si="67"/>
        <v>5777.24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4313.4000000000005</v>
      </c>
      <c r="AR92" s="189">
        <f t="shared" si="65"/>
        <v>4385.57</v>
      </c>
      <c r="AS92" s="189">
        <f t="shared" si="62"/>
        <v>4293.4500000000007</v>
      </c>
      <c r="AT92" s="189">
        <f t="shared" si="66"/>
        <v>7303.8000000000011</v>
      </c>
      <c r="AU92" s="50">
        <f t="shared" si="67"/>
        <v>6698.4400000000005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4495.3999999999996</v>
      </c>
      <c r="AR93" s="189">
        <f t="shared" si="65"/>
        <v>4681.6699999999992</v>
      </c>
      <c r="AS93" s="189">
        <f t="shared" si="62"/>
        <v>4457.95</v>
      </c>
      <c r="AT93" s="189">
        <f t="shared" si="66"/>
        <v>7961.8</v>
      </c>
      <c r="AU93" s="50">
        <f t="shared" si="67"/>
        <v>7619.6399999999994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4677.4000000000005</v>
      </c>
      <c r="AR94" s="189">
        <f t="shared" si="65"/>
        <v>4977.7699999999995</v>
      </c>
      <c r="AS94" s="189">
        <f t="shared" si="62"/>
        <v>4622.4499999999989</v>
      </c>
      <c r="AT94" s="189">
        <f t="shared" si="66"/>
        <v>8619.7999999999993</v>
      </c>
      <c r="AU94" s="50">
        <f t="shared" si="67"/>
        <v>8540.84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4859.3999999999996</v>
      </c>
      <c r="AR95" s="189">
        <f t="shared" si="65"/>
        <v>5273.869999999999</v>
      </c>
      <c r="AS95" s="189">
        <f t="shared" si="62"/>
        <v>4786.95</v>
      </c>
      <c r="AT95" s="189">
        <f t="shared" si="66"/>
        <v>9277.7999999999993</v>
      </c>
      <c r="AU95" s="50">
        <f t="shared" si="67"/>
        <v>9462.0399999999991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5041.3999999999996</v>
      </c>
      <c r="AR96" s="189">
        <f t="shared" si="65"/>
        <v>5569.9699999999993</v>
      </c>
      <c r="AS96" s="189">
        <f t="shared" si="62"/>
        <v>4935</v>
      </c>
      <c r="AT96" s="189">
        <f t="shared" si="66"/>
        <v>9870</v>
      </c>
      <c r="AU96" s="50">
        <f t="shared" si="67"/>
        <v>10383.24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5223.4000000000005</v>
      </c>
      <c r="AR97" s="189">
        <f t="shared" si="65"/>
        <v>5866.07</v>
      </c>
      <c r="AS97" s="189">
        <f t="shared" si="62"/>
        <v>4935</v>
      </c>
      <c r="AT97" s="189">
        <f t="shared" si="66"/>
        <v>9870</v>
      </c>
      <c r="AU97" s="50">
        <f t="shared" si="67"/>
        <v>11304.44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5405.4000000000005</v>
      </c>
      <c r="AR98" s="189">
        <f t="shared" si="65"/>
        <v>6162.17</v>
      </c>
      <c r="AS98" s="189">
        <f t="shared" si="62"/>
        <v>4935</v>
      </c>
      <c r="AT98" s="189">
        <f t="shared" si="66"/>
        <v>9870</v>
      </c>
      <c r="AU98" s="50">
        <f t="shared" si="67"/>
        <v>12225.640000000001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5460</v>
      </c>
      <c r="AR99" s="189">
        <f t="shared" si="65"/>
        <v>6251</v>
      </c>
      <c r="AS99" s="189">
        <f t="shared" si="62"/>
        <v>4935</v>
      </c>
      <c r="AT99" s="189">
        <f t="shared" si="66"/>
        <v>9870</v>
      </c>
      <c r="AU99" s="50">
        <f t="shared" si="67"/>
        <v>12502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5460</v>
      </c>
      <c r="AR100" s="189">
        <f t="shared" si="65"/>
        <v>6251</v>
      </c>
      <c r="AS100" s="189">
        <f t="shared" si="62"/>
        <v>4935</v>
      </c>
      <c r="AT100" s="189">
        <f t="shared" si="66"/>
        <v>9870</v>
      </c>
      <c r="AU100" s="50">
        <f t="shared" si="67"/>
        <v>12502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5460</v>
      </c>
      <c r="AR101" s="189">
        <f t="shared" si="65"/>
        <v>6251</v>
      </c>
      <c r="AS101" s="189">
        <f t="shared" si="62"/>
        <v>4935</v>
      </c>
      <c r="AT101" s="189">
        <f t="shared" si="66"/>
        <v>9870</v>
      </c>
      <c r="AU101" s="50">
        <f t="shared" si="67"/>
        <v>12502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4336.71</v>
      </c>
      <c r="AR102" s="189">
        <f t="shared" si="65"/>
        <v>4172.74</v>
      </c>
      <c r="AS102" s="189">
        <f t="shared" si="62"/>
        <v>4756.1799999999994</v>
      </c>
      <c r="AT102" s="189">
        <f t="shared" si="66"/>
        <v>8110.9599999999982</v>
      </c>
      <c r="AU102" s="50">
        <f t="shared" si="67"/>
        <v>6257.6799999999994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4754.0099999999993</v>
      </c>
      <c r="AR103" s="189">
        <f t="shared" si="65"/>
        <v>4658.9399999999996</v>
      </c>
      <c r="AS103" s="189">
        <f t="shared" si="62"/>
        <v>5127.9799999999996</v>
      </c>
      <c r="AT103" s="189">
        <f t="shared" si="66"/>
        <v>9140.56</v>
      </c>
      <c r="AU103" s="50">
        <f t="shared" si="67"/>
        <v>7516.079999999999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5171.3099999999995</v>
      </c>
      <c r="AR104" s="189">
        <f t="shared" si="65"/>
        <v>5145.1399999999994</v>
      </c>
      <c r="AS104" s="189">
        <f t="shared" si="62"/>
        <v>5499.7799999999988</v>
      </c>
      <c r="AT104" s="189">
        <f t="shared" si="66"/>
        <v>10170.159999999998</v>
      </c>
      <c r="AU104" s="50">
        <f t="shared" si="67"/>
        <v>8774.48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5588.6099999999988</v>
      </c>
      <c r="AR105" s="189">
        <f t="shared" si="65"/>
        <v>5631.3399999999992</v>
      </c>
      <c r="AS105" s="189">
        <f t="shared" si="62"/>
        <v>5871.58</v>
      </c>
      <c r="AT105" s="189">
        <f t="shared" si="66"/>
        <v>11199.759999999998</v>
      </c>
      <c r="AU105" s="50">
        <f t="shared" si="67"/>
        <v>10032.879999999999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6005.91</v>
      </c>
      <c r="AR106" s="189">
        <f t="shared" si="65"/>
        <v>6117.5399999999991</v>
      </c>
      <c r="AS106" s="189">
        <f t="shared" si="62"/>
        <v>6243.3799999999992</v>
      </c>
      <c r="AT106" s="189">
        <f t="shared" si="66"/>
        <v>12229.359999999999</v>
      </c>
      <c r="AU106" s="50">
        <f t="shared" si="67"/>
        <v>11291.28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6423.21</v>
      </c>
      <c r="AR107" s="189">
        <f t="shared" si="65"/>
        <v>6603.7399999999989</v>
      </c>
      <c r="AS107" s="189">
        <f t="shared" si="62"/>
        <v>6577.9999999999991</v>
      </c>
      <c r="AT107" s="189">
        <f t="shared" si="66"/>
        <v>13155.999999999998</v>
      </c>
      <c r="AU107" s="50">
        <f t="shared" si="67"/>
        <v>12549.68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6840.5099999999993</v>
      </c>
      <c r="AR108" s="189">
        <f t="shared" si="65"/>
        <v>7089.9399999999987</v>
      </c>
      <c r="AS108" s="189">
        <f t="shared" si="62"/>
        <v>6577.9999999999991</v>
      </c>
      <c r="AT108" s="189">
        <f t="shared" si="66"/>
        <v>13155.999999999998</v>
      </c>
      <c r="AU108" s="50">
        <f t="shared" si="67"/>
        <v>13808.079999999998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7257.81</v>
      </c>
      <c r="AR109" s="189">
        <f t="shared" si="65"/>
        <v>7576.14</v>
      </c>
      <c r="AS109" s="189">
        <f t="shared" si="62"/>
        <v>6577.9999999999991</v>
      </c>
      <c r="AT109" s="189">
        <f t="shared" si="66"/>
        <v>13155.999999999998</v>
      </c>
      <c r="AU109" s="50">
        <f t="shared" si="67"/>
        <v>15066.48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7382.9999999999991</v>
      </c>
      <c r="AR110" s="189">
        <f t="shared" si="65"/>
        <v>7721.9999999999991</v>
      </c>
      <c r="AS110" s="189">
        <f t="shared" si="62"/>
        <v>6577.9999999999991</v>
      </c>
      <c r="AT110" s="189">
        <f t="shared" si="66"/>
        <v>13155.999999999998</v>
      </c>
      <c r="AU110" s="50">
        <f t="shared" si="67"/>
        <v>15443.999999999998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7382.9999999999991</v>
      </c>
      <c r="AR111" s="189">
        <f t="shared" si="65"/>
        <v>7721.9999999999991</v>
      </c>
      <c r="AS111" s="189">
        <f t="shared" si="62"/>
        <v>6577.9999999999991</v>
      </c>
      <c r="AT111" s="189">
        <f t="shared" si="66"/>
        <v>13155.999999999998</v>
      </c>
      <c r="AU111" s="50">
        <f t="shared" si="67"/>
        <v>15443.999999999998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7382.9999999999991</v>
      </c>
      <c r="AR112" s="189">
        <f t="shared" si="65"/>
        <v>7721.9999999999991</v>
      </c>
      <c r="AS112" s="189">
        <f t="shared" si="62"/>
        <v>6577.9999999999991</v>
      </c>
      <c r="AT112" s="189">
        <f t="shared" si="66"/>
        <v>13155.999999999998</v>
      </c>
      <c r="AU112" s="50">
        <f t="shared" si="67"/>
        <v>15443.999999999998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4574.2499999999991</v>
      </c>
      <c r="AR113" s="189">
        <f t="shared" si="65"/>
        <v>5047.9000000000005</v>
      </c>
      <c r="AS113" s="189">
        <f t="shared" si="62"/>
        <v>4290</v>
      </c>
      <c r="AT113" s="189">
        <f t="shared" si="66"/>
        <v>8580</v>
      </c>
      <c r="AU113" s="50">
        <f t="shared" si="67"/>
        <v>9666.7999999999993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4734.75</v>
      </c>
      <c r="AR114" s="189">
        <f t="shared" si="65"/>
        <v>5305.3</v>
      </c>
      <c r="AS114" s="189">
        <f t="shared" si="62"/>
        <v>4290</v>
      </c>
      <c r="AT114" s="189">
        <f t="shared" si="66"/>
        <v>8580</v>
      </c>
      <c r="AU114" s="50">
        <f t="shared" si="67"/>
        <v>10467.599999999999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4815</v>
      </c>
      <c r="AR115" s="189">
        <f t="shared" si="65"/>
        <v>5434</v>
      </c>
      <c r="AS115" s="189">
        <f t="shared" si="62"/>
        <v>4290</v>
      </c>
      <c r="AT115" s="189">
        <f t="shared" si="66"/>
        <v>8580</v>
      </c>
      <c r="AU115" s="50">
        <f t="shared" si="67"/>
        <v>10868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4815</v>
      </c>
      <c r="AR116" s="189">
        <f t="shared" si="65"/>
        <v>5434</v>
      </c>
      <c r="AS116" s="189">
        <f t="shared" si="62"/>
        <v>4290</v>
      </c>
      <c r="AT116" s="189">
        <f t="shared" si="66"/>
        <v>8580</v>
      </c>
      <c r="AU116" s="50">
        <f t="shared" si="67"/>
        <v>10868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4815</v>
      </c>
      <c r="AR117" s="189">
        <f t="shared" si="65"/>
        <v>5434</v>
      </c>
      <c r="AS117" s="189">
        <f t="shared" si="62"/>
        <v>4290</v>
      </c>
      <c r="AT117" s="189">
        <f t="shared" si="66"/>
        <v>8580</v>
      </c>
      <c r="AU117" s="50">
        <f t="shared" si="67"/>
        <v>10868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4815</v>
      </c>
      <c r="AR118" s="189">
        <f t="shared" si="65"/>
        <v>5434</v>
      </c>
      <c r="AS118" s="189">
        <f t="shared" si="62"/>
        <v>4290</v>
      </c>
      <c r="AT118" s="189">
        <f t="shared" si="66"/>
        <v>8580</v>
      </c>
      <c r="AU118" s="50">
        <f t="shared" si="67"/>
        <v>10868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4815</v>
      </c>
      <c r="AR119" s="189">
        <f t="shared" si="65"/>
        <v>5434</v>
      </c>
      <c r="AS119" s="189">
        <f t="shared" si="62"/>
        <v>4290</v>
      </c>
      <c r="AT119" s="189">
        <f t="shared" si="66"/>
        <v>8580</v>
      </c>
      <c r="AU119" s="50">
        <f t="shared" si="67"/>
        <v>10868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4815</v>
      </c>
      <c r="AR120" s="189">
        <f t="shared" si="65"/>
        <v>5434</v>
      </c>
      <c r="AS120" s="189">
        <f t="shared" si="62"/>
        <v>4290</v>
      </c>
      <c r="AT120" s="189">
        <f t="shared" si="66"/>
        <v>8580</v>
      </c>
      <c r="AU120" s="50">
        <f t="shared" si="67"/>
        <v>10868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4815</v>
      </c>
      <c r="AR121" s="189">
        <f t="shared" si="65"/>
        <v>5434</v>
      </c>
      <c r="AS121" s="189">
        <f t="shared" si="62"/>
        <v>4290</v>
      </c>
      <c r="AT121" s="189">
        <f t="shared" si="66"/>
        <v>8580</v>
      </c>
      <c r="AU121" s="50">
        <f t="shared" si="67"/>
        <v>10868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4815</v>
      </c>
      <c r="AR122" s="189">
        <f t="shared" si="65"/>
        <v>5434</v>
      </c>
      <c r="AS122" s="189">
        <f t="shared" si="62"/>
        <v>4290</v>
      </c>
      <c r="AT122" s="189">
        <f t="shared" si="66"/>
        <v>8580</v>
      </c>
      <c r="AU122" s="50">
        <f t="shared" si="67"/>
        <v>10868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4815</v>
      </c>
      <c r="AR123" s="189">
        <f t="shared" si="65"/>
        <v>5434</v>
      </c>
      <c r="AS123" s="189">
        <f t="shared" si="62"/>
        <v>4290</v>
      </c>
      <c r="AT123" s="189">
        <f t="shared" si="66"/>
        <v>8580</v>
      </c>
      <c r="AU123" s="50">
        <f t="shared" si="67"/>
        <v>10868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4358.4000000000005</v>
      </c>
      <c r="AR124" s="189">
        <f t="shared" si="65"/>
        <v>4338.07</v>
      </c>
      <c r="AS124" s="189">
        <f t="shared" si="62"/>
        <v>4379.95</v>
      </c>
      <c r="AT124" s="189">
        <f t="shared" si="66"/>
        <v>7049.8</v>
      </c>
      <c r="AU124" s="50">
        <f t="shared" si="67"/>
        <v>6128.44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4550.4000000000005</v>
      </c>
      <c r="AR125" s="189">
        <f t="shared" si="65"/>
        <v>4652.17</v>
      </c>
      <c r="AS125" s="189">
        <f t="shared" si="62"/>
        <v>4554.4500000000007</v>
      </c>
      <c r="AT125" s="189">
        <f t="shared" si="66"/>
        <v>7747.8000000000011</v>
      </c>
      <c r="AU125" s="50">
        <f t="shared" si="67"/>
        <v>7105.64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4742.3999999999996</v>
      </c>
      <c r="AR126" s="189">
        <f t="shared" si="65"/>
        <v>4966.2699999999995</v>
      </c>
      <c r="AS126" s="189">
        <f t="shared" si="62"/>
        <v>4728.95</v>
      </c>
      <c r="AT126" s="189">
        <f t="shared" si="66"/>
        <v>8445.7999999999993</v>
      </c>
      <c r="AU126" s="50">
        <f t="shared" si="67"/>
        <v>8082.8399999999992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4934.4000000000015</v>
      </c>
      <c r="AR127" s="189">
        <f t="shared" si="65"/>
        <v>5280.37</v>
      </c>
      <c r="AS127" s="189">
        <f t="shared" si="62"/>
        <v>4903.4499999999989</v>
      </c>
      <c r="AT127" s="189">
        <f t="shared" si="66"/>
        <v>9143.7999999999993</v>
      </c>
      <c r="AU127" s="50">
        <f t="shared" si="67"/>
        <v>9060.0400000000009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5126.4000000000005</v>
      </c>
      <c r="AR128" s="189">
        <f t="shared" si="65"/>
        <v>5594.4699999999993</v>
      </c>
      <c r="AS128" s="189">
        <f t="shared" si="62"/>
        <v>5077.95</v>
      </c>
      <c r="AT128" s="189">
        <f t="shared" si="66"/>
        <v>9841.7999999999993</v>
      </c>
      <c r="AU128" s="50">
        <f t="shared" si="67"/>
        <v>10037.24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5318.4000000000005</v>
      </c>
      <c r="AR129" s="189">
        <f t="shared" si="65"/>
        <v>5908.57</v>
      </c>
      <c r="AS129" s="189">
        <f t="shared" si="62"/>
        <v>5235</v>
      </c>
      <c r="AT129" s="189">
        <f t="shared" si="66"/>
        <v>10470</v>
      </c>
      <c r="AU129" s="50">
        <f t="shared" si="67"/>
        <v>11014.439999999999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5510.4000000000005</v>
      </c>
      <c r="AR130" s="189">
        <f t="shared" si="65"/>
        <v>6222.67</v>
      </c>
      <c r="AS130" s="189">
        <f t="shared" si="62"/>
        <v>5235</v>
      </c>
      <c r="AT130" s="189">
        <f t="shared" si="66"/>
        <v>10470</v>
      </c>
      <c r="AU130" s="50">
        <f t="shared" si="67"/>
        <v>11991.64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5702.4000000000015</v>
      </c>
      <c r="AR131" s="189">
        <f t="shared" si="65"/>
        <v>6536.77</v>
      </c>
      <c r="AS131" s="189">
        <f t="shared" ref="AS131:AS194" si="70">$AG$3*(1+$AJ131*$Y$2+$AN131)*(MAXA(1-$AI$3-$AL131*$AA$3-$AP131-0.36,0)+MINA($AI$3+$AL131*$AA$3+$AP131+0.36,1)*(1+$AH$3+$AO131+$AK131*$Z$4))</f>
        <v>5235</v>
      </c>
      <c r="AT131" s="189">
        <f t="shared" ref="AT131:AT194" si="71">$AG$3*(1+$AJ131*$Y$2+$AN131)*(MAXA(1-$AI$3-$AL131*$AA$3-$AP131-0.36,0)+2*MINA($AI$3+$AL131*$AA$3+$AP131+0.36,1)*(1+$AH$3+$AO131+$AK131*$Z$4))</f>
        <v>10470</v>
      </c>
      <c r="AU131" s="50">
        <f t="shared" ref="AU131:AU194" si="72">$AG$3*(1+$AJ131*$Y$2+$AN131)*(MAXA(1-$AI$3-$AL131*$AA$3-$AP131-0.12,0)+2*MINA($AI$3+$AL131*$AA$3+$AP131+0.12,1)*(1+$AH$3+$AO131+$AK131*$Z$4+0.4))</f>
        <v>12968.84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5760.0000000000009</v>
      </c>
      <c r="AR132" s="189">
        <f t="shared" ref="AR132:AR195" si="74">$AG$3*(1+$AJ132*$Y$2+$AN132)*(MAXA(1-$AI$3-$AL132*$AA$3-$AP132-0.12,0)+MINA($AI$3+$AL132*$AA$3+$AP132+0.12,1)*(1+$AH$3+$AO132+$AK132*$Z$4+0.4))</f>
        <v>6631</v>
      </c>
      <c r="AS132" s="189">
        <f t="shared" si="70"/>
        <v>5235</v>
      </c>
      <c r="AT132" s="189">
        <f t="shared" si="71"/>
        <v>10470</v>
      </c>
      <c r="AU132" s="50">
        <f t="shared" si="72"/>
        <v>13262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5760.0000000000009</v>
      </c>
      <c r="AR133" s="189">
        <f t="shared" si="74"/>
        <v>6631</v>
      </c>
      <c r="AS133" s="189">
        <f t="shared" si="70"/>
        <v>5235</v>
      </c>
      <c r="AT133" s="189">
        <f t="shared" si="71"/>
        <v>10470</v>
      </c>
      <c r="AU133" s="50">
        <f t="shared" si="72"/>
        <v>13262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5760.0000000000009</v>
      </c>
      <c r="AR134" s="189">
        <f t="shared" si="74"/>
        <v>6631</v>
      </c>
      <c r="AS134" s="189">
        <f t="shared" si="70"/>
        <v>5235</v>
      </c>
      <c r="AT134" s="189">
        <f t="shared" si="71"/>
        <v>10470</v>
      </c>
      <c r="AU134" s="50">
        <f t="shared" si="72"/>
        <v>13262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4606.9099999999989</v>
      </c>
      <c r="AR135" s="189">
        <f t="shared" si="74"/>
        <v>4464.54</v>
      </c>
      <c r="AS135" s="189">
        <f t="shared" si="70"/>
        <v>5088.7799999999988</v>
      </c>
      <c r="AT135" s="189">
        <f t="shared" si="71"/>
        <v>8678.1599999999962</v>
      </c>
      <c r="AU135" s="50">
        <f t="shared" si="72"/>
        <v>6695.2799999999979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5050.2099999999991</v>
      </c>
      <c r="AR136" s="189">
        <f t="shared" si="74"/>
        <v>4984.7399999999989</v>
      </c>
      <c r="AS136" s="189">
        <f t="shared" si="70"/>
        <v>5486.5799999999981</v>
      </c>
      <c r="AT136" s="189">
        <f t="shared" si="71"/>
        <v>9779.7599999999984</v>
      </c>
      <c r="AU136" s="50">
        <f t="shared" si="72"/>
        <v>8041.6799999999976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5493.5099999999984</v>
      </c>
      <c r="AR137" s="189">
        <f t="shared" si="74"/>
        <v>5504.9399999999987</v>
      </c>
      <c r="AS137" s="189">
        <f t="shared" si="70"/>
        <v>5884.3799999999983</v>
      </c>
      <c r="AT137" s="189">
        <f t="shared" si="71"/>
        <v>10881.359999999997</v>
      </c>
      <c r="AU137" s="50">
        <f t="shared" si="72"/>
        <v>9388.0799999999981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5936.8099999999977</v>
      </c>
      <c r="AR138" s="189">
        <f t="shared" si="74"/>
        <v>6025.1399999999985</v>
      </c>
      <c r="AS138" s="189">
        <f t="shared" si="70"/>
        <v>6282.1799999999985</v>
      </c>
      <c r="AT138" s="189">
        <f t="shared" si="71"/>
        <v>11982.959999999997</v>
      </c>
      <c r="AU138" s="50">
        <f t="shared" si="72"/>
        <v>10734.479999999998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6380.1099999999988</v>
      </c>
      <c r="AR139" s="189">
        <f t="shared" si="74"/>
        <v>6545.3399999999983</v>
      </c>
      <c r="AS139" s="189">
        <f t="shared" si="70"/>
        <v>6679.9799999999987</v>
      </c>
      <c r="AT139" s="189">
        <f t="shared" si="71"/>
        <v>13084.559999999998</v>
      </c>
      <c r="AU139" s="50">
        <f t="shared" si="72"/>
        <v>12080.879999999997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6823.4099999999989</v>
      </c>
      <c r="AR140" s="189">
        <f t="shared" si="74"/>
        <v>7065.5399999999981</v>
      </c>
      <c r="AS140" s="189">
        <f t="shared" si="70"/>
        <v>7037.9999999999982</v>
      </c>
      <c r="AT140" s="189">
        <f t="shared" si="71"/>
        <v>14075.999999999996</v>
      </c>
      <c r="AU140" s="50">
        <f t="shared" si="72"/>
        <v>13427.279999999997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7266.7099999999982</v>
      </c>
      <c r="AR141" s="189">
        <f t="shared" si="74"/>
        <v>7585.739999999998</v>
      </c>
      <c r="AS141" s="189">
        <f t="shared" si="70"/>
        <v>7037.9999999999982</v>
      </c>
      <c r="AT141" s="189">
        <f t="shared" si="71"/>
        <v>14075.999999999996</v>
      </c>
      <c r="AU141" s="50">
        <f t="shared" si="72"/>
        <v>14773.679999999997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7710.0099999999993</v>
      </c>
      <c r="AR142" s="189">
        <f t="shared" si="74"/>
        <v>8105.9399999999987</v>
      </c>
      <c r="AS142" s="189">
        <f t="shared" si="70"/>
        <v>7037.9999999999982</v>
      </c>
      <c r="AT142" s="189">
        <f t="shared" si="71"/>
        <v>14075.999999999996</v>
      </c>
      <c r="AU142" s="50">
        <f t="shared" si="72"/>
        <v>16120.079999999996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7842.9999999999982</v>
      </c>
      <c r="AR143" s="189">
        <f t="shared" si="74"/>
        <v>8261.9999999999982</v>
      </c>
      <c r="AS143" s="189">
        <f t="shared" si="70"/>
        <v>7037.9999999999982</v>
      </c>
      <c r="AT143" s="189">
        <f t="shared" si="71"/>
        <v>14075.999999999996</v>
      </c>
      <c r="AU143" s="50">
        <f t="shared" si="72"/>
        <v>16523.999999999996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7842.9999999999982</v>
      </c>
      <c r="AR144" s="189">
        <f t="shared" si="74"/>
        <v>8261.9999999999982</v>
      </c>
      <c r="AS144" s="189">
        <f t="shared" si="70"/>
        <v>7037.9999999999982</v>
      </c>
      <c r="AT144" s="189">
        <f t="shared" si="71"/>
        <v>14075.999999999996</v>
      </c>
      <c r="AU144" s="50">
        <f t="shared" si="72"/>
        <v>16523.999999999996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7842.9999999999982</v>
      </c>
      <c r="AR145" s="189">
        <f t="shared" si="74"/>
        <v>8261.9999999999982</v>
      </c>
      <c r="AS145" s="189">
        <f t="shared" si="70"/>
        <v>7037.9999999999982</v>
      </c>
      <c r="AT145" s="189">
        <f t="shared" si="71"/>
        <v>14075.999999999996</v>
      </c>
      <c r="AU145" s="50">
        <f t="shared" si="72"/>
        <v>16523.999999999996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4859.2499999999991</v>
      </c>
      <c r="AR146" s="189">
        <f t="shared" si="74"/>
        <v>5400.9</v>
      </c>
      <c r="AS146" s="189">
        <f t="shared" si="70"/>
        <v>4589.9999999999991</v>
      </c>
      <c r="AT146" s="189">
        <f t="shared" si="71"/>
        <v>9179.9999999999982</v>
      </c>
      <c r="AU146" s="50">
        <f t="shared" si="72"/>
        <v>10342.799999999997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5029.7499999999991</v>
      </c>
      <c r="AR147" s="189">
        <f t="shared" si="74"/>
        <v>5676.2999999999993</v>
      </c>
      <c r="AS147" s="189">
        <f t="shared" si="70"/>
        <v>4589.9999999999991</v>
      </c>
      <c r="AT147" s="189">
        <f t="shared" si="71"/>
        <v>9179.9999999999982</v>
      </c>
      <c r="AU147" s="50">
        <f t="shared" si="72"/>
        <v>11199.599999999997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5114.9999999999991</v>
      </c>
      <c r="AR148" s="189">
        <f t="shared" si="74"/>
        <v>5813.9999999999991</v>
      </c>
      <c r="AS148" s="189">
        <f t="shared" si="70"/>
        <v>4589.9999999999991</v>
      </c>
      <c r="AT148" s="189">
        <f t="shared" si="71"/>
        <v>9179.9999999999982</v>
      </c>
      <c r="AU148" s="50">
        <f t="shared" si="72"/>
        <v>11627.999999999998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5114.9999999999991</v>
      </c>
      <c r="AR149" s="189">
        <f t="shared" si="74"/>
        <v>5813.9999999999991</v>
      </c>
      <c r="AS149" s="189">
        <f t="shared" si="70"/>
        <v>4589.9999999999991</v>
      </c>
      <c r="AT149" s="189">
        <f t="shared" si="71"/>
        <v>9179.9999999999982</v>
      </c>
      <c r="AU149" s="50">
        <f t="shared" si="72"/>
        <v>11627.999999999998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5114.9999999999991</v>
      </c>
      <c r="AR150" s="189">
        <f t="shared" si="74"/>
        <v>5813.9999999999991</v>
      </c>
      <c r="AS150" s="189">
        <f t="shared" si="70"/>
        <v>4589.9999999999991</v>
      </c>
      <c r="AT150" s="189">
        <f t="shared" si="71"/>
        <v>9179.9999999999982</v>
      </c>
      <c r="AU150" s="50">
        <f t="shared" si="72"/>
        <v>11627.999999999998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5114.9999999999991</v>
      </c>
      <c r="AR151" s="189">
        <f t="shared" si="74"/>
        <v>5813.9999999999991</v>
      </c>
      <c r="AS151" s="189">
        <f t="shared" si="70"/>
        <v>4589.9999999999991</v>
      </c>
      <c r="AT151" s="189">
        <f t="shared" si="71"/>
        <v>9179.9999999999982</v>
      </c>
      <c r="AU151" s="50">
        <f t="shared" si="72"/>
        <v>11627.999999999998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5114.9999999999991</v>
      </c>
      <c r="AR152" s="189">
        <f t="shared" si="74"/>
        <v>5813.9999999999991</v>
      </c>
      <c r="AS152" s="189">
        <f t="shared" si="70"/>
        <v>4589.9999999999991</v>
      </c>
      <c r="AT152" s="189">
        <f t="shared" si="71"/>
        <v>9179.9999999999982</v>
      </c>
      <c r="AU152" s="50">
        <f t="shared" si="72"/>
        <v>11627.999999999998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5114.9999999999991</v>
      </c>
      <c r="AR153" s="189">
        <f t="shared" si="74"/>
        <v>5813.9999999999991</v>
      </c>
      <c r="AS153" s="189">
        <f t="shared" si="70"/>
        <v>4589.9999999999991</v>
      </c>
      <c r="AT153" s="189">
        <f t="shared" si="71"/>
        <v>9179.9999999999982</v>
      </c>
      <c r="AU153" s="50">
        <f t="shared" si="72"/>
        <v>11627.999999999998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5114.9999999999991</v>
      </c>
      <c r="AR154" s="189">
        <f t="shared" si="74"/>
        <v>5813.9999999999991</v>
      </c>
      <c r="AS154" s="189">
        <f t="shared" si="70"/>
        <v>4589.9999999999991</v>
      </c>
      <c r="AT154" s="189">
        <f t="shared" si="71"/>
        <v>9179.9999999999982</v>
      </c>
      <c r="AU154" s="50">
        <f t="shared" si="72"/>
        <v>11627.999999999998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5114.9999999999991</v>
      </c>
      <c r="AR155" s="189">
        <f t="shared" si="74"/>
        <v>5813.9999999999991</v>
      </c>
      <c r="AS155" s="189">
        <f t="shared" si="70"/>
        <v>4589.9999999999991</v>
      </c>
      <c r="AT155" s="189">
        <f t="shared" si="71"/>
        <v>9179.9999999999982</v>
      </c>
      <c r="AU155" s="50">
        <f t="shared" si="72"/>
        <v>11627.999999999998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5114.9999999999991</v>
      </c>
      <c r="AR156" s="189">
        <f t="shared" si="74"/>
        <v>5813.9999999999991</v>
      </c>
      <c r="AS156" s="189">
        <f t="shared" si="70"/>
        <v>4589.9999999999991</v>
      </c>
      <c r="AT156" s="189">
        <f t="shared" si="71"/>
        <v>9179.9999999999982</v>
      </c>
      <c r="AU156" s="50">
        <f t="shared" si="72"/>
        <v>11627.999999999998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4585.3999999999996</v>
      </c>
      <c r="AR157" s="189">
        <f t="shared" si="74"/>
        <v>4586.67</v>
      </c>
      <c r="AS157" s="189">
        <f t="shared" si="70"/>
        <v>4630.95</v>
      </c>
      <c r="AT157" s="189">
        <f t="shared" si="71"/>
        <v>7453.8000000000011</v>
      </c>
      <c r="AU157" s="50">
        <f t="shared" si="72"/>
        <v>6479.6400000000012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4787.4000000000005</v>
      </c>
      <c r="AR158" s="189">
        <f t="shared" si="74"/>
        <v>4918.7700000000004</v>
      </c>
      <c r="AS158" s="189">
        <f t="shared" si="70"/>
        <v>4815.4500000000016</v>
      </c>
      <c r="AT158" s="189">
        <f t="shared" si="71"/>
        <v>8191.800000000002</v>
      </c>
      <c r="AU158" s="50">
        <f t="shared" si="72"/>
        <v>7512.8400000000011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4989.3999999999996</v>
      </c>
      <c r="AR159" s="189">
        <f t="shared" si="74"/>
        <v>5250.87</v>
      </c>
      <c r="AS159" s="189">
        <f t="shared" si="70"/>
        <v>4999.9500000000007</v>
      </c>
      <c r="AT159" s="189">
        <f t="shared" si="71"/>
        <v>8929.8000000000011</v>
      </c>
      <c r="AU159" s="50">
        <f t="shared" si="72"/>
        <v>8546.0400000000009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5191.4000000000005</v>
      </c>
      <c r="AR160" s="189">
        <f t="shared" si="74"/>
        <v>5582.97</v>
      </c>
      <c r="AS160" s="189">
        <f t="shared" si="70"/>
        <v>5184.45</v>
      </c>
      <c r="AT160" s="189">
        <f t="shared" si="71"/>
        <v>9667.7999999999993</v>
      </c>
      <c r="AU160" s="50">
        <f t="shared" si="72"/>
        <v>9579.2400000000016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5393.4</v>
      </c>
      <c r="AR161" s="189">
        <f t="shared" si="74"/>
        <v>5915.07</v>
      </c>
      <c r="AS161" s="189">
        <f t="shared" si="70"/>
        <v>5368.9500000000007</v>
      </c>
      <c r="AT161" s="189">
        <f t="shared" si="71"/>
        <v>10405.800000000001</v>
      </c>
      <c r="AU161" s="50">
        <f t="shared" si="72"/>
        <v>10612.44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5595.4</v>
      </c>
      <c r="AR162" s="189">
        <f t="shared" si="74"/>
        <v>6247.17</v>
      </c>
      <c r="AS162" s="189">
        <f t="shared" si="70"/>
        <v>5535.0000000000009</v>
      </c>
      <c r="AT162" s="189">
        <f t="shared" si="71"/>
        <v>11070.000000000002</v>
      </c>
      <c r="AU162" s="50">
        <f t="shared" si="72"/>
        <v>11645.64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5797.4000000000005</v>
      </c>
      <c r="AR163" s="189">
        <f t="shared" si="74"/>
        <v>6579.27</v>
      </c>
      <c r="AS163" s="189">
        <f t="shared" si="70"/>
        <v>5535.0000000000009</v>
      </c>
      <c r="AT163" s="189">
        <f t="shared" si="71"/>
        <v>11070.000000000002</v>
      </c>
      <c r="AU163" s="50">
        <f t="shared" si="72"/>
        <v>12678.840000000002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5999.4000000000005</v>
      </c>
      <c r="AR164" s="189">
        <f t="shared" si="74"/>
        <v>6911.3700000000008</v>
      </c>
      <c r="AS164" s="189">
        <f t="shared" si="70"/>
        <v>5535.0000000000009</v>
      </c>
      <c r="AT164" s="189">
        <f t="shared" si="71"/>
        <v>11070.000000000002</v>
      </c>
      <c r="AU164" s="50">
        <f t="shared" si="72"/>
        <v>13712.040000000003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6060</v>
      </c>
      <c r="AR165" s="189">
        <f t="shared" si="74"/>
        <v>7011.0000000000009</v>
      </c>
      <c r="AS165" s="189">
        <f t="shared" si="70"/>
        <v>5535.0000000000009</v>
      </c>
      <c r="AT165" s="189">
        <f t="shared" si="71"/>
        <v>11070.000000000002</v>
      </c>
      <c r="AU165" s="50">
        <f t="shared" si="72"/>
        <v>14022.000000000002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6060</v>
      </c>
      <c r="AR166" s="189">
        <f t="shared" si="74"/>
        <v>7011.0000000000009</v>
      </c>
      <c r="AS166" s="189">
        <f t="shared" si="70"/>
        <v>5535.0000000000009</v>
      </c>
      <c r="AT166" s="189">
        <f t="shared" si="71"/>
        <v>11070.000000000002</v>
      </c>
      <c r="AU166" s="50">
        <f t="shared" si="72"/>
        <v>14022.000000000002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6060</v>
      </c>
      <c r="AR167" s="189">
        <f t="shared" si="74"/>
        <v>7011.0000000000009</v>
      </c>
      <c r="AS167" s="189">
        <f t="shared" si="70"/>
        <v>5535.0000000000009</v>
      </c>
      <c r="AT167" s="189">
        <f t="shared" si="71"/>
        <v>11070.000000000002</v>
      </c>
      <c r="AU167" s="50">
        <f t="shared" si="72"/>
        <v>14022.000000000002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4877.1099999999997</v>
      </c>
      <c r="AR168" s="189">
        <f t="shared" si="74"/>
        <v>4756.34</v>
      </c>
      <c r="AS168" s="189">
        <f t="shared" si="70"/>
        <v>5421.3799999999992</v>
      </c>
      <c r="AT168" s="189">
        <f t="shared" si="71"/>
        <v>9245.3599999999988</v>
      </c>
      <c r="AU168" s="50">
        <f t="shared" si="72"/>
        <v>7132.8799999999992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5346.41</v>
      </c>
      <c r="AR169" s="189">
        <f t="shared" si="74"/>
        <v>5310.54</v>
      </c>
      <c r="AS169" s="189">
        <f t="shared" si="70"/>
        <v>5845.1799999999994</v>
      </c>
      <c r="AT169" s="189">
        <f t="shared" si="71"/>
        <v>10418.959999999999</v>
      </c>
      <c r="AU169" s="50">
        <f t="shared" si="72"/>
        <v>8567.2799999999988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5815.7099999999991</v>
      </c>
      <c r="AR170" s="189">
        <f t="shared" si="74"/>
        <v>5864.74</v>
      </c>
      <c r="AS170" s="189">
        <f t="shared" si="70"/>
        <v>6268.9799999999987</v>
      </c>
      <c r="AT170" s="189">
        <f t="shared" si="71"/>
        <v>11592.56</v>
      </c>
      <c r="AU170" s="50">
        <f t="shared" si="72"/>
        <v>10001.679999999998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6285.0099999999984</v>
      </c>
      <c r="AR171" s="189">
        <f t="shared" si="74"/>
        <v>6418.94</v>
      </c>
      <c r="AS171" s="189">
        <f t="shared" si="70"/>
        <v>6692.78</v>
      </c>
      <c r="AT171" s="189">
        <f t="shared" si="71"/>
        <v>12766.159999999998</v>
      </c>
      <c r="AU171" s="50">
        <f t="shared" si="72"/>
        <v>11436.079999999998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6754.31</v>
      </c>
      <c r="AR172" s="189">
        <f t="shared" si="74"/>
        <v>6973.1399999999994</v>
      </c>
      <c r="AS172" s="189">
        <f t="shared" si="70"/>
        <v>7116.579999999999</v>
      </c>
      <c r="AT172" s="189">
        <f t="shared" si="71"/>
        <v>13939.76</v>
      </c>
      <c r="AU172" s="50">
        <f t="shared" si="72"/>
        <v>12870.48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7223.61</v>
      </c>
      <c r="AR173" s="189">
        <f t="shared" si="74"/>
        <v>7527.3399999999992</v>
      </c>
      <c r="AS173" s="189">
        <f t="shared" si="70"/>
        <v>7497.9999999999991</v>
      </c>
      <c r="AT173" s="189">
        <f t="shared" si="71"/>
        <v>14995.999999999998</v>
      </c>
      <c r="AU173" s="50">
        <f t="shared" si="72"/>
        <v>14304.88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7692.9099999999989</v>
      </c>
      <c r="AR174" s="189">
        <f t="shared" si="74"/>
        <v>8081.5399999999991</v>
      </c>
      <c r="AS174" s="189">
        <f t="shared" si="70"/>
        <v>7497.9999999999991</v>
      </c>
      <c r="AT174" s="189">
        <f t="shared" si="71"/>
        <v>14995.999999999998</v>
      </c>
      <c r="AU174" s="50">
        <f t="shared" si="72"/>
        <v>15739.279999999999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8162.21</v>
      </c>
      <c r="AR175" s="189">
        <f t="shared" si="74"/>
        <v>8635.74</v>
      </c>
      <c r="AS175" s="189">
        <f t="shared" si="70"/>
        <v>7497.9999999999991</v>
      </c>
      <c r="AT175" s="189">
        <f t="shared" si="71"/>
        <v>14995.999999999998</v>
      </c>
      <c r="AU175" s="50">
        <f t="shared" si="72"/>
        <v>17173.68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8303</v>
      </c>
      <c r="AR176" s="189">
        <f t="shared" si="74"/>
        <v>8802</v>
      </c>
      <c r="AS176" s="189">
        <f t="shared" si="70"/>
        <v>7497.9999999999991</v>
      </c>
      <c r="AT176" s="189">
        <f t="shared" si="71"/>
        <v>14995.999999999998</v>
      </c>
      <c r="AU176" s="50">
        <f t="shared" si="72"/>
        <v>17604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8303</v>
      </c>
      <c r="AR177" s="189">
        <f t="shared" si="74"/>
        <v>8802</v>
      </c>
      <c r="AS177" s="189">
        <f t="shared" si="70"/>
        <v>7497.9999999999991</v>
      </c>
      <c r="AT177" s="189">
        <f t="shared" si="71"/>
        <v>14995.999999999998</v>
      </c>
      <c r="AU177" s="50">
        <f t="shared" si="72"/>
        <v>17604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8303</v>
      </c>
      <c r="AR178" s="189">
        <f t="shared" si="74"/>
        <v>8802</v>
      </c>
      <c r="AS178" s="189">
        <f t="shared" si="70"/>
        <v>7497.9999999999991</v>
      </c>
      <c r="AT178" s="189">
        <f t="shared" si="71"/>
        <v>14995.999999999998</v>
      </c>
      <c r="AU178" s="50">
        <f t="shared" si="72"/>
        <v>17604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5144.2499999999991</v>
      </c>
      <c r="AR179" s="189">
        <f t="shared" si="74"/>
        <v>5753.9000000000005</v>
      </c>
      <c r="AS179" s="189">
        <f t="shared" si="70"/>
        <v>4890</v>
      </c>
      <c r="AT179" s="189">
        <f t="shared" si="71"/>
        <v>9780</v>
      </c>
      <c r="AU179" s="50">
        <f t="shared" si="72"/>
        <v>11018.8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5324.7499999999991</v>
      </c>
      <c r="AR180" s="189">
        <f t="shared" si="74"/>
        <v>6047.3</v>
      </c>
      <c r="AS180" s="189">
        <f t="shared" si="70"/>
        <v>4890</v>
      </c>
      <c r="AT180" s="189">
        <f t="shared" si="71"/>
        <v>9780</v>
      </c>
      <c r="AU180" s="50">
        <f t="shared" si="72"/>
        <v>11931.599999999999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5415</v>
      </c>
      <c r="AR181" s="189">
        <f t="shared" si="74"/>
        <v>6194</v>
      </c>
      <c r="AS181" s="189">
        <f t="shared" si="70"/>
        <v>4890</v>
      </c>
      <c r="AT181" s="189">
        <f t="shared" si="71"/>
        <v>9780</v>
      </c>
      <c r="AU181" s="50">
        <f t="shared" si="72"/>
        <v>12388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5415</v>
      </c>
      <c r="AR182" s="189">
        <f t="shared" si="74"/>
        <v>6194</v>
      </c>
      <c r="AS182" s="189">
        <f t="shared" si="70"/>
        <v>4890</v>
      </c>
      <c r="AT182" s="189">
        <f t="shared" si="71"/>
        <v>9780</v>
      </c>
      <c r="AU182" s="50">
        <f t="shared" si="72"/>
        <v>12388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5415</v>
      </c>
      <c r="AR183" s="189">
        <f t="shared" si="74"/>
        <v>6194</v>
      </c>
      <c r="AS183" s="189">
        <f t="shared" si="70"/>
        <v>4890</v>
      </c>
      <c r="AT183" s="189">
        <f t="shared" si="71"/>
        <v>9780</v>
      </c>
      <c r="AU183" s="50">
        <f t="shared" si="72"/>
        <v>12388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5415</v>
      </c>
      <c r="AR184" s="189">
        <f t="shared" si="74"/>
        <v>6194</v>
      </c>
      <c r="AS184" s="189">
        <f t="shared" si="70"/>
        <v>4890</v>
      </c>
      <c r="AT184" s="189">
        <f t="shared" si="71"/>
        <v>9780</v>
      </c>
      <c r="AU184" s="50">
        <f t="shared" si="72"/>
        <v>12388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5415</v>
      </c>
      <c r="AR185" s="189">
        <f t="shared" si="74"/>
        <v>6194</v>
      </c>
      <c r="AS185" s="189">
        <f t="shared" si="70"/>
        <v>4890</v>
      </c>
      <c r="AT185" s="189">
        <f t="shared" si="71"/>
        <v>9780</v>
      </c>
      <c r="AU185" s="50">
        <f t="shared" si="72"/>
        <v>12388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5415</v>
      </c>
      <c r="AR186" s="189">
        <f t="shared" si="74"/>
        <v>6194</v>
      </c>
      <c r="AS186" s="189">
        <f t="shared" si="70"/>
        <v>4890</v>
      </c>
      <c r="AT186" s="189">
        <f t="shared" si="71"/>
        <v>9780</v>
      </c>
      <c r="AU186" s="50">
        <f t="shared" si="72"/>
        <v>12388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5415</v>
      </c>
      <c r="AR187" s="189">
        <f t="shared" si="74"/>
        <v>6194</v>
      </c>
      <c r="AS187" s="189">
        <f t="shared" si="70"/>
        <v>4890</v>
      </c>
      <c r="AT187" s="189">
        <f t="shared" si="71"/>
        <v>9780</v>
      </c>
      <c r="AU187" s="50">
        <f t="shared" si="72"/>
        <v>12388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5415</v>
      </c>
      <c r="AR188" s="189">
        <f t="shared" si="74"/>
        <v>6194</v>
      </c>
      <c r="AS188" s="189">
        <f t="shared" si="70"/>
        <v>4890</v>
      </c>
      <c r="AT188" s="189">
        <f t="shared" si="71"/>
        <v>9780</v>
      </c>
      <c r="AU188" s="50">
        <f t="shared" si="72"/>
        <v>12388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5415</v>
      </c>
      <c r="AR189" s="189">
        <f t="shared" si="74"/>
        <v>6194</v>
      </c>
      <c r="AS189" s="189">
        <f t="shared" si="70"/>
        <v>4890</v>
      </c>
      <c r="AT189" s="189">
        <f t="shared" si="71"/>
        <v>9780</v>
      </c>
      <c r="AU189" s="50">
        <f t="shared" si="72"/>
        <v>12388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4812.3999999999996</v>
      </c>
      <c r="AR190" s="189">
        <f t="shared" si="74"/>
        <v>4835.2699999999995</v>
      </c>
      <c r="AS190" s="189">
        <f t="shared" si="70"/>
        <v>4881.95</v>
      </c>
      <c r="AT190" s="189">
        <f t="shared" si="71"/>
        <v>7857.8</v>
      </c>
      <c r="AU190" s="50">
        <f t="shared" si="72"/>
        <v>6830.84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5024.4000000000005</v>
      </c>
      <c r="AR191" s="189">
        <f t="shared" si="74"/>
        <v>5185.37</v>
      </c>
      <c r="AS191" s="189">
        <f t="shared" si="70"/>
        <v>5076.4500000000007</v>
      </c>
      <c r="AT191" s="189">
        <f t="shared" si="71"/>
        <v>8635.8000000000011</v>
      </c>
      <c r="AU191" s="50">
        <f t="shared" si="72"/>
        <v>7920.04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5236.3999999999996</v>
      </c>
      <c r="AR192" s="189">
        <f t="shared" si="74"/>
        <v>5535.4699999999993</v>
      </c>
      <c r="AS192" s="189">
        <f t="shared" si="70"/>
        <v>5270.95</v>
      </c>
      <c r="AT192" s="189">
        <f t="shared" si="71"/>
        <v>9413.7999999999993</v>
      </c>
      <c r="AU192" s="50">
        <f t="shared" si="72"/>
        <v>9009.24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5448.4000000000005</v>
      </c>
      <c r="AR193" s="189">
        <f t="shared" si="74"/>
        <v>5885.57</v>
      </c>
      <c r="AS193" s="189">
        <f t="shared" si="70"/>
        <v>5465.4499999999989</v>
      </c>
      <c r="AT193" s="189">
        <f t="shared" si="71"/>
        <v>10191.799999999999</v>
      </c>
      <c r="AU193" s="50">
        <f t="shared" si="72"/>
        <v>10098.44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5660.4</v>
      </c>
      <c r="AR194" s="189">
        <f t="shared" si="74"/>
        <v>6235.6699999999992</v>
      </c>
      <c r="AS194" s="189">
        <f t="shared" si="70"/>
        <v>5659.9500000000007</v>
      </c>
      <c r="AT194" s="189">
        <f t="shared" si="71"/>
        <v>10969.8</v>
      </c>
      <c r="AU194" s="50">
        <f t="shared" si="72"/>
        <v>11187.64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5872.4</v>
      </c>
      <c r="AR195" s="189">
        <f t="shared" si="74"/>
        <v>6585.7699999999995</v>
      </c>
      <c r="AS195" s="189">
        <f t="shared" ref="AS195:AS258" si="77">$AG$3*(1+$AJ195*$Y$2+$AN195)*(MAXA(1-$AI$3-$AL195*$AA$3-$AP195-0.36,0)+MINA($AI$3+$AL195*$AA$3+$AP195+0.36,1)*(1+$AH$3+$AO195+$AK195*$Z$4))</f>
        <v>5835</v>
      </c>
      <c r="AT195" s="189">
        <f t="shared" ref="AT195:AT258" si="78">$AG$3*(1+$AJ195*$Y$2+$AN195)*(MAXA(1-$AI$3-$AL195*$AA$3-$AP195-0.36,0)+2*MINA($AI$3+$AL195*$AA$3+$AP195+0.36,1)*(1+$AH$3+$AO195+$AK195*$Z$4))</f>
        <v>11670</v>
      </c>
      <c r="AU195" s="50">
        <f t="shared" ref="AU195:AU258" si="79">$AG$3*(1+$AJ195*$Y$2+$AN195)*(MAXA(1-$AI$3-$AL195*$AA$3-$AP195-0.12,0)+2*MINA($AI$3+$AL195*$AA$3+$AP195+0.12,1)*(1+$AH$3+$AO195+$AK195*$Z$4+0.4))</f>
        <v>12276.839999999998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6084.4000000000005</v>
      </c>
      <c r="AR196" s="189">
        <f t="shared" ref="AR196:AR259" si="81">$AG$3*(1+$AJ196*$Y$2+$AN196)*(MAXA(1-$AI$3-$AL196*$AA$3-$AP196-0.12,0)+MINA($AI$3+$AL196*$AA$3+$AP196+0.12,1)*(1+$AH$3+$AO196+$AK196*$Z$4+0.4))</f>
        <v>6935.87</v>
      </c>
      <c r="AS196" s="189">
        <f t="shared" si="77"/>
        <v>5835</v>
      </c>
      <c r="AT196" s="189">
        <f t="shared" si="78"/>
        <v>11670</v>
      </c>
      <c r="AU196" s="50">
        <f t="shared" si="79"/>
        <v>13366.039999999999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6296.4000000000005</v>
      </c>
      <c r="AR197" s="189">
        <f t="shared" si="81"/>
        <v>7285.97</v>
      </c>
      <c r="AS197" s="189">
        <f t="shared" si="77"/>
        <v>5835</v>
      </c>
      <c r="AT197" s="189">
        <f t="shared" si="78"/>
        <v>11670</v>
      </c>
      <c r="AU197" s="50">
        <f t="shared" si="79"/>
        <v>14455.240000000002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6360</v>
      </c>
      <c r="AR198" s="189">
        <f t="shared" si="81"/>
        <v>7391</v>
      </c>
      <c r="AS198" s="189">
        <f t="shared" si="77"/>
        <v>5835</v>
      </c>
      <c r="AT198" s="189">
        <f t="shared" si="78"/>
        <v>11670</v>
      </c>
      <c r="AU198" s="50">
        <f t="shared" si="79"/>
        <v>14782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6360</v>
      </c>
      <c r="AR199" s="189">
        <f t="shared" si="81"/>
        <v>7391</v>
      </c>
      <c r="AS199" s="189">
        <f t="shared" si="77"/>
        <v>5835</v>
      </c>
      <c r="AT199" s="189">
        <f t="shared" si="78"/>
        <v>11670</v>
      </c>
      <c r="AU199" s="50">
        <f t="shared" si="79"/>
        <v>14782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6360</v>
      </c>
      <c r="AR200" s="189">
        <f t="shared" si="81"/>
        <v>7391</v>
      </c>
      <c r="AS200" s="189">
        <f t="shared" si="77"/>
        <v>5835</v>
      </c>
      <c r="AT200" s="189">
        <f t="shared" si="78"/>
        <v>11670</v>
      </c>
      <c r="AU200" s="50">
        <f t="shared" si="79"/>
        <v>14782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3667.05</v>
      </c>
      <c r="AR201" s="189">
        <f t="shared" si="81"/>
        <v>3419.3799999999997</v>
      </c>
      <c r="AS201" s="189">
        <f t="shared" si="77"/>
        <v>3988.8999999999996</v>
      </c>
      <c r="AT201" s="189">
        <f t="shared" ref="AT201:AT233" si="82">$AG$3*(1+$AJ201*$Y$2+$AN201+0.35)*(MAXA(1-$AI$3-$AL201*$AA$3-$AP201-0.12,0)+2*MINA($AI$3+$AL201*$AA$3+$AP201+0.12,1)*(1+$AH$3+$AO201+$AK201*$Z$4))</f>
        <v>5428.8</v>
      </c>
      <c r="AU201" s="189">
        <f t="shared" si="79"/>
        <v>5188.9600000000009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4058.5500000000006</v>
      </c>
      <c r="AR202" s="189">
        <f t="shared" si="81"/>
        <v>3848.7799999999997</v>
      </c>
      <c r="AS202" s="189">
        <f t="shared" si="77"/>
        <v>4327.8999999999996</v>
      </c>
      <c r="AT202" s="189">
        <f t="shared" si="82"/>
        <v>6472.8</v>
      </c>
      <c r="AU202" s="189">
        <f t="shared" si="79"/>
        <v>6273.7599999999993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4450.0499999999993</v>
      </c>
      <c r="AR203" s="189">
        <f t="shared" si="81"/>
        <v>4278.1799999999994</v>
      </c>
      <c r="AS203" s="189">
        <f t="shared" si="77"/>
        <v>4666.8999999999996</v>
      </c>
      <c r="AT203" s="189">
        <f t="shared" si="82"/>
        <v>7516.7999999999984</v>
      </c>
      <c r="AU203" s="189">
        <f t="shared" si="79"/>
        <v>7358.5599999999995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4841.55</v>
      </c>
      <c r="AR204" s="189">
        <f t="shared" si="81"/>
        <v>4707.579999999999</v>
      </c>
      <c r="AS204" s="189">
        <f t="shared" si="77"/>
        <v>5005.8999999999996</v>
      </c>
      <c r="AT204" s="189">
        <f t="shared" si="82"/>
        <v>8560.7999999999993</v>
      </c>
      <c r="AU204" s="189">
        <f t="shared" si="79"/>
        <v>8443.3599999999988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5233.0499999999993</v>
      </c>
      <c r="AR205" s="189">
        <f t="shared" si="81"/>
        <v>5136.9800000000005</v>
      </c>
      <c r="AS205" s="189">
        <f t="shared" si="77"/>
        <v>5344.9</v>
      </c>
      <c r="AT205" s="189">
        <f t="shared" si="82"/>
        <v>9604.8000000000011</v>
      </c>
      <c r="AU205" s="189">
        <f t="shared" si="79"/>
        <v>9528.16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5624.5500000000011</v>
      </c>
      <c r="AR206" s="189">
        <f t="shared" si="81"/>
        <v>5566.38</v>
      </c>
      <c r="AS206" s="189">
        <f t="shared" si="77"/>
        <v>5650</v>
      </c>
      <c r="AT206" s="189">
        <f t="shared" si="82"/>
        <v>10648.800000000001</v>
      </c>
      <c r="AU206" s="189">
        <f t="shared" si="79"/>
        <v>10612.96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6016.0499999999993</v>
      </c>
      <c r="AR207" s="189">
        <f t="shared" si="81"/>
        <v>5995.78</v>
      </c>
      <c r="AS207" s="189">
        <f t="shared" si="77"/>
        <v>5650</v>
      </c>
      <c r="AT207" s="189">
        <f t="shared" si="82"/>
        <v>11692.8</v>
      </c>
      <c r="AU207" s="189">
        <f t="shared" si="79"/>
        <v>11697.76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6407.55</v>
      </c>
      <c r="AR208" s="189">
        <f t="shared" si="81"/>
        <v>6425.18</v>
      </c>
      <c r="AS208" s="189">
        <f t="shared" si="77"/>
        <v>5650</v>
      </c>
      <c r="AT208" s="189">
        <f t="shared" si="82"/>
        <v>12736.8</v>
      </c>
      <c r="AU208" s="189">
        <f t="shared" si="79"/>
        <v>12782.56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6525</v>
      </c>
      <c r="AR209" s="189">
        <f t="shared" si="81"/>
        <v>6554</v>
      </c>
      <c r="AS209" s="189">
        <f t="shared" si="77"/>
        <v>5650</v>
      </c>
      <c r="AT209" s="189">
        <f t="shared" si="82"/>
        <v>13050</v>
      </c>
      <c r="AU209" s="189">
        <f t="shared" si="79"/>
        <v>13108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6525</v>
      </c>
      <c r="AR210" s="189">
        <f t="shared" si="81"/>
        <v>6554</v>
      </c>
      <c r="AS210" s="189">
        <f t="shared" si="77"/>
        <v>5650</v>
      </c>
      <c r="AT210" s="189">
        <f t="shared" si="82"/>
        <v>13050</v>
      </c>
      <c r="AU210" s="189">
        <f t="shared" si="79"/>
        <v>13108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6525</v>
      </c>
      <c r="AR211" s="189">
        <f t="shared" si="81"/>
        <v>6554</v>
      </c>
      <c r="AS211" s="189">
        <f t="shared" si="77"/>
        <v>5650</v>
      </c>
      <c r="AT211" s="189">
        <f t="shared" si="82"/>
        <v>13050</v>
      </c>
      <c r="AU211" s="189">
        <f t="shared" si="79"/>
        <v>13108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4162.9499999999989</v>
      </c>
      <c r="AR212" s="189">
        <f t="shared" si="81"/>
        <v>4373.1000000000004</v>
      </c>
      <c r="AS212" s="189">
        <f t="shared" si="77"/>
        <v>3842</v>
      </c>
      <c r="AT212" s="189">
        <f t="shared" si="82"/>
        <v>7934.3999999999987</v>
      </c>
      <c r="AU212" s="189">
        <f t="shared" si="79"/>
        <v>8407.1999999999989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4345.6500000000005</v>
      </c>
      <c r="AR213" s="189">
        <f t="shared" si="81"/>
        <v>4621.7</v>
      </c>
      <c r="AS213" s="189">
        <f t="shared" si="77"/>
        <v>3842</v>
      </c>
      <c r="AT213" s="189">
        <f t="shared" si="82"/>
        <v>8560.7999999999993</v>
      </c>
      <c r="AU213" s="189">
        <f t="shared" si="79"/>
        <v>9130.4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4437</v>
      </c>
      <c r="AR214" s="189">
        <f t="shared" si="81"/>
        <v>4746</v>
      </c>
      <c r="AS214" s="189">
        <f t="shared" si="77"/>
        <v>3842</v>
      </c>
      <c r="AT214" s="189">
        <f t="shared" si="82"/>
        <v>8874</v>
      </c>
      <c r="AU214" s="189">
        <f t="shared" si="79"/>
        <v>9492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4437</v>
      </c>
      <c r="AR215" s="189">
        <f t="shared" si="81"/>
        <v>4746</v>
      </c>
      <c r="AS215" s="189">
        <f t="shared" si="77"/>
        <v>3842</v>
      </c>
      <c r="AT215" s="189">
        <f t="shared" si="82"/>
        <v>8874</v>
      </c>
      <c r="AU215" s="189">
        <f t="shared" si="79"/>
        <v>9492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4437</v>
      </c>
      <c r="AR216" s="189">
        <f t="shared" si="81"/>
        <v>4746</v>
      </c>
      <c r="AS216" s="189">
        <f t="shared" si="77"/>
        <v>3842</v>
      </c>
      <c r="AT216" s="189">
        <f t="shared" si="82"/>
        <v>8874</v>
      </c>
      <c r="AU216" s="189">
        <f t="shared" si="79"/>
        <v>9492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4437</v>
      </c>
      <c r="AR217" s="189">
        <f t="shared" si="81"/>
        <v>4746</v>
      </c>
      <c r="AS217" s="189">
        <f t="shared" si="77"/>
        <v>3842</v>
      </c>
      <c r="AT217" s="189">
        <f t="shared" si="82"/>
        <v>8874</v>
      </c>
      <c r="AU217" s="189">
        <f t="shared" si="79"/>
        <v>9492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4437</v>
      </c>
      <c r="AR218" s="189">
        <f t="shared" si="81"/>
        <v>4746</v>
      </c>
      <c r="AS218" s="189">
        <f t="shared" si="77"/>
        <v>3842</v>
      </c>
      <c r="AT218" s="189">
        <f t="shared" si="82"/>
        <v>8874</v>
      </c>
      <c r="AU218" s="189">
        <f t="shared" si="79"/>
        <v>9492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4437</v>
      </c>
      <c r="AR219" s="189">
        <f t="shared" si="81"/>
        <v>4746</v>
      </c>
      <c r="AS219" s="189">
        <f t="shared" si="77"/>
        <v>3842</v>
      </c>
      <c r="AT219" s="189">
        <f t="shared" si="82"/>
        <v>8874</v>
      </c>
      <c r="AU219" s="189">
        <f t="shared" si="79"/>
        <v>9492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4437</v>
      </c>
      <c r="AR220" s="189">
        <f t="shared" si="81"/>
        <v>4746</v>
      </c>
      <c r="AS220" s="189">
        <f t="shared" si="77"/>
        <v>3842</v>
      </c>
      <c r="AT220" s="189">
        <f t="shared" si="82"/>
        <v>8874</v>
      </c>
      <c r="AU220" s="189">
        <f t="shared" si="79"/>
        <v>9492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4437</v>
      </c>
      <c r="AR221" s="189">
        <f t="shared" si="81"/>
        <v>4746</v>
      </c>
      <c r="AS221" s="189">
        <f t="shared" si="77"/>
        <v>3842</v>
      </c>
      <c r="AT221" s="189">
        <f t="shared" si="82"/>
        <v>8874</v>
      </c>
      <c r="AU221" s="189">
        <f t="shared" si="79"/>
        <v>9492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4437</v>
      </c>
      <c r="AR222" s="189">
        <f t="shared" si="81"/>
        <v>4746</v>
      </c>
      <c r="AS222" s="189">
        <f t="shared" si="77"/>
        <v>3842</v>
      </c>
      <c r="AT222" s="189">
        <f t="shared" si="82"/>
        <v>8874</v>
      </c>
      <c r="AU222" s="189">
        <f t="shared" si="79"/>
        <v>9492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3852.36</v>
      </c>
      <c r="AR223" s="189">
        <f t="shared" si="81"/>
        <v>3748.3300000000004</v>
      </c>
      <c r="AS223" s="189">
        <f t="shared" si="77"/>
        <v>3921.73</v>
      </c>
      <c r="AT223" s="189">
        <f t="shared" si="82"/>
        <v>5339.52</v>
      </c>
      <c r="AU223" s="189">
        <f t="shared" si="79"/>
        <v>5386.96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4079.16</v>
      </c>
      <c r="AR224" s="189">
        <f t="shared" si="81"/>
        <v>4066.23</v>
      </c>
      <c r="AS224" s="189">
        <f t="shared" si="77"/>
        <v>4124.03</v>
      </c>
      <c r="AT224" s="189">
        <f t="shared" si="82"/>
        <v>6117.12</v>
      </c>
      <c r="AU224" s="189">
        <f t="shared" si="79"/>
        <v>6311.76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4305.9599999999991</v>
      </c>
      <c r="AR225" s="189">
        <f t="shared" si="81"/>
        <v>4384.13</v>
      </c>
      <c r="AS225" s="189">
        <f t="shared" si="77"/>
        <v>4326.33</v>
      </c>
      <c r="AT225" s="189">
        <f t="shared" si="82"/>
        <v>6894.7199999999993</v>
      </c>
      <c r="AU225" s="189">
        <f t="shared" si="79"/>
        <v>7236.56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4532.76</v>
      </c>
      <c r="AR226" s="189">
        <f t="shared" si="81"/>
        <v>4702.03</v>
      </c>
      <c r="AS226" s="189">
        <f t="shared" si="77"/>
        <v>4528.6299999999992</v>
      </c>
      <c r="AT226" s="189">
        <f t="shared" si="82"/>
        <v>7672.32</v>
      </c>
      <c r="AU226" s="189">
        <f t="shared" si="79"/>
        <v>8161.36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4759.5599999999995</v>
      </c>
      <c r="AR227" s="189">
        <f t="shared" si="81"/>
        <v>5019.93</v>
      </c>
      <c r="AS227" s="189">
        <f t="shared" si="77"/>
        <v>4730.93</v>
      </c>
      <c r="AT227" s="189">
        <f t="shared" si="82"/>
        <v>8449.92</v>
      </c>
      <c r="AU227" s="189">
        <f t="shared" si="79"/>
        <v>9086.1600000000017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4986.3599999999997</v>
      </c>
      <c r="AR228" s="189">
        <f t="shared" si="81"/>
        <v>5337.8300000000008</v>
      </c>
      <c r="AS228" s="189">
        <f t="shared" si="77"/>
        <v>4913</v>
      </c>
      <c r="AT228" s="189">
        <f t="shared" si="82"/>
        <v>9227.52</v>
      </c>
      <c r="AU228" s="189">
        <f t="shared" si="79"/>
        <v>10010.960000000001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5213.16</v>
      </c>
      <c r="AR229" s="189">
        <f t="shared" si="81"/>
        <v>5655.73</v>
      </c>
      <c r="AS229" s="189">
        <f t="shared" si="77"/>
        <v>4913</v>
      </c>
      <c r="AT229" s="189">
        <f t="shared" si="82"/>
        <v>10005.119999999999</v>
      </c>
      <c r="AU229" s="189">
        <f t="shared" si="79"/>
        <v>10935.76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5439.96</v>
      </c>
      <c r="AR230" s="189">
        <f t="shared" si="81"/>
        <v>5973.63</v>
      </c>
      <c r="AS230" s="189">
        <f t="shared" si="77"/>
        <v>4913</v>
      </c>
      <c r="AT230" s="189">
        <f t="shared" si="82"/>
        <v>10782.720000000001</v>
      </c>
      <c r="AU230" s="189">
        <f t="shared" si="79"/>
        <v>11860.56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5508</v>
      </c>
      <c r="AR231" s="189">
        <f t="shared" si="81"/>
        <v>6069</v>
      </c>
      <c r="AS231" s="189">
        <f t="shared" si="77"/>
        <v>4913</v>
      </c>
      <c r="AT231" s="189">
        <f t="shared" si="82"/>
        <v>11016</v>
      </c>
      <c r="AU231" s="189">
        <f t="shared" si="79"/>
        <v>12138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5508</v>
      </c>
      <c r="AR232" s="189">
        <f t="shared" si="81"/>
        <v>6069</v>
      </c>
      <c r="AS232" s="189">
        <f t="shared" si="77"/>
        <v>4913</v>
      </c>
      <c r="AT232" s="189">
        <f t="shared" si="82"/>
        <v>11016</v>
      </c>
      <c r="AU232" s="189">
        <f t="shared" si="79"/>
        <v>12138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5508</v>
      </c>
      <c r="AR233" s="189">
        <f t="shared" si="81"/>
        <v>6069</v>
      </c>
      <c r="AS233" s="189">
        <f t="shared" si="77"/>
        <v>4913</v>
      </c>
      <c r="AT233" s="189">
        <f t="shared" si="82"/>
        <v>11016</v>
      </c>
      <c r="AU233" s="189">
        <f t="shared" si="79"/>
        <v>12138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3948.05</v>
      </c>
      <c r="AR234" s="189">
        <f t="shared" si="81"/>
        <v>3721.9799999999996</v>
      </c>
      <c r="AS234" s="189">
        <f t="shared" si="77"/>
        <v>4341.8999999999996</v>
      </c>
      <c r="AT234" s="189">
        <f t="shared" si="78"/>
        <v>7478.4</v>
      </c>
      <c r="AU234" s="50">
        <f t="shared" si="79"/>
        <v>5648.1600000000008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4369.55</v>
      </c>
      <c r="AR235" s="189">
        <f t="shared" si="81"/>
        <v>4189.3799999999992</v>
      </c>
      <c r="AS235" s="189">
        <f t="shared" si="77"/>
        <v>4710.8999999999996</v>
      </c>
      <c r="AT235" s="189">
        <f t="shared" si="78"/>
        <v>8462.4</v>
      </c>
      <c r="AU235" s="50">
        <f t="shared" si="79"/>
        <v>6828.9599999999991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4791.0499999999993</v>
      </c>
      <c r="AR236" s="189">
        <f t="shared" si="81"/>
        <v>4656.78</v>
      </c>
      <c r="AS236" s="189">
        <f t="shared" si="77"/>
        <v>5079.8999999999996</v>
      </c>
      <c r="AT236" s="189">
        <f t="shared" si="78"/>
        <v>9446.4</v>
      </c>
      <c r="AU236" s="50">
        <f t="shared" si="79"/>
        <v>8009.7599999999993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5212.55</v>
      </c>
      <c r="AR237" s="189">
        <f t="shared" si="81"/>
        <v>5124.1799999999994</v>
      </c>
      <c r="AS237" s="189">
        <f t="shared" si="77"/>
        <v>5448.9</v>
      </c>
      <c r="AT237" s="189">
        <f t="shared" si="78"/>
        <v>10430.4</v>
      </c>
      <c r="AU237" s="50">
        <f t="shared" si="79"/>
        <v>9190.56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5634.0499999999993</v>
      </c>
      <c r="AR238" s="189">
        <f t="shared" si="81"/>
        <v>5591.58</v>
      </c>
      <c r="AS238" s="189">
        <f t="shared" si="77"/>
        <v>5817.9</v>
      </c>
      <c r="AT238" s="189">
        <f t="shared" si="78"/>
        <v>11414.4</v>
      </c>
      <c r="AU238" s="50">
        <f t="shared" si="79"/>
        <v>10371.36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6055.5500000000011</v>
      </c>
      <c r="AR239" s="189">
        <f t="shared" si="81"/>
        <v>6058.9800000000005</v>
      </c>
      <c r="AS239" s="189">
        <f t="shared" si="77"/>
        <v>6150</v>
      </c>
      <c r="AT239" s="189">
        <f t="shared" si="78"/>
        <v>12300</v>
      </c>
      <c r="AU239" s="50">
        <f t="shared" si="79"/>
        <v>11552.16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6477.0499999999993</v>
      </c>
      <c r="AR240" s="189">
        <f t="shared" si="81"/>
        <v>6526.38</v>
      </c>
      <c r="AS240" s="189">
        <f t="shared" si="77"/>
        <v>6150</v>
      </c>
      <c r="AT240" s="189">
        <f t="shared" si="78"/>
        <v>12300</v>
      </c>
      <c r="AU240" s="50">
        <f t="shared" si="79"/>
        <v>12732.960000000001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6898.55</v>
      </c>
      <c r="AR241" s="189">
        <f t="shared" si="81"/>
        <v>6993.78</v>
      </c>
      <c r="AS241" s="189">
        <f t="shared" si="77"/>
        <v>6150</v>
      </c>
      <c r="AT241" s="189">
        <f t="shared" si="78"/>
        <v>12300</v>
      </c>
      <c r="AU241" s="50">
        <f t="shared" si="79"/>
        <v>13913.759999999998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7025</v>
      </c>
      <c r="AR242" s="189">
        <f t="shared" si="81"/>
        <v>7134</v>
      </c>
      <c r="AS242" s="189">
        <f t="shared" si="77"/>
        <v>6150</v>
      </c>
      <c r="AT242" s="189">
        <f t="shared" si="78"/>
        <v>12300</v>
      </c>
      <c r="AU242" s="50">
        <f t="shared" si="79"/>
        <v>14268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7025</v>
      </c>
      <c r="AR243" s="189">
        <f t="shared" si="81"/>
        <v>7134</v>
      </c>
      <c r="AS243" s="189">
        <f t="shared" si="77"/>
        <v>6150</v>
      </c>
      <c r="AT243" s="189">
        <f t="shared" si="78"/>
        <v>12300</v>
      </c>
      <c r="AU243" s="50">
        <f t="shared" si="79"/>
        <v>14268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7025</v>
      </c>
      <c r="AR244" s="189">
        <f t="shared" si="81"/>
        <v>7134</v>
      </c>
      <c r="AS244" s="189">
        <f t="shared" si="77"/>
        <v>6150</v>
      </c>
      <c r="AT244" s="189">
        <f t="shared" si="78"/>
        <v>12300</v>
      </c>
      <c r="AU244" s="50">
        <f t="shared" si="79"/>
        <v>14268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4481.9499999999989</v>
      </c>
      <c r="AR245" s="189">
        <f t="shared" si="81"/>
        <v>4760.1000000000004</v>
      </c>
      <c r="AS245" s="189">
        <f t="shared" si="77"/>
        <v>4182</v>
      </c>
      <c r="AT245" s="189">
        <f t="shared" si="78"/>
        <v>8364</v>
      </c>
      <c r="AU245" s="50">
        <f t="shared" si="79"/>
        <v>9151.1999999999989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4678.6500000000005</v>
      </c>
      <c r="AR246" s="189">
        <f t="shared" si="81"/>
        <v>5030.7</v>
      </c>
      <c r="AS246" s="189">
        <f t="shared" si="77"/>
        <v>4182</v>
      </c>
      <c r="AT246" s="189">
        <f t="shared" si="78"/>
        <v>8364</v>
      </c>
      <c r="AU246" s="50">
        <f t="shared" si="79"/>
        <v>9938.4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4777</v>
      </c>
      <c r="AR247" s="189">
        <f t="shared" si="81"/>
        <v>5166</v>
      </c>
      <c r="AS247" s="189">
        <f t="shared" si="77"/>
        <v>4182</v>
      </c>
      <c r="AT247" s="189">
        <f t="shared" si="78"/>
        <v>8364</v>
      </c>
      <c r="AU247" s="50">
        <f t="shared" si="79"/>
        <v>10332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4777</v>
      </c>
      <c r="AR248" s="189">
        <f t="shared" si="81"/>
        <v>5166</v>
      </c>
      <c r="AS248" s="189">
        <f t="shared" si="77"/>
        <v>4182</v>
      </c>
      <c r="AT248" s="189">
        <f t="shared" si="78"/>
        <v>8364</v>
      </c>
      <c r="AU248" s="50">
        <f t="shared" si="79"/>
        <v>10332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4777</v>
      </c>
      <c r="AR249" s="189">
        <f t="shared" si="81"/>
        <v>5166</v>
      </c>
      <c r="AS249" s="189">
        <f t="shared" si="77"/>
        <v>4182</v>
      </c>
      <c r="AT249" s="189">
        <f t="shared" si="78"/>
        <v>8364</v>
      </c>
      <c r="AU249" s="50">
        <f t="shared" si="79"/>
        <v>10332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4777</v>
      </c>
      <c r="AR250" s="189">
        <f t="shared" si="81"/>
        <v>5166</v>
      </c>
      <c r="AS250" s="189">
        <f t="shared" si="77"/>
        <v>4182</v>
      </c>
      <c r="AT250" s="189">
        <f t="shared" si="78"/>
        <v>8364</v>
      </c>
      <c r="AU250" s="50">
        <f t="shared" si="79"/>
        <v>10332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4777</v>
      </c>
      <c r="AR251" s="189">
        <f t="shared" si="81"/>
        <v>5166</v>
      </c>
      <c r="AS251" s="189">
        <f t="shared" si="77"/>
        <v>4182</v>
      </c>
      <c r="AT251" s="189">
        <f t="shared" si="78"/>
        <v>8364</v>
      </c>
      <c r="AU251" s="50">
        <f t="shared" si="79"/>
        <v>10332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4777</v>
      </c>
      <c r="AR252" s="189">
        <f t="shared" si="81"/>
        <v>5166</v>
      </c>
      <c r="AS252" s="189">
        <f t="shared" si="77"/>
        <v>4182</v>
      </c>
      <c r="AT252" s="189">
        <f t="shared" si="78"/>
        <v>8364</v>
      </c>
      <c r="AU252" s="50">
        <f t="shared" si="79"/>
        <v>10332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4777</v>
      </c>
      <c r="AR253" s="189">
        <f t="shared" si="81"/>
        <v>5166</v>
      </c>
      <c r="AS253" s="189">
        <f t="shared" si="77"/>
        <v>4182</v>
      </c>
      <c r="AT253" s="189">
        <f t="shared" si="78"/>
        <v>8364</v>
      </c>
      <c r="AU253" s="50">
        <f t="shared" si="79"/>
        <v>10332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4777</v>
      </c>
      <c r="AR254" s="189">
        <f t="shared" si="81"/>
        <v>5166</v>
      </c>
      <c r="AS254" s="189">
        <f t="shared" si="77"/>
        <v>4182</v>
      </c>
      <c r="AT254" s="189">
        <f t="shared" si="78"/>
        <v>8364</v>
      </c>
      <c r="AU254" s="50">
        <f t="shared" si="79"/>
        <v>10332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4777</v>
      </c>
      <c r="AR255" s="189">
        <f t="shared" si="81"/>
        <v>5166</v>
      </c>
      <c r="AS255" s="189">
        <f t="shared" si="77"/>
        <v>4182</v>
      </c>
      <c r="AT255" s="189">
        <f t="shared" si="78"/>
        <v>8364</v>
      </c>
      <c r="AU255" s="50">
        <f t="shared" si="79"/>
        <v>10332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4090.1600000000008</v>
      </c>
      <c r="AR256" s="189">
        <f t="shared" si="81"/>
        <v>4007.7300000000009</v>
      </c>
      <c r="AS256" s="189">
        <f t="shared" si="77"/>
        <v>4193.130000000001</v>
      </c>
      <c r="AT256" s="189">
        <f t="shared" si="78"/>
        <v>6872.1600000000017</v>
      </c>
      <c r="AU256" s="50">
        <f t="shared" si="79"/>
        <v>5759.7600000000011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4330.96</v>
      </c>
      <c r="AR257" s="189">
        <f t="shared" si="81"/>
        <v>4347.630000000001</v>
      </c>
      <c r="AS257" s="189">
        <f t="shared" si="77"/>
        <v>4409.4300000000012</v>
      </c>
      <c r="AT257" s="189">
        <f t="shared" si="78"/>
        <v>7613.7600000000011</v>
      </c>
      <c r="AU257" s="50">
        <f t="shared" si="79"/>
        <v>6748.5600000000013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4571.7599999999993</v>
      </c>
      <c r="AR258" s="189">
        <f t="shared" si="81"/>
        <v>4687.5300000000007</v>
      </c>
      <c r="AS258" s="189">
        <f t="shared" si="77"/>
        <v>4625.7300000000005</v>
      </c>
      <c r="AT258" s="189">
        <f t="shared" si="78"/>
        <v>8355.36</v>
      </c>
      <c r="AU258" s="50">
        <f t="shared" si="79"/>
        <v>7737.3600000000015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4812.5600000000004</v>
      </c>
      <c r="AR259" s="189">
        <f t="shared" si="81"/>
        <v>5027.43</v>
      </c>
      <c r="AS259" s="189">
        <f t="shared" ref="AS259:AS322" si="83">$AG$3*(1+$AJ259*$Y$2+$AN259)*(MAXA(1-$AI$3-$AL259*$AA$3-$AP259-0.36,0)+MINA($AI$3+$AL259*$AA$3+$AP259+0.36,1)*(1+$AH$3+$AO259+$AK259*$Z$4))</f>
        <v>4842.03</v>
      </c>
      <c r="AT259" s="189">
        <f t="shared" ref="AT259:AT322" si="84">$AG$3*(1+$AJ259*$Y$2+$AN259)*(MAXA(1-$AI$3-$AL259*$AA$3-$AP259-0.36,0)+2*MINA($AI$3+$AL259*$AA$3+$AP259+0.36,1)*(1+$AH$3+$AO259+$AK259*$Z$4))</f>
        <v>9096.9599999999991</v>
      </c>
      <c r="AU259" s="50">
        <f t="shared" ref="AU259:AU322" si="85">$AG$3*(1+$AJ259*$Y$2+$AN259)*(MAXA(1-$AI$3-$AL259*$AA$3-$AP259-0.12,0)+2*MINA($AI$3+$AL259*$AA$3+$AP259+0.12,1)*(1+$AH$3+$AO259+$AK259*$Z$4+0.4))</f>
        <v>8726.1600000000017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5053.3600000000006</v>
      </c>
      <c r="AR260" s="189">
        <f t="shared" ref="AR260:AR323" si="87">$AG$3*(1+$AJ260*$Y$2+$AN260)*(MAXA(1-$AI$3-$AL260*$AA$3-$AP260-0.12,0)+MINA($AI$3+$AL260*$AA$3+$AP260+0.12,1)*(1+$AH$3+$AO260+$AK260*$Z$4+0.4))</f>
        <v>5367.3300000000008</v>
      </c>
      <c r="AS260" s="189">
        <f t="shared" si="83"/>
        <v>5058.3300000000008</v>
      </c>
      <c r="AT260" s="189">
        <f t="shared" si="84"/>
        <v>9838.5600000000013</v>
      </c>
      <c r="AU260" s="50">
        <f t="shared" si="85"/>
        <v>9714.9600000000028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5294.1600000000008</v>
      </c>
      <c r="AR261" s="189">
        <f t="shared" si="87"/>
        <v>5707.2300000000014</v>
      </c>
      <c r="AS261" s="189">
        <f t="shared" si="83"/>
        <v>5253.0000000000009</v>
      </c>
      <c r="AT261" s="189">
        <f t="shared" si="84"/>
        <v>10506.000000000002</v>
      </c>
      <c r="AU261" s="50">
        <f t="shared" si="85"/>
        <v>10703.760000000002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5534.9600000000009</v>
      </c>
      <c r="AR262" s="189">
        <f t="shared" si="87"/>
        <v>6047.13</v>
      </c>
      <c r="AS262" s="189">
        <f t="shared" si="83"/>
        <v>5253.0000000000009</v>
      </c>
      <c r="AT262" s="189">
        <f t="shared" si="84"/>
        <v>10506.000000000002</v>
      </c>
      <c r="AU262" s="50">
        <f t="shared" si="85"/>
        <v>11692.560000000001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5775.7600000000011</v>
      </c>
      <c r="AR263" s="189">
        <f t="shared" si="87"/>
        <v>6387.0300000000016</v>
      </c>
      <c r="AS263" s="189">
        <f t="shared" si="83"/>
        <v>5253.0000000000009</v>
      </c>
      <c r="AT263" s="189">
        <f t="shared" si="84"/>
        <v>10506.000000000002</v>
      </c>
      <c r="AU263" s="50">
        <f t="shared" si="85"/>
        <v>12681.360000000002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5848.0000000000009</v>
      </c>
      <c r="AR264" s="189">
        <f t="shared" si="87"/>
        <v>6489.0000000000009</v>
      </c>
      <c r="AS264" s="189">
        <f t="shared" si="83"/>
        <v>5253.0000000000009</v>
      </c>
      <c r="AT264" s="189">
        <f t="shared" si="84"/>
        <v>10506.000000000002</v>
      </c>
      <c r="AU264" s="50">
        <f t="shared" si="85"/>
        <v>12978.000000000002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5848.0000000000009</v>
      </c>
      <c r="AR265" s="189">
        <f t="shared" si="87"/>
        <v>6489.0000000000009</v>
      </c>
      <c r="AS265" s="189">
        <f t="shared" si="83"/>
        <v>5253.0000000000009</v>
      </c>
      <c r="AT265" s="189">
        <f t="shared" si="84"/>
        <v>10506.000000000002</v>
      </c>
      <c r="AU265" s="50">
        <f t="shared" si="85"/>
        <v>12978.000000000002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5848.0000000000009</v>
      </c>
      <c r="AR266" s="189">
        <f t="shared" si="87"/>
        <v>6489.0000000000009</v>
      </c>
      <c r="AS266" s="189">
        <f t="shared" si="83"/>
        <v>5253.0000000000009</v>
      </c>
      <c r="AT266" s="189">
        <f t="shared" si="84"/>
        <v>10506.000000000002</v>
      </c>
      <c r="AU266" s="50">
        <f t="shared" si="85"/>
        <v>12978.000000000002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4229.05</v>
      </c>
      <c r="AR267" s="189">
        <f t="shared" si="87"/>
        <v>4024.579999999999</v>
      </c>
      <c r="AS267" s="189">
        <f t="shared" si="83"/>
        <v>4694.8999999999987</v>
      </c>
      <c r="AT267" s="189">
        <f t="shared" si="84"/>
        <v>8086.3999999999987</v>
      </c>
      <c r="AU267" s="50">
        <f t="shared" si="85"/>
        <v>6107.36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4680.55</v>
      </c>
      <c r="AR268" s="189">
        <f t="shared" si="87"/>
        <v>4529.9799999999987</v>
      </c>
      <c r="AS268" s="189">
        <f t="shared" si="83"/>
        <v>5093.8999999999996</v>
      </c>
      <c r="AT268" s="189">
        <f t="shared" si="84"/>
        <v>9150.3999999999978</v>
      </c>
      <c r="AU268" s="50">
        <f t="shared" si="85"/>
        <v>7384.159999999998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5132.0499999999993</v>
      </c>
      <c r="AR269" s="189">
        <f t="shared" si="87"/>
        <v>5035.3799999999983</v>
      </c>
      <c r="AS269" s="189">
        <f t="shared" si="83"/>
        <v>5492.8999999999987</v>
      </c>
      <c r="AT269" s="189">
        <f t="shared" si="84"/>
        <v>10214.399999999998</v>
      </c>
      <c r="AU269" s="50">
        <f t="shared" si="85"/>
        <v>8660.9599999999973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5583.55</v>
      </c>
      <c r="AR270" s="189">
        <f t="shared" si="87"/>
        <v>5540.7799999999979</v>
      </c>
      <c r="AS270" s="189">
        <f t="shared" si="83"/>
        <v>5891.8999999999987</v>
      </c>
      <c r="AT270" s="189">
        <f t="shared" si="84"/>
        <v>11278.399999999998</v>
      </c>
      <c r="AU270" s="50">
        <f t="shared" si="85"/>
        <v>9937.7599999999984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6035.0499999999993</v>
      </c>
      <c r="AR271" s="189">
        <f t="shared" si="87"/>
        <v>6046.1799999999994</v>
      </c>
      <c r="AS271" s="189">
        <f t="shared" si="83"/>
        <v>6290.8999999999987</v>
      </c>
      <c r="AT271" s="189">
        <f t="shared" si="84"/>
        <v>12342.399999999998</v>
      </c>
      <c r="AU271" s="50">
        <f t="shared" si="85"/>
        <v>11214.56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6486.5500000000011</v>
      </c>
      <c r="AR272" s="189">
        <f t="shared" si="87"/>
        <v>6551.579999999999</v>
      </c>
      <c r="AS272" s="189">
        <f t="shared" si="83"/>
        <v>6649.9999999999991</v>
      </c>
      <c r="AT272" s="189">
        <f t="shared" si="84"/>
        <v>13299.999999999998</v>
      </c>
      <c r="AU272" s="50">
        <f t="shared" si="85"/>
        <v>12491.359999999997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6938.0499999999993</v>
      </c>
      <c r="AR273" s="189">
        <f t="shared" si="87"/>
        <v>7056.9799999999987</v>
      </c>
      <c r="AS273" s="189">
        <f t="shared" si="83"/>
        <v>6649.9999999999991</v>
      </c>
      <c r="AT273" s="189">
        <f t="shared" si="84"/>
        <v>13299.999999999998</v>
      </c>
      <c r="AU273" s="50">
        <f t="shared" si="85"/>
        <v>13768.159999999998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7389.55</v>
      </c>
      <c r="AR274" s="189">
        <f t="shared" si="87"/>
        <v>7562.3799999999983</v>
      </c>
      <c r="AS274" s="189">
        <f t="shared" si="83"/>
        <v>6649.9999999999991</v>
      </c>
      <c r="AT274" s="189">
        <f t="shared" si="84"/>
        <v>13299.999999999998</v>
      </c>
      <c r="AU274" s="50">
        <f t="shared" si="85"/>
        <v>15044.959999999997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7525</v>
      </c>
      <c r="AR275" s="189">
        <f t="shared" si="87"/>
        <v>7713.9999999999982</v>
      </c>
      <c r="AS275" s="189">
        <f t="shared" si="83"/>
        <v>6649.9999999999991</v>
      </c>
      <c r="AT275" s="189">
        <f t="shared" si="84"/>
        <v>13299.999999999998</v>
      </c>
      <c r="AU275" s="50">
        <f t="shared" si="85"/>
        <v>15427.999999999996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7525</v>
      </c>
      <c r="AR276" s="189">
        <f t="shared" si="87"/>
        <v>7713.9999999999982</v>
      </c>
      <c r="AS276" s="189">
        <f t="shared" si="83"/>
        <v>6649.9999999999991</v>
      </c>
      <c r="AT276" s="189">
        <f t="shared" si="84"/>
        <v>13299.999999999998</v>
      </c>
      <c r="AU276" s="50">
        <f t="shared" si="85"/>
        <v>15427.999999999996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7525</v>
      </c>
      <c r="AR277" s="189">
        <f t="shared" si="87"/>
        <v>7713.9999999999982</v>
      </c>
      <c r="AS277" s="189">
        <f t="shared" si="83"/>
        <v>6649.9999999999991</v>
      </c>
      <c r="AT277" s="189">
        <f t="shared" si="84"/>
        <v>13299.999999999998</v>
      </c>
      <c r="AU277" s="50">
        <f t="shared" si="85"/>
        <v>15427.999999999996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4800.9499999999989</v>
      </c>
      <c r="AR278" s="189">
        <f t="shared" si="87"/>
        <v>5147.0999999999995</v>
      </c>
      <c r="AS278" s="189">
        <f t="shared" si="83"/>
        <v>4521.9999999999991</v>
      </c>
      <c r="AT278" s="189">
        <f t="shared" si="84"/>
        <v>9043.9999999999982</v>
      </c>
      <c r="AU278" s="50">
        <f t="shared" si="85"/>
        <v>9895.1999999999971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5011.6500000000005</v>
      </c>
      <c r="AR279" s="189">
        <f t="shared" si="87"/>
        <v>5439.6999999999989</v>
      </c>
      <c r="AS279" s="189">
        <f t="shared" si="83"/>
        <v>4521.9999999999991</v>
      </c>
      <c r="AT279" s="189">
        <f t="shared" si="84"/>
        <v>9043.9999999999982</v>
      </c>
      <c r="AU279" s="50">
        <f t="shared" si="85"/>
        <v>10746.399999999998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5117</v>
      </c>
      <c r="AR280" s="189">
        <f t="shared" si="87"/>
        <v>5585.9999999999991</v>
      </c>
      <c r="AS280" s="189">
        <f t="shared" si="83"/>
        <v>4521.9999999999991</v>
      </c>
      <c r="AT280" s="189">
        <f t="shared" si="84"/>
        <v>9043.9999999999982</v>
      </c>
      <c r="AU280" s="50">
        <f t="shared" si="85"/>
        <v>11171.999999999998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5117</v>
      </c>
      <c r="AR281" s="189">
        <f t="shared" si="87"/>
        <v>5585.9999999999991</v>
      </c>
      <c r="AS281" s="189">
        <f t="shared" si="83"/>
        <v>4521.9999999999991</v>
      </c>
      <c r="AT281" s="189">
        <f t="shared" si="84"/>
        <v>9043.9999999999982</v>
      </c>
      <c r="AU281" s="50">
        <f t="shared" si="85"/>
        <v>11171.999999999998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5117</v>
      </c>
      <c r="AR282" s="189">
        <f t="shared" si="87"/>
        <v>5585.9999999999991</v>
      </c>
      <c r="AS282" s="189">
        <f t="shared" si="83"/>
        <v>4521.9999999999991</v>
      </c>
      <c r="AT282" s="189">
        <f t="shared" si="84"/>
        <v>9043.9999999999982</v>
      </c>
      <c r="AU282" s="50">
        <f t="shared" si="85"/>
        <v>11171.999999999998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5117</v>
      </c>
      <c r="AR283" s="189">
        <f t="shared" si="87"/>
        <v>5585.9999999999991</v>
      </c>
      <c r="AS283" s="189">
        <f t="shared" si="83"/>
        <v>4521.9999999999991</v>
      </c>
      <c r="AT283" s="189">
        <f t="shared" si="84"/>
        <v>9043.9999999999982</v>
      </c>
      <c r="AU283" s="50">
        <f t="shared" si="85"/>
        <v>11171.999999999998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5117</v>
      </c>
      <c r="AR284" s="189">
        <f t="shared" si="87"/>
        <v>5585.9999999999991</v>
      </c>
      <c r="AS284" s="189">
        <f t="shared" si="83"/>
        <v>4521.9999999999991</v>
      </c>
      <c r="AT284" s="189">
        <f t="shared" si="84"/>
        <v>9043.9999999999982</v>
      </c>
      <c r="AU284" s="50">
        <f t="shared" si="85"/>
        <v>11171.999999999998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5117</v>
      </c>
      <c r="AR285" s="189">
        <f t="shared" si="87"/>
        <v>5585.9999999999991</v>
      </c>
      <c r="AS285" s="189">
        <f t="shared" si="83"/>
        <v>4521.9999999999991</v>
      </c>
      <c r="AT285" s="189">
        <f t="shared" si="84"/>
        <v>9043.9999999999982</v>
      </c>
      <c r="AU285" s="50">
        <f t="shared" si="85"/>
        <v>11171.999999999998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5117</v>
      </c>
      <c r="AR286" s="189">
        <f t="shared" si="87"/>
        <v>5585.9999999999991</v>
      </c>
      <c r="AS286" s="189">
        <f t="shared" si="83"/>
        <v>4521.9999999999991</v>
      </c>
      <c r="AT286" s="189">
        <f t="shared" si="84"/>
        <v>9043.9999999999982</v>
      </c>
      <c r="AU286" s="50">
        <f t="shared" si="85"/>
        <v>11171.999999999998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5117</v>
      </c>
      <c r="AR287" s="189">
        <f t="shared" si="87"/>
        <v>5585.9999999999991</v>
      </c>
      <c r="AS287" s="189">
        <f t="shared" si="83"/>
        <v>4521.9999999999991</v>
      </c>
      <c r="AT287" s="189">
        <f t="shared" si="84"/>
        <v>9043.9999999999982</v>
      </c>
      <c r="AU287" s="50">
        <f t="shared" si="85"/>
        <v>11171.999999999998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5117</v>
      </c>
      <c r="AR288" s="189">
        <f t="shared" si="87"/>
        <v>5585.9999999999991</v>
      </c>
      <c r="AS288" s="189">
        <f t="shared" si="83"/>
        <v>4521.9999999999991</v>
      </c>
      <c r="AT288" s="189">
        <f t="shared" si="84"/>
        <v>9043.9999999999982</v>
      </c>
      <c r="AU288" s="50">
        <f t="shared" si="85"/>
        <v>11171.999999999998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4327.96</v>
      </c>
      <c r="AR289" s="189">
        <f t="shared" si="87"/>
        <v>4267.13</v>
      </c>
      <c r="AS289" s="189">
        <f t="shared" si="83"/>
        <v>4464.53</v>
      </c>
      <c r="AT289" s="189">
        <f t="shared" si="84"/>
        <v>7316.9600000000009</v>
      </c>
      <c r="AU289" s="50">
        <f t="shared" si="85"/>
        <v>6132.56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4582.7599999999993</v>
      </c>
      <c r="AR290" s="189">
        <f t="shared" si="87"/>
        <v>4629.03</v>
      </c>
      <c r="AS290" s="189">
        <f t="shared" si="83"/>
        <v>4694.83</v>
      </c>
      <c r="AT290" s="189">
        <f t="shared" si="84"/>
        <v>8106.5599999999995</v>
      </c>
      <c r="AU290" s="50">
        <f t="shared" si="85"/>
        <v>7185.3600000000006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4837.5599999999995</v>
      </c>
      <c r="AR291" s="189">
        <f t="shared" si="87"/>
        <v>4990.9299999999994</v>
      </c>
      <c r="AS291" s="189">
        <f t="shared" si="83"/>
        <v>4925.1299999999992</v>
      </c>
      <c r="AT291" s="189">
        <f t="shared" si="84"/>
        <v>8896.16</v>
      </c>
      <c r="AU291" s="50">
        <f t="shared" si="85"/>
        <v>8238.16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5092.3599999999997</v>
      </c>
      <c r="AR292" s="189">
        <f t="shared" si="87"/>
        <v>5352.829999999999</v>
      </c>
      <c r="AS292" s="189">
        <f t="shared" si="83"/>
        <v>5155.4299999999994</v>
      </c>
      <c r="AT292" s="189">
        <f t="shared" si="84"/>
        <v>9685.7599999999984</v>
      </c>
      <c r="AU292" s="50">
        <f t="shared" si="85"/>
        <v>9290.9599999999991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5347.16</v>
      </c>
      <c r="AR293" s="189">
        <f t="shared" si="87"/>
        <v>5714.7300000000005</v>
      </c>
      <c r="AS293" s="189">
        <f t="shared" si="83"/>
        <v>5385.7300000000005</v>
      </c>
      <c r="AT293" s="189">
        <f t="shared" si="84"/>
        <v>10475.359999999999</v>
      </c>
      <c r="AU293" s="50">
        <f t="shared" si="85"/>
        <v>10343.760000000002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5601.96</v>
      </c>
      <c r="AR294" s="189">
        <f t="shared" si="87"/>
        <v>6076.630000000001</v>
      </c>
      <c r="AS294" s="189">
        <f t="shared" si="83"/>
        <v>5593</v>
      </c>
      <c r="AT294" s="189">
        <f t="shared" si="84"/>
        <v>11186</v>
      </c>
      <c r="AU294" s="50">
        <f t="shared" si="85"/>
        <v>11396.560000000001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5856.76</v>
      </c>
      <c r="AR295" s="189">
        <f t="shared" si="87"/>
        <v>6438.53</v>
      </c>
      <c r="AS295" s="189">
        <f t="shared" si="83"/>
        <v>5593</v>
      </c>
      <c r="AT295" s="189">
        <f t="shared" si="84"/>
        <v>11186</v>
      </c>
      <c r="AU295" s="50">
        <f t="shared" si="85"/>
        <v>12449.359999999999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6111.56</v>
      </c>
      <c r="AR296" s="189">
        <f t="shared" si="87"/>
        <v>6800.43</v>
      </c>
      <c r="AS296" s="189">
        <f t="shared" si="83"/>
        <v>5593</v>
      </c>
      <c r="AT296" s="189">
        <f t="shared" si="84"/>
        <v>11186</v>
      </c>
      <c r="AU296" s="50">
        <f t="shared" si="85"/>
        <v>13502.16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6188</v>
      </c>
      <c r="AR297" s="189">
        <f t="shared" si="87"/>
        <v>6909</v>
      </c>
      <c r="AS297" s="189">
        <f t="shared" si="83"/>
        <v>5593</v>
      </c>
      <c r="AT297" s="189">
        <f t="shared" si="84"/>
        <v>11186</v>
      </c>
      <c r="AU297" s="50">
        <f t="shared" si="85"/>
        <v>13818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6188</v>
      </c>
      <c r="AR298" s="189">
        <f t="shared" si="87"/>
        <v>6909</v>
      </c>
      <c r="AS298" s="189">
        <f t="shared" si="83"/>
        <v>5593</v>
      </c>
      <c r="AT298" s="189">
        <f t="shared" si="84"/>
        <v>11186</v>
      </c>
      <c r="AU298" s="50">
        <f t="shared" si="85"/>
        <v>13818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6188</v>
      </c>
      <c r="AR299" s="189">
        <f t="shared" si="87"/>
        <v>6909</v>
      </c>
      <c r="AS299" s="189">
        <f t="shared" si="83"/>
        <v>5593</v>
      </c>
      <c r="AT299" s="189">
        <f t="shared" si="84"/>
        <v>11186</v>
      </c>
      <c r="AU299" s="50">
        <f t="shared" si="85"/>
        <v>13818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4510.05</v>
      </c>
      <c r="AR300" s="189">
        <f t="shared" si="87"/>
        <v>4327.1799999999994</v>
      </c>
      <c r="AS300" s="189">
        <f t="shared" si="83"/>
        <v>5047.8999999999996</v>
      </c>
      <c r="AT300" s="189">
        <f t="shared" si="84"/>
        <v>8694.4</v>
      </c>
      <c r="AU300" s="50">
        <f t="shared" si="85"/>
        <v>6566.56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4991.55</v>
      </c>
      <c r="AR301" s="189">
        <f t="shared" si="87"/>
        <v>4870.58</v>
      </c>
      <c r="AS301" s="189">
        <f t="shared" si="83"/>
        <v>5476.9000000000005</v>
      </c>
      <c r="AT301" s="189">
        <f t="shared" si="84"/>
        <v>9838.4</v>
      </c>
      <c r="AU301" s="50">
        <f t="shared" si="85"/>
        <v>7939.36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5473.0499999999984</v>
      </c>
      <c r="AR302" s="189">
        <f t="shared" si="87"/>
        <v>5413.98</v>
      </c>
      <c r="AS302" s="189">
        <f t="shared" si="83"/>
        <v>5905.9</v>
      </c>
      <c r="AT302" s="189">
        <f t="shared" si="84"/>
        <v>10982.4</v>
      </c>
      <c r="AU302" s="50">
        <f t="shared" si="85"/>
        <v>9312.16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5954.55</v>
      </c>
      <c r="AR303" s="189">
        <f t="shared" si="87"/>
        <v>5957.3799999999992</v>
      </c>
      <c r="AS303" s="189">
        <f t="shared" si="83"/>
        <v>6334.9</v>
      </c>
      <c r="AT303" s="189">
        <f t="shared" si="84"/>
        <v>12126.400000000001</v>
      </c>
      <c r="AU303" s="50">
        <f t="shared" si="85"/>
        <v>10684.96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6436.0499999999993</v>
      </c>
      <c r="AR304" s="189">
        <f t="shared" si="87"/>
        <v>6500.7800000000007</v>
      </c>
      <c r="AS304" s="189">
        <f t="shared" si="83"/>
        <v>6763.9</v>
      </c>
      <c r="AT304" s="189">
        <f t="shared" si="84"/>
        <v>13270.4</v>
      </c>
      <c r="AU304" s="50">
        <f t="shared" si="85"/>
        <v>12057.76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6917.5500000000011</v>
      </c>
      <c r="AR305" s="189">
        <f t="shared" si="87"/>
        <v>7044.18</v>
      </c>
      <c r="AS305" s="189">
        <f t="shared" si="83"/>
        <v>7150</v>
      </c>
      <c r="AT305" s="189">
        <f t="shared" si="84"/>
        <v>14300</v>
      </c>
      <c r="AU305" s="50">
        <f t="shared" si="85"/>
        <v>13430.56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7399.0499999999993</v>
      </c>
      <c r="AR306" s="189">
        <f t="shared" si="87"/>
        <v>7587.58</v>
      </c>
      <c r="AS306" s="189">
        <f t="shared" si="83"/>
        <v>7150</v>
      </c>
      <c r="AT306" s="189">
        <f t="shared" si="84"/>
        <v>14300</v>
      </c>
      <c r="AU306" s="50">
        <f t="shared" si="85"/>
        <v>14803.36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7880.55</v>
      </c>
      <c r="AR307" s="189">
        <f t="shared" si="87"/>
        <v>8130.98</v>
      </c>
      <c r="AS307" s="189">
        <f t="shared" si="83"/>
        <v>7150</v>
      </c>
      <c r="AT307" s="189">
        <f t="shared" si="84"/>
        <v>14300</v>
      </c>
      <c r="AU307" s="50">
        <f t="shared" si="85"/>
        <v>16176.16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8025</v>
      </c>
      <c r="AR308" s="189">
        <f t="shared" si="87"/>
        <v>8294</v>
      </c>
      <c r="AS308" s="189">
        <f t="shared" si="83"/>
        <v>7150</v>
      </c>
      <c r="AT308" s="189">
        <f t="shared" si="84"/>
        <v>14300</v>
      </c>
      <c r="AU308" s="50">
        <f t="shared" si="85"/>
        <v>16588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8025</v>
      </c>
      <c r="AR309" s="189">
        <f t="shared" si="87"/>
        <v>8294</v>
      </c>
      <c r="AS309" s="189">
        <f t="shared" si="83"/>
        <v>7150</v>
      </c>
      <c r="AT309" s="189">
        <f t="shared" si="84"/>
        <v>14300</v>
      </c>
      <c r="AU309" s="50">
        <f t="shared" si="85"/>
        <v>16588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8025</v>
      </c>
      <c r="AR310" s="189">
        <f t="shared" si="87"/>
        <v>8294</v>
      </c>
      <c r="AS310" s="189">
        <f t="shared" si="83"/>
        <v>7150</v>
      </c>
      <c r="AT310" s="189">
        <f t="shared" si="84"/>
        <v>14300</v>
      </c>
      <c r="AU310" s="50">
        <f t="shared" si="85"/>
        <v>16588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5119.9499999999989</v>
      </c>
      <c r="AR311" s="189">
        <f t="shared" si="87"/>
        <v>5534.1</v>
      </c>
      <c r="AS311" s="189">
        <f t="shared" si="83"/>
        <v>4862</v>
      </c>
      <c r="AT311" s="189">
        <f t="shared" si="84"/>
        <v>9724</v>
      </c>
      <c r="AU311" s="50">
        <f t="shared" si="85"/>
        <v>10639.199999999999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5344.6500000000005</v>
      </c>
      <c r="AR312" s="189">
        <f t="shared" si="87"/>
        <v>5848.7</v>
      </c>
      <c r="AS312" s="189">
        <f t="shared" si="83"/>
        <v>4862</v>
      </c>
      <c r="AT312" s="189">
        <f t="shared" si="84"/>
        <v>9724</v>
      </c>
      <c r="AU312" s="50">
        <f t="shared" si="85"/>
        <v>11554.4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5457</v>
      </c>
      <c r="AR313" s="189">
        <f t="shared" si="87"/>
        <v>6006</v>
      </c>
      <c r="AS313" s="189">
        <f t="shared" si="83"/>
        <v>4862</v>
      </c>
      <c r="AT313" s="189">
        <f t="shared" si="84"/>
        <v>9724</v>
      </c>
      <c r="AU313" s="50">
        <f t="shared" si="85"/>
        <v>12012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5457</v>
      </c>
      <c r="AR314" s="189">
        <f t="shared" si="87"/>
        <v>6006</v>
      </c>
      <c r="AS314" s="189">
        <f t="shared" si="83"/>
        <v>4862</v>
      </c>
      <c r="AT314" s="189">
        <f t="shared" si="84"/>
        <v>9724</v>
      </c>
      <c r="AU314" s="50">
        <f t="shared" si="85"/>
        <v>12012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5457</v>
      </c>
      <c r="AR315" s="189">
        <f t="shared" si="87"/>
        <v>6006</v>
      </c>
      <c r="AS315" s="189">
        <f t="shared" si="83"/>
        <v>4862</v>
      </c>
      <c r="AT315" s="189">
        <f t="shared" si="84"/>
        <v>9724</v>
      </c>
      <c r="AU315" s="50">
        <f t="shared" si="85"/>
        <v>12012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5457</v>
      </c>
      <c r="AR316" s="189">
        <f t="shared" si="87"/>
        <v>6006</v>
      </c>
      <c r="AS316" s="189">
        <f t="shared" si="83"/>
        <v>4862</v>
      </c>
      <c r="AT316" s="189">
        <f t="shared" si="84"/>
        <v>9724</v>
      </c>
      <c r="AU316" s="50">
        <f t="shared" si="85"/>
        <v>12012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5457</v>
      </c>
      <c r="AR317" s="189">
        <f t="shared" si="87"/>
        <v>6006</v>
      </c>
      <c r="AS317" s="189">
        <f t="shared" si="83"/>
        <v>4862</v>
      </c>
      <c r="AT317" s="189">
        <f t="shared" si="84"/>
        <v>9724</v>
      </c>
      <c r="AU317" s="50">
        <f t="shared" si="85"/>
        <v>12012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5457</v>
      </c>
      <c r="AR318" s="189">
        <f t="shared" si="87"/>
        <v>6006</v>
      </c>
      <c r="AS318" s="189">
        <f t="shared" si="83"/>
        <v>4862</v>
      </c>
      <c r="AT318" s="189">
        <f t="shared" si="84"/>
        <v>9724</v>
      </c>
      <c r="AU318" s="50">
        <f t="shared" si="85"/>
        <v>12012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5457</v>
      </c>
      <c r="AR319" s="189">
        <f t="shared" si="87"/>
        <v>6006</v>
      </c>
      <c r="AS319" s="189">
        <f t="shared" si="83"/>
        <v>4862</v>
      </c>
      <c r="AT319" s="189">
        <f t="shared" si="84"/>
        <v>9724</v>
      </c>
      <c r="AU319" s="50">
        <f t="shared" si="85"/>
        <v>12012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5457</v>
      </c>
      <c r="AR320" s="189">
        <f t="shared" si="87"/>
        <v>6006</v>
      </c>
      <c r="AS320" s="189">
        <f t="shared" si="83"/>
        <v>4862</v>
      </c>
      <c r="AT320" s="189">
        <f t="shared" si="84"/>
        <v>9724</v>
      </c>
      <c r="AU320" s="50">
        <f t="shared" si="85"/>
        <v>12012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5457</v>
      </c>
      <c r="AR321" s="189">
        <f t="shared" si="87"/>
        <v>6006</v>
      </c>
      <c r="AS321" s="189">
        <f t="shared" si="83"/>
        <v>4862</v>
      </c>
      <c r="AT321" s="189">
        <f t="shared" si="84"/>
        <v>9724</v>
      </c>
      <c r="AU321" s="50">
        <f t="shared" si="85"/>
        <v>12012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4565.7600000000011</v>
      </c>
      <c r="AR322" s="189">
        <f t="shared" si="87"/>
        <v>4526.5300000000007</v>
      </c>
      <c r="AS322" s="189">
        <f t="shared" si="83"/>
        <v>4735.93</v>
      </c>
      <c r="AT322" s="189">
        <f t="shared" si="84"/>
        <v>7761.7600000000011</v>
      </c>
      <c r="AU322" s="50">
        <f t="shared" si="85"/>
        <v>6505.3600000000006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4834.5600000000004</v>
      </c>
      <c r="AR323" s="189">
        <f t="shared" si="87"/>
        <v>4910.43</v>
      </c>
      <c r="AS323" s="189">
        <f t="shared" ref="AS323:AS386" si="88">$AG$3*(1+$AJ323*$Y$2+$AN323)*(MAXA(1-$AI$3-$AL323*$AA$3-$AP323-0.36,0)+MINA($AI$3+$AL323*$AA$3+$AP323+0.36,1)*(1+$AH$3+$AO323+$AK323*$Z$4))</f>
        <v>4980.2300000000005</v>
      </c>
      <c r="AT323" s="189">
        <f t="shared" ref="AT323:AT386" si="89">$AG$3*(1+$AJ323*$Y$2+$AN323)*(MAXA(1-$AI$3-$AL323*$AA$3-$AP323-0.36,0)+2*MINA($AI$3+$AL323*$AA$3+$AP323+0.36,1)*(1+$AH$3+$AO323+$AK323*$Z$4))</f>
        <v>8599.36</v>
      </c>
      <c r="AU323" s="50">
        <f t="shared" ref="AU323:AU386" si="90">$AG$3*(1+$AJ323*$Y$2+$AN323)*(MAXA(1-$AI$3-$AL323*$AA$3-$AP323-0.12,0)+2*MINA($AI$3+$AL323*$AA$3+$AP323+0.12,1)*(1+$AH$3+$AO323+$AK323*$Z$4+0.4))</f>
        <v>7622.1600000000008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5103.3599999999997</v>
      </c>
      <c r="AR324" s="189">
        <f t="shared" ref="AR324:AR387" si="92">$AG$3*(1+$AJ324*$Y$2+$AN324)*(MAXA(1-$AI$3-$AL324*$AA$3-$AP324-0.12,0)+MINA($AI$3+$AL324*$AA$3+$AP324+0.12,1)*(1+$AH$3+$AO324+$AK324*$Z$4+0.4))</f>
        <v>5294.33</v>
      </c>
      <c r="AS324" s="189">
        <f t="shared" si="88"/>
        <v>5224.53</v>
      </c>
      <c r="AT324" s="189">
        <f t="shared" si="89"/>
        <v>9436.9599999999991</v>
      </c>
      <c r="AU324" s="50">
        <f t="shared" si="90"/>
        <v>8738.9599999999991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5372.1600000000008</v>
      </c>
      <c r="AR325" s="189">
        <f t="shared" si="92"/>
        <v>5678.23</v>
      </c>
      <c r="AS325" s="189">
        <f t="shared" si="88"/>
        <v>5468.829999999999</v>
      </c>
      <c r="AT325" s="189">
        <f t="shared" si="89"/>
        <v>10274.559999999998</v>
      </c>
      <c r="AU325" s="50">
        <f t="shared" si="90"/>
        <v>9855.76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5640.96</v>
      </c>
      <c r="AR326" s="189">
        <f t="shared" si="92"/>
        <v>6062.13</v>
      </c>
      <c r="AS326" s="189">
        <f t="shared" si="88"/>
        <v>5713.13</v>
      </c>
      <c r="AT326" s="189">
        <f t="shared" si="89"/>
        <v>11112.16</v>
      </c>
      <c r="AU326" s="50">
        <f t="shared" si="90"/>
        <v>10972.560000000001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5909.76</v>
      </c>
      <c r="AR327" s="189">
        <f t="shared" si="92"/>
        <v>6446.0300000000007</v>
      </c>
      <c r="AS327" s="189">
        <f t="shared" si="88"/>
        <v>5933</v>
      </c>
      <c r="AT327" s="189">
        <f t="shared" si="89"/>
        <v>11866</v>
      </c>
      <c r="AU327" s="50">
        <f t="shared" si="90"/>
        <v>12089.36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6178.56</v>
      </c>
      <c r="AR328" s="189">
        <f t="shared" si="92"/>
        <v>6829.9299999999994</v>
      </c>
      <c r="AS328" s="189">
        <f t="shared" si="88"/>
        <v>5933</v>
      </c>
      <c r="AT328" s="189">
        <f t="shared" si="89"/>
        <v>11866</v>
      </c>
      <c r="AU328" s="50">
        <f t="shared" si="90"/>
        <v>13206.16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6447.3600000000006</v>
      </c>
      <c r="AR329" s="189">
        <f t="shared" si="92"/>
        <v>7213.8300000000008</v>
      </c>
      <c r="AS329" s="189">
        <f t="shared" si="88"/>
        <v>5933</v>
      </c>
      <c r="AT329" s="189">
        <f t="shared" si="89"/>
        <v>11866</v>
      </c>
      <c r="AU329" s="50">
        <f t="shared" si="90"/>
        <v>14322.960000000001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6528.0000000000009</v>
      </c>
      <c r="AR330" s="189">
        <f t="shared" si="92"/>
        <v>7329</v>
      </c>
      <c r="AS330" s="189">
        <f t="shared" si="88"/>
        <v>5933</v>
      </c>
      <c r="AT330" s="189">
        <f t="shared" si="89"/>
        <v>11866</v>
      </c>
      <c r="AU330" s="50">
        <f t="shared" si="90"/>
        <v>14658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6528.0000000000009</v>
      </c>
      <c r="AR331" s="189">
        <f t="shared" si="92"/>
        <v>7329</v>
      </c>
      <c r="AS331" s="189">
        <f t="shared" si="88"/>
        <v>5933</v>
      </c>
      <c r="AT331" s="189">
        <f t="shared" si="89"/>
        <v>11866</v>
      </c>
      <c r="AU331" s="50">
        <f t="shared" si="90"/>
        <v>14658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6528.0000000000009</v>
      </c>
      <c r="AR332" s="189">
        <f t="shared" si="92"/>
        <v>7329</v>
      </c>
      <c r="AS332" s="189">
        <f t="shared" si="88"/>
        <v>5933</v>
      </c>
      <c r="AT332" s="189">
        <f t="shared" si="89"/>
        <v>11866</v>
      </c>
      <c r="AU332" s="50">
        <f t="shared" si="90"/>
        <v>14658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4791.0499999999993</v>
      </c>
      <c r="AR333" s="189">
        <f t="shared" si="92"/>
        <v>4629.7799999999988</v>
      </c>
      <c r="AS333" s="189">
        <f t="shared" si="88"/>
        <v>5400.8999999999987</v>
      </c>
      <c r="AT333" s="189">
        <f t="shared" si="89"/>
        <v>9302.3999999999978</v>
      </c>
      <c r="AU333" s="50">
        <f t="shared" si="90"/>
        <v>7025.7599999999993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5302.55</v>
      </c>
      <c r="AR334" s="189">
        <f t="shared" si="92"/>
        <v>5211.1799999999985</v>
      </c>
      <c r="AS334" s="189">
        <f t="shared" si="88"/>
        <v>5859.9</v>
      </c>
      <c r="AT334" s="189">
        <f t="shared" si="89"/>
        <v>10526.399999999998</v>
      </c>
      <c r="AU334" s="50">
        <f t="shared" si="90"/>
        <v>8494.5599999999977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5814.0499999999984</v>
      </c>
      <c r="AR335" s="189">
        <f t="shared" si="92"/>
        <v>5792.5799999999981</v>
      </c>
      <c r="AS335" s="189">
        <f t="shared" si="88"/>
        <v>6318.8999999999987</v>
      </c>
      <c r="AT335" s="189">
        <f t="shared" si="89"/>
        <v>11750.399999999998</v>
      </c>
      <c r="AU335" s="50">
        <f t="shared" si="90"/>
        <v>9963.3599999999988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6325.5499999999993</v>
      </c>
      <c r="AR336" s="189">
        <f t="shared" si="92"/>
        <v>6373.9799999999987</v>
      </c>
      <c r="AS336" s="189">
        <f t="shared" si="88"/>
        <v>6777.8999999999987</v>
      </c>
      <c r="AT336" s="189">
        <f t="shared" si="89"/>
        <v>12974.399999999998</v>
      </c>
      <c r="AU336" s="50">
        <f t="shared" si="90"/>
        <v>11432.159999999998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6837.0499999999984</v>
      </c>
      <c r="AR337" s="189">
        <f t="shared" si="92"/>
        <v>6955.3799999999992</v>
      </c>
      <c r="AS337" s="189">
        <f t="shared" si="88"/>
        <v>7236.8999999999978</v>
      </c>
      <c r="AT337" s="189">
        <f t="shared" si="89"/>
        <v>14198.399999999998</v>
      </c>
      <c r="AU337" s="50">
        <f t="shared" si="90"/>
        <v>12900.96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7348.55</v>
      </c>
      <c r="AR338" s="189">
        <f t="shared" si="92"/>
        <v>7536.7799999999988</v>
      </c>
      <c r="AS338" s="189">
        <f t="shared" si="88"/>
        <v>7649.9999999999991</v>
      </c>
      <c r="AT338" s="189">
        <f t="shared" si="89"/>
        <v>15299.999999999998</v>
      </c>
      <c r="AU338" s="50">
        <f t="shared" si="90"/>
        <v>14369.759999999997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7860.0499999999984</v>
      </c>
      <c r="AR339" s="189">
        <f t="shared" si="92"/>
        <v>8118.1799999999985</v>
      </c>
      <c r="AS339" s="189">
        <f t="shared" si="88"/>
        <v>7649.9999999999991</v>
      </c>
      <c r="AT339" s="189">
        <f t="shared" si="89"/>
        <v>15299.999999999998</v>
      </c>
      <c r="AU339" s="50">
        <f t="shared" si="90"/>
        <v>15838.559999999998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8371.5499999999993</v>
      </c>
      <c r="AR340" s="189">
        <f t="shared" si="92"/>
        <v>8699.5799999999981</v>
      </c>
      <c r="AS340" s="189">
        <f t="shared" si="88"/>
        <v>7649.9999999999991</v>
      </c>
      <c r="AT340" s="189">
        <f t="shared" si="89"/>
        <v>15299.999999999998</v>
      </c>
      <c r="AU340" s="50">
        <f t="shared" si="90"/>
        <v>17307.359999999997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8524.9999999999982</v>
      </c>
      <c r="AR341" s="189">
        <f t="shared" si="92"/>
        <v>8873.9999999999982</v>
      </c>
      <c r="AS341" s="189">
        <f t="shared" si="88"/>
        <v>7649.9999999999991</v>
      </c>
      <c r="AT341" s="189">
        <f t="shared" si="89"/>
        <v>15299.999999999998</v>
      </c>
      <c r="AU341" s="50">
        <f t="shared" si="90"/>
        <v>17747.999999999996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8524.9999999999982</v>
      </c>
      <c r="AR342" s="189">
        <f t="shared" si="92"/>
        <v>8873.9999999999982</v>
      </c>
      <c r="AS342" s="189">
        <f t="shared" si="88"/>
        <v>7649.9999999999991</v>
      </c>
      <c r="AT342" s="189">
        <f t="shared" si="89"/>
        <v>15299.999999999998</v>
      </c>
      <c r="AU342" s="50">
        <f t="shared" si="90"/>
        <v>17747.999999999996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8524.9999999999982</v>
      </c>
      <c r="AR343" s="189">
        <f t="shared" si="92"/>
        <v>8873.9999999999982</v>
      </c>
      <c r="AS343" s="189">
        <f t="shared" si="88"/>
        <v>7649.9999999999991</v>
      </c>
      <c r="AT343" s="189">
        <f t="shared" si="89"/>
        <v>15299.999999999998</v>
      </c>
      <c r="AU343" s="50">
        <f t="shared" si="90"/>
        <v>17747.999999999996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5438.949999999998</v>
      </c>
      <c r="AR344" s="189">
        <f t="shared" si="92"/>
        <v>5921.0999999999995</v>
      </c>
      <c r="AS344" s="189">
        <f t="shared" si="88"/>
        <v>5201.9999999999991</v>
      </c>
      <c r="AT344" s="189">
        <f t="shared" si="89"/>
        <v>10403.999999999998</v>
      </c>
      <c r="AU344" s="50">
        <f t="shared" si="90"/>
        <v>11383.199999999997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5677.65</v>
      </c>
      <c r="AR345" s="189">
        <f t="shared" si="92"/>
        <v>6257.6999999999989</v>
      </c>
      <c r="AS345" s="189">
        <f t="shared" si="88"/>
        <v>5201.9999999999991</v>
      </c>
      <c r="AT345" s="189">
        <f t="shared" si="89"/>
        <v>10403.999999999998</v>
      </c>
      <c r="AU345" s="50">
        <f t="shared" si="90"/>
        <v>12362.399999999998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5796.9999999999991</v>
      </c>
      <c r="AR346" s="189">
        <f t="shared" si="92"/>
        <v>6425.9999999999991</v>
      </c>
      <c r="AS346" s="189">
        <f t="shared" si="88"/>
        <v>5201.9999999999991</v>
      </c>
      <c r="AT346" s="189">
        <f t="shared" si="89"/>
        <v>10403.999999999998</v>
      </c>
      <c r="AU346" s="50">
        <f t="shared" si="90"/>
        <v>12851.999999999998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5796.9999999999991</v>
      </c>
      <c r="AR347" s="189">
        <f t="shared" si="92"/>
        <v>6425.9999999999991</v>
      </c>
      <c r="AS347" s="189">
        <f t="shared" si="88"/>
        <v>5201.9999999999991</v>
      </c>
      <c r="AT347" s="189">
        <f t="shared" si="89"/>
        <v>10403.999999999998</v>
      </c>
      <c r="AU347" s="50">
        <f t="shared" si="90"/>
        <v>12851.999999999998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5796.9999999999991</v>
      </c>
      <c r="AR348" s="189">
        <f t="shared" si="92"/>
        <v>6425.9999999999991</v>
      </c>
      <c r="AS348" s="189">
        <f t="shared" si="88"/>
        <v>5201.9999999999991</v>
      </c>
      <c r="AT348" s="189">
        <f t="shared" si="89"/>
        <v>10403.999999999998</v>
      </c>
      <c r="AU348" s="50">
        <f t="shared" si="90"/>
        <v>12851.999999999998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5796.9999999999991</v>
      </c>
      <c r="AR349" s="189">
        <f t="shared" si="92"/>
        <v>6425.9999999999991</v>
      </c>
      <c r="AS349" s="189">
        <f t="shared" si="88"/>
        <v>5201.9999999999991</v>
      </c>
      <c r="AT349" s="189">
        <f t="shared" si="89"/>
        <v>10403.999999999998</v>
      </c>
      <c r="AU349" s="50">
        <f t="shared" si="90"/>
        <v>12851.999999999998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5796.9999999999991</v>
      </c>
      <c r="AR350" s="189">
        <f t="shared" si="92"/>
        <v>6425.9999999999991</v>
      </c>
      <c r="AS350" s="189">
        <f t="shared" si="88"/>
        <v>5201.9999999999991</v>
      </c>
      <c r="AT350" s="189">
        <f t="shared" si="89"/>
        <v>10403.999999999998</v>
      </c>
      <c r="AU350" s="50">
        <f t="shared" si="90"/>
        <v>12851.999999999998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5796.9999999999991</v>
      </c>
      <c r="AR351" s="189">
        <f t="shared" si="92"/>
        <v>6425.9999999999991</v>
      </c>
      <c r="AS351" s="189">
        <f t="shared" si="88"/>
        <v>5201.9999999999991</v>
      </c>
      <c r="AT351" s="189">
        <f t="shared" si="89"/>
        <v>10403.999999999998</v>
      </c>
      <c r="AU351" s="50">
        <f t="shared" si="90"/>
        <v>12851.999999999998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5796.9999999999991</v>
      </c>
      <c r="AR352" s="189">
        <f t="shared" si="92"/>
        <v>6425.9999999999991</v>
      </c>
      <c r="AS352" s="189">
        <f t="shared" si="88"/>
        <v>5201.9999999999991</v>
      </c>
      <c r="AT352" s="189">
        <f t="shared" si="89"/>
        <v>10403.999999999998</v>
      </c>
      <c r="AU352" s="50">
        <f t="shared" si="90"/>
        <v>12851.999999999998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5796.9999999999991</v>
      </c>
      <c r="AR353" s="189">
        <f t="shared" si="92"/>
        <v>6425.9999999999991</v>
      </c>
      <c r="AS353" s="189">
        <f t="shared" si="88"/>
        <v>5201.9999999999991</v>
      </c>
      <c r="AT353" s="189">
        <f t="shared" si="89"/>
        <v>10403.999999999998</v>
      </c>
      <c r="AU353" s="50">
        <f t="shared" si="90"/>
        <v>12851.999999999998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5796.9999999999991</v>
      </c>
      <c r="AR354" s="189">
        <f t="shared" si="92"/>
        <v>6425.9999999999991</v>
      </c>
      <c r="AS354" s="189">
        <f t="shared" si="88"/>
        <v>5201.9999999999991</v>
      </c>
      <c r="AT354" s="189">
        <f t="shared" si="89"/>
        <v>10403.999999999998</v>
      </c>
      <c r="AU354" s="50">
        <f t="shared" si="90"/>
        <v>12851.999999999998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4803.5600000000004</v>
      </c>
      <c r="AR355" s="189">
        <f t="shared" si="92"/>
        <v>4785.9300000000012</v>
      </c>
      <c r="AS355" s="189">
        <f t="shared" si="88"/>
        <v>5007.3300000000008</v>
      </c>
      <c r="AT355" s="189">
        <f t="shared" si="89"/>
        <v>8206.5600000000013</v>
      </c>
      <c r="AU355" s="50">
        <f t="shared" si="90"/>
        <v>6878.1600000000017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5086.3599999999997</v>
      </c>
      <c r="AR356" s="189">
        <f t="shared" si="92"/>
        <v>5191.8300000000008</v>
      </c>
      <c r="AS356" s="189">
        <f t="shared" si="88"/>
        <v>5265.630000000001</v>
      </c>
      <c r="AT356" s="189">
        <f t="shared" si="89"/>
        <v>9092.1600000000017</v>
      </c>
      <c r="AU356" s="50">
        <f t="shared" si="90"/>
        <v>8058.9600000000019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5369.1599999999989</v>
      </c>
      <c r="AR357" s="189">
        <f t="shared" si="92"/>
        <v>5597.7300000000005</v>
      </c>
      <c r="AS357" s="189">
        <f t="shared" si="88"/>
        <v>5523.93</v>
      </c>
      <c r="AT357" s="189">
        <f t="shared" si="89"/>
        <v>9977.76</v>
      </c>
      <c r="AU357" s="50">
        <f t="shared" si="90"/>
        <v>9239.760000000002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5651.96</v>
      </c>
      <c r="AR358" s="189">
        <f t="shared" si="92"/>
        <v>6003.63</v>
      </c>
      <c r="AS358" s="189">
        <f t="shared" si="88"/>
        <v>5782.23</v>
      </c>
      <c r="AT358" s="189">
        <f t="shared" si="89"/>
        <v>10863.359999999999</v>
      </c>
      <c r="AU358" s="50">
        <f t="shared" si="90"/>
        <v>10420.560000000001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5934.7599999999993</v>
      </c>
      <c r="AR359" s="189">
        <f t="shared" si="92"/>
        <v>6409.5300000000016</v>
      </c>
      <c r="AS359" s="189">
        <f t="shared" si="88"/>
        <v>6040.5300000000007</v>
      </c>
      <c r="AT359" s="189">
        <f t="shared" si="89"/>
        <v>11748.960000000001</v>
      </c>
      <c r="AU359" s="50">
        <f t="shared" si="90"/>
        <v>11601.360000000004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6217.5599999999995</v>
      </c>
      <c r="AR360" s="189">
        <f t="shared" si="92"/>
        <v>6815.4300000000012</v>
      </c>
      <c r="AS360" s="189">
        <f t="shared" si="88"/>
        <v>6273.0000000000009</v>
      </c>
      <c r="AT360" s="189">
        <f t="shared" si="89"/>
        <v>12546.000000000002</v>
      </c>
      <c r="AU360" s="50">
        <f t="shared" si="90"/>
        <v>12782.160000000003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6500.36</v>
      </c>
      <c r="AR361" s="189">
        <f t="shared" si="92"/>
        <v>7221.33</v>
      </c>
      <c r="AS361" s="189">
        <f t="shared" si="88"/>
        <v>6273.0000000000009</v>
      </c>
      <c r="AT361" s="189">
        <f t="shared" si="89"/>
        <v>12546.000000000002</v>
      </c>
      <c r="AU361" s="50">
        <f t="shared" si="90"/>
        <v>13962.960000000001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6783.16</v>
      </c>
      <c r="AR362" s="189">
        <f t="shared" si="92"/>
        <v>7627.2300000000014</v>
      </c>
      <c r="AS362" s="189">
        <f t="shared" si="88"/>
        <v>6273.0000000000009</v>
      </c>
      <c r="AT362" s="189">
        <f t="shared" si="89"/>
        <v>12546.000000000002</v>
      </c>
      <c r="AU362" s="50">
        <f t="shared" si="90"/>
        <v>15143.760000000002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6868</v>
      </c>
      <c r="AR363" s="189">
        <f t="shared" si="92"/>
        <v>7749.0000000000009</v>
      </c>
      <c r="AS363" s="189">
        <f t="shared" si="88"/>
        <v>6273.0000000000009</v>
      </c>
      <c r="AT363" s="189">
        <f t="shared" si="89"/>
        <v>12546.000000000002</v>
      </c>
      <c r="AU363" s="50">
        <f t="shared" si="90"/>
        <v>15498.000000000002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6868</v>
      </c>
      <c r="AR364" s="189">
        <f t="shared" si="92"/>
        <v>7749.0000000000009</v>
      </c>
      <c r="AS364" s="189">
        <f t="shared" si="88"/>
        <v>6273.0000000000009</v>
      </c>
      <c r="AT364" s="189">
        <f t="shared" si="89"/>
        <v>12546.000000000002</v>
      </c>
      <c r="AU364" s="50">
        <f t="shared" si="90"/>
        <v>15498.000000000002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6868</v>
      </c>
      <c r="AR365" s="189">
        <f t="shared" si="92"/>
        <v>7749.0000000000009</v>
      </c>
      <c r="AS365" s="189">
        <f t="shared" si="88"/>
        <v>6273.0000000000009</v>
      </c>
      <c r="AT365" s="189">
        <f t="shared" si="89"/>
        <v>12546.000000000002</v>
      </c>
      <c r="AU365" s="50">
        <f t="shared" si="90"/>
        <v>15498.000000000002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5072.05</v>
      </c>
      <c r="AR366" s="189">
        <f t="shared" si="92"/>
        <v>4932.38</v>
      </c>
      <c r="AS366" s="189">
        <f t="shared" si="88"/>
        <v>5753.9</v>
      </c>
      <c r="AT366" s="189">
        <f t="shared" si="89"/>
        <v>9910.4</v>
      </c>
      <c r="AU366" s="50">
        <f t="shared" si="90"/>
        <v>7484.9600000000009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5613.55</v>
      </c>
      <c r="AR367" s="189">
        <f t="shared" si="92"/>
        <v>5551.78</v>
      </c>
      <c r="AS367" s="189">
        <f t="shared" si="88"/>
        <v>6242.9000000000005</v>
      </c>
      <c r="AT367" s="189">
        <f t="shared" si="89"/>
        <v>11214.4</v>
      </c>
      <c r="AU367" s="50">
        <f t="shared" si="90"/>
        <v>9049.76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6155.0499999999984</v>
      </c>
      <c r="AR368" s="189">
        <f t="shared" si="92"/>
        <v>6171.1799999999994</v>
      </c>
      <c r="AS368" s="189">
        <f t="shared" si="88"/>
        <v>6731.9</v>
      </c>
      <c r="AT368" s="189">
        <f t="shared" si="89"/>
        <v>12518.4</v>
      </c>
      <c r="AU368" s="50">
        <f t="shared" si="90"/>
        <v>10614.56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6696.55</v>
      </c>
      <c r="AR369" s="189">
        <f t="shared" si="92"/>
        <v>6790.579999999999</v>
      </c>
      <c r="AS369" s="189">
        <f t="shared" si="88"/>
        <v>7220.9</v>
      </c>
      <c r="AT369" s="189">
        <f t="shared" si="89"/>
        <v>13822.400000000001</v>
      </c>
      <c r="AU369" s="50">
        <f t="shared" si="90"/>
        <v>12179.359999999999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7238.0499999999993</v>
      </c>
      <c r="AR370" s="189">
        <f t="shared" si="92"/>
        <v>7409.9800000000005</v>
      </c>
      <c r="AS370" s="189">
        <f t="shared" si="88"/>
        <v>7709.9</v>
      </c>
      <c r="AT370" s="189">
        <f t="shared" si="89"/>
        <v>15126.4</v>
      </c>
      <c r="AU370" s="50">
        <f t="shared" si="90"/>
        <v>13744.16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7779.5500000000011</v>
      </c>
      <c r="AR371" s="189">
        <f t="shared" si="92"/>
        <v>8029.38</v>
      </c>
      <c r="AS371" s="189">
        <f t="shared" si="88"/>
        <v>8150</v>
      </c>
      <c r="AT371" s="189">
        <f t="shared" si="89"/>
        <v>16300</v>
      </c>
      <c r="AU371" s="50">
        <f t="shared" si="90"/>
        <v>15308.96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8321.0499999999993</v>
      </c>
      <c r="AR372" s="189">
        <f t="shared" si="92"/>
        <v>8648.7800000000007</v>
      </c>
      <c r="AS372" s="189">
        <f t="shared" si="88"/>
        <v>8150</v>
      </c>
      <c r="AT372" s="189">
        <f t="shared" si="89"/>
        <v>16300</v>
      </c>
      <c r="AU372" s="50">
        <f t="shared" si="90"/>
        <v>16873.760000000002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8862.5500000000011</v>
      </c>
      <c r="AR373" s="189">
        <f t="shared" si="92"/>
        <v>9268.18</v>
      </c>
      <c r="AS373" s="189">
        <f t="shared" si="88"/>
        <v>8150</v>
      </c>
      <c r="AT373" s="189">
        <f t="shared" si="89"/>
        <v>16300</v>
      </c>
      <c r="AU373" s="50">
        <f t="shared" si="90"/>
        <v>18438.559999999998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9025</v>
      </c>
      <c r="AR374" s="189">
        <f t="shared" si="92"/>
        <v>9454</v>
      </c>
      <c r="AS374" s="189">
        <f t="shared" si="88"/>
        <v>8150</v>
      </c>
      <c r="AT374" s="189">
        <f t="shared" si="89"/>
        <v>16300</v>
      </c>
      <c r="AU374" s="50">
        <f t="shared" si="90"/>
        <v>18908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9025</v>
      </c>
      <c r="AR375" s="189">
        <f t="shared" si="92"/>
        <v>9454</v>
      </c>
      <c r="AS375" s="189">
        <f t="shared" si="88"/>
        <v>8150</v>
      </c>
      <c r="AT375" s="189">
        <f t="shared" si="89"/>
        <v>16300</v>
      </c>
      <c r="AU375" s="50">
        <f t="shared" si="90"/>
        <v>18908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9025</v>
      </c>
      <c r="AR376" s="189">
        <f t="shared" si="92"/>
        <v>9454</v>
      </c>
      <c r="AS376" s="189">
        <f t="shared" si="88"/>
        <v>8150</v>
      </c>
      <c r="AT376" s="189">
        <f t="shared" si="89"/>
        <v>16300</v>
      </c>
      <c r="AU376" s="50">
        <f t="shared" si="90"/>
        <v>18908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5757.9499999999989</v>
      </c>
      <c r="AR377" s="189">
        <f t="shared" si="92"/>
        <v>6308.1</v>
      </c>
      <c r="AS377" s="189">
        <f t="shared" si="88"/>
        <v>5542</v>
      </c>
      <c r="AT377" s="189">
        <f t="shared" si="89"/>
        <v>11084</v>
      </c>
      <c r="AU377" s="50">
        <f t="shared" si="90"/>
        <v>12127.199999999999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6010.6500000000005</v>
      </c>
      <c r="AR378" s="189">
        <f t="shared" si="92"/>
        <v>6666.7</v>
      </c>
      <c r="AS378" s="189">
        <f t="shared" si="88"/>
        <v>5542</v>
      </c>
      <c r="AT378" s="189">
        <f t="shared" si="89"/>
        <v>11084</v>
      </c>
      <c r="AU378" s="50">
        <f t="shared" si="90"/>
        <v>13170.4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6137</v>
      </c>
      <c r="AR379" s="189">
        <f t="shared" si="92"/>
        <v>6846</v>
      </c>
      <c r="AS379" s="189">
        <f t="shared" si="88"/>
        <v>5542</v>
      </c>
      <c r="AT379" s="189">
        <f t="shared" si="89"/>
        <v>11084</v>
      </c>
      <c r="AU379" s="50">
        <f t="shared" si="90"/>
        <v>13692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6137</v>
      </c>
      <c r="AR380" s="189">
        <f t="shared" si="92"/>
        <v>6846</v>
      </c>
      <c r="AS380" s="189">
        <f t="shared" si="88"/>
        <v>5542</v>
      </c>
      <c r="AT380" s="189">
        <f t="shared" si="89"/>
        <v>11084</v>
      </c>
      <c r="AU380" s="50">
        <f t="shared" si="90"/>
        <v>13692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6137</v>
      </c>
      <c r="AR381" s="189">
        <f t="shared" si="92"/>
        <v>6846</v>
      </c>
      <c r="AS381" s="189">
        <f t="shared" si="88"/>
        <v>5542</v>
      </c>
      <c r="AT381" s="189">
        <f t="shared" si="89"/>
        <v>11084</v>
      </c>
      <c r="AU381" s="50">
        <f t="shared" si="90"/>
        <v>13692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6137</v>
      </c>
      <c r="AR382" s="189">
        <f t="shared" si="92"/>
        <v>6846</v>
      </c>
      <c r="AS382" s="189">
        <f t="shared" si="88"/>
        <v>5542</v>
      </c>
      <c r="AT382" s="189">
        <f t="shared" si="89"/>
        <v>11084</v>
      </c>
      <c r="AU382" s="50">
        <f t="shared" si="90"/>
        <v>13692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6137</v>
      </c>
      <c r="AR383" s="189">
        <f t="shared" si="92"/>
        <v>6846</v>
      </c>
      <c r="AS383" s="189">
        <f t="shared" si="88"/>
        <v>5542</v>
      </c>
      <c r="AT383" s="189">
        <f t="shared" si="89"/>
        <v>11084</v>
      </c>
      <c r="AU383" s="50">
        <f t="shared" si="90"/>
        <v>13692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6137</v>
      </c>
      <c r="AR384" s="189">
        <f t="shared" si="92"/>
        <v>6846</v>
      </c>
      <c r="AS384" s="189">
        <f t="shared" si="88"/>
        <v>5542</v>
      </c>
      <c r="AT384" s="189">
        <f t="shared" si="89"/>
        <v>11084</v>
      </c>
      <c r="AU384" s="50">
        <f t="shared" si="90"/>
        <v>13692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6137</v>
      </c>
      <c r="AR385" s="189">
        <f t="shared" si="92"/>
        <v>6846</v>
      </c>
      <c r="AS385" s="189">
        <f t="shared" si="88"/>
        <v>5542</v>
      </c>
      <c r="AT385" s="189">
        <f t="shared" si="89"/>
        <v>11084</v>
      </c>
      <c r="AU385" s="50">
        <f t="shared" si="90"/>
        <v>13692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6137</v>
      </c>
      <c r="AR386" s="189">
        <f t="shared" si="92"/>
        <v>6846</v>
      </c>
      <c r="AS386" s="189">
        <f t="shared" si="88"/>
        <v>5542</v>
      </c>
      <c r="AT386" s="189">
        <f t="shared" si="89"/>
        <v>11084</v>
      </c>
      <c r="AU386" s="50">
        <f t="shared" si="90"/>
        <v>13692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6137</v>
      </c>
      <c r="AR387" s="189">
        <f t="shared" si="92"/>
        <v>6846</v>
      </c>
      <c r="AS387" s="189">
        <f t="shared" ref="AS387:AS450" si="93">$AG$3*(1+$AJ387*$Y$2+$AN387)*(MAXA(1-$AI$3-$AL387*$AA$3-$AP387-0.36,0)+MINA($AI$3+$AL387*$AA$3+$AP387+0.36,1)*(1+$AH$3+$AO387+$AK387*$Z$4))</f>
        <v>5542</v>
      </c>
      <c r="AT387" s="189">
        <f t="shared" ref="AT387:AT450" si="94">$AG$3*(1+$AJ387*$Y$2+$AN387)*(MAXA(1-$AI$3-$AL387*$AA$3-$AP387-0.36,0)+2*MINA($AI$3+$AL387*$AA$3+$AP387+0.36,1)*(1+$AH$3+$AO387+$AK387*$Z$4))</f>
        <v>11084</v>
      </c>
      <c r="AU387" s="50">
        <f t="shared" ref="AU387:AU450" si="95">$AG$3*(1+$AJ387*$Y$2+$AN387)*(MAXA(1-$AI$3-$AL387*$AA$3-$AP387-0.12,0)+2*MINA($AI$3+$AL387*$AA$3+$AP387+0.12,1)*(1+$AH$3+$AO387+$AK387*$Z$4+0.4))</f>
        <v>13692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5041.3600000000006</v>
      </c>
      <c r="AR388" s="189">
        <f t="shared" ref="AR388:AR451" si="97">$AG$3*(1+$AJ388*$Y$2+$AN388)*(MAXA(1-$AI$3-$AL388*$AA$3-$AP388-0.12,0)+MINA($AI$3+$AL388*$AA$3+$AP388+0.12,1)*(1+$AH$3+$AO388+$AK388*$Z$4+0.4))</f>
        <v>5045.3300000000008</v>
      </c>
      <c r="AS388" s="189">
        <f t="shared" si="93"/>
        <v>5278.73</v>
      </c>
      <c r="AT388" s="189">
        <f t="shared" si="94"/>
        <v>8651.36</v>
      </c>
      <c r="AU388" s="50">
        <f t="shared" si="95"/>
        <v>7250.96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5338.16</v>
      </c>
      <c r="AR389" s="189">
        <f t="shared" si="97"/>
        <v>5473.2300000000005</v>
      </c>
      <c r="AS389" s="189">
        <f t="shared" si="93"/>
        <v>5551.03</v>
      </c>
      <c r="AT389" s="189">
        <f t="shared" si="94"/>
        <v>9584.9599999999991</v>
      </c>
      <c r="AU389" s="50">
        <f t="shared" si="95"/>
        <v>8495.76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5634.9599999999991</v>
      </c>
      <c r="AR390" s="189">
        <f t="shared" si="97"/>
        <v>5901.1299999999992</v>
      </c>
      <c r="AS390" s="189">
        <f t="shared" si="93"/>
        <v>5823.33</v>
      </c>
      <c r="AT390" s="189">
        <f t="shared" si="94"/>
        <v>10518.56</v>
      </c>
      <c r="AU390" s="50">
        <f t="shared" si="95"/>
        <v>9740.56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5931.76</v>
      </c>
      <c r="AR391" s="189">
        <f t="shared" si="97"/>
        <v>6329.0299999999988</v>
      </c>
      <c r="AS391" s="189">
        <f t="shared" si="93"/>
        <v>6095.6299999999992</v>
      </c>
      <c r="AT391" s="189">
        <f t="shared" si="94"/>
        <v>11452.159999999998</v>
      </c>
      <c r="AU391" s="50">
        <f t="shared" si="95"/>
        <v>10985.359999999999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6228.5599999999995</v>
      </c>
      <c r="AR392" s="189">
        <f t="shared" si="97"/>
        <v>6756.93</v>
      </c>
      <c r="AS392" s="189">
        <f t="shared" si="93"/>
        <v>6367.93</v>
      </c>
      <c r="AT392" s="189">
        <f t="shared" si="94"/>
        <v>12385.759999999998</v>
      </c>
      <c r="AU392" s="50">
        <f t="shared" si="95"/>
        <v>12230.160000000002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6525.36</v>
      </c>
      <c r="AR393" s="189">
        <f t="shared" si="97"/>
        <v>7184.8300000000008</v>
      </c>
      <c r="AS393" s="189">
        <f t="shared" si="93"/>
        <v>6613</v>
      </c>
      <c r="AT393" s="189">
        <f t="shared" si="94"/>
        <v>13226</v>
      </c>
      <c r="AU393" s="50">
        <f t="shared" si="95"/>
        <v>13474.960000000001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6822.16</v>
      </c>
      <c r="AR394" s="189">
        <f t="shared" si="97"/>
        <v>7612.73</v>
      </c>
      <c r="AS394" s="189">
        <f t="shared" si="93"/>
        <v>6613</v>
      </c>
      <c r="AT394" s="189">
        <f t="shared" si="94"/>
        <v>13226</v>
      </c>
      <c r="AU394" s="50">
        <f t="shared" si="95"/>
        <v>14719.759999999998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7118.96</v>
      </c>
      <c r="AR395" s="189">
        <f t="shared" si="97"/>
        <v>8040.630000000001</v>
      </c>
      <c r="AS395" s="189">
        <f t="shared" si="93"/>
        <v>6613</v>
      </c>
      <c r="AT395" s="189">
        <f t="shared" si="94"/>
        <v>13226</v>
      </c>
      <c r="AU395" s="50">
        <f t="shared" si="95"/>
        <v>15964.56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7208</v>
      </c>
      <c r="AR396" s="189">
        <f t="shared" si="97"/>
        <v>8169</v>
      </c>
      <c r="AS396" s="189">
        <f t="shared" si="93"/>
        <v>6613</v>
      </c>
      <c r="AT396" s="189">
        <f t="shared" si="94"/>
        <v>13226</v>
      </c>
      <c r="AU396" s="50">
        <f t="shared" si="95"/>
        <v>16338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7208</v>
      </c>
      <c r="AR397" s="189">
        <f t="shared" si="97"/>
        <v>8169</v>
      </c>
      <c r="AS397" s="189">
        <f t="shared" si="93"/>
        <v>6613</v>
      </c>
      <c r="AT397" s="189">
        <f t="shared" si="94"/>
        <v>13226</v>
      </c>
      <c r="AU397" s="50">
        <f t="shared" si="95"/>
        <v>16338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7208</v>
      </c>
      <c r="AR398" s="189">
        <f t="shared" si="97"/>
        <v>8169</v>
      </c>
      <c r="AS398" s="189">
        <f t="shared" si="93"/>
        <v>6613</v>
      </c>
      <c r="AT398" s="189">
        <f t="shared" si="94"/>
        <v>13226</v>
      </c>
      <c r="AU398" s="50">
        <f t="shared" si="95"/>
        <v>16338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3807.9900000000002</v>
      </c>
      <c r="AR399" s="189">
        <f t="shared" si="97"/>
        <v>3541.4200000000005</v>
      </c>
      <c r="AS399" s="189">
        <f t="shared" si="93"/>
        <v>4219.42</v>
      </c>
      <c r="AT399" s="189">
        <f t="shared" si="94"/>
        <v>7331.4400000000014</v>
      </c>
      <c r="AU399" s="50">
        <f t="shared" si="95"/>
        <v>5433.04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4251.6899999999996</v>
      </c>
      <c r="AR400" s="189">
        <f t="shared" si="97"/>
        <v>4016.0200000000004</v>
      </c>
      <c r="AS400" s="189">
        <f t="shared" si="93"/>
        <v>4603.62</v>
      </c>
      <c r="AT400" s="189">
        <f t="shared" si="94"/>
        <v>8325.84</v>
      </c>
      <c r="AU400" s="50">
        <f t="shared" si="95"/>
        <v>6608.24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4695.3899999999994</v>
      </c>
      <c r="AR401" s="189">
        <f t="shared" si="97"/>
        <v>4490.619999999999</v>
      </c>
      <c r="AS401" s="189">
        <f t="shared" si="93"/>
        <v>4987.82</v>
      </c>
      <c r="AT401" s="189">
        <f t="shared" si="94"/>
        <v>9320.24</v>
      </c>
      <c r="AU401" s="50">
        <f t="shared" si="95"/>
        <v>7783.4399999999987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5139.0899999999992</v>
      </c>
      <c r="AR402" s="189">
        <f t="shared" si="97"/>
        <v>4965.22</v>
      </c>
      <c r="AS402" s="189">
        <f t="shared" si="93"/>
        <v>5372.0199999999995</v>
      </c>
      <c r="AT402" s="189">
        <f t="shared" si="94"/>
        <v>10314.64</v>
      </c>
      <c r="AU402" s="50">
        <f t="shared" si="95"/>
        <v>8958.64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5582.7900000000009</v>
      </c>
      <c r="AR403" s="189">
        <f t="shared" si="97"/>
        <v>5439.8200000000006</v>
      </c>
      <c r="AS403" s="189">
        <f t="shared" si="93"/>
        <v>5756.22</v>
      </c>
      <c r="AT403" s="189">
        <f t="shared" si="94"/>
        <v>11309.04</v>
      </c>
      <c r="AU403" s="50">
        <f t="shared" si="95"/>
        <v>10133.840000000002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6026.4900000000007</v>
      </c>
      <c r="AR404" s="189">
        <f t="shared" si="97"/>
        <v>5914.42</v>
      </c>
      <c r="AS404" s="189">
        <f t="shared" si="93"/>
        <v>6102</v>
      </c>
      <c r="AT404" s="189">
        <f t="shared" si="94"/>
        <v>12204</v>
      </c>
      <c r="AU404" s="50">
        <f t="shared" si="95"/>
        <v>11309.039999999999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6470.1900000000005</v>
      </c>
      <c r="AR405" s="189">
        <f t="shared" si="97"/>
        <v>6389.0199999999995</v>
      </c>
      <c r="AS405" s="189">
        <f t="shared" si="93"/>
        <v>6102</v>
      </c>
      <c r="AT405" s="189">
        <f t="shared" si="94"/>
        <v>12204</v>
      </c>
      <c r="AU405" s="50">
        <f t="shared" si="95"/>
        <v>12484.24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6913.89</v>
      </c>
      <c r="AR406" s="189">
        <f t="shared" si="97"/>
        <v>6863.62</v>
      </c>
      <c r="AS406" s="189">
        <f t="shared" si="93"/>
        <v>6102</v>
      </c>
      <c r="AT406" s="189">
        <f t="shared" si="94"/>
        <v>12204</v>
      </c>
      <c r="AU406" s="50">
        <f t="shared" si="95"/>
        <v>13659.44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7047.0000000000009</v>
      </c>
      <c r="AR407" s="189">
        <f t="shared" si="97"/>
        <v>7006</v>
      </c>
      <c r="AS407" s="189">
        <f t="shared" si="93"/>
        <v>6102</v>
      </c>
      <c r="AT407" s="189">
        <f t="shared" si="94"/>
        <v>12204</v>
      </c>
      <c r="AU407" s="50">
        <f t="shared" si="95"/>
        <v>14012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7047.0000000000009</v>
      </c>
      <c r="AR408" s="189">
        <f t="shared" si="97"/>
        <v>7006</v>
      </c>
      <c r="AS408" s="189">
        <f t="shared" si="93"/>
        <v>6102</v>
      </c>
      <c r="AT408" s="189">
        <f t="shared" si="94"/>
        <v>12204</v>
      </c>
      <c r="AU408" s="50">
        <f t="shared" si="95"/>
        <v>14012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7047.0000000000009</v>
      </c>
      <c r="AR409" s="189">
        <f t="shared" si="97"/>
        <v>7006</v>
      </c>
      <c r="AS409" s="189">
        <f t="shared" si="93"/>
        <v>6102</v>
      </c>
      <c r="AT409" s="189">
        <f t="shared" si="94"/>
        <v>12204</v>
      </c>
      <c r="AU409" s="50">
        <f t="shared" si="95"/>
        <v>14012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4606.6500000000005</v>
      </c>
      <c r="AR410" s="189">
        <f t="shared" si="97"/>
        <v>4757.3</v>
      </c>
      <c r="AS410" s="189">
        <f t="shared" si="93"/>
        <v>4294</v>
      </c>
      <c r="AT410" s="189">
        <f t="shared" si="94"/>
        <v>8588</v>
      </c>
      <c r="AU410" s="50">
        <f t="shared" si="95"/>
        <v>9175.5999999999985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4841.55</v>
      </c>
      <c r="AR411" s="189">
        <f t="shared" si="97"/>
        <v>5051.0999999999985</v>
      </c>
      <c r="AS411" s="189">
        <f t="shared" si="93"/>
        <v>4294</v>
      </c>
      <c r="AT411" s="189">
        <f t="shared" si="94"/>
        <v>8588</v>
      </c>
      <c r="AU411" s="50">
        <f t="shared" si="95"/>
        <v>9989.1999999999971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4959</v>
      </c>
      <c r="AR412" s="189">
        <f t="shared" si="97"/>
        <v>5198</v>
      </c>
      <c r="AS412" s="189">
        <f t="shared" si="93"/>
        <v>4294</v>
      </c>
      <c r="AT412" s="189">
        <f t="shared" si="94"/>
        <v>8588</v>
      </c>
      <c r="AU412" s="50">
        <f t="shared" si="95"/>
        <v>10396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4959</v>
      </c>
      <c r="AR413" s="189">
        <f t="shared" si="97"/>
        <v>5198</v>
      </c>
      <c r="AS413" s="189">
        <f t="shared" si="93"/>
        <v>4294</v>
      </c>
      <c r="AT413" s="189">
        <f t="shared" si="94"/>
        <v>8588</v>
      </c>
      <c r="AU413" s="50">
        <f t="shared" si="95"/>
        <v>10396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4959</v>
      </c>
      <c r="AR414" s="189">
        <f t="shared" si="97"/>
        <v>5198</v>
      </c>
      <c r="AS414" s="189">
        <f t="shared" si="93"/>
        <v>4294</v>
      </c>
      <c r="AT414" s="189">
        <f t="shared" si="94"/>
        <v>8588</v>
      </c>
      <c r="AU414" s="50">
        <f t="shared" si="95"/>
        <v>10396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4959</v>
      </c>
      <c r="AR415" s="189">
        <f t="shared" si="97"/>
        <v>5198</v>
      </c>
      <c r="AS415" s="189">
        <f t="shared" si="93"/>
        <v>4294</v>
      </c>
      <c r="AT415" s="189">
        <f t="shared" si="94"/>
        <v>8588</v>
      </c>
      <c r="AU415" s="50">
        <f t="shared" si="95"/>
        <v>10396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4959</v>
      </c>
      <c r="AR416" s="189">
        <f t="shared" si="97"/>
        <v>5198</v>
      </c>
      <c r="AS416" s="189">
        <f t="shared" si="93"/>
        <v>4294</v>
      </c>
      <c r="AT416" s="189">
        <f t="shared" si="94"/>
        <v>8588</v>
      </c>
      <c r="AU416" s="50">
        <f t="shared" si="95"/>
        <v>10396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4959</v>
      </c>
      <c r="AR417" s="189">
        <f t="shared" si="97"/>
        <v>5198</v>
      </c>
      <c r="AS417" s="189">
        <f t="shared" si="93"/>
        <v>4294</v>
      </c>
      <c r="AT417" s="189">
        <f t="shared" si="94"/>
        <v>8588</v>
      </c>
      <c r="AU417" s="50">
        <f t="shared" si="95"/>
        <v>10396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4959</v>
      </c>
      <c r="AR418" s="189">
        <f t="shared" si="97"/>
        <v>5198</v>
      </c>
      <c r="AS418" s="189">
        <f t="shared" si="93"/>
        <v>4294</v>
      </c>
      <c r="AT418" s="189">
        <f t="shared" si="94"/>
        <v>8588</v>
      </c>
      <c r="AU418" s="50">
        <f t="shared" si="95"/>
        <v>10396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4959</v>
      </c>
      <c r="AR419" s="189">
        <f t="shared" si="97"/>
        <v>5198</v>
      </c>
      <c r="AS419" s="189">
        <f t="shared" si="93"/>
        <v>4294</v>
      </c>
      <c r="AT419" s="189">
        <f t="shared" si="94"/>
        <v>8588</v>
      </c>
      <c r="AU419" s="50">
        <f t="shared" si="95"/>
        <v>10396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4959</v>
      </c>
      <c r="AR420" s="189">
        <f t="shared" si="97"/>
        <v>5198</v>
      </c>
      <c r="AS420" s="189">
        <f t="shared" si="93"/>
        <v>4294</v>
      </c>
      <c r="AT420" s="189">
        <f t="shared" si="94"/>
        <v>8588</v>
      </c>
      <c r="AU420" s="50">
        <f t="shared" si="95"/>
        <v>10396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4027.3199999999997</v>
      </c>
      <c r="AR421" s="189">
        <f t="shared" si="97"/>
        <v>3904.39</v>
      </c>
      <c r="AS421" s="189">
        <f t="shared" si="93"/>
        <v>4216.51</v>
      </c>
      <c r="AT421" s="189">
        <f t="shared" si="94"/>
        <v>7016.92</v>
      </c>
      <c r="AU421" s="50">
        <f t="shared" si="95"/>
        <v>5699.08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4318.92</v>
      </c>
      <c r="AR422" s="189">
        <f t="shared" si="97"/>
        <v>4280.0899999999992</v>
      </c>
      <c r="AS422" s="189">
        <f t="shared" si="93"/>
        <v>4476.6099999999997</v>
      </c>
      <c r="AT422" s="189">
        <f t="shared" si="94"/>
        <v>7826.1200000000008</v>
      </c>
      <c r="AU422" s="50">
        <f t="shared" si="95"/>
        <v>6739.48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4610.5199999999995</v>
      </c>
      <c r="AR423" s="189">
        <f t="shared" si="97"/>
        <v>4655.7899999999991</v>
      </c>
      <c r="AS423" s="189">
        <f t="shared" si="93"/>
        <v>4736.7099999999991</v>
      </c>
      <c r="AT423" s="189">
        <f t="shared" si="94"/>
        <v>8635.32</v>
      </c>
      <c r="AU423" s="50">
        <f t="shared" si="95"/>
        <v>7779.8799999999992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4902.12</v>
      </c>
      <c r="AR424" s="189">
        <f t="shared" si="97"/>
        <v>5031.4899999999989</v>
      </c>
      <c r="AS424" s="189">
        <f t="shared" si="93"/>
        <v>4996.8100000000004</v>
      </c>
      <c r="AT424" s="189">
        <f t="shared" si="94"/>
        <v>9444.5199999999986</v>
      </c>
      <c r="AU424" s="50">
        <f t="shared" si="95"/>
        <v>8820.2799999999988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5193.7199999999993</v>
      </c>
      <c r="AR425" s="189">
        <f t="shared" si="97"/>
        <v>5407.19</v>
      </c>
      <c r="AS425" s="189">
        <f t="shared" si="93"/>
        <v>5256.91</v>
      </c>
      <c r="AT425" s="189">
        <f t="shared" si="94"/>
        <v>10253.719999999999</v>
      </c>
      <c r="AU425" s="50">
        <f t="shared" si="95"/>
        <v>9860.68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5485.32</v>
      </c>
      <c r="AR426" s="189">
        <f t="shared" si="97"/>
        <v>5782.8899999999994</v>
      </c>
      <c r="AS426" s="189">
        <f t="shared" si="93"/>
        <v>5491</v>
      </c>
      <c r="AT426" s="189">
        <f t="shared" si="94"/>
        <v>10982</v>
      </c>
      <c r="AU426" s="50">
        <f t="shared" si="95"/>
        <v>10901.08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5776.92</v>
      </c>
      <c r="AR427" s="189">
        <f t="shared" si="97"/>
        <v>6158.5899999999992</v>
      </c>
      <c r="AS427" s="189">
        <f t="shared" si="93"/>
        <v>5491</v>
      </c>
      <c r="AT427" s="189">
        <f t="shared" si="94"/>
        <v>10982</v>
      </c>
      <c r="AU427" s="50">
        <f t="shared" si="95"/>
        <v>11941.48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6068.52</v>
      </c>
      <c r="AR428" s="189">
        <f t="shared" si="97"/>
        <v>6534.29</v>
      </c>
      <c r="AS428" s="189">
        <f t="shared" si="93"/>
        <v>5491</v>
      </c>
      <c r="AT428" s="189">
        <f t="shared" si="94"/>
        <v>10982</v>
      </c>
      <c r="AU428" s="50">
        <f t="shared" si="95"/>
        <v>12981.88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6156</v>
      </c>
      <c r="AR429" s="189">
        <f t="shared" si="97"/>
        <v>6646.9999999999991</v>
      </c>
      <c r="AS429" s="189">
        <f t="shared" si="93"/>
        <v>5491</v>
      </c>
      <c r="AT429" s="189">
        <f t="shared" si="94"/>
        <v>10982</v>
      </c>
      <c r="AU429" s="50">
        <f t="shared" si="95"/>
        <v>13293.999999999998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6156</v>
      </c>
      <c r="AR430" s="189">
        <f t="shared" si="97"/>
        <v>6646.9999999999991</v>
      </c>
      <c r="AS430" s="189">
        <f t="shared" si="93"/>
        <v>5491</v>
      </c>
      <c r="AT430" s="189">
        <f t="shared" si="94"/>
        <v>10982</v>
      </c>
      <c r="AU430" s="50">
        <f t="shared" si="95"/>
        <v>13293.999999999998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6156</v>
      </c>
      <c r="AR431" s="189">
        <f t="shared" si="97"/>
        <v>6646.9999999999991</v>
      </c>
      <c r="AS431" s="189">
        <f t="shared" si="93"/>
        <v>5491</v>
      </c>
      <c r="AT431" s="189">
        <f t="shared" si="94"/>
        <v>10982</v>
      </c>
      <c r="AU431" s="50">
        <f t="shared" si="95"/>
        <v>13293.999999999998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4099.79</v>
      </c>
      <c r="AR432" s="189">
        <f t="shared" si="97"/>
        <v>3854.8200000000006</v>
      </c>
      <c r="AS432" s="189">
        <f t="shared" si="93"/>
        <v>4592.8200000000006</v>
      </c>
      <c r="AT432" s="189">
        <f t="shared" si="94"/>
        <v>7980.2400000000016</v>
      </c>
      <c r="AU432" s="50">
        <f t="shared" si="95"/>
        <v>5913.84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4577.49</v>
      </c>
      <c r="AR433" s="189">
        <f t="shared" si="97"/>
        <v>4371.42</v>
      </c>
      <c r="AS433" s="189">
        <f t="shared" si="93"/>
        <v>5011.0199999999995</v>
      </c>
      <c r="AT433" s="189">
        <f t="shared" si="94"/>
        <v>9062.6400000000012</v>
      </c>
      <c r="AU433" s="50">
        <f t="shared" si="95"/>
        <v>7193.04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5055.1899999999996</v>
      </c>
      <c r="AR434" s="189">
        <f t="shared" si="97"/>
        <v>4888.0199999999995</v>
      </c>
      <c r="AS434" s="189">
        <f t="shared" si="93"/>
        <v>5429.2199999999993</v>
      </c>
      <c r="AT434" s="189">
        <f t="shared" si="94"/>
        <v>10145.039999999999</v>
      </c>
      <c r="AU434" s="50">
        <f t="shared" si="95"/>
        <v>8472.239999999998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5532.8899999999994</v>
      </c>
      <c r="AR435" s="189">
        <f t="shared" si="97"/>
        <v>5404.62</v>
      </c>
      <c r="AS435" s="189">
        <f t="shared" si="93"/>
        <v>5847.4199999999992</v>
      </c>
      <c r="AT435" s="189">
        <f t="shared" si="94"/>
        <v>11227.44</v>
      </c>
      <c r="AU435" s="50">
        <f t="shared" si="95"/>
        <v>9751.44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6010.5900000000011</v>
      </c>
      <c r="AR436" s="189">
        <f t="shared" si="97"/>
        <v>5921.2200000000012</v>
      </c>
      <c r="AS436" s="189">
        <f t="shared" si="93"/>
        <v>6265.6200000000008</v>
      </c>
      <c r="AT436" s="189">
        <f t="shared" si="94"/>
        <v>12309.840000000002</v>
      </c>
      <c r="AU436" s="50">
        <f t="shared" si="95"/>
        <v>11030.640000000003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6488.2900000000009</v>
      </c>
      <c r="AR437" s="189">
        <f t="shared" si="97"/>
        <v>6437.82</v>
      </c>
      <c r="AS437" s="189">
        <f t="shared" si="93"/>
        <v>6642</v>
      </c>
      <c r="AT437" s="189">
        <f t="shared" si="94"/>
        <v>13284</v>
      </c>
      <c r="AU437" s="50">
        <f t="shared" si="95"/>
        <v>12309.839999999998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6965.9900000000007</v>
      </c>
      <c r="AR438" s="189">
        <f t="shared" si="97"/>
        <v>6954.42</v>
      </c>
      <c r="AS438" s="189">
        <f t="shared" si="93"/>
        <v>6642</v>
      </c>
      <c r="AT438" s="189">
        <f t="shared" si="94"/>
        <v>13284</v>
      </c>
      <c r="AU438" s="50">
        <f t="shared" si="95"/>
        <v>13589.04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7443.6900000000005</v>
      </c>
      <c r="AR439" s="189">
        <f t="shared" si="97"/>
        <v>7471.0199999999995</v>
      </c>
      <c r="AS439" s="189">
        <f t="shared" si="93"/>
        <v>6642</v>
      </c>
      <c r="AT439" s="189">
        <f t="shared" si="94"/>
        <v>13284</v>
      </c>
      <c r="AU439" s="50">
        <f t="shared" si="95"/>
        <v>14868.240000000002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7587.0000000000009</v>
      </c>
      <c r="AR440" s="189">
        <f t="shared" si="97"/>
        <v>7626</v>
      </c>
      <c r="AS440" s="189">
        <f t="shared" si="93"/>
        <v>6642</v>
      </c>
      <c r="AT440" s="189">
        <f t="shared" si="94"/>
        <v>13284</v>
      </c>
      <c r="AU440" s="50">
        <f t="shared" si="95"/>
        <v>15252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7587.0000000000009</v>
      </c>
      <c r="AR441" s="189">
        <f t="shared" si="97"/>
        <v>7626</v>
      </c>
      <c r="AS441" s="189">
        <f t="shared" si="93"/>
        <v>6642</v>
      </c>
      <c r="AT441" s="189">
        <f t="shared" si="94"/>
        <v>13284</v>
      </c>
      <c r="AU441" s="50">
        <f t="shared" si="95"/>
        <v>15252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7587.0000000000009</v>
      </c>
      <c r="AR442" s="189">
        <f t="shared" si="97"/>
        <v>7626</v>
      </c>
      <c r="AS442" s="189">
        <f t="shared" si="93"/>
        <v>6642</v>
      </c>
      <c r="AT442" s="189">
        <f t="shared" si="94"/>
        <v>13284</v>
      </c>
      <c r="AU442" s="50">
        <f t="shared" si="95"/>
        <v>15252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4959.6500000000005</v>
      </c>
      <c r="AR443" s="189">
        <f t="shared" si="97"/>
        <v>5178.3</v>
      </c>
      <c r="AS443" s="189">
        <f t="shared" si="93"/>
        <v>4674</v>
      </c>
      <c r="AT443" s="189">
        <f t="shared" si="94"/>
        <v>9348</v>
      </c>
      <c r="AU443" s="50">
        <f t="shared" si="95"/>
        <v>9987.5999999999985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5212.55</v>
      </c>
      <c r="AR444" s="189">
        <f t="shared" si="97"/>
        <v>5498.0999999999985</v>
      </c>
      <c r="AS444" s="189">
        <f t="shared" si="93"/>
        <v>4674</v>
      </c>
      <c r="AT444" s="189">
        <f t="shared" si="94"/>
        <v>9348</v>
      </c>
      <c r="AU444" s="50">
        <f t="shared" si="95"/>
        <v>10873.199999999997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5339</v>
      </c>
      <c r="AR445" s="189">
        <f t="shared" si="97"/>
        <v>5658</v>
      </c>
      <c r="AS445" s="189">
        <f t="shared" si="93"/>
        <v>4674</v>
      </c>
      <c r="AT445" s="189">
        <f t="shared" si="94"/>
        <v>9348</v>
      </c>
      <c r="AU445" s="50">
        <f t="shared" si="95"/>
        <v>11316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5339</v>
      </c>
      <c r="AR446" s="189">
        <f t="shared" si="97"/>
        <v>5658</v>
      </c>
      <c r="AS446" s="189">
        <f t="shared" si="93"/>
        <v>4674</v>
      </c>
      <c r="AT446" s="189">
        <f t="shared" si="94"/>
        <v>9348</v>
      </c>
      <c r="AU446" s="50">
        <f t="shared" si="95"/>
        <v>11316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5339</v>
      </c>
      <c r="AR447" s="189">
        <f t="shared" si="97"/>
        <v>5658</v>
      </c>
      <c r="AS447" s="189">
        <f t="shared" si="93"/>
        <v>4674</v>
      </c>
      <c r="AT447" s="189">
        <f t="shared" si="94"/>
        <v>9348</v>
      </c>
      <c r="AU447" s="50">
        <f t="shared" si="95"/>
        <v>11316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5339</v>
      </c>
      <c r="AR448" s="189">
        <f t="shared" si="97"/>
        <v>5658</v>
      </c>
      <c r="AS448" s="189">
        <f t="shared" si="93"/>
        <v>4674</v>
      </c>
      <c r="AT448" s="189">
        <f t="shared" si="94"/>
        <v>9348</v>
      </c>
      <c r="AU448" s="50">
        <f t="shared" si="95"/>
        <v>11316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5339</v>
      </c>
      <c r="AR449" s="189">
        <f t="shared" si="97"/>
        <v>5658</v>
      </c>
      <c r="AS449" s="189">
        <f t="shared" si="93"/>
        <v>4674</v>
      </c>
      <c r="AT449" s="189">
        <f t="shared" si="94"/>
        <v>9348</v>
      </c>
      <c r="AU449" s="50">
        <f t="shared" si="95"/>
        <v>11316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5339</v>
      </c>
      <c r="AR450" s="189">
        <f t="shared" si="97"/>
        <v>5658</v>
      </c>
      <c r="AS450" s="189">
        <f t="shared" si="93"/>
        <v>4674</v>
      </c>
      <c r="AT450" s="189">
        <f t="shared" si="94"/>
        <v>9348</v>
      </c>
      <c r="AU450" s="50">
        <f t="shared" si="95"/>
        <v>11316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5339</v>
      </c>
      <c r="AR451" s="189">
        <f t="shared" si="97"/>
        <v>5658</v>
      </c>
      <c r="AS451" s="189">
        <f t="shared" ref="AS451:AS514" si="98">$AG$3*(1+$AJ451*$Y$2+$AN451)*(MAXA(1-$AI$3-$AL451*$AA$3-$AP451-0.36,0)+MINA($AI$3+$AL451*$AA$3+$AP451+0.36,1)*(1+$AH$3+$AO451+$AK451*$Z$4))</f>
        <v>4674</v>
      </c>
      <c r="AT451" s="189">
        <f t="shared" ref="AT451:AT514" si="99">$AG$3*(1+$AJ451*$Y$2+$AN451)*(MAXA(1-$AI$3-$AL451*$AA$3-$AP451-0.36,0)+2*MINA($AI$3+$AL451*$AA$3+$AP451+0.36,1)*(1+$AH$3+$AO451+$AK451*$Z$4))</f>
        <v>9348</v>
      </c>
      <c r="AU451" s="50">
        <f t="shared" ref="AU451:AU514" si="100">$AG$3*(1+$AJ451*$Y$2+$AN451)*(MAXA(1-$AI$3-$AL451*$AA$3-$AP451-0.12,0)+2*MINA($AI$3+$AL451*$AA$3+$AP451+0.12,1)*(1+$AH$3+$AO451+$AK451*$Z$4+0.4))</f>
        <v>11316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5339</v>
      </c>
      <c r="AR452" s="189">
        <f t="shared" ref="AR452:AR515" si="102">$AG$3*(1+$AJ452*$Y$2+$AN452)*(MAXA(1-$AI$3-$AL452*$AA$3-$AP452-0.12,0)+MINA($AI$3+$AL452*$AA$3+$AP452+0.12,1)*(1+$AH$3+$AO452+$AK452*$Z$4+0.4))</f>
        <v>5658</v>
      </c>
      <c r="AS452" s="189">
        <f t="shared" si="98"/>
        <v>4674</v>
      </c>
      <c r="AT452" s="189">
        <f t="shared" si="99"/>
        <v>9348</v>
      </c>
      <c r="AU452" s="50">
        <f t="shared" si="100"/>
        <v>11316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5339</v>
      </c>
      <c r="AR453" s="189">
        <f t="shared" si="102"/>
        <v>5658</v>
      </c>
      <c r="AS453" s="189">
        <f t="shared" si="98"/>
        <v>4674</v>
      </c>
      <c r="AT453" s="189">
        <f t="shared" si="99"/>
        <v>9348</v>
      </c>
      <c r="AU453" s="50">
        <f t="shared" si="100"/>
        <v>11316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4275.92</v>
      </c>
      <c r="AR454" s="189">
        <f t="shared" si="102"/>
        <v>4174.59</v>
      </c>
      <c r="AS454" s="189">
        <f t="shared" si="98"/>
        <v>4508.3100000000013</v>
      </c>
      <c r="AT454" s="189">
        <f t="shared" si="99"/>
        <v>7502.5200000000013</v>
      </c>
      <c r="AU454" s="50">
        <f t="shared" si="100"/>
        <v>6093.4800000000005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4585.5200000000004</v>
      </c>
      <c r="AR455" s="189">
        <f t="shared" si="102"/>
        <v>4576.29</v>
      </c>
      <c r="AS455" s="189">
        <f t="shared" si="98"/>
        <v>4786.4100000000008</v>
      </c>
      <c r="AT455" s="189">
        <f t="shared" si="99"/>
        <v>8367.7200000000012</v>
      </c>
      <c r="AU455" s="50">
        <f t="shared" si="100"/>
        <v>7205.880000000001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4895.12</v>
      </c>
      <c r="AR456" s="189">
        <f t="shared" si="102"/>
        <v>4977.99</v>
      </c>
      <c r="AS456" s="189">
        <f t="shared" si="98"/>
        <v>5064.51</v>
      </c>
      <c r="AT456" s="189">
        <f t="shared" si="99"/>
        <v>9232.9200000000019</v>
      </c>
      <c r="AU456" s="50">
        <f t="shared" si="100"/>
        <v>8318.2800000000007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5204.72</v>
      </c>
      <c r="AR457" s="189">
        <f t="shared" si="102"/>
        <v>5379.69</v>
      </c>
      <c r="AS457" s="189">
        <f t="shared" si="98"/>
        <v>5342.6100000000015</v>
      </c>
      <c r="AT457" s="189">
        <f t="shared" si="99"/>
        <v>10098.120000000001</v>
      </c>
      <c r="AU457" s="50">
        <f t="shared" si="100"/>
        <v>9430.68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5514.32</v>
      </c>
      <c r="AR458" s="189">
        <f t="shared" si="102"/>
        <v>5781.3900000000012</v>
      </c>
      <c r="AS458" s="189">
        <f t="shared" si="98"/>
        <v>5620.7100000000009</v>
      </c>
      <c r="AT458" s="189">
        <f t="shared" si="99"/>
        <v>10963.32</v>
      </c>
      <c r="AU458" s="50">
        <f t="shared" si="100"/>
        <v>10543.080000000002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5823.92</v>
      </c>
      <c r="AR459" s="189">
        <f t="shared" si="102"/>
        <v>6183.09</v>
      </c>
      <c r="AS459" s="189">
        <f t="shared" si="98"/>
        <v>5871.0000000000009</v>
      </c>
      <c r="AT459" s="189">
        <f t="shared" si="99"/>
        <v>11742.000000000002</v>
      </c>
      <c r="AU459" s="50">
        <f t="shared" si="100"/>
        <v>11655.480000000001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6133.52</v>
      </c>
      <c r="AR460" s="189">
        <f t="shared" si="102"/>
        <v>6584.79</v>
      </c>
      <c r="AS460" s="189">
        <f t="shared" si="98"/>
        <v>5871.0000000000009</v>
      </c>
      <c r="AT460" s="189">
        <f t="shared" si="99"/>
        <v>11742.000000000002</v>
      </c>
      <c r="AU460" s="50">
        <f t="shared" si="100"/>
        <v>12767.880000000001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6443.1200000000008</v>
      </c>
      <c r="AR461" s="189">
        <f t="shared" si="102"/>
        <v>6986.4900000000016</v>
      </c>
      <c r="AS461" s="189">
        <f t="shared" si="98"/>
        <v>5871.0000000000009</v>
      </c>
      <c r="AT461" s="189">
        <f t="shared" si="99"/>
        <v>11742.000000000002</v>
      </c>
      <c r="AU461" s="50">
        <f t="shared" si="100"/>
        <v>13880.280000000002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6536.0000000000009</v>
      </c>
      <c r="AR462" s="189">
        <f t="shared" si="102"/>
        <v>7107.0000000000009</v>
      </c>
      <c r="AS462" s="189">
        <f t="shared" si="98"/>
        <v>5871.0000000000009</v>
      </c>
      <c r="AT462" s="189">
        <f t="shared" si="99"/>
        <v>11742.000000000002</v>
      </c>
      <c r="AU462" s="50">
        <f t="shared" si="100"/>
        <v>14214.000000000002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6536.0000000000009</v>
      </c>
      <c r="AR463" s="189">
        <f t="shared" si="102"/>
        <v>7107.0000000000009</v>
      </c>
      <c r="AS463" s="189">
        <f t="shared" si="98"/>
        <v>5871.0000000000009</v>
      </c>
      <c r="AT463" s="189">
        <f t="shared" si="99"/>
        <v>11742.000000000002</v>
      </c>
      <c r="AU463" s="50">
        <f t="shared" si="100"/>
        <v>14214.000000000002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6536.0000000000009</v>
      </c>
      <c r="AR464" s="189">
        <f t="shared" si="102"/>
        <v>7107.0000000000009</v>
      </c>
      <c r="AS464" s="189">
        <f t="shared" si="98"/>
        <v>5871.0000000000009</v>
      </c>
      <c r="AT464" s="189">
        <f t="shared" si="99"/>
        <v>11742.000000000002</v>
      </c>
      <c r="AU464" s="50">
        <f t="shared" si="100"/>
        <v>14214.000000000002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4391.59</v>
      </c>
      <c r="AR465" s="189">
        <f t="shared" si="102"/>
        <v>4168.2199999999993</v>
      </c>
      <c r="AS465" s="189">
        <f t="shared" si="98"/>
        <v>4966.2199999999993</v>
      </c>
      <c r="AT465" s="189">
        <f t="shared" si="99"/>
        <v>8629.0400000000009</v>
      </c>
      <c r="AU465" s="50">
        <f t="shared" si="100"/>
        <v>6394.6399999999985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4903.29</v>
      </c>
      <c r="AR466" s="189">
        <f t="shared" si="102"/>
        <v>4726.82</v>
      </c>
      <c r="AS466" s="189">
        <f t="shared" si="98"/>
        <v>5418.4199999999992</v>
      </c>
      <c r="AT466" s="189">
        <f t="shared" si="99"/>
        <v>9799.4399999999987</v>
      </c>
      <c r="AU466" s="50">
        <f t="shared" si="100"/>
        <v>7777.8399999999983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5414.99</v>
      </c>
      <c r="AR467" s="189">
        <f t="shared" si="102"/>
        <v>5285.4199999999983</v>
      </c>
      <c r="AS467" s="189">
        <f t="shared" si="98"/>
        <v>5870.619999999999</v>
      </c>
      <c r="AT467" s="189">
        <f t="shared" si="99"/>
        <v>10969.839999999997</v>
      </c>
      <c r="AU467" s="50">
        <f t="shared" si="100"/>
        <v>9161.0399999999972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5926.69</v>
      </c>
      <c r="AR468" s="189">
        <f t="shared" si="102"/>
        <v>5844.0199999999995</v>
      </c>
      <c r="AS468" s="189">
        <f t="shared" si="98"/>
        <v>6322.8199999999979</v>
      </c>
      <c r="AT468" s="189">
        <f t="shared" si="99"/>
        <v>12140.239999999998</v>
      </c>
      <c r="AU468" s="50">
        <f t="shared" si="100"/>
        <v>10544.239999999998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6438.39</v>
      </c>
      <c r="AR469" s="189">
        <f t="shared" si="102"/>
        <v>6402.62</v>
      </c>
      <c r="AS469" s="189">
        <f t="shared" si="98"/>
        <v>6775.0199999999995</v>
      </c>
      <c r="AT469" s="189">
        <f t="shared" si="99"/>
        <v>13310.64</v>
      </c>
      <c r="AU469" s="50">
        <f t="shared" si="100"/>
        <v>11927.44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6950.09</v>
      </c>
      <c r="AR470" s="189">
        <f t="shared" si="102"/>
        <v>6961.2199999999984</v>
      </c>
      <c r="AS470" s="189">
        <f t="shared" si="98"/>
        <v>7181.9999999999991</v>
      </c>
      <c r="AT470" s="189">
        <f t="shared" si="99"/>
        <v>14363.999999999998</v>
      </c>
      <c r="AU470" s="50">
        <f t="shared" si="100"/>
        <v>13310.639999999996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7461.79</v>
      </c>
      <c r="AR471" s="189">
        <f t="shared" si="102"/>
        <v>7519.8199999999988</v>
      </c>
      <c r="AS471" s="189">
        <f t="shared" si="98"/>
        <v>7181.9999999999991</v>
      </c>
      <c r="AT471" s="189">
        <f t="shared" si="99"/>
        <v>14363.999999999998</v>
      </c>
      <c r="AU471" s="50">
        <f t="shared" si="100"/>
        <v>14693.839999999998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7973.49</v>
      </c>
      <c r="AR472" s="189">
        <f t="shared" si="102"/>
        <v>8078.4199999999983</v>
      </c>
      <c r="AS472" s="189">
        <f t="shared" si="98"/>
        <v>7181.9999999999991</v>
      </c>
      <c r="AT472" s="189">
        <f t="shared" si="99"/>
        <v>14363.999999999998</v>
      </c>
      <c r="AU472" s="50">
        <f t="shared" si="100"/>
        <v>16077.039999999999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8127.0000000000009</v>
      </c>
      <c r="AR473" s="189">
        <f t="shared" si="102"/>
        <v>8245.9999999999982</v>
      </c>
      <c r="AS473" s="189">
        <f t="shared" si="98"/>
        <v>7181.9999999999991</v>
      </c>
      <c r="AT473" s="189">
        <f t="shared" si="99"/>
        <v>14363.999999999998</v>
      </c>
      <c r="AU473" s="50">
        <f t="shared" si="100"/>
        <v>16491.999999999996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8127.0000000000009</v>
      </c>
      <c r="AR474" s="189">
        <f t="shared" si="102"/>
        <v>8245.9999999999982</v>
      </c>
      <c r="AS474" s="189">
        <f t="shared" si="98"/>
        <v>7181.9999999999991</v>
      </c>
      <c r="AT474" s="189">
        <f t="shared" si="99"/>
        <v>14363.999999999998</v>
      </c>
      <c r="AU474" s="50">
        <f t="shared" si="100"/>
        <v>16491.999999999996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8127.0000000000009</v>
      </c>
      <c r="AR475" s="189">
        <f t="shared" si="102"/>
        <v>8245.9999999999982</v>
      </c>
      <c r="AS475" s="189">
        <f t="shared" si="98"/>
        <v>7181.9999999999991</v>
      </c>
      <c r="AT475" s="189">
        <f t="shared" si="99"/>
        <v>14363.999999999998</v>
      </c>
      <c r="AU475" s="50">
        <f t="shared" si="100"/>
        <v>16491.999999999996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5312.6500000000005</v>
      </c>
      <c r="AR476" s="189">
        <f t="shared" si="102"/>
        <v>5599.2999999999993</v>
      </c>
      <c r="AS476" s="189">
        <f t="shared" si="98"/>
        <v>5053.9999999999991</v>
      </c>
      <c r="AT476" s="189">
        <f t="shared" si="99"/>
        <v>10107.999999999998</v>
      </c>
      <c r="AU476" s="50">
        <f t="shared" si="100"/>
        <v>10799.599999999997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5583.55</v>
      </c>
      <c r="AR477" s="189">
        <f t="shared" si="102"/>
        <v>5945.0999999999976</v>
      </c>
      <c r="AS477" s="189">
        <f t="shared" si="98"/>
        <v>5053.9999999999991</v>
      </c>
      <c r="AT477" s="189">
        <f t="shared" si="99"/>
        <v>10107.999999999998</v>
      </c>
      <c r="AU477" s="50">
        <f t="shared" si="100"/>
        <v>11757.199999999995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5719</v>
      </c>
      <c r="AR478" s="189">
        <f t="shared" si="102"/>
        <v>6117.9999999999982</v>
      </c>
      <c r="AS478" s="189">
        <f t="shared" si="98"/>
        <v>5053.9999999999991</v>
      </c>
      <c r="AT478" s="189">
        <f t="shared" si="99"/>
        <v>10107.999999999998</v>
      </c>
      <c r="AU478" s="50">
        <f t="shared" si="100"/>
        <v>12235.999999999996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5719</v>
      </c>
      <c r="AR479" s="189">
        <f t="shared" si="102"/>
        <v>6117.9999999999982</v>
      </c>
      <c r="AS479" s="189">
        <f t="shared" si="98"/>
        <v>5053.9999999999991</v>
      </c>
      <c r="AT479" s="189">
        <f t="shared" si="99"/>
        <v>10107.999999999998</v>
      </c>
      <c r="AU479" s="50">
        <f t="shared" si="100"/>
        <v>12235.999999999996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5719</v>
      </c>
      <c r="AR480" s="189">
        <f t="shared" si="102"/>
        <v>6117.9999999999982</v>
      </c>
      <c r="AS480" s="189">
        <f t="shared" si="98"/>
        <v>5053.9999999999991</v>
      </c>
      <c r="AT480" s="189">
        <f t="shared" si="99"/>
        <v>10107.999999999998</v>
      </c>
      <c r="AU480" s="50">
        <f t="shared" si="100"/>
        <v>12235.999999999996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5719</v>
      </c>
      <c r="AR481" s="189">
        <f t="shared" si="102"/>
        <v>6117.9999999999982</v>
      </c>
      <c r="AS481" s="189">
        <f t="shared" si="98"/>
        <v>5053.9999999999991</v>
      </c>
      <c r="AT481" s="189">
        <f t="shared" si="99"/>
        <v>10107.999999999998</v>
      </c>
      <c r="AU481" s="50">
        <f t="shared" si="100"/>
        <v>12235.999999999996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5719</v>
      </c>
      <c r="AR482" s="189">
        <f t="shared" si="102"/>
        <v>6117.9999999999982</v>
      </c>
      <c r="AS482" s="189">
        <f t="shared" si="98"/>
        <v>5053.9999999999991</v>
      </c>
      <c r="AT482" s="189">
        <f t="shared" si="99"/>
        <v>10107.999999999998</v>
      </c>
      <c r="AU482" s="50">
        <f t="shared" si="100"/>
        <v>12235.999999999996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5719</v>
      </c>
      <c r="AR483" s="189">
        <f t="shared" si="102"/>
        <v>6117.9999999999982</v>
      </c>
      <c r="AS483" s="189">
        <f t="shared" si="98"/>
        <v>5053.9999999999991</v>
      </c>
      <c r="AT483" s="189">
        <f t="shared" si="99"/>
        <v>10107.999999999998</v>
      </c>
      <c r="AU483" s="50">
        <f t="shared" si="100"/>
        <v>12235.999999999996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5719</v>
      </c>
      <c r="AR484" s="189">
        <f t="shared" si="102"/>
        <v>6117.9999999999982</v>
      </c>
      <c r="AS484" s="189">
        <f t="shared" si="98"/>
        <v>5053.9999999999991</v>
      </c>
      <c r="AT484" s="189">
        <f t="shared" si="99"/>
        <v>10107.999999999998</v>
      </c>
      <c r="AU484" s="50">
        <f t="shared" si="100"/>
        <v>12235.999999999996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5719</v>
      </c>
      <c r="AR485" s="189">
        <f t="shared" si="102"/>
        <v>6117.9999999999982</v>
      </c>
      <c r="AS485" s="189">
        <f t="shared" si="98"/>
        <v>5053.9999999999991</v>
      </c>
      <c r="AT485" s="189">
        <f t="shared" si="99"/>
        <v>10107.999999999998</v>
      </c>
      <c r="AU485" s="50">
        <f t="shared" si="100"/>
        <v>12235.999999999996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5719</v>
      </c>
      <c r="AR486" s="189">
        <f t="shared" si="102"/>
        <v>6117.9999999999982</v>
      </c>
      <c r="AS486" s="189">
        <f t="shared" si="98"/>
        <v>5053.9999999999991</v>
      </c>
      <c r="AT486" s="189">
        <f t="shared" si="99"/>
        <v>10107.999999999998</v>
      </c>
      <c r="AU486" s="50">
        <f t="shared" si="100"/>
        <v>12235.999999999996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4524.5199999999995</v>
      </c>
      <c r="AR487" s="189">
        <f t="shared" si="102"/>
        <v>4444.79</v>
      </c>
      <c r="AS487" s="189">
        <f t="shared" si="98"/>
        <v>4800.1100000000006</v>
      </c>
      <c r="AT487" s="189">
        <f t="shared" si="99"/>
        <v>7988.12</v>
      </c>
      <c r="AU487" s="50">
        <f t="shared" si="100"/>
        <v>6487.88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4852.12</v>
      </c>
      <c r="AR488" s="189">
        <f t="shared" si="102"/>
        <v>4872.49</v>
      </c>
      <c r="AS488" s="189">
        <f t="shared" si="98"/>
        <v>5096.21</v>
      </c>
      <c r="AT488" s="189">
        <f t="shared" si="99"/>
        <v>8909.32</v>
      </c>
      <c r="AU488" s="50">
        <f t="shared" si="100"/>
        <v>7672.28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5179.7199999999993</v>
      </c>
      <c r="AR489" s="189">
        <f t="shared" si="102"/>
        <v>5300.19</v>
      </c>
      <c r="AS489" s="189">
        <f t="shared" si="98"/>
        <v>5392.3099999999995</v>
      </c>
      <c r="AT489" s="189">
        <f t="shared" si="99"/>
        <v>9830.52</v>
      </c>
      <c r="AU489" s="50">
        <f t="shared" si="100"/>
        <v>8856.6799999999985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5507.32</v>
      </c>
      <c r="AR490" s="189">
        <f t="shared" si="102"/>
        <v>5727.8899999999985</v>
      </c>
      <c r="AS490" s="189">
        <f t="shared" si="98"/>
        <v>5688.41</v>
      </c>
      <c r="AT490" s="189">
        <f t="shared" si="99"/>
        <v>10751.72</v>
      </c>
      <c r="AU490" s="50">
        <f t="shared" si="100"/>
        <v>10041.079999999998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5834.9199999999992</v>
      </c>
      <c r="AR491" s="189">
        <f t="shared" si="102"/>
        <v>6155.59</v>
      </c>
      <c r="AS491" s="189">
        <f t="shared" si="98"/>
        <v>5984.51</v>
      </c>
      <c r="AT491" s="189">
        <f t="shared" si="99"/>
        <v>11672.919999999998</v>
      </c>
      <c r="AU491" s="50">
        <f t="shared" si="100"/>
        <v>11225.48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6162.5199999999995</v>
      </c>
      <c r="AR492" s="189">
        <f t="shared" si="102"/>
        <v>6583.29</v>
      </c>
      <c r="AS492" s="189">
        <f t="shared" si="98"/>
        <v>6251</v>
      </c>
      <c r="AT492" s="189">
        <f t="shared" si="99"/>
        <v>12502</v>
      </c>
      <c r="AU492" s="50">
        <f t="shared" si="100"/>
        <v>12409.88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6490.12</v>
      </c>
      <c r="AR493" s="189">
        <f t="shared" si="102"/>
        <v>7010.9899999999989</v>
      </c>
      <c r="AS493" s="189">
        <f t="shared" si="98"/>
        <v>6251</v>
      </c>
      <c r="AT493" s="189">
        <f t="shared" si="99"/>
        <v>12502</v>
      </c>
      <c r="AU493" s="50">
        <f t="shared" si="100"/>
        <v>13594.279999999999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6817.72</v>
      </c>
      <c r="AR494" s="189">
        <f t="shared" si="102"/>
        <v>7438.6900000000005</v>
      </c>
      <c r="AS494" s="189">
        <f t="shared" si="98"/>
        <v>6251</v>
      </c>
      <c r="AT494" s="189">
        <f t="shared" si="99"/>
        <v>12502</v>
      </c>
      <c r="AU494" s="50">
        <f t="shared" si="100"/>
        <v>14778.68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6916</v>
      </c>
      <c r="AR495" s="189">
        <f t="shared" si="102"/>
        <v>7566.9999999999991</v>
      </c>
      <c r="AS495" s="189">
        <f t="shared" si="98"/>
        <v>6251</v>
      </c>
      <c r="AT495" s="189">
        <f t="shared" si="99"/>
        <v>12502</v>
      </c>
      <c r="AU495" s="50">
        <f t="shared" si="100"/>
        <v>15133.999999999998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6916</v>
      </c>
      <c r="AR496" s="189">
        <f t="shared" si="102"/>
        <v>7566.9999999999991</v>
      </c>
      <c r="AS496" s="189">
        <f t="shared" si="98"/>
        <v>6251</v>
      </c>
      <c r="AT496" s="189">
        <f t="shared" si="99"/>
        <v>12502</v>
      </c>
      <c r="AU496" s="50">
        <f t="shared" si="100"/>
        <v>15133.999999999998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6916</v>
      </c>
      <c r="AR497" s="189">
        <f t="shared" si="102"/>
        <v>7566.9999999999991</v>
      </c>
      <c r="AS497" s="189">
        <f t="shared" si="98"/>
        <v>6251</v>
      </c>
      <c r="AT497" s="189">
        <f t="shared" si="99"/>
        <v>12502</v>
      </c>
      <c r="AU497" s="50">
        <f t="shared" si="100"/>
        <v>15133.999999999998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4683.3900000000003</v>
      </c>
      <c r="AR498" s="189">
        <f t="shared" si="102"/>
        <v>4481.6200000000008</v>
      </c>
      <c r="AS498" s="189">
        <f t="shared" si="98"/>
        <v>5339.6200000000008</v>
      </c>
      <c r="AT498" s="189">
        <f t="shared" si="99"/>
        <v>9277.840000000002</v>
      </c>
      <c r="AU498" s="50">
        <f t="shared" si="100"/>
        <v>6875.44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5229.09</v>
      </c>
      <c r="AR499" s="189">
        <f t="shared" si="102"/>
        <v>5082.22</v>
      </c>
      <c r="AS499" s="189">
        <f t="shared" si="98"/>
        <v>5825.82</v>
      </c>
      <c r="AT499" s="189">
        <f t="shared" si="99"/>
        <v>10536.24</v>
      </c>
      <c r="AU499" s="50">
        <f t="shared" si="100"/>
        <v>8362.64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5774.79</v>
      </c>
      <c r="AR500" s="189">
        <f t="shared" si="102"/>
        <v>5682.8199999999988</v>
      </c>
      <c r="AS500" s="189">
        <f t="shared" si="98"/>
        <v>6312.0199999999995</v>
      </c>
      <c r="AT500" s="189">
        <f t="shared" si="99"/>
        <v>11794.64</v>
      </c>
      <c r="AU500" s="50">
        <f t="shared" si="100"/>
        <v>9849.8399999999983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6320.49</v>
      </c>
      <c r="AR501" s="189">
        <f t="shared" si="102"/>
        <v>6283.42</v>
      </c>
      <c r="AS501" s="189">
        <f t="shared" si="98"/>
        <v>6798.2199999999993</v>
      </c>
      <c r="AT501" s="189">
        <f t="shared" si="99"/>
        <v>13053.04</v>
      </c>
      <c r="AU501" s="50">
        <f t="shared" si="100"/>
        <v>11337.039999999999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6866.1900000000005</v>
      </c>
      <c r="AR502" s="189">
        <f t="shared" si="102"/>
        <v>6884.0200000000013</v>
      </c>
      <c r="AS502" s="189">
        <f t="shared" si="98"/>
        <v>7284.42</v>
      </c>
      <c r="AT502" s="189">
        <f t="shared" si="99"/>
        <v>14311.44</v>
      </c>
      <c r="AU502" s="50">
        <f t="shared" si="100"/>
        <v>12824.240000000002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7411.89</v>
      </c>
      <c r="AR503" s="189">
        <f t="shared" si="102"/>
        <v>7484.62</v>
      </c>
      <c r="AS503" s="189">
        <f t="shared" si="98"/>
        <v>7722.0000000000009</v>
      </c>
      <c r="AT503" s="189">
        <f t="shared" si="99"/>
        <v>15444.000000000002</v>
      </c>
      <c r="AU503" s="50">
        <f t="shared" si="100"/>
        <v>14311.439999999999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7957.59</v>
      </c>
      <c r="AR504" s="189">
        <f t="shared" si="102"/>
        <v>8085.22</v>
      </c>
      <c r="AS504" s="189">
        <f t="shared" si="98"/>
        <v>7722.0000000000009</v>
      </c>
      <c r="AT504" s="189">
        <f t="shared" si="99"/>
        <v>15444.000000000002</v>
      </c>
      <c r="AU504" s="50">
        <f t="shared" si="100"/>
        <v>15798.64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8503.2900000000009</v>
      </c>
      <c r="AR505" s="189">
        <f t="shared" si="102"/>
        <v>8685.82</v>
      </c>
      <c r="AS505" s="189">
        <f t="shared" si="98"/>
        <v>7722.0000000000009</v>
      </c>
      <c r="AT505" s="189">
        <f t="shared" si="99"/>
        <v>15444.000000000002</v>
      </c>
      <c r="AU505" s="50">
        <f t="shared" si="100"/>
        <v>17285.84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8667</v>
      </c>
      <c r="AR506" s="189">
        <f t="shared" si="102"/>
        <v>8866</v>
      </c>
      <c r="AS506" s="189">
        <f t="shared" si="98"/>
        <v>7722.0000000000009</v>
      </c>
      <c r="AT506" s="189">
        <f t="shared" si="99"/>
        <v>15444.000000000002</v>
      </c>
      <c r="AU506" s="50">
        <f t="shared" si="100"/>
        <v>17732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8667</v>
      </c>
      <c r="AR507" s="189">
        <f t="shared" si="102"/>
        <v>8866</v>
      </c>
      <c r="AS507" s="189">
        <f t="shared" si="98"/>
        <v>7722.0000000000009</v>
      </c>
      <c r="AT507" s="189">
        <f t="shared" si="99"/>
        <v>15444.000000000002</v>
      </c>
      <c r="AU507" s="50">
        <f t="shared" si="100"/>
        <v>17732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8667</v>
      </c>
      <c r="AR508" s="189">
        <f t="shared" si="102"/>
        <v>8866</v>
      </c>
      <c r="AS508" s="189">
        <f t="shared" si="98"/>
        <v>7722.0000000000009</v>
      </c>
      <c r="AT508" s="189">
        <f t="shared" si="99"/>
        <v>15444.000000000002</v>
      </c>
      <c r="AU508" s="50">
        <f t="shared" si="100"/>
        <v>17732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5665.6500000000005</v>
      </c>
      <c r="AR509" s="189">
        <f t="shared" si="102"/>
        <v>6020.3</v>
      </c>
      <c r="AS509" s="189">
        <f t="shared" si="98"/>
        <v>5434</v>
      </c>
      <c r="AT509" s="189">
        <f t="shared" si="99"/>
        <v>10868</v>
      </c>
      <c r="AU509" s="50">
        <f t="shared" si="100"/>
        <v>11611.599999999999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5954.55</v>
      </c>
      <c r="AR510" s="189">
        <f t="shared" si="102"/>
        <v>6392.0999999999985</v>
      </c>
      <c r="AS510" s="189">
        <f t="shared" si="98"/>
        <v>5434</v>
      </c>
      <c r="AT510" s="189">
        <f t="shared" si="99"/>
        <v>10868</v>
      </c>
      <c r="AU510" s="50">
        <f t="shared" si="100"/>
        <v>12641.199999999997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6099</v>
      </c>
      <c r="AR511" s="189">
        <f t="shared" si="102"/>
        <v>6577.9999999999991</v>
      </c>
      <c r="AS511" s="189">
        <f t="shared" si="98"/>
        <v>5434</v>
      </c>
      <c r="AT511" s="189">
        <f t="shared" si="99"/>
        <v>10868</v>
      </c>
      <c r="AU511" s="50">
        <f t="shared" si="100"/>
        <v>13155.999999999998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6099</v>
      </c>
      <c r="AR512" s="189">
        <f t="shared" si="102"/>
        <v>6577.9999999999991</v>
      </c>
      <c r="AS512" s="189">
        <f t="shared" si="98"/>
        <v>5434</v>
      </c>
      <c r="AT512" s="189">
        <f t="shared" si="99"/>
        <v>10868</v>
      </c>
      <c r="AU512" s="50">
        <f t="shared" si="100"/>
        <v>13155.999999999998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6099</v>
      </c>
      <c r="AR513" s="189">
        <f t="shared" si="102"/>
        <v>6577.9999999999991</v>
      </c>
      <c r="AS513" s="189">
        <f t="shared" si="98"/>
        <v>5434</v>
      </c>
      <c r="AT513" s="189">
        <f t="shared" si="99"/>
        <v>10868</v>
      </c>
      <c r="AU513" s="50">
        <f t="shared" si="100"/>
        <v>13155.999999999998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6099</v>
      </c>
      <c r="AR514" s="189">
        <f t="shared" si="102"/>
        <v>6577.9999999999991</v>
      </c>
      <c r="AS514" s="189">
        <f t="shared" si="98"/>
        <v>5434</v>
      </c>
      <c r="AT514" s="189">
        <f t="shared" si="99"/>
        <v>10868</v>
      </c>
      <c r="AU514" s="50">
        <f t="shared" si="100"/>
        <v>13155.999999999998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6099</v>
      </c>
      <c r="AR515" s="189">
        <f t="shared" si="102"/>
        <v>6577.9999999999991</v>
      </c>
      <c r="AS515" s="189">
        <f t="shared" ref="AS515:AS578" si="103">$AG$3*(1+$AJ515*$Y$2+$AN515)*(MAXA(1-$AI$3-$AL515*$AA$3-$AP515-0.36,0)+MINA($AI$3+$AL515*$AA$3+$AP515+0.36,1)*(1+$AH$3+$AO515+$AK515*$Z$4))</f>
        <v>5434</v>
      </c>
      <c r="AT515" s="189">
        <f t="shared" ref="AT515:AT578" si="104">$AG$3*(1+$AJ515*$Y$2+$AN515)*(MAXA(1-$AI$3-$AL515*$AA$3-$AP515-0.36,0)+2*MINA($AI$3+$AL515*$AA$3+$AP515+0.36,1)*(1+$AH$3+$AO515+$AK515*$Z$4))</f>
        <v>10868</v>
      </c>
      <c r="AU515" s="50">
        <f t="shared" ref="AU515:AU578" si="105">$AG$3*(1+$AJ515*$Y$2+$AN515)*(MAXA(1-$AI$3-$AL515*$AA$3-$AP515-0.12,0)+2*MINA($AI$3+$AL515*$AA$3+$AP515+0.12,1)*(1+$AH$3+$AO515+$AK515*$Z$4+0.4))</f>
        <v>13155.999999999998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6099</v>
      </c>
      <c r="AR516" s="189">
        <f t="shared" ref="AR516:AR579" si="107">$AG$3*(1+$AJ516*$Y$2+$AN516)*(MAXA(1-$AI$3-$AL516*$AA$3-$AP516-0.12,0)+MINA($AI$3+$AL516*$AA$3+$AP516+0.12,1)*(1+$AH$3+$AO516+$AK516*$Z$4+0.4))</f>
        <v>6577.9999999999991</v>
      </c>
      <c r="AS516" s="189">
        <f t="shared" si="103"/>
        <v>5434</v>
      </c>
      <c r="AT516" s="189">
        <f t="shared" si="104"/>
        <v>10868</v>
      </c>
      <c r="AU516" s="50">
        <f t="shared" si="105"/>
        <v>13155.999999999998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6099</v>
      </c>
      <c r="AR517" s="189">
        <f t="shared" si="107"/>
        <v>6577.9999999999991</v>
      </c>
      <c r="AS517" s="189">
        <f t="shared" si="103"/>
        <v>5434</v>
      </c>
      <c r="AT517" s="189">
        <f t="shared" si="104"/>
        <v>10868</v>
      </c>
      <c r="AU517" s="50">
        <f t="shared" si="105"/>
        <v>13155.999999999998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6099</v>
      </c>
      <c r="AR518" s="189">
        <f t="shared" si="107"/>
        <v>6577.9999999999991</v>
      </c>
      <c r="AS518" s="189">
        <f t="shared" si="103"/>
        <v>5434</v>
      </c>
      <c r="AT518" s="189">
        <f t="shared" si="104"/>
        <v>10868</v>
      </c>
      <c r="AU518" s="50">
        <f t="shared" si="105"/>
        <v>13155.999999999998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6099</v>
      </c>
      <c r="AR519" s="189">
        <f t="shared" si="107"/>
        <v>6577.9999999999991</v>
      </c>
      <c r="AS519" s="189">
        <f t="shared" si="103"/>
        <v>5434</v>
      </c>
      <c r="AT519" s="189">
        <f t="shared" si="104"/>
        <v>10868</v>
      </c>
      <c r="AU519" s="50">
        <f t="shared" si="105"/>
        <v>13155.999999999998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4773.12</v>
      </c>
      <c r="AR520" s="189">
        <f t="shared" si="107"/>
        <v>4714.99</v>
      </c>
      <c r="AS520" s="189">
        <f t="shared" si="103"/>
        <v>5091.91</v>
      </c>
      <c r="AT520" s="189">
        <f t="shared" si="104"/>
        <v>8473.7199999999993</v>
      </c>
      <c r="AU520" s="50">
        <f t="shared" si="105"/>
        <v>6882.28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5118.72</v>
      </c>
      <c r="AR521" s="189">
        <f t="shared" si="107"/>
        <v>5168.6899999999996</v>
      </c>
      <c r="AS521" s="189">
        <f t="shared" si="103"/>
        <v>5406.01</v>
      </c>
      <c r="AT521" s="189">
        <f t="shared" si="104"/>
        <v>9450.92</v>
      </c>
      <c r="AU521" s="50">
        <f t="shared" si="105"/>
        <v>8138.6799999999994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5464.32</v>
      </c>
      <c r="AR522" s="189">
        <f t="shared" si="107"/>
        <v>5622.3899999999994</v>
      </c>
      <c r="AS522" s="189">
        <f t="shared" si="103"/>
        <v>5720.11</v>
      </c>
      <c r="AT522" s="189">
        <f t="shared" si="104"/>
        <v>10428.120000000001</v>
      </c>
      <c r="AU522" s="50">
        <f t="shared" si="105"/>
        <v>9395.08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5809.92</v>
      </c>
      <c r="AR523" s="189">
        <f t="shared" si="107"/>
        <v>6076.0899999999992</v>
      </c>
      <c r="AS523" s="189">
        <f t="shared" si="103"/>
        <v>6034.21</v>
      </c>
      <c r="AT523" s="189">
        <f t="shared" si="104"/>
        <v>11405.32</v>
      </c>
      <c r="AU523" s="50">
        <f t="shared" si="105"/>
        <v>10651.479999999998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6155.5199999999995</v>
      </c>
      <c r="AR524" s="189">
        <f t="shared" si="107"/>
        <v>6529.79</v>
      </c>
      <c r="AS524" s="189">
        <f t="shared" si="103"/>
        <v>6348.3099999999995</v>
      </c>
      <c r="AT524" s="189">
        <f t="shared" si="104"/>
        <v>12382.519999999999</v>
      </c>
      <c r="AU524" s="50">
        <f t="shared" si="105"/>
        <v>11907.88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6501.12</v>
      </c>
      <c r="AR525" s="189">
        <f t="shared" si="107"/>
        <v>6983.49</v>
      </c>
      <c r="AS525" s="189">
        <f t="shared" si="103"/>
        <v>6631</v>
      </c>
      <c r="AT525" s="189">
        <f t="shared" si="104"/>
        <v>13262</v>
      </c>
      <c r="AU525" s="50">
        <f t="shared" si="105"/>
        <v>13164.279999999999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6846.72</v>
      </c>
      <c r="AR526" s="189">
        <f t="shared" si="107"/>
        <v>7437.19</v>
      </c>
      <c r="AS526" s="189">
        <f t="shared" si="103"/>
        <v>6631</v>
      </c>
      <c r="AT526" s="189">
        <f t="shared" si="104"/>
        <v>13262</v>
      </c>
      <c r="AU526" s="50">
        <f t="shared" si="105"/>
        <v>14420.679999999998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7192.3200000000006</v>
      </c>
      <c r="AR527" s="189">
        <f t="shared" si="107"/>
        <v>7890.89</v>
      </c>
      <c r="AS527" s="189">
        <f t="shared" si="103"/>
        <v>6631</v>
      </c>
      <c r="AT527" s="189">
        <f t="shared" si="104"/>
        <v>13262</v>
      </c>
      <c r="AU527" s="50">
        <f t="shared" si="105"/>
        <v>15677.08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7296.0000000000009</v>
      </c>
      <c r="AR528" s="189">
        <f t="shared" si="107"/>
        <v>8026.9999999999991</v>
      </c>
      <c r="AS528" s="189">
        <f t="shared" si="103"/>
        <v>6631</v>
      </c>
      <c r="AT528" s="189">
        <f t="shared" si="104"/>
        <v>13262</v>
      </c>
      <c r="AU528" s="50">
        <f t="shared" si="105"/>
        <v>16053.999999999998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7296.0000000000009</v>
      </c>
      <c r="AR529" s="189">
        <f t="shared" si="107"/>
        <v>8026.9999999999991</v>
      </c>
      <c r="AS529" s="189">
        <f t="shared" si="103"/>
        <v>6631</v>
      </c>
      <c r="AT529" s="189">
        <f t="shared" si="104"/>
        <v>13262</v>
      </c>
      <c r="AU529" s="50">
        <f t="shared" si="105"/>
        <v>16053.999999999998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7296.0000000000009</v>
      </c>
      <c r="AR530" s="189">
        <f t="shared" si="107"/>
        <v>8026.9999999999991</v>
      </c>
      <c r="AS530" s="189">
        <f t="shared" si="103"/>
        <v>6631</v>
      </c>
      <c r="AT530" s="189">
        <f t="shared" si="104"/>
        <v>13262</v>
      </c>
      <c r="AU530" s="50">
        <f t="shared" si="105"/>
        <v>16053.999999999998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4975.1899999999996</v>
      </c>
      <c r="AR531" s="189">
        <f t="shared" si="107"/>
        <v>4795.0199999999995</v>
      </c>
      <c r="AS531" s="189">
        <f t="shared" si="103"/>
        <v>5713.0199999999995</v>
      </c>
      <c r="AT531" s="189">
        <f t="shared" si="104"/>
        <v>9926.6400000000012</v>
      </c>
      <c r="AU531" s="50">
        <f t="shared" si="105"/>
        <v>7356.2399999999989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5554.8899999999994</v>
      </c>
      <c r="AR532" s="189">
        <f t="shared" si="107"/>
        <v>5437.62</v>
      </c>
      <c r="AS532" s="189">
        <f t="shared" si="103"/>
        <v>6233.2199999999984</v>
      </c>
      <c r="AT532" s="189">
        <f t="shared" si="104"/>
        <v>11273.039999999999</v>
      </c>
      <c r="AU532" s="50">
        <f t="shared" si="105"/>
        <v>8947.4399999999987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6134.5899999999992</v>
      </c>
      <c r="AR533" s="189">
        <f t="shared" si="107"/>
        <v>6080.2199999999984</v>
      </c>
      <c r="AS533" s="189">
        <f t="shared" si="103"/>
        <v>6753.4199999999983</v>
      </c>
      <c r="AT533" s="189">
        <f t="shared" si="104"/>
        <v>12619.439999999997</v>
      </c>
      <c r="AU533" s="50">
        <f t="shared" si="105"/>
        <v>10538.639999999998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6714.2899999999991</v>
      </c>
      <c r="AR534" s="189">
        <f t="shared" si="107"/>
        <v>6722.8199999999988</v>
      </c>
      <c r="AS534" s="189">
        <f t="shared" si="103"/>
        <v>7273.6199999999981</v>
      </c>
      <c r="AT534" s="189">
        <f t="shared" si="104"/>
        <v>13965.839999999998</v>
      </c>
      <c r="AU534" s="50">
        <f t="shared" si="105"/>
        <v>12129.839999999998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7293.99</v>
      </c>
      <c r="AR535" s="189">
        <f t="shared" si="107"/>
        <v>7365.42</v>
      </c>
      <c r="AS535" s="189">
        <f t="shared" si="103"/>
        <v>7793.82</v>
      </c>
      <c r="AT535" s="189">
        <f t="shared" si="104"/>
        <v>15312.24</v>
      </c>
      <c r="AU535" s="50">
        <f t="shared" si="105"/>
        <v>13721.04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7873.69</v>
      </c>
      <c r="AR536" s="189">
        <f t="shared" si="107"/>
        <v>8008.0199999999986</v>
      </c>
      <c r="AS536" s="189">
        <f t="shared" si="103"/>
        <v>8262</v>
      </c>
      <c r="AT536" s="189">
        <f t="shared" si="104"/>
        <v>16524</v>
      </c>
      <c r="AU536" s="50">
        <f t="shared" si="105"/>
        <v>15312.239999999996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8453.39</v>
      </c>
      <c r="AR537" s="189">
        <f t="shared" si="107"/>
        <v>8650.619999999999</v>
      </c>
      <c r="AS537" s="189">
        <f t="shared" si="103"/>
        <v>8262</v>
      </c>
      <c r="AT537" s="189">
        <f t="shared" si="104"/>
        <v>16524</v>
      </c>
      <c r="AU537" s="50">
        <f t="shared" si="105"/>
        <v>16903.439999999999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9033.0899999999983</v>
      </c>
      <c r="AR538" s="189">
        <f t="shared" si="107"/>
        <v>9293.2199999999975</v>
      </c>
      <c r="AS538" s="189">
        <f t="shared" si="103"/>
        <v>8262</v>
      </c>
      <c r="AT538" s="189">
        <f t="shared" si="104"/>
        <v>16524</v>
      </c>
      <c r="AU538" s="50">
        <f t="shared" si="105"/>
        <v>18494.64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9207</v>
      </c>
      <c r="AR539" s="189">
        <f t="shared" si="107"/>
        <v>9485.9999999999982</v>
      </c>
      <c r="AS539" s="189">
        <f t="shared" si="103"/>
        <v>8262</v>
      </c>
      <c r="AT539" s="189">
        <f t="shared" si="104"/>
        <v>16524</v>
      </c>
      <c r="AU539" s="50">
        <f t="shared" si="105"/>
        <v>18971.999999999996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9207</v>
      </c>
      <c r="AR540" s="189">
        <f t="shared" si="107"/>
        <v>9485.9999999999982</v>
      </c>
      <c r="AS540" s="189">
        <f t="shared" si="103"/>
        <v>8262</v>
      </c>
      <c r="AT540" s="189">
        <f t="shared" si="104"/>
        <v>16524</v>
      </c>
      <c r="AU540" s="50">
        <f t="shared" si="105"/>
        <v>18971.999999999996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9207</v>
      </c>
      <c r="AR541" s="189">
        <f t="shared" si="107"/>
        <v>9485.9999999999982</v>
      </c>
      <c r="AS541" s="189">
        <f t="shared" si="103"/>
        <v>8262</v>
      </c>
      <c r="AT541" s="189">
        <f t="shared" si="104"/>
        <v>16524</v>
      </c>
      <c r="AU541" s="50">
        <f t="shared" si="105"/>
        <v>18971.999999999996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6018.65</v>
      </c>
      <c r="AR542" s="189">
        <f t="shared" si="107"/>
        <v>6441.2999999999993</v>
      </c>
      <c r="AS542" s="189">
        <f t="shared" si="103"/>
        <v>5813.9999999999991</v>
      </c>
      <c r="AT542" s="189">
        <f t="shared" si="104"/>
        <v>11627.999999999998</v>
      </c>
      <c r="AU542" s="50">
        <f t="shared" si="105"/>
        <v>12423.599999999997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6325.5499999999993</v>
      </c>
      <c r="AR543" s="189">
        <f t="shared" si="107"/>
        <v>6839.0999999999976</v>
      </c>
      <c r="AS543" s="189">
        <f t="shared" si="103"/>
        <v>5813.9999999999991</v>
      </c>
      <c r="AT543" s="189">
        <f t="shared" si="104"/>
        <v>11627.999999999998</v>
      </c>
      <c r="AU543" s="50">
        <f t="shared" si="105"/>
        <v>13525.199999999995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6478.9999999999991</v>
      </c>
      <c r="AR544" s="189">
        <f t="shared" si="107"/>
        <v>7037.9999999999982</v>
      </c>
      <c r="AS544" s="189">
        <f t="shared" si="103"/>
        <v>5813.9999999999991</v>
      </c>
      <c r="AT544" s="189">
        <f t="shared" si="104"/>
        <v>11627.999999999998</v>
      </c>
      <c r="AU544" s="50">
        <f t="shared" si="105"/>
        <v>14075.999999999996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6478.9999999999991</v>
      </c>
      <c r="AR545" s="189">
        <f t="shared" si="107"/>
        <v>7037.9999999999982</v>
      </c>
      <c r="AS545" s="189">
        <f t="shared" si="103"/>
        <v>5813.9999999999991</v>
      </c>
      <c r="AT545" s="189">
        <f t="shared" si="104"/>
        <v>11627.999999999998</v>
      </c>
      <c r="AU545" s="50">
        <f t="shared" si="105"/>
        <v>14075.999999999996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6478.9999999999991</v>
      </c>
      <c r="AR546" s="189">
        <f t="shared" si="107"/>
        <v>7037.9999999999982</v>
      </c>
      <c r="AS546" s="189">
        <f t="shared" si="103"/>
        <v>5813.9999999999991</v>
      </c>
      <c r="AT546" s="189">
        <f t="shared" si="104"/>
        <v>11627.999999999998</v>
      </c>
      <c r="AU546" s="50">
        <f t="shared" si="105"/>
        <v>14075.999999999996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6478.9999999999991</v>
      </c>
      <c r="AR547" s="189">
        <f t="shared" si="107"/>
        <v>7037.9999999999982</v>
      </c>
      <c r="AS547" s="189">
        <f t="shared" si="103"/>
        <v>5813.9999999999991</v>
      </c>
      <c r="AT547" s="189">
        <f t="shared" si="104"/>
        <v>11627.999999999998</v>
      </c>
      <c r="AU547" s="50">
        <f t="shared" si="105"/>
        <v>14075.999999999996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6478.9999999999991</v>
      </c>
      <c r="AR548" s="189">
        <f t="shared" si="107"/>
        <v>7037.9999999999982</v>
      </c>
      <c r="AS548" s="189">
        <f t="shared" si="103"/>
        <v>5813.9999999999991</v>
      </c>
      <c r="AT548" s="189">
        <f t="shared" si="104"/>
        <v>11627.999999999998</v>
      </c>
      <c r="AU548" s="50">
        <f t="shared" si="105"/>
        <v>14075.999999999996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6478.9999999999991</v>
      </c>
      <c r="AR549" s="189">
        <f t="shared" si="107"/>
        <v>7037.9999999999982</v>
      </c>
      <c r="AS549" s="189">
        <f t="shared" si="103"/>
        <v>5813.9999999999991</v>
      </c>
      <c r="AT549" s="189">
        <f t="shared" si="104"/>
        <v>11627.999999999998</v>
      </c>
      <c r="AU549" s="50">
        <f t="shared" si="105"/>
        <v>14075.999999999996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6478.9999999999991</v>
      </c>
      <c r="AR550" s="189">
        <f t="shared" si="107"/>
        <v>7037.9999999999982</v>
      </c>
      <c r="AS550" s="189">
        <f t="shared" si="103"/>
        <v>5813.9999999999991</v>
      </c>
      <c r="AT550" s="189">
        <f t="shared" si="104"/>
        <v>11627.999999999998</v>
      </c>
      <c r="AU550" s="50">
        <f t="shared" si="105"/>
        <v>14075.999999999996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6478.9999999999991</v>
      </c>
      <c r="AR551" s="189">
        <f t="shared" si="107"/>
        <v>7037.9999999999982</v>
      </c>
      <c r="AS551" s="189">
        <f t="shared" si="103"/>
        <v>5813.9999999999991</v>
      </c>
      <c r="AT551" s="189">
        <f t="shared" si="104"/>
        <v>11627.999999999998</v>
      </c>
      <c r="AU551" s="50">
        <f t="shared" si="105"/>
        <v>14075.999999999996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6478.9999999999991</v>
      </c>
      <c r="AR552" s="189">
        <f t="shared" si="107"/>
        <v>7037.9999999999982</v>
      </c>
      <c r="AS552" s="189">
        <f t="shared" si="103"/>
        <v>5813.9999999999991</v>
      </c>
      <c r="AT552" s="189">
        <f t="shared" si="104"/>
        <v>11627.999999999998</v>
      </c>
      <c r="AU552" s="50">
        <f t="shared" si="105"/>
        <v>14075.999999999996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5021.7199999999993</v>
      </c>
      <c r="AR553" s="189">
        <f t="shared" si="107"/>
        <v>4985.1900000000005</v>
      </c>
      <c r="AS553" s="189">
        <f t="shared" si="103"/>
        <v>5383.7100000000009</v>
      </c>
      <c r="AT553" s="189">
        <f t="shared" si="104"/>
        <v>8959.3200000000015</v>
      </c>
      <c r="AU553" s="50">
        <f t="shared" si="105"/>
        <v>7276.6800000000012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5385.32</v>
      </c>
      <c r="AR554" s="189">
        <f t="shared" si="107"/>
        <v>5464.89</v>
      </c>
      <c r="AS554" s="189">
        <f t="shared" si="103"/>
        <v>5715.81</v>
      </c>
      <c r="AT554" s="189">
        <f t="shared" si="104"/>
        <v>9992.5200000000023</v>
      </c>
      <c r="AU554" s="50">
        <f t="shared" si="105"/>
        <v>8605.08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5748.9199999999992</v>
      </c>
      <c r="AR555" s="189">
        <f t="shared" si="107"/>
        <v>5944.59</v>
      </c>
      <c r="AS555" s="189">
        <f t="shared" si="103"/>
        <v>6047.91</v>
      </c>
      <c r="AT555" s="189">
        <f t="shared" si="104"/>
        <v>11025.720000000001</v>
      </c>
      <c r="AU555" s="50">
        <f t="shared" si="105"/>
        <v>9933.48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6112.5199999999995</v>
      </c>
      <c r="AR556" s="189">
        <f t="shared" si="107"/>
        <v>6424.29</v>
      </c>
      <c r="AS556" s="189">
        <f t="shared" si="103"/>
        <v>6380.0100000000011</v>
      </c>
      <c r="AT556" s="189">
        <f t="shared" si="104"/>
        <v>12058.92</v>
      </c>
      <c r="AU556" s="50">
        <f t="shared" si="105"/>
        <v>11261.88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6476.119999999999</v>
      </c>
      <c r="AR557" s="189">
        <f t="shared" si="107"/>
        <v>6903.9900000000007</v>
      </c>
      <c r="AS557" s="189">
        <f t="shared" si="103"/>
        <v>6712.1100000000006</v>
      </c>
      <c r="AT557" s="189">
        <f t="shared" si="104"/>
        <v>13092.12</v>
      </c>
      <c r="AU557" s="50">
        <f t="shared" si="105"/>
        <v>12590.28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6839.7199999999993</v>
      </c>
      <c r="AR558" s="189">
        <f t="shared" si="107"/>
        <v>7383.6900000000005</v>
      </c>
      <c r="AS558" s="189">
        <f t="shared" si="103"/>
        <v>7011.0000000000009</v>
      </c>
      <c r="AT558" s="189">
        <f t="shared" si="104"/>
        <v>14022.000000000002</v>
      </c>
      <c r="AU558" s="50">
        <f t="shared" si="105"/>
        <v>13918.68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7203.32</v>
      </c>
      <c r="AR559" s="189">
        <f t="shared" si="107"/>
        <v>7863.39</v>
      </c>
      <c r="AS559" s="189">
        <f t="shared" si="103"/>
        <v>7011.0000000000009</v>
      </c>
      <c r="AT559" s="189">
        <f t="shared" si="104"/>
        <v>14022.000000000002</v>
      </c>
      <c r="AU559" s="50">
        <f t="shared" si="105"/>
        <v>15247.08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7566.92</v>
      </c>
      <c r="AR560" s="189">
        <f t="shared" si="107"/>
        <v>8343.090000000002</v>
      </c>
      <c r="AS560" s="189">
        <f t="shared" si="103"/>
        <v>7011.0000000000009</v>
      </c>
      <c r="AT560" s="189">
        <f t="shared" si="104"/>
        <v>14022.000000000002</v>
      </c>
      <c r="AU560" s="50">
        <f t="shared" si="105"/>
        <v>16575.480000000003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7676</v>
      </c>
      <c r="AR561" s="189">
        <f t="shared" si="107"/>
        <v>8487</v>
      </c>
      <c r="AS561" s="189">
        <f t="shared" si="103"/>
        <v>7011.0000000000009</v>
      </c>
      <c r="AT561" s="189">
        <f t="shared" si="104"/>
        <v>14022.000000000002</v>
      </c>
      <c r="AU561" s="50">
        <f t="shared" si="105"/>
        <v>16974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7676</v>
      </c>
      <c r="AR562" s="189">
        <f t="shared" si="107"/>
        <v>8487</v>
      </c>
      <c r="AS562" s="189">
        <f t="shared" si="103"/>
        <v>7011.0000000000009</v>
      </c>
      <c r="AT562" s="189">
        <f t="shared" si="104"/>
        <v>14022.000000000002</v>
      </c>
      <c r="AU562" s="50">
        <f t="shared" si="105"/>
        <v>16974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7676</v>
      </c>
      <c r="AR563" s="189">
        <f t="shared" si="107"/>
        <v>8487</v>
      </c>
      <c r="AS563" s="189">
        <f t="shared" si="103"/>
        <v>7011.0000000000009</v>
      </c>
      <c r="AT563" s="189">
        <f t="shared" si="104"/>
        <v>14022.000000000002</v>
      </c>
      <c r="AU563" s="50">
        <f t="shared" si="105"/>
        <v>16974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5266.9900000000007</v>
      </c>
      <c r="AR564" s="189">
        <f t="shared" si="107"/>
        <v>5108.420000000001</v>
      </c>
      <c r="AS564" s="189">
        <f t="shared" si="103"/>
        <v>6086.420000000001</v>
      </c>
      <c r="AT564" s="189">
        <f t="shared" si="104"/>
        <v>10575.440000000002</v>
      </c>
      <c r="AU564" s="50">
        <f t="shared" si="105"/>
        <v>7837.04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5880.69</v>
      </c>
      <c r="AR565" s="189">
        <f t="shared" si="107"/>
        <v>5793.02</v>
      </c>
      <c r="AS565" s="189">
        <f t="shared" si="103"/>
        <v>6640.62</v>
      </c>
      <c r="AT565" s="189">
        <f t="shared" si="104"/>
        <v>12009.84</v>
      </c>
      <c r="AU565" s="50">
        <f t="shared" si="105"/>
        <v>9532.24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6494.3899999999994</v>
      </c>
      <c r="AR566" s="189">
        <f t="shared" si="107"/>
        <v>6477.619999999999</v>
      </c>
      <c r="AS566" s="189">
        <f t="shared" si="103"/>
        <v>7194.82</v>
      </c>
      <c r="AT566" s="189">
        <f t="shared" si="104"/>
        <v>13444.24</v>
      </c>
      <c r="AU566" s="50">
        <f t="shared" si="105"/>
        <v>11227.439999999999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7108.0899999999992</v>
      </c>
      <c r="AR567" s="189">
        <f t="shared" si="107"/>
        <v>7162.22</v>
      </c>
      <c r="AS567" s="189">
        <f t="shared" si="103"/>
        <v>7749.0199999999995</v>
      </c>
      <c r="AT567" s="189">
        <f t="shared" si="104"/>
        <v>14878.64</v>
      </c>
      <c r="AU567" s="50">
        <f t="shared" si="105"/>
        <v>12922.64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7721.7900000000009</v>
      </c>
      <c r="AR568" s="189">
        <f t="shared" si="107"/>
        <v>7846.8200000000015</v>
      </c>
      <c r="AS568" s="189">
        <f t="shared" si="103"/>
        <v>8303.2200000000012</v>
      </c>
      <c r="AT568" s="189">
        <f t="shared" si="104"/>
        <v>16313.04</v>
      </c>
      <c r="AU568" s="50">
        <f t="shared" si="105"/>
        <v>14617.840000000002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8335.49</v>
      </c>
      <c r="AR569" s="189">
        <f t="shared" si="107"/>
        <v>8531.42</v>
      </c>
      <c r="AS569" s="189">
        <f t="shared" si="103"/>
        <v>8802</v>
      </c>
      <c r="AT569" s="189">
        <f t="shared" si="104"/>
        <v>17604</v>
      </c>
      <c r="AU569" s="50">
        <f t="shared" si="105"/>
        <v>16313.039999999999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8949.19</v>
      </c>
      <c r="AR570" s="189">
        <f t="shared" si="107"/>
        <v>9216.02</v>
      </c>
      <c r="AS570" s="189">
        <f t="shared" si="103"/>
        <v>8802</v>
      </c>
      <c r="AT570" s="189">
        <f t="shared" si="104"/>
        <v>17604</v>
      </c>
      <c r="AU570" s="50">
        <f t="shared" si="105"/>
        <v>18008.240000000002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9562.89</v>
      </c>
      <c r="AR571" s="189">
        <f t="shared" si="107"/>
        <v>9900.619999999999</v>
      </c>
      <c r="AS571" s="189">
        <f t="shared" si="103"/>
        <v>8802</v>
      </c>
      <c r="AT571" s="189">
        <f t="shared" si="104"/>
        <v>17604</v>
      </c>
      <c r="AU571" s="50">
        <f t="shared" si="105"/>
        <v>19703.440000000002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9747</v>
      </c>
      <c r="AR572" s="189">
        <f t="shared" si="107"/>
        <v>10106</v>
      </c>
      <c r="AS572" s="189">
        <f t="shared" si="103"/>
        <v>8802</v>
      </c>
      <c r="AT572" s="189">
        <f t="shared" si="104"/>
        <v>17604</v>
      </c>
      <c r="AU572" s="50">
        <f t="shared" si="105"/>
        <v>20212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9747</v>
      </c>
      <c r="AR573" s="189">
        <f t="shared" si="107"/>
        <v>10106</v>
      </c>
      <c r="AS573" s="189">
        <f t="shared" si="103"/>
        <v>8802</v>
      </c>
      <c r="AT573" s="189">
        <f t="shared" si="104"/>
        <v>17604</v>
      </c>
      <c r="AU573" s="50">
        <f t="shared" si="105"/>
        <v>20212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9747</v>
      </c>
      <c r="AR574" s="189">
        <f t="shared" si="107"/>
        <v>10106</v>
      </c>
      <c r="AS574" s="189">
        <f t="shared" si="103"/>
        <v>8802</v>
      </c>
      <c r="AT574" s="189">
        <f t="shared" si="104"/>
        <v>17604</v>
      </c>
      <c r="AU574" s="50">
        <f t="shared" si="105"/>
        <v>20212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6371.6500000000005</v>
      </c>
      <c r="AR575" s="189">
        <f t="shared" si="107"/>
        <v>6862.3</v>
      </c>
      <c r="AS575" s="189">
        <f t="shared" si="103"/>
        <v>6194</v>
      </c>
      <c r="AT575" s="189">
        <f t="shared" si="104"/>
        <v>12388</v>
      </c>
      <c r="AU575" s="50">
        <f t="shared" si="105"/>
        <v>13235.599999999999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6696.55</v>
      </c>
      <c r="AR576" s="189">
        <f t="shared" si="107"/>
        <v>7286.0999999999985</v>
      </c>
      <c r="AS576" s="189">
        <f t="shared" si="103"/>
        <v>6194</v>
      </c>
      <c r="AT576" s="189">
        <f t="shared" si="104"/>
        <v>12388</v>
      </c>
      <c r="AU576" s="50">
        <f t="shared" si="105"/>
        <v>14409.199999999997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6859</v>
      </c>
      <c r="AR577" s="189">
        <f t="shared" si="107"/>
        <v>7497.9999999999991</v>
      </c>
      <c r="AS577" s="189">
        <f t="shared" si="103"/>
        <v>6194</v>
      </c>
      <c r="AT577" s="189">
        <f t="shared" si="104"/>
        <v>12388</v>
      </c>
      <c r="AU577" s="50">
        <f t="shared" si="105"/>
        <v>14995.999999999998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6859</v>
      </c>
      <c r="AR578" s="189">
        <f t="shared" si="107"/>
        <v>7497.9999999999991</v>
      </c>
      <c r="AS578" s="189">
        <f t="shared" si="103"/>
        <v>6194</v>
      </c>
      <c r="AT578" s="189">
        <f t="shared" si="104"/>
        <v>12388</v>
      </c>
      <c r="AU578" s="50">
        <f t="shared" si="105"/>
        <v>14995.999999999998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6859</v>
      </c>
      <c r="AR579" s="189">
        <f t="shared" si="107"/>
        <v>7497.9999999999991</v>
      </c>
      <c r="AS579" s="189">
        <f t="shared" ref="AS579:AS642" si="108">$AG$3*(1+$AJ579*$Y$2+$AN579)*(MAXA(1-$AI$3-$AL579*$AA$3-$AP579-0.36,0)+MINA($AI$3+$AL579*$AA$3+$AP579+0.36,1)*(1+$AH$3+$AO579+$AK579*$Z$4))</f>
        <v>6194</v>
      </c>
      <c r="AT579" s="189">
        <f t="shared" ref="AT579:AT642" si="109">$AG$3*(1+$AJ579*$Y$2+$AN579)*(MAXA(1-$AI$3-$AL579*$AA$3-$AP579-0.36,0)+2*MINA($AI$3+$AL579*$AA$3+$AP579+0.36,1)*(1+$AH$3+$AO579+$AK579*$Z$4))</f>
        <v>12388</v>
      </c>
      <c r="AU579" s="50">
        <f t="shared" ref="AU579:AU642" si="110">$AG$3*(1+$AJ579*$Y$2+$AN579)*(MAXA(1-$AI$3-$AL579*$AA$3-$AP579-0.12,0)+2*MINA($AI$3+$AL579*$AA$3+$AP579+0.12,1)*(1+$AH$3+$AO579+$AK579*$Z$4+0.4))</f>
        <v>14995.999999999998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6859</v>
      </c>
      <c r="AR580" s="189">
        <f t="shared" ref="AR580:AR643" si="112">$AG$3*(1+$AJ580*$Y$2+$AN580)*(MAXA(1-$AI$3-$AL580*$AA$3-$AP580-0.12,0)+MINA($AI$3+$AL580*$AA$3+$AP580+0.12,1)*(1+$AH$3+$AO580+$AK580*$Z$4+0.4))</f>
        <v>7497.9999999999991</v>
      </c>
      <c r="AS580" s="189">
        <f t="shared" si="108"/>
        <v>6194</v>
      </c>
      <c r="AT580" s="189">
        <f t="shared" si="109"/>
        <v>12388</v>
      </c>
      <c r="AU580" s="50">
        <f t="shared" si="110"/>
        <v>14995.999999999998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6859</v>
      </c>
      <c r="AR581" s="189">
        <f t="shared" si="112"/>
        <v>7497.9999999999991</v>
      </c>
      <c r="AS581" s="189">
        <f t="shared" si="108"/>
        <v>6194</v>
      </c>
      <c r="AT581" s="189">
        <f t="shared" si="109"/>
        <v>12388</v>
      </c>
      <c r="AU581" s="50">
        <f t="shared" si="110"/>
        <v>14995.999999999998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6859</v>
      </c>
      <c r="AR582" s="189">
        <f t="shared" si="112"/>
        <v>7497.9999999999991</v>
      </c>
      <c r="AS582" s="189">
        <f t="shared" si="108"/>
        <v>6194</v>
      </c>
      <c r="AT582" s="189">
        <f t="shared" si="109"/>
        <v>12388</v>
      </c>
      <c r="AU582" s="50">
        <f t="shared" si="110"/>
        <v>14995.999999999998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6859</v>
      </c>
      <c r="AR583" s="189">
        <f t="shared" si="112"/>
        <v>7497.9999999999991</v>
      </c>
      <c r="AS583" s="189">
        <f t="shared" si="108"/>
        <v>6194</v>
      </c>
      <c r="AT583" s="189">
        <f t="shared" si="109"/>
        <v>12388</v>
      </c>
      <c r="AU583" s="50">
        <f t="shared" si="110"/>
        <v>14995.999999999998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6859</v>
      </c>
      <c r="AR584" s="189">
        <f t="shared" si="112"/>
        <v>7497.9999999999991</v>
      </c>
      <c r="AS584" s="189">
        <f t="shared" si="108"/>
        <v>6194</v>
      </c>
      <c r="AT584" s="189">
        <f t="shared" si="109"/>
        <v>12388</v>
      </c>
      <c r="AU584" s="50">
        <f t="shared" si="110"/>
        <v>14995.999999999998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6859</v>
      </c>
      <c r="AR585" s="189">
        <f t="shared" si="112"/>
        <v>7497.9999999999991</v>
      </c>
      <c r="AS585" s="189">
        <f t="shared" si="108"/>
        <v>6194</v>
      </c>
      <c r="AT585" s="189">
        <f t="shared" si="109"/>
        <v>12388</v>
      </c>
      <c r="AU585" s="50">
        <f t="shared" si="110"/>
        <v>14995.999999999998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5270.32</v>
      </c>
      <c r="AR586" s="189">
        <f t="shared" si="112"/>
        <v>5255.39</v>
      </c>
      <c r="AS586" s="189">
        <f t="shared" si="108"/>
        <v>5675.51</v>
      </c>
      <c r="AT586" s="189">
        <f t="shared" si="109"/>
        <v>9444.92</v>
      </c>
      <c r="AU586" s="50">
        <f t="shared" si="110"/>
        <v>7671.08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5651.92</v>
      </c>
      <c r="AR587" s="189">
        <f t="shared" si="112"/>
        <v>5761.0899999999992</v>
      </c>
      <c r="AS587" s="189">
        <f t="shared" si="108"/>
        <v>6025.61</v>
      </c>
      <c r="AT587" s="189">
        <f t="shared" si="109"/>
        <v>10534.12</v>
      </c>
      <c r="AU587" s="50">
        <f t="shared" si="110"/>
        <v>9071.48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6033.5199999999995</v>
      </c>
      <c r="AR588" s="189">
        <f t="shared" si="112"/>
        <v>6266.7899999999991</v>
      </c>
      <c r="AS588" s="189">
        <f t="shared" si="108"/>
        <v>6375.7099999999991</v>
      </c>
      <c r="AT588" s="189">
        <f t="shared" si="109"/>
        <v>11623.32</v>
      </c>
      <c r="AU588" s="50">
        <f t="shared" si="110"/>
        <v>10471.879999999999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6415.12</v>
      </c>
      <c r="AR589" s="189">
        <f t="shared" si="112"/>
        <v>6772.4899999999989</v>
      </c>
      <c r="AS589" s="189">
        <f t="shared" si="108"/>
        <v>6725.81</v>
      </c>
      <c r="AT589" s="189">
        <f t="shared" si="109"/>
        <v>12712.519999999999</v>
      </c>
      <c r="AU589" s="50">
        <f t="shared" si="110"/>
        <v>11872.279999999999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6796.7199999999993</v>
      </c>
      <c r="AR590" s="189">
        <f t="shared" si="112"/>
        <v>7278.19</v>
      </c>
      <c r="AS590" s="189">
        <f t="shared" si="108"/>
        <v>7075.91</v>
      </c>
      <c r="AT590" s="189">
        <f t="shared" si="109"/>
        <v>13801.72</v>
      </c>
      <c r="AU590" s="50">
        <f t="shared" si="110"/>
        <v>13272.68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7178.32</v>
      </c>
      <c r="AR591" s="189">
        <f t="shared" si="112"/>
        <v>7783.8899999999994</v>
      </c>
      <c r="AS591" s="189">
        <f t="shared" si="108"/>
        <v>7391</v>
      </c>
      <c r="AT591" s="189">
        <f t="shared" si="109"/>
        <v>14782</v>
      </c>
      <c r="AU591" s="50">
        <f t="shared" si="110"/>
        <v>14673.08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7559.92</v>
      </c>
      <c r="AR592" s="189">
        <f t="shared" si="112"/>
        <v>8289.5899999999983</v>
      </c>
      <c r="AS592" s="189">
        <f t="shared" si="108"/>
        <v>7391</v>
      </c>
      <c r="AT592" s="189">
        <f t="shared" si="109"/>
        <v>14782</v>
      </c>
      <c r="AU592" s="50">
        <f t="shared" si="110"/>
        <v>16073.48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7941.52</v>
      </c>
      <c r="AR593" s="189">
        <f t="shared" si="112"/>
        <v>8795.2900000000009</v>
      </c>
      <c r="AS593" s="189">
        <f t="shared" si="108"/>
        <v>7391</v>
      </c>
      <c r="AT593" s="189">
        <f t="shared" si="109"/>
        <v>14782</v>
      </c>
      <c r="AU593" s="50">
        <f t="shared" si="110"/>
        <v>17473.88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8056</v>
      </c>
      <c r="AR594" s="189">
        <f t="shared" si="112"/>
        <v>8947</v>
      </c>
      <c r="AS594" s="189">
        <f t="shared" si="108"/>
        <v>7391</v>
      </c>
      <c r="AT594" s="189">
        <f t="shared" si="109"/>
        <v>14782</v>
      </c>
      <c r="AU594" s="50">
        <f t="shared" si="110"/>
        <v>17894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8056</v>
      </c>
      <c r="AR595" s="189">
        <f t="shared" si="112"/>
        <v>8947</v>
      </c>
      <c r="AS595" s="189">
        <f t="shared" si="108"/>
        <v>7391</v>
      </c>
      <c r="AT595" s="189">
        <f t="shared" si="109"/>
        <v>14782</v>
      </c>
      <c r="AU595" s="50">
        <f t="shared" si="110"/>
        <v>17894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8056</v>
      </c>
      <c r="AR596" s="189">
        <f t="shared" si="112"/>
        <v>8947</v>
      </c>
      <c r="AS596" s="189">
        <f t="shared" si="108"/>
        <v>7391</v>
      </c>
      <c r="AT596" s="189">
        <f t="shared" si="109"/>
        <v>14782</v>
      </c>
      <c r="AU596" s="50">
        <f t="shared" si="110"/>
        <v>17894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3948.9300000000003</v>
      </c>
      <c r="AR597" s="189">
        <f t="shared" si="112"/>
        <v>3663.46</v>
      </c>
      <c r="AS597" s="189">
        <f t="shared" si="108"/>
        <v>4449.9400000000005</v>
      </c>
      <c r="AT597" s="189">
        <f t="shared" si="109"/>
        <v>7792.4800000000005</v>
      </c>
      <c r="AU597" s="50">
        <f t="shared" si="110"/>
        <v>5677.1200000000008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4444.8300000000008</v>
      </c>
      <c r="AR598" s="189">
        <f t="shared" si="112"/>
        <v>4183.26</v>
      </c>
      <c r="AS598" s="189">
        <f t="shared" si="108"/>
        <v>4879.34</v>
      </c>
      <c r="AT598" s="189">
        <f t="shared" si="109"/>
        <v>8877.2800000000007</v>
      </c>
      <c r="AU598" s="50">
        <f t="shared" si="110"/>
        <v>6942.72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4940.7299999999996</v>
      </c>
      <c r="AR599" s="189">
        <f t="shared" si="112"/>
        <v>4703.0599999999995</v>
      </c>
      <c r="AS599" s="189">
        <f t="shared" si="108"/>
        <v>5308.7400000000007</v>
      </c>
      <c r="AT599" s="189">
        <f t="shared" si="109"/>
        <v>9962.08</v>
      </c>
      <c r="AU599" s="50">
        <f t="shared" si="110"/>
        <v>8208.32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5436.63</v>
      </c>
      <c r="AR600" s="189">
        <f t="shared" si="112"/>
        <v>5222.8599999999997</v>
      </c>
      <c r="AS600" s="189">
        <f t="shared" si="108"/>
        <v>5738.14</v>
      </c>
      <c r="AT600" s="189">
        <f t="shared" si="109"/>
        <v>11046.880000000001</v>
      </c>
      <c r="AU600" s="50">
        <f t="shared" si="110"/>
        <v>9473.92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5932.5300000000007</v>
      </c>
      <c r="AR601" s="189">
        <f t="shared" si="112"/>
        <v>5742.6600000000008</v>
      </c>
      <c r="AS601" s="189">
        <f t="shared" si="108"/>
        <v>6167.54</v>
      </c>
      <c r="AT601" s="189">
        <f t="shared" si="109"/>
        <v>12131.68</v>
      </c>
      <c r="AU601" s="50">
        <f t="shared" si="110"/>
        <v>10739.520000000002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6428.4300000000012</v>
      </c>
      <c r="AR602" s="189">
        <f t="shared" si="112"/>
        <v>6262.4600000000009</v>
      </c>
      <c r="AS602" s="189">
        <f t="shared" si="108"/>
        <v>6554.0000000000009</v>
      </c>
      <c r="AT602" s="189">
        <f t="shared" si="109"/>
        <v>13108.000000000002</v>
      </c>
      <c r="AU602" s="50">
        <f t="shared" si="110"/>
        <v>12005.120000000003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6924.33</v>
      </c>
      <c r="AR603" s="189">
        <f t="shared" si="112"/>
        <v>6782.2599999999993</v>
      </c>
      <c r="AS603" s="189">
        <f t="shared" si="108"/>
        <v>6554.0000000000009</v>
      </c>
      <c r="AT603" s="189">
        <f t="shared" si="109"/>
        <v>13108.000000000002</v>
      </c>
      <c r="AU603" s="50">
        <f t="shared" si="110"/>
        <v>13270.72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7420.23</v>
      </c>
      <c r="AR604" s="189">
        <f t="shared" si="112"/>
        <v>7302.0599999999995</v>
      </c>
      <c r="AS604" s="189">
        <f t="shared" si="108"/>
        <v>6554.0000000000009</v>
      </c>
      <c r="AT604" s="189">
        <f t="shared" si="109"/>
        <v>13108.000000000002</v>
      </c>
      <c r="AU604" s="50">
        <f t="shared" si="110"/>
        <v>14536.320000000002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7569.0000000000009</v>
      </c>
      <c r="AR605" s="189">
        <f t="shared" si="112"/>
        <v>7458.0000000000009</v>
      </c>
      <c r="AS605" s="189">
        <f t="shared" si="108"/>
        <v>6554.0000000000009</v>
      </c>
      <c r="AT605" s="189">
        <f t="shared" si="109"/>
        <v>13108.000000000002</v>
      </c>
      <c r="AU605" s="50">
        <f t="shared" si="110"/>
        <v>14916.000000000002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7569.0000000000009</v>
      </c>
      <c r="AR606" s="189">
        <f t="shared" si="112"/>
        <v>7458.0000000000009</v>
      </c>
      <c r="AS606" s="189">
        <f t="shared" si="108"/>
        <v>6554.0000000000009</v>
      </c>
      <c r="AT606" s="189">
        <f t="shared" si="109"/>
        <v>13108.000000000002</v>
      </c>
      <c r="AU606" s="50">
        <f t="shared" si="110"/>
        <v>14916.000000000002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7569.0000000000009</v>
      </c>
      <c r="AR607" s="189">
        <f t="shared" si="112"/>
        <v>7458.0000000000009</v>
      </c>
      <c r="AS607" s="189">
        <f t="shared" si="108"/>
        <v>6554.0000000000009</v>
      </c>
      <c r="AT607" s="189">
        <f t="shared" si="109"/>
        <v>13108.000000000002</v>
      </c>
      <c r="AU607" s="50">
        <f t="shared" si="110"/>
        <v>14916.000000000002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5050.3500000000004</v>
      </c>
      <c r="AR608" s="189">
        <f t="shared" si="112"/>
        <v>5141.5</v>
      </c>
      <c r="AS608" s="189">
        <f t="shared" si="108"/>
        <v>4746</v>
      </c>
      <c r="AT608" s="189">
        <f t="shared" si="109"/>
        <v>9492</v>
      </c>
      <c r="AU608" s="50">
        <f t="shared" si="110"/>
        <v>9944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5337.45</v>
      </c>
      <c r="AR609" s="189">
        <f t="shared" si="112"/>
        <v>5480.5</v>
      </c>
      <c r="AS609" s="189">
        <f t="shared" si="108"/>
        <v>4746</v>
      </c>
      <c r="AT609" s="189">
        <f t="shared" si="109"/>
        <v>9492</v>
      </c>
      <c r="AU609" s="50">
        <f t="shared" si="110"/>
        <v>10848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5481</v>
      </c>
      <c r="AR610" s="189">
        <f t="shared" si="112"/>
        <v>5650</v>
      </c>
      <c r="AS610" s="189">
        <f t="shared" si="108"/>
        <v>4746</v>
      </c>
      <c r="AT610" s="189">
        <f t="shared" si="109"/>
        <v>9492</v>
      </c>
      <c r="AU610" s="50">
        <f t="shared" si="110"/>
        <v>11300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5481</v>
      </c>
      <c r="AR611" s="189">
        <f t="shared" si="112"/>
        <v>5650</v>
      </c>
      <c r="AS611" s="189">
        <f t="shared" si="108"/>
        <v>4746</v>
      </c>
      <c r="AT611" s="189">
        <f t="shared" si="109"/>
        <v>9492</v>
      </c>
      <c r="AU611" s="50">
        <f t="shared" si="110"/>
        <v>11300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5481</v>
      </c>
      <c r="AR612" s="189">
        <f t="shared" si="112"/>
        <v>5650</v>
      </c>
      <c r="AS612" s="189">
        <f t="shared" si="108"/>
        <v>4746</v>
      </c>
      <c r="AT612" s="189">
        <f t="shared" si="109"/>
        <v>9492</v>
      </c>
      <c r="AU612" s="50">
        <f t="shared" si="110"/>
        <v>11300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5481</v>
      </c>
      <c r="AR613" s="189">
        <f t="shared" si="112"/>
        <v>5650</v>
      </c>
      <c r="AS613" s="189">
        <f t="shared" si="108"/>
        <v>4746</v>
      </c>
      <c r="AT613" s="189">
        <f t="shared" si="109"/>
        <v>9492</v>
      </c>
      <c r="AU613" s="50">
        <f t="shared" si="110"/>
        <v>11300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5481</v>
      </c>
      <c r="AR614" s="189">
        <f t="shared" si="112"/>
        <v>5650</v>
      </c>
      <c r="AS614" s="189">
        <f t="shared" si="108"/>
        <v>4746</v>
      </c>
      <c r="AT614" s="189">
        <f t="shared" si="109"/>
        <v>9492</v>
      </c>
      <c r="AU614" s="50">
        <f t="shared" si="110"/>
        <v>11300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5481</v>
      </c>
      <c r="AR615" s="189">
        <f t="shared" si="112"/>
        <v>5650</v>
      </c>
      <c r="AS615" s="189">
        <f t="shared" si="108"/>
        <v>4746</v>
      </c>
      <c r="AT615" s="189">
        <f t="shared" si="109"/>
        <v>9492</v>
      </c>
      <c r="AU615" s="50">
        <f t="shared" si="110"/>
        <v>11300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5481</v>
      </c>
      <c r="AR616" s="189">
        <f t="shared" si="112"/>
        <v>5650</v>
      </c>
      <c r="AS616" s="189">
        <f t="shared" si="108"/>
        <v>4746</v>
      </c>
      <c r="AT616" s="189">
        <f t="shared" si="109"/>
        <v>9492</v>
      </c>
      <c r="AU616" s="50">
        <f t="shared" si="110"/>
        <v>11300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5481</v>
      </c>
      <c r="AR617" s="189">
        <f t="shared" si="112"/>
        <v>5650</v>
      </c>
      <c r="AS617" s="189">
        <f t="shared" si="108"/>
        <v>4746</v>
      </c>
      <c r="AT617" s="189">
        <f t="shared" si="109"/>
        <v>9492</v>
      </c>
      <c r="AU617" s="50">
        <f t="shared" si="110"/>
        <v>11300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5481</v>
      </c>
      <c r="AR618" s="189">
        <f t="shared" si="112"/>
        <v>5650</v>
      </c>
      <c r="AS618" s="189">
        <f t="shared" si="108"/>
        <v>4746</v>
      </c>
      <c r="AT618" s="189">
        <f t="shared" si="109"/>
        <v>9492</v>
      </c>
      <c r="AU618" s="50">
        <f t="shared" si="110"/>
        <v>11300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4202.2800000000007</v>
      </c>
      <c r="AR619" s="189">
        <f t="shared" si="112"/>
        <v>4060.4500000000003</v>
      </c>
      <c r="AS619" s="189">
        <f t="shared" si="108"/>
        <v>4511.2900000000009</v>
      </c>
      <c r="AT619" s="189">
        <f t="shared" si="109"/>
        <v>7606.4800000000014</v>
      </c>
      <c r="AU619" s="50">
        <f t="shared" si="110"/>
        <v>6011.2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4558.68</v>
      </c>
      <c r="AR620" s="189">
        <f t="shared" si="112"/>
        <v>4493.9500000000007</v>
      </c>
      <c r="AS620" s="189">
        <f t="shared" si="108"/>
        <v>4829.1899999999996</v>
      </c>
      <c r="AT620" s="189">
        <f t="shared" si="109"/>
        <v>8531.2800000000007</v>
      </c>
      <c r="AU620" s="50">
        <f t="shared" si="110"/>
        <v>7167.2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4915.08</v>
      </c>
      <c r="AR621" s="189">
        <f t="shared" si="112"/>
        <v>4927.4499999999989</v>
      </c>
      <c r="AS621" s="189">
        <f t="shared" si="108"/>
        <v>5147.0899999999992</v>
      </c>
      <c r="AT621" s="189">
        <f t="shared" si="109"/>
        <v>9456.08</v>
      </c>
      <c r="AU621" s="50">
        <f t="shared" si="110"/>
        <v>8323.1999999999989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5271.48</v>
      </c>
      <c r="AR622" s="189">
        <f t="shared" si="112"/>
        <v>5360.95</v>
      </c>
      <c r="AS622" s="189">
        <f t="shared" si="108"/>
        <v>5464.99</v>
      </c>
      <c r="AT622" s="189">
        <f t="shared" si="109"/>
        <v>10380.879999999999</v>
      </c>
      <c r="AU622" s="50">
        <f t="shared" si="110"/>
        <v>9479.1999999999989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5627.88</v>
      </c>
      <c r="AR623" s="189">
        <f t="shared" si="112"/>
        <v>5794.45</v>
      </c>
      <c r="AS623" s="189">
        <f t="shared" si="108"/>
        <v>5782.8900000000012</v>
      </c>
      <c r="AT623" s="189">
        <f t="shared" si="109"/>
        <v>11305.68</v>
      </c>
      <c r="AU623" s="50">
        <f t="shared" si="110"/>
        <v>10635.2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5984.2800000000007</v>
      </c>
      <c r="AR624" s="189">
        <f t="shared" si="112"/>
        <v>6227.9500000000007</v>
      </c>
      <c r="AS624" s="189">
        <f t="shared" si="108"/>
        <v>6069</v>
      </c>
      <c r="AT624" s="189">
        <f t="shared" si="109"/>
        <v>12138</v>
      </c>
      <c r="AU624" s="50">
        <f t="shared" si="110"/>
        <v>11791.2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6340.6799999999994</v>
      </c>
      <c r="AR625" s="189">
        <f t="shared" si="112"/>
        <v>6661.4499999999989</v>
      </c>
      <c r="AS625" s="189">
        <f t="shared" si="108"/>
        <v>6069</v>
      </c>
      <c r="AT625" s="189">
        <f t="shared" si="109"/>
        <v>12138</v>
      </c>
      <c r="AU625" s="50">
        <f t="shared" si="110"/>
        <v>12947.199999999999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6697.0800000000008</v>
      </c>
      <c r="AR626" s="189">
        <f t="shared" si="112"/>
        <v>7094.95</v>
      </c>
      <c r="AS626" s="189">
        <f t="shared" si="108"/>
        <v>6069</v>
      </c>
      <c r="AT626" s="189">
        <f t="shared" si="109"/>
        <v>12138</v>
      </c>
      <c r="AU626" s="50">
        <f t="shared" si="110"/>
        <v>14103.199999999999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6804</v>
      </c>
      <c r="AR627" s="189">
        <f t="shared" si="112"/>
        <v>7225</v>
      </c>
      <c r="AS627" s="189">
        <f t="shared" si="108"/>
        <v>6069</v>
      </c>
      <c r="AT627" s="189">
        <f t="shared" si="109"/>
        <v>12138</v>
      </c>
      <c r="AU627" s="50">
        <f t="shared" si="110"/>
        <v>14450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6804</v>
      </c>
      <c r="AR628" s="189">
        <f t="shared" si="112"/>
        <v>7225</v>
      </c>
      <c r="AS628" s="189">
        <f t="shared" si="108"/>
        <v>6069</v>
      </c>
      <c r="AT628" s="189">
        <f t="shared" si="109"/>
        <v>12138</v>
      </c>
      <c r="AU628" s="50">
        <f t="shared" si="110"/>
        <v>14450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6804</v>
      </c>
      <c r="AR629" s="189">
        <f t="shared" si="112"/>
        <v>7225</v>
      </c>
      <c r="AS629" s="189">
        <f t="shared" si="108"/>
        <v>6069</v>
      </c>
      <c r="AT629" s="189">
        <f t="shared" si="109"/>
        <v>12138</v>
      </c>
      <c r="AU629" s="50">
        <f t="shared" si="110"/>
        <v>14450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4251.5300000000007</v>
      </c>
      <c r="AR630" s="189">
        <f t="shared" si="112"/>
        <v>3987.66</v>
      </c>
      <c r="AS630" s="189">
        <f t="shared" si="108"/>
        <v>4843.7400000000007</v>
      </c>
      <c r="AT630" s="189">
        <f t="shared" si="109"/>
        <v>8482.0800000000017</v>
      </c>
      <c r="AU630" s="50">
        <f t="shared" si="110"/>
        <v>6179.5200000000013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4785.4300000000012</v>
      </c>
      <c r="AR631" s="189">
        <f t="shared" si="112"/>
        <v>4553.46</v>
      </c>
      <c r="AS631" s="189">
        <f t="shared" si="108"/>
        <v>5311.14</v>
      </c>
      <c r="AT631" s="189">
        <f t="shared" si="109"/>
        <v>9662.880000000001</v>
      </c>
      <c r="AU631" s="50">
        <f t="shared" si="110"/>
        <v>7557.12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5319.329999999999</v>
      </c>
      <c r="AR632" s="189">
        <f t="shared" si="112"/>
        <v>5119.26</v>
      </c>
      <c r="AS632" s="189">
        <f t="shared" si="108"/>
        <v>5778.5400000000009</v>
      </c>
      <c r="AT632" s="189">
        <f t="shared" si="109"/>
        <v>10843.68</v>
      </c>
      <c r="AU632" s="50">
        <f t="shared" si="110"/>
        <v>8934.7199999999993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5853.2300000000005</v>
      </c>
      <c r="AR633" s="189">
        <f t="shared" si="112"/>
        <v>5685.0599999999995</v>
      </c>
      <c r="AS633" s="189">
        <f t="shared" si="108"/>
        <v>6245.9400000000005</v>
      </c>
      <c r="AT633" s="189">
        <f t="shared" si="109"/>
        <v>12024.480000000001</v>
      </c>
      <c r="AU633" s="50">
        <f t="shared" si="110"/>
        <v>10312.32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6387.13</v>
      </c>
      <c r="AR634" s="189">
        <f t="shared" si="112"/>
        <v>6250.8600000000006</v>
      </c>
      <c r="AS634" s="189">
        <f t="shared" si="108"/>
        <v>6713.34</v>
      </c>
      <c r="AT634" s="189">
        <f t="shared" si="109"/>
        <v>13205.28</v>
      </c>
      <c r="AU634" s="50">
        <f t="shared" si="110"/>
        <v>11689.920000000002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6921.0300000000016</v>
      </c>
      <c r="AR635" s="189">
        <f t="shared" si="112"/>
        <v>6816.6600000000008</v>
      </c>
      <c r="AS635" s="189">
        <f t="shared" si="108"/>
        <v>7134.0000000000009</v>
      </c>
      <c r="AT635" s="189">
        <f t="shared" si="109"/>
        <v>14268.000000000002</v>
      </c>
      <c r="AU635" s="50">
        <f t="shared" si="110"/>
        <v>13067.520000000002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7454.93</v>
      </c>
      <c r="AR636" s="189">
        <f t="shared" si="112"/>
        <v>7382.46</v>
      </c>
      <c r="AS636" s="189">
        <f t="shared" si="108"/>
        <v>7134.0000000000009</v>
      </c>
      <c r="AT636" s="189">
        <f t="shared" si="109"/>
        <v>14268.000000000002</v>
      </c>
      <c r="AU636" s="50">
        <f t="shared" si="110"/>
        <v>14445.119999999999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7988.83</v>
      </c>
      <c r="AR637" s="189">
        <f t="shared" si="112"/>
        <v>7948.2599999999993</v>
      </c>
      <c r="AS637" s="189">
        <f t="shared" si="108"/>
        <v>7134.0000000000009</v>
      </c>
      <c r="AT637" s="189">
        <f t="shared" si="109"/>
        <v>14268.000000000002</v>
      </c>
      <c r="AU637" s="50">
        <f t="shared" si="110"/>
        <v>15822.720000000001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8149.0000000000009</v>
      </c>
      <c r="AR638" s="189">
        <f t="shared" si="112"/>
        <v>8118.0000000000009</v>
      </c>
      <c r="AS638" s="189">
        <f t="shared" si="108"/>
        <v>7134.0000000000009</v>
      </c>
      <c r="AT638" s="189">
        <f t="shared" si="109"/>
        <v>14268.000000000002</v>
      </c>
      <c r="AU638" s="50">
        <f t="shared" si="110"/>
        <v>16236.000000000002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8149.0000000000009</v>
      </c>
      <c r="AR639" s="189">
        <f t="shared" si="112"/>
        <v>8118.0000000000009</v>
      </c>
      <c r="AS639" s="189">
        <f t="shared" si="108"/>
        <v>7134.0000000000009</v>
      </c>
      <c r="AT639" s="189">
        <f t="shared" si="109"/>
        <v>14268.000000000002</v>
      </c>
      <c r="AU639" s="50">
        <f t="shared" si="110"/>
        <v>16236.000000000002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8149.0000000000009</v>
      </c>
      <c r="AR640" s="189">
        <f t="shared" si="112"/>
        <v>8118.0000000000009</v>
      </c>
      <c r="AS640" s="189">
        <f t="shared" si="108"/>
        <v>7134.0000000000009</v>
      </c>
      <c r="AT640" s="189">
        <f t="shared" si="109"/>
        <v>14268.000000000002</v>
      </c>
      <c r="AU640" s="50">
        <f t="shared" si="110"/>
        <v>16236.000000000002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5437.35</v>
      </c>
      <c r="AR641" s="189">
        <f t="shared" si="112"/>
        <v>5596.5</v>
      </c>
      <c r="AS641" s="189">
        <f t="shared" si="108"/>
        <v>5166</v>
      </c>
      <c r="AT641" s="189">
        <f t="shared" si="109"/>
        <v>10332</v>
      </c>
      <c r="AU641" s="50">
        <f t="shared" si="110"/>
        <v>10824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5746.45</v>
      </c>
      <c r="AR642" s="189">
        <f t="shared" si="112"/>
        <v>5965.5</v>
      </c>
      <c r="AS642" s="189">
        <f t="shared" si="108"/>
        <v>5166</v>
      </c>
      <c r="AT642" s="189">
        <f t="shared" si="109"/>
        <v>10332</v>
      </c>
      <c r="AU642" s="50">
        <f t="shared" si="110"/>
        <v>11808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5901</v>
      </c>
      <c r="AR643" s="189">
        <f t="shared" si="112"/>
        <v>6150</v>
      </c>
      <c r="AS643" s="189">
        <f t="shared" ref="AS643:AS706" si="113">$AG$3*(1+$AJ643*$Y$2+$AN643)*(MAXA(1-$AI$3-$AL643*$AA$3-$AP643-0.36,0)+MINA($AI$3+$AL643*$AA$3+$AP643+0.36,1)*(1+$AH$3+$AO643+$AK643*$Z$4))</f>
        <v>5166</v>
      </c>
      <c r="AT643" s="189">
        <f t="shared" ref="AT643:AT706" si="114">$AG$3*(1+$AJ643*$Y$2+$AN643)*(MAXA(1-$AI$3-$AL643*$AA$3-$AP643-0.36,0)+2*MINA($AI$3+$AL643*$AA$3+$AP643+0.36,1)*(1+$AH$3+$AO643+$AK643*$Z$4))</f>
        <v>10332</v>
      </c>
      <c r="AU643" s="50">
        <f t="shared" ref="AU643:AU706" si="115">$AG$3*(1+$AJ643*$Y$2+$AN643)*(MAXA(1-$AI$3-$AL643*$AA$3-$AP643-0.12,0)+2*MINA($AI$3+$AL643*$AA$3+$AP643+0.12,1)*(1+$AH$3+$AO643+$AK643*$Z$4+0.4))</f>
        <v>12300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5901</v>
      </c>
      <c r="AR644" s="189">
        <f t="shared" ref="AR644:AR707" si="117">$AG$3*(1+$AJ644*$Y$2+$AN644)*(MAXA(1-$AI$3-$AL644*$AA$3-$AP644-0.12,0)+MINA($AI$3+$AL644*$AA$3+$AP644+0.12,1)*(1+$AH$3+$AO644+$AK644*$Z$4+0.4))</f>
        <v>6150</v>
      </c>
      <c r="AS644" s="189">
        <f t="shared" si="113"/>
        <v>5166</v>
      </c>
      <c r="AT644" s="189">
        <f t="shared" si="114"/>
        <v>10332</v>
      </c>
      <c r="AU644" s="50">
        <f t="shared" si="115"/>
        <v>12300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5901</v>
      </c>
      <c r="AR645" s="189">
        <f t="shared" si="117"/>
        <v>6150</v>
      </c>
      <c r="AS645" s="189">
        <f t="shared" si="113"/>
        <v>5166</v>
      </c>
      <c r="AT645" s="189">
        <f t="shared" si="114"/>
        <v>10332</v>
      </c>
      <c r="AU645" s="50">
        <f t="shared" si="115"/>
        <v>12300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5901</v>
      </c>
      <c r="AR646" s="189">
        <f t="shared" si="117"/>
        <v>6150</v>
      </c>
      <c r="AS646" s="189">
        <f t="shared" si="113"/>
        <v>5166</v>
      </c>
      <c r="AT646" s="189">
        <f t="shared" si="114"/>
        <v>10332</v>
      </c>
      <c r="AU646" s="50">
        <f t="shared" si="115"/>
        <v>12300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5901</v>
      </c>
      <c r="AR647" s="189">
        <f t="shared" si="117"/>
        <v>6150</v>
      </c>
      <c r="AS647" s="189">
        <f t="shared" si="113"/>
        <v>5166</v>
      </c>
      <c r="AT647" s="189">
        <f t="shared" si="114"/>
        <v>10332</v>
      </c>
      <c r="AU647" s="50">
        <f t="shared" si="115"/>
        <v>12300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5901</v>
      </c>
      <c r="AR648" s="189">
        <f t="shared" si="117"/>
        <v>6150</v>
      </c>
      <c r="AS648" s="189">
        <f t="shared" si="113"/>
        <v>5166</v>
      </c>
      <c r="AT648" s="189">
        <f t="shared" si="114"/>
        <v>10332</v>
      </c>
      <c r="AU648" s="50">
        <f t="shared" si="115"/>
        <v>12300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5901</v>
      </c>
      <c r="AR649" s="189">
        <f t="shared" si="117"/>
        <v>6150</v>
      </c>
      <c r="AS649" s="189">
        <f t="shared" si="113"/>
        <v>5166</v>
      </c>
      <c r="AT649" s="189">
        <f t="shared" si="114"/>
        <v>10332</v>
      </c>
      <c r="AU649" s="50">
        <f t="shared" si="115"/>
        <v>12300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5901</v>
      </c>
      <c r="AR650" s="189">
        <f t="shared" si="117"/>
        <v>6150</v>
      </c>
      <c r="AS650" s="189">
        <f t="shared" si="113"/>
        <v>5166</v>
      </c>
      <c r="AT650" s="189">
        <f t="shared" si="114"/>
        <v>10332</v>
      </c>
      <c r="AU650" s="50">
        <f t="shared" si="115"/>
        <v>12300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5901</v>
      </c>
      <c r="AR651" s="189">
        <f t="shared" si="117"/>
        <v>6150</v>
      </c>
      <c r="AS651" s="189">
        <f t="shared" si="113"/>
        <v>5166</v>
      </c>
      <c r="AT651" s="189">
        <f t="shared" si="114"/>
        <v>10332</v>
      </c>
      <c r="AU651" s="50">
        <f t="shared" si="115"/>
        <v>12300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4461.6800000000012</v>
      </c>
      <c r="AR652" s="189">
        <f t="shared" si="117"/>
        <v>4341.4500000000007</v>
      </c>
      <c r="AS652" s="189">
        <f t="shared" si="113"/>
        <v>4823.4900000000016</v>
      </c>
      <c r="AT652" s="189">
        <f t="shared" si="114"/>
        <v>8132.8800000000028</v>
      </c>
      <c r="AU652" s="50">
        <f t="shared" si="115"/>
        <v>6427.2000000000007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4840.0800000000008</v>
      </c>
      <c r="AR653" s="189">
        <f t="shared" si="117"/>
        <v>4804.9500000000016</v>
      </c>
      <c r="AS653" s="189">
        <f t="shared" si="113"/>
        <v>5163.3900000000003</v>
      </c>
      <c r="AT653" s="189">
        <f t="shared" si="114"/>
        <v>9121.6800000000021</v>
      </c>
      <c r="AU653" s="50">
        <f t="shared" si="115"/>
        <v>7663.2000000000007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5218.4800000000005</v>
      </c>
      <c r="AR654" s="189">
        <f t="shared" si="117"/>
        <v>5268.45</v>
      </c>
      <c r="AS654" s="189">
        <f t="shared" si="113"/>
        <v>5503.29</v>
      </c>
      <c r="AT654" s="189">
        <f t="shared" si="114"/>
        <v>10110.480000000001</v>
      </c>
      <c r="AU654" s="50">
        <f t="shared" si="115"/>
        <v>8899.1999999999989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5596.88</v>
      </c>
      <c r="AR655" s="189">
        <f t="shared" si="117"/>
        <v>5731.9500000000007</v>
      </c>
      <c r="AS655" s="189">
        <f t="shared" si="113"/>
        <v>5843.1900000000005</v>
      </c>
      <c r="AT655" s="189">
        <f t="shared" si="114"/>
        <v>11099.28</v>
      </c>
      <c r="AU655" s="50">
        <f t="shared" si="115"/>
        <v>10135.200000000001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5975.2800000000016</v>
      </c>
      <c r="AR656" s="189">
        <f t="shared" si="117"/>
        <v>6195.4500000000007</v>
      </c>
      <c r="AS656" s="189">
        <f t="shared" si="113"/>
        <v>6183.090000000002</v>
      </c>
      <c r="AT656" s="189">
        <f t="shared" si="114"/>
        <v>12088.080000000004</v>
      </c>
      <c r="AU656" s="50">
        <f t="shared" si="115"/>
        <v>11371.200000000003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6353.6800000000012</v>
      </c>
      <c r="AR657" s="189">
        <f t="shared" si="117"/>
        <v>6658.9500000000016</v>
      </c>
      <c r="AS657" s="189">
        <f t="shared" si="113"/>
        <v>6489.0000000000009</v>
      </c>
      <c r="AT657" s="189">
        <f t="shared" si="114"/>
        <v>12978.000000000002</v>
      </c>
      <c r="AU657" s="50">
        <f t="shared" si="115"/>
        <v>12607.200000000003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6732.08</v>
      </c>
      <c r="AR658" s="189">
        <f t="shared" si="117"/>
        <v>7122.45</v>
      </c>
      <c r="AS658" s="189">
        <f t="shared" si="113"/>
        <v>6489.0000000000009</v>
      </c>
      <c r="AT658" s="189">
        <f t="shared" si="114"/>
        <v>12978.000000000002</v>
      </c>
      <c r="AU658" s="50">
        <f t="shared" si="115"/>
        <v>13843.2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7110.4800000000014</v>
      </c>
      <c r="AR659" s="189">
        <f t="shared" si="117"/>
        <v>7585.9500000000016</v>
      </c>
      <c r="AS659" s="189">
        <f t="shared" si="113"/>
        <v>6489.0000000000009</v>
      </c>
      <c r="AT659" s="189">
        <f t="shared" si="114"/>
        <v>12978.000000000002</v>
      </c>
      <c r="AU659" s="50">
        <f t="shared" si="115"/>
        <v>15079.200000000003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7224.0000000000009</v>
      </c>
      <c r="AR660" s="189">
        <f t="shared" si="117"/>
        <v>7725.0000000000009</v>
      </c>
      <c r="AS660" s="189">
        <f t="shared" si="113"/>
        <v>6489.0000000000009</v>
      </c>
      <c r="AT660" s="189">
        <f t="shared" si="114"/>
        <v>12978.000000000002</v>
      </c>
      <c r="AU660" s="50">
        <f t="shared" si="115"/>
        <v>15450.000000000002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7224.0000000000009</v>
      </c>
      <c r="AR661" s="189">
        <f t="shared" si="117"/>
        <v>7725.0000000000009</v>
      </c>
      <c r="AS661" s="189">
        <f t="shared" si="113"/>
        <v>6489.0000000000009</v>
      </c>
      <c r="AT661" s="189">
        <f t="shared" si="114"/>
        <v>12978.000000000002</v>
      </c>
      <c r="AU661" s="50">
        <f t="shared" si="115"/>
        <v>15450.000000000002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7224.0000000000009</v>
      </c>
      <c r="AR662" s="189">
        <f t="shared" si="117"/>
        <v>7725.0000000000009</v>
      </c>
      <c r="AS662" s="189">
        <f t="shared" si="113"/>
        <v>6489.0000000000009</v>
      </c>
      <c r="AT662" s="189">
        <f t="shared" si="114"/>
        <v>12978.000000000002</v>
      </c>
      <c r="AU662" s="50">
        <f t="shared" si="115"/>
        <v>15450.000000000002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4554.13</v>
      </c>
      <c r="AR663" s="189">
        <f t="shared" si="117"/>
        <v>4311.8599999999997</v>
      </c>
      <c r="AS663" s="189">
        <f t="shared" si="113"/>
        <v>5237.54</v>
      </c>
      <c r="AT663" s="189">
        <f t="shared" si="114"/>
        <v>9171.68</v>
      </c>
      <c r="AU663" s="50">
        <f t="shared" si="115"/>
        <v>6681.92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5126.0300000000007</v>
      </c>
      <c r="AR664" s="189">
        <f t="shared" si="117"/>
        <v>4923.6599999999989</v>
      </c>
      <c r="AS664" s="189">
        <f t="shared" si="113"/>
        <v>5742.94</v>
      </c>
      <c r="AT664" s="189">
        <f t="shared" si="114"/>
        <v>10448.48</v>
      </c>
      <c r="AU664" s="50">
        <f t="shared" si="115"/>
        <v>8171.5199999999986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5697.9299999999994</v>
      </c>
      <c r="AR665" s="189">
        <f t="shared" si="117"/>
        <v>5535.4599999999991</v>
      </c>
      <c r="AS665" s="189">
        <f t="shared" si="113"/>
        <v>6248.3399999999992</v>
      </c>
      <c r="AT665" s="189">
        <f t="shared" si="114"/>
        <v>11725.279999999999</v>
      </c>
      <c r="AU665" s="50">
        <f t="shared" si="115"/>
        <v>9661.1199999999972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6269.8300000000008</v>
      </c>
      <c r="AR666" s="189">
        <f t="shared" si="117"/>
        <v>6147.2599999999984</v>
      </c>
      <c r="AS666" s="189">
        <f t="shared" si="113"/>
        <v>6753.7399999999989</v>
      </c>
      <c r="AT666" s="189">
        <f t="shared" si="114"/>
        <v>13002.08</v>
      </c>
      <c r="AU666" s="50">
        <f t="shared" si="115"/>
        <v>11150.72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6841.7300000000005</v>
      </c>
      <c r="AR667" s="189">
        <f t="shared" si="117"/>
        <v>6759.0599999999995</v>
      </c>
      <c r="AS667" s="189">
        <f t="shared" si="113"/>
        <v>7259.1399999999994</v>
      </c>
      <c r="AT667" s="189">
        <f t="shared" si="114"/>
        <v>14278.88</v>
      </c>
      <c r="AU667" s="50">
        <f t="shared" si="115"/>
        <v>12640.32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7413.6300000000019</v>
      </c>
      <c r="AR668" s="189">
        <f t="shared" si="117"/>
        <v>7370.86</v>
      </c>
      <c r="AS668" s="189">
        <f t="shared" si="113"/>
        <v>7714</v>
      </c>
      <c r="AT668" s="189">
        <f t="shared" si="114"/>
        <v>15428</v>
      </c>
      <c r="AU668" s="50">
        <f t="shared" si="115"/>
        <v>14129.92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7985.53</v>
      </c>
      <c r="AR669" s="189">
        <f t="shared" si="117"/>
        <v>7982.659999999998</v>
      </c>
      <c r="AS669" s="189">
        <f t="shared" si="113"/>
        <v>7714</v>
      </c>
      <c r="AT669" s="189">
        <f t="shared" si="114"/>
        <v>15428</v>
      </c>
      <c r="AU669" s="50">
        <f t="shared" si="115"/>
        <v>15619.519999999997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8557.43</v>
      </c>
      <c r="AR670" s="189">
        <f t="shared" si="117"/>
        <v>8594.4599999999973</v>
      </c>
      <c r="AS670" s="189">
        <f t="shared" si="113"/>
        <v>7714</v>
      </c>
      <c r="AT670" s="189">
        <f t="shared" si="114"/>
        <v>15428</v>
      </c>
      <c r="AU670" s="50">
        <f t="shared" si="115"/>
        <v>17109.12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8729.0000000000018</v>
      </c>
      <c r="AR671" s="189">
        <f t="shared" si="117"/>
        <v>8778</v>
      </c>
      <c r="AS671" s="189">
        <f t="shared" si="113"/>
        <v>7714</v>
      </c>
      <c r="AT671" s="189">
        <f t="shared" si="114"/>
        <v>15428</v>
      </c>
      <c r="AU671" s="50">
        <f t="shared" si="115"/>
        <v>17556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8729.0000000000018</v>
      </c>
      <c r="AR672" s="189">
        <f t="shared" si="117"/>
        <v>8778</v>
      </c>
      <c r="AS672" s="189">
        <f t="shared" si="113"/>
        <v>7714</v>
      </c>
      <c r="AT672" s="189">
        <f t="shared" si="114"/>
        <v>15428</v>
      </c>
      <c r="AU672" s="50">
        <f t="shared" si="115"/>
        <v>17556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8729.0000000000018</v>
      </c>
      <c r="AR673" s="189">
        <f t="shared" si="117"/>
        <v>8778</v>
      </c>
      <c r="AS673" s="189">
        <f t="shared" si="113"/>
        <v>7714</v>
      </c>
      <c r="AT673" s="189">
        <f t="shared" si="114"/>
        <v>15428</v>
      </c>
      <c r="AU673" s="50">
        <f t="shared" si="115"/>
        <v>17556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5824.35</v>
      </c>
      <c r="AR674" s="189">
        <f t="shared" si="117"/>
        <v>6051.4999999999991</v>
      </c>
      <c r="AS674" s="189">
        <f t="shared" si="113"/>
        <v>5585.9999999999991</v>
      </c>
      <c r="AT674" s="189">
        <f t="shared" si="114"/>
        <v>11171.999999999998</v>
      </c>
      <c r="AU674" s="50">
        <f t="shared" si="115"/>
        <v>11703.999999999998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6155.45</v>
      </c>
      <c r="AR675" s="189">
        <f t="shared" si="117"/>
        <v>6450.4999999999982</v>
      </c>
      <c r="AS675" s="189">
        <f t="shared" si="113"/>
        <v>5585.9999999999991</v>
      </c>
      <c r="AT675" s="189">
        <f t="shared" si="114"/>
        <v>11171.999999999998</v>
      </c>
      <c r="AU675" s="50">
        <f t="shared" si="115"/>
        <v>12767.999999999998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6321</v>
      </c>
      <c r="AR676" s="189">
        <f t="shared" si="117"/>
        <v>6649.9999999999991</v>
      </c>
      <c r="AS676" s="189">
        <f t="shared" si="113"/>
        <v>5585.9999999999991</v>
      </c>
      <c r="AT676" s="189">
        <f t="shared" si="114"/>
        <v>11171.999999999998</v>
      </c>
      <c r="AU676" s="50">
        <f t="shared" si="115"/>
        <v>13299.999999999998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6321</v>
      </c>
      <c r="AR677" s="189">
        <f t="shared" si="117"/>
        <v>6649.9999999999991</v>
      </c>
      <c r="AS677" s="189">
        <f t="shared" si="113"/>
        <v>5585.9999999999991</v>
      </c>
      <c r="AT677" s="189">
        <f t="shared" si="114"/>
        <v>11171.999999999998</v>
      </c>
      <c r="AU677" s="50">
        <f t="shared" si="115"/>
        <v>13299.999999999998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6321</v>
      </c>
      <c r="AR678" s="189">
        <f t="shared" si="117"/>
        <v>6649.9999999999991</v>
      </c>
      <c r="AS678" s="189">
        <f t="shared" si="113"/>
        <v>5585.9999999999991</v>
      </c>
      <c r="AT678" s="189">
        <f t="shared" si="114"/>
        <v>11171.999999999998</v>
      </c>
      <c r="AU678" s="50">
        <f t="shared" si="115"/>
        <v>13299.999999999998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6321</v>
      </c>
      <c r="AR679" s="189">
        <f t="shared" si="117"/>
        <v>6649.9999999999991</v>
      </c>
      <c r="AS679" s="189">
        <f t="shared" si="113"/>
        <v>5585.9999999999991</v>
      </c>
      <c r="AT679" s="189">
        <f t="shared" si="114"/>
        <v>11171.999999999998</v>
      </c>
      <c r="AU679" s="50">
        <f t="shared" si="115"/>
        <v>13299.999999999998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6321</v>
      </c>
      <c r="AR680" s="189">
        <f t="shared" si="117"/>
        <v>6649.9999999999991</v>
      </c>
      <c r="AS680" s="189">
        <f t="shared" si="113"/>
        <v>5585.9999999999991</v>
      </c>
      <c r="AT680" s="189">
        <f t="shared" si="114"/>
        <v>11171.999999999998</v>
      </c>
      <c r="AU680" s="50">
        <f t="shared" si="115"/>
        <v>13299.999999999998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6321</v>
      </c>
      <c r="AR681" s="189">
        <f t="shared" si="117"/>
        <v>6649.9999999999991</v>
      </c>
      <c r="AS681" s="189">
        <f t="shared" si="113"/>
        <v>5585.9999999999991</v>
      </c>
      <c r="AT681" s="189">
        <f t="shared" si="114"/>
        <v>11171.999999999998</v>
      </c>
      <c r="AU681" s="50">
        <f t="shared" si="115"/>
        <v>13299.999999999998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6321</v>
      </c>
      <c r="AR682" s="189">
        <f t="shared" si="117"/>
        <v>6649.9999999999991</v>
      </c>
      <c r="AS682" s="189">
        <f t="shared" si="113"/>
        <v>5585.9999999999991</v>
      </c>
      <c r="AT682" s="189">
        <f t="shared" si="114"/>
        <v>11171.999999999998</v>
      </c>
      <c r="AU682" s="50">
        <f t="shared" si="115"/>
        <v>13299.999999999998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6321</v>
      </c>
      <c r="AR683" s="189">
        <f t="shared" si="117"/>
        <v>6649.9999999999991</v>
      </c>
      <c r="AS683" s="189">
        <f t="shared" si="113"/>
        <v>5585.9999999999991</v>
      </c>
      <c r="AT683" s="189">
        <f t="shared" si="114"/>
        <v>11171.999999999998</v>
      </c>
      <c r="AU683" s="50">
        <f t="shared" si="115"/>
        <v>13299.999999999998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6321</v>
      </c>
      <c r="AR684" s="189">
        <f t="shared" si="117"/>
        <v>6649.9999999999991</v>
      </c>
      <c r="AS684" s="189">
        <f t="shared" si="113"/>
        <v>5585.9999999999991</v>
      </c>
      <c r="AT684" s="189">
        <f t="shared" si="114"/>
        <v>11171.999999999998</v>
      </c>
      <c r="AU684" s="50">
        <f t="shared" si="115"/>
        <v>13299.999999999998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4721.0800000000008</v>
      </c>
      <c r="AR685" s="189">
        <f t="shared" si="117"/>
        <v>4622.45</v>
      </c>
      <c r="AS685" s="189">
        <f t="shared" si="113"/>
        <v>5135.6900000000005</v>
      </c>
      <c r="AT685" s="189">
        <f t="shared" si="114"/>
        <v>8659.2800000000025</v>
      </c>
      <c r="AU685" s="50">
        <f t="shared" si="115"/>
        <v>6843.2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5121.4800000000005</v>
      </c>
      <c r="AR686" s="189">
        <f t="shared" si="117"/>
        <v>5115.9500000000007</v>
      </c>
      <c r="AS686" s="189">
        <f t="shared" si="113"/>
        <v>5497.5899999999992</v>
      </c>
      <c r="AT686" s="189">
        <f t="shared" si="114"/>
        <v>9712.08</v>
      </c>
      <c r="AU686" s="50">
        <f t="shared" si="115"/>
        <v>8159.2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5521.8799999999992</v>
      </c>
      <c r="AR687" s="189">
        <f t="shared" si="117"/>
        <v>5609.4499999999989</v>
      </c>
      <c r="AS687" s="189">
        <f t="shared" si="113"/>
        <v>5859.4899999999989</v>
      </c>
      <c r="AT687" s="189">
        <f t="shared" si="114"/>
        <v>10764.88</v>
      </c>
      <c r="AU687" s="50">
        <f t="shared" si="115"/>
        <v>9475.1999999999989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5922.2799999999988</v>
      </c>
      <c r="AR688" s="189">
        <f t="shared" si="117"/>
        <v>6102.95</v>
      </c>
      <c r="AS688" s="189">
        <f t="shared" si="113"/>
        <v>6221.39</v>
      </c>
      <c r="AT688" s="189">
        <f t="shared" si="114"/>
        <v>11817.679999999998</v>
      </c>
      <c r="AU688" s="50">
        <f t="shared" si="115"/>
        <v>10791.199999999999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6322.68</v>
      </c>
      <c r="AR689" s="189">
        <f t="shared" si="117"/>
        <v>6596.45</v>
      </c>
      <c r="AS689" s="189">
        <f t="shared" si="113"/>
        <v>6583.2900000000009</v>
      </c>
      <c r="AT689" s="189">
        <f t="shared" si="114"/>
        <v>12870.480000000001</v>
      </c>
      <c r="AU689" s="50">
        <f t="shared" si="115"/>
        <v>12107.2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6723.0800000000008</v>
      </c>
      <c r="AR690" s="189">
        <f t="shared" si="117"/>
        <v>7089.9500000000007</v>
      </c>
      <c r="AS690" s="189">
        <f t="shared" si="113"/>
        <v>6909</v>
      </c>
      <c r="AT690" s="189">
        <f t="shared" si="114"/>
        <v>13818</v>
      </c>
      <c r="AU690" s="50">
        <f t="shared" si="115"/>
        <v>13423.2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7123.48</v>
      </c>
      <c r="AR691" s="189">
        <f t="shared" si="117"/>
        <v>7583.4499999999989</v>
      </c>
      <c r="AS691" s="189">
        <f t="shared" si="113"/>
        <v>6909</v>
      </c>
      <c r="AT691" s="189">
        <f t="shared" si="114"/>
        <v>13818</v>
      </c>
      <c r="AU691" s="50">
        <f t="shared" si="115"/>
        <v>14739.199999999999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7523.880000000001</v>
      </c>
      <c r="AR692" s="189">
        <f t="shared" si="117"/>
        <v>8076.95</v>
      </c>
      <c r="AS692" s="189">
        <f t="shared" si="113"/>
        <v>6909</v>
      </c>
      <c r="AT692" s="189">
        <f t="shared" si="114"/>
        <v>13818</v>
      </c>
      <c r="AU692" s="50">
        <f t="shared" si="115"/>
        <v>16055.199999999999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7644</v>
      </c>
      <c r="AR693" s="189">
        <f t="shared" si="117"/>
        <v>8225</v>
      </c>
      <c r="AS693" s="189">
        <f t="shared" si="113"/>
        <v>6909</v>
      </c>
      <c r="AT693" s="189">
        <f t="shared" si="114"/>
        <v>13818</v>
      </c>
      <c r="AU693" s="50">
        <f t="shared" si="115"/>
        <v>16450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7644</v>
      </c>
      <c r="AR694" s="189">
        <f t="shared" si="117"/>
        <v>8225</v>
      </c>
      <c r="AS694" s="189">
        <f t="shared" si="113"/>
        <v>6909</v>
      </c>
      <c r="AT694" s="189">
        <f t="shared" si="114"/>
        <v>13818</v>
      </c>
      <c r="AU694" s="50">
        <f t="shared" si="115"/>
        <v>16450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7644</v>
      </c>
      <c r="AR695" s="189">
        <f t="shared" si="117"/>
        <v>8225</v>
      </c>
      <c r="AS695" s="189">
        <f t="shared" si="113"/>
        <v>6909</v>
      </c>
      <c r="AT695" s="189">
        <f t="shared" si="114"/>
        <v>13818</v>
      </c>
      <c r="AU695" s="50">
        <f t="shared" si="115"/>
        <v>16450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4856.7300000000005</v>
      </c>
      <c r="AR696" s="189">
        <f t="shared" si="117"/>
        <v>4636.0600000000004</v>
      </c>
      <c r="AS696" s="189">
        <f t="shared" si="113"/>
        <v>5631.3400000000011</v>
      </c>
      <c r="AT696" s="189">
        <f t="shared" si="114"/>
        <v>9861.2800000000007</v>
      </c>
      <c r="AU696" s="50">
        <f t="shared" si="115"/>
        <v>7184.3200000000015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5466.630000000001</v>
      </c>
      <c r="AR697" s="189">
        <f t="shared" si="117"/>
        <v>5293.86</v>
      </c>
      <c r="AS697" s="189">
        <f t="shared" si="113"/>
        <v>6174.7400000000007</v>
      </c>
      <c r="AT697" s="189">
        <f t="shared" si="114"/>
        <v>11234.080000000002</v>
      </c>
      <c r="AU697" s="50">
        <f t="shared" si="115"/>
        <v>8785.92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6076.53</v>
      </c>
      <c r="AR698" s="189">
        <f t="shared" si="117"/>
        <v>5951.66</v>
      </c>
      <c r="AS698" s="189">
        <f t="shared" si="113"/>
        <v>6718.14</v>
      </c>
      <c r="AT698" s="189">
        <f t="shared" si="114"/>
        <v>12606.880000000001</v>
      </c>
      <c r="AU698" s="50">
        <f t="shared" si="115"/>
        <v>10387.519999999999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6686.43</v>
      </c>
      <c r="AR699" s="189">
        <f t="shared" si="117"/>
        <v>6609.46</v>
      </c>
      <c r="AS699" s="189">
        <f t="shared" si="113"/>
        <v>7261.54</v>
      </c>
      <c r="AT699" s="189">
        <f t="shared" si="114"/>
        <v>13979.680000000002</v>
      </c>
      <c r="AU699" s="50">
        <f t="shared" si="115"/>
        <v>11989.12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7296.3300000000008</v>
      </c>
      <c r="AR700" s="189">
        <f t="shared" si="117"/>
        <v>7267.2600000000011</v>
      </c>
      <c r="AS700" s="189">
        <f t="shared" si="113"/>
        <v>7804.9400000000005</v>
      </c>
      <c r="AT700" s="189">
        <f t="shared" si="114"/>
        <v>15352.480000000001</v>
      </c>
      <c r="AU700" s="50">
        <f t="shared" si="115"/>
        <v>13590.720000000001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7906.2300000000014</v>
      </c>
      <c r="AR701" s="189">
        <f t="shared" si="117"/>
        <v>7925.0600000000013</v>
      </c>
      <c r="AS701" s="189">
        <f t="shared" si="113"/>
        <v>8294.0000000000018</v>
      </c>
      <c r="AT701" s="189">
        <f t="shared" si="114"/>
        <v>16588.000000000004</v>
      </c>
      <c r="AU701" s="50">
        <f t="shared" si="115"/>
        <v>15192.320000000003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8516.1299999999992</v>
      </c>
      <c r="AR702" s="189">
        <f t="shared" si="117"/>
        <v>8582.86</v>
      </c>
      <c r="AS702" s="189">
        <f t="shared" si="113"/>
        <v>8294.0000000000018</v>
      </c>
      <c r="AT702" s="189">
        <f t="shared" si="114"/>
        <v>16588.000000000004</v>
      </c>
      <c r="AU702" s="50">
        <f t="shared" si="115"/>
        <v>16793.919999999998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9126.0300000000007</v>
      </c>
      <c r="AR703" s="189">
        <f t="shared" si="117"/>
        <v>9240.66</v>
      </c>
      <c r="AS703" s="189">
        <f t="shared" si="113"/>
        <v>8294.0000000000018</v>
      </c>
      <c r="AT703" s="189">
        <f t="shared" si="114"/>
        <v>16588.000000000004</v>
      </c>
      <c r="AU703" s="50">
        <f t="shared" si="115"/>
        <v>18395.52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9309.0000000000018</v>
      </c>
      <c r="AR704" s="189">
        <f t="shared" si="117"/>
        <v>9438</v>
      </c>
      <c r="AS704" s="189">
        <f t="shared" si="113"/>
        <v>8294.0000000000018</v>
      </c>
      <c r="AT704" s="189">
        <f t="shared" si="114"/>
        <v>16588.000000000004</v>
      </c>
      <c r="AU704" s="50">
        <f t="shared" si="115"/>
        <v>18876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9309.0000000000018</v>
      </c>
      <c r="AR705" s="189">
        <f t="shared" si="117"/>
        <v>9438</v>
      </c>
      <c r="AS705" s="189">
        <f t="shared" si="113"/>
        <v>8294.0000000000018</v>
      </c>
      <c r="AT705" s="189">
        <f t="shared" si="114"/>
        <v>16588.000000000004</v>
      </c>
      <c r="AU705" s="50">
        <f t="shared" si="115"/>
        <v>18876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9309.0000000000018</v>
      </c>
      <c r="AR706" s="189">
        <f t="shared" si="117"/>
        <v>9438</v>
      </c>
      <c r="AS706" s="189">
        <f t="shared" si="113"/>
        <v>8294.0000000000018</v>
      </c>
      <c r="AT706" s="189">
        <f t="shared" si="114"/>
        <v>16588.000000000004</v>
      </c>
      <c r="AU706" s="50">
        <f t="shared" si="115"/>
        <v>18876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6211.35</v>
      </c>
      <c r="AR707" s="189">
        <f t="shared" si="117"/>
        <v>6506.5</v>
      </c>
      <c r="AS707" s="189">
        <f t="shared" ref="AS707:AS770" si="118">$AG$3*(1+$AJ707*$Y$2+$AN707)*(MAXA(1-$AI$3-$AL707*$AA$3-$AP707-0.36,0)+MINA($AI$3+$AL707*$AA$3+$AP707+0.36,1)*(1+$AH$3+$AO707+$AK707*$Z$4))</f>
        <v>6006</v>
      </c>
      <c r="AT707" s="189">
        <f t="shared" ref="AT707:AT770" si="119">$AG$3*(1+$AJ707*$Y$2+$AN707)*(MAXA(1-$AI$3-$AL707*$AA$3-$AP707-0.36,0)+2*MINA($AI$3+$AL707*$AA$3+$AP707+0.36,1)*(1+$AH$3+$AO707+$AK707*$Z$4))</f>
        <v>12012</v>
      </c>
      <c r="AU707" s="50">
        <f t="shared" ref="AU707:AU770" si="120">$AG$3*(1+$AJ707*$Y$2+$AN707)*(MAXA(1-$AI$3-$AL707*$AA$3-$AP707-0.12,0)+2*MINA($AI$3+$AL707*$AA$3+$AP707+0.12,1)*(1+$AH$3+$AO707+$AK707*$Z$4+0.4))</f>
        <v>12584.000000000002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6564.45</v>
      </c>
      <c r="AR708" s="189">
        <f t="shared" ref="AR708:AR771" si="122">$AG$3*(1+$AJ708*$Y$2+$AN708)*(MAXA(1-$AI$3-$AL708*$AA$3-$AP708-0.12,0)+MINA($AI$3+$AL708*$AA$3+$AP708+0.12,1)*(1+$AH$3+$AO708+$AK708*$Z$4+0.4))</f>
        <v>6935.4999999999991</v>
      </c>
      <c r="AS708" s="189">
        <f t="shared" si="118"/>
        <v>6006</v>
      </c>
      <c r="AT708" s="189">
        <f t="shared" si="119"/>
        <v>12012</v>
      </c>
      <c r="AU708" s="50">
        <f t="shared" si="120"/>
        <v>13728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6741</v>
      </c>
      <c r="AR709" s="189">
        <f t="shared" si="122"/>
        <v>7150</v>
      </c>
      <c r="AS709" s="189">
        <f t="shared" si="118"/>
        <v>6006</v>
      </c>
      <c r="AT709" s="189">
        <f t="shared" si="119"/>
        <v>12012</v>
      </c>
      <c r="AU709" s="50">
        <f t="shared" si="120"/>
        <v>14300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6741</v>
      </c>
      <c r="AR710" s="189">
        <f t="shared" si="122"/>
        <v>7150</v>
      </c>
      <c r="AS710" s="189">
        <f t="shared" si="118"/>
        <v>6006</v>
      </c>
      <c r="AT710" s="189">
        <f t="shared" si="119"/>
        <v>12012</v>
      </c>
      <c r="AU710" s="50">
        <f t="shared" si="120"/>
        <v>14300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6741</v>
      </c>
      <c r="AR711" s="189">
        <f t="shared" si="122"/>
        <v>7150</v>
      </c>
      <c r="AS711" s="189">
        <f t="shared" si="118"/>
        <v>6006</v>
      </c>
      <c r="AT711" s="189">
        <f t="shared" si="119"/>
        <v>12012</v>
      </c>
      <c r="AU711" s="50">
        <f t="shared" si="120"/>
        <v>14300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6741</v>
      </c>
      <c r="AR712" s="189">
        <f t="shared" si="122"/>
        <v>7150</v>
      </c>
      <c r="AS712" s="189">
        <f t="shared" si="118"/>
        <v>6006</v>
      </c>
      <c r="AT712" s="189">
        <f t="shared" si="119"/>
        <v>12012</v>
      </c>
      <c r="AU712" s="50">
        <f t="shared" si="120"/>
        <v>14300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6741</v>
      </c>
      <c r="AR713" s="189">
        <f t="shared" si="122"/>
        <v>7150</v>
      </c>
      <c r="AS713" s="189">
        <f t="shared" si="118"/>
        <v>6006</v>
      </c>
      <c r="AT713" s="189">
        <f t="shared" si="119"/>
        <v>12012</v>
      </c>
      <c r="AU713" s="50">
        <f t="shared" si="120"/>
        <v>14300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6741</v>
      </c>
      <c r="AR714" s="189">
        <f t="shared" si="122"/>
        <v>7150</v>
      </c>
      <c r="AS714" s="189">
        <f t="shared" si="118"/>
        <v>6006</v>
      </c>
      <c r="AT714" s="189">
        <f t="shared" si="119"/>
        <v>12012</v>
      </c>
      <c r="AU714" s="50">
        <f t="shared" si="120"/>
        <v>14300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6741</v>
      </c>
      <c r="AR715" s="189">
        <f t="shared" si="122"/>
        <v>7150</v>
      </c>
      <c r="AS715" s="189">
        <f t="shared" si="118"/>
        <v>6006</v>
      </c>
      <c r="AT715" s="189">
        <f t="shared" si="119"/>
        <v>12012</v>
      </c>
      <c r="AU715" s="50">
        <f t="shared" si="120"/>
        <v>14300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6741</v>
      </c>
      <c r="AR716" s="189">
        <f t="shared" si="122"/>
        <v>7150</v>
      </c>
      <c r="AS716" s="189">
        <f t="shared" si="118"/>
        <v>6006</v>
      </c>
      <c r="AT716" s="189">
        <f t="shared" si="119"/>
        <v>12012</v>
      </c>
      <c r="AU716" s="50">
        <f t="shared" si="120"/>
        <v>14300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6741</v>
      </c>
      <c r="AR717" s="189">
        <f t="shared" si="122"/>
        <v>7150</v>
      </c>
      <c r="AS717" s="189">
        <f t="shared" si="118"/>
        <v>6006</v>
      </c>
      <c r="AT717" s="189">
        <f t="shared" si="119"/>
        <v>12012</v>
      </c>
      <c r="AU717" s="50">
        <f t="shared" si="120"/>
        <v>14300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4980.4800000000014</v>
      </c>
      <c r="AR718" s="189">
        <f t="shared" si="122"/>
        <v>4903.45</v>
      </c>
      <c r="AS718" s="189">
        <f t="shared" si="118"/>
        <v>5447.89</v>
      </c>
      <c r="AT718" s="189">
        <f t="shared" si="119"/>
        <v>9185.6800000000021</v>
      </c>
      <c r="AU718" s="50">
        <f t="shared" si="120"/>
        <v>7259.2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5402.880000000001</v>
      </c>
      <c r="AR719" s="189">
        <f t="shared" si="122"/>
        <v>5426.9500000000007</v>
      </c>
      <c r="AS719" s="189">
        <f t="shared" si="118"/>
        <v>5831.7899999999991</v>
      </c>
      <c r="AT719" s="189">
        <f t="shared" si="119"/>
        <v>10302.48</v>
      </c>
      <c r="AU719" s="50">
        <f t="shared" si="120"/>
        <v>8655.2000000000007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5825.2800000000007</v>
      </c>
      <c r="AR720" s="189">
        <f t="shared" si="122"/>
        <v>5950.4499999999989</v>
      </c>
      <c r="AS720" s="189">
        <f t="shared" si="118"/>
        <v>6215.6899999999987</v>
      </c>
      <c r="AT720" s="189">
        <f t="shared" si="119"/>
        <v>11419.279999999999</v>
      </c>
      <c r="AU720" s="50">
        <f t="shared" si="120"/>
        <v>10051.199999999999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6247.68</v>
      </c>
      <c r="AR721" s="189">
        <f t="shared" si="122"/>
        <v>6473.95</v>
      </c>
      <c r="AS721" s="189">
        <f t="shared" si="118"/>
        <v>6599.59</v>
      </c>
      <c r="AT721" s="189">
        <f t="shared" si="119"/>
        <v>12536.079999999998</v>
      </c>
      <c r="AU721" s="50">
        <f t="shared" si="120"/>
        <v>11447.199999999999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6670.0800000000008</v>
      </c>
      <c r="AR722" s="189">
        <f t="shared" si="122"/>
        <v>6997.45</v>
      </c>
      <c r="AS722" s="189">
        <f t="shared" si="118"/>
        <v>6983.4900000000016</v>
      </c>
      <c r="AT722" s="189">
        <f t="shared" si="119"/>
        <v>13652.880000000001</v>
      </c>
      <c r="AU722" s="50">
        <f t="shared" si="120"/>
        <v>12843.2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7092.4800000000014</v>
      </c>
      <c r="AR723" s="189">
        <f t="shared" si="122"/>
        <v>7520.9500000000007</v>
      </c>
      <c r="AS723" s="189">
        <f t="shared" si="118"/>
        <v>7329</v>
      </c>
      <c r="AT723" s="189">
        <f t="shared" si="119"/>
        <v>14658</v>
      </c>
      <c r="AU723" s="50">
        <f t="shared" si="120"/>
        <v>14239.2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7514.88</v>
      </c>
      <c r="AR724" s="189">
        <f t="shared" si="122"/>
        <v>8044.4499999999989</v>
      </c>
      <c r="AS724" s="189">
        <f t="shared" si="118"/>
        <v>7329</v>
      </c>
      <c r="AT724" s="189">
        <f t="shared" si="119"/>
        <v>14658</v>
      </c>
      <c r="AU724" s="50">
        <f t="shared" si="120"/>
        <v>15635.199999999999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7937.2800000000016</v>
      </c>
      <c r="AR725" s="189">
        <f t="shared" si="122"/>
        <v>8567.9500000000007</v>
      </c>
      <c r="AS725" s="189">
        <f t="shared" si="118"/>
        <v>7329</v>
      </c>
      <c r="AT725" s="189">
        <f t="shared" si="119"/>
        <v>14658</v>
      </c>
      <c r="AU725" s="50">
        <f t="shared" si="120"/>
        <v>17031.2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8064.0000000000009</v>
      </c>
      <c r="AR726" s="189">
        <f t="shared" si="122"/>
        <v>8725</v>
      </c>
      <c r="AS726" s="189">
        <f t="shared" si="118"/>
        <v>7329</v>
      </c>
      <c r="AT726" s="189">
        <f t="shared" si="119"/>
        <v>14658</v>
      </c>
      <c r="AU726" s="50">
        <f t="shared" si="120"/>
        <v>17450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8064.0000000000009</v>
      </c>
      <c r="AR727" s="189">
        <f t="shared" si="122"/>
        <v>8725</v>
      </c>
      <c r="AS727" s="189">
        <f t="shared" si="118"/>
        <v>7329</v>
      </c>
      <c r="AT727" s="189">
        <f t="shared" si="119"/>
        <v>14658</v>
      </c>
      <c r="AU727" s="50">
        <f t="shared" si="120"/>
        <v>17450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8064.0000000000009</v>
      </c>
      <c r="AR728" s="189">
        <f t="shared" si="122"/>
        <v>8725</v>
      </c>
      <c r="AS728" s="189">
        <f t="shared" si="118"/>
        <v>7329</v>
      </c>
      <c r="AT728" s="189">
        <f t="shared" si="119"/>
        <v>14658</v>
      </c>
      <c r="AU728" s="50">
        <f t="shared" si="120"/>
        <v>17450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5159.33</v>
      </c>
      <c r="AR729" s="189">
        <f t="shared" si="122"/>
        <v>4960.2599999999993</v>
      </c>
      <c r="AS729" s="189">
        <f t="shared" si="118"/>
        <v>6025.14</v>
      </c>
      <c r="AT729" s="189">
        <f t="shared" si="119"/>
        <v>10550.88</v>
      </c>
      <c r="AU729" s="50">
        <f t="shared" si="120"/>
        <v>7686.72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5807.2300000000005</v>
      </c>
      <c r="AR730" s="189">
        <f t="shared" si="122"/>
        <v>5664.0599999999995</v>
      </c>
      <c r="AS730" s="189">
        <f t="shared" si="118"/>
        <v>6606.54</v>
      </c>
      <c r="AT730" s="189">
        <f t="shared" si="119"/>
        <v>12019.679999999998</v>
      </c>
      <c r="AU730" s="50">
        <f t="shared" si="120"/>
        <v>9400.3199999999979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6455.1299999999983</v>
      </c>
      <c r="AR731" s="189">
        <f t="shared" si="122"/>
        <v>6367.8599999999988</v>
      </c>
      <c r="AS731" s="189">
        <f t="shared" si="118"/>
        <v>7187.94</v>
      </c>
      <c r="AT731" s="189">
        <f t="shared" si="119"/>
        <v>13488.48</v>
      </c>
      <c r="AU731" s="50">
        <f t="shared" si="120"/>
        <v>11113.919999999998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7103.03</v>
      </c>
      <c r="AR732" s="189">
        <f t="shared" si="122"/>
        <v>7071.6599999999989</v>
      </c>
      <c r="AS732" s="189">
        <f t="shared" si="118"/>
        <v>7769.3399999999992</v>
      </c>
      <c r="AT732" s="189">
        <f t="shared" si="119"/>
        <v>14957.28</v>
      </c>
      <c r="AU732" s="50">
        <f t="shared" si="120"/>
        <v>12827.519999999999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7750.9299999999994</v>
      </c>
      <c r="AR733" s="189">
        <f t="shared" si="122"/>
        <v>7775.46</v>
      </c>
      <c r="AS733" s="189">
        <f t="shared" si="118"/>
        <v>8350.74</v>
      </c>
      <c r="AT733" s="189">
        <f t="shared" si="119"/>
        <v>16426.079999999998</v>
      </c>
      <c r="AU733" s="50">
        <f t="shared" si="120"/>
        <v>14541.119999999999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8398.83</v>
      </c>
      <c r="AR734" s="189">
        <f t="shared" si="122"/>
        <v>8479.26</v>
      </c>
      <c r="AS734" s="189">
        <f t="shared" si="118"/>
        <v>8874</v>
      </c>
      <c r="AT734" s="189">
        <f t="shared" si="119"/>
        <v>17748</v>
      </c>
      <c r="AU734" s="50">
        <f t="shared" si="120"/>
        <v>16254.720000000001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9046.73</v>
      </c>
      <c r="AR735" s="189">
        <f t="shared" si="122"/>
        <v>9183.0599999999977</v>
      </c>
      <c r="AS735" s="189">
        <f t="shared" si="118"/>
        <v>8874</v>
      </c>
      <c r="AT735" s="189">
        <f t="shared" si="119"/>
        <v>17748</v>
      </c>
      <c r="AU735" s="50">
        <f t="shared" si="120"/>
        <v>17968.319999999996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9694.6299999999992</v>
      </c>
      <c r="AR736" s="189">
        <f t="shared" si="122"/>
        <v>9886.8599999999988</v>
      </c>
      <c r="AS736" s="189">
        <f t="shared" si="118"/>
        <v>8874</v>
      </c>
      <c r="AT736" s="189">
        <f t="shared" si="119"/>
        <v>17748</v>
      </c>
      <c r="AU736" s="50">
        <f t="shared" si="120"/>
        <v>19681.919999999998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9889</v>
      </c>
      <c r="AR737" s="189">
        <f t="shared" si="122"/>
        <v>10098</v>
      </c>
      <c r="AS737" s="189">
        <f t="shared" si="118"/>
        <v>8874</v>
      </c>
      <c r="AT737" s="189">
        <f t="shared" si="119"/>
        <v>17748</v>
      </c>
      <c r="AU737" s="50">
        <f t="shared" si="120"/>
        <v>20196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9889</v>
      </c>
      <c r="AR738" s="189">
        <f t="shared" si="122"/>
        <v>10098</v>
      </c>
      <c r="AS738" s="189">
        <f t="shared" si="118"/>
        <v>8874</v>
      </c>
      <c r="AT738" s="189">
        <f t="shared" si="119"/>
        <v>17748</v>
      </c>
      <c r="AU738" s="50">
        <f t="shared" si="120"/>
        <v>20196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9889</v>
      </c>
      <c r="AR739" s="189">
        <f t="shared" si="122"/>
        <v>10098</v>
      </c>
      <c r="AS739" s="189">
        <f t="shared" si="118"/>
        <v>8874</v>
      </c>
      <c r="AT739" s="189">
        <f t="shared" si="119"/>
        <v>17748</v>
      </c>
      <c r="AU739" s="50">
        <f t="shared" si="120"/>
        <v>20196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6598.3499999999995</v>
      </c>
      <c r="AR740" s="189">
        <f t="shared" si="122"/>
        <v>6961.4999999999991</v>
      </c>
      <c r="AS740" s="189">
        <f t="shared" si="118"/>
        <v>6425.9999999999991</v>
      </c>
      <c r="AT740" s="189">
        <f t="shared" si="119"/>
        <v>12851.999999999998</v>
      </c>
      <c r="AU740" s="50">
        <f t="shared" si="120"/>
        <v>13463.999999999998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6973.4499999999989</v>
      </c>
      <c r="AR741" s="189">
        <f t="shared" si="122"/>
        <v>7420.4999999999982</v>
      </c>
      <c r="AS741" s="189">
        <f t="shared" si="118"/>
        <v>6425.9999999999991</v>
      </c>
      <c r="AT741" s="189">
        <f t="shared" si="119"/>
        <v>12851.999999999998</v>
      </c>
      <c r="AU741" s="50">
        <f t="shared" si="120"/>
        <v>14687.999999999998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7160.9999999999991</v>
      </c>
      <c r="AR742" s="189">
        <f t="shared" si="122"/>
        <v>7649.9999999999991</v>
      </c>
      <c r="AS742" s="189">
        <f t="shared" si="118"/>
        <v>6425.9999999999991</v>
      </c>
      <c r="AT742" s="189">
        <f t="shared" si="119"/>
        <v>12851.999999999998</v>
      </c>
      <c r="AU742" s="50">
        <f t="shared" si="120"/>
        <v>15299.999999999998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7160.9999999999991</v>
      </c>
      <c r="AR743" s="189">
        <f t="shared" si="122"/>
        <v>7649.9999999999991</v>
      </c>
      <c r="AS743" s="189">
        <f t="shared" si="118"/>
        <v>6425.9999999999991</v>
      </c>
      <c r="AT743" s="189">
        <f t="shared" si="119"/>
        <v>12851.999999999998</v>
      </c>
      <c r="AU743" s="50">
        <f t="shared" si="120"/>
        <v>15299.999999999998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7160.9999999999991</v>
      </c>
      <c r="AR744" s="189">
        <f t="shared" si="122"/>
        <v>7649.9999999999991</v>
      </c>
      <c r="AS744" s="189">
        <f t="shared" si="118"/>
        <v>6425.9999999999991</v>
      </c>
      <c r="AT744" s="189">
        <f t="shared" si="119"/>
        <v>12851.999999999998</v>
      </c>
      <c r="AU744" s="50">
        <f t="shared" si="120"/>
        <v>15299.999999999998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7160.9999999999991</v>
      </c>
      <c r="AR745" s="189">
        <f t="shared" si="122"/>
        <v>7649.9999999999991</v>
      </c>
      <c r="AS745" s="189">
        <f t="shared" si="118"/>
        <v>6425.9999999999991</v>
      </c>
      <c r="AT745" s="189">
        <f t="shared" si="119"/>
        <v>12851.999999999998</v>
      </c>
      <c r="AU745" s="50">
        <f t="shared" si="120"/>
        <v>15299.999999999998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7160.9999999999991</v>
      </c>
      <c r="AR746" s="189">
        <f t="shared" si="122"/>
        <v>7649.9999999999991</v>
      </c>
      <c r="AS746" s="189">
        <f t="shared" si="118"/>
        <v>6425.9999999999991</v>
      </c>
      <c r="AT746" s="189">
        <f t="shared" si="119"/>
        <v>12851.999999999998</v>
      </c>
      <c r="AU746" s="50">
        <f t="shared" si="120"/>
        <v>15299.999999999998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7160.9999999999991</v>
      </c>
      <c r="AR747" s="189">
        <f t="shared" si="122"/>
        <v>7649.9999999999991</v>
      </c>
      <c r="AS747" s="189">
        <f t="shared" si="118"/>
        <v>6425.9999999999991</v>
      </c>
      <c r="AT747" s="189">
        <f t="shared" si="119"/>
        <v>12851.999999999998</v>
      </c>
      <c r="AU747" s="50">
        <f t="shared" si="120"/>
        <v>15299.999999999998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7160.9999999999991</v>
      </c>
      <c r="AR748" s="189">
        <f t="shared" si="122"/>
        <v>7649.9999999999991</v>
      </c>
      <c r="AS748" s="189">
        <f t="shared" si="118"/>
        <v>6425.9999999999991</v>
      </c>
      <c r="AT748" s="189">
        <f t="shared" si="119"/>
        <v>12851.999999999998</v>
      </c>
      <c r="AU748" s="50">
        <f t="shared" si="120"/>
        <v>15299.999999999998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7160.9999999999991</v>
      </c>
      <c r="AR749" s="189">
        <f t="shared" si="122"/>
        <v>7649.9999999999991</v>
      </c>
      <c r="AS749" s="189">
        <f t="shared" si="118"/>
        <v>6425.9999999999991</v>
      </c>
      <c r="AT749" s="189">
        <f t="shared" si="119"/>
        <v>12851.999999999998</v>
      </c>
      <c r="AU749" s="50">
        <f t="shared" si="120"/>
        <v>15299.999999999998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7160.9999999999991</v>
      </c>
      <c r="AR750" s="189">
        <f t="shared" si="122"/>
        <v>7649.9999999999991</v>
      </c>
      <c r="AS750" s="189">
        <f t="shared" si="118"/>
        <v>6425.9999999999991</v>
      </c>
      <c r="AT750" s="189">
        <f t="shared" si="119"/>
        <v>12851.999999999998</v>
      </c>
      <c r="AU750" s="50">
        <f t="shared" si="120"/>
        <v>15299.999999999998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5239.880000000001</v>
      </c>
      <c r="AR751" s="189">
        <f t="shared" si="122"/>
        <v>5184.4500000000007</v>
      </c>
      <c r="AS751" s="189">
        <f t="shared" si="118"/>
        <v>5760.0900000000011</v>
      </c>
      <c r="AT751" s="189">
        <f t="shared" si="119"/>
        <v>9712.0800000000036</v>
      </c>
      <c r="AU751" s="50">
        <f t="shared" si="120"/>
        <v>7675.2000000000016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5684.28</v>
      </c>
      <c r="AR752" s="189">
        <f t="shared" si="122"/>
        <v>5737.9500000000016</v>
      </c>
      <c r="AS752" s="189">
        <f t="shared" si="118"/>
        <v>6165.99</v>
      </c>
      <c r="AT752" s="189">
        <f t="shared" si="119"/>
        <v>10892.880000000001</v>
      </c>
      <c r="AU752" s="50">
        <f t="shared" si="120"/>
        <v>9151.2000000000007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6128.6799999999994</v>
      </c>
      <c r="AR753" s="189">
        <f t="shared" si="122"/>
        <v>6291.45</v>
      </c>
      <c r="AS753" s="189">
        <f t="shared" si="118"/>
        <v>6571.8899999999994</v>
      </c>
      <c r="AT753" s="189">
        <f t="shared" si="119"/>
        <v>12073.68</v>
      </c>
      <c r="AU753" s="50">
        <f t="shared" si="120"/>
        <v>10627.199999999999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6573.079999999999</v>
      </c>
      <c r="AR754" s="189">
        <f t="shared" si="122"/>
        <v>6844.9500000000007</v>
      </c>
      <c r="AS754" s="189">
        <f t="shared" si="118"/>
        <v>6977.7900000000009</v>
      </c>
      <c r="AT754" s="189">
        <f t="shared" si="119"/>
        <v>13254.48</v>
      </c>
      <c r="AU754" s="50">
        <f t="shared" si="120"/>
        <v>12103.2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7017.4800000000005</v>
      </c>
      <c r="AR755" s="189">
        <f t="shared" si="122"/>
        <v>7398.4500000000007</v>
      </c>
      <c r="AS755" s="189">
        <f t="shared" si="118"/>
        <v>7383.6900000000023</v>
      </c>
      <c r="AT755" s="189">
        <f t="shared" si="119"/>
        <v>14435.280000000002</v>
      </c>
      <c r="AU755" s="50">
        <f t="shared" si="120"/>
        <v>13579.200000000003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7461.880000000001</v>
      </c>
      <c r="AR756" s="189">
        <f t="shared" si="122"/>
        <v>7951.9500000000016</v>
      </c>
      <c r="AS756" s="189">
        <f t="shared" si="118"/>
        <v>7749.0000000000009</v>
      </c>
      <c r="AT756" s="189">
        <f t="shared" si="119"/>
        <v>15498.000000000002</v>
      </c>
      <c r="AU756" s="50">
        <f t="shared" si="120"/>
        <v>15055.200000000003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7906.28</v>
      </c>
      <c r="AR757" s="189">
        <f t="shared" si="122"/>
        <v>8505.4500000000007</v>
      </c>
      <c r="AS757" s="189">
        <f t="shared" si="118"/>
        <v>7749.0000000000009</v>
      </c>
      <c r="AT757" s="189">
        <f t="shared" si="119"/>
        <v>15498.000000000002</v>
      </c>
      <c r="AU757" s="50">
        <f t="shared" si="120"/>
        <v>16531.2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8350.68</v>
      </c>
      <c r="AR758" s="189">
        <f t="shared" si="122"/>
        <v>9058.9500000000007</v>
      </c>
      <c r="AS758" s="189">
        <f t="shared" si="118"/>
        <v>7749.0000000000009</v>
      </c>
      <c r="AT758" s="189">
        <f t="shared" si="119"/>
        <v>15498.000000000002</v>
      </c>
      <c r="AU758" s="50">
        <f t="shared" si="120"/>
        <v>18007.2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8484</v>
      </c>
      <c r="AR759" s="189">
        <f t="shared" si="122"/>
        <v>9225.0000000000018</v>
      </c>
      <c r="AS759" s="189">
        <f t="shared" si="118"/>
        <v>7749.0000000000009</v>
      </c>
      <c r="AT759" s="189">
        <f t="shared" si="119"/>
        <v>15498.000000000002</v>
      </c>
      <c r="AU759" s="50">
        <f t="shared" si="120"/>
        <v>18450.000000000004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8484</v>
      </c>
      <c r="AR760" s="189">
        <f t="shared" si="122"/>
        <v>9225.0000000000018</v>
      </c>
      <c r="AS760" s="189">
        <f t="shared" si="118"/>
        <v>7749.0000000000009</v>
      </c>
      <c r="AT760" s="189">
        <f t="shared" si="119"/>
        <v>15498.000000000002</v>
      </c>
      <c r="AU760" s="50">
        <f t="shared" si="120"/>
        <v>18450.000000000004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8484</v>
      </c>
      <c r="AR761" s="189">
        <f t="shared" si="122"/>
        <v>9225.0000000000018</v>
      </c>
      <c r="AS761" s="189">
        <f t="shared" si="118"/>
        <v>7749.0000000000009</v>
      </c>
      <c r="AT761" s="189">
        <f t="shared" si="119"/>
        <v>15498.000000000002</v>
      </c>
      <c r="AU761" s="50">
        <f t="shared" si="120"/>
        <v>18450.000000000004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5461.93</v>
      </c>
      <c r="AR762" s="189">
        <f t="shared" si="122"/>
        <v>5284.46</v>
      </c>
      <c r="AS762" s="189">
        <f t="shared" si="118"/>
        <v>6418.9400000000014</v>
      </c>
      <c r="AT762" s="189">
        <f t="shared" si="119"/>
        <v>11240.480000000001</v>
      </c>
      <c r="AU762" s="50">
        <f t="shared" si="120"/>
        <v>8189.1200000000017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6147.8300000000008</v>
      </c>
      <c r="AR763" s="189">
        <f t="shared" si="122"/>
        <v>6034.26</v>
      </c>
      <c r="AS763" s="189">
        <f t="shared" si="118"/>
        <v>7038.3400000000011</v>
      </c>
      <c r="AT763" s="189">
        <f t="shared" si="119"/>
        <v>12805.28</v>
      </c>
      <c r="AU763" s="50">
        <f t="shared" si="120"/>
        <v>10014.719999999999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6833.73</v>
      </c>
      <c r="AR764" s="189">
        <f t="shared" si="122"/>
        <v>6784.0599999999995</v>
      </c>
      <c r="AS764" s="189">
        <f t="shared" si="118"/>
        <v>7657.7400000000007</v>
      </c>
      <c r="AT764" s="189">
        <f t="shared" si="119"/>
        <v>14370.080000000002</v>
      </c>
      <c r="AU764" s="50">
        <f t="shared" si="120"/>
        <v>11840.32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7519.630000000001</v>
      </c>
      <c r="AR765" s="189">
        <f t="shared" si="122"/>
        <v>7533.86</v>
      </c>
      <c r="AS765" s="189">
        <f t="shared" si="118"/>
        <v>8277.1400000000012</v>
      </c>
      <c r="AT765" s="189">
        <f t="shared" si="119"/>
        <v>15934.880000000003</v>
      </c>
      <c r="AU765" s="50">
        <f t="shared" si="120"/>
        <v>13665.92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8205.5300000000007</v>
      </c>
      <c r="AR766" s="189">
        <f t="shared" si="122"/>
        <v>8283.6600000000017</v>
      </c>
      <c r="AS766" s="189">
        <f t="shared" si="118"/>
        <v>8896.5400000000009</v>
      </c>
      <c r="AT766" s="189">
        <f t="shared" si="119"/>
        <v>17499.68</v>
      </c>
      <c r="AU766" s="50">
        <f t="shared" si="120"/>
        <v>15491.520000000002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8891.4300000000021</v>
      </c>
      <c r="AR767" s="189">
        <f t="shared" si="122"/>
        <v>9033.4600000000009</v>
      </c>
      <c r="AS767" s="189">
        <f t="shared" si="118"/>
        <v>9454.0000000000018</v>
      </c>
      <c r="AT767" s="189">
        <f t="shared" si="119"/>
        <v>18908.000000000004</v>
      </c>
      <c r="AU767" s="50">
        <f t="shared" si="120"/>
        <v>17317.120000000003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9577.33</v>
      </c>
      <c r="AR768" s="189">
        <f t="shared" si="122"/>
        <v>9783.26</v>
      </c>
      <c r="AS768" s="189">
        <f t="shared" si="118"/>
        <v>9454.0000000000018</v>
      </c>
      <c r="AT768" s="189">
        <f t="shared" si="119"/>
        <v>18908.000000000004</v>
      </c>
      <c r="AU768" s="50">
        <f t="shared" si="120"/>
        <v>19142.72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10263.23</v>
      </c>
      <c r="AR769" s="189">
        <f t="shared" si="122"/>
        <v>10533.06</v>
      </c>
      <c r="AS769" s="189">
        <f t="shared" si="118"/>
        <v>9454.0000000000018</v>
      </c>
      <c r="AT769" s="189">
        <f t="shared" si="119"/>
        <v>18908.000000000004</v>
      </c>
      <c r="AU769" s="50">
        <f t="shared" si="120"/>
        <v>20968.32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10469.000000000002</v>
      </c>
      <c r="AR770" s="189">
        <f t="shared" si="122"/>
        <v>10758</v>
      </c>
      <c r="AS770" s="189">
        <f t="shared" si="118"/>
        <v>9454.0000000000018</v>
      </c>
      <c r="AT770" s="189">
        <f t="shared" si="119"/>
        <v>18908.000000000004</v>
      </c>
      <c r="AU770" s="50">
        <f t="shared" si="120"/>
        <v>21516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10469.000000000002</v>
      </c>
      <c r="AR771" s="189">
        <f t="shared" si="122"/>
        <v>10758</v>
      </c>
      <c r="AS771" s="189">
        <f t="shared" ref="AS771:AS834" si="123">$AG$3*(1+$AJ771*$Y$2+$AN771)*(MAXA(1-$AI$3-$AL771*$AA$3-$AP771-0.36,0)+MINA($AI$3+$AL771*$AA$3+$AP771+0.36,1)*(1+$AH$3+$AO771+$AK771*$Z$4))</f>
        <v>9454.0000000000018</v>
      </c>
      <c r="AT771" s="189">
        <f t="shared" ref="AT771:AT834" si="124">$AG$3*(1+$AJ771*$Y$2+$AN771)*(MAXA(1-$AI$3-$AL771*$AA$3-$AP771-0.36,0)+2*MINA($AI$3+$AL771*$AA$3+$AP771+0.36,1)*(1+$AH$3+$AO771+$AK771*$Z$4))</f>
        <v>18908.000000000004</v>
      </c>
      <c r="AU771" s="50">
        <f t="shared" ref="AU771:AU834" si="125">$AG$3*(1+$AJ771*$Y$2+$AN771)*(MAXA(1-$AI$3-$AL771*$AA$3-$AP771-0.12,0)+2*MINA($AI$3+$AL771*$AA$3+$AP771+0.12,1)*(1+$AH$3+$AO771+$AK771*$Z$4+0.4))</f>
        <v>21516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10469.000000000002</v>
      </c>
      <c r="AR772" s="189">
        <f t="shared" ref="AR772:AR835" si="127">$AG$3*(1+$AJ772*$Y$2+$AN772)*(MAXA(1-$AI$3-$AL772*$AA$3-$AP772-0.12,0)+MINA($AI$3+$AL772*$AA$3+$AP772+0.12,1)*(1+$AH$3+$AO772+$AK772*$Z$4+0.4))</f>
        <v>10758</v>
      </c>
      <c r="AS772" s="189">
        <f t="shared" si="123"/>
        <v>9454.0000000000018</v>
      </c>
      <c r="AT772" s="189">
        <f t="shared" si="124"/>
        <v>18908.000000000004</v>
      </c>
      <c r="AU772" s="50">
        <f t="shared" si="125"/>
        <v>21516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6985.35</v>
      </c>
      <c r="AR773" s="189">
        <f t="shared" si="127"/>
        <v>7416.5</v>
      </c>
      <c r="AS773" s="189">
        <f t="shared" si="123"/>
        <v>6846</v>
      </c>
      <c r="AT773" s="189">
        <f t="shared" si="124"/>
        <v>13692</v>
      </c>
      <c r="AU773" s="50">
        <f t="shared" si="125"/>
        <v>14344.000000000002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7382.45</v>
      </c>
      <c r="AR774" s="189">
        <f t="shared" si="127"/>
        <v>7905.4999999999991</v>
      </c>
      <c r="AS774" s="189">
        <f t="shared" si="123"/>
        <v>6846</v>
      </c>
      <c r="AT774" s="189">
        <f t="shared" si="124"/>
        <v>13692</v>
      </c>
      <c r="AU774" s="50">
        <f t="shared" si="125"/>
        <v>15648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7581</v>
      </c>
      <c r="AR775" s="189">
        <f t="shared" si="127"/>
        <v>8150</v>
      </c>
      <c r="AS775" s="189">
        <f t="shared" si="123"/>
        <v>6846</v>
      </c>
      <c r="AT775" s="189">
        <f t="shared" si="124"/>
        <v>13692</v>
      </c>
      <c r="AU775" s="50">
        <f t="shared" si="125"/>
        <v>16300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7581</v>
      </c>
      <c r="AR776" s="189">
        <f t="shared" si="127"/>
        <v>8150</v>
      </c>
      <c r="AS776" s="189">
        <f t="shared" si="123"/>
        <v>6846</v>
      </c>
      <c r="AT776" s="189">
        <f t="shared" si="124"/>
        <v>13692</v>
      </c>
      <c r="AU776" s="50">
        <f t="shared" si="125"/>
        <v>16300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7581</v>
      </c>
      <c r="AR777" s="189">
        <f t="shared" si="127"/>
        <v>8150</v>
      </c>
      <c r="AS777" s="189">
        <f t="shared" si="123"/>
        <v>6846</v>
      </c>
      <c r="AT777" s="189">
        <f t="shared" si="124"/>
        <v>13692</v>
      </c>
      <c r="AU777" s="50">
        <f t="shared" si="125"/>
        <v>16300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7581</v>
      </c>
      <c r="AR778" s="189">
        <f t="shared" si="127"/>
        <v>8150</v>
      </c>
      <c r="AS778" s="189">
        <f t="shared" si="123"/>
        <v>6846</v>
      </c>
      <c r="AT778" s="189">
        <f t="shared" si="124"/>
        <v>13692</v>
      </c>
      <c r="AU778" s="50">
        <f t="shared" si="125"/>
        <v>16300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7581</v>
      </c>
      <c r="AR779" s="189">
        <f t="shared" si="127"/>
        <v>8150</v>
      </c>
      <c r="AS779" s="189">
        <f t="shared" si="123"/>
        <v>6846</v>
      </c>
      <c r="AT779" s="189">
        <f t="shared" si="124"/>
        <v>13692</v>
      </c>
      <c r="AU779" s="50">
        <f t="shared" si="125"/>
        <v>16300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7581</v>
      </c>
      <c r="AR780" s="189">
        <f t="shared" si="127"/>
        <v>8150</v>
      </c>
      <c r="AS780" s="189">
        <f t="shared" si="123"/>
        <v>6846</v>
      </c>
      <c r="AT780" s="189">
        <f t="shared" si="124"/>
        <v>13692</v>
      </c>
      <c r="AU780" s="50">
        <f t="shared" si="125"/>
        <v>16300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7581</v>
      </c>
      <c r="AR781" s="189">
        <f t="shared" si="127"/>
        <v>8150</v>
      </c>
      <c r="AS781" s="189">
        <f t="shared" si="123"/>
        <v>6846</v>
      </c>
      <c r="AT781" s="189">
        <f t="shared" si="124"/>
        <v>13692</v>
      </c>
      <c r="AU781" s="50">
        <f t="shared" si="125"/>
        <v>16300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7581</v>
      </c>
      <c r="AR782" s="189">
        <f t="shared" si="127"/>
        <v>8150</v>
      </c>
      <c r="AS782" s="189">
        <f t="shared" si="123"/>
        <v>6846</v>
      </c>
      <c r="AT782" s="189">
        <f t="shared" si="124"/>
        <v>13692</v>
      </c>
      <c r="AU782" s="50">
        <f t="shared" si="125"/>
        <v>16300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7581</v>
      </c>
      <c r="AR783" s="189">
        <f t="shared" si="127"/>
        <v>8150</v>
      </c>
      <c r="AS783" s="189">
        <f t="shared" si="123"/>
        <v>6846</v>
      </c>
      <c r="AT783" s="189">
        <f t="shared" si="124"/>
        <v>13692</v>
      </c>
      <c r="AU783" s="50">
        <f t="shared" si="125"/>
        <v>16300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5499.2800000000007</v>
      </c>
      <c r="AR784" s="189">
        <f t="shared" si="127"/>
        <v>5465.45</v>
      </c>
      <c r="AS784" s="189">
        <f t="shared" si="123"/>
        <v>6072.2900000000009</v>
      </c>
      <c r="AT784" s="189">
        <f t="shared" si="124"/>
        <v>10238.480000000001</v>
      </c>
      <c r="AU784" s="50">
        <f t="shared" si="125"/>
        <v>8091.2000000000007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5965.68</v>
      </c>
      <c r="AR785" s="189">
        <f t="shared" si="127"/>
        <v>6048.9500000000007</v>
      </c>
      <c r="AS785" s="189">
        <f t="shared" si="123"/>
        <v>6500.19</v>
      </c>
      <c r="AT785" s="189">
        <f t="shared" si="124"/>
        <v>11483.28</v>
      </c>
      <c r="AU785" s="50">
        <f t="shared" si="125"/>
        <v>9647.2000000000007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6432.08</v>
      </c>
      <c r="AR786" s="189">
        <f t="shared" si="127"/>
        <v>6632.4499999999989</v>
      </c>
      <c r="AS786" s="189">
        <f t="shared" si="123"/>
        <v>6928.0899999999992</v>
      </c>
      <c r="AT786" s="189">
        <f t="shared" si="124"/>
        <v>12728.08</v>
      </c>
      <c r="AU786" s="50">
        <f t="shared" si="125"/>
        <v>11203.199999999997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6898.4799999999987</v>
      </c>
      <c r="AR787" s="189">
        <f t="shared" si="127"/>
        <v>7215.95</v>
      </c>
      <c r="AS787" s="189">
        <f t="shared" si="123"/>
        <v>7355.99</v>
      </c>
      <c r="AT787" s="189">
        <f t="shared" si="124"/>
        <v>13972.88</v>
      </c>
      <c r="AU787" s="50">
        <f t="shared" si="125"/>
        <v>12759.199999999999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7364.88</v>
      </c>
      <c r="AR788" s="189">
        <f t="shared" si="127"/>
        <v>7799.45</v>
      </c>
      <c r="AS788" s="189">
        <f t="shared" si="123"/>
        <v>7783.8900000000012</v>
      </c>
      <c r="AT788" s="189">
        <f t="shared" si="124"/>
        <v>15217.680000000002</v>
      </c>
      <c r="AU788" s="50">
        <f t="shared" si="125"/>
        <v>14315.2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7831.2800000000007</v>
      </c>
      <c r="AR789" s="189">
        <f t="shared" si="127"/>
        <v>8382.9500000000007</v>
      </c>
      <c r="AS789" s="189">
        <f t="shared" si="123"/>
        <v>8169</v>
      </c>
      <c r="AT789" s="189">
        <f t="shared" si="124"/>
        <v>16338</v>
      </c>
      <c r="AU789" s="50">
        <f t="shared" si="125"/>
        <v>15871.2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8297.6799999999985</v>
      </c>
      <c r="AR790" s="189">
        <f t="shared" si="127"/>
        <v>8966.4499999999989</v>
      </c>
      <c r="AS790" s="189">
        <f t="shared" si="123"/>
        <v>8169</v>
      </c>
      <c r="AT790" s="189">
        <f t="shared" si="124"/>
        <v>16338</v>
      </c>
      <c r="AU790" s="50">
        <f t="shared" si="125"/>
        <v>17427.199999999997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8764.08</v>
      </c>
      <c r="AR791" s="189">
        <f t="shared" si="127"/>
        <v>9549.9500000000007</v>
      </c>
      <c r="AS791" s="189">
        <f t="shared" si="123"/>
        <v>8169</v>
      </c>
      <c r="AT791" s="189">
        <f t="shared" si="124"/>
        <v>16338</v>
      </c>
      <c r="AU791" s="50">
        <f t="shared" si="125"/>
        <v>18983.2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8904</v>
      </c>
      <c r="AR792" s="189">
        <f t="shared" si="127"/>
        <v>9725</v>
      </c>
      <c r="AS792" s="189">
        <f t="shared" si="123"/>
        <v>8169</v>
      </c>
      <c r="AT792" s="189">
        <f t="shared" si="124"/>
        <v>16338</v>
      </c>
      <c r="AU792" s="50">
        <f t="shared" si="125"/>
        <v>19450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8904</v>
      </c>
      <c r="AR793" s="189">
        <f t="shared" si="127"/>
        <v>9725</v>
      </c>
      <c r="AS793" s="189">
        <f t="shared" si="123"/>
        <v>8169</v>
      </c>
      <c r="AT793" s="189">
        <f t="shared" si="124"/>
        <v>16338</v>
      </c>
      <c r="AU793" s="50">
        <f t="shared" si="125"/>
        <v>19450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8904</v>
      </c>
      <c r="AR794" s="189">
        <f t="shared" si="127"/>
        <v>9725</v>
      </c>
      <c r="AS794" s="189">
        <f t="shared" si="123"/>
        <v>8169</v>
      </c>
      <c r="AT794" s="189">
        <f t="shared" si="124"/>
        <v>16338</v>
      </c>
      <c r="AU794" s="50">
        <f t="shared" si="125"/>
        <v>19450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4089.87</v>
      </c>
      <c r="AR795" s="189">
        <f t="shared" si="127"/>
        <v>3785.4999999999995</v>
      </c>
      <c r="AS795" s="189">
        <f t="shared" si="123"/>
        <v>4680.4599999999991</v>
      </c>
      <c r="AT795" s="189">
        <f t="shared" si="124"/>
        <v>8253.5199999999986</v>
      </c>
      <c r="AU795" s="50">
        <f t="shared" si="125"/>
        <v>5921.2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4637.9699999999993</v>
      </c>
      <c r="AR796" s="189">
        <f t="shared" si="127"/>
        <v>4350.5</v>
      </c>
      <c r="AS796" s="189">
        <f t="shared" si="123"/>
        <v>5155.0599999999995</v>
      </c>
      <c r="AT796" s="189">
        <f t="shared" si="124"/>
        <v>9428.7199999999993</v>
      </c>
      <c r="AU796" s="50">
        <f t="shared" si="125"/>
        <v>7277.2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5186.0699999999988</v>
      </c>
      <c r="AR797" s="189">
        <f t="shared" si="127"/>
        <v>4915.5</v>
      </c>
      <c r="AS797" s="189">
        <f t="shared" si="123"/>
        <v>5629.6599999999989</v>
      </c>
      <c r="AT797" s="189">
        <f t="shared" si="124"/>
        <v>10603.919999999998</v>
      </c>
      <c r="AU797" s="50">
        <f t="shared" si="125"/>
        <v>8633.1999999999989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5734.1699999999992</v>
      </c>
      <c r="AR798" s="189">
        <f t="shared" si="127"/>
        <v>5480.5</v>
      </c>
      <c r="AS798" s="189">
        <f t="shared" si="123"/>
        <v>6104.2599999999993</v>
      </c>
      <c r="AT798" s="189">
        <f t="shared" si="124"/>
        <v>11779.119999999999</v>
      </c>
      <c r="AU798" s="50">
        <f t="shared" si="125"/>
        <v>9989.1999999999971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6282.27</v>
      </c>
      <c r="AR799" s="189">
        <f t="shared" si="127"/>
        <v>6045.5</v>
      </c>
      <c r="AS799" s="189">
        <f t="shared" si="123"/>
        <v>6578.8599999999988</v>
      </c>
      <c r="AT799" s="189">
        <f t="shared" si="124"/>
        <v>12954.319999999998</v>
      </c>
      <c r="AU799" s="50">
        <f t="shared" si="125"/>
        <v>11345.199999999999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6830.369999999999</v>
      </c>
      <c r="AR800" s="189">
        <f t="shared" si="127"/>
        <v>6610.5</v>
      </c>
      <c r="AS800" s="189">
        <f t="shared" si="123"/>
        <v>7005.9999999999991</v>
      </c>
      <c r="AT800" s="189">
        <f t="shared" si="124"/>
        <v>14011.999999999998</v>
      </c>
      <c r="AU800" s="50">
        <f t="shared" si="125"/>
        <v>12701.199999999999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7378.4699999999984</v>
      </c>
      <c r="AR801" s="189">
        <f t="shared" si="127"/>
        <v>7175.4999999999982</v>
      </c>
      <c r="AS801" s="189">
        <f t="shared" si="123"/>
        <v>7005.9999999999991</v>
      </c>
      <c r="AT801" s="189">
        <f t="shared" si="124"/>
        <v>14011.999999999998</v>
      </c>
      <c r="AU801" s="50">
        <f t="shared" si="125"/>
        <v>14057.199999999997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7926.57</v>
      </c>
      <c r="AR802" s="189">
        <f t="shared" si="127"/>
        <v>7740.5</v>
      </c>
      <c r="AS802" s="189">
        <f t="shared" si="123"/>
        <v>7005.9999999999991</v>
      </c>
      <c r="AT802" s="189">
        <f t="shared" si="124"/>
        <v>14011.999999999998</v>
      </c>
      <c r="AU802" s="50">
        <f t="shared" si="125"/>
        <v>15413.199999999999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8090.9999999999991</v>
      </c>
      <c r="AR803" s="189">
        <f t="shared" si="127"/>
        <v>7909.9999999999991</v>
      </c>
      <c r="AS803" s="189">
        <f t="shared" si="123"/>
        <v>7005.9999999999991</v>
      </c>
      <c r="AT803" s="189">
        <f t="shared" si="124"/>
        <v>14011.999999999998</v>
      </c>
      <c r="AU803" s="50">
        <f t="shared" si="125"/>
        <v>15819.999999999998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8090.9999999999991</v>
      </c>
      <c r="AR804" s="189">
        <f t="shared" si="127"/>
        <v>7909.9999999999991</v>
      </c>
      <c r="AS804" s="189">
        <f t="shared" si="123"/>
        <v>7005.9999999999991</v>
      </c>
      <c r="AT804" s="189">
        <f t="shared" si="124"/>
        <v>14011.999999999998</v>
      </c>
      <c r="AU804" s="50">
        <f t="shared" si="125"/>
        <v>15819.999999999998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8090.9999999999991</v>
      </c>
      <c r="AR805" s="189">
        <f t="shared" si="127"/>
        <v>7909.9999999999991</v>
      </c>
      <c r="AS805" s="189">
        <f t="shared" si="123"/>
        <v>7005.9999999999991</v>
      </c>
      <c r="AT805" s="189">
        <f t="shared" si="124"/>
        <v>14011.999999999998</v>
      </c>
      <c r="AU805" s="50">
        <f t="shared" si="125"/>
        <v>15819.999999999998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5494.05</v>
      </c>
      <c r="AR806" s="189">
        <f t="shared" si="127"/>
        <v>5525.7</v>
      </c>
      <c r="AS806" s="189">
        <f t="shared" si="123"/>
        <v>5198</v>
      </c>
      <c r="AT806" s="189">
        <f t="shared" si="124"/>
        <v>10396</v>
      </c>
      <c r="AU806" s="50">
        <f t="shared" si="125"/>
        <v>10712.4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5833.3499999999985</v>
      </c>
      <c r="AR807" s="189">
        <f t="shared" si="127"/>
        <v>5909.8999999999987</v>
      </c>
      <c r="AS807" s="189">
        <f t="shared" si="123"/>
        <v>5198</v>
      </c>
      <c r="AT807" s="189">
        <f t="shared" si="124"/>
        <v>10396</v>
      </c>
      <c r="AU807" s="50">
        <f t="shared" si="125"/>
        <v>11706.799999999997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6002.9999999999991</v>
      </c>
      <c r="AR808" s="189">
        <f t="shared" si="127"/>
        <v>6101.9999999999991</v>
      </c>
      <c r="AS808" s="189">
        <f t="shared" si="123"/>
        <v>5198</v>
      </c>
      <c r="AT808" s="189">
        <f t="shared" si="124"/>
        <v>10396</v>
      </c>
      <c r="AU808" s="50">
        <f t="shared" si="125"/>
        <v>12203.999999999998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6002.9999999999991</v>
      </c>
      <c r="AR809" s="189">
        <f t="shared" si="127"/>
        <v>6101.9999999999991</v>
      </c>
      <c r="AS809" s="189">
        <f t="shared" si="123"/>
        <v>5198</v>
      </c>
      <c r="AT809" s="189">
        <f t="shared" si="124"/>
        <v>10396</v>
      </c>
      <c r="AU809" s="50">
        <f t="shared" si="125"/>
        <v>12203.999999999998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6002.9999999999991</v>
      </c>
      <c r="AR810" s="189">
        <f t="shared" si="127"/>
        <v>6101.9999999999991</v>
      </c>
      <c r="AS810" s="189">
        <f t="shared" si="123"/>
        <v>5198</v>
      </c>
      <c r="AT810" s="189">
        <f t="shared" si="124"/>
        <v>10396</v>
      </c>
      <c r="AU810" s="50">
        <f t="shared" si="125"/>
        <v>12203.999999999998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6002.9999999999991</v>
      </c>
      <c r="AR811" s="189">
        <f t="shared" si="127"/>
        <v>6101.9999999999991</v>
      </c>
      <c r="AS811" s="189">
        <f t="shared" si="123"/>
        <v>5198</v>
      </c>
      <c r="AT811" s="189">
        <f t="shared" si="124"/>
        <v>10396</v>
      </c>
      <c r="AU811" s="50">
        <f t="shared" si="125"/>
        <v>12203.999999999998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6002.9999999999991</v>
      </c>
      <c r="AR812" s="189">
        <f t="shared" si="127"/>
        <v>6101.9999999999991</v>
      </c>
      <c r="AS812" s="189">
        <f t="shared" si="123"/>
        <v>5198</v>
      </c>
      <c r="AT812" s="189">
        <f t="shared" si="124"/>
        <v>10396</v>
      </c>
      <c r="AU812" s="50">
        <f t="shared" si="125"/>
        <v>12203.999999999998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6002.9999999999991</v>
      </c>
      <c r="AR813" s="189">
        <f t="shared" si="127"/>
        <v>6101.9999999999991</v>
      </c>
      <c r="AS813" s="189">
        <f t="shared" si="123"/>
        <v>5198</v>
      </c>
      <c r="AT813" s="189">
        <f t="shared" si="124"/>
        <v>10396</v>
      </c>
      <c r="AU813" s="50">
        <f t="shared" si="125"/>
        <v>12203.999999999998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6002.9999999999991</v>
      </c>
      <c r="AR814" s="189">
        <f t="shared" si="127"/>
        <v>6101.9999999999991</v>
      </c>
      <c r="AS814" s="189">
        <f t="shared" si="123"/>
        <v>5198</v>
      </c>
      <c r="AT814" s="189">
        <f t="shared" si="124"/>
        <v>10396</v>
      </c>
      <c r="AU814" s="50">
        <f t="shared" si="125"/>
        <v>12203.999999999998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6002.9999999999991</v>
      </c>
      <c r="AR815" s="189">
        <f t="shared" si="127"/>
        <v>6101.9999999999991</v>
      </c>
      <c r="AS815" s="189">
        <f t="shared" si="123"/>
        <v>5198</v>
      </c>
      <c r="AT815" s="189">
        <f t="shared" si="124"/>
        <v>10396</v>
      </c>
      <c r="AU815" s="50">
        <f t="shared" si="125"/>
        <v>12203.999999999998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6002.9999999999991</v>
      </c>
      <c r="AR816" s="189">
        <f t="shared" si="127"/>
        <v>6101.9999999999991</v>
      </c>
      <c r="AS816" s="189">
        <f t="shared" si="123"/>
        <v>5198</v>
      </c>
      <c r="AT816" s="189">
        <f t="shared" si="124"/>
        <v>10396</v>
      </c>
      <c r="AU816" s="50">
        <f t="shared" si="125"/>
        <v>12203.999999999998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4377.24</v>
      </c>
      <c r="AR817" s="189">
        <f t="shared" si="127"/>
        <v>4216.51</v>
      </c>
      <c r="AS817" s="189">
        <f t="shared" si="123"/>
        <v>4806.07</v>
      </c>
      <c r="AT817" s="189">
        <f t="shared" si="124"/>
        <v>8196.0399999999991</v>
      </c>
      <c r="AU817" s="50">
        <f t="shared" si="125"/>
        <v>6323.3199999999988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4798.4399999999996</v>
      </c>
      <c r="AR818" s="189">
        <f t="shared" si="127"/>
        <v>4707.8100000000004</v>
      </c>
      <c r="AS818" s="189">
        <f t="shared" si="123"/>
        <v>5181.7699999999995</v>
      </c>
      <c r="AT818" s="189">
        <f t="shared" si="124"/>
        <v>9236.4399999999987</v>
      </c>
      <c r="AU818" s="50">
        <f t="shared" si="125"/>
        <v>7594.9199999999992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5219.6399999999994</v>
      </c>
      <c r="AR819" s="189">
        <f t="shared" si="127"/>
        <v>5199.1099999999997</v>
      </c>
      <c r="AS819" s="189">
        <f t="shared" si="123"/>
        <v>5557.4699999999984</v>
      </c>
      <c r="AT819" s="189">
        <f t="shared" si="124"/>
        <v>10276.839999999998</v>
      </c>
      <c r="AU819" s="50">
        <f t="shared" si="125"/>
        <v>8866.5199999999986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5640.8399999999992</v>
      </c>
      <c r="AR820" s="189">
        <f t="shared" si="127"/>
        <v>5690.41</v>
      </c>
      <c r="AS820" s="189">
        <f t="shared" si="123"/>
        <v>5933.17</v>
      </c>
      <c r="AT820" s="189">
        <f t="shared" si="124"/>
        <v>11317.239999999998</v>
      </c>
      <c r="AU820" s="50">
        <f t="shared" si="125"/>
        <v>10138.119999999999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6062.04</v>
      </c>
      <c r="AR821" s="189">
        <f t="shared" si="127"/>
        <v>6181.7099999999991</v>
      </c>
      <c r="AS821" s="189">
        <f t="shared" si="123"/>
        <v>6308.87</v>
      </c>
      <c r="AT821" s="189">
        <f t="shared" si="124"/>
        <v>12357.64</v>
      </c>
      <c r="AU821" s="50">
        <f t="shared" si="125"/>
        <v>11409.72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6483.24</v>
      </c>
      <c r="AR822" s="189">
        <f t="shared" si="127"/>
        <v>6673.0099999999993</v>
      </c>
      <c r="AS822" s="189">
        <f t="shared" si="123"/>
        <v>6646.9999999999991</v>
      </c>
      <c r="AT822" s="189">
        <f t="shared" si="124"/>
        <v>13293.999999999998</v>
      </c>
      <c r="AU822" s="50">
        <f t="shared" si="125"/>
        <v>12681.32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6904.44</v>
      </c>
      <c r="AR823" s="189">
        <f t="shared" si="127"/>
        <v>7164.3099999999986</v>
      </c>
      <c r="AS823" s="189">
        <f t="shared" si="123"/>
        <v>6646.9999999999991</v>
      </c>
      <c r="AT823" s="189">
        <f t="shared" si="124"/>
        <v>13293.999999999998</v>
      </c>
      <c r="AU823" s="50">
        <f t="shared" si="125"/>
        <v>13952.919999999998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7325.64</v>
      </c>
      <c r="AR824" s="189">
        <f t="shared" si="127"/>
        <v>7655.61</v>
      </c>
      <c r="AS824" s="189">
        <f t="shared" si="123"/>
        <v>6646.9999999999991</v>
      </c>
      <c r="AT824" s="189">
        <f t="shared" si="124"/>
        <v>13293.999999999998</v>
      </c>
      <c r="AU824" s="50">
        <f t="shared" si="125"/>
        <v>15224.519999999999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7451.9999999999991</v>
      </c>
      <c r="AR825" s="189">
        <f t="shared" si="127"/>
        <v>7802.9999999999991</v>
      </c>
      <c r="AS825" s="189">
        <f t="shared" si="123"/>
        <v>6646.9999999999991</v>
      </c>
      <c r="AT825" s="189">
        <f t="shared" si="124"/>
        <v>13293.999999999998</v>
      </c>
      <c r="AU825" s="50">
        <f t="shared" si="125"/>
        <v>15605.999999999998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7451.9999999999991</v>
      </c>
      <c r="AR826" s="189">
        <f t="shared" si="127"/>
        <v>7802.9999999999991</v>
      </c>
      <c r="AS826" s="189">
        <f t="shared" si="123"/>
        <v>6646.9999999999991</v>
      </c>
      <c r="AT826" s="189">
        <f t="shared" si="124"/>
        <v>13293.999999999998</v>
      </c>
      <c r="AU826" s="50">
        <f t="shared" si="125"/>
        <v>15605.999999999998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7451.9999999999991</v>
      </c>
      <c r="AR827" s="189">
        <f t="shared" si="127"/>
        <v>7802.9999999999991</v>
      </c>
      <c r="AS827" s="189">
        <f t="shared" si="123"/>
        <v>6646.9999999999991</v>
      </c>
      <c r="AT827" s="189">
        <f t="shared" si="124"/>
        <v>13293.999999999998</v>
      </c>
      <c r="AU827" s="50">
        <f t="shared" si="125"/>
        <v>15605.999999999998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4403.2699999999995</v>
      </c>
      <c r="AR828" s="189">
        <f t="shared" si="127"/>
        <v>4120.5</v>
      </c>
      <c r="AS828" s="189">
        <f t="shared" si="123"/>
        <v>5094.6599999999989</v>
      </c>
      <c r="AT828" s="189">
        <f t="shared" si="124"/>
        <v>8983.9199999999983</v>
      </c>
      <c r="AU828" s="50">
        <f t="shared" si="125"/>
        <v>6445.2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4993.369999999999</v>
      </c>
      <c r="AR829" s="189">
        <f t="shared" si="127"/>
        <v>4735.5</v>
      </c>
      <c r="AS829" s="189">
        <f t="shared" si="123"/>
        <v>5611.2599999999993</v>
      </c>
      <c r="AT829" s="189">
        <f t="shared" si="124"/>
        <v>10263.119999999999</v>
      </c>
      <c r="AU829" s="50">
        <f t="shared" si="125"/>
        <v>7921.2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5583.4699999999993</v>
      </c>
      <c r="AR830" s="189">
        <f t="shared" si="127"/>
        <v>5350.5</v>
      </c>
      <c r="AS830" s="189">
        <f t="shared" si="123"/>
        <v>6127.8599999999988</v>
      </c>
      <c r="AT830" s="189">
        <f t="shared" si="124"/>
        <v>11542.319999999998</v>
      </c>
      <c r="AU830" s="50">
        <f t="shared" si="125"/>
        <v>9397.1999999999989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6173.5699999999988</v>
      </c>
      <c r="AR831" s="189">
        <f t="shared" si="127"/>
        <v>5965.5</v>
      </c>
      <c r="AS831" s="189">
        <f t="shared" si="123"/>
        <v>6644.4599999999991</v>
      </c>
      <c r="AT831" s="189">
        <f t="shared" si="124"/>
        <v>12821.519999999999</v>
      </c>
      <c r="AU831" s="50">
        <f t="shared" si="125"/>
        <v>10873.199999999997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6763.67</v>
      </c>
      <c r="AR832" s="189">
        <f t="shared" si="127"/>
        <v>6580.5</v>
      </c>
      <c r="AS832" s="189">
        <f t="shared" si="123"/>
        <v>7161.0599999999986</v>
      </c>
      <c r="AT832" s="189">
        <f t="shared" si="124"/>
        <v>14100.719999999998</v>
      </c>
      <c r="AU832" s="50">
        <f t="shared" si="125"/>
        <v>12349.199999999999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7353.7699999999986</v>
      </c>
      <c r="AR833" s="189">
        <f t="shared" si="127"/>
        <v>7195.5</v>
      </c>
      <c r="AS833" s="189">
        <f t="shared" si="123"/>
        <v>7625.9999999999991</v>
      </c>
      <c r="AT833" s="189">
        <f t="shared" si="124"/>
        <v>15251.999999999998</v>
      </c>
      <c r="AU833" s="50">
        <f t="shared" si="125"/>
        <v>13825.199999999999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7943.869999999999</v>
      </c>
      <c r="AR834" s="189">
        <f t="shared" si="127"/>
        <v>7810.4999999999982</v>
      </c>
      <c r="AS834" s="189">
        <f t="shared" si="123"/>
        <v>7625.9999999999991</v>
      </c>
      <c r="AT834" s="189">
        <f t="shared" si="124"/>
        <v>15251.999999999998</v>
      </c>
      <c r="AU834" s="50">
        <f t="shared" si="125"/>
        <v>15301.199999999997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8533.9699999999993</v>
      </c>
      <c r="AR835" s="189">
        <f t="shared" si="127"/>
        <v>8425.5</v>
      </c>
      <c r="AS835" s="189">
        <f t="shared" ref="AS835:AS898" si="128">$AG$3*(1+$AJ835*$Y$2+$AN835)*(MAXA(1-$AI$3-$AL835*$AA$3-$AP835-0.36,0)+MINA($AI$3+$AL835*$AA$3+$AP835+0.36,1)*(1+$AH$3+$AO835+$AK835*$Z$4))</f>
        <v>7625.9999999999991</v>
      </c>
      <c r="AT835" s="189">
        <f t="shared" ref="AT835:AT898" si="129">$AG$3*(1+$AJ835*$Y$2+$AN835)*(MAXA(1-$AI$3-$AL835*$AA$3-$AP835-0.36,0)+2*MINA($AI$3+$AL835*$AA$3+$AP835+0.36,1)*(1+$AH$3+$AO835+$AK835*$Z$4))</f>
        <v>15251.999999999998</v>
      </c>
      <c r="AU835" s="50">
        <f t="shared" ref="AU835:AU898" si="130">$AG$3*(1+$AJ835*$Y$2+$AN835)*(MAXA(1-$AI$3-$AL835*$AA$3-$AP835-0.12,0)+2*MINA($AI$3+$AL835*$AA$3+$AP835+0.12,1)*(1+$AH$3+$AO835+$AK835*$Z$4+0.4))</f>
        <v>16777.199999999997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8710.9999999999982</v>
      </c>
      <c r="AR836" s="189">
        <f t="shared" ref="AR836:AR899" si="132">$AG$3*(1+$AJ836*$Y$2+$AN836)*(MAXA(1-$AI$3-$AL836*$AA$3-$AP836-0.12,0)+MINA($AI$3+$AL836*$AA$3+$AP836+0.12,1)*(1+$AH$3+$AO836+$AK836*$Z$4+0.4))</f>
        <v>8609.9999999999982</v>
      </c>
      <c r="AS836" s="189">
        <f t="shared" si="128"/>
        <v>7625.9999999999991</v>
      </c>
      <c r="AT836" s="189">
        <f t="shared" si="129"/>
        <v>15251.999999999998</v>
      </c>
      <c r="AU836" s="50">
        <f t="shared" si="130"/>
        <v>17219.999999999996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8710.9999999999982</v>
      </c>
      <c r="AR837" s="189">
        <f t="shared" si="132"/>
        <v>8609.9999999999982</v>
      </c>
      <c r="AS837" s="189">
        <f t="shared" si="128"/>
        <v>7625.9999999999991</v>
      </c>
      <c r="AT837" s="189">
        <f t="shared" si="129"/>
        <v>15251.999999999998</v>
      </c>
      <c r="AU837" s="50">
        <f t="shared" si="130"/>
        <v>17219.999999999996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8710.9999999999982</v>
      </c>
      <c r="AR838" s="189">
        <f t="shared" si="132"/>
        <v>8609.9999999999982</v>
      </c>
      <c r="AS838" s="189">
        <f t="shared" si="128"/>
        <v>7625.9999999999991</v>
      </c>
      <c r="AT838" s="189">
        <f t="shared" si="129"/>
        <v>15251.999999999998</v>
      </c>
      <c r="AU838" s="50">
        <f t="shared" si="130"/>
        <v>17219.999999999996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5915.05</v>
      </c>
      <c r="AR839" s="189">
        <f t="shared" si="132"/>
        <v>6014.7</v>
      </c>
      <c r="AS839" s="189">
        <f t="shared" si="128"/>
        <v>5658</v>
      </c>
      <c r="AT839" s="189">
        <f t="shared" si="129"/>
        <v>11316</v>
      </c>
      <c r="AU839" s="50">
        <f t="shared" si="130"/>
        <v>11660.4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6280.3499999999985</v>
      </c>
      <c r="AR840" s="189">
        <f t="shared" si="132"/>
        <v>6432.8999999999987</v>
      </c>
      <c r="AS840" s="189">
        <f t="shared" si="128"/>
        <v>5658</v>
      </c>
      <c r="AT840" s="189">
        <f t="shared" si="129"/>
        <v>11316</v>
      </c>
      <c r="AU840" s="50">
        <f t="shared" si="130"/>
        <v>12742.799999999997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6462.9999999999991</v>
      </c>
      <c r="AR841" s="189">
        <f t="shared" si="132"/>
        <v>6641.9999999999991</v>
      </c>
      <c r="AS841" s="189">
        <f t="shared" si="128"/>
        <v>5658</v>
      </c>
      <c r="AT841" s="189">
        <f t="shared" si="129"/>
        <v>11316</v>
      </c>
      <c r="AU841" s="50">
        <f t="shared" si="130"/>
        <v>13283.999999999998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6462.9999999999991</v>
      </c>
      <c r="AR842" s="189">
        <f t="shared" si="132"/>
        <v>6641.9999999999991</v>
      </c>
      <c r="AS842" s="189">
        <f t="shared" si="128"/>
        <v>5658</v>
      </c>
      <c r="AT842" s="189">
        <f t="shared" si="129"/>
        <v>11316</v>
      </c>
      <c r="AU842" s="50">
        <f t="shared" si="130"/>
        <v>13283.999999999998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6462.9999999999991</v>
      </c>
      <c r="AR843" s="189">
        <f t="shared" si="132"/>
        <v>6641.9999999999991</v>
      </c>
      <c r="AS843" s="189">
        <f t="shared" si="128"/>
        <v>5658</v>
      </c>
      <c r="AT843" s="189">
        <f t="shared" si="129"/>
        <v>11316</v>
      </c>
      <c r="AU843" s="50">
        <f t="shared" si="130"/>
        <v>13283.999999999998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6462.9999999999991</v>
      </c>
      <c r="AR844" s="189">
        <f t="shared" si="132"/>
        <v>6641.9999999999991</v>
      </c>
      <c r="AS844" s="189">
        <f t="shared" si="128"/>
        <v>5658</v>
      </c>
      <c r="AT844" s="189">
        <f t="shared" si="129"/>
        <v>11316</v>
      </c>
      <c r="AU844" s="50">
        <f t="shared" si="130"/>
        <v>13283.999999999998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6462.9999999999991</v>
      </c>
      <c r="AR845" s="189">
        <f t="shared" si="132"/>
        <v>6641.9999999999991</v>
      </c>
      <c r="AS845" s="189">
        <f t="shared" si="128"/>
        <v>5658</v>
      </c>
      <c r="AT845" s="189">
        <f t="shared" si="129"/>
        <v>11316</v>
      </c>
      <c r="AU845" s="50">
        <f t="shared" si="130"/>
        <v>13283.999999999998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6462.9999999999991</v>
      </c>
      <c r="AR846" s="189">
        <f t="shared" si="132"/>
        <v>6641.9999999999991</v>
      </c>
      <c r="AS846" s="189">
        <f t="shared" si="128"/>
        <v>5658</v>
      </c>
      <c r="AT846" s="189">
        <f t="shared" si="129"/>
        <v>11316</v>
      </c>
      <c r="AU846" s="50">
        <f t="shared" si="130"/>
        <v>13283.999999999998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6462.9999999999991</v>
      </c>
      <c r="AR847" s="189">
        <f t="shared" si="132"/>
        <v>6641.9999999999991</v>
      </c>
      <c r="AS847" s="189">
        <f t="shared" si="128"/>
        <v>5658</v>
      </c>
      <c r="AT847" s="189">
        <f t="shared" si="129"/>
        <v>11316</v>
      </c>
      <c r="AU847" s="50">
        <f t="shared" si="130"/>
        <v>13283.999999999998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6462.9999999999991</v>
      </c>
      <c r="AR848" s="189">
        <f t="shared" si="132"/>
        <v>6641.9999999999991</v>
      </c>
      <c r="AS848" s="189">
        <f t="shared" si="128"/>
        <v>5658</v>
      </c>
      <c r="AT848" s="189">
        <f t="shared" si="129"/>
        <v>11316</v>
      </c>
      <c r="AU848" s="50">
        <f t="shared" si="130"/>
        <v>13283.999999999998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6462.9999999999991</v>
      </c>
      <c r="AR849" s="189">
        <f t="shared" si="132"/>
        <v>6641.9999999999991</v>
      </c>
      <c r="AS849" s="189">
        <f t="shared" si="128"/>
        <v>5658</v>
      </c>
      <c r="AT849" s="189">
        <f t="shared" si="129"/>
        <v>11316</v>
      </c>
      <c r="AU849" s="50">
        <f t="shared" si="130"/>
        <v>13283.999999999998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4647.4400000000005</v>
      </c>
      <c r="AR850" s="189">
        <f t="shared" si="132"/>
        <v>4508.3100000000013</v>
      </c>
      <c r="AS850" s="189">
        <f t="shared" si="128"/>
        <v>5138.67</v>
      </c>
      <c r="AT850" s="189">
        <f t="shared" si="129"/>
        <v>8763.24</v>
      </c>
      <c r="AU850" s="50">
        <f t="shared" si="130"/>
        <v>6760.92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5094.6400000000003</v>
      </c>
      <c r="AR851" s="189">
        <f t="shared" si="132"/>
        <v>5033.6100000000006</v>
      </c>
      <c r="AS851" s="189">
        <f t="shared" si="128"/>
        <v>5540.37</v>
      </c>
      <c r="AT851" s="189">
        <f t="shared" si="129"/>
        <v>9875.6400000000012</v>
      </c>
      <c r="AU851" s="50">
        <f t="shared" si="130"/>
        <v>8120.52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5541.84</v>
      </c>
      <c r="AR852" s="189">
        <f t="shared" si="132"/>
        <v>5558.9100000000008</v>
      </c>
      <c r="AS852" s="189">
        <f t="shared" si="128"/>
        <v>5942.07</v>
      </c>
      <c r="AT852" s="189">
        <f t="shared" si="129"/>
        <v>10988.04</v>
      </c>
      <c r="AU852" s="50">
        <f t="shared" si="130"/>
        <v>9480.1200000000008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5989.04</v>
      </c>
      <c r="AR853" s="189">
        <f t="shared" si="132"/>
        <v>6084.21</v>
      </c>
      <c r="AS853" s="189">
        <f t="shared" si="128"/>
        <v>6343.77</v>
      </c>
      <c r="AT853" s="189">
        <f t="shared" si="129"/>
        <v>12100.44</v>
      </c>
      <c r="AU853" s="50">
        <f t="shared" si="130"/>
        <v>10839.72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6436.2400000000007</v>
      </c>
      <c r="AR854" s="189">
        <f t="shared" si="132"/>
        <v>6609.51</v>
      </c>
      <c r="AS854" s="189">
        <f t="shared" si="128"/>
        <v>6745.47</v>
      </c>
      <c r="AT854" s="189">
        <f t="shared" si="129"/>
        <v>13212.840000000002</v>
      </c>
      <c r="AU854" s="50">
        <f t="shared" si="130"/>
        <v>12199.320000000002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6883.4400000000005</v>
      </c>
      <c r="AR855" s="189">
        <f t="shared" si="132"/>
        <v>7134.81</v>
      </c>
      <c r="AS855" s="189">
        <f t="shared" si="128"/>
        <v>7107.0000000000009</v>
      </c>
      <c r="AT855" s="189">
        <f t="shared" si="129"/>
        <v>14214.000000000002</v>
      </c>
      <c r="AU855" s="50">
        <f t="shared" si="130"/>
        <v>13558.920000000002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7330.64</v>
      </c>
      <c r="AR856" s="189">
        <f t="shared" si="132"/>
        <v>7660.11</v>
      </c>
      <c r="AS856" s="189">
        <f t="shared" si="128"/>
        <v>7107.0000000000009</v>
      </c>
      <c r="AT856" s="189">
        <f t="shared" si="129"/>
        <v>14214.000000000002</v>
      </c>
      <c r="AU856" s="50">
        <f t="shared" si="130"/>
        <v>14918.52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7777.8400000000011</v>
      </c>
      <c r="AR857" s="189">
        <f t="shared" si="132"/>
        <v>8185.4100000000017</v>
      </c>
      <c r="AS857" s="189">
        <f t="shared" si="128"/>
        <v>7107.0000000000009</v>
      </c>
      <c r="AT857" s="189">
        <f t="shared" si="129"/>
        <v>14214.000000000002</v>
      </c>
      <c r="AU857" s="50">
        <f t="shared" si="130"/>
        <v>16278.120000000003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7912</v>
      </c>
      <c r="AR858" s="189">
        <f t="shared" si="132"/>
        <v>8343</v>
      </c>
      <c r="AS858" s="189">
        <f t="shared" si="128"/>
        <v>7107.0000000000009</v>
      </c>
      <c r="AT858" s="189">
        <f t="shared" si="129"/>
        <v>14214.000000000002</v>
      </c>
      <c r="AU858" s="50">
        <f t="shared" si="130"/>
        <v>16686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7912</v>
      </c>
      <c r="AR859" s="189">
        <f t="shared" si="132"/>
        <v>8343</v>
      </c>
      <c r="AS859" s="189">
        <f t="shared" si="128"/>
        <v>7107.0000000000009</v>
      </c>
      <c r="AT859" s="189">
        <f t="shared" si="129"/>
        <v>14214.000000000002</v>
      </c>
      <c r="AU859" s="50">
        <f t="shared" si="130"/>
        <v>16686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7912</v>
      </c>
      <c r="AR860" s="189">
        <f t="shared" si="132"/>
        <v>8343</v>
      </c>
      <c r="AS860" s="189">
        <f t="shared" si="128"/>
        <v>7107.0000000000009</v>
      </c>
      <c r="AT860" s="189">
        <f t="shared" si="129"/>
        <v>14214.000000000002</v>
      </c>
      <c r="AU860" s="50">
        <f t="shared" si="130"/>
        <v>16686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4716.67</v>
      </c>
      <c r="AR861" s="189">
        <f t="shared" si="132"/>
        <v>4455.4999999999991</v>
      </c>
      <c r="AS861" s="189">
        <f t="shared" si="128"/>
        <v>5508.8599999999988</v>
      </c>
      <c r="AT861" s="189">
        <f t="shared" si="129"/>
        <v>9714.3199999999961</v>
      </c>
      <c r="AU861" s="50">
        <f t="shared" si="130"/>
        <v>6969.1999999999989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5348.7699999999986</v>
      </c>
      <c r="AR862" s="189">
        <f t="shared" si="132"/>
        <v>5120.4999999999991</v>
      </c>
      <c r="AS862" s="189">
        <f t="shared" si="128"/>
        <v>6067.4599999999982</v>
      </c>
      <c r="AT862" s="189">
        <f t="shared" si="129"/>
        <v>11097.519999999997</v>
      </c>
      <c r="AU862" s="50">
        <f t="shared" si="130"/>
        <v>8565.1999999999971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5980.869999999999</v>
      </c>
      <c r="AR863" s="189">
        <f t="shared" si="132"/>
        <v>5785.4999999999982</v>
      </c>
      <c r="AS863" s="189">
        <f t="shared" si="128"/>
        <v>6626.0599999999977</v>
      </c>
      <c r="AT863" s="189">
        <f t="shared" si="129"/>
        <v>12480.719999999996</v>
      </c>
      <c r="AU863" s="50">
        <f t="shared" si="130"/>
        <v>10161.199999999997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6612.9699999999984</v>
      </c>
      <c r="AR864" s="189">
        <f t="shared" si="132"/>
        <v>6450.4999999999982</v>
      </c>
      <c r="AS864" s="189">
        <f t="shared" si="128"/>
        <v>7184.659999999998</v>
      </c>
      <c r="AT864" s="189">
        <f t="shared" si="129"/>
        <v>13863.919999999996</v>
      </c>
      <c r="AU864" s="50">
        <f t="shared" si="130"/>
        <v>11757.199999999995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7245.07</v>
      </c>
      <c r="AR865" s="189">
        <f t="shared" si="132"/>
        <v>7115.4999999999982</v>
      </c>
      <c r="AS865" s="189">
        <f t="shared" si="128"/>
        <v>7743.2599999999975</v>
      </c>
      <c r="AT865" s="189">
        <f t="shared" si="129"/>
        <v>15247.119999999995</v>
      </c>
      <c r="AU865" s="50">
        <f t="shared" si="130"/>
        <v>13353.199999999997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7877.1699999999983</v>
      </c>
      <c r="AR866" s="189">
        <f t="shared" si="132"/>
        <v>7780.4999999999982</v>
      </c>
      <c r="AS866" s="189">
        <f t="shared" si="128"/>
        <v>8245.9999999999982</v>
      </c>
      <c r="AT866" s="189">
        <f t="shared" si="129"/>
        <v>16491.999999999996</v>
      </c>
      <c r="AU866" s="50">
        <f t="shared" si="130"/>
        <v>14949.199999999995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8509.2699999999986</v>
      </c>
      <c r="AR867" s="189">
        <f t="shared" si="132"/>
        <v>8445.4999999999964</v>
      </c>
      <c r="AS867" s="189">
        <f t="shared" si="128"/>
        <v>8245.9999999999982</v>
      </c>
      <c r="AT867" s="189">
        <f t="shared" si="129"/>
        <v>16491.999999999996</v>
      </c>
      <c r="AU867" s="50">
        <f t="shared" si="130"/>
        <v>16545.199999999993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9141.369999999999</v>
      </c>
      <c r="AR868" s="189">
        <f t="shared" si="132"/>
        <v>9110.4999999999982</v>
      </c>
      <c r="AS868" s="189">
        <f t="shared" si="128"/>
        <v>8245.9999999999982</v>
      </c>
      <c r="AT868" s="189">
        <f t="shared" si="129"/>
        <v>16491.999999999996</v>
      </c>
      <c r="AU868" s="50">
        <f t="shared" si="130"/>
        <v>18141.199999999997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9330.9999999999982</v>
      </c>
      <c r="AR869" s="189">
        <f t="shared" si="132"/>
        <v>9309.9999999999964</v>
      </c>
      <c r="AS869" s="189">
        <f t="shared" si="128"/>
        <v>8245.9999999999982</v>
      </c>
      <c r="AT869" s="189">
        <f t="shared" si="129"/>
        <v>16491.999999999996</v>
      </c>
      <c r="AU869" s="50">
        <f t="shared" si="130"/>
        <v>18619.999999999993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9330.9999999999982</v>
      </c>
      <c r="AR870" s="189">
        <f t="shared" si="132"/>
        <v>9309.9999999999964</v>
      </c>
      <c r="AS870" s="189">
        <f t="shared" si="128"/>
        <v>8245.9999999999982</v>
      </c>
      <c r="AT870" s="189">
        <f t="shared" si="129"/>
        <v>16491.999999999996</v>
      </c>
      <c r="AU870" s="50">
        <f t="shared" si="130"/>
        <v>18619.999999999993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9330.9999999999982</v>
      </c>
      <c r="AR871" s="189">
        <f t="shared" si="132"/>
        <v>9309.9999999999964</v>
      </c>
      <c r="AS871" s="189">
        <f t="shared" si="128"/>
        <v>8245.9999999999982</v>
      </c>
      <c r="AT871" s="189">
        <f t="shared" si="129"/>
        <v>16491.999999999996</v>
      </c>
      <c r="AU871" s="50">
        <f t="shared" si="130"/>
        <v>18619.999999999993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6336.05</v>
      </c>
      <c r="AR872" s="189">
        <f t="shared" si="132"/>
        <v>6503.6999999999989</v>
      </c>
      <c r="AS872" s="189">
        <f t="shared" si="128"/>
        <v>6117.9999999999982</v>
      </c>
      <c r="AT872" s="189">
        <f t="shared" si="129"/>
        <v>12235.999999999996</v>
      </c>
      <c r="AU872" s="50">
        <f t="shared" si="130"/>
        <v>12608.399999999998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6727.3499999999985</v>
      </c>
      <c r="AR873" s="189">
        <f t="shared" si="132"/>
        <v>6955.8999999999969</v>
      </c>
      <c r="AS873" s="189">
        <f t="shared" si="128"/>
        <v>6117.9999999999982</v>
      </c>
      <c r="AT873" s="189">
        <f t="shared" si="129"/>
        <v>12235.999999999996</v>
      </c>
      <c r="AU873" s="50">
        <f t="shared" si="130"/>
        <v>13778.799999999994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6922.9999999999991</v>
      </c>
      <c r="AR874" s="189">
        <f t="shared" si="132"/>
        <v>7181.9999999999982</v>
      </c>
      <c r="AS874" s="189">
        <f t="shared" si="128"/>
        <v>6117.9999999999982</v>
      </c>
      <c r="AT874" s="189">
        <f t="shared" si="129"/>
        <v>12235.999999999996</v>
      </c>
      <c r="AU874" s="50">
        <f t="shared" si="130"/>
        <v>14363.999999999996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6922.9999999999991</v>
      </c>
      <c r="AR875" s="189">
        <f t="shared" si="132"/>
        <v>7181.9999999999982</v>
      </c>
      <c r="AS875" s="189">
        <f t="shared" si="128"/>
        <v>6117.9999999999982</v>
      </c>
      <c r="AT875" s="189">
        <f t="shared" si="129"/>
        <v>12235.999999999996</v>
      </c>
      <c r="AU875" s="50">
        <f t="shared" si="130"/>
        <v>14363.999999999996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6922.9999999999991</v>
      </c>
      <c r="AR876" s="189">
        <f t="shared" si="132"/>
        <v>7181.9999999999982</v>
      </c>
      <c r="AS876" s="189">
        <f t="shared" si="128"/>
        <v>6117.9999999999982</v>
      </c>
      <c r="AT876" s="189">
        <f t="shared" si="129"/>
        <v>12235.999999999996</v>
      </c>
      <c r="AU876" s="50">
        <f t="shared" si="130"/>
        <v>14363.999999999996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6922.9999999999991</v>
      </c>
      <c r="AR877" s="189">
        <f t="shared" si="132"/>
        <v>7181.9999999999982</v>
      </c>
      <c r="AS877" s="189">
        <f t="shared" si="128"/>
        <v>6117.9999999999982</v>
      </c>
      <c r="AT877" s="189">
        <f t="shared" si="129"/>
        <v>12235.999999999996</v>
      </c>
      <c r="AU877" s="50">
        <f t="shared" si="130"/>
        <v>14363.999999999996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6922.9999999999991</v>
      </c>
      <c r="AR878" s="189">
        <f t="shared" si="132"/>
        <v>7181.9999999999982</v>
      </c>
      <c r="AS878" s="189">
        <f t="shared" si="128"/>
        <v>6117.9999999999982</v>
      </c>
      <c r="AT878" s="189">
        <f t="shared" si="129"/>
        <v>12235.999999999996</v>
      </c>
      <c r="AU878" s="50">
        <f t="shared" si="130"/>
        <v>14363.999999999996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6922.9999999999991</v>
      </c>
      <c r="AR879" s="189">
        <f t="shared" si="132"/>
        <v>7181.9999999999982</v>
      </c>
      <c r="AS879" s="189">
        <f t="shared" si="128"/>
        <v>6117.9999999999982</v>
      </c>
      <c r="AT879" s="189">
        <f t="shared" si="129"/>
        <v>12235.999999999996</v>
      </c>
      <c r="AU879" s="50">
        <f t="shared" si="130"/>
        <v>14363.999999999996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6922.9999999999991</v>
      </c>
      <c r="AR880" s="189">
        <f t="shared" si="132"/>
        <v>7181.9999999999982</v>
      </c>
      <c r="AS880" s="189">
        <f t="shared" si="128"/>
        <v>6117.9999999999982</v>
      </c>
      <c r="AT880" s="189">
        <f t="shared" si="129"/>
        <v>12235.999999999996</v>
      </c>
      <c r="AU880" s="50">
        <f t="shared" si="130"/>
        <v>14363.999999999996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6922.9999999999991</v>
      </c>
      <c r="AR881" s="189">
        <f t="shared" si="132"/>
        <v>7181.9999999999982</v>
      </c>
      <c r="AS881" s="189">
        <f t="shared" si="128"/>
        <v>6117.9999999999982</v>
      </c>
      <c r="AT881" s="189">
        <f t="shared" si="129"/>
        <v>12235.999999999996</v>
      </c>
      <c r="AU881" s="50">
        <f t="shared" si="130"/>
        <v>14363.999999999996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6922.9999999999991</v>
      </c>
      <c r="AR882" s="189">
        <f t="shared" si="132"/>
        <v>7181.9999999999982</v>
      </c>
      <c r="AS882" s="189">
        <f t="shared" si="128"/>
        <v>6117.9999999999982</v>
      </c>
      <c r="AT882" s="189">
        <f t="shared" si="129"/>
        <v>12235.999999999996</v>
      </c>
      <c r="AU882" s="50">
        <f t="shared" si="130"/>
        <v>14363.999999999996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4917.6400000000003</v>
      </c>
      <c r="AR883" s="189">
        <f t="shared" si="132"/>
        <v>4800.1100000000006</v>
      </c>
      <c r="AS883" s="189">
        <f t="shared" si="128"/>
        <v>5471.2699999999995</v>
      </c>
      <c r="AT883" s="189">
        <f t="shared" si="129"/>
        <v>9330.4399999999987</v>
      </c>
      <c r="AU883" s="50">
        <f t="shared" si="130"/>
        <v>7198.5199999999995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5390.8399999999992</v>
      </c>
      <c r="AR884" s="189">
        <f t="shared" si="132"/>
        <v>5359.41</v>
      </c>
      <c r="AS884" s="189">
        <f t="shared" si="128"/>
        <v>5898.9699999999993</v>
      </c>
      <c r="AT884" s="189">
        <f t="shared" si="129"/>
        <v>10514.839999999998</v>
      </c>
      <c r="AU884" s="50">
        <f t="shared" si="130"/>
        <v>8646.119999999999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5864.0399999999991</v>
      </c>
      <c r="AR885" s="189">
        <f t="shared" si="132"/>
        <v>5918.71</v>
      </c>
      <c r="AS885" s="189">
        <f t="shared" si="128"/>
        <v>6326.6699999999983</v>
      </c>
      <c r="AT885" s="189">
        <f t="shared" si="129"/>
        <v>11699.239999999998</v>
      </c>
      <c r="AU885" s="50">
        <f t="shared" si="130"/>
        <v>10093.719999999999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6337.2399999999989</v>
      </c>
      <c r="AR886" s="189">
        <f t="shared" si="132"/>
        <v>6478.0099999999993</v>
      </c>
      <c r="AS886" s="189">
        <f t="shared" si="128"/>
        <v>6754.37</v>
      </c>
      <c r="AT886" s="189">
        <f t="shared" si="129"/>
        <v>12883.639999999998</v>
      </c>
      <c r="AU886" s="50">
        <f t="shared" si="130"/>
        <v>11541.319999999998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6810.44</v>
      </c>
      <c r="AR887" s="189">
        <f t="shared" si="132"/>
        <v>7037.3099999999995</v>
      </c>
      <c r="AS887" s="189">
        <f t="shared" si="128"/>
        <v>7182.07</v>
      </c>
      <c r="AT887" s="189">
        <f t="shared" si="129"/>
        <v>14068.039999999999</v>
      </c>
      <c r="AU887" s="50">
        <f t="shared" si="130"/>
        <v>12988.92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7283.6399999999994</v>
      </c>
      <c r="AR888" s="189">
        <f t="shared" si="132"/>
        <v>7596.6099999999988</v>
      </c>
      <c r="AS888" s="189">
        <f t="shared" si="128"/>
        <v>7566.9999999999991</v>
      </c>
      <c r="AT888" s="189">
        <f t="shared" si="129"/>
        <v>15133.999999999998</v>
      </c>
      <c r="AU888" s="50">
        <f t="shared" si="130"/>
        <v>14436.52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7756.8399999999992</v>
      </c>
      <c r="AR889" s="189">
        <f t="shared" si="132"/>
        <v>8155.9099999999989</v>
      </c>
      <c r="AS889" s="189">
        <f t="shared" si="128"/>
        <v>7566.9999999999991</v>
      </c>
      <c r="AT889" s="189">
        <f t="shared" si="129"/>
        <v>15133.999999999998</v>
      </c>
      <c r="AU889" s="50">
        <f t="shared" si="130"/>
        <v>15884.119999999997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8230.0400000000009</v>
      </c>
      <c r="AR890" s="189">
        <f t="shared" si="132"/>
        <v>8715.2100000000009</v>
      </c>
      <c r="AS890" s="189">
        <f t="shared" si="128"/>
        <v>7566.9999999999991</v>
      </c>
      <c r="AT890" s="189">
        <f t="shared" si="129"/>
        <v>15133.999999999998</v>
      </c>
      <c r="AU890" s="50">
        <f t="shared" si="130"/>
        <v>17331.719999999998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8372</v>
      </c>
      <c r="AR891" s="189">
        <f t="shared" si="132"/>
        <v>8883</v>
      </c>
      <c r="AS891" s="189">
        <f t="shared" si="128"/>
        <v>7566.9999999999991</v>
      </c>
      <c r="AT891" s="189">
        <f t="shared" si="129"/>
        <v>15133.999999999998</v>
      </c>
      <c r="AU891" s="50">
        <f t="shared" si="130"/>
        <v>17766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8372</v>
      </c>
      <c r="AR892" s="189">
        <f t="shared" si="132"/>
        <v>8883</v>
      </c>
      <c r="AS892" s="189">
        <f t="shared" si="128"/>
        <v>7566.9999999999991</v>
      </c>
      <c r="AT892" s="189">
        <f t="shared" si="129"/>
        <v>15133.999999999998</v>
      </c>
      <c r="AU892" s="50">
        <f t="shared" si="130"/>
        <v>17766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8372</v>
      </c>
      <c r="AR893" s="189">
        <f t="shared" si="132"/>
        <v>8883</v>
      </c>
      <c r="AS893" s="189">
        <f t="shared" si="128"/>
        <v>7566.9999999999991</v>
      </c>
      <c r="AT893" s="189">
        <f t="shared" si="129"/>
        <v>15133.999999999998</v>
      </c>
      <c r="AU893" s="50">
        <f t="shared" si="130"/>
        <v>17766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5030.07</v>
      </c>
      <c r="AR894" s="189">
        <f t="shared" si="132"/>
        <v>4790.4999999999991</v>
      </c>
      <c r="AS894" s="189">
        <f t="shared" si="128"/>
        <v>5923.0599999999995</v>
      </c>
      <c r="AT894" s="189">
        <f t="shared" si="129"/>
        <v>10444.719999999998</v>
      </c>
      <c r="AU894" s="50">
        <f t="shared" si="130"/>
        <v>7493.2000000000007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5704.1699999999992</v>
      </c>
      <c r="AR895" s="189">
        <f t="shared" si="132"/>
        <v>5505.4999999999991</v>
      </c>
      <c r="AS895" s="189">
        <f t="shared" si="128"/>
        <v>6523.6599999999989</v>
      </c>
      <c r="AT895" s="189">
        <f t="shared" si="129"/>
        <v>11931.92</v>
      </c>
      <c r="AU895" s="50">
        <f t="shared" si="130"/>
        <v>9209.1999999999989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6378.2699999999986</v>
      </c>
      <c r="AR896" s="189">
        <f t="shared" si="132"/>
        <v>6220.4999999999991</v>
      </c>
      <c r="AS896" s="189">
        <f t="shared" si="128"/>
        <v>7124.2599999999993</v>
      </c>
      <c r="AT896" s="189">
        <f t="shared" si="129"/>
        <v>13419.119999999997</v>
      </c>
      <c r="AU896" s="50">
        <f t="shared" si="130"/>
        <v>10925.199999999999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7052.369999999999</v>
      </c>
      <c r="AR897" s="189">
        <f t="shared" si="132"/>
        <v>6935.4999999999991</v>
      </c>
      <c r="AS897" s="189">
        <f t="shared" si="128"/>
        <v>7724.8599999999988</v>
      </c>
      <c r="AT897" s="189">
        <f t="shared" si="129"/>
        <v>14906.32</v>
      </c>
      <c r="AU897" s="50">
        <f t="shared" si="130"/>
        <v>12641.199999999997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7726.47</v>
      </c>
      <c r="AR898" s="189">
        <f t="shared" si="132"/>
        <v>7650.4999999999991</v>
      </c>
      <c r="AS898" s="189">
        <f t="shared" si="128"/>
        <v>8325.4599999999991</v>
      </c>
      <c r="AT898" s="189">
        <f t="shared" si="129"/>
        <v>16393.519999999997</v>
      </c>
      <c r="AU898" s="50">
        <f t="shared" si="130"/>
        <v>14357.199999999999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8400.5699999999979</v>
      </c>
      <c r="AR899" s="189">
        <f t="shared" si="132"/>
        <v>8365.5</v>
      </c>
      <c r="AS899" s="189">
        <f t="shared" ref="AS899:AS962" si="133">$AG$3*(1+$AJ899*$Y$2+$AN899)*(MAXA(1-$AI$3-$AL899*$AA$3-$AP899-0.36,0)+MINA($AI$3+$AL899*$AA$3+$AP899+0.36,1)*(1+$AH$3+$AO899+$AK899*$Z$4))</f>
        <v>8865.9999999999982</v>
      </c>
      <c r="AT899" s="189">
        <f t="shared" ref="AT899:AT962" si="134">$AG$3*(1+$AJ899*$Y$2+$AN899)*(MAXA(1-$AI$3-$AL899*$AA$3-$AP899-0.36,0)+2*MINA($AI$3+$AL899*$AA$3+$AP899+0.36,1)*(1+$AH$3+$AO899+$AK899*$Z$4))</f>
        <v>17731.999999999996</v>
      </c>
      <c r="AU899" s="50">
        <f t="shared" ref="AU899:AU962" si="135">$AG$3*(1+$AJ899*$Y$2+$AN899)*(MAXA(1-$AI$3-$AL899*$AA$3-$AP899-0.12,0)+2*MINA($AI$3+$AL899*$AA$3+$AP899+0.12,1)*(1+$AH$3+$AO899+$AK899*$Z$4+0.4))</f>
        <v>16073.199999999997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9074.6699999999983</v>
      </c>
      <c r="AR900" s="189">
        <f t="shared" ref="AR900:AR963" si="137">$AG$3*(1+$AJ900*$Y$2+$AN900)*(MAXA(1-$AI$3-$AL900*$AA$3-$AP900-0.12,0)+MINA($AI$3+$AL900*$AA$3+$AP900+0.12,1)*(1+$AH$3+$AO900+$AK900*$Z$4+0.4))</f>
        <v>9080.4999999999982</v>
      </c>
      <c r="AS900" s="189">
        <f t="shared" si="133"/>
        <v>8865.9999999999982</v>
      </c>
      <c r="AT900" s="189">
        <f t="shared" si="134"/>
        <v>17731.999999999996</v>
      </c>
      <c r="AU900" s="50">
        <f t="shared" si="135"/>
        <v>17789.199999999997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9748.77</v>
      </c>
      <c r="AR901" s="189">
        <f t="shared" si="137"/>
        <v>9795.5</v>
      </c>
      <c r="AS901" s="189">
        <f t="shared" si="133"/>
        <v>8865.9999999999982</v>
      </c>
      <c r="AT901" s="189">
        <f t="shared" si="134"/>
        <v>17731.999999999996</v>
      </c>
      <c r="AU901" s="50">
        <f t="shared" si="135"/>
        <v>19505.199999999997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9950.9999999999982</v>
      </c>
      <c r="AR902" s="189">
        <f t="shared" si="137"/>
        <v>10009.999999999998</v>
      </c>
      <c r="AS902" s="189">
        <f t="shared" si="133"/>
        <v>8865.9999999999982</v>
      </c>
      <c r="AT902" s="189">
        <f t="shared" si="134"/>
        <v>17731.999999999996</v>
      </c>
      <c r="AU902" s="50">
        <f t="shared" si="135"/>
        <v>20019.999999999996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9950.9999999999982</v>
      </c>
      <c r="AR903" s="189">
        <f t="shared" si="137"/>
        <v>10009.999999999998</v>
      </c>
      <c r="AS903" s="189">
        <f t="shared" si="133"/>
        <v>8865.9999999999982</v>
      </c>
      <c r="AT903" s="189">
        <f t="shared" si="134"/>
        <v>17731.999999999996</v>
      </c>
      <c r="AU903" s="50">
        <f t="shared" si="135"/>
        <v>20019.999999999996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9950.9999999999982</v>
      </c>
      <c r="AR904" s="189">
        <f t="shared" si="137"/>
        <v>10009.999999999998</v>
      </c>
      <c r="AS904" s="189">
        <f t="shared" si="133"/>
        <v>8865.9999999999982</v>
      </c>
      <c r="AT904" s="189">
        <f t="shared" si="134"/>
        <v>17731.999999999996</v>
      </c>
      <c r="AU904" s="50">
        <f t="shared" si="135"/>
        <v>20019.999999999996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6757.05</v>
      </c>
      <c r="AR905" s="189">
        <f t="shared" si="137"/>
        <v>6992.7</v>
      </c>
      <c r="AS905" s="189">
        <f t="shared" si="133"/>
        <v>6577.9999999999991</v>
      </c>
      <c r="AT905" s="189">
        <f t="shared" si="134"/>
        <v>13155.999999999998</v>
      </c>
      <c r="AU905" s="50">
        <f t="shared" si="135"/>
        <v>13556.400000000001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7174.3499999999985</v>
      </c>
      <c r="AR906" s="189">
        <f t="shared" si="137"/>
        <v>7478.8999999999978</v>
      </c>
      <c r="AS906" s="189">
        <f t="shared" si="133"/>
        <v>6577.9999999999991</v>
      </c>
      <c r="AT906" s="189">
        <f t="shared" si="134"/>
        <v>13155.999999999998</v>
      </c>
      <c r="AU906" s="50">
        <f t="shared" si="135"/>
        <v>14814.799999999997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7382.9999999999991</v>
      </c>
      <c r="AR907" s="189">
        <f t="shared" si="137"/>
        <v>7721.9999999999991</v>
      </c>
      <c r="AS907" s="189">
        <f t="shared" si="133"/>
        <v>6577.9999999999991</v>
      </c>
      <c r="AT907" s="189">
        <f t="shared" si="134"/>
        <v>13155.999999999998</v>
      </c>
      <c r="AU907" s="50">
        <f t="shared" si="135"/>
        <v>15443.999999999998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7382.9999999999991</v>
      </c>
      <c r="AR908" s="189">
        <f t="shared" si="137"/>
        <v>7721.9999999999991</v>
      </c>
      <c r="AS908" s="189">
        <f t="shared" si="133"/>
        <v>6577.9999999999991</v>
      </c>
      <c r="AT908" s="189">
        <f t="shared" si="134"/>
        <v>13155.999999999998</v>
      </c>
      <c r="AU908" s="50">
        <f t="shared" si="135"/>
        <v>15443.999999999998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7382.9999999999991</v>
      </c>
      <c r="AR909" s="189">
        <f t="shared" si="137"/>
        <v>7721.9999999999991</v>
      </c>
      <c r="AS909" s="189">
        <f t="shared" si="133"/>
        <v>6577.9999999999991</v>
      </c>
      <c r="AT909" s="189">
        <f t="shared" si="134"/>
        <v>13155.999999999998</v>
      </c>
      <c r="AU909" s="50">
        <f t="shared" si="135"/>
        <v>15443.999999999998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7382.9999999999991</v>
      </c>
      <c r="AR910" s="189">
        <f t="shared" si="137"/>
        <v>7721.9999999999991</v>
      </c>
      <c r="AS910" s="189">
        <f t="shared" si="133"/>
        <v>6577.9999999999991</v>
      </c>
      <c r="AT910" s="189">
        <f t="shared" si="134"/>
        <v>13155.999999999998</v>
      </c>
      <c r="AU910" s="50">
        <f t="shared" si="135"/>
        <v>15443.999999999998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7382.9999999999991</v>
      </c>
      <c r="AR911" s="189">
        <f t="shared" si="137"/>
        <v>7721.9999999999991</v>
      </c>
      <c r="AS911" s="189">
        <f t="shared" si="133"/>
        <v>6577.9999999999991</v>
      </c>
      <c r="AT911" s="189">
        <f t="shared" si="134"/>
        <v>13155.999999999998</v>
      </c>
      <c r="AU911" s="50">
        <f t="shared" si="135"/>
        <v>15443.999999999998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7382.9999999999991</v>
      </c>
      <c r="AR912" s="189">
        <f t="shared" si="137"/>
        <v>7721.9999999999991</v>
      </c>
      <c r="AS912" s="189">
        <f t="shared" si="133"/>
        <v>6577.9999999999991</v>
      </c>
      <c r="AT912" s="189">
        <f t="shared" si="134"/>
        <v>13155.999999999998</v>
      </c>
      <c r="AU912" s="50">
        <f t="shared" si="135"/>
        <v>15443.999999999998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7382.9999999999991</v>
      </c>
      <c r="AR913" s="189">
        <f t="shared" si="137"/>
        <v>7721.9999999999991</v>
      </c>
      <c r="AS913" s="189">
        <f t="shared" si="133"/>
        <v>6577.9999999999991</v>
      </c>
      <c r="AT913" s="189">
        <f t="shared" si="134"/>
        <v>13155.999999999998</v>
      </c>
      <c r="AU913" s="50">
        <f t="shared" si="135"/>
        <v>15443.999999999998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7382.9999999999991</v>
      </c>
      <c r="AR914" s="189">
        <f t="shared" si="137"/>
        <v>7721.9999999999991</v>
      </c>
      <c r="AS914" s="189">
        <f t="shared" si="133"/>
        <v>6577.9999999999991</v>
      </c>
      <c r="AT914" s="189">
        <f t="shared" si="134"/>
        <v>13155.999999999998</v>
      </c>
      <c r="AU914" s="50">
        <f t="shared" si="135"/>
        <v>15443.999999999998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7382.9999999999991</v>
      </c>
      <c r="AR915" s="189">
        <f t="shared" si="137"/>
        <v>7721.9999999999991</v>
      </c>
      <c r="AS915" s="189">
        <f t="shared" si="133"/>
        <v>6577.9999999999991</v>
      </c>
      <c r="AT915" s="189">
        <f t="shared" si="134"/>
        <v>13155.999999999998</v>
      </c>
      <c r="AU915" s="50">
        <f t="shared" si="135"/>
        <v>15443.999999999998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5187.84</v>
      </c>
      <c r="AR916" s="189">
        <f t="shared" si="137"/>
        <v>5091.91</v>
      </c>
      <c r="AS916" s="189">
        <f t="shared" si="133"/>
        <v>5803.869999999999</v>
      </c>
      <c r="AT916" s="189">
        <f t="shared" si="134"/>
        <v>9897.6399999999976</v>
      </c>
      <c r="AU916" s="50">
        <f t="shared" si="135"/>
        <v>7636.119999999999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5687.04</v>
      </c>
      <c r="AR917" s="189">
        <f t="shared" si="137"/>
        <v>5685.21</v>
      </c>
      <c r="AS917" s="189">
        <f t="shared" si="133"/>
        <v>6257.5699999999988</v>
      </c>
      <c r="AT917" s="189">
        <f t="shared" si="134"/>
        <v>11154.039999999999</v>
      </c>
      <c r="AU917" s="50">
        <f t="shared" si="135"/>
        <v>9171.7199999999993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6186.24</v>
      </c>
      <c r="AR918" s="189">
        <f t="shared" si="137"/>
        <v>6278.51</v>
      </c>
      <c r="AS918" s="189">
        <f t="shared" si="133"/>
        <v>6711.2699999999986</v>
      </c>
      <c r="AT918" s="189">
        <f t="shared" si="134"/>
        <v>12410.439999999999</v>
      </c>
      <c r="AU918" s="50">
        <f t="shared" si="135"/>
        <v>10707.319999999998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6685.44</v>
      </c>
      <c r="AR919" s="189">
        <f t="shared" si="137"/>
        <v>6871.8099999999995</v>
      </c>
      <c r="AS919" s="189">
        <f t="shared" si="133"/>
        <v>7164.9699999999993</v>
      </c>
      <c r="AT919" s="189">
        <f t="shared" si="134"/>
        <v>13666.839999999998</v>
      </c>
      <c r="AU919" s="50">
        <f t="shared" si="135"/>
        <v>12242.919999999998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7184.6400000000012</v>
      </c>
      <c r="AR920" s="189">
        <f t="shared" si="137"/>
        <v>7465.11</v>
      </c>
      <c r="AS920" s="189">
        <f t="shared" si="133"/>
        <v>7618.6699999999992</v>
      </c>
      <c r="AT920" s="189">
        <f t="shared" si="134"/>
        <v>14923.24</v>
      </c>
      <c r="AU920" s="50">
        <f t="shared" si="135"/>
        <v>13778.52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7683.84</v>
      </c>
      <c r="AR921" s="189">
        <f t="shared" si="137"/>
        <v>8058.4099999999989</v>
      </c>
      <c r="AS921" s="189">
        <f t="shared" si="133"/>
        <v>8026.9999999999991</v>
      </c>
      <c r="AT921" s="189">
        <f t="shared" si="134"/>
        <v>16053.999999999998</v>
      </c>
      <c r="AU921" s="50">
        <f t="shared" si="135"/>
        <v>15314.119999999999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8183.04</v>
      </c>
      <c r="AR922" s="189">
        <f t="shared" si="137"/>
        <v>8651.7099999999991</v>
      </c>
      <c r="AS922" s="189">
        <f t="shared" si="133"/>
        <v>8026.9999999999991</v>
      </c>
      <c r="AT922" s="189">
        <f t="shared" si="134"/>
        <v>16053.999999999998</v>
      </c>
      <c r="AU922" s="50">
        <f t="shared" si="135"/>
        <v>16849.719999999998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8682.2400000000016</v>
      </c>
      <c r="AR923" s="189">
        <f t="shared" si="137"/>
        <v>9245.01</v>
      </c>
      <c r="AS923" s="189">
        <f t="shared" si="133"/>
        <v>8026.9999999999991</v>
      </c>
      <c r="AT923" s="189">
        <f t="shared" si="134"/>
        <v>16053.999999999998</v>
      </c>
      <c r="AU923" s="50">
        <f t="shared" si="135"/>
        <v>18385.32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8832</v>
      </c>
      <c r="AR924" s="189">
        <f t="shared" si="137"/>
        <v>9422.9999999999982</v>
      </c>
      <c r="AS924" s="189">
        <f t="shared" si="133"/>
        <v>8026.9999999999991</v>
      </c>
      <c r="AT924" s="189">
        <f t="shared" si="134"/>
        <v>16053.999999999998</v>
      </c>
      <c r="AU924" s="50">
        <f t="shared" si="135"/>
        <v>18845.999999999996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8832</v>
      </c>
      <c r="AR925" s="189">
        <f t="shared" si="137"/>
        <v>9422.9999999999982</v>
      </c>
      <c r="AS925" s="189">
        <f t="shared" si="133"/>
        <v>8026.9999999999991</v>
      </c>
      <c r="AT925" s="189">
        <f t="shared" si="134"/>
        <v>16053.999999999998</v>
      </c>
      <c r="AU925" s="50">
        <f t="shared" si="135"/>
        <v>18845.999999999996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8832</v>
      </c>
      <c r="AR926" s="189">
        <f t="shared" si="137"/>
        <v>9422.9999999999982</v>
      </c>
      <c r="AS926" s="189">
        <f t="shared" si="133"/>
        <v>8026.9999999999991</v>
      </c>
      <c r="AT926" s="189">
        <f t="shared" si="134"/>
        <v>16053.999999999998</v>
      </c>
      <c r="AU926" s="50">
        <f t="shared" si="135"/>
        <v>18845.999999999996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5343.4699999999993</v>
      </c>
      <c r="AR927" s="189">
        <f t="shared" si="137"/>
        <v>5125.4999999999991</v>
      </c>
      <c r="AS927" s="189">
        <f t="shared" si="133"/>
        <v>6337.2599999999984</v>
      </c>
      <c r="AT927" s="189">
        <f t="shared" si="134"/>
        <v>11175.119999999995</v>
      </c>
      <c r="AU927" s="50">
        <f t="shared" si="135"/>
        <v>8017.1999999999989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6059.5699999999979</v>
      </c>
      <c r="AR928" s="189">
        <f t="shared" si="137"/>
        <v>5890.4999999999982</v>
      </c>
      <c r="AS928" s="189">
        <f t="shared" si="133"/>
        <v>6979.8599999999979</v>
      </c>
      <c r="AT928" s="189">
        <f t="shared" si="134"/>
        <v>12766.319999999998</v>
      </c>
      <c r="AU928" s="50">
        <f t="shared" si="135"/>
        <v>9853.1999999999971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6775.6699999999983</v>
      </c>
      <c r="AR929" s="189">
        <f t="shared" si="137"/>
        <v>6655.4999999999982</v>
      </c>
      <c r="AS929" s="189">
        <f t="shared" si="133"/>
        <v>7622.4599999999982</v>
      </c>
      <c r="AT929" s="189">
        <f t="shared" si="134"/>
        <v>14357.519999999995</v>
      </c>
      <c r="AU929" s="50">
        <f t="shared" si="135"/>
        <v>11689.199999999997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7491.7699999999977</v>
      </c>
      <c r="AR930" s="189">
        <f t="shared" si="137"/>
        <v>7420.4999999999982</v>
      </c>
      <c r="AS930" s="189">
        <f t="shared" si="133"/>
        <v>8265.0599999999977</v>
      </c>
      <c r="AT930" s="189">
        <f t="shared" si="134"/>
        <v>15948.719999999998</v>
      </c>
      <c r="AU930" s="50">
        <f t="shared" si="135"/>
        <v>13525.199999999995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8207.869999999999</v>
      </c>
      <c r="AR931" s="189">
        <f t="shared" si="137"/>
        <v>8185.4999999999982</v>
      </c>
      <c r="AS931" s="189">
        <f t="shared" si="133"/>
        <v>8907.659999999998</v>
      </c>
      <c r="AT931" s="189">
        <f t="shared" si="134"/>
        <v>17539.919999999995</v>
      </c>
      <c r="AU931" s="50">
        <f t="shared" si="135"/>
        <v>15361.199999999997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8923.9699999999975</v>
      </c>
      <c r="AR932" s="189">
        <f t="shared" si="137"/>
        <v>8950.4999999999982</v>
      </c>
      <c r="AS932" s="189">
        <f t="shared" si="133"/>
        <v>9485.9999999999982</v>
      </c>
      <c r="AT932" s="189">
        <f t="shared" si="134"/>
        <v>18971.999999999996</v>
      </c>
      <c r="AU932" s="50">
        <f t="shared" si="135"/>
        <v>17197.199999999993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9640.0699999999979</v>
      </c>
      <c r="AR933" s="189">
        <f t="shared" si="137"/>
        <v>9715.4999999999964</v>
      </c>
      <c r="AS933" s="189">
        <f t="shared" si="133"/>
        <v>9485.9999999999982</v>
      </c>
      <c r="AT933" s="189">
        <f t="shared" si="134"/>
        <v>18971.999999999996</v>
      </c>
      <c r="AU933" s="50">
        <f t="shared" si="135"/>
        <v>19033.199999999993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10356.169999999998</v>
      </c>
      <c r="AR934" s="189">
        <f t="shared" si="137"/>
        <v>10480.499999999998</v>
      </c>
      <c r="AS934" s="189">
        <f t="shared" si="133"/>
        <v>9485.9999999999982</v>
      </c>
      <c r="AT934" s="189">
        <f t="shared" si="134"/>
        <v>18971.999999999996</v>
      </c>
      <c r="AU934" s="50">
        <f t="shared" si="135"/>
        <v>20869.199999999993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10570.999999999998</v>
      </c>
      <c r="AR935" s="189">
        <f t="shared" si="137"/>
        <v>10709.999999999996</v>
      </c>
      <c r="AS935" s="189">
        <f t="shared" si="133"/>
        <v>9485.9999999999982</v>
      </c>
      <c r="AT935" s="189">
        <f t="shared" si="134"/>
        <v>18971.999999999996</v>
      </c>
      <c r="AU935" s="50">
        <f t="shared" si="135"/>
        <v>21419.999999999993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10570.999999999998</v>
      </c>
      <c r="AR936" s="189">
        <f t="shared" si="137"/>
        <v>10709.999999999996</v>
      </c>
      <c r="AS936" s="189">
        <f t="shared" si="133"/>
        <v>9485.9999999999982</v>
      </c>
      <c r="AT936" s="189">
        <f t="shared" si="134"/>
        <v>18971.999999999996</v>
      </c>
      <c r="AU936" s="50">
        <f t="shared" si="135"/>
        <v>21419.999999999993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10570.999999999998</v>
      </c>
      <c r="AR937" s="189">
        <f t="shared" si="137"/>
        <v>10709.999999999996</v>
      </c>
      <c r="AS937" s="189">
        <f t="shared" si="133"/>
        <v>9485.9999999999982</v>
      </c>
      <c r="AT937" s="189">
        <f t="shared" si="134"/>
        <v>18971.999999999996</v>
      </c>
      <c r="AU937" s="50">
        <f t="shared" si="135"/>
        <v>21419.999999999993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7178.0499999999993</v>
      </c>
      <c r="AR938" s="189">
        <f t="shared" si="137"/>
        <v>7481.699999999998</v>
      </c>
      <c r="AS938" s="189">
        <f t="shared" si="133"/>
        <v>7037.9999999999982</v>
      </c>
      <c r="AT938" s="189">
        <f t="shared" si="134"/>
        <v>14075.999999999996</v>
      </c>
      <c r="AU938" s="50">
        <f t="shared" si="135"/>
        <v>14504.399999999998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7621.3499999999967</v>
      </c>
      <c r="AR939" s="189">
        <f t="shared" si="137"/>
        <v>8001.8999999999969</v>
      </c>
      <c r="AS939" s="189">
        <f t="shared" si="133"/>
        <v>7037.9999999999982</v>
      </c>
      <c r="AT939" s="189">
        <f t="shared" si="134"/>
        <v>14075.999999999996</v>
      </c>
      <c r="AU939" s="50">
        <f t="shared" si="135"/>
        <v>15850.799999999994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7842.9999999999982</v>
      </c>
      <c r="AR940" s="189">
        <f t="shared" si="137"/>
        <v>8261.9999999999982</v>
      </c>
      <c r="AS940" s="189">
        <f t="shared" si="133"/>
        <v>7037.9999999999982</v>
      </c>
      <c r="AT940" s="189">
        <f t="shared" si="134"/>
        <v>14075.999999999996</v>
      </c>
      <c r="AU940" s="50">
        <f t="shared" si="135"/>
        <v>16523.999999999996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7842.9999999999982</v>
      </c>
      <c r="AR941" s="189">
        <f t="shared" si="137"/>
        <v>8261.9999999999982</v>
      </c>
      <c r="AS941" s="189">
        <f t="shared" si="133"/>
        <v>7037.9999999999982</v>
      </c>
      <c r="AT941" s="189">
        <f t="shared" si="134"/>
        <v>14075.999999999996</v>
      </c>
      <c r="AU941" s="50">
        <f t="shared" si="135"/>
        <v>16523.999999999996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7842.9999999999982</v>
      </c>
      <c r="AR942" s="189">
        <f t="shared" si="137"/>
        <v>8261.9999999999982</v>
      </c>
      <c r="AS942" s="189">
        <f t="shared" si="133"/>
        <v>7037.9999999999982</v>
      </c>
      <c r="AT942" s="189">
        <f t="shared" si="134"/>
        <v>14075.999999999996</v>
      </c>
      <c r="AU942" s="50">
        <f t="shared" si="135"/>
        <v>16523.999999999996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7842.9999999999982</v>
      </c>
      <c r="AR943" s="189">
        <f t="shared" si="137"/>
        <v>8261.9999999999982</v>
      </c>
      <c r="AS943" s="189">
        <f t="shared" si="133"/>
        <v>7037.9999999999982</v>
      </c>
      <c r="AT943" s="189">
        <f t="shared" si="134"/>
        <v>14075.999999999996</v>
      </c>
      <c r="AU943" s="50">
        <f t="shared" si="135"/>
        <v>16523.999999999996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7842.9999999999982</v>
      </c>
      <c r="AR944" s="189">
        <f t="shared" si="137"/>
        <v>8261.9999999999982</v>
      </c>
      <c r="AS944" s="189">
        <f t="shared" si="133"/>
        <v>7037.9999999999982</v>
      </c>
      <c r="AT944" s="189">
        <f t="shared" si="134"/>
        <v>14075.999999999996</v>
      </c>
      <c r="AU944" s="50">
        <f t="shared" si="135"/>
        <v>16523.999999999996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7842.9999999999982</v>
      </c>
      <c r="AR945" s="189">
        <f t="shared" si="137"/>
        <v>8261.9999999999982</v>
      </c>
      <c r="AS945" s="189">
        <f t="shared" si="133"/>
        <v>7037.9999999999982</v>
      </c>
      <c r="AT945" s="189">
        <f t="shared" si="134"/>
        <v>14075.999999999996</v>
      </c>
      <c r="AU945" s="50">
        <f t="shared" si="135"/>
        <v>16523.999999999996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7842.9999999999982</v>
      </c>
      <c r="AR946" s="189">
        <f t="shared" si="137"/>
        <v>8261.9999999999982</v>
      </c>
      <c r="AS946" s="189">
        <f t="shared" si="133"/>
        <v>7037.9999999999982</v>
      </c>
      <c r="AT946" s="189">
        <f t="shared" si="134"/>
        <v>14075.999999999996</v>
      </c>
      <c r="AU946" s="50">
        <f t="shared" si="135"/>
        <v>16523.999999999996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7842.9999999999982</v>
      </c>
      <c r="AR947" s="189">
        <f t="shared" si="137"/>
        <v>8261.9999999999982</v>
      </c>
      <c r="AS947" s="189">
        <f t="shared" si="133"/>
        <v>7037.9999999999982</v>
      </c>
      <c r="AT947" s="189">
        <f t="shared" si="134"/>
        <v>14075.999999999996</v>
      </c>
      <c r="AU947" s="50">
        <f t="shared" si="135"/>
        <v>16523.999999999996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7842.9999999999982</v>
      </c>
      <c r="AR948" s="189">
        <f t="shared" si="137"/>
        <v>8261.9999999999982</v>
      </c>
      <c r="AS948" s="189">
        <f t="shared" si="133"/>
        <v>7037.9999999999982</v>
      </c>
      <c r="AT948" s="189">
        <f t="shared" si="134"/>
        <v>14075.999999999996</v>
      </c>
      <c r="AU948" s="50">
        <f t="shared" si="135"/>
        <v>16523.999999999996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5458.04</v>
      </c>
      <c r="AR949" s="189">
        <f t="shared" si="137"/>
        <v>5383.7100000000009</v>
      </c>
      <c r="AS949" s="189">
        <f t="shared" si="133"/>
        <v>6136.47</v>
      </c>
      <c r="AT949" s="189">
        <f t="shared" si="134"/>
        <v>10464.839999999998</v>
      </c>
      <c r="AU949" s="50">
        <f t="shared" si="135"/>
        <v>8073.72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5983.24</v>
      </c>
      <c r="AR950" s="189">
        <f t="shared" si="137"/>
        <v>6011.0100000000011</v>
      </c>
      <c r="AS950" s="189">
        <f t="shared" si="133"/>
        <v>6616.17</v>
      </c>
      <c r="AT950" s="189">
        <f t="shared" si="134"/>
        <v>11793.24</v>
      </c>
      <c r="AU950" s="50">
        <f t="shared" si="135"/>
        <v>9697.32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6508.4399999999987</v>
      </c>
      <c r="AR951" s="189">
        <f t="shared" si="137"/>
        <v>6638.31</v>
      </c>
      <c r="AS951" s="189">
        <f t="shared" si="133"/>
        <v>7095.869999999999</v>
      </c>
      <c r="AT951" s="189">
        <f t="shared" si="134"/>
        <v>13121.64</v>
      </c>
      <c r="AU951" s="50">
        <f t="shared" si="135"/>
        <v>11320.92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7033.6399999999985</v>
      </c>
      <c r="AR952" s="189">
        <f t="shared" si="137"/>
        <v>7265.6100000000006</v>
      </c>
      <c r="AS952" s="189">
        <f t="shared" si="133"/>
        <v>7575.5700000000006</v>
      </c>
      <c r="AT952" s="189">
        <f t="shared" si="134"/>
        <v>14450.039999999999</v>
      </c>
      <c r="AU952" s="50">
        <f t="shared" si="135"/>
        <v>12944.52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7558.84</v>
      </c>
      <c r="AR953" s="189">
        <f t="shared" si="137"/>
        <v>7892.91</v>
      </c>
      <c r="AS953" s="189">
        <f t="shared" si="133"/>
        <v>8055.27</v>
      </c>
      <c r="AT953" s="189">
        <f t="shared" si="134"/>
        <v>15778.44</v>
      </c>
      <c r="AU953" s="50">
        <f t="shared" si="135"/>
        <v>14568.12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8084.04</v>
      </c>
      <c r="AR954" s="189">
        <f t="shared" si="137"/>
        <v>8520.2099999999991</v>
      </c>
      <c r="AS954" s="189">
        <f t="shared" si="133"/>
        <v>8487</v>
      </c>
      <c r="AT954" s="189">
        <f t="shared" si="134"/>
        <v>16974</v>
      </c>
      <c r="AU954" s="50">
        <f t="shared" si="135"/>
        <v>16191.720000000001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8609.24</v>
      </c>
      <c r="AR955" s="189">
        <f t="shared" si="137"/>
        <v>9147.51</v>
      </c>
      <c r="AS955" s="189">
        <f t="shared" si="133"/>
        <v>8487</v>
      </c>
      <c r="AT955" s="189">
        <f t="shared" si="134"/>
        <v>16974</v>
      </c>
      <c r="AU955" s="50">
        <f t="shared" si="135"/>
        <v>17815.32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9134.44</v>
      </c>
      <c r="AR956" s="189">
        <f t="shared" si="137"/>
        <v>9774.8100000000013</v>
      </c>
      <c r="AS956" s="189">
        <f t="shared" si="133"/>
        <v>8487</v>
      </c>
      <c r="AT956" s="189">
        <f t="shared" si="134"/>
        <v>16974</v>
      </c>
      <c r="AU956" s="50">
        <f t="shared" si="135"/>
        <v>19438.920000000002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9292</v>
      </c>
      <c r="AR957" s="189">
        <f t="shared" si="137"/>
        <v>9963</v>
      </c>
      <c r="AS957" s="189">
        <f t="shared" si="133"/>
        <v>8487</v>
      </c>
      <c r="AT957" s="189">
        <f t="shared" si="134"/>
        <v>16974</v>
      </c>
      <c r="AU957" s="50">
        <f t="shared" si="135"/>
        <v>19926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9292</v>
      </c>
      <c r="AR958" s="189">
        <f t="shared" si="137"/>
        <v>9963</v>
      </c>
      <c r="AS958" s="189">
        <f t="shared" si="133"/>
        <v>8487</v>
      </c>
      <c r="AT958" s="189">
        <f t="shared" si="134"/>
        <v>16974</v>
      </c>
      <c r="AU958" s="50">
        <f t="shared" si="135"/>
        <v>19926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9292</v>
      </c>
      <c r="AR959" s="189">
        <f t="shared" si="137"/>
        <v>9963</v>
      </c>
      <c r="AS959" s="189">
        <f t="shared" si="133"/>
        <v>8487</v>
      </c>
      <c r="AT959" s="189">
        <f t="shared" si="134"/>
        <v>16974</v>
      </c>
      <c r="AU959" s="50">
        <f t="shared" si="135"/>
        <v>19926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5656.87</v>
      </c>
      <c r="AR960" s="189">
        <f t="shared" si="137"/>
        <v>5460.4999999999991</v>
      </c>
      <c r="AS960" s="189">
        <f t="shared" si="133"/>
        <v>6751.4599999999991</v>
      </c>
      <c r="AT960" s="189">
        <f t="shared" si="134"/>
        <v>11905.519999999997</v>
      </c>
      <c r="AU960" s="50">
        <f t="shared" si="135"/>
        <v>8541.2000000000007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6414.9699999999984</v>
      </c>
      <c r="AR961" s="189">
        <f t="shared" si="137"/>
        <v>6275.4999999999991</v>
      </c>
      <c r="AS961" s="189">
        <f t="shared" si="133"/>
        <v>7436.0599999999986</v>
      </c>
      <c r="AT961" s="189">
        <f t="shared" si="134"/>
        <v>13600.72</v>
      </c>
      <c r="AU961" s="50">
        <f t="shared" si="135"/>
        <v>10497.199999999999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7173.0699999999988</v>
      </c>
      <c r="AR962" s="189">
        <f t="shared" si="137"/>
        <v>7090.4999999999991</v>
      </c>
      <c r="AS962" s="189">
        <f t="shared" si="133"/>
        <v>8120.6599999999989</v>
      </c>
      <c r="AT962" s="189">
        <f t="shared" si="134"/>
        <v>15295.919999999998</v>
      </c>
      <c r="AU962" s="50">
        <f t="shared" si="135"/>
        <v>12453.199999999999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7931.1699999999983</v>
      </c>
      <c r="AR963" s="189">
        <f t="shared" si="137"/>
        <v>7905.4999999999991</v>
      </c>
      <c r="AS963" s="189">
        <f t="shared" ref="AS963:AS1026" si="138">$AG$3*(1+$AJ963*$Y$2+$AN963)*(MAXA(1-$AI$3-$AL963*$AA$3-$AP963-0.36,0)+MINA($AI$3+$AL963*$AA$3+$AP963+0.36,1)*(1+$AH$3+$AO963+$AK963*$Z$4))</f>
        <v>8805.2599999999984</v>
      </c>
      <c r="AT963" s="189">
        <f t="shared" ref="AT963:AT1026" si="139">$AG$3*(1+$AJ963*$Y$2+$AN963)*(MAXA(1-$AI$3-$AL963*$AA$3-$AP963-0.36,0)+2*MINA($AI$3+$AL963*$AA$3+$AP963+0.36,1)*(1+$AH$3+$AO963+$AK963*$Z$4))</f>
        <v>16991.12</v>
      </c>
      <c r="AU963" s="50">
        <f t="shared" ref="AU963:AU1026" si="140">$AG$3*(1+$AJ963*$Y$2+$AN963)*(MAXA(1-$AI$3-$AL963*$AA$3-$AP963-0.12,0)+2*MINA($AI$3+$AL963*$AA$3+$AP963+0.12,1)*(1+$AH$3+$AO963+$AK963*$Z$4+0.4))</f>
        <v>14409.199999999997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8689.27</v>
      </c>
      <c r="AR964" s="189">
        <f t="shared" ref="AR964:AR1027" si="142">$AG$3*(1+$AJ964*$Y$2+$AN964)*(MAXA(1-$AI$3-$AL964*$AA$3-$AP964-0.12,0)+MINA($AI$3+$AL964*$AA$3+$AP964+0.12,1)*(1+$AH$3+$AO964+$AK964*$Z$4+0.4))</f>
        <v>8720.5</v>
      </c>
      <c r="AS964" s="189">
        <f t="shared" si="138"/>
        <v>9489.8599999999988</v>
      </c>
      <c r="AT964" s="189">
        <f t="shared" si="139"/>
        <v>18686.319999999996</v>
      </c>
      <c r="AU964" s="50">
        <f t="shared" si="140"/>
        <v>16365.199999999999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9447.369999999999</v>
      </c>
      <c r="AR965" s="189">
        <f t="shared" si="142"/>
        <v>9535.5</v>
      </c>
      <c r="AS965" s="189">
        <f t="shared" si="138"/>
        <v>10105.999999999998</v>
      </c>
      <c r="AT965" s="189">
        <f t="shared" si="139"/>
        <v>20211.999999999996</v>
      </c>
      <c r="AU965" s="50">
        <f t="shared" si="140"/>
        <v>18321.199999999997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10205.469999999998</v>
      </c>
      <c r="AR966" s="189">
        <f t="shared" si="142"/>
        <v>10350.499999999998</v>
      </c>
      <c r="AS966" s="189">
        <f t="shared" si="138"/>
        <v>10105.999999999998</v>
      </c>
      <c r="AT966" s="189">
        <f t="shared" si="139"/>
        <v>20211.999999999996</v>
      </c>
      <c r="AU966" s="50">
        <f t="shared" si="140"/>
        <v>20277.199999999997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10963.57</v>
      </c>
      <c r="AR967" s="189">
        <f t="shared" si="142"/>
        <v>11165.5</v>
      </c>
      <c r="AS967" s="189">
        <f t="shared" si="138"/>
        <v>10105.999999999998</v>
      </c>
      <c r="AT967" s="189">
        <f t="shared" si="139"/>
        <v>20211.999999999996</v>
      </c>
      <c r="AU967" s="50">
        <f t="shared" si="140"/>
        <v>22233.199999999997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11190.999999999998</v>
      </c>
      <c r="AR968" s="189">
        <f t="shared" si="142"/>
        <v>11409.999999999998</v>
      </c>
      <c r="AS968" s="189">
        <f t="shared" si="138"/>
        <v>10105.999999999998</v>
      </c>
      <c r="AT968" s="189">
        <f t="shared" si="139"/>
        <v>20211.999999999996</v>
      </c>
      <c r="AU968" s="50">
        <f t="shared" si="140"/>
        <v>22819.999999999996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11190.999999999998</v>
      </c>
      <c r="AR969" s="189">
        <f t="shared" si="142"/>
        <v>11409.999999999998</v>
      </c>
      <c r="AS969" s="189">
        <f t="shared" si="138"/>
        <v>10105.999999999998</v>
      </c>
      <c r="AT969" s="189">
        <f t="shared" si="139"/>
        <v>20211.999999999996</v>
      </c>
      <c r="AU969" s="50">
        <f t="shared" si="140"/>
        <v>22819.999999999996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11190.999999999998</v>
      </c>
      <c r="AR970" s="189">
        <f t="shared" si="142"/>
        <v>11409.999999999998</v>
      </c>
      <c r="AS970" s="189">
        <f t="shared" si="138"/>
        <v>10105.999999999998</v>
      </c>
      <c r="AT970" s="189">
        <f t="shared" si="139"/>
        <v>20211.999999999996</v>
      </c>
      <c r="AU970" s="50">
        <f t="shared" si="140"/>
        <v>22819.999999999996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7599.05</v>
      </c>
      <c r="AR971" s="189">
        <f t="shared" si="142"/>
        <v>7970.7</v>
      </c>
      <c r="AS971" s="189">
        <f t="shared" si="138"/>
        <v>7497.9999999999991</v>
      </c>
      <c r="AT971" s="189">
        <f t="shared" si="139"/>
        <v>14995.999999999998</v>
      </c>
      <c r="AU971" s="50">
        <f t="shared" si="140"/>
        <v>15452.400000000001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8068.3499999999976</v>
      </c>
      <c r="AR972" s="189">
        <f t="shared" si="142"/>
        <v>8524.8999999999978</v>
      </c>
      <c r="AS972" s="189">
        <f t="shared" si="138"/>
        <v>7497.9999999999991</v>
      </c>
      <c r="AT972" s="189">
        <f t="shared" si="139"/>
        <v>14995.999999999998</v>
      </c>
      <c r="AU972" s="50">
        <f t="shared" si="140"/>
        <v>16886.799999999996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8303</v>
      </c>
      <c r="AR973" s="189">
        <f t="shared" si="142"/>
        <v>8802</v>
      </c>
      <c r="AS973" s="189">
        <f t="shared" si="138"/>
        <v>7497.9999999999991</v>
      </c>
      <c r="AT973" s="189">
        <f t="shared" si="139"/>
        <v>14995.999999999998</v>
      </c>
      <c r="AU973" s="50">
        <f t="shared" si="140"/>
        <v>17604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8303</v>
      </c>
      <c r="AR974" s="189">
        <f t="shared" si="142"/>
        <v>8802</v>
      </c>
      <c r="AS974" s="189">
        <f t="shared" si="138"/>
        <v>7497.9999999999991</v>
      </c>
      <c r="AT974" s="189">
        <f t="shared" si="139"/>
        <v>14995.999999999998</v>
      </c>
      <c r="AU974" s="50">
        <f t="shared" si="140"/>
        <v>17604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8303</v>
      </c>
      <c r="AR975" s="189">
        <f t="shared" si="142"/>
        <v>8802</v>
      </c>
      <c r="AS975" s="189">
        <f t="shared" si="138"/>
        <v>7497.9999999999991</v>
      </c>
      <c r="AT975" s="189">
        <f t="shared" si="139"/>
        <v>14995.999999999998</v>
      </c>
      <c r="AU975" s="50">
        <f t="shared" si="140"/>
        <v>17604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8303</v>
      </c>
      <c r="AR976" s="189">
        <f t="shared" si="142"/>
        <v>8802</v>
      </c>
      <c r="AS976" s="189">
        <f t="shared" si="138"/>
        <v>7497.9999999999991</v>
      </c>
      <c r="AT976" s="189">
        <f t="shared" si="139"/>
        <v>14995.999999999998</v>
      </c>
      <c r="AU976" s="50">
        <f t="shared" si="140"/>
        <v>17604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8303</v>
      </c>
      <c r="AR977" s="189">
        <f t="shared" si="142"/>
        <v>8802</v>
      </c>
      <c r="AS977" s="189">
        <f t="shared" si="138"/>
        <v>7497.9999999999991</v>
      </c>
      <c r="AT977" s="189">
        <f t="shared" si="139"/>
        <v>14995.999999999998</v>
      </c>
      <c r="AU977" s="50">
        <f t="shared" si="140"/>
        <v>17604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8303</v>
      </c>
      <c r="AR978" s="189">
        <f t="shared" si="142"/>
        <v>8802</v>
      </c>
      <c r="AS978" s="189">
        <f t="shared" si="138"/>
        <v>7497.9999999999991</v>
      </c>
      <c r="AT978" s="189">
        <f t="shared" si="139"/>
        <v>14995.999999999998</v>
      </c>
      <c r="AU978" s="50">
        <f t="shared" si="140"/>
        <v>17604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8303</v>
      </c>
      <c r="AR979" s="189">
        <f t="shared" si="142"/>
        <v>8802</v>
      </c>
      <c r="AS979" s="189">
        <f t="shared" si="138"/>
        <v>7497.9999999999991</v>
      </c>
      <c r="AT979" s="189">
        <f t="shared" si="139"/>
        <v>14995.999999999998</v>
      </c>
      <c r="AU979" s="50">
        <f t="shared" si="140"/>
        <v>17604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8303</v>
      </c>
      <c r="AR980" s="189">
        <f t="shared" si="142"/>
        <v>8802</v>
      </c>
      <c r="AS980" s="189">
        <f t="shared" si="138"/>
        <v>7497.9999999999991</v>
      </c>
      <c r="AT980" s="189">
        <f t="shared" si="139"/>
        <v>14995.999999999998</v>
      </c>
      <c r="AU980" s="50">
        <f t="shared" si="140"/>
        <v>17604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8303</v>
      </c>
      <c r="AR981" s="189">
        <f t="shared" si="142"/>
        <v>8802</v>
      </c>
      <c r="AS981" s="189">
        <f t="shared" si="138"/>
        <v>7497.9999999999991</v>
      </c>
      <c r="AT981" s="189">
        <f t="shared" si="139"/>
        <v>14995.999999999998</v>
      </c>
      <c r="AU981" s="50">
        <f t="shared" si="140"/>
        <v>17604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5728.24</v>
      </c>
      <c r="AR982" s="189">
        <f t="shared" si="142"/>
        <v>5675.51</v>
      </c>
      <c r="AS982" s="189">
        <f t="shared" si="138"/>
        <v>6469.07</v>
      </c>
      <c r="AT982" s="189">
        <f t="shared" si="139"/>
        <v>11032.039999999997</v>
      </c>
      <c r="AU982" s="50">
        <f t="shared" si="140"/>
        <v>8511.32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6279.44</v>
      </c>
      <c r="AR983" s="189">
        <f t="shared" si="142"/>
        <v>6336.81</v>
      </c>
      <c r="AS983" s="189">
        <f t="shared" si="138"/>
        <v>6974.7699999999986</v>
      </c>
      <c r="AT983" s="189">
        <f t="shared" si="139"/>
        <v>12432.439999999999</v>
      </c>
      <c r="AU983" s="50">
        <f t="shared" si="140"/>
        <v>10222.919999999998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6830.6399999999994</v>
      </c>
      <c r="AR984" s="189">
        <f t="shared" si="142"/>
        <v>6998.11</v>
      </c>
      <c r="AS984" s="189">
        <f t="shared" si="138"/>
        <v>7480.4699999999984</v>
      </c>
      <c r="AT984" s="189">
        <f t="shared" si="139"/>
        <v>13832.839999999998</v>
      </c>
      <c r="AU984" s="50">
        <f t="shared" si="140"/>
        <v>11934.519999999999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7381.8399999999983</v>
      </c>
      <c r="AR985" s="189">
        <f t="shared" si="142"/>
        <v>7659.41</v>
      </c>
      <c r="AS985" s="189">
        <f t="shared" si="138"/>
        <v>7986.17</v>
      </c>
      <c r="AT985" s="189">
        <f t="shared" si="139"/>
        <v>15233.239999999998</v>
      </c>
      <c r="AU985" s="50">
        <f t="shared" si="140"/>
        <v>13646.119999999999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7933.04</v>
      </c>
      <c r="AR986" s="189">
        <f t="shared" si="142"/>
        <v>8320.7099999999991</v>
      </c>
      <c r="AS986" s="189">
        <f t="shared" si="138"/>
        <v>8491.869999999999</v>
      </c>
      <c r="AT986" s="189">
        <f t="shared" si="139"/>
        <v>16633.64</v>
      </c>
      <c r="AU986" s="50">
        <f t="shared" si="140"/>
        <v>15357.72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8484.24</v>
      </c>
      <c r="AR987" s="189">
        <f t="shared" si="142"/>
        <v>8982.0099999999984</v>
      </c>
      <c r="AS987" s="189">
        <f t="shared" si="138"/>
        <v>8947</v>
      </c>
      <c r="AT987" s="189">
        <f t="shared" si="139"/>
        <v>17894</v>
      </c>
      <c r="AU987" s="50">
        <f t="shared" si="140"/>
        <v>17069.32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9035.4399999999987</v>
      </c>
      <c r="AR988" s="189">
        <f t="shared" si="142"/>
        <v>9643.31</v>
      </c>
      <c r="AS988" s="189">
        <f t="shared" si="138"/>
        <v>8947</v>
      </c>
      <c r="AT988" s="189">
        <f t="shared" si="139"/>
        <v>17894</v>
      </c>
      <c r="AU988" s="50">
        <f t="shared" si="140"/>
        <v>18780.919999999998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9586.6400000000012</v>
      </c>
      <c r="AR989" s="189">
        <f t="shared" si="142"/>
        <v>10304.61</v>
      </c>
      <c r="AS989" s="189">
        <f t="shared" si="138"/>
        <v>8947</v>
      </c>
      <c r="AT989" s="189">
        <f t="shared" si="139"/>
        <v>17894</v>
      </c>
      <c r="AU989" s="50">
        <f t="shared" si="140"/>
        <v>20492.52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9752</v>
      </c>
      <c r="AR990" s="189">
        <f t="shared" si="142"/>
        <v>10502.999999999998</v>
      </c>
      <c r="AS990" s="189">
        <f t="shared" si="138"/>
        <v>8947</v>
      </c>
      <c r="AT990" s="189">
        <f t="shared" si="139"/>
        <v>17894</v>
      </c>
      <c r="AU990" s="50">
        <f t="shared" si="140"/>
        <v>21005.999999999996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9752</v>
      </c>
      <c r="AR991" s="189">
        <f t="shared" si="142"/>
        <v>10502.999999999998</v>
      </c>
      <c r="AS991" s="189">
        <f t="shared" si="138"/>
        <v>8947</v>
      </c>
      <c r="AT991" s="189">
        <f t="shared" si="139"/>
        <v>17894</v>
      </c>
      <c r="AU991" s="50">
        <f t="shared" si="140"/>
        <v>21005.999999999996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9752</v>
      </c>
      <c r="AR992" s="189">
        <f t="shared" si="142"/>
        <v>10502.999999999998</v>
      </c>
      <c r="AS992" s="189">
        <f t="shared" si="138"/>
        <v>8947</v>
      </c>
      <c r="AT992" s="189">
        <f t="shared" si="139"/>
        <v>17894</v>
      </c>
      <c r="AU992" s="50">
        <f t="shared" si="140"/>
        <v>21005.999999999996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4230.8100000000004</v>
      </c>
      <c r="AR993" s="189">
        <f t="shared" si="142"/>
        <v>3907.5400000000004</v>
      </c>
      <c r="AS993" s="189">
        <f t="shared" si="138"/>
        <v>4910.9800000000005</v>
      </c>
      <c r="AT993" s="189">
        <f t="shared" si="139"/>
        <v>8714.56</v>
      </c>
      <c r="AU993" s="50">
        <f t="shared" si="140"/>
        <v>6165.28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4831.1099999999997</v>
      </c>
      <c r="AR994" s="189">
        <f t="shared" si="142"/>
        <v>4517.7400000000007</v>
      </c>
      <c r="AS994" s="189">
        <f t="shared" si="138"/>
        <v>5430.78</v>
      </c>
      <c r="AT994" s="189">
        <f t="shared" si="139"/>
        <v>9980.159999999998</v>
      </c>
      <c r="AU994" s="50">
        <f t="shared" si="140"/>
        <v>7611.6799999999994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5431.41</v>
      </c>
      <c r="AR995" s="189">
        <f t="shared" si="142"/>
        <v>5127.9399999999996</v>
      </c>
      <c r="AS995" s="189">
        <f t="shared" si="138"/>
        <v>5950.58</v>
      </c>
      <c r="AT995" s="189">
        <f t="shared" si="139"/>
        <v>11245.76</v>
      </c>
      <c r="AU995" s="50">
        <f t="shared" si="140"/>
        <v>9058.08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6031.71</v>
      </c>
      <c r="AR996" s="189">
        <f t="shared" si="142"/>
        <v>5738.1399999999994</v>
      </c>
      <c r="AS996" s="189">
        <f t="shared" si="138"/>
        <v>6470.3799999999992</v>
      </c>
      <c r="AT996" s="189">
        <f t="shared" si="139"/>
        <v>12511.359999999999</v>
      </c>
      <c r="AU996" s="50">
        <f t="shared" si="140"/>
        <v>10504.479999999998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6632.01</v>
      </c>
      <c r="AR997" s="189">
        <f t="shared" si="142"/>
        <v>6348.34</v>
      </c>
      <c r="AS997" s="189">
        <f t="shared" si="138"/>
        <v>6990.18</v>
      </c>
      <c r="AT997" s="189">
        <f t="shared" si="139"/>
        <v>13776.960000000001</v>
      </c>
      <c r="AU997" s="50">
        <f t="shared" si="140"/>
        <v>11950.880000000001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7232.3099999999995</v>
      </c>
      <c r="AR998" s="189">
        <f t="shared" si="142"/>
        <v>6958.5399999999991</v>
      </c>
      <c r="AS998" s="189">
        <f t="shared" si="138"/>
        <v>7458</v>
      </c>
      <c r="AT998" s="189">
        <f t="shared" si="139"/>
        <v>14916</v>
      </c>
      <c r="AU998" s="50">
        <f t="shared" si="140"/>
        <v>13397.279999999997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7832.61</v>
      </c>
      <c r="AR999" s="189">
        <f t="shared" si="142"/>
        <v>7568.74</v>
      </c>
      <c r="AS999" s="189">
        <f t="shared" si="138"/>
        <v>7458</v>
      </c>
      <c r="AT999" s="189">
        <f t="shared" si="139"/>
        <v>14916</v>
      </c>
      <c r="AU999" s="50">
        <f t="shared" si="140"/>
        <v>14843.679999999998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8432.91</v>
      </c>
      <c r="AR1000" s="189">
        <f t="shared" si="142"/>
        <v>8178.94</v>
      </c>
      <c r="AS1000" s="189">
        <f t="shared" si="138"/>
        <v>7458</v>
      </c>
      <c r="AT1000" s="189">
        <f t="shared" si="139"/>
        <v>14916</v>
      </c>
      <c r="AU1000" s="50">
        <f t="shared" si="140"/>
        <v>16290.079999999998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8613</v>
      </c>
      <c r="AR1001" s="189">
        <f t="shared" si="142"/>
        <v>8362</v>
      </c>
      <c r="AS1001" s="189">
        <f t="shared" si="138"/>
        <v>7458</v>
      </c>
      <c r="AT1001" s="189">
        <f t="shared" si="139"/>
        <v>14916</v>
      </c>
      <c r="AU1001" s="50">
        <f t="shared" si="140"/>
        <v>16724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8613</v>
      </c>
      <c r="AR1002" s="189">
        <f t="shared" si="142"/>
        <v>8362</v>
      </c>
      <c r="AS1002" s="189">
        <f t="shared" si="138"/>
        <v>7458</v>
      </c>
      <c r="AT1002" s="189">
        <f t="shared" si="139"/>
        <v>14916</v>
      </c>
      <c r="AU1002" s="50">
        <f t="shared" si="140"/>
        <v>16724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8613</v>
      </c>
      <c r="AR1003" s="189">
        <f t="shared" si="142"/>
        <v>8362</v>
      </c>
      <c r="AS1003" s="189">
        <f t="shared" si="138"/>
        <v>7458</v>
      </c>
      <c r="AT1003" s="189">
        <f t="shared" si="139"/>
        <v>14916</v>
      </c>
      <c r="AU1003" s="50">
        <f t="shared" si="140"/>
        <v>16724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5937.75</v>
      </c>
      <c r="AR1004" s="189">
        <f t="shared" si="142"/>
        <v>5909.9</v>
      </c>
      <c r="AS1004" s="189">
        <f t="shared" si="138"/>
        <v>5650</v>
      </c>
      <c r="AT1004" s="189">
        <f t="shared" si="139"/>
        <v>11300</v>
      </c>
      <c r="AU1004" s="50">
        <f t="shared" si="140"/>
        <v>11480.8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6329.2499999999991</v>
      </c>
      <c r="AR1005" s="189">
        <f t="shared" si="142"/>
        <v>6339.2999999999993</v>
      </c>
      <c r="AS1005" s="189">
        <f t="shared" si="138"/>
        <v>5650</v>
      </c>
      <c r="AT1005" s="189">
        <f t="shared" si="139"/>
        <v>11300</v>
      </c>
      <c r="AU1005" s="50">
        <f t="shared" si="140"/>
        <v>12565.599999999999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6525</v>
      </c>
      <c r="AR1006" s="189">
        <f t="shared" si="142"/>
        <v>6554</v>
      </c>
      <c r="AS1006" s="189">
        <f t="shared" si="138"/>
        <v>5650</v>
      </c>
      <c r="AT1006" s="189">
        <f t="shared" si="139"/>
        <v>11300</v>
      </c>
      <c r="AU1006" s="50">
        <f t="shared" si="140"/>
        <v>13108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6525</v>
      </c>
      <c r="AR1007" s="189">
        <f t="shared" si="142"/>
        <v>6554</v>
      </c>
      <c r="AS1007" s="189">
        <f t="shared" si="138"/>
        <v>5650</v>
      </c>
      <c r="AT1007" s="189">
        <f t="shared" si="139"/>
        <v>11300</v>
      </c>
      <c r="AU1007" s="50">
        <f t="shared" si="140"/>
        <v>13108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6525</v>
      </c>
      <c r="AR1008" s="189">
        <f t="shared" si="142"/>
        <v>6554</v>
      </c>
      <c r="AS1008" s="189">
        <f t="shared" si="138"/>
        <v>5650</v>
      </c>
      <c r="AT1008" s="189">
        <f t="shared" si="139"/>
        <v>11300</v>
      </c>
      <c r="AU1008" s="50">
        <f t="shared" si="140"/>
        <v>13108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6525</v>
      </c>
      <c r="AR1009" s="189">
        <f t="shared" si="142"/>
        <v>6554</v>
      </c>
      <c r="AS1009" s="189">
        <f t="shared" si="138"/>
        <v>5650</v>
      </c>
      <c r="AT1009" s="189">
        <f t="shared" si="139"/>
        <v>11300</v>
      </c>
      <c r="AU1009" s="50">
        <f t="shared" si="140"/>
        <v>13108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6525</v>
      </c>
      <c r="AR1010" s="189">
        <f t="shared" si="142"/>
        <v>6554</v>
      </c>
      <c r="AS1010" s="189">
        <f t="shared" si="138"/>
        <v>5650</v>
      </c>
      <c r="AT1010" s="189">
        <f t="shared" si="139"/>
        <v>11300</v>
      </c>
      <c r="AU1010" s="50">
        <f t="shared" si="140"/>
        <v>13108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6525</v>
      </c>
      <c r="AR1011" s="189">
        <f t="shared" si="142"/>
        <v>6554</v>
      </c>
      <c r="AS1011" s="189">
        <f t="shared" si="138"/>
        <v>5650</v>
      </c>
      <c r="AT1011" s="189">
        <f t="shared" si="139"/>
        <v>11300</v>
      </c>
      <c r="AU1011" s="50">
        <f t="shared" si="140"/>
        <v>13108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6525</v>
      </c>
      <c r="AR1012" s="189">
        <f t="shared" si="142"/>
        <v>6554</v>
      </c>
      <c r="AS1012" s="189">
        <f t="shared" si="138"/>
        <v>5650</v>
      </c>
      <c r="AT1012" s="189">
        <f t="shared" si="139"/>
        <v>11300</v>
      </c>
      <c r="AU1012" s="50">
        <f t="shared" si="140"/>
        <v>13108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6525</v>
      </c>
      <c r="AR1013" s="189">
        <f t="shared" si="142"/>
        <v>6554</v>
      </c>
      <c r="AS1013" s="189">
        <f t="shared" si="138"/>
        <v>5650</v>
      </c>
      <c r="AT1013" s="189">
        <f t="shared" si="139"/>
        <v>11300</v>
      </c>
      <c r="AU1013" s="50">
        <f t="shared" si="140"/>
        <v>13108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6525</v>
      </c>
      <c r="AR1014" s="189">
        <f t="shared" si="142"/>
        <v>6554</v>
      </c>
      <c r="AS1014" s="189">
        <f t="shared" si="138"/>
        <v>5650</v>
      </c>
      <c r="AT1014" s="189">
        <f t="shared" si="139"/>
        <v>11300</v>
      </c>
      <c r="AU1014" s="50">
        <f t="shared" si="140"/>
        <v>13108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4552.2</v>
      </c>
      <c r="AR1015" s="189">
        <f t="shared" si="142"/>
        <v>4372.57</v>
      </c>
      <c r="AS1015" s="189">
        <f t="shared" si="138"/>
        <v>5100.8499999999995</v>
      </c>
      <c r="AT1015" s="189">
        <f t="shared" si="139"/>
        <v>8785.6</v>
      </c>
      <c r="AU1015" s="50">
        <f t="shared" si="140"/>
        <v>6635.4400000000005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5038.2000000000007</v>
      </c>
      <c r="AR1016" s="189">
        <f t="shared" si="142"/>
        <v>4921.6699999999992</v>
      </c>
      <c r="AS1016" s="189">
        <f t="shared" si="138"/>
        <v>5534.35</v>
      </c>
      <c r="AT1016" s="189">
        <f t="shared" si="139"/>
        <v>9941.6</v>
      </c>
      <c r="AU1016" s="50">
        <f t="shared" si="140"/>
        <v>8022.6399999999994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5524.1999999999989</v>
      </c>
      <c r="AR1017" s="189">
        <f t="shared" si="142"/>
        <v>5470.7699999999995</v>
      </c>
      <c r="AS1017" s="189">
        <f t="shared" si="138"/>
        <v>5967.8499999999995</v>
      </c>
      <c r="AT1017" s="189">
        <f t="shared" si="139"/>
        <v>11097.6</v>
      </c>
      <c r="AU1017" s="50">
        <f t="shared" si="140"/>
        <v>9409.84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6010.2</v>
      </c>
      <c r="AR1018" s="189">
        <f t="shared" si="142"/>
        <v>6019.869999999999</v>
      </c>
      <c r="AS1018" s="189">
        <f t="shared" si="138"/>
        <v>6401.3499999999995</v>
      </c>
      <c r="AT1018" s="189">
        <f t="shared" si="139"/>
        <v>12253.6</v>
      </c>
      <c r="AU1018" s="50">
        <f t="shared" si="140"/>
        <v>10797.039999999999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6496.2</v>
      </c>
      <c r="AR1019" s="189">
        <f t="shared" si="142"/>
        <v>6568.97</v>
      </c>
      <c r="AS1019" s="189">
        <f t="shared" si="138"/>
        <v>6834.8499999999995</v>
      </c>
      <c r="AT1019" s="189">
        <f t="shared" si="139"/>
        <v>13409.599999999999</v>
      </c>
      <c r="AU1019" s="50">
        <f t="shared" si="140"/>
        <v>12184.24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6982.2000000000007</v>
      </c>
      <c r="AR1020" s="189">
        <f t="shared" si="142"/>
        <v>7118.0700000000006</v>
      </c>
      <c r="AS1020" s="189">
        <f t="shared" si="138"/>
        <v>7225</v>
      </c>
      <c r="AT1020" s="189">
        <f t="shared" si="139"/>
        <v>14450</v>
      </c>
      <c r="AU1020" s="50">
        <f t="shared" si="140"/>
        <v>13571.439999999999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7468.1999999999989</v>
      </c>
      <c r="AR1021" s="189">
        <f t="shared" si="142"/>
        <v>7667.17</v>
      </c>
      <c r="AS1021" s="189">
        <f t="shared" si="138"/>
        <v>7225</v>
      </c>
      <c r="AT1021" s="189">
        <f t="shared" si="139"/>
        <v>14450</v>
      </c>
      <c r="AU1021" s="50">
        <f t="shared" si="140"/>
        <v>14958.640000000001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7954.2</v>
      </c>
      <c r="AR1022" s="189">
        <f t="shared" si="142"/>
        <v>8216.27</v>
      </c>
      <c r="AS1022" s="189">
        <f t="shared" si="138"/>
        <v>7225</v>
      </c>
      <c r="AT1022" s="189">
        <f t="shared" si="139"/>
        <v>14450</v>
      </c>
      <c r="AU1022" s="50">
        <f t="shared" si="140"/>
        <v>16345.839999999998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8100</v>
      </c>
      <c r="AR1023" s="189">
        <f t="shared" si="142"/>
        <v>8381</v>
      </c>
      <c r="AS1023" s="189">
        <f t="shared" si="138"/>
        <v>7225</v>
      </c>
      <c r="AT1023" s="189">
        <f t="shared" si="139"/>
        <v>14450</v>
      </c>
      <c r="AU1023" s="50">
        <f t="shared" si="140"/>
        <v>16762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8100</v>
      </c>
      <c r="AR1024" s="189">
        <f t="shared" si="142"/>
        <v>8381</v>
      </c>
      <c r="AS1024" s="189">
        <f t="shared" si="138"/>
        <v>7225</v>
      </c>
      <c r="AT1024" s="189">
        <f t="shared" si="139"/>
        <v>14450</v>
      </c>
      <c r="AU1024" s="50">
        <f t="shared" si="140"/>
        <v>16762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8100</v>
      </c>
      <c r="AR1025" s="189">
        <f t="shared" si="142"/>
        <v>8381</v>
      </c>
      <c r="AS1025" s="189">
        <f t="shared" si="138"/>
        <v>7225</v>
      </c>
      <c r="AT1025" s="189">
        <f t="shared" si="139"/>
        <v>14450</v>
      </c>
      <c r="AU1025" s="50">
        <f t="shared" si="140"/>
        <v>16762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4555.01</v>
      </c>
      <c r="AR1026" s="189">
        <f t="shared" si="142"/>
        <v>4253.34</v>
      </c>
      <c r="AS1026" s="189">
        <f t="shared" si="138"/>
        <v>5345.58</v>
      </c>
      <c r="AT1026" s="189">
        <f t="shared" si="139"/>
        <v>9485.76</v>
      </c>
      <c r="AU1026" s="50">
        <f t="shared" si="140"/>
        <v>6710.8799999999992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5201.3099999999995</v>
      </c>
      <c r="AR1027" s="189">
        <f t="shared" si="142"/>
        <v>4917.54</v>
      </c>
      <c r="AS1027" s="189">
        <f t="shared" ref="AS1027:AS1090" si="143">$AG$3*(1+$AJ1027*$Y$2+$AN1027)*(MAXA(1-$AI$3-$AL1027*$AA$3-$AP1027-0.36,0)+MINA($AI$3+$AL1027*$AA$3+$AP1027+0.36,1)*(1+$AH$3+$AO1027+$AK1027*$Z$4))</f>
        <v>5911.38</v>
      </c>
      <c r="AT1027" s="189">
        <f t="shared" ref="AT1027:AT1090" si="144">$AG$3*(1+$AJ1027*$Y$2+$AN1027)*(MAXA(1-$AI$3-$AL1027*$AA$3-$AP1027-0.36,0)+2*MINA($AI$3+$AL1027*$AA$3+$AP1027+0.36,1)*(1+$AH$3+$AO1027+$AK1027*$Z$4))</f>
        <v>10863.359999999999</v>
      </c>
      <c r="AU1027" s="50">
        <f t="shared" ref="AU1027:AU1090" si="145">$AG$3*(1+$AJ1027*$Y$2+$AN1027)*(MAXA(1-$AI$3-$AL1027*$AA$3-$AP1027-0.12,0)+2*MINA($AI$3+$AL1027*$AA$3+$AP1027+0.12,1)*(1+$AH$3+$AO1027+$AK1027*$Z$4+0.4))</f>
        <v>8285.2799999999988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5847.61</v>
      </c>
      <c r="AR1028" s="189">
        <f t="shared" ref="AR1028:AR1091" si="147">$AG$3*(1+$AJ1028*$Y$2+$AN1028)*(MAXA(1-$AI$3-$AL1028*$AA$3-$AP1028-0.12,0)+MINA($AI$3+$AL1028*$AA$3+$AP1028+0.12,1)*(1+$AH$3+$AO1028+$AK1028*$Z$4+0.4))</f>
        <v>5581.7399999999989</v>
      </c>
      <c r="AS1028" s="189">
        <f t="shared" si="143"/>
        <v>6477.18</v>
      </c>
      <c r="AT1028" s="189">
        <f t="shared" si="144"/>
        <v>12240.96</v>
      </c>
      <c r="AU1028" s="50">
        <f t="shared" si="145"/>
        <v>9859.68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6493.91</v>
      </c>
      <c r="AR1029" s="189">
        <f t="shared" si="147"/>
        <v>6245.94</v>
      </c>
      <c r="AS1029" s="189">
        <f t="shared" si="143"/>
        <v>7042.9799999999987</v>
      </c>
      <c r="AT1029" s="189">
        <f t="shared" si="144"/>
        <v>13618.56</v>
      </c>
      <c r="AU1029" s="50">
        <f t="shared" si="145"/>
        <v>11434.079999999996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7140.21</v>
      </c>
      <c r="AR1030" s="189">
        <f t="shared" si="147"/>
        <v>6910.14</v>
      </c>
      <c r="AS1030" s="189">
        <f t="shared" si="143"/>
        <v>7608.78</v>
      </c>
      <c r="AT1030" s="189">
        <f t="shared" si="144"/>
        <v>14996.16</v>
      </c>
      <c r="AU1030" s="50">
        <f t="shared" si="145"/>
        <v>13008.480000000001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7786.5099999999993</v>
      </c>
      <c r="AR1031" s="189">
        <f t="shared" si="147"/>
        <v>7574.3399999999992</v>
      </c>
      <c r="AS1031" s="189">
        <f t="shared" si="143"/>
        <v>8118</v>
      </c>
      <c r="AT1031" s="189">
        <f t="shared" si="144"/>
        <v>16236</v>
      </c>
      <c r="AU1031" s="50">
        <f t="shared" si="145"/>
        <v>14582.879999999997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8432.81</v>
      </c>
      <c r="AR1032" s="189">
        <f t="shared" si="147"/>
        <v>8238.5399999999991</v>
      </c>
      <c r="AS1032" s="189">
        <f t="shared" si="143"/>
        <v>8118</v>
      </c>
      <c r="AT1032" s="189">
        <f t="shared" si="144"/>
        <v>16236</v>
      </c>
      <c r="AU1032" s="50">
        <f t="shared" si="145"/>
        <v>16157.279999999999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9079.1099999999988</v>
      </c>
      <c r="AR1033" s="189">
        <f t="shared" si="147"/>
        <v>8902.74</v>
      </c>
      <c r="AS1033" s="189">
        <f t="shared" si="143"/>
        <v>8118</v>
      </c>
      <c r="AT1033" s="189">
        <f t="shared" si="144"/>
        <v>16236</v>
      </c>
      <c r="AU1033" s="50">
        <f t="shared" si="145"/>
        <v>17731.679999999997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9273</v>
      </c>
      <c r="AR1034" s="189">
        <f t="shared" si="147"/>
        <v>9102</v>
      </c>
      <c r="AS1034" s="189">
        <f t="shared" si="143"/>
        <v>8118</v>
      </c>
      <c r="AT1034" s="189">
        <f t="shared" si="144"/>
        <v>16236</v>
      </c>
      <c r="AU1034" s="50">
        <f t="shared" si="145"/>
        <v>18204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9273</v>
      </c>
      <c r="AR1035" s="189">
        <f t="shared" si="147"/>
        <v>9102</v>
      </c>
      <c r="AS1035" s="189">
        <f t="shared" si="143"/>
        <v>8118</v>
      </c>
      <c r="AT1035" s="189">
        <f t="shared" si="144"/>
        <v>16236</v>
      </c>
      <c r="AU1035" s="50">
        <f t="shared" si="145"/>
        <v>18204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9273</v>
      </c>
      <c r="AR1036" s="189">
        <f t="shared" si="147"/>
        <v>9102</v>
      </c>
      <c r="AS1036" s="189">
        <f t="shared" si="143"/>
        <v>8118</v>
      </c>
      <c r="AT1036" s="189">
        <f t="shared" si="144"/>
        <v>16236</v>
      </c>
      <c r="AU1036" s="50">
        <f t="shared" si="145"/>
        <v>18204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6392.75</v>
      </c>
      <c r="AR1037" s="189">
        <f t="shared" si="147"/>
        <v>6432.9</v>
      </c>
      <c r="AS1037" s="189">
        <f t="shared" si="143"/>
        <v>6150</v>
      </c>
      <c r="AT1037" s="189">
        <f t="shared" si="144"/>
        <v>12300</v>
      </c>
      <c r="AU1037" s="50">
        <f t="shared" si="145"/>
        <v>12496.8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6814.2499999999991</v>
      </c>
      <c r="AR1038" s="189">
        <f t="shared" si="147"/>
        <v>6900.2999999999993</v>
      </c>
      <c r="AS1038" s="189">
        <f t="shared" si="143"/>
        <v>6150</v>
      </c>
      <c r="AT1038" s="189">
        <f t="shared" si="144"/>
        <v>12300</v>
      </c>
      <c r="AU1038" s="50">
        <f t="shared" si="145"/>
        <v>13677.599999999999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7025</v>
      </c>
      <c r="AR1039" s="189">
        <f t="shared" si="147"/>
        <v>7134</v>
      </c>
      <c r="AS1039" s="189">
        <f t="shared" si="143"/>
        <v>6150</v>
      </c>
      <c r="AT1039" s="189">
        <f t="shared" si="144"/>
        <v>12300</v>
      </c>
      <c r="AU1039" s="50">
        <f t="shared" si="145"/>
        <v>14268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7025</v>
      </c>
      <c r="AR1040" s="189">
        <f t="shared" si="147"/>
        <v>7134</v>
      </c>
      <c r="AS1040" s="189">
        <f t="shared" si="143"/>
        <v>6150</v>
      </c>
      <c r="AT1040" s="189">
        <f t="shared" si="144"/>
        <v>12300</v>
      </c>
      <c r="AU1040" s="50">
        <f t="shared" si="145"/>
        <v>14268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7025</v>
      </c>
      <c r="AR1041" s="189">
        <f t="shared" si="147"/>
        <v>7134</v>
      </c>
      <c r="AS1041" s="189">
        <f t="shared" si="143"/>
        <v>6150</v>
      </c>
      <c r="AT1041" s="189">
        <f t="shared" si="144"/>
        <v>12300</v>
      </c>
      <c r="AU1041" s="50">
        <f t="shared" si="145"/>
        <v>14268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7025</v>
      </c>
      <c r="AR1042" s="189">
        <f t="shared" si="147"/>
        <v>7134</v>
      </c>
      <c r="AS1042" s="189">
        <f t="shared" si="143"/>
        <v>6150</v>
      </c>
      <c r="AT1042" s="189">
        <f t="shared" si="144"/>
        <v>12300</v>
      </c>
      <c r="AU1042" s="50">
        <f t="shared" si="145"/>
        <v>14268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7025</v>
      </c>
      <c r="AR1043" s="189">
        <f t="shared" si="147"/>
        <v>7134</v>
      </c>
      <c r="AS1043" s="189">
        <f t="shared" si="143"/>
        <v>6150</v>
      </c>
      <c r="AT1043" s="189">
        <f t="shared" si="144"/>
        <v>12300</v>
      </c>
      <c r="AU1043" s="50">
        <f t="shared" si="145"/>
        <v>14268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7025</v>
      </c>
      <c r="AR1044" s="189">
        <f t="shared" si="147"/>
        <v>7134</v>
      </c>
      <c r="AS1044" s="189">
        <f t="shared" si="143"/>
        <v>6150</v>
      </c>
      <c r="AT1044" s="189">
        <f t="shared" si="144"/>
        <v>12300</v>
      </c>
      <c r="AU1044" s="50">
        <f t="shared" si="145"/>
        <v>14268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7025</v>
      </c>
      <c r="AR1045" s="189">
        <f t="shared" si="147"/>
        <v>7134</v>
      </c>
      <c r="AS1045" s="189">
        <f t="shared" si="143"/>
        <v>6150</v>
      </c>
      <c r="AT1045" s="189">
        <f t="shared" si="144"/>
        <v>12300</v>
      </c>
      <c r="AU1045" s="50">
        <f t="shared" si="145"/>
        <v>14268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7025</v>
      </c>
      <c r="AR1046" s="189">
        <f t="shared" si="147"/>
        <v>7134</v>
      </c>
      <c r="AS1046" s="189">
        <f t="shared" si="143"/>
        <v>6150</v>
      </c>
      <c r="AT1046" s="189">
        <f t="shared" si="144"/>
        <v>12300</v>
      </c>
      <c r="AU1046" s="50">
        <f t="shared" si="145"/>
        <v>14268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7025</v>
      </c>
      <c r="AR1047" s="189">
        <f t="shared" si="147"/>
        <v>7134</v>
      </c>
      <c r="AS1047" s="189">
        <f t="shared" si="143"/>
        <v>6150</v>
      </c>
      <c r="AT1047" s="189">
        <f t="shared" si="144"/>
        <v>12300</v>
      </c>
      <c r="AU1047" s="50">
        <f t="shared" si="145"/>
        <v>14268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4833.2000000000007</v>
      </c>
      <c r="AR1048" s="189">
        <f t="shared" si="147"/>
        <v>4675.17</v>
      </c>
      <c r="AS1048" s="189">
        <f t="shared" si="143"/>
        <v>5453.85</v>
      </c>
      <c r="AT1048" s="189">
        <f t="shared" si="144"/>
        <v>9393.6000000000022</v>
      </c>
      <c r="AU1048" s="50">
        <f t="shared" si="145"/>
        <v>7094.6400000000021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5349.2000000000016</v>
      </c>
      <c r="AR1049" s="189">
        <f t="shared" si="147"/>
        <v>5262.27</v>
      </c>
      <c r="AS1049" s="189">
        <f t="shared" si="143"/>
        <v>5917.3500000000013</v>
      </c>
      <c r="AT1049" s="189">
        <f t="shared" si="144"/>
        <v>10629.600000000002</v>
      </c>
      <c r="AU1049" s="50">
        <f t="shared" si="145"/>
        <v>8577.84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5865.2</v>
      </c>
      <c r="AR1050" s="189">
        <f t="shared" si="147"/>
        <v>5849.37</v>
      </c>
      <c r="AS1050" s="189">
        <f t="shared" si="143"/>
        <v>6380.85</v>
      </c>
      <c r="AT1050" s="189">
        <f t="shared" si="144"/>
        <v>11865.600000000002</v>
      </c>
      <c r="AU1050" s="50">
        <f t="shared" si="145"/>
        <v>10061.040000000001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6381.2000000000007</v>
      </c>
      <c r="AR1051" s="189">
        <f t="shared" si="147"/>
        <v>6436.47</v>
      </c>
      <c r="AS1051" s="189">
        <f t="shared" si="143"/>
        <v>6844.35</v>
      </c>
      <c r="AT1051" s="189">
        <f t="shared" si="144"/>
        <v>13101.600000000002</v>
      </c>
      <c r="AU1051" s="50">
        <f t="shared" si="145"/>
        <v>11544.240000000002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6897.2000000000007</v>
      </c>
      <c r="AR1052" s="189">
        <f t="shared" si="147"/>
        <v>7023.5700000000015</v>
      </c>
      <c r="AS1052" s="189">
        <f t="shared" si="143"/>
        <v>7307.85</v>
      </c>
      <c r="AT1052" s="189">
        <f t="shared" si="144"/>
        <v>14337.6</v>
      </c>
      <c r="AU1052" s="50">
        <f t="shared" si="145"/>
        <v>13027.440000000002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7413.2000000000016</v>
      </c>
      <c r="AR1053" s="189">
        <f t="shared" si="147"/>
        <v>7610.670000000001</v>
      </c>
      <c r="AS1053" s="189">
        <f t="shared" si="143"/>
        <v>7725.0000000000009</v>
      </c>
      <c r="AT1053" s="189">
        <f t="shared" si="144"/>
        <v>15450.000000000002</v>
      </c>
      <c r="AU1053" s="50">
        <f t="shared" si="145"/>
        <v>14510.640000000001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7929.2</v>
      </c>
      <c r="AR1054" s="189">
        <f t="shared" si="147"/>
        <v>8197.77</v>
      </c>
      <c r="AS1054" s="189">
        <f t="shared" si="143"/>
        <v>7725.0000000000009</v>
      </c>
      <c r="AT1054" s="189">
        <f t="shared" si="144"/>
        <v>15450.000000000002</v>
      </c>
      <c r="AU1054" s="50">
        <f t="shared" si="145"/>
        <v>15993.840000000002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8445.2000000000007</v>
      </c>
      <c r="AR1055" s="189">
        <f t="shared" si="147"/>
        <v>8784.8700000000008</v>
      </c>
      <c r="AS1055" s="189">
        <f t="shared" si="143"/>
        <v>7725.0000000000009</v>
      </c>
      <c r="AT1055" s="189">
        <f t="shared" si="144"/>
        <v>15450.000000000002</v>
      </c>
      <c r="AU1055" s="50">
        <f t="shared" si="145"/>
        <v>17477.04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8600.0000000000018</v>
      </c>
      <c r="AR1056" s="189">
        <f t="shared" si="147"/>
        <v>8961.0000000000018</v>
      </c>
      <c r="AS1056" s="189">
        <f t="shared" si="143"/>
        <v>7725.0000000000009</v>
      </c>
      <c r="AT1056" s="189">
        <f t="shared" si="144"/>
        <v>15450.000000000002</v>
      </c>
      <c r="AU1056" s="50">
        <f t="shared" si="145"/>
        <v>17922.000000000004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8600.0000000000018</v>
      </c>
      <c r="AR1057" s="189">
        <f t="shared" si="147"/>
        <v>8961.0000000000018</v>
      </c>
      <c r="AS1057" s="189">
        <f t="shared" si="143"/>
        <v>7725.0000000000009</v>
      </c>
      <c r="AT1057" s="189">
        <f t="shared" si="144"/>
        <v>15450.000000000002</v>
      </c>
      <c r="AU1057" s="50">
        <f t="shared" si="145"/>
        <v>17922.000000000004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8600.0000000000018</v>
      </c>
      <c r="AR1058" s="189">
        <f t="shared" si="147"/>
        <v>8961.0000000000018</v>
      </c>
      <c r="AS1058" s="189">
        <f t="shared" si="143"/>
        <v>7725.0000000000009</v>
      </c>
      <c r="AT1058" s="189">
        <f t="shared" si="144"/>
        <v>15450.000000000002</v>
      </c>
      <c r="AU1058" s="50">
        <f t="shared" si="145"/>
        <v>17922.000000000004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4879.21</v>
      </c>
      <c r="AR1059" s="189">
        <f t="shared" si="147"/>
        <v>4599.1399999999994</v>
      </c>
      <c r="AS1059" s="189">
        <f t="shared" si="143"/>
        <v>5780.1799999999994</v>
      </c>
      <c r="AT1059" s="189">
        <f t="shared" si="144"/>
        <v>10256.959999999997</v>
      </c>
      <c r="AU1059" s="50">
        <f t="shared" si="145"/>
        <v>7256.4799999999977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5571.51</v>
      </c>
      <c r="AR1060" s="189">
        <f t="shared" si="147"/>
        <v>5317.3399999999992</v>
      </c>
      <c r="AS1060" s="189">
        <f t="shared" si="143"/>
        <v>6391.9799999999987</v>
      </c>
      <c r="AT1060" s="189">
        <f t="shared" si="144"/>
        <v>11746.559999999996</v>
      </c>
      <c r="AU1060" s="50">
        <f t="shared" si="145"/>
        <v>8958.8799999999974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6263.8099999999995</v>
      </c>
      <c r="AR1061" s="189">
        <f t="shared" si="147"/>
        <v>6035.5399999999981</v>
      </c>
      <c r="AS1061" s="189">
        <f t="shared" si="143"/>
        <v>7003.7799999999988</v>
      </c>
      <c r="AT1061" s="189">
        <f t="shared" si="144"/>
        <v>13236.159999999998</v>
      </c>
      <c r="AU1061" s="50">
        <f t="shared" si="145"/>
        <v>10661.279999999999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6956.11</v>
      </c>
      <c r="AR1062" s="189">
        <f t="shared" si="147"/>
        <v>6753.739999999998</v>
      </c>
      <c r="AS1062" s="189">
        <f t="shared" si="143"/>
        <v>7615.5799999999972</v>
      </c>
      <c r="AT1062" s="189">
        <f t="shared" si="144"/>
        <v>14725.759999999997</v>
      </c>
      <c r="AU1062" s="50">
        <f t="shared" si="145"/>
        <v>12363.679999999995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7648.41</v>
      </c>
      <c r="AR1063" s="189">
        <f t="shared" si="147"/>
        <v>7471.94</v>
      </c>
      <c r="AS1063" s="189">
        <f t="shared" si="143"/>
        <v>8227.3799999999992</v>
      </c>
      <c r="AT1063" s="189">
        <f t="shared" si="144"/>
        <v>16215.359999999997</v>
      </c>
      <c r="AU1063" s="50">
        <f t="shared" si="145"/>
        <v>14066.079999999998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8340.7099999999991</v>
      </c>
      <c r="AR1064" s="189">
        <f t="shared" si="147"/>
        <v>8190.1399999999976</v>
      </c>
      <c r="AS1064" s="189">
        <f t="shared" si="143"/>
        <v>8777.9999999999982</v>
      </c>
      <c r="AT1064" s="189">
        <f t="shared" si="144"/>
        <v>17555.999999999996</v>
      </c>
      <c r="AU1064" s="50">
        <f t="shared" si="145"/>
        <v>15768.479999999994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9033.01</v>
      </c>
      <c r="AR1065" s="189">
        <f t="shared" si="147"/>
        <v>8908.3399999999983</v>
      </c>
      <c r="AS1065" s="189">
        <f t="shared" si="143"/>
        <v>8777.9999999999982</v>
      </c>
      <c r="AT1065" s="189">
        <f t="shared" si="144"/>
        <v>17555.999999999996</v>
      </c>
      <c r="AU1065" s="50">
        <f t="shared" si="145"/>
        <v>17470.879999999997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9725.31</v>
      </c>
      <c r="AR1066" s="189">
        <f t="shared" si="147"/>
        <v>9626.5399999999972</v>
      </c>
      <c r="AS1066" s="189">
        <f t="shared" si="143"/>
        <v>8777.9999999999982</v>
      </c>
      <c r="AT1066" s="189">
        <f t="shared" si="144"/>
        <v>17555.999999999996</v>
      </c>
      <c r="AU1066" s="50">
        <f t="shared" si="145"/>
        <v>19173.279999999995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9933</v>
      </c>
      <c r="AR1067" s="189">
        <f t="shared" si="147"/>
        <v>9841.9999999999982</v>
      </c>
      <c r="AS1067" s="189">
        <f t="shared" si="143"/>
        <v>8777.9999999999982</v>
      </c>
      <c r="AT1067" s="189">
        <f t="shared" si="144"/>
        <v>17555.999999999996</v>
      </c>
      <c r="AU1067" s="50">
        <f t="shared" si="145"/>
        <v>19683.999999999996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9933</v>
      </c>
      <c r="AR1068" s="189">
        <f t="shared" si="147"/>
        <v>9841.9999999999982</v>
      </c>
      <c r="AS1068" s="189">
        <f t="shared" si="143"/>
        <v>8777.9999999999982</v>
      </c>
      <c r="AT1068" s="189">
        <f t="shared" si="144"/>
        <v>17555.999999999996</v>
      </c>
      <c r="AU1068" s="50">
        <f t="shared" si="145"/>
        <v>19683.999999999996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9933</v>
      </c>
      <c r="AR1069" s="189">
        <f t="shared" si="147"/>
        <v>9841.9999999999982</v>
      </c>
      <c r="AS1069" s="189">
        <f t="shared" si="143"/>
        <v>8777.9999999999982</v>
      </c>
      <c r="AT1069" s="189">
        <f t="shared" si="144"/>
        <v>17555.999999999996</v>
      </c>
      <c r="AU1069" s="50">
        <f t="shared" si="145"/>
        <v>19683.999999999996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6847.75</v>
      </c>
      <c r="AR1070" s="189">
        <f t="shared" si="147"/>
        <v>6955.8999999999978</v>
      </c>
      <c r="AS1070" s="189">
        <f t="shared" si="143"/>
        <v>6649.9999999999991</v>
      </c>
      <c r="AT1070" s="189">
        <f t="shared" si="144"/>
        <v>13299.999999999998</v>
      </c>
      <c r="AU1070" s="50">
        <f t="shared" si="145"/>
        <v>13512.799999999997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7299.2499999999991</v>
      </c>
      <c r="AR1071" s="189">
        <f t="shared" si="147"/>
        <v>7461.2999999999984</v>
      </c>
      <c r="AS1071" s="189">
        <f t="shared" si="143"/>
        <v>6649.9999999999991</v>
      </c>
      <c r="AT1071" s="189">
        <f t="shared" si="144"/>
        <v>13299.999999999998</v>
      </c>
      <c r="AU1071" s="50">
        <f t="shared" si="145"/>
        <v>14789.599999999997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7525</v>
      </c>
      <c r="AR1072" s="189">
        <f t="shared" si="147"/>
        <v>7713.9999999999982</v>
      </c>
      <c r="AS1072" s="189">
        <f t="shared" si="143"/>
        <v>6649.9999999999991</v>
      </c>
      <c r="AT1072" s="189">
        <f t="shared" si="144"/>
        <v>13299.999999999998</v>
      </c>
      <c r="AU1072" s="50">
        <f t="shared" si="145"/>
        <v>15427.999999999996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7525</v>
      </c>
      <c r="AR1073" s="189">
        <f t="shared" si="147"/>
        <v>7713.9999999999982</v>
      </c>
      <c r="AS1073" s="189">
        <f t="shared" si="143"/>
        <v>6649.9999999999991</v>
      </c>
      <c r="AT1073" s="189">
        <f t="shared" si="144"/>
        <v>13299.999999999998</v>
      </c>
      <c r="AU1073" s="50">
        <f t="shared" si="145"/>
        <v>15427.999999999996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7525</v>
      </c>
      <c r="AR1074" s="189">
        <f t="shared" si="147"/>
        <v>7713.9999999999982</v>
      </c>
      <c r="AS1074" s="189">
        <f t="shared" si="143"/>
        <v>6649.9999999999991</v>
      </c>
      <c r="AT1074" s="189">
        <f t="shared" si="144"/>
        <v>13299.999999999998</v>
      </c>
      <c r="AU1074" s="50">
        <f t="shared" si="145"/>
        <v>15427.999999999996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7525</v>
      </c>
      <c r="AR1075" s="189">
        <f t="shared" si="147"/>
        <v>7713.9999999999982</v>
      </c>
      <c r="AS1075" s="189">
        <f t="shared" si="143"/>
        <v>6649.9999999999991</v>
      </c>
      <c r="AT1075" s="189">
        <f t="shared" si="144"/>
        <v>13299.999999999998</v>
      </c>
      <c r="AU1075" s="50">
        <f t="shared" si="145"/>
        <v>15427.999999999996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7525</v>
      </c>
      <c r="AR1076" s="189">
        <f t="shared" si="147"/>
        <v>7713.9999999999982</v>
      </c>
      <c r="AS1076" s="189">
        <f t="shared" si="143"/>
        <v>6649.9999999999991</v>
      </c>
      <c r="AT1076" s="189">
        <f t="shared" si="144"/>
        <v>13299.999999999998</v>
      </c>
      <c r="AU1076" s="50">
        <f t="shared" si="145"/>
        <v>15427.999999999996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7525</v>
      </c>
      <c r="AR1077" s="189">
        <f t="shared" si="147"/>
        <v>7713.9999999999982</v>
      </c>
      <c r="AS1077" s="189">
        <f t="shared" si="143"/>
        <v>6649.9999999999991</v>
      </c>
      <c r="AT1077" s="189">
        <f t="shared" si="144"/>
        <v>13299.999999999998</v>
      </c>
      <c r="AU1077" s="50">
        <f t="shared" si="145"/>
        <v>15427.999999999996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7525</v>
      </c>
      <c r="AR1078" s="189">
        <f t="shared" si="147"/>
        <v>7713.9999999999982</v>
      </c>
      <c r="AS1078" s="189">
        <f t="shared" si="143"/>
        <v>6649.9999999999991</v>
      </c>
      <c r="AT1078" s="189">
        <f t="shared" si="144"/>
        <v>13299.999999999998</v>
      </c>
      <c r="AU1078" s="50">
        <f t="shared" si="145"/>
        <v>15427.999999999996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7525</v>
      </c>
      <c r="AR1079" s="189">
        <f t="shared" si="147"/>
        <v>7713.9999999999982</v>
      </c>
      <c r="AS1079" s="189">
        <f t="shared" si="143"/>
        <v>6649.9999999999991</v>
      </c>
      <c r="AT1079" s="189">
        <f t="shared" si="144"/>
        <v>13299.999999999998</v>
      </c>
      <c r="AU1079" s="50">
        <f t="shared" si="145"/>
        <v>15427.999999999996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7525</v>
      </c>
      <c r="AR1080" s="189">
        <f t="shared" si="147"/>
        <v>7713.9999999999982</v>
      </c>
      <c r="AS1080" s="189">
        <f t="shared" si="143"/>
        <v>6649.9999999999991</v>
      </c>
      <c r="AT1080" s="189">
        <f t="shared" si="144"/>
        <v>13299.999999999998</v>
      </c>
      <c r="AU1080" s="50">
        <f t="shared" si="145"/>
        <v>15427.999999999996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5114.2</v>
      </c>
      <c r="AR1081" s="189">
        <f t="shared" si="147"/>
        <v>4977.7699999999995</v>
      </c>
      <c r="AS1081" s="189">
        <f t="shared" si="143"/>
        <v>5806.8499999999995</v>
      </c>
      <c r="AT1081" s="189">
        <f t="shared" si="144"/>
        <v>10001.6</v>
      </c>
      <c r="AU1081" s="50">
        <f t="shared" si="145"/>
        <v>7553.8400000000011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5660.2000000000007</v>
      </c>
      <c r="AR1082" s="189">
        <f t="shared" si="147"/>
        <v>5602.87</v>
      </c>
      <c r="AS1082" s="189">
        <f t="shared" si="143"/>
        <v>6300.35</v>
      </c>
      <c r="AT1082" s="189">
        <f t="shared" si="144"/>
        <v>11317.6</v>
      </c>
      <c r="AU1082" s="50">
        <f t="shared" si="145"/>
        <v>9133.0399999999991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6206.1999999999989</v>
      </c>
      <c r="AR1083" s="189">
        <f t="shared" si="147"/>
        <v>6227.9699999999993</v>
      </c>
      <c r="AS1083" s="189">
        <f t="shared" si="143"/>
        <v>6793.8499999999995</v>
      </c>
      <c r="AT1083" s="189">
        <f t="shared" si="144"/>
        <v>12633.6</v>
      </c>
      <c r="AU1083" s="50">
        <f t="shared" si="145"/>
        <v>10712.24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6752.2</v>
      </c>
      <c r="AR1084" s="189">
        <f t="shared" si="147"/>
        <v>6853.0699999999988</v>
      </c>
      <c r="AS1084" s="189">
        <f t="shared" si="143"/>
        <v>7287.3499999999995</v>
      </c>
      <c r="AT1084" s="189">
        <f t="shared" si="144"/>
        <v>13949.6</v>
      </c>
      <c r="AU1084" s="50">
        <f t="shared" si="145"/>
        <v>12291.439999999999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7298.2</v>
      </c>
      <c r="AR1085" s="189">
        <f t="shared" si="147"/>
        <v>7478.17</v>
      </c>
      <c r="AS1085" s="189">
        <f t="shared" si="143"/>
        <v>7780.8499999999995</v>
      </c>
      <c r="AT1085" s="189">
        <f t="shared" si="144"/>
        <v>15265.599999999999</v>
      </c>
      <c r="AU1085" s="50">
        <f t="shared" si="145"/>
        <v>13870.640000000001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7844.2000000000007</v>
      </c>
      <c r="AR1086" s="189">
        <f t="shared" si="147"/>
        <v>8103.27</v>
      </c>
      <c r="AS1086" s="189">
        <f t="shared" si="143"/>
        <v>8225</v>
      </c>
      <c r="AT1086" s="189">
        <f t="shared" si="144"/>
        <v>16450</v>
      </c>
      <c r="AU1086" s="50">
        <f t="shared" si="145"/>
        <v>15449.839999999998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8390.1999999999989</v>
      </c>
      <c r="AR1087" s="189">
        <f t="shared" si="147"/>
        <v>8728.3700000000008</v>
      </c>
      <c r="AS1087" s="189">
        <f t="shared" si="143"/>
        <v>8225</v>
      </c>
      <c r="AT1087" s="189">
        <f t="shared" si="144"/>
        <v>16450</v>
      </c>
      <c r="AU1087" s="50">
        <f t="shared" si="145"/>
        <v>17029.04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8936.2000000000007</v>
      </c>
      <c r="AR1088" s="189">
        <f t="shared" si="147"/>
        <v>9353.4699999999993</v>
      </c>
      <c r="AS1088" s="189">
        <f t="shared" si="143"/>
        <v>8225</v>
      </c>
      <c r="AT1088" s="189">
        <f t="shared" si="144"/>
        <v>16450</v>
      </c>
      <c r="AU1088" s="50">
        <f t="shared" si="145"/>
        <v>18608.239999999998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9100</v>
      </c>
      <c r="AR1089" s="189">
        <f t="shared" si="147"/>
        <v>9541</v>
      </c>
      <c r="AS1089" s="189">
        <f t="shared" si="143"/>
        <v>8225</v>
      </c>
      <c r="AT1089" s="189">
        <f t="shared" si="144"/>
        <v>16450</v>
      </c>
      <c r="AU1089" s="50">
        <f t="shared" si="145"/>
        <v>19082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9100</v>
      </c>
      <c r="AR1090" s="189">
        <f t="shared" si="147"/>
        <v>9541</v>
      </c>
      <c r="AS1090" s="189">
        <f t="shared" si="143"/>
        <v>8225</v>
      </c>
      <c r="AT1090" s="189">
        <f t="shared" si="144"/>
        <v>16450</v>
      </c>
      <c r="AU1090" s="50">
        <f t="shared" si="145"/>
        <v>19082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9100</v>
      </c>
      <c r="AR1091" s="189">
        <f t="shared" si="147"/>
        <v>9541</v>
      </c>
      <c r="AS1091" s="189">
        <f t="shared" ref="AS1091:AS1154" si="148">$AG$3*(1+$AJ1091*$Y$2+$AN1091)*(MAXA(1-$AI$3-$AL1091*$AA$3-$AP1091-0.36,0)+MINA($AI$3+$AL1091*$AA$3+$AP1091+0.36,1)*(1+$AH$3+$AO1091+$AK1091*$Z$4))</f>
        <v>8225</v>
      </c>
      <c r="AT1091" s="189">
        <f t="shared" ref="AT1091:AT1154" si="149">$AG$3*(1+$AJ1091*$Y$2+$AN1091)*(MAXA(1-$AI$3-$AL1091*$AA$3-$AP1091-0.36,0)+2*MINA($AI$3+$AL1091*$AA$3+$AP1091+0.36,1)*(1+$AH$3+$AO1091+$AK1091*$Z$4))</f>
        <v>16450</v>
      </c>
      <c r="AU1091" s="50">
        <f t="shared" ref="AU1091:AU1154" si="150">$AG$3*(1+$AJ1091*$Y$2+$AN1091)*(MAXA(1-$AI$3-$AL1091*$AA$3-$AP1091-0.12,0)+2*MINA($AI$3+$AL1091*$AA$3+$AP1091+0.12,1)*(1+$AH$3+$AO1091+$AK1091*$Z$4+0.4))</f>
        <v>19082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5203.41</v>
      </c>
      <c r="AR1092" s="189">
        <f t="shared" ref="AR1092:AR1155" si="152">$AG$3*(1+$AJ1092*$Y$2+$AN1092)*(MAXA(1-$AI$3-$AL1092*$AA$3-$AP1092-0.12,0)+MINA($AI$3+$AL1092*$AA$3+$AP1092+0.12,1)*(1+$AH$3+$AO1092+$AK1092*$Z$4+0.4))</f>
        <v>4944.9400000000005</v>
      </c>
      <c r="AS1092" s="189">
        <f t="shared" si="148"/>
        <v>6214.78</v>
      </c>
      <c r="AT1092" s="189">
        <f t="shared" si="149"/>
        <v>11028.16</v>
      </c>
      <c r="AU1092" s="50">
        <f t="shared" si="150"/>
        <v>7802.079999999999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5941.71</v>
      </c>
      <c r="AR1093" s="189">
        <f t="shared" si="152"/>
        <v>5717.14</v>
      </c>
      <c r="AS1093" s="189">
        <f t="shared" si="148"/>
        <v>6872.58</v>
      </c>
      <c r="AT1093" s="189">
        <f t="shared" si="149"/>
        <v>12629.759999999998</v>
      </c>
      <c r="AU1093" s="50">
        <f t="shared" si="150"/>
        <v>9632.48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6680.01</v>
      </c>
      <c r="AR1094" s="189">
        <f t="shared" si="152"/>
        <v>6489.3399999999992</v>
      </c>
      <c r="AS1094" s="189">
        <f t="shared" si="148"/>
        <v>7530.38</v>
      </c>
      <c r="AT1094" s="189">
        <f t="shared" si="149"/>
        <v>14231.36</v>
      </c>
      <c r="AU1094" s="50">
        <f t="shared" si="150"/>
        <v>11462.88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7418.3099999999995</v>
      </c>
      <c r="AR1095" s="189">
        <f t="shared" si="152"/>
        <v>7261.5399999999991</v>
      </c>
      <c r="AS1095" s="189">
        <f t="shared" si="148"/>
        <v>8188.1799999999985</v>
      </c>
      <c r="AT1095" s="189">
        <f t="shared" si="149"/>
        <v>15832.96</v>
      </c>
      <c r="AU1095" s="50">
        <f t="shared" si="150"/>
        <v>13293.279999999997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8156.61</v>
      </c>
      <c r="AR1096" s="189">
        <f t="shared" si="152"/>
        <v>8033.7400000000007</v>
      </c>
      <c r="AS1096" s="189">
        <f t="shared" si="148"/>
        <v>8845.98</v>
      </c>
      <c r="AT1096" s="189">
        <f t="shared" si="149"/>
        <v>17434.560000000001</v>
      </c>
      <c r="AU1096" s="50">
        <f t="shared" si="150"/>
        <v>15123.68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8894.91</v>
      </c>
      <c r="AR1097" s="189">
        <f t="shared" si="152"/>
        <v>8805.9399999999987</v>
      </c>
      <c r="AS1097" s="189">
        <f t="shared" si="148"/>
        <v>9438</v>
      </c>
      <c r="AT1097" s="189">
        <f t="shared" si="149"/>
        <v>18876</v>
      </c>
      <c r="AU1097" s="50">
        <f t="shared" si="150"/>
        <v>16954.079999999998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9633.2099999999991</v>
      </c>
      <c r="AR1098" s="189">
        <f t="shared" si="152"/>
        <v>9578.14</v>
      </c>
      <c r="AS1098" s="189">
        <f t="shared" si="148"/>
        <v>9438</v>
      </c>
      <c r="AT1098" s="189">
        <f t="shared" si="149"/>
        <v>18876</v>
      </c>
      <c r="AU1098" s="50">
        <f t="shared" si="150"/>
        <v>18784.48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10371.51</v>
      </c>
      <c r="AR1099" s="189">
        <f t="shared" si="152"/>
        <v>10350.34</v>
      </c>
      <c r="AS1099" s="189">
        <f t="shared" si="148"/>
        <v>9438</v>
      </c>
      <c r="AT1099" s="189">
        <f t="shared" si="149"/>
        <v>18876</v>
      </c>
      <c r="AU1099" s="50">
        <f t="shared" si="150"/>
        <v>20614.879999999997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10593</v>
      </c>
      <c r="AR1100" s="189">
        <f t="shared" si="152"/>
        <v>10582</v>
      </c>
      <c r="AS1100" s="189">
        <f t="shared" si="148"/>
        <v>9438</v>
      </c>
      <c r="AT1100" s="189">
        <f t="shared" si="149"/>
        <v>18876</v>
      </c>
      <c r="AU1100" s="50">
        <f t="shared" si="150"/>
        <v>21164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10593</v>
      </c>
      <c r="AR1101" s="189">
        <f t="shared" si="152"/>
        <v>10582</v>
      </c>
      <c r="AS1101" s="189">
        <f t="shared" si="148"/>
        <v>9438</v>
      </c>
      <c r="AT1101" s="189">
        <f t="shared" si="149"/>
        <v>18876</v>
      </c>
      <c r="AU1101" s="50">
        <f t="shared" si="150"/>
        <v>21164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10593</v>
      </c>
      <c r="AR1102" s="189">
        <f t="shared" si="152"/>
        <v>10582</v>
      </c>
      <c r="AS1102" s="189">
        <f t="shared" si="148"/>
        <v>9438</v>
      </c>
      <c r="AT1102" s="189">
        <f t="shared" si="149"/>
        <v>18876</v>
      </c>
      <c r="AU1102" s="50">
        <f t="shared" si="150"/>
        <v>21164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7302.75</v>
      </c>
      <c r="AR1103" s="189">
        <f t="shared" si="152"/>
        <v>7478.9</v>
      </c>
      <c r="AS1103" s="189">
        <f t="shared" si="148"/>
        <v>7150</v>
      </c>
      <c r="AT1103" s="189">
        <f t="shared" si="149"/>
        <v>14300</v>
      </c>
      <c r="AU1103" s="50">
        <f t="shared" si="150"/>
        <v>14528.800000000001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7784.2499999999991</v>
      </c>
      <c r="AR1104" s="189">
        <f t="shared" si="152"/>
        <v>8022.2999999999993</v>
      </c>
      <c r="AS1104" s="189">
        <f t="shared" si="148"/>
        <v>7150</v>
      </c>
      <c r="AT1104" s="189">
        <f t="shared" si="149"/>
        <v>14300</v>
      </c>
      <c r="AU1104" s="50">
        <f t="shared" si="150"/>
        <v>15901.599999999999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8025</v>
      </c>
      <c r="AR1105" s="189">
        <f t="shared" si="152"/>
        <v>8294</v>
      </c>
      <c r="AS1105" s="189">
        <f t="shared" si="148"/>
        <v>7150</v>
      </c>
      <c r="AT1105" s="189">
        <f t="shared" si="149"/>
        <v>14300</v>
      </c>
      <c r="AU1105" s="50">
        <f t="shared" si="150"/>
        <v>16588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8025</v>
      </c>
      <c r="AR1106" s="189">
        <f t="shared" si="152"/>
        <v>8294</v>
      </c>
      <c r="AS1106" s="189">
        <f t="shared" si="148"/>
        <v>7150</v>
      </c>
      <c r="AT1106" s="189">
        <f t="shared" si="149"/>
        <v>14300</v>
      </c>
      <c r="AU1106" s="50">
        <f t="shared" si="150"/>
        <v>16588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8025</v>
      </c>
      <c r="AR1107" s="189">
        <f t="shared" si="152"/>
        <v>8294</v>
      </c>
      <c r="AS1107" s="189">
        <f t="shared" si="148"/>
        <v>7150</v>
      </c>
      <c r="AT1107" s="189">
        <f t="shared" si="149"/>
        <v>14300</v>
      </c>
      <c r="AU1107" s="50">
        <f t="shared" si="150"/>
        <v>16588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8025</v>
      </c>
      <c r="AR1108" s="189">
        <f t="shared" si="152"/>
        <v>8294</v>
      </c>
      <c r="AS1108" s="189">
        <f t="shared" si="148"/>
        <v>7150</v>
      </c>
      <c r="AT1108" s="189">
        <f t="shared" si="149"/>
        <v>14300</v>
      </c>
      <c r="AU1108" s="50">
        <f t="shared" si="150"/>
        <v>16588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8025</v>
      </c>
      <c r="AR1109" s="189">
        <f t="shared" si="152"/>
        <v>8294</v>
      </c>
      <c r="AS1109" s="189">
        <f t="shared" si="148"/>
        <v>7150</v>
      </c>
      <c r="AT1109" s="189">
        <f t="shared" si="149"/>
        <v>14300</v>
      </c>
      <c r="AU1109" s="50">
        <f t="shared" si="150"/>
        <v>16588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8025</v>
      </c>
      <c r="AR1110" s="189">
        <f t="shared" si="152"/>
        <v>8294</v>
      </c>
      <c r="AS1110" s="189">
        <f t="shared" si="148"/>
        <v>7150</v>
      </c>
      <c r="AT1110" s="189">
        <f t="shared" si="149"/>
        <v>14300</v>
      </c>
      <c r="AU1110" s="50">
        <f t="shared" si="150"/>
        <v>16588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8025</v>
      </c>
      <c r="AR1111" s="189">
        <f t="shared" si="152"/>
        <v>8294</v>
      </c>
      <c r="AS1111" s="189">
        <f t="shared" si="148"/>
        <v>7150</v>
      </c>
      <c r="AT1111" s="189">
        <f t="shared" si="149"/>
        <v>14300</v>
      </c>
      <c r="AU1111" s="50">
        <f t="shared" si="150"/>
        <v>16588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8025</v>
      </c>
      <c r="AR1112" s="189">
        <f t="shared" si="152"/>
        <v>8294</v>
      </c>
      <c r="AS1112" s="189">
        <f t="shared" si="148"/>
        <v>7150</v>
      </c>
      <c r="AT1112" s="189">
        <f t="shared" si="149"/>
        <v>14300</v>
      </c>
      <c r="AU1112" s="50">
        <f t="shared" si="150"/>
        <v>16588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8025</v>
      </c>
      <c r="AR1113" s="189">
        <f t="shared" si="152"/>
        <v>8294</v>
      </c>
      <c r="AS1113" s="189">
        <f t="shared" si="148"/>
        <v>7150</v>
      </c>
      <c r="AT1113" s="189">
        <f t="shared" si="149"/>
        <v>14300</v>
      </c>
      <c r="AU1113" s="50">
        <f t="shared" si="150"/>
        <v>16588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5395.2000000000007</v>
      </c>
      <c r="AR1114" s="189">
        <f t="shared" si="152"/>
        <v>5280.37</v>
      </c>
      <c r="AS1114" s="189">
        <f t="shared" si="148"/>
        <v>6159.8499999999995</v>
      </c>
      <c r="AT1114" s="189">
        <f t="shared" si="149"/>
        <v>10609.6</v>
      </c>
      <c r="AU1114" s="50">
        <f t="shared" si="150"/>
        <v>8013.0400000000009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5971.2000000000016</v>
      </c>
      <c r="AR1115" s="189">
        <f t="shared" si="152"/>
        <v>5943.4699999999993</v>
      </c>
      <c r="AS1115" s="189">
        <f t="shared" si="148"/>
        <v>6683.35</v>
      </c>
      <c r="AT1115" s="189">
        <f t="shared" si="149"/>
        <v>12005.6</v>
      </c>
      <c r="AU1115" s="50">
        <f t="shared" si="150"/>
        <v>9688.24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6547.1999999999989</v>
      </c>
      <c r="AR1116" s="189">
        <f t="shared" si="152"/>
        <v>6606.57</v>
      </c>
      <c r="AS1116" s="189">
        <f t="shared" si="148"/>
        <v>7206.8499999999995</v>
      </c>
      <c r="AT1116" s="189">
        <f t="shared" si="149"/>
        <v>13401.6</v>
      </c>
      <c r="AU1116" s="50">
        <f t="shared" si="150"/>
        <v>11363.439999999999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7123.2000000000007</v>
      </c>
      <c r="AR1117" s="189">
        <f t="shared" si="152"/>
        <v>7269.6699999999992</v>
      </c>
      <c r="AS1117" s="189">
        <f t="shared" si="148"/>
        <v>7730.3499999999995</v>
      </c>
      <c r="AT1117" s="189">
        <f t="shared" si="149"/>
        <v>14797.6</v>
      </c>
      <c r="AU1117" s="50">
        <f t="shared" si="150"/>
        <v>13038.64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7699.2000000000007</v>
      </c>
      <c r="AR1118" s="189">
        <f t="shared" si="152"/>
        <v>7932.77</v>
      </c>
      <c r="AS1118" s="189">
        <f t="shared" si="148"/>
        <v>8253.8499999999985</v>
      </c>
      <c r="AT1118" s="189">
        <f t="shared" si="149"/>
        <v>16193.599999999999</v>
      </c>
      <c r="AU1118" s="50">
        <f t="shared" si="150"/>
        <v>14713.84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8275.2000000000025</v>
      </c>
      <c r="AR1119" s="189">
        <f t="shared" si="152"/>
        <v>8595.8700000000008</v>
      </c>
      <c r="AS1119" s="189">
        <f t="shared" si="148"/>
        <v>8725</v>
      </c>
      <c r="AT1119" s="189">
        <f t="shared" si="149"/>
        <v>17450</v>
      </c>
      <c r="AU1119" s="50">
        <f t="shared" si="150"/>
        <v>16389.04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8851.2000000000007</v>
      </c>
      <c r="AR1120" s="189">
        <f t="shared" si="152"/>
        <v>9258.9699999999993</v>
      </c>
      <c r="AS1120" s="189">
        <f t="shared" si="148"/>
        <v>8725</v>
      </c>
      <c r="AT1120" s="189">
        <f t="shared" si="149"/>
        <v>17450</v>
      </c>
      <c r="AU1120" s="50">
        <f t="shared" si="150"/>
        <v>18064.240000000002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9427.2000000000007</v>
      </c>
      <c r="AR1121" s="189">
        <f t="shared" si="152"/>
        <v>9922.07</v>
      </c>
      <c r="AS1121" s="189">
        <f t="shared" si="148"/>
        <v>8725</v>
      </c>
      <c r="AT1121" s="189">
        <f t="shared" si="149"/>
        <v>17450</v>
      </c>
      <c r="AU1121" s="50">
        <f t="shared" si="150"/>
        <v>19739.439999999999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9600.0000000000018</v>
      </c>
      <c r="AR1122" s="189">
        <f t="shared" si="152"/>
        <v>10121</v>
      </c>
      <c r="AS1122" s="189">
        <f t="shared" si="148"/>
        <v>8725</v>
      </c>
      <c r="AT1122" s="189">
        <f t="shared" si="149"/>
        <v>17450</v>
      </c>
      <c r="AU1122" s="50">
        <f t="shared" si="150"/>
        <v>20242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9600.0000000000018</v>
      </c>
      <c r="AR1123" s="189">
        <f t="shared" si="152"/>
        <v>10121</v>
      </c>
      <c r="AS1123" s="189">
        <f t="shared" si="148"/>
        <v>8725</v>
      </c>
      <c r="AT1123" s="189">
        <f t="shared" si="149"/>
        <v>17450</v>
      </c>
      <c r="AU1123" s="50">
        <f t="shared" si="150"/>
        <v>20242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9600.0000000000018</v>
      </c>
      <c r="AR1124" s="189">
        <f t="shared" si="152"/>
        <v>10121</v>
      </c>
      <c r="AS1124" s="189">
        <f t="shared" si="148"/>
        <v>8725</v>
      </c>
      <c r="AT1124" s="189">
        <f t="shared" si="149"/>
        <v>17450</v>
      </c>
      <c r="AU1124" s="50">
        <f t="shared" si="150"/>
        <v>20242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5527.61</v>
      </c>
      <c r="AR1125" s="189">
        <f t="shared" si="152"/>
        <v>5290.74</v>
      </c>
      <c r="AS1125" s="189">
        <f t="shared" si="148"/>
        <v>6649.3799999999992</v>
      </c>
      <c r="AT1125" s="189">
        <f t="shared" si="149"/>
        <v>11799.359999999999</v>
      </c>
      <c r="AU1125" s="50">
        <f t="shared" si="150"/>
        <v>8347.6799999999985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6311.9099999999989</v>
      </c>
      <c r="AR1126" s="189">
        <f t="shared" si="152"/>
        <v>6116.94</v>
      </c>
      <c r="AS1126" s="189">
        <f t="shared" si="148"/>
        <v>7353.1799999999994</v>
      </c>
      <c r="AT1126" s="189">
        <f t="shared" si="149"/>
        <v>13512.959999999997</v>
      </c>
      <c r="AU1126" s="50">
        <f t="shared" si="150"/>
        <v>10306.079999999998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7096.2099999999991</v>
      </c>
      <c r="AR1127" s="189">
        <f t="shared" si="152"/>
        <v>6943.1399999999976</v>
      </c>
      <c r="AS1127" s="189">
        <f t="shared" si="148"/>
        <v>8056.9799999999987</v>
      </c>
      <c r="AT1127" s="189">
        <f t="shared" si="149"/>
        <v>15226.559999999998</v>
      </c>
      <c r="AU1127" s="50">
        <f t="shared" si="150"/>
        <v>12264.479999999998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7880.5099999999984</v>
      </c>
      <c r="AR1128" s="189">
        <f t="shared" si="152"/>
        <v>7769.3399999999983</v>
      </c>
      <c r="AS1128" s="189">
        <f t="shared" si="148"/>
        <v>8760.779999999997</v>
      </c>
      <c r="AT1128" s="189">
        <f t="shared" si="149"/>
        <v>16940.159999999996</v>
      </c>
      <c r="AU1128" s="50">
        <f t="shared" si="150"/>
        <v>14222.879999999994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8664.81</v>
      </c>
      <c r="AR1129" s="189">
        <f t="shared" si="152"/>
        <v>8595.5399999999991</v>
      </c>
      <c r="AS1129" s="189">
        <f t="shared" si="148"/>
        <v>9464.5799999999981</v>
      </c>
      <c r="AT1129" s="189">
        <f t="shared" si="149"/>
        <v>18653.759999999998</v>
      </c>
      <c r="AU1129" s="50">
        <f t="shared" si="150"/>
        <v>16181.279999999999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9449.1099999999988</v>
      </c>
      <c r="AR1130" s="189">
        <f t="shared" si="152"/>
        <v>9421.739999999998</v>
      </c>
      <c r="AS1130" s="189">
        <f t="shared" si="148"/>
        <v>10097.999999999998</v>
      </c>
      <c r="AT1130" s="189">
        <f t="shared" si="149"/>
        <v>20195.999999999996</v>
      </c>
      <c r="AU1130" s="50">
        <f t="shared" si="150"/>
        <v>18139.679999999993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10233.409999999998</v>
      </c>
      <c r="AR1131" s="189">
        <f t="shared" si="152"/>
        <v>10247.939999999997</v>
      </c>
      <c r="AS1131" s="189">
        <f t="shared" si="148"/>
        <v>10097.999999999998</v>
      </c>
      <c r="AT1131" s="189">
        <f t="shared" si="149"/>
        <v>20195.999999999996</v>
      </c>
      <c r="AU1131" s="50">
        <f t="shared" si="150"/>
        <v>20098.079999999994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11017.709999999997</v>
      </c>
      <c r="AR1132" s="189">
        <f t="shared" si="152"/>
        <v>11074.139999999998</v>
      </c>
      <c r="AS1132" s="189">
        <f t="shared" si="148"/>
        <v>10097.999999999998</v>
      </c>
      <c r="AT1132" s="189">
        <f t="shared" si="149"/>
        <v>20195.999999999996</v>
      </c>
      <c r="AU1132" s="50">
        <f t="shared" si="150"/>
        <v>22056.479999999996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11252.999999999998</v>
      </c>
      <c r="AR1133" s="189">
        <f t="shared" si="152"/>
        <v>11321.999999999998</v>
      </c>
      <c r="AS1133" s="189">
        <f t="shared" si="148"/>
        <v>10097.999999999998</v>
      </c>
      <c r="AT1133" s="189">
        <f t="shared" si="149"/>
        <v>20195.999999999996</v>
      </c>
      <c r="AU1133" s="50">
        <f t="shared" si="150"/>
        <v>22643.999999999996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11252.999999999998</v>
      </c>
      <c r="AR1134" s="189">
        <f t="shared" si="152"/>
        <v>11321.999999999998</v>
      </c>
      <c r="AS1134" s="189">
        <f t="shared" si="148"/>
        <v>10097.999999999998</v>
      </c>
      <c r="AT1134" s="189">
        <f t="shared" si="149"/>
        <v>20195.999999999996</v>
      </c>
      <c r="AU1134" s="50">
        <f t="shared" si="150"/>
        <v>22643.999999999996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11252.999999999998</v>
      </c>
      <c r="AR1135" s="189">
        <f t="shared" si="152"/>
        <v>11321.999999999998</v>
      </c>
      <c r="AS1135" s="189">
        <f t="shared" si="148"/>
        <v>10097.999999999998</v>
      </c>
      <c r="AT1135" s="189">
        <f t="shared" si="149"/>
        <v>20195.999999999996</v>
      </c>
      <c r="AU1135" s="50">
        <f t="shared" si="150"/>
        <v>22643.999999999996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7757.7499999999991</v>
      </c>
      <c r="AR1136" s="189">
        <f t="shared" si="152"/>
        <v>8001.8999999999978</v>
      </c>
      <c r="AS1136" s="189">
        <f t="shared" si="148"/>
        <v>7649.9999999999991</v>
      </c>
      <c r="AT1136" s="189">
        <f t="shared" si="149"/>
        <v>15299.999999999998</v>
      </c>
      <c r="AU1136" s="50">
        <f t="shared" si="150"/>
        <v>15544.799999999997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8269.2499999999982</v>
      </c>
      <c r="AR1137" s="189">
        <f t="shared" si="152"/>
        <v>8583.2999999999975</v>
      </c>
      <c r="AS1137" s="189">
        <f t="shared" si="148"/>
        <v>7649.9999999999991</v>
      </c>
      <c r="AT1137" s="189">
        <f t="shared" si="149"/>
        <v>15299.999999999998</v>
      </c>
      <c r="AU1137" s="50">
        <f t="shared" si="150"/>
        <v>17013.599999999995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8524.9999999999982</v>
      </c>
      <c r="AR1138" s="189">
        <f t="shared" si="152"/>
        <v>8873.9999999999982</v>
      </c>
      <c r="AS1138" s="189">
        <f t="shared" si="148"/>
        <v>7649.9999999999991</v>
      </c>
      <c r="AT1138" s="189">
        <f t="shared" si="149"/>
        <v>15299.999999999998</v>
      </c>
      <c r="AU1138" s="50">
        <f t="shared" si="150"/>
        <v>17747.999999999996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8524.9999999999982</v>
      </c>
      <c r="AR1139" s="189">
        <f t="shared" si="152"/>
        <v>8873.9999999999982</v>
      </c>
      <c r="AS1139" s="189">
        <f t="shared" si="148"/>
        <v>7649.9999999999991</v>
      </c>
      <c r="AT1139" s="189">
        <f t="shared" si="149"/>
        <v>15299.999999999998</v>
      </c>
      <c r="AU1139" s="50">
        <f t="shared" si="150"/>
        <v>17747.999999999996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8524.9999999999982</v>
      </c>
      <c r="AR1140" s="189">
        <f t="shared" si="152"/>
        <v>8873.9999999999982</v>
      </c>
      <c r="AS1140" s="189">
        <f t="shared" si="148"/>
        <v>7649.9999999999991</v>
      </c>
      <c r="AT1140" s="189">
        <f t="shared" si="149"/>
        <v>15299.999999999998</v>
      </c>
      <c r="AU1140" s="50">
        <f t="shared" si="150"/>
        <v>17747.999999999996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8524.9999999999982</v>
      </c>
      <c r="AR1141" s="189">
        <f t="shared" si="152"/>
        <v>8873.9999999999982</v>
      </c>
      <c r="AS1141" s="189">
        <f t="shared" si="148"/>
        <v>7649.9999999999991</v>
      </c>
      <c r="AT1141" s="189">
        <f t="shared" si="149"/>
        <v>15299.999999999998</v>
      </c>
      <c r="AU1141" s="50">
        <f t="shared" si="150"/>
        <v>17747.999999999996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8524.9999999999982</v>
      </c>
      <c r="AR1142" s="189">
        <f t="shared" si="152"/>
        <v>8873.9999999999982</v>
      </c>
      <c r="AS1142" s="189">
        <f t="shared" si="148"/>
        <v>7649.9999999999991</v>
      </c>
      <c r="AT1142" s="189">
        <f t="shared" si="149"/>
        <v>15299.999999999998</v>
      </c>
      <c r="AU1142" s="50">
        <f t="shared" si="150"/>
        <v>17747.999999999996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8524.9999999999982</v>
      </c>
      <c r="AR1143" s="189">
        <f t="shared" si="152"/>
        <v>8873.9999999999982</v>
      </c>
      <c r="AS1143" s="189">
        <f t="shared" si="148"/>
        <v>7649.9999999999991</v>
      </c>
      <c r="AT1143" s="189">
        <f t="shared" si="149"/>
        <v>15299.999999999998</v>
      </c>
      <c r="AU1143" s="50">
        <f t="shared" si="150"/>
        <v>17747.999999999996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8524.9999999999982</v>
      </c>
      <c r="AR1144" s="189">
        <f t="shared" si="152"/>
        <v>8873.9999999999982</v>
      </c>
      <c r="AS1144" s="189">
        <f t="shared" si="148"/>
        <v>7649.9999999999991</v>
      </c>
      <c r="AT1144" s="189">
        <f t="shared" si="149"/>
        <v>15299.999999999998</v>
      </c>
      <c r="AU1144" s="50">
        <f t="shared" si="150"/>
        <v>17747.999999999996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8524.9999999999982</v>
      </c>
      <c r="AR1145" s="189">
        <f t="shared" si="152"/>
        <v>8873.9999999999982</v>
      </c>
      <c r="AS1145" s="189">
        <f t="shared" si="148"/>
        <v>7649.9999999999991</v>
      </c>
      <c r="AT1145" s="189">
        <f t="shared" si="149"/>
        <v>15299.999999999998</v>
      </c>
      <c r="AU1145" s="50">
        <f t="shared" si="150"/>
        <v>17747.999999999996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8524.9999999999982</v>
      </c>
      <c r="AR1146" s="189">
        <f t="shared" si="152"/>
        <v>8873.9999999999982</v>
      </c>
      <c r="AS1146" s="189">
        <f t="shared" si="148"/>
        <v>7649.9999999999991</v>
      </c>
      <c r="AT1146" s="189">
        <f t="shared" si="149"/>
        <v>15299.999999999998</v>
      </c>
      <c r="AU1146" s="50">
        <f t="shared" si="150"/>
        <v>17747.999999999996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5676.2</v>
      </c>
      <c r="AR1147" s="189">
        <f t="shared" si="152"/>
        <v>5582.97</v>
      </c>
      <c r="AS1147" s="189">
        <f t="shared" si="148"/>
        <v>6512.85</v>
      </c>
      <c r="AT1147" s="189">
        <f t="shared" si="149"/>
        <v>11217.600000000002</v>
      </c>
      <c r="AU1147" s="50">
        <f t="shared" si="150"/>
        <v>8472.2400000000016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6282.2000000000007</v>
      </c>
      <c r="AR1148" s="189">
        <f t="shared" si="152"/>
        <v>6284.0700000000006</v>
      </c>
      <c r="AS1148" s="189">
        <f t="shared" si="148"/>
        <v>7066.3500000000013</v>
      </c>
      <c r="AT1148" s="189">
        <f t="shared" si="149"/>
        <v>12693.600000000002</v>
      </c>
      <c r="AU1148" s="50">
        <f t="shared" si="150"/>
        <v>10243.44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6888.1999999999989</v>
      </c>
      <c r="AR1149" s="189">
        <f t="shared" si="152"/>
        <v>6985.17</v>
      </c>
      <c r="AS1149" s="189">
        <f t="shared" si="148"/>
        <v>7619.85</v>
      </c>
      <c r="AT1149" s="189">
        <f t="shared" si="149"/>
        <v>14169.6</v>
      </c>
      <c r="AU1149" s="50">
        <f t="shared" si="150"/>
        <v>12014.640000000001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7494.2</v>
      </c>
      <c r="AR1150" s="189">
        <f t="shared" si="152"/>
        <v>7686.27</v>
      </c>
      <c r="AS1150" s="189">
        <f t="shared" si="148"/>
        <v>8173.35</v>
      </c>
      <c r="AT1150" s="189">
        <f t="shared" si="149"/>
        <v>15645.600000000002</v>
      </c>
      <c r="AU1150" s="50">
        <f t="shared" si="150"/>
        <v>13785.84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8100.2</v>
      </c>
      <c r="AR1151" s="189">
        <f t="shared" si="152"/>
        <v>8387.3700000000008</v>
      </c>
      <c r="AS1151" s="189">
        <f t="shared" si="148"/>
        <v>8726.85</v>
      </c>
      <c r="AT1151" s="189">
        <f t="shared" si="149"/>
        <v>17121.600000000002</v>
      </c>
      <c r="AU1151" s="50">
        <f t="shared" si="150"/>
        <v>15557.040000000003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8706.2000000000007</v>
      </c>
      <c r="AR1152" s="189">
        <f t="shared" si="152"/>
        <v>9088.4700000000012</v>
      </c>
      <c r="AS1152" s="189">
        <f t="shared" si="148"/>
        <v>9225.0000000000018</v>
      </c>
      <c r="AT1152" s="189">
        <f t="shared" si="149"/>
        <v>18450.000000000004</v>
      </c>
      <c r="AU1152" s="50">
        <f t="shared" si="150"/>
        <v>17328.240000000002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9312.1999999999989</v>
      </c>
      <c r="AR1153" s="189">
        <f t="shared" si="152"/>
        <v>9789.5700000000015</v>
      </c>
      <c r="AS1153" s="189">
        <f t="shared" si="148"/>
        <v>9225.0000000000018</v>
      </c>
      <c r="AT1153" s="189">
        <f t="shared" si="149"/>
        <v>18450.000000000004</v>
      </c>
      <c r="AU1153" s="50">
        <f t="shared" si="150"/>
        <v>19099.440000000002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9918.2000000000007</v>
      </c>
      <c r="AR1154" s="189">
        <f t="shared" si="152"/>
        <v>10490.670000000002</v>
      </c>
      <c r="AS1154" s="189">
        <f t="shared" si="148"/>
        <v>9225.0000000000018</v>
      </c>
      <c r="AT1154" s="189">
        <f t="shared" si="149"/>
        <v>18450.000000000004</v>
      </c>
      <c r="AU1154" s="50">
        <f t="shared" si="150"/>
        <v>20870.640000000003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10100</v>
      </c>
      <c r="AR1155" s="189">
        <f t="shared" si="152"/>
        <v>10701.000000000002</v>
      </c>
      <c r="AS1155" s="189">
        <f t="shared" ref="AS1155:AS1190" si="153">$AG$3*(1+$AJ1155*$Y$2+$AN1155)*(MAXA(1-$AI$3-$AL1155*$AA$3-$AP1155-0.36,0)+MINA($AI$3+$AL1155*$AA$3+$AP1155+0.36,1)*(1+$AH$3+$AO1155+$AK1155*$Z$4))</f>
        <v>9225.0000000000018</v>
      </c>
      <c r="AT1155" s="189">
        <f t="shared" ref="AT1155:AT1190" si="154">$AG$3*(1+$AJ1155*$Y$2+$AN1155)*(MAXA(1-$AI$3-$AL1155*$AA$3-$AP1155-0.36,0)+2*MINA($AI$3+$AL1155*$AA$3+$AP1155+0.36,1)*(1+$AH$3+$AO1155+$AK1155*$Z$4))</f>
        <v>18450.000000000004</v>
      </c>
      <c r="AU1155" s="50">
        <f t="shared" ref="AU1155:AU1190" si="155">$AG$3*(1+$AJ1155*$Y$2+$AN1155)*(MAXA(1-$AI$3-$AL1155*$AA$3-$AP1155-0.12,0)+2*MINA($AI$3+$AL1155*$AA$3+$AP1155+0.12,1)*(1+$AH$3+$AO1155+$AK1155*$Z$4+0.4))</f>
        <v>21402.000000000004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10100</v>
      </c>
      <c r="AR1156" s="189">
        <f t="shared" ref="AR1156:AR1190" si="157">$AG$3*(1+$AJ1156*$Y$2+$AN1156)*(MAXA(1-$AI$3-$AL1156*$AA$3-$AP1156-0.12,0)+MINA($AI$3+$AL1156*$AA$3+$AP1156+0.12,1)*(1+$AH$3+$AO1156+$AK1156*$Z$4+0.4))</f>
        <v>10701.000000000002</v>
      </c>
      <c r="AS1156" s="189">
        <f t="shared" si="153"/>
        <v>9225.0000000000018</v>
      </c>
      <c r="AT1156" s="189">
        <f t="shared" si="154"/>
        <v>18450.000000000004</v>
      </c>
      <c r="AU1156" s="50">
        <f t="shared" si="155"/>
        <v>21402.000000000004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10100</v>
      </c>
      <c r="AR1157" s="189">
        <f t="shared" si="157"/>
        <v>10701.000000000002</v>
      </c>
      <c r="AS1157" s="189">
        <f t="shared" si="153"/>
        <v>9225.0000000000018</v>
      </c>
      <c r="AT1157" s="189">
        <f t="shared" si="154"/>
        <v>18450.000000000004</v>
      </c>
      <c r="AU1157" s="50">
        <f t="shared" si="155"/>
        <v>21402.000000000004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5851.81</v>
      </c>
      <c r="AR1158" s="189">
        <f t="shared" si="157"/>
        <v>5636.54</v>
      </c>
      <c r="AS1158" s="189">
        <f t="shared" si="153"/>
        <v>7083.9800000000005</v>
      </c>
      <c r="AT1158" s="189">
        <f t="shared" si="154"/>
        <v>12570.56</v>
      </c>
      <c r="AU1158" s="50">
        <f t="shared" si="155"/>
        <v>8893.2799999999988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6682.11</v>
      </c>
      <c r="AR1159" s="189">
        <f t="shared" si="157"/>
        <v>6516.7400000000007</v>
      </c>
      <c r="AS1159" s="189">
        <f t="shared" si="153"/>
        <v>7833.78</v>
      </c>
      <c r="AT1159" s="189">
        <f t="shared" si="154"/>
        <v>14396.159999999998</v>
      </c>
      <c r="AU1159" s="50">
        <f t="shared" si="155"/>
        <v>10979.68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7512.41</v>
      </c>
      <c r="AR1160" s="189">
        <f t="shared" si="157"/>
        <v>7396.9399999999987</v>
      </c>
      <c r="AS1160" s="189">
        <f t="shared" si="153"/>
        <v>8583.58</v>
      </c>
      <c r="AT1160" s="189">
        <f t="shared" si="154"/>
        <v>16221.76</v>
      </c>
      <c r="AU1160" s="50">
        <f t="shared" si="155"/>
        <v>13066.08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8342.7099999999991</v>
      </c>
      <c r="AR1161" s="189">
        <f t="shared" si="157"/>
        <v>8277.14</v>
      </c>
      <c r="AS1161" s="189">
        <f t="shared" si="153"/>
        <v>9333.3799999999992</v>
      </c>
      <c r="AT1161" s="189">
        <f t="shared" si="154"/>
        <v>18047.359999999997</v>
      </c>
      <c r="AU1161" s="50">
        <f t="shared" si="155"/>
        <v>15152.479999999996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9173.01</v>
      </c>
      <c r="AR1162" s="189">
        <f t="shared" si="157"/>
        <v>9157.34</v>
      </c>
      <c r="AS1162" s="189">
        <f t="shared" si="153"/>
        <v>10083.18</v>
      </c>
      <c r="AT1162" s="189">
        <f t="shared" si="154"/>
        <v>19872.96</v>
      </c>
      <c r="AU1162" s="50">
        <f t="shared" si="155"/>
        <v>17238.88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10003.31</v>
      </c>
      <c r="AR1163" s="189">
        <f t="shared" si="157"/>
        <v>10037.539999999999</v>
      </c>
      <c r="AS1163" s="189">
        <f t="shared" si="153"/>
        <v>10758</v>
      </c>
      <c r="AT1163" s="189">
        <f t="shared" si="154"/>
        <v>21516</v>
      </c>
      <c r="AU1163" s="50">
        <f t="shared" si="155"/>
        <v>19325.279999999995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10833.609999999999</v>
      </c>
      <c r="AR1164" s="189">
        <f t="shared" si="157"/>
        <v>10917.74</v>
      </c>
      <c r="AS1164" s="189">
        <f t="shared" si="153"/>
        <v>10758</v>
      </c>
      <c r="AT1164" s="189">
        <f t="shared" si="154"/>
        <v>21516</v>
      </c>
      <c r="AU1164" s="50">
        <f t="shared" si="155"/>
        <v>21411.68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11663.91</v>
      </c>
      <c r="AR1165" s="189">
        <f t="shared" si="157"/>
        <v>11797.939999999999</v>
      </c>
      <c r="AS1165" s="189">
        <f t="shared" si="153"/>
        <v>10758</v>
      </c>
      <c r="AT1165" s="189">
        <f t="shared" si="154"/>
        <v>21516</v>
      </c>
      <c r="AU1165" s="50">
        <f t="shared" si="155"/>
        <v>23498.079999999998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11913</v>
      </c>
      <c r="AR1166" s="189">
        <f t="shared" si="157"/>
        <v>12062</v>
      </c>
      <c r="AS1166" s="189">
        <f t="shared" si="153"/>
        <v>10758</v>
      </c>
      <c r="AT1166" s="189">
        <f t="shared" si="154"/>
        <v>21516</v>
      </c>
      <c r="AU1166" s="50">
        <f t="shared" si="155"/>
        <v>24124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11913</v>
      </c>
      <c r="AR1167" s="189">
        <f t="shared" si="157"/>
        <v>12062</v>
      </c>
      <c r="AS1167" s="189">
        <f t="shared" si="153"/>
        <v>10758</v>
      </c>
      <c r="AT1167" s="189">
        <f t="shared" si="154"/>
        <v>21516</v>
      </c>
      <c r="AU1167" s="50">
        <f t="shared" si="155"/>
        <v>24124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11913</v>
      </c>
      <c r="AR1168" s="189">
        <f t="shared" si="157"/>
        <v>12062</v>
      </c>
      <c r="AS1168" s="189">
        <f t="shared" si="153"/>
        <v>10758</v>
      </c>
      <c r="AT1168" s="189">
        <f t="shared" si="154"/>
        <v>21516</v>
      </c>
      <c r="AU1168" s="50">
        <f t="shared" si="155"/>
        <v>24124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8212.75</v>
      </c>
      <c r="AR1169" s="189">
        <f t="shared" si="157"/>
        <v>8524.9</v>
      </c>
      <c r="AS1169" s="189">
        <f t="shared" si="153"/>
        <v>8150</v>
      </c>
      <c r="AT1169" s="189">
        <f t="shared" si="154"/>
        <v>16300</v>
      </c>
      <c r="AU1169" s="50">
        <f t="shared" si="155"/>
        <v>16560.8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8754.25</v>
      </c>
      <c r="AR1170" s="189">
        <f t="shared" si="157"/>
        <v>9144.2999999999993</v>
      </c>
      <c r="AS1170" s="189">
        <f t="shared" si="153"/>
        <v>8150</v>
      </c>
      <c r="AT1170" s="189">
        <f t="shared" si="154"/>
        <v>16300</v>
      </c>
      <c r="AU1170" s="50">
        <f t="shared" si="155"/>
        <v>18125.599999999999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9025</v>
      </c>
      <c r="AR1171" s="189">
        <f t="shared" si="157"/>
        <v>9454</v>
      </c>
      <c r="AS1171" s="189">
        <f t="shared" si="153"/>
        <v>8150</v>
      </c>
      <c r="AT1171" s="189">
        <f t="shared" si="154"/>
        <v>16300</v>
      </c>
      <c r="AU1171" s="50">
        <f t="shared" si="155"/>
        <v>18908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9025</v>
      </c>
      <c r="AR1172" s="189">
        <f t="shared" si="157"/>
        <v>9454</v>
      </c>
      <c r="AS1172" s="189">
        <f t="shared" si="153"/>
        <v>8150</v>
      </c>
      <c r="AT1172" s="189">
        <f t="shared" si="154"/>
        <v>16300</v>
      </c>
      <c r="AU1172" s="50">
        <f t="shared" si="155"/>
        <v>18908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9025</v>
      </c>
      <c r="AR1173" s="189">
        <f t="shared" si="157"/>
        <v>9454</v>
      </c>
      <c r="AS1173" s="189">
        <f t="shared" si="153"/>
        <v>8150</v>
      </c>
      <c r="AT1173" s="189">
        <f t="shared" si="154"/>
        <v>16300</v>
      </c>
      <c r="AU1173" s="50">
        <f t="shared" si="155"/>
        <v>18908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9025</v>
      </c>
      <c r="AR1174" s="189">
        <f t="shared" si="157"/>
        <v>9454</v>
      </c>
      <c r="AS1174" s="189">
        <f t="shared" si="153"/>
        <v>8150</v>
      </c>
      <c r="AT1174" s="189">
        <f t="shared" si="154"/>
        <v>16300</v>
      </c>
      <c r="AU1174" s="50">
        <f t="shared" si="155"/>
        <v>18908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9025</v>
      </c>
      <c r="AR1175" s="189">
        <f t="shared" si="157"/>
        <v>9454</v>
      </c>
      <c r="AS1175" s="189">
        <f t="shared" si="153"/>
        <v>8150</v>
      </c>
      <c r="AT1175" s="189">
        <f t="shared" si="154"/>
        <v>16300</v>
      </c>
      <c r="AU1175" s="50">
        <f t="shared" si="155"/>
        <v>18908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9025</v>
      </c>
      <c r="AR1176" s="189">
        <f t="shared" si="157"/>
        <v>9454</v>
      </c>
      <c r="AS1176" s="189">
        <f t="shared" si="153"/>
        <v>8150</v>
      </c>
      <c r="AT1176" s="189">
        <f t="shared" si="154"/>
        <v>16300</v>
      </c>
      <c r="AU1176" s="50">
        <f t="shared" si="155"/>
        <v>18908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9025</v>
      </c>
      <c r="AR1177" s="189">
        <f t="shared" si="157"/>
        <v>9454</v>
      </c>
      <c r="AS1177" s="189">
        <f t="shared" si="153"/>
        <v>8150</v>
      </c>
      <c r="AT1177" s="189">
        <f t="shared" si="154"/>
        <v>16300</v>
      </c>
      <c r="AU1177" s="50">
        <f t="shared" si="155"/>
        <v>18908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9025</v>
      </c>
      <c r="AR1178" s="189">
        <f t="shared" si="157"/>
        <v>9454</v>
      </c>
      <c r="AS1178" s="189">
        <f t="shared" si="153"/>
        <v>8150</v>
      </c>
      <c r="AT1178" s="189">
        <f t="shared" si="154"/>
        <v>16300</v>
      </c>
      <c r="AU1178" s="50">
        <f t="shared" si="155"/>
        <v>18908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9025</v>
      </c>
      <c r="AR1179" s="189">
        <f t="shared" si="157"/>
        <v>9454</v>
      </c>
      <c r="AS1179" s="189">
        <f t="shared" si="153"/>
        <v>8150</v>
      </c>
      <c r="AT1179" s="189">
        <f t="shared" si="154"/>
        <v>16300</v>
      </c>
      <c r="AU1179" s="50">
        <f t="shared" si="155"/>
        <v>18908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5957.2</v>
      </c>
      <c r="AR1180" s="189">
        <f t="shared" si="157"/>
        <v>5885.57</v>
      </c>
      <c r="AS1180" s="189">
        <f t="shared" si="153"/>
        <v>6865.8499999999995</v>
      </c>
      <c r="AT1180" s="189">
        <f t="shared" si="154"/>
        <v>11825.6</v>
      </c>
      <c r="AU1180" s="50">
        <f t="shared" si="155"/>
        <v>8931.44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6593.2000000000007</v>
      </c>
      <c r="AR1181" s="189">
        <f t="shared" si="157"/>
        <v>6624.6699999999992</v>
      </c>
      <c r="AS1181" s="189">
        <f t="shared" si="153"/>
        <v>7449.35</v>
      </c>
      <c r="AT1181" s="189">
        <f t="shared" si="154"/>
        <v>13381.6</v>
      </c>
      <c r="AU1181" s="50">
        <f t="shared" si="155"/>
        <v>10798.64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7229.199999999998</v>
      </c>
      <c r="AR1182" s="189">
        <f t="shared" si="157"/>
        <v>7363.7699999999995</v>
      </c>
      <c r="AS1182" s="189">
        <f t="shared" si="153"/>
        <v>8032.8499999999995</v>
      </c>
      <c r="AT1182" s="189">
        <f t="shared" si="154"/>
        <v>14937.599999999999</v>
      </c>
      <c r="AU1182" s="50">
        <f t="shared" si="155"/>
        <v>12665.839999999998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7865.2</v>
      </c>
      <c r="AR1183" s="189">
        <f t="shared" si="157"/>
        <v>8102.869999999999</v>
      </c>
      <c r="AS1183" s="189">
        <f t="shared" si="153"/>
        <v>8616.3499999999985</v>
      </c>
      <c r="AT1183" s="189">
        <f t="shared" si="154"/>
        <v>16493.600000000002</v>
      </c>
      <c r="AU1183" s="50">
        <f t="shared" si="155"/>
        <v>14533.039999999999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8501.1999999999989</v>
      </c>
      <c r="AR1184" s="189">
        <f t="shared" si="157"/>
        <v>8841.9700000000012</v>
      </c>
      <c r="AS1184" s="189">
        <f t="shared" si="153"/>
        <v>9199.8499999999985</v>
      </c>
      <c r="AT1184" s="189">
        <f t="shared" si="154"/>
        <v>18049.599999999999</v>
      </c>
      <c r="AU1184" s="50">
        <f t="shared" si="155"/>
        <v>16400.240000000002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9137.2000000000007</v>
      </c>
      <c r="AR1185" s="189">
        <f t="shared" si="157"/>
        <v>9581.07</v>
      </c>
      <c r="AS1185" s="189">
        <f t="shared" si="153"/>
        <v>9725</v>
      </c>
      <c r="AT1185" s="189">
        <f t="shared" si="154"/>
        <v>19450</v>
      </c>
      <c r="AU1185" s="50">
        <f t="shared" si="155"/>
        <v>18267.439999999999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9773.1999999999989</v>
      </c>
      <c r="AR1186" s="189">
        <f t="shared" si="157"/>
        <v>10320.17</v>
      </c>
      <c r="AS1186" s="189">
        <f t="shared" si="153"/>
        <v>9725</v>
      </c>
      <c r="AT1186" s="189">
        <f t="shared" si="154"/>
        <v>19450</v>
      </c>
      <c r="AU1186" s="50">
        <f t="shared" si="155"/>
        <v>20134.64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10409.200000000001</v>
      </c>
      <c r="AR1187" s="189">
        <f t="shared" si="157"/>
        <v>11059.27</v>
      </c>
      <c r="AS1187" s="189">
        <f t="shared" si="153"/>
        <v>9725</v>
      </c>
      <c r="AT1187" s="189">
        <f t="shared" si="154"/>
        <v>19450</v>
      </c>
      <c r="AU1187" s="50">
        <f t="shared" si="155"/>
        <v>22001.84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10600</v>
      </c>
      <c r="AR1188" s="189">
        <f t="shared" si="157"/>
        <v>11281</v>
      </c>
      <c r="AS1188" s="189">
        <f t="shared" si="153"/>
        <v>9725</v>
      </c>
      <c r="AT1188" s="189">
        <f t="shared" si="154"/>
        <v>19450</v>
      </c>
      <c r="AU1188" s="50">
        <f t="shared" si="155"/>
        <v>22562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10600</v>
      </c>
      <c r="AR1189" s="189">
        <f t="shared" si="157"/>
        <v>11281</v>
      </c>
      <c r="AS1189" s="189">
        <f t="shared" si="153"/>
        <v>9725</v>
      </c>
      <c r="AT1189" s="189">
        <f t="shared" si="154"/>
        <v>19450</v>
      </c>
      <c r="AU1189" s="50">
        <f t="shared" si="155"/>
        <v>22562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10600</v>
      </c>
      <c r="AR1190" s="189">
        <f t="shared" si="157"/>
        <v>11281</v>
      </c>
      <c r="AS1190" s="189">
        <f t="shared" si="153"/>
        <v>9725</v>
      </c>
      <c r="AT1190" s="189">
        <f t="shared" si="154"/>
        <v>19450</v>
      </c>
      <c r="AU1190" s="50">
        <f t="shared" si="155"/>
        <v>22562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A8" sqref="A8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53</v>
      </c>
    </row>
    <row r="7" spans="1:8">
      <c r="A7" t="s">
        <v>892</v>
      </c>
      <c r="C7" t="s">
        <v>822</v>
      </c>
      <c r="D7" t="s">
        <v>224</v>
      </c>
      <c r="E7" t="s">
        <v>150</v>
      </c>
      <c r="F7" t="s">
        <v>149</v>
      </c>
      <c r="G7" t="s">
        <v>144</v>
      </c>
      <c r="H7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69" activePane="bottomLeft" state="frozen"/>
      <selection pane="bottomLeft" activeCell="C81" sqref="C8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</v>
      </c>
      <c r="B2" s="175" t="s">
        <v>764</v>
      </c>
      <c r="C2" s="175" t="s">
        <v>763</v>
      </c>
      <c r="D2" s="175">
        <v>2</v>
      </c>
      <c r="E2" s="175" t="s">
        <v>18</v>
      </c>
      <c r="F2" s="175">
        <v>1</v>
      </c>
      <c r="G2" s="175">
        <v>2</v>
      </c>
      <c r="H2" s="175">
        <v>4</v>
      </c>
      <c r="I2" s="175">
        <v>1</v>
      </c>
      <c r="J2" s="175">
        <v>1</v>
      </c>
      <c r="K2" s="175">
        <v>1</v>
      </c>
      <c r="L2" s="175">
        <v>1</v>
      </c>
      <c r="M2" s="175">
        <v>1</v>
      </c>
      <c r="N2" s="175" t="s">
        <v>445</v>
      </c>
      <c r="O2" s="175"/>
      <c r="P2" s="175"/>
      <c r="Q2" s="184">
        <f>SUM(Tabela2[[#This Row],[G]]+Tabela2[[#This Row],[D]]+Tabela2[[#This Row],[N]]+Tabela2[[#This Row],[HM]])</f>
        <v>8</v>
      </c>
      <c r="R2" s="184">
        <f>SUM(Tabela2[[#This Row],[AO]]+Tabela2[[#This Row],[AD]]+Tabela2[[#This Row],[GWO]]+Tabela2[[#This Row],[GWD]])</f>
        <v>4</v>
      </c>
      <c r="S2" s="184">
        <f>Tabela2[[#This Row],[GWO]]+Tabela2[[#This Row],[GWD]]</f>
        <v>2</v>
      </c>
      <c r="T2" s="180">
        <f>SUM(Tabela2[[#This Row],[G]:[GWD]])</f>
        <v>12</v>
      </c>
    </row>
    <row r="3" spans="1:20">
      <c r="A3" s="183">
        <v>2</v>
      </c>
      <c r="B3" s="175" t="s">
        <v>762</v>
      </c>
      <c r="C3" s="175" t="s">
        <v>712</v>
      </c>
      <c r="D3" s="175">
        <v>2</v>
      </c>
      <c r="E3" s="175" t="s">
        <v>18</v>
      </c>
      <c r="F3" s="175">
        <v>1</v>
      </c>
      <c r="G3" s="175">
        <v>1</v>
      </c>
      <c r="H3" s="175">
        <v>1</v>
      </c>
      <c r="I3" s="175">
        <v>1</v>
      </c>
      <c r="J3" s="175">
        <v>1</v>
      </c>
      <c r="K3" s="175">
        <v>1</v>
      </c>
      <c r="L3" s="175">
        <v>1</v>
      </c>
      <c r="M3" s="175">
        <v>1</v>
      </c>
      <c r="N3" s="170"/>
      <c r="O3" s="170"/>
      <c r="P3" s="170"/>
      <c r="Q3" s="180">
        <f>SUM(Tabela2[[#This Row],[G]]+Tabela2[[#This Row],[D]]+Tabela2[[#This Row],[N]]+Tabela2[[#This Row],[HM]])</f>
        <v>4</v>
      </c>
      <c r="R3" s="180">
        <f>SUM(Tabela2[[#This Row],[AO]]+Tabela2[[#This Row],[AD]]+Tabela2[[#This Row],[GWO]]+Tabela2[[#This Row],[GWD]])</f>
        <v>4</v>
      </c>
      <c r="S3" s="180">
        <f>Tabela2[[#This Row],[GWO]]+Tabela2[[#This Row],[GWD]]</f>
        <v>2</v>
      </c>
      <c r="T3" s="180">
        <f>SUM(Tabela2[[#This Row],[G]:[GWD]])</f>
        <v>8</v>
      </c>
    </row>
    <row r="4" spans="1:20">
      <c r="A4" s="183">
        <v>3</v>
      </c>
      <c r="B4" s="175" t="s">
        <v>761</v>
      </c>
      <c r="C4" s="175" t="s">
        <v>287</v>
      </c>
      <c r="D4" s="175">
        <v>2</v>
      </c>
      <c r="E4" s="175" t="s">
        <v>18</v>
      </c>
      <c r="F4" s="175">
        <v>1</v>
      </c>
      <c r="G4" s="175">
        <v>1</v>
      </c>
      <c r="H4" s="175">
        <v>1</v>
      </c>
      <c r="I4" s="175">
        <v>1</v>
      </c>
      <c r="J4" s="175">
        <v>1</v>
      </c>
      <c r="K4" s="175">
        <v>1</v>
      </c>
      <c r="L4" s="175">
        <v>1</v>
      </c>
      <c r="M4" s="175">
        <v>1</v>
      </c>
      <c r="N4" s="175" t="s">
        <v>445</v>
      </c>
      <c r="O4" s="175"/>
      <c r="P4" s="175"/>
      <c r="Q4" s="184">
        <f>SUM(Tabela2[[#This Row],[G]]+Tabela2[[#This Row],[D]]+Tabela2[[#This Row],[N]]+Tabela2[[#This Row],[HM]])</f>
        <v>4</v>
      </c>
      <c r="R4" s="184">
        <f>SUM(Tabela2[[#This Row],[AO]]+Tabela2[[#This Row],[AD]]+Tabela2[[#This Row],[GWO]]+Tabela2[[#This Row],[GWD]])</f>
        <v>4</v>
      </c>
      <c r="S4" s="184">
        <f>Tabela2[[#This Row],[GWO]]+Tabela2[[#This Row],[GWD]]</f>
        <v>2</v>
      </c>
      <c r="T4" s="181">
        <f>SUM(Tabela2[[#This Row],[G]:[GWD]])</f>
        <v>8</v>
      </c>
    </row>
    <row r="5" spans="1:20">
      <c r="A5" s="183">
        <v>4</v>
      </c>
      <c r="B5" s="175" t="s">
        <v>209</v>
      </c>
      <c r="C5" s="175" t="s">
        <v>760</v>
      </c>
      <c r="D5" s="175">
        <v>2</v>
      </c>
      <c r="E5" s="175" t="s">
        <v>18</v>
      </c>
      <c r="F5" s="175">
        <v>1</v>
      </c>
      <c r="G5" s="175">
        <v>4</v>
      </c>
      <c r="H5" s="175">
        <v>1</v>
      </c>
      <c r="I5" s="175">
        <v>5</v>
      </c>
      <c r="J5" s="175">
        <v>1</v>
      </c>
      <c r="K5" s="175">
        <v>1</v>
      </c>
      <c r="L5" s="175">
        <v>4</v>
      </c>
      <c r="M5" s="175">
        <v>1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7</v>
      </c>
      <c r="R5" s="180">
        <f>SUM(Tabela2[[#This Row],[AO]]+Tabela2[[#This Row],[AD]]+Tabela2[[#This Row],[GWO]]+Tabela2[[#This Row],[GWD]])</f>
        <v>11</v>
      </c>
      <c r="S5" s="180">
        <f>Tabela2[[#This Row],[GWO]]+Tabela2[[#This Row],[GWD]]</f>
        <v>5</v>
      </c>
      <c r="T5" s="180">
        <f>SUM(Tabela2[[#This Row],[G]:[GWD]])</f>
        <v>18</v>
      </c>
    </row>
    <row r="6" spans="1:20">
      <c r="A6" s="183">
        <v>5</v>
      </c>
      <c r="B6" s="175" t="s">
        <v>759</v>
      </c>
      <c r="C6" s="175" t="s">
        <v>721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0"/>
      <c r="O6" s="170"/>
      <c r="P6" s="170"/>
      <c r="Q6" s="180">
        <f>SUM(Tabela2[[#This Row],[G]]+Tabela2[[#This Row],[D]]+Tabela2[[#This Row],[N]]+Tabela2[[#This Row],[HM]])</f>
        <v>4</v>
      </c>
      <c r="R6" s="180">
        <f>SUM(Tabela2[[#This Row],[AO]]+Tabela2[[#This Row],[AD]]+Tabela2[[#This Row],[GWO]]+Tabela2[[#This Row],[GWD]])</f>
        <v>4</v>
      </c>
      <c r="S6" s="180">
        <f>Tabela2[[#This Row],[GWO]]+Tabela2[[#This Row],[GWD]]</f>
        <v>2</v>
      </c>
      <c r="T6" s="180">
        <f>SUM(Tabela2[[#This Row],[G]:[GWD]])</f>
        <v>8</v>
      </c>
    </row>
    <row r="7" spans="1:20">
      <c r="A7" s="183">
        <v>6</v>
      </c>
      <c r="B7" s="175" t="s">
        <v>758</v>
      </c>
      <c r="C7" s="175" t="s">
        <v>757</v>
      </c>
      <c r="D7" s="175">
        <v>2</v>
      </c>
      <c r="E7" s="175" t="s">
        <v>18</v>
      </c>
      <c r="F7" s="175">
        <v>1</v>
      </c>
      <c r="G7" s="175">
        <v>1</v>
      </c>
      <c r="H7" s="175">
        <v>1</v>
      </c>
      <c r="I7" s="175">
        <v>1</v>
      </c>
      <c r="J7" s="175">
        <v>1</v>
      </c>
      <c r="K7" s="175">
        <v>1</v>
      </c>
      <c r="L7" s="175">
        <v>1</v>
      </c>
      <c r="M7" s="175">
        <v>1</v>
      </c>
      <c r="N7" s="170"/>
      <c r="O7" s="170"/>
      <c r="P7" s="170"/>
      <c r="Q7" s="180">
        <f>SUM(Tabela2[[#This Row],[G]]+Tabela2[[#This Row],[D]]+Tabela2[[#This Row],[N]]+Tabela2[[#This Row],[HM]])</f>
        <v>4</v>
      </c>
      <c r="R7" s="180">
        <f>SUM(Tabela2[[#This Row],[AO]]+Tabela2[[#This Row],[AD]]+Tabela2[[#This Row],[GWO]]+Tabela2[[#This Row],[GWD]])</f>
        <v>4</v>
      </c>
      <c r="S7" s="180">
        <f>Tabela2[[#This Row],[GWO]]+Tabela2[[#This Row],[GWD]]</f>
        <v>2</v>
      </c>
      <c r="T7" s="180">
        <f>SUM(Tabela2[[#This Row],[G]:[GWD]])</f>
        <v>8</v>
      </c>
    </row>
    <row r="8" spans="1:20">
      <c r="A8" s="183">
        <v>7</v>
      </c>
      <c r="B8" s="175" t="s">
        <v>756</v>
      </c>
      <c r="C8" s="175" t="s">
        <v>555</v>
      </c>
      <c r="D8" s="175">
        <v>2</v>
      </c>
      <c r="E8" s="175" t="s">
        <v>18</v>
      </c>
      <c r="F8" s="175">
        <v>1</v>
      </c>
      <c r="G8" s="175">
        <v>1</v>
      </c>
      <c r="H8" s="175">
        <v>1</v>
      </c>
      <c r="I8" s="175">
        <v>1</v>
      </c>
      <c r="J8" s="175">
        <v>1</v>
      </c>
      <c r="K8" s="175">
        <v>1</v>
      </c>
      <c r="L8" s="175">
        <v>1</v>
      </c>
      <c r="M8" s="175">
        <v>1</v>
      </c>
      <c r="N8" s="170"/>
      <c r="O8" s="170"/>
      <c r="P8" s="170"/>
      <c r="Q8" s="180">
        <f>SUM(Tabela2[[#This Row],[G]]+Tabela2[[#This Row],[D]]+Tabela2[[#This Row],[N]]+Tabela2[[#This Row],[HM]])</f>
        <v>4</v>
      </c>
      <c r="R8" s="180">
        <f>SUM(Tabela2[[#This Row],[AO]]+Tabela2[[#This Row],[AD]]+Tabela2[[#This Row],[GWO]]+Tabela2[[#This Row],[GWD]])</f>
        <v>4</v>
      </c>
      <c r="S8" s="180">
        <f>Tabela2[[#This Row],[GWO]]+Tabela2[[#This Row],[GWD]]</f>
        <v>2</v>
      </c>
      <c r="T8" s="180">
        <f>SUM(Tabela2[[#This Row],[G]:[GWD]])</f>
        <v>8</v>
      </c>
    </row>
    <row r="9" spans="1:20">
      <c r="A9" s="183">
        <v>8</v>
      </c>
      <c r="B9" s="175" t="s">
        <v>755</v>
      </c>
      <c r="C9" s="175" t="s">
        <v>548</v>
      </c>
      <c r="D9" s="175">
        <v>2</v>
      </c>
      <c r="E9" s="175" t="s">
        <v>18</v>
      </c>
      <c r="F9" s="175">
        <v>1</v>
      </c>
      <c r="G9" s="175">
        <v>1</v>
      </c>
      <c r="H9" s="175">
        <v>4</v>
      </c>
      <c r="I9" s="175">
        <v>1</v>
      </c>
      <c r="J9" s="175">
        <v>1</v>
      </c>
      <c r="K9" s="175">
        <v>1</v>
      </c>
      <c r="L9" s="175">
        <v>1</v>
      </c>
      <c r="M9" s="175">
        <v>1</v>
      </c>
      <c r="N9" s="170"/>
      <c r="O9" s="170"/>
      <c r="P9" s="170"/>
      <c r="Q9" s="180">
        <f>SUM(Tabela2[[#This Row],[G]]+Tabela2[[#This Row],[D]]+Tabela2[[#This Row],[N]]+Tabela2[[#This Row],[HM]])</f>
        <v>7</v>
      </c>
      <c r="R9" s="180">
        <f>SUM(Tabela2[[#This Row],[AO]]+Tabela2[[#This Row],[AD]]+Tabela2[[#This Row],[GWO]]+Tabela2[[#This Row],[GWD]])</f>
        <v>4</v>
      </c>
      <c r="S9" s="180">
        <f>Tabela2[[#This Row],[GWO]]+Tabela2[[#This Row],[GWD]]</f>
        <v>2</v>
      </c>
      <c r="T9" s="180">
        <f>SUM(Tabela2[[#This Row],[G]:[GWD]])</f>
        <v>11</v>
      </c>
    </row>
    <row r="10" spans="1:20">
      <c r="A10" s="183">
        <v>9</v>
      </c>
      <c r="B10" s="175" t="s">
        <v>754</v>
      </c>
      <c r="C10" s="175" t="s">
        <v>753</v>
      </c>
      <c r="D10" s="175">
        <v>2</v>
      </c>
      <c r="E10" s="175" t="s">
        <v>18</v>
      </c>
      <c r="F10" s="175">
        <v>1</v>
      </c>
      <c r="G10" s="175">
        <v>1</v>
      </c>
      <c r="H10" s="175">
        <v>1</v>
      </c>
      <c r="I10" s="175">
        <v>1</v>
      </c>
      <c r="J10" s="175">
        <v>1</v>
      </c>
      <c r="K10" s="175">
        <v>1</v>
      </c>
      <c r="L10" s="175">
        <v>1</v>
      </c>
      <c r="M10" s="175">
        <v>1</v>
      </c>
      <c r="N10" s="170"/>
      <c r="O10" s="170"/>
      <c r="P10" s="170"/>
      <c r="Q10" s="180">
        <f>SUM(Tabela2[[#This Row],[G]]+Tabela2[[#This Row],[D]]+Tabela2[[#This Row],[N]]+Tabela2[[#This Row],[HM]])</f>
        <v>4</v>
      </c>
      <c r="R10" s="180">
        <f>SUM(Tabela2[[#This Row],[AO]]+Tabela2[[#This Row],[AD]]+Tabela2[[#This Row],[GWO]]+Tabela2[[#This Row],[GWD]])</f>
        <v>4</v>
      </c>
      <c r="S10" s="180">
        <f>Tabela2[[#This Row],[GWO]]+Tabela2[[#This Row],[GWD]]</f>
        <v>2</v>
      </c>
      <c r="T10" s="180">
        <f>SUM(Tabela2[[#This Row],[G]:[GWD]])</f>
        <v>8</v>
      </c>
    </row>
    <row r="11" spans="1:20">
      <c r="A11" s="183">
        <v>10</v>
      </c>
      <c r="B11" s="174" t="s">
        <v>752</v>
      </c>
      <c r="C11" s="174" t="s">
        <v>714</v>
      </c>
      <c r="D11" s="174">
        <v>2</v>
      </c>
      <c r="E11" s="174" t="s">
        <v>249</v>
      </c>
      <c r="F11" s="174">
        <v>2</v>
      </c>
      <c r="G11" s="174">
        <v>1</v>
      </c>
      <c r="H11" s="174">
        <v>2</v>
      </c>
      <c r="I11" s="174">
        <v>1</v>
      </c>
      <c r="J11" s="174">
        <v>1</v>
      </c>
      <c r="K11" s="174">
        <v>1</v>
      </c>
      <c r="L11" s="174">
        <v>1</v>
      </c>
      <c r="M11" s="174">
        <v>1</v>
      </c>
      <c r="N11" s="170"/>
      <c r="O11" s="170"/>
      <c r="P11" s="170"/>
      <c r="Q11" s="180">
        <f>SUM(Tabela2[[#This Row],[G]]+Tabela2[[#This Row],[D]]+Tabela2[[#This Row],[N]]+Tabela2[[#This Row],[HM]])</f>
        <v>6</v>
      </c>
      <c r="R11" s="180">
        <f>SUM(Tabela2[[#This Row],[AO]]+Tabela2[[#This Row],[AD]]+Tabela2[[#This Row],[GWO]]+Tabela2[[#This Row],[GWD]])</f>
        <v>4</v>
      </c>
      <c r="S11" s="180">
        <f>Tabela2[[#This Row],[GWO]]+Tabela2[[#This Row],[GWD]]</f>
        <v>2</v>
      </c>
      <c r="T11" s="180">
        <f>SUM(Tabela2[[#This Row],[G]:[GWD]])</f>
        <v>10</v>
      </c>
    </row>
    <row r="12" spans="1:20">
      <c r="A12" s="183">
        <v>11</v>
      </c>
      <c r="B12" s="174" t="s">
        <v>751</v>
      </c>
      <c r="C12" s="174" t="s">
        <v>712</v>
      </c>
      <c r="D12" s="174">
        <v>2</v>
      </c>
      <c r="E12" s="174" t="s">
        <v>249</v>
      </c>
      <c r="F12" s="174">
        <v>1</v>
      </c>
      <c r="G12" s="174">
        <v>1</v>
      </c>
      <c r="H12" s="174">
        <v>1</v>
      </c>
      <c r="I12" s="174">
        <v>1</v>
      </c>
      <c r="J12" s="174">
        <v>1</v>
      </c>
      <c r="K12" s="174">
        <v>1</v>
      </c>
      <c r="L12" s="174">
        <v>1</v>
      </c>
      <c r="M12" s="174">
        <v>1</v>
      </c>
      <c r="N12" s="174" t="s">
        <v>445</v>
      </c>
      <c r="O12" s="174"/>
      <c r="P12" s="174"/>
      <c r="Q12" s="185">
        <f>SUM(Tabela2[[#This Row],[G]]+Tabela2[[#This Row],[D]]+Tabela2[[#This Row],[N]]+Tabela2[[#This Row],[HM]])</f>
        <v>4</v>
      </c>
      <c r="R12" s="185">
        <f>SUM(Tabela2[[#This Row],[AO]]+Tabela2[[#This Row],[AD]]+Tabela2[[#This Row],[GWO]]+Tabela2[[#This Row],[GWD]])</f>
        <v>4</v>
      </c>
      <c r="S12" s="185">
        <f>Tabela2[[#This Row],[GWO]]+Tabela2[[#This Row],[GWD]]</f>
        <v>2</v>
      </c>
      <c r="T12" s="180">
        <f>SUM(Tabela2[[#This Row],[G]:[GWD]])</f>
        <v>8</v>
      </c>
    </row>
    <row r="13" spans="1:20">
      <c r="A13" s="183">
        <v>12</v>
      </c>
      <c r="B13" s="174" t="s">
        <v>750</v>
      </c>
      <c r="C13" s="174" t="s">
        <v>706</v>
      </c>
      <c r="D13" s="174">
        <v>2</v>
      </c>
      <c r="E13" s="174" t="s">
        <v>249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70"/>
      <c r="Q13" s="180">
        <f>SUM(Tabela2[[#This Row],[G]]+Tabela2[[#This Row],[D]]+Tabela2[[#This Row],[N]]+Tabela2[[#This Row],[HM]])</f>
        <v>4</v>
      </c>
      <c r="R13" s="180">
        <f>SUM(Tabela2[[#This Row],[AO]]+Tabela2[[#This Row],[AD]]+Tabela2[[#This Row],[GWO]]+Tabela2[[#This Row],[GWD]])</f>
        <v>4</v>
      </c>
      <c r="S13" s="180">
        <f>Tabela2[[#This Row],[GWO]]+Tabela2[[#This Row],[GWD]]</f>
        <v>2</v>
      </c>
      <c r="T13" s="180">
        <f>SUM(Tabela2[[#This Row],[G]:[GWD]])</f>
        <v>8</v>
      </c>
    </row>
    <row r="14" spans="1:20">
      <c r="A14" s="183">
        <v>13</v>
      </c>
      <c r="B14" s="174" t="s">
        <v>749</v>
      </c>
      <c r="C14" s="174" t="s">
        <v>594</v>
      </c>
      <c r="D14" s="174">
        <v>2</v>
      </c>
      <c r="E14" s="174" t="s">
        <v>249</v>
      </c>
      <c r="F14" s="174">
        <v>1</v>
      </c>
      <c r="G14" s="174">
        <v>2</v>
      </c>
      <c r="H14" s="174">
        <v>1</v>
      </c>
      <c r="I14" s="174">
        <v>1</v>
      </c>
      <c r="J14" s="174">
        <v>1</v>
      </c>
      <c r="K14" s="174">
        <v>1</v>
      </c>
      <c r="L14" s="174">
        <v>1</v>
      </c>
      <c r="M14" s="174">
        <v>1</v>
      </c>
      <c r="N14" s="170"/>
      <c r="O14" s="170"/>
      <c r="P14" s="170"/>
      <c r="Q14" s="180">
        <f>SUM(Tabela2[[#This Row],[G]]+Tabela2[[#This Row],[D]]+Tabela2[[#This Row],[N]]+Tabela2[[#This Row],[HM]])</f>
        <v>5</v>
      </c>
      <c r="R14" s="180">
        <f>SUM(Tabela2[[#This Row],[AO]]+Tabela2[[#This Row],[AD]]+Tabela2[[#This Row],[GWO]]+Tabela2[[#This Row],[GWD]])</f>
        <v>4</v>
      </c>
      <c r="S14" s="180">
        <f>Tabela2[[#This Row],[GWO]]+Tabela2[[#This Row],[GWD]]</f>
        <v>2</v>
      </c>
      <c r="T14" s="180">
        <f>SUM(Tabela2[[#This Row],[G]:[GWD]])</f>
        <v>9</v>
      </c>
    </row>
    <row r="15" spans="1:20">
      <c r="A15" s="183">
        <v>14</v>
      </c>
      <c r="B15" s="174" t="s">
        <v>748</v>
      </c>
      <c r="C15" s="174" t="s">
        <v>747</v>
      </c>
      <c r="D15" s="174">
        <v>2</v>
      </c>
      <c r="E15" s="174" t="s">
        <v>249</v>
      </c>
      <c r="F15" s="174">
        <v>1</v>
      </c>
      <c r="G15" s="174">
        <v>1</v>
      </c>
      <c r="H15" s="174">
        <v>1</v>
      </c>
      <c r="I15" s="174">
        <v>1</v>
      </c>
      <c r="J15" s="174">
        <v>1</v>
      </c>
      <c r="K15" s="174">
        <v>1</v>
      </c>
      <c r="L15" s="174">
        <v>1</v>
      </c>
      <c r="M15" s="174">
        <v>1</v>
      </c>
      <c r="N15" s="170"/>
      <c r="O15" s="170"/>
      <c r="P15" s="170"/>
      <c r="Q15" s="180">
        <f>SUM(Tabela2[[#This Row],[G]]+Tabela2[[#This Row],[D]]+Tabela2[[#This Row],[N]]+Tabela2[[#This Row],[HM]])</f>
        <v>4</v>
      </c>
      <c r="R15" s="180">
        <f>SUM(Tabela2[[#This Row],[AO]]+Tabela2[[#This Row],[AD]]+Tabela2[[#This Row],[GWO]]+Tabela2[[#This Row],[GWD]])</f>
        <v>4</v>
      </c>
      <c r="S15" s="180">
        <f>Tabela2[[#This Row],[GWO]]+Tabela2[[#This Row],[GWD]]</f>
        <v>2</v>
      </c>
      <c r="T15" s="180">
        <f>SUM(Tabela2[[#This Row],[G]:[GWD]])</f>
        <v>8</v>
      </c>
    </row>
    <row r="16" spans="1:20">
      <c r="A16" s="183">
        <v>15</v>
      </c>
      <c r="B16" s="174" t="s">
        <v>746</v>
      </c>
      <c r="C16" s="174" t="s">
        <v>735</v>
      </c>
      <c r="D16" s="174">
        <v>2</v>
      </c>
      <c r="E16" s="174" t="s">
        <v>249</v>
      </c>
      <c r="F16" s="174">
        <v>1</v>
      </c>
      <c r="G16" s="174">
        <v>1</v>
      </c>
      <c r="H16" s="174">
        <v>1</v>
      </c>
      <c r="I16" s="174">
        <v>1</v>
      </c>
      <c r="J16" s="174">
        <v>1</v>
      </c>
      <c r="K16" s="174">
        <v>1</v>
      </c>
      <c r="L16" s="174">
        <v>1</v>
      </c>
      <c r="M16" s="174">
        <v>1</v>
      </c>
      <c r="N16" s="170"/>
      <c r="O16" s="170"/>
      <c r="P16" s="170"/>
      <c r="Q16" s="180">
        <f>SUM(Tabela2[[#This Row],[G]]+Tabela2[[#This Row],[D]]+Tabela2[[#This Row],[N]]+Tabela2[[#This Row],[HM]])</f>
        <v>4</v>
      </c>
      <c r="R16" s="180">
        <f>SUM(Tabela2[[#This Row],[AO]]+Tabela2[[#This Row],[AD]]+Tabela2[[#This Row],[GWO]]+Tabela2[[#This Row],[GWD]])</f>
        <v>4</v>
      </c>
      <c r="S16" s="180">
        <f>Tabela2[[#This Row],[GWO]]+Tabela2[[#This Row],[GWD]]</f>
        <v>2</v>
      </c>
      <c r="T16" s="180">
        <f>SUM(Tabela2[[#This Row],[G]:[GWD]])</f>
        <v>8</v>
      </c>
    </row>
    <row r="17" spans="1:20">
      <c r="A17" s="183">
        <v>16</v>
      </c>
      <c r="B17" s="174" t="s">
        <v>745</v>
      </c>
      <c r="C17" s="174" t="s">
        <v>710</v>
      </c>
      <c r="D17" s="174">
        <v>2</v>
      </c>
      <c r="E17" s="174" t="s">
        <v>249</v>
      </c>
      <c r="F17" s="174">
        <v>1</v>
      </c>
      <c r="G17" s="174">
        <v>1</v>
      </c>
      <c r="H17" s="174">
        <v>1</v>
      </c>
      <c r="I17" s="174">
        <v>1</v>
      </c>
      <c r="J17" s="174">
        <v>1</v>
      </c>
      <c r="K17" s="174">
        <v>1</v>
      </c>
      <c r="L17" s="174">
        <v>1</v>
      </c>
      <c r="M17" s="174">
        <v>1</v>
      </c>
      <c r="N17" s="170"/>
      <c r="O17" s="170"/>
      <c r="P17" s="170"/>
      <c r="Q17" s="180">
        <f>SUM(Tabela2[[#This Row],[G]]+Tabela2[[#This Row],[D]]+Tabela2[[#This Row],[N]]+Tabela2[[#This Row],[HM]])</f>
        <v>4</v>
      </c>
      <c r="R17" s="180">
        <f>SUM(Tabela2[[#This Row],[AO]]+Tabela2[[#This Row],[AD]]+Tabela2[[#This Row],[GWO]]+Tabela2[[#This Row],[GWD]])</f>
        <v>4</v>
      </c>
      <c r="S17" s="180">
        <f>Tabela2[[#This Row],[GWO]]+Tabela2[[#This Row],[GWD]]</f>
        <v>2</v>
      </c>
      <c r="T17" s="180">
        <f>SUM(Tabela2[[#This Row],[G]:[GWD]])</f>
        <v>8</v>
      </c>
    </row>
    <row r="18" spans="1:20">
      <c r="A18" s="183">
        <v>17</v>
      </c>
      <c r="B18" s="174" t="s">
        <v>744</v>
      </c>
      <c r="C18" s="174" t="s">
        <v>708</v>
      </c>
      <c r="D18" s="174">
        <v>2</v>
      </c>
      <c r="E18" s="174" t="s">
        <v>249</v>
      </c>
      <c r="F18" s="174">
        <v>1</v>
      </c>
      <c r="G18" s="174">
        <v>1</v>
      </c>
      <c r="H18" s="174">
        <v>1</v>
      </c>
      <c r="I18" s="174">
        <v>1</v>
      </c>
      <c r="J18" s="174">
        <v>1</v>
      </c>
      <c r="K18" s="174">
        <v>1</v>
      </c>
      <c r="L18" s="174">
        <v>1</v>
      </c>
      <c r="M18" s="174">
        <v>1</v>
      </c>
      <c r="N18" s="170"/>
      <c r="O18" s="170"/>
      <c r="P18" s="170"/>
      <c r="Q18" s="180">
        <f>SUM(Tabela2[[#This Row],[G]]+Tabela2[[#This Row],[D]]+Tabela2[[#This Row],[N]]+Tabela2[[#This Row],[HM]])</f>
        <v>4</v>
      </c>
      <c r="R18" s="180">
        <f>SUM(Tabela2[[#This Row],[AO]]+Tabela2[[#This Row],[AD]]+Tabela2[[#This Row],[GWO]]+Tabela2[[#This Row],[GWD]])</f>
        <v>4</v>
      </c>
      <c r="S18" s="180">
        <f>Tabela2[[#This Row],[GWO]]+Tabela2[[#This Row],[GWD]]</f>
        <v>2</v>
      </c>
      <c r="T18" s="180">
        <f>SUM(Tabela2[[#This Row],[G]:[GWD]])</f>
        <v>8</v>
      </c>
    </row>
    <row r="19" spans="1:20">
      <c r="A19" s="183">
        <v>18</v>
      </c>
      <c r="B19" s="174" t="s">
        <v>743</v>
      </c>
      <c r="C19" s="174" t="s">
        <v>716</v>
      </c>
      <c r="D19" s="174">
        <v>2</v>
      </c>
      <c r="E19" s="174" t="s">
        <v>249</v>
      </c>
      <c r="F19" s="174">
        <v>1</v>
      </c>
      <c r="G19" s="174">
        <v>2</v>
      </c>
      <c r="H19" s="174">
        <v>1</v>
      </c>
      <c r="I19" s="174">
        <v>1</v>
      </c>
      <c r="J19" s="174">
        <v>1</v>
      </c>
      <c r="K19" s="174">
        <v>1</v>
      </c>
      <c r="L19" s="174">
        <v>2</v>
      </c>
      <c r="M19" s="174">
        <v>2</v>
      </c>
      <c r="N19" s="170"/>
      <c r="O19" s="170"/>
      <c r="P19" s="170"/>
      <c r="Q19" s="180">
        <f>SUM(Tabela2[[#This Row],[G]]+Tabela2[[#This Row],[D]]+Tabela2[[#This Row],[N]]+Tabela2[[#This Row],[HM]])</f>
        <v>5</v>
      </c>
      <c r="R19" s="180">
        <f>SUM(Tabela2[[#This Row],[AO]]+Tabela2[[#This Row],[AD]]+Tabela2[[#This Row],[GWO]]+Tabela2[[#This Row],[GWD]])</f>
        <v>6</v>
      </c>
      <c r="S19" s="180">
        <f>Tabela2[[#This Row],[GWO]]+Tabela2[[#This Row],[GWD]]</f>
        <v>4</v>
      </c>
      <c r="T19" s="180">
        <f>SUM(Tabela2[[#This Row],[G]:[GWD]])</f>
        <v>11</v>
      </c>
    </row>
    <row r="20" spans="1:20">
      <c r="A20" s="183">
        <v>19</v>
      </c>
      <c r="B20" s="174" t="s">
        <v>146</v>
      </c>
      <c r="C20" s="174" t="s">
        <v>725</v>
      </c>
      <c r="D20" s="174">
        <v>2</v>
      </c>
      <c r="E20" s="174" t="s">
        <v>249</v>
      </c>
      <c r="F20" s="174">
        <v>3</v>
      </c>
      <c r="G20" s="174">
        <v>4</v>
      </c>
      <c r="H20" s="174">
        <v>1</v>
      </c>
      <c r="I20" s="174">
        <v>3</v>
      </c>
      <c r="J20" s="174">
        <v>3</v>
      </c>
      <c r="K20" s="174">
        <v>3</v>
      </c>
      <c r="L20" s="174">
        <v>3</v>
      </c>
      <c r="M20" s="174">
        <v>3</v>
      </c>
      <c r="N20" s="174" t="s">
        <v>445</v>
      </c>
      <c r="O20" s="174" t="s">
        <v>204</v>
      </c>
      <c r="P20" s="174"/>
      <c r="Q20" s="185">
        <f>SUM(Tabela2[[#This Row],[G]]+Tabela2[[#This Row],[D]]+Tabela2[[#This Row],[N]]+Tabela2[[#This Row],[HM]])</f>
        <v>11</v>
      </c>
      <c r="R20" s="185">
        <f>SUM(Tabela2[[#This Row],[AO]]+Tabela2[[#This Row],[AD]]+Tabela2[[#This Row],[GWO]]+Tabela2[[#This Row],[GWD]])</f>
        <v>12</v>
      </c>
      <c r="S20" s="185">
        <f>Tabela2[[#This Row],[GWO]]+Tabela2[[#This Row],[GWD]]</f>
        <v>6</v>
      </c>
      <c r="T20" s="180">
        <f>SUM(Tabela2[[#This Row],[G]:[GWD]])</f>
        <v>23</v>
      </c>
    </row>
    <row r="21" spans="1:20">
      <c r="A21" s="183">
        <v>20</v>
      </c>
      <c r="B21" s="174" t="s">
        <v>742</v>
      </c>
      <c r="C21" s="174" t="s">
        <v>729</v>
      </c>
      <c r="D21" s="174">
        <v>2</v>
      </c>
      <c r="E21" s="174" t="s">
        <v>249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70"/>
      <c r="Q21" s="180">
        <f>SUM(Tabela2[[#This Row],[G]]+Tabela2[[#This Row],[D]]+Tabela2[[#This Row],[N]]+Tabela2[[#This Row],[HM]])</f>
        <v>4</v>
      </c>
      <c r="R21" s="180">
        <f>SUM(Tabela2[[#This Row],[AO]]+Tabela2[[#This Row],[AD]]+Tabela2[[#This Row],[GWO]]+Tabela2[[#This Row],[GWD]])</f>
        <v>4</v>
      </c>
      <c r="S21" s="180">
        <f>Tabela2[[#This Row],[GWO]]+Tabela2[[#This Row],[GWD]]</f>
        <v>2</v>
      </c>
      <c r="T21" s="180">
        <f>SUM(Tabela2[[#This Row],[G]:[GWD]])</f>
        <v>8</v>
      </c>
    </row>
    <row r="22" spans="1:20">
      <c r="A22" s="183">
        <v>21</v>
      </c>
      <c r="B22" s="172" t="s">
        <v>741</v>
      </c>
      <c r="C22" s="172" t="s">
        <v>714</v>
      </c>
      <c r="D22" s="172">
        <v>2</v>
      </c>
      <c r="E22" s="172" t="s">
        <v>250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70"/>
      <c r="Q22" s="180">
        <f>SUM(Tabela2[[#This Row],[G]]+Tabela2[[#This Row],[D]]+Tabela2[[#This Row],[N]]+Tabela2[[#This Row],[HM]])</f>
        <v>4</v>
      </c>
      <c r="R22" s="180">
        <f>SUM(Tabela2[[#This Row],[AO]]+Tabela2[[#This Row],[AD]]+Tabela2[[#This Row],[GWO]]+Tabela2[[#This Row],[GWD]])</f>
        <v>4</v>
      </c>
      <c r="S22" s="180">
        <f>Tabela2[[#This Row],[GWO]]+Tabela2[[#This Row],[GWD]]</f>
        <v>2</v>
      </c>
      <c r="T22" s="180">
        <f>SUM(Tabela2[[#This Row],[G]:[GWD]])</f>
        <v>8</v>
      </c>
    </row>
    <row r="23" spans="1:20">
      <c r="A23" s="183">
        <v>22</v>
      </c>
      <c r="B23" s="172" t="s">
        <v>150</v>
      </c>
      <c r="C23" s="172" t="s">
        <v>712</v>
      </c>
      <c r="D23" s="172">
        <v>2</v>
      </c>
      <c r="E23" s="172" t="s">
        <v>250</v>
      </c>
      <c r="F23" s="172">
        <v>5</v>
      </c>
      <c r="G23" s="172">
        <v>1</v>
      </c>
      <c r="H23" s="172">
        <v>1</v>
      </c>
      <c r="I23" s="172">
        <v>1</v>
      </c>
      <c r="J23" s="172">
        <v>1</v>
      </c>
      <c r="K23" s="172">
        <v>1</v>
      </c>
      <c r="L23" s="172">
        <v>1</v>
      </c>
      <c r="M23" s="172">
        <v>1</v>
      </c>
      <c r="N23" s="170"/>
      <c r="O23" s="170"/>
      <c r="P23" s="170"/>
      <c r="Q23" s="180">
        <f>SUM(Tabela2[[#This Row],[G]]+Tabela2[[#This Row],[D]]+Tabela2[[#This Row],[N]]+Tabela2[[#This Row],[HM]])</f>
        <v>8</v>
      </c>
      <c r="R23" s="180">
        <f>SUM(Tabela2[[#This Row],[AO]]+Tabela2[[#This Row],[AD]]+Tabela2[[#This Row],[GWO]]+Tabela2[[#This Row],[GWD]])</f>
        <v>4</v>
      </c>
      <c r="S23" s="180">
        <f>Tabela2[[#This Row],[GWO]]+Tabela2[[#This Row],[GWD]]</f>
        <v>2</v>
      </c>
      <c r="T23" s="180">
        <f>SUM(Tabela2[[#This Row],[G]:[GWD]])</f>
        <v>12</v>
      </c>
    </row>
    <row r="24" spans="1:20">
      <c r="A24" s="183">
        <v>23</v>
      </c>
      <c r="B24" s="172" t="s">
        <v>740</v>
      </c>
      <c r="C24" s="172" t="s">
        <v>706</v>
      </c>
      <c r="D24" s="172">
        <v>2</v>
      </c>
      <c r="E24" s="172" t="s">
        <v>250</v>
      </c>
      <c r="F24" s="172">
        <v>2</v>
      </c>
      <c r="G24" s="172">
        <v>1</v>
      </c>
      <c r="H24" s="172">
        <v>2</v>
      </c>
      <c r="I24" s="172">
        <v>1</v>
      </c>
      <c r="J24" s="172">
        <v>1</v>
      </c>
      <c r="K24" s="172">
        <v>1</v>
      </c>
      <c r="L24" s="172">
        <v>1</v>
      </c>
      <c r="M24" s="172">
        <v>1</v>
      </c>
      <c r="N24" s="170"/>
      <c r="O24" s="194" t="s">
        <v>204</v>
      </c>
      <c r="P24" s="194"/>
      <c r="Q24" s="180">
        <f>SUM(Tabela2[[#This Row],[G]]+Tabela2[[#This Row],[D]]+Tabela2[[#This Row],[N]]+Tabela2[[#This Row],[HM]])</f>
        <v>6</v>
      </c>
      <c r="R24" s="180">
        <f>SUM(Tabela2[[#This Row],[AO]]+Tabela2[[#This Row],[AD]]+Tabela2[[#This Row],[GWO]]+Tabela2[[#This Row],[GWD]])</f>
        <v>4</v>
      </c>
      <c r="S24" s="180">
        <f>Tabela2[[#This Row],[GWO]]+Tabela2[[#This Row],[GWD]]</f>
        <v>2</v>
      </c>
      <c r="T24" s="180">
        <f>SUM(Tabela2[[#This Row],[G]:[GWD]])</f>
        <v>10</v>
      </c>
    </row>
    <row r="25" spans="1:20">
      <c r="A25" s="183">
        <v>24</v>
      </c>
      <c r="B25" s="172" t="s">
        <v>739</v>
      </c>
      <c r="C25" s="172" t="s">
        <v>594</v>
      </c>
      <c r="D25" s="172">
        <v>2</v>
      </c>
      <c r="E25" s="172" t="s">
        <v>250</v>
      </c>
      <c r="F25" s="172">
        <v>1</v>
      </c>
      <c r="G25" s="172">
        <v>1</v>
      </c>
      <c r="H25" s="172">
        <v>1</v>
      </c>
      <c r="I25" s="172">
        <v>1</v>
      </c>
      <c r="J25" s="172">
        <v>1</v>
      </c>
      <c r="K25" s="172">
        <v>1</v>
      </c>
      <c r="L25" s="172">
        <v>1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4</v>
      </c>
      <c r="R25" s="180">
        <f>SUM(Tabela2[[#This Row],[AO]]+Tabela2[[#This Row],[AD]]+Tabela2[[#This Row],[GWO]]+Tabela2[[#This Row],[GWD]])</f>
        <v>4</v>
      </c>
      <c r="S25" s="180">
        <f>Tabela2[[#This Row],[GWO]]+Tabela2[[#This Row],[GWD]]</f>
        <v>2</v>
      </c>
      <c r="T25" s="180">
        <f>SUM(Tabela2[[#This Row],[G]:[GWD]])</f>
        <v>8</v>
      </c>
    </row>
    <row r="26" spans="1:20">
      <c r="A26" s="183">
        <v>25</v>
      </c>
      <c r="B26" s="172" t="s">
        <v>738</v>
      </c>
      <c r="C26" s="172" t="s">
        <v>737</v>
      </c>
      <c r="D26" s="172">
        <v>2</v>
      </c>
      <c r="E26" s="172" t="s">
        <v>250</v>
      </c>
      <c r="F26" s="172">
        <v>1</v>
      </c>
      <c r="G26" s="172">
        <v>1</v>
      </c>
      <c r="H26" s="172">
        <v>1</v>
      </c>
      <c r="I26" s="172">
        <v>1</v>
      </c>
      <c r="J26" s="172">
        <v>1</v>
      </c>
      <c r="K26" s="172">
        <v>1</v>
      </c>
      <c r="L26" s="172">
        <v>1</v>
      </c>
      <c r="M26" s="172">
        <v>1</v>
      </c>
      <c r="N26" s="170"/>
      <c r="O26" s="170"/>
      <c r="P26" s="170"/>
      <c r="Q26" s="180">
        <f>SUM(Tabela2[[#This Row],[G]]+Tabela2[[#This Row],[D]]+Tabela2[[#This Row],[N]]+Tabela2[[#This Row],[HM]])</f>
        <v>4</v>
      </c>
      <c r="R26" s="180">
        <f>SUM(Tabela2[[#This Row],[AO]]+Tabela2[[#This Row],[AD]]+Tabela2[[#This Row],[GWO]]+Tabela2[[#This Row],[GWD]])</f>
        <v>4</v>
      </c>
      <c r="S26" s="180">
        <f>Tabela2[[#This Row],[GWO]]+Tabela2[[#This Row],[GWD]]</f>
        <v>2</v>
      </c>
      <c r="T26" s="180">
        <f>SUM(Tabela2[[#This Row],[G]:[GWD]])</f>
        <v>8</v>
      </c>
    </row>
    <row r="27" spans="1:20">
      <c r="A27" s="183">
        <v>26</v>
      </c>
      <c r="B27" s="172" t="s">
        <v>736</v>
      </c>
      <c r="C27" s="172" t="s">
        <v>735</v>
      </c>
      <c r="D27" s="172">
        <v>2</v>
      </c>
      <c r="E27" s="172" t="s">
        <v>250</v>
      </c>
      <c r="F27" s="172">
        <v>1</v>
      </c>
      <c r="G27" s="172">
        <v>1</v>
      </c>
      <c r="H27" s="172">
        <v>1</v>
      </c>
      <c r="I27" s="172">
        <v>1</v>
      </c>
      <c r="J27" s="172">
        <v>1</v>
      </c>
      <c r="K27" s="172">
        <v>1</v>
      </c>
      <c r="L27" s="172">
        <v>1</v>
      </c>
      <c r="M27" s="172">
        <v>1</v>
      </c>
      <c r="N27" s="172" t="s">
        <v>445</v>
      </c>
      <c r="O27" s="172"/>
      <c r="P27" s="172"/>
      <c r="Q27" s="186">
        <f>SUM(Tabela2[[#This Row],[G]]+Tabela2[[#This Row],[D]]+Tabela2[[#This Row],[N]]+Tabela2[[#This Row],[HM]])</f>
        <v>4</v>
      </c>
      <c r="R27" s="186">
        <f>SUM(Tabela2[[#This Row],[AO]]+Tabela2[[#This Row],[AD]]+Tabela2[[#This Row],[GWO]]+Tabela2[[#This Row],[GWD]])</f>
        <v>4</v>
      </c>
      <c r="S27" s="186">
        <f>Tabela2[[#This Row],[GWO]]+Tabela2[[#This Row],[GWD]]</f>
        <v>2</v>
      </c>
      <c r="T27" s="180">
        <f>SUM(Tabela2[[#This Row],[G]:[GWD]])</f>
        <v>8</v>
      </c>
    </row>
    <row r="28" spans="1:20">
      <c r="A28" s="183">
        <v>27</v>
      </c>
      <c r="B28" s="172" t="s">
        <v>734</v>
      </c>
      <c r="C28" s="172" t="s">
        <v>708</v>
      </c>
      <c r="D28" s="172">
        <v>2</v>
      </c>
      <c r="E28" s="172" t="s">
        <v>250</v>
      </c>
      <c r="F28" s="172">
        <v>1</v>
      </c>
      <c r="G28" s="172">
        <v>1</v>
      </c>
      <c r="H28" s="172">
        <v>4</v>
      </c>
      <c r="I28" s="172">
        <v>1</v>
      </c>
      <c r="J28" s="172">
        <v>1</v>
      </c>
      <c r="K28" s="172">
        <v>1</v>
      </c>
      <c r="L28" s="172">
        <v>1</v>
      </c>
      <c r="M28" s="172">
        <v>1</v>
      </c>
      <c r="N28" s="170"/>
      <c r="O28" s="170"/>
      <c r="P28" s="170"/>
      <c r="Q28" s="180">
        <f>SUM(Tabela2[[#This Row],[G]]+Tabela2[[#This Row],[D]]+Tabela2[[#This Row],[N]]+Tabela2[[#This Row],[HM]])</f>
        <v>7</v>
      </c>
      <c r="R28" s="180">
        <f>SUM(Tabela2[[#This Row],[AO]]+Tabela2[[#This Row],[AD]]+Tabela2[[#This Row],[GWO]]+Tabela2[[#This Row],[GWD]])</f>
        <v>4</v>
      </c>
      <c r="S28" s="180">
        <f>Tabela2[[#This Row],[GWO]]+Tabela2[[#This Row],[GWD]]</f>
        <v>2</v>
      </c>
      <c r="T28" s="180">
        <f>SUM(Tabela2[[#This Row],[G]:[GWD]])</f>
        <v>11</v>
      </c>
    </row>
    <row r="29" spans="1:20">
      <c r="A29" s="183">
        <v>28</v>
      </c>
      <c r="B29" s="172" t="s">
        <v>733</v>
      </c>
      <c r="C29" s="172" t="s">
        <v>716</v>
      </c>
      <c r="D29" s="172">
        <v>2</v>
      </c>
      <c r="E29" s="172" t="s">
        <v>250</v>
      </c>
      <c r="F29" s="172">
        <v>1</v>
      </c>
      <c r="G29" s="172">
        <v>1</v>
      </c>
      <c r="H29" s="172">
        <v>1</v>
      </c>
      <c r="I29" s="172">
        <v>1</v>
      </c>
      <c r="J29" s="172">
        <v>1</v>
      </c>
      <c r="K29" s="172">
        <v>1</v>
      </c>
      <c r="L29" s="172">
        <v>1</v>
      </c>
      <c r="M29" s="172">
        <v>1</v>
      </c>
      <c r="N29" s="172" t="s">
        <v>445</v>
      </c>
      <c r="O29" s="172"/>
      <c r="P29" s="172"/>
      <c r="Q29" s="186">
        <f>SUM(Tabela2[[#This Row],[G]]+Tabela2[[#This Row],[D]]+Tabela2[[#This Row],[N]]+Tabela2[[#This Row],[HM]])</f>
        <v>4</v>
      </c>
      <c r="R29" s="186">
        <f>SUM(Tabela2[[#This Row],[AO]]+Tabela2[[#This Row],[AD]]+Tabela2[[#This Row],[GWO]]+Tabela2[[#This Row],[GWD]])</f>
        <v>4</v>
      </c>
      <c r="S29" s="186">
        <f>Tabela2[[#This Row],[GWO]]+Tabela2[[#This Row],[GWD]]</f>
        <v>2</v>
      </c>
      <c r="T29" s="180">
        <f>SUM(Tabela2[[#This Row],[G]:[GWD]])</f>
        <v>8</v>
      </c>
    </row>
    <row r="30" spans="1:20">
      <c r="A30" s="183">
        <v>29</v>
      </c>
      <c r="B30" s="172" t="s">
        <v>732</v>
      </c>
      <c r="C30" s="172" t="s">
        <v>725</v>
      </c>
      <c r="D30" s="172">
        <v>2</v>
      </c>
      <c r="E30" s="172" t="s">
        <v>250</v>
      </c>
      <c r="F30" s="172">
        <v>1</v>
      </c>
      <c r="G30" s="172">
        <v>1</v>
      </c>
      <c r="H30" s="172">
        <v>1</v>
      </c>
      <c r="I30" s="172">
        <v>1</v>
      </c>
      <c r="J30" s="172">
        <v>1</v>
      </c>
      <c r="K30" s="172">
        <v>1</v>
      </c>
      <c r="L30" s="172">
        <v>1</v>
      </c>
      <c r="M30" s="172">
        <v>1</v>
      </c>
      <c r="N30" s="170"/>
      <c r="O30" s="170"/>
      <c r="P30" s="170"/>
      <c r="Q30" s="180">
        <f>SUM(Tabela2[[#This Row],[G]]+Tabela2[[#This Row],[D]]+Tabela2[[#This Row],[N]]+Tabela2[[#This Row],[HM]])</f>
        <v>4</v>
      </c>
      <c r="R30" s="180">
        <f>SUM(Tabela2[[#This Row],[AO]]+Tabela2[[#This Row],[AD]]+Tabela2[[#This Row],[GWO]]+Tabela2[[#This Row],[GWD]])</f>
        <v>4</v>
      </c>
      <c r="S30" s="180">
        <f>Tabela2[[#This Row],[GWO]]+Tabela2[[#This Row],[GWD]]</f>
        <v>2</v>
      </c>
      <c r="T30" s="180">
        <f>SUM(Tabela2[[#This Row],[G]:[GWD]])</f>
        <v>8</v>
      </c>
    </row>
    <row r="31" spans="1:20" ht="30">
      <c r="A31" s="183">
        <v>30</v>
      </c>
      <c r="B31" s="172" t="s">
        <v>731</v>
      </c>
      <c r="C31" s="172" t="s">
        <v>671</v>
      </c>
      <c r="D31" s="172">
        <v>2</v>
      </c>
      <c r="E31" s="172" t="s">
        <v>250</v>
      </c>
      <c r="F31" s="172">
        <v>1</v>
      </c>
      <c r="G31" s="172">
        <v>1</v>
      </c>
      <c r="H31" s="172">
        <v>1</v>
      </c>
      <c r="I31" s="172">
        <v>1</v>
      </c>
      <c r="J31" s="172">
        <v>1</v>
      </c>
      <c r="K31" s="172">
        <v>1</v>
      </c>
      <c r="L31" s="172">
        <v>1</v>
      </c>
      <c r="M31" s="172">
        <v>1</v>
      </c>
      <c r="N31" s="172" t="s">
        <v>445</v>
      </c>
      <c r="O31" s="172"/>
      <c r="P31" s="172"/>
      <c r="Q31" s="186">
        <f>SUM(Tabela2[[#This Row],[G]]+Tabela2[[#This Row],[D]]+Tabela2[[#This Row],[N]]+Tabela2[[#This Row],[HM]])</f>
        <v>4</v>
      </c>
      <c r="R31" s="186">
        <f>SUM(Tabela2[[#This Row],[AO]]+Tabela2[[#This Row],[AD]]+Tabela2[[#This Row],[GWO]]+Tabela2[[#This Row],[GWD]])</f>
        <v>4</v>
      </c>
      <c r="S31" s="186">
        <f>Tabela2[[#This Row],[GWO]]+Tabela2[[#This Row],[GWD]]</f>
        <v>2</v>
      </c>
      <c r="T31" s="180">
        <f>SUM(Tabela2[[#This Row],[G]:[GWD]])</f>
        <v>8</v>
      </c>
    </row>
    <row r="32" spans="1:20">
      <c r="A32" s="183">
        <v>31</v>
      </c>
      <c r="B32" s="172" t="s">
        <v>730</v>
      </c>
      <c r="C32" s="172" t="s">
        <v>729</v>
      </c>
      <c r="D32" s="172">
        <v>2</v>
      </c>
      <c r="E32" s="172" t="s">
        <v>250</v>
      </c>
      <c r="F32" s="172">
        <v>1</v>
      </c>
      <c r="G32" s="172">
        <v>1</v>
      </c>
      <c r="H32" s="172">
        <v>1</v>
      </c>
      <c r="I32" s="172">
        <v>1</v>
      </c>
      <c r="J32" s="172">
        <v>1</v>
      </c>
      <c r="K32" s="172">
        <v>1</v>
      </c>
      <c r="L32" s="172">
        <v>1</v>
      </c>
      <c r="M32" s="172">
        <v>1</v>
      </c>
      <c r="N32" s="170"/>
      <c r="O32" s="170"/>
      <c r="P32" s="170"/>
      <c r="Q32" s="180">
        <f>SUM(Tabela2[[#This Row],[G]]+Tabela2[[#This Row],[D]]+Tabela2[[#This Row],[N]]+Tabela2[[#This Row],[HM]])</f>
        <v>4</v>
      </c>
      <c r="R32" s="180">
        <f>SUM(Tabela2[[#This Row],[AO]]+Tabela2[[#This Row],[AD]]+Tabela2[[#This Row],[GWO]]+Tabela2[[#This Row],[GWD]])</f>
        <v>4</v>
      </c>
      <c r="S32" s="180">
        <f>Tabela2[[#This Row],[GWO]]+Tabela2[[#This Row],[GWD]]</f>
        <v>2</v>
      </c>
      <c r="T32" s="180">
        <f>SUM(Tabela2[[#This Row],[G]:[GWD]])</f>
        <v>8</v>
      </c>
    </row>
    <row r="33" spans="1:20">
      <c r="A33" s="183">
        <v>32</v>
      </c>
      <c r="B33" s="172" t="s">
        <v>728</v>
      </c>
      <c r="C33" s="172" t="s">
        <v>693</v>
      </c>
      <c r="D33" s="172">
        <v>2</v>
      </c>
      <c r="E33" s="172" t="s">
        <v>250</v>
      </c>
      <c r="F33" s="172">
        <v>1</v>
      </c>
      <c r="G33" s="172">
        <v>1</v>
      </c>
      <c r="H33" s="172">
        <v>1</v>
      </c>
      <c r="I33" s="172">
        <v>1</v>
      </c>
      <c r="J33" s="172">
        <v>1</v>
      </c>
      <c r="K33" s="172">
        <v>1</v>
      </c>
      <c r="L33" s="172">
        <v>1</v>
      </c>
      <c r="M33" s="172">
        <v>1</v>
      </c>
      <c r="N33" s="170"/>
      <c r="O33" s="170"/>
      <c r="P33" s="170"/>
      <c r="Q33" s="180">
        <f>SUM(Tabela2[[#This Row],[G]]+Tabela2[[#This Row],[D]]+Tabela2[[#This Row],[N]]+Tabela2[[#This Row],[HM]])</f>
        <v>4</v>
      </c>
      <c r="R33" s="180">
        <f>SUM(Tabela2[[#This Row],[AO]]+Tabela2[[#This Row],[AD]]+Tabela2[[#This Row],[GWO]]+Tabela2[[#This Row],[GWD]])</f>
        <v>4</v>
      </c>
      <c r="S33" s="180">
        <f>Tabela2[[#This Row],[GWO]]+Tabela2[[#This Row],[GWD]]</f>
        <v>2</v>
      </c>
      <c r="T33" s="180">
        <f>SUM(Tabela2[[#This Row],[G]:[GWD]])</f>
        <v>8</v>
      </c>
    </row>
    <row r="34" spans="1:20">
      <c r="A34" s="183">
        <v>33</v>
      </c>
      <c r="B34" s="172" t="s">
        <v>134</v>
      </c>
      <c r="C34" s="172" t="s">
        <v>721</v>
      </c>
      <c r="D34" s="172">
        <v>2</v>
      </c>
      <c r="E34" s="172" t="s">
        <v>250</v>
      </c>
      <c r="F34" s="172">
        <v>2</v>
      </c>
      <c r="G34" s="172">
        <v>1</v>
      </c>
      <c r="H34" s="172">
        <v>1</v>
      </c>
      <c r="I34" s="172">
        <v>3</v>
      </c>
      <c r="J34" s="172">
        <v>3</v>
      </c>
      <c r="K34" s="172">
        <v>1</v>
      </c>
      <c r="L34" s="172">
        <v>5</v>
      </c>
      <c r="M34" s="172">
        <v>3</v>
      </c>
      <c r="N34" s="170"/>
      <c r="O34" s="170" t="s">
        <v>204</v>
      </c>
      <c r="P34" s="170"/>
      <c r="Q34" s="180">
        <f>SUM(Tabela2[[#This Row],[G]]+Tabela2[[#This Row],[D]]+Tabela2[[#This Row],[N]]+Tabela2[[#This Row],[HM]])</f>
        <v>5</v>
      </c>
      <c r="R34" s="180">
        <f>SUM(Tabela2[[#This Row],[AO]]+Tabela2[[#This Row],[AD]]+Tabela2[[#This Row],[GWO]]+Tabela2[[#This Row],[GWD]])</f>
        <v>14</v>
      </c>
      <c r="S34" s="180">
        <f>Tabela2[[#This Row],[GWO]]+Tabela2[[#This Row],[GWD]]</f>
        <v>8</v>
      </c>
      <c r="T34" s="180">
        <f>SUM(Tabela2[[#This Row],[G]:[GWD]])</f>
        <v>19</v>
      </c>
    </row>
    <row r="35" spans="1:20">
      <c r="A35" s="183">
        <v>34</v>
      </c>
      <c r="B35" s="171" t="s">
        <v>727</v>
      </c>
      <c r="C35" s="171" t="s">
        <v>716</v>
      </c>
      <c r="D35" s="171">
        <v>2</v>
      </c>
      <c r="E35" s="171" t="s">
        <v>251</v>
      </c>
      <c r="F35" s="171">
        <v>1</v>
      </c>
      <c r="G35" s="171">
        <v>1</v>
      </c>
      <c r="H35" s="171">
        <v>1</v>
      </c>
      <c r="I35" s="171">
        <v>1</v>
      </c>
      <c r="J35" s="171">
        <v>1</v>
      </c>
      <c r="K35" s="171">
        <v>1</v>
      </c>
      <c r="L35" s="171">
        <v>1</v>
      </c>
      <c r="M35" s="171">
        <v>1</v>
      </c>
      <c r="N35" s="170"/>
      <c r="O35" s="170"/>
      <c r="P35" s="170"/>
      <c r="Q35" s="180">
        <f>SUM(Tabela2[[#This Row],[G]]+Tabela2[[#This Row],[D]]+Tabela2[[#This Row],[N]]+Tabela2[[#This Row],[HM]])</f>
        <v>4</v>
      </c>
      <c r="R35" s="180">
        <f>SUM(Tabela2[[#This Row],[AO]]+Tabela2[[#This Row],[AD]]+Tabela2[[#This Row],[GWO]]+Tabela2[[#This Row],[GWD]])</f>
        <v>4</v>
      </c>
      <c r="S35" s="180">
        <f>Tabela2[[#This Row],[GWO]]+Tabela2[[#This Row],[GWD]]</f>
        <v>2</v>
      </c>
      <c r="T35" s="180">
        <f>SUM(Tabela2[[#This Row],[G]:[GWD]])</f>
        <v>8</v>
      </c>
    </row>
    <row r="36" spans="1:20">
      <c r="A36" s="183">
        <v>35</v>
      </c>
      <c r="B36" s="171" t="s">
        <v>726</v>
      </c>
      <c r="C36" s="171" t="s">
        <v>725</v>
      </c>
      <c r="D36" s="171">
        <v>2</v>
      </c>
      <c r="E36" s="171" t="s">
        <v>251</v>
      </c>
      <c r="F36" s="171">
        <v>1</v>
      </c>
      <c r="G36" s="171">
        <v>1</v>
      </c>
      <c r="H36" s="171">
        <v>1</v>
      </c>
      <c r="I36" s="171">
        <v>1</v>
      </c>
      <c r="J36" s="171">
        <v>1</v>
      </c>
      <c r="K36" s="171">
        <v>1</v>
      </c>
      <c r="L36" s="171">
        <v>1</v>
      </c>
      <c r="M36" s="171">
        <v>1</v>
      </c>
      <c r="N36" s="170"/>
      <c r="O36" s="170"/>
      <c r="P36" s="170"/>
      <c r="Q36" s="180">
        <f>SUM(Tabela2[[#This Row],[G]]+Tabela2[[#This Row],[D]]+Tabela2[[#This Row],[N]]+Tabela2[[#This Row],[HM]])</f>
        <v>4</v>
      </c>
      <c r="R36" s="180">
        <f>SUM(Tabela2[[#This Row],[AO]]+Tabela2[[#This Row],[AD]]+Tabela2[[#This Row],[GWO]]+Tabela2[[#This Row],[GWD]])</f>
        <v>4</v>
      </c>
      <c r="S36" s="180">
        <f>Tabela2[[#This Row],[GWO]]+Tabela2[[#This Row],[GWD]]</f>
        <v>2</v>
      </c>
      <c r="T36" s="180">
        <f>SUM(Tabela2[[#This Row],[G]:[GWD]])</f>
        <v>8</v>
      </c>
    </row>
    <row r="37" spans="1:20">
      <c r="A37" s="183">
        <v>36</v>
      </c>
      <c r="B37" s="171" t="s">
        <v>724</v>
      </c>
      <c r="C37" s="171" t="s">
        <v>714</v>
      </c>
      <c r="D37" s="171">
        <v>2</v>
      </c>
      <c r="E37" s="171" t="s">
        <v>251</v>
      </c>
      <c r="F37" s="171">
        <v>1</v>
      </c>
      <c r="G37" s="171">
        <v>1</v>
      </c>
      <c r="H37" s="171">
        <v>1</v>
      </c>
      <c r="I37" s="171">
        <v>1</v>
      </c>
      <c r="J37" s="171">
        <v>1</v>
      </c>
      <c r="K37" s="171">
        <v>1</v>
      </c>
      <c r="L37" s="171">
        <v>1</v>
      </c>
      <c r="M37" s="171">
        <v>1</v>
      </c>
      <c r="N37" s="170"/>
      <c r="O37" s="170"/>
      <c r="P37" s="170"/>
      <c r="Q37" s="180">
        <f>SUM(Tabela2[[#This Row],[G]]+Tabela2[[#This Row],[D]]+Tabela2[[#This Row],[N]]+Tabela2[[#This Row],[HM]])</f>
        <v>4</v>
      </c>
      <c r="R37" s="180">
        <f>SUM(Tabela2[[#This Row],[AO]]+Tabela2[[#This Row],[AD]]+Tabela2[[#This Row],[GWO]]+Tabela2[[#This Row],[GWD]])</f>
        <v>4</v>
      </c>
      <c r="S37" s="180">
        <f>Tabela2[[#This Row],[GWO]]+Tabela2[[#This Row],[GWD]]</f>
        <v>2</v>
      </c>
      <c r="T37" s="180">
        <f>SUM(Tabela2[[#This Row],[G]:[GWD]])</f>
        <v>8</v>
      </c>
    </row>
    <row r="38" spans="1:20">
      <c r="A38" s="183">
        <v>37</v>
      </c>
      <c r="B38" s="171" t="s">
        <v>723</v>
      </c>
      <c r="C38" s="171" t="s">
        <v>712</v>
      </c>
      <c r="D38" s="171">
        <v>2</v>
      </c>
      <c r="E38" s="171" t="s">
        <v>251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70"/>
      <c r="Q38" s="180">
        <f>SUM(Tabela2[[#This Row],[G]]+Tabela2[[#This Row],[D]]+Tabela2[[#This Row],[N]]+Tabela2[[#This Row],[HM]])</f>
        <v>4</v>
      </c>
      <c r="R38" s="180">
        <f>SUM(Tabela2[[#This Row],[AO]]+Tabela2[[#This Row],[AD]]+Tabela2[[#This Row],[GWO]]+Tabela2[[#This Row],[GWD]])</f>
        <v>4</v>
      </c>
      <c r="S38" s="180">
        <f>Tabela2[[#This Row],[GWO]]+Tabela2[[#This Row],[GWD]]</f>
        <v>2</v>
      </c>
      <c r="T38" s="180">
        <f>SUM(Tabela2[[#This Row],[G]:[GWD]])</f>
        <v>8</v>
      </c>
    </row>
    <row r="39" spans="1:20">
      <c r="A39" s="183">
        <v>38</v>
      </c>
      <c r="B39" s="171" t="s">
        <v>722</v>
      </c>
      <c r="C39" s="171" t="s">
        <v>721</v>
      </c>
      <c r="D39" s="171">
        <v>2</v>
      </c>
      <c r="E39" s="171" t="s">
        <v>251</v>
      </c>
      <c r="F39" s="171">
        <v>1</v>
      </c>
      <c r="G39" s="171">
        <v>1</v>
      </c>
      <c r="H39" s="171">
        <v>1</v>
      </c>
      <c r="I39" s="171">
        <v>1</v>
      </c>
      <c r="J39" s="171">
        <v>1</v>
      </c>
      <c r="K39" s="171">
        <v>1</v>
      </c>
      <c r="L39" s="171">
        <v>1</v>
      </c>
      <c r="M39" s="171">
        <v>1</v>
      </c>
      <c r="N39" s="170"/>
      <c r="O39" s="170"/>
      <c r="P39" s="170"/>
      <c r="Q39" s="180">
        <f>SUM(Tabela2[[#This Row],[G]]+Tabela2[[#This Row],[D]]+Tabela2[[#This Row],[N]]+Tabela2[[#This Row],[HM]])</f>
        <v>4</v>
      </c>
      <c r="R39" s="180">
        <f>SUM(Tabela2[[#This Row],[AO]]+Tabela2[[#This Row],[AD]]+Tabela2[[#This Row],[GWO]]+Tabela2[[#This Row],[GWD]])</f>
        <v>4</v>
      </c>
      <c r="S39" s="180">
        <f>Tabela2[[#This Row],[GWO]]+Tabela2[[#This Row],[GWD]]</f>
        <v>2</v>
      </c>
      <c r="T39" s="180">
        <f>SUM(Tabela2[[#This Row],[G]:[GWD]])</f>
        <v>8</v>
      </c>
    </row>
    <row r="40" spans="1:20">
      <c r="A40" s="183">
        <v>39</v>
      </c>
      <c r="B40" s="171" t="s">
        <v>720</v>
      </c>
      <c r="C40" s="171" t="s">
        <v>693</v>
      </c>
      <c r="D40" s="171">
        <v>2</v>
      </c>
      <c r="E40" s="171" t="s">
        <v>251</v>
      </c>
      <c r="F40" s="171">
        <v>1</v>
      </c>
      <c r="G40" s="171">
        <v>1</v>
      </c>
      <c r="H40" s="171">
        <v>1</v>
      </c>
      <c r="I40" s="171">
        <v>1</v>
      </c>
      <c r="J40" s="171">
        <v>1</v>
      </c>
      <c r="K40" s="171">
        <v>1</v>
      </c>
      <c r="L40" s="171">
        <v>1</v>
      </c>
      <c r="M40" s="171">
        <v>1</v>
      </c>
      <c r="N40" s="170"/>
      <c r="O40" s="170"/>
      <c r="P40" s="170"/>
      <c r="Q40" s="180">
        <f>SUM(Tabela2[[#This Row],[G]]+Tabela2[[#This Row],[D]]+Tabela2[[#This Row],[N]]+Tabela2[[#This Row],[HM]])</f>
        <v>4</v>
      </c>
      <c r="R40" s="180">
        <f>SUM(Tabela2[[#This Row],[AO]]+Tabela2[[#This Row],[AD]]+Tabela2[[#This Row],[GWO]]+Tabela2[[#This Row],[GWD]])</f>
        <v>4</v>
      </c>
      <c r="S40" s="180">
        <f>Tabela2[[#This Row],[GWO]]+Tabela2[[#This Row],[GWD]]</f>
        <v>2</v>
      </c>
      <c r="T40" s="180">
        <f>SUM(Tabela2[[#This Row],[G]:[GWD]])</f>
        <v>8</v>
      </c>
    </row>
    <row r="41" spans="1:20">
      <c r="A41" s="183">
        <v>40</v>
      </c>
      <c r="B41" s="171" t="s">
        <v>719</v>
      </c>
      <c r="C41" s="171" t="s">
        <v>710</v>
      </c>
      <c r="D41" s="171">
        <v>2</v>
      </c>
      <c r="E41" s="171" t="s">
        <v>251</v>
      </c>
      <c r="F41" s="171">
        <v>1</v>
      </c>
      <c r="G41" s="171">
        <v>1</v>
      </c>
      <c r="H41" s="171">
        <v>1</v>
      </c>
      <c r="I41" s="171">
        <v>1</v>
      </c>
      <c r="J41" s="171">
        <v>1</v>
      </c>
      <c r="K41" s="171">
        <v>3</v>
      </c>
      <c r="L41" s="171">
        <v>1</v>
      </c>
      <c r="M41" s="171">
        <v>1</v>
      </c>
      <c r="N41" s="170"/>
      <c r="O41" s="170"/>
      <c r="P41" s="170"/>
      <c r="Q41" s="180">
        <f>SUM(Tabela2[[#This Row],[G]]+Tabela2[[#This Row],[D]]+Tabela2[[#This Row],[N]]+Tabela2[[#This Row],[HM]])</f>
        <v>6</v>
      </c>
      <c r="R41" s="180">
        <f>SUM(Tabela2[[#This Row],[AO]]+Tabela2[[#This Row],[AD]]+Tabela2[[#This Row],[GWO]]+Tabela2[[#This Row],[GWD]])</f>
        <v>4</v>
      </c>
      <c r="S41" s="180">
        <f>Tabela2[[#This Row],[GWO]]+Tabela2[[#This Row],[GWD]]</f>
        <v>2</v>
      </c>
      <c r="T41" s="180">
        <f>SUM(Tabela2[[#This Row],[G]:[GWD]])</f>
        <v>10</v>
      </c>
    </row>
    <row r="42" spans="1:20">
      <c r="A42" s="183">
        <v>41</v>
      </c>
      <c r="B42" s="170" t="s">
        <v>718</v>
      </c>
      <c r="C42" s="170" t="s">
        <v>594</v>
      </c>
      <c r="D42" s="170">
        <v>2</v>
      </c>
      <c r="E42" s="170" t="s">
        <v>272</v>
      </c>
      <c r="F42" s="170">
        <v>1</v>
      </c>
      <c r="G42" s="170">
        <v>1</v>
      </c>
      <c r="H42" s="170">
        <v>1</v>
      </c>
      <c r="I42" s="170">
        <v>1</v>
      </c>
      <c r="J42" s="170">
        <v>1</v>
      </c>
      <c r="K42" s="170">
        <v>1</v>
      </c>
      <c r="L42" s="170">
        <v>1</v>
      </c>
      <c r="M42" s="170">
        <v>1</v>
      </c>
      <c r="N42" s="170"/>
      <c r="O42" s="170"/>
      <c r="P42" s="170"/>
      <c r="Q42" s="180">
        <f>SUM(Tabela2[[#This Row],[G]]+Tabela2[[#This Row],[D]]+Tabela2[[#This Row],[N]]+Tabela2[[#This Row],[HM]])</f>
        <v>4</v>
      </c>
      <c r="R42" s="180">
        <f>SUM(Tabela2[[#This Row],[AO]]+Tabela2[[#This Row],[AD]]+Tabela2[[#This Row],[GWO]]+Tabela2[[#This Row],[GWD]])</f>
        <v>4</v>
      </c>
      <c r="S42" s="180">
        <f>Tabela2[[#This Row],[GWO]]+Tabela2[[#This Row],[GWD]]</f>
        <v>2</v>
      </c>
      <c r="T42" s="180">
        <f>SUM(Tabela2[[#This Row],[G]:[GWD]])</f>
        <v>8</v>
      </c>
    </row>
    <row r="43" spans="1:20">
      <c r="A43" s="183">
        <v>42</v>
      </c>
      <c r="B43" s="170" t="s">
        <v>717</v>
      </c>
      <c r="C43" s="170" t="s">
        <v>716</v>
      </c>
      <c r="D43" s="170">
        <v>2</v>
      </c>
      <c r="E43" s="170" t="s">
        <v>272</v>
      </c>
      <c r="F43" s="170">
        <v>1</v>
      </c>
      <c r="G43" s="170">
        <v>1</v>
      </c>
      <c r="H43" s="170">
        <v>1</v>
      </c>
      <c r="I43" s="170">
        <v>1</v>
      </c>
      <c r="J43" s="170">
        <v>1</v>
      </c>
      <c r="K43" s="170">
        <v>1</v>
      </c>
      <c r="L43" s="170">
        <v>1</v>
      </c>
      <c r="M43" s="170">
        <v>1</v>
      </c>
      <c r="N43" s="170"/>
      <c r="O43" s="170"/>
      <c r="P43" s="170"/>
      <c r="Q43" s="180">
        <f>SUM(Tabela2[[#This Row],[G]]+Tabela2[[#This Row],[D]]+Tabela2[[#This Row],[N]]+Tabela2[[#This Row],[HM]])</f>
        <v>4</v>
      </c>
      <c r="R43" s="180">
        <f>SUM(Tabela2[[#This Row],[AO]]+Tabela2[[#This Row],[AD]]+Tabela2[[#This Row],[GWO]]+Tabela2[[#This Row],[GWD]])</f>
        <v>4</v>
      </c>
      <c r="S43" s="180">
        <f>Tabela2[[#This Row],[GWO]]+Tabela2[[#This Row],[GWD]]</f>
        <v>2</v>
      </c>
      <c r="T43" s="180">
        <f>SUM(Tabela2[[#This Row],[G]:[GWD]])</f>
        <v>8</v>
      </c>
    </row>
    <row r="44" spans="1:20">
      <c r="A44" s="183">
        <v>43</v>
      </c>
      <c r="B44" s="170" t="s">
        <v>715</v>
      </c>
      <c r="C44" s="170" t="s">
        <v>714</v>
      </c>
      <c r="D44" s="170">
        <v>2</v>
      </c>
      <c r="E44" s="170" t="s">
        <v>272</v>
      </c>
      <c r="F44" s="170">
        <v>1</v>
      </c>
      <c r="G44" s="170">
        <v>1</v>
      </c>
      <c r="H44" s="170">
        <v>1</v>
      </c>
      <c r="I44" s="170">
        <v>1</v>
      </c>
      <c r="J44" s="170">
        <v>1</v>
      </c>
      <c r="K44" s="170">
        <v>1</v>
      </c>
      <c r="L44" s="170">
        <v>1</v>
      </c>
      <c r="M44" s="170">
        <v>1</v>
      </c>
      <c r="N44" s="170"/>
      <c r="O44" s="170"/>
      <c r="P44" s="170"/>
      <c r="Q44" s="180">
        <f>SUM(Tabela2[[#This Row],[G]]+Tabela2[[#This Row],[D]]+Tabela2[[#This Row],[N]]+Tabela2[[#This Row],[HM]])</f>
        <v>4</v>
      </c>
      <c r="R44" s="180">
        <f>SUM(Tabela2[[#This Row],[AO]]+Tabela2[[#This Row],[AD]]+Tabela2[[#This Row],[GWO]]+Tabela2[[#This Row],[GWD]])</f>
        <v>4</v>
      </c>
      <c r="S44" s="180">
        <f>Tabela2[[#This Row],[GWO]]+Tabela2[[#This Row],[GWD]]</f>
        <v>2</v>
      </c>
      <c r="T44" s="180">
        <f>SUM(Tabela2[[#This Row],[G]:[GWD]])</f>
        <v>8</v>
      </c>
    </row>
    <row r="45" spans="1:20">
      <c r="A45" s="183">
        <v>44</v>
      </c>
      <c r="B45" s="170" t="s">
        <v>713</v>
      </c>
      <c r="C45" s="170" t="s">
        <v>712</v>
      </c>
      <c r="D45" s="170">
        <v>2</v>
      </c>
      <c r="E45" s="170" t="s">
        <v>272</v>
      </c>
      <c r="F45" s="170">
        <v>1</v>
      </c>
      <c r="G45" s="170">
        <v>1</v>
      </c>
      <c r="H45" s="170">
        <v>1</v>
      </c>
      <c r="I45" s="170">
        <v>1</v>
      </c>
      <c r="J45" s="170">
        <v>1</v>
      </c>
      <c r="K45" s="170">
        <v>1</v>
      </c>
      <c r="L45" s="170">
        <v>1</v>
      </c>
      <c r="M45" s="170">
        <v>1</v>
      </c>
      <c r="N45" s="170"/>
      <c r="O45" s="170"/>
      <c r="P45" s="170"/>
      <c r="Q45" s="180">
        <f>SUM(Tabela2[[#This Row],[G]]+Tabela2[[#This Row],[D]]+Tabela2[[#This Row],[N]]+Tabela2[[#This Row],[HM]])</f>
        <v>4</v>
      </c>
      <c r="R45" s="180">
        <f>SUM(Tabela2[[#This Row],[AO]]+Tabela2[[#This Row],[AD]]+Tabela2[[#This Row],[GWO]]+Tabela2[[#This Row],[GWD]])</f>
        <v>4</v>
      </c>
      <c r="S45" s="180">
        <f>Tabela2[[#This Row],[GWO]]+Tabela2[[#This Row],[GWD]]</f>
        <v>2</v>
      </c>
      <c r="T45" s="180">
        <f>SUM(Tabela2[[#This Row],[G]:[GWD]])</f>
        <v>8</v>
      </c>
    </row>
    <row r="46" spans="1:20">
      <c r="A46" s="183">
        <v>45</v>
      </c>
      <c r="B46" s="170" t="s">
        <v>711</v>
      </c>
      <c r="C46" s="170" t="s">
        <v>710</v>
      </c>
      <c r="D46" s="170">
        <v>2</v>
      </c>
      <c r="E46" s="170" t="s">
        <v>272</v>
      </c>
      <c r="F46" s="170">
        <v>1</v>
      </c>
      <c r="G46" s="170">
        <v>1</v>
      </c>
      <c r="H46" s="170">
        <v>1</v>
      </c>
      <c r="I46" s="170">
        <v>1</v>
      </c>
      <c r="J46" s="170">
        <v>1</v>
      </c>
      <c r="K46" s="170">
        <v>1</v>
      </c>
      <c r="L46" s="170">
        <v>1</v>
      </c>
      <c r="M46" s="170">
        <v>1</v>
      </c>
      <c r="N46" s="170"/>
      <c r="O46" s="170"/>
      <c r="P46" s="170"/>
      <c r="Q46" s="180">
        <f>SUM(Tabela2[[#This Row],[G]]+Tabela2[[#This Row],[D]]+Tabela2[[#This Row],[N]]+Tabela2[[#This Row],[HM]])</f>
        <v>4</v>
      </c>
      <c r="R46" s="180">
        <f>SUM(Tabela2[[#This Row],[AO]]+Tabela2[[#This Row],[AD]]+Tabela2[[#This Row],[GWO]]+Tabela2[[#This Row],[GWD]])</f>
        <v>4</v>
      </c>
      <c r="S46" s="180">
        <f>Tabela2[[#This Row],[GWO]]+Tabela2[[#This Row],[GWD]]</f>
        <v>2</v>
      </c>
      <c r="T46" s="180">
        <f>SUM(Tabela2[[#This Row],[G]:[GWD]])</f>
        <v>8</v>
      </c>
    </row>
    <row r="47" spans="1:20">
      <c r="A47" s="183">
        <v>46</v>
      </c>
      <c r="B47" s="170" t="s">
        <v>709</v>
      </c>
      <c r="C47" s="170" t="s">
        <v>708</v>
      </c>
      <c r="D47" s="170">
        <v>2</v>
      </c>
      <c r="E47" s="170" t="s">
        <v>272</v>
      </c>
      <c r="F47" s="170">
        <v>1</v>
      </c>
      <c r="G47" s="170">
        <v>1</v>
      </c>
      <c r="H47" s="170">
        <v>1</v>
      </c>
      <c r="I47" s="170">
        <v>1</v>
      </c>
      <c r="J47" s="170">
        <v>1</v>
      </c>
      <c r="K47" s="170">
        <v>1</v>
      </c>
      <c r="L47" s="170">
        <v>1</v>
      </c>
      <c r="M47" s="170">
        <v>1</v>
      </c>
      <c r="N47" s="170"/>
      <c r="O47" s="170"/>
      <c r="P47" s="170"/>
      <c r="Q47" s="180">
        <f>SUM(Tabela2[[#This Row],[G]]+Tabela2[[#This Row],[D]]+Tabela2[[#This Row],[N]]+Tabela2[[#This Row],[HM]])</f>
        <v>4</v>
      </c>
      <c r="R47" s="180">
        <f>SUM(Tabela2[[#This Row],[AO]]+Tabela2[[#This Row],[AD]]+Tabela2[[#This Row],[GWO]]+Tabela2[[#This Row],[GWD]])</f>
        <v>4</v>
      </c>
      <c r="S47" s="180">
        <f>Tabela2[[#This Row],[GWO]]+Tabela2[[#This Row],[GWD]]</f>
        <v>2</v>
      </c>
      <c r="T47" s="180">
        <f>SUM(Tabela2[[#This Row],[G]:[GWD]])</f>
        <v>8</v>
      </c>
    </row>
    <row r="48" spans="1:20">
      <c r="A48" s="183">
        <v>47</v>
      </c>
      <c r="B48" s="170" t="s">
        <v>707</v>
      </c>
      <c r="C48" s="170" t="s">
        <v>706</v>
      </c>
      <c r="D48" s="170">
        <v>2</v>
      </c>
      <c r="E48" s="170" t="s">
        <v>272</v>
      </c>
      <c r="F48" s="170">
        <v>1</v>
      </c>
      <c r="G48" s="170">
        <v>1</v>
      </c>
      <c r="H48" s="170">
        <v>3</v>
      </c>
      <c r="I48" s="170">
        <v>1</v>
      </c>
      <c r="J48" s="170">
        <v>1</v>
      </c>
      <c r="K48" s="170">
        <v>1</v>
      </c>
      <c r="L48" s="170">
        <v>1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4</v>
      </c>
      <c r="S48" s="180">
        <f>Tabela2[[#This Row],[GWO]]+Tabela2[[#This Row],[GWD]]</f>
        <v>2</v>
      </c>
      <c r="T48" s="180">
        <f>SUM(Tabela2[[#This Row],[G]:[GWD]])</f>
        <v>10</v>
      </c>
    </row>
    <row r="49" spans="1:20">
      <c r="A49" s="183">
        <v>48</v>
      </c>
      <c r="B49" s="175" t="s">
        <v>705</v>
      </c>
      <c r="C49" s="175" t="s">
        <v>704</v>
      </c>
      <c r="D49" s="175">
        <v>3</v>
      </c>
      <c r="E49" s="175" t="s">
        <v>18</v>
      </c>
      <c r="F49" s="175">
        <v>1</v>
      </c>
      <c r="G49" s="175">
        <v>2</v>
      </c>
      <c r="H49" s="175">
        <v>1</v>
      </c>
      <c r="I49" s="175">
        <v>3</v>
      </c>
      <c r="J49" s="175">
        <v>1</v>
      </c>
      <c r="K49" s="175">
        <v>1</v>
      </c>
      <c r="L49" s="175">
        <v>3</v>
      </c>
      <c r="M49" s="175">
        <v>1</v>
      </c>
      <c r="N49" s="170"/>
      <c r="O49" s="170"/>
      <c r="P49" s="170"/>
      <c r="Q49" s="180">
        <f>SUM(Tabela2[[#This Row],[G]]+Tabela2[[#This Row],[D]]+Tabela2[[#This Row],[N]]+Tabela2[[#This Row],[HM]])</f>
        <v>5</v>
      </c>
      <c r="R49" s="180">
        <f>SUM(Tabela2[[#This Row],[AO]]+Tabela2[[#This Row],[AD]]+Tabela2[[#This Row],[GWO]]+Tabela2[[#This Row],[GWD]])</f>
        <v>8</v>
      </c>
      <c r="S49" s="180">
        <f>Tabela2[[#This Row],[GWO]]+Tabela2[[#This Row],[GWD]]</f>
        <v>4</v>
      </c>
      <c r="T49" s="180">
        <f>SUM(Tabela2[[#This Row],[G]:[GWD]])</f>
        <v>13</v>
      </c>
    </row>
    <row r="50" spans="1:20" ht="30">
      <c r="A50" s="183">
        <v>49</v>
      </c>
      <c r="B50" s="175" t="s">
        <v>703</v>
      </c>
      <c r="C50" s="175" t="s">
        <v>572</v>
      </c>
      <c r="D50" s="175">
        <v>3</v>
      </c>
      <c r="E50" s="175" t="s">
        <v>18</v>
      </c>
      <c r="F50" s="175">
        <v>1</v>
      </c>
      <c r="G50" s="175">
        <v>2</v>
      </c>
      <c r="H50" s="175">
        <v>1</v>
      </c>
      <c r="I50" s="175">
        <v>2</v>
      </c>
      <c r="J50" s="175">
        <v>2</v>
      </c>
      <c r="K50" s="175">
        <v>2</v>
      </c>
      <c r="L50" s="175">
        <v>2</v>
      </c>
      <c r="M50" s="175">
        <v>2</v>
      </c>
      <c r="N50" s="170"/>
      <c r="O50" s="170"/>
      <c r="P50" s="170"/>
      <c r="Q50" s="180">
        <f>SUM(Tabela2[[#This Row],[G]]+Tabela2[[#This Row],[D]]+Tabela2[[#This Row],[N]]+Tabela2[[#This Row],[HM]])</f>
        <v>6</v>
      </c>
      <c r="R50" s="180">
        <f>SUM(Tabela2[[#This Row],[AO]]+Tabela2[[#This Row],[AD]]+Tabela2[[#This Row],[GWO]]+Tabela2[[#This Row],[GWD]])</f>
        <v>8</v>
      </c>
      <c r="S50" s="180">
        <f>Tabela2[[#This Row],[GWO]]+Tabela2[[#This Row],[GWD]]</f>
        <v>4</v>
      </c>
      <c r="T50" s="180">
        <f>SUM(Tabela2[[#This Row],[G]:[GWD]])</f>
        <v>14</v>
      </c>
    </row>
    <row r="51" spans="1:20">
      <c r="A51" s="183">
        <v>50</v>
      </c>
      <c r="B51" s="175" t="s">
        <v>702</v>
      </c>
      <c r="C51" s="175" t="s">
        <v>701</v>
      </c>
      <c r="D51" s="175">
        <v>3</v>
      </c>
      <c r="E51" s="175" t="s">
        <v>18</v>
      </c>
      <c r="F51" s="175">
        <v>1</v>
      </c>
      <c r="G51" s="175">
        <v>1</v>
      </c>
      <c r="H51" s="175">
        <v>2</v>
      </c>
      <c r="I51" s="175">
        <v>2</v>
      </c>
      <c r="J51" s="175">
        <v>2</v>
      </c>
      <c r="K51" s="175">
        <v>1</v>
      </c>
      <c r="L51" s="175">
        <v>2</v>
      </c>
      <c r="M51" s="175">
        <v>2</v>
      </c>
      <c r="N51" s="170"/>
      <c r="O51" s="170"/>
      <c r="P51" s="170"/>
      <c r="Q51" s="180">
        <f>SUM(Tabela2[[#This Row],[G]]+Tabela2[[#This Row],[D]]+Tabela2[[#This Row],[N]]+Tabela2[[#This Row],[HM]])</f>
        <v>5</v>
      </c>
      <c r="R51" s="180">
        <f>SUM(Tabela2[[#This Row],[AO]]+Tabela2[[#This Row],[AD]]+Tabela2[[#This Row],[GWO]]+Tabela2[[#This Row],[GWD]])</f>
        <v>8</v>
      </c>
      <c r="S51" s="180">
        <f>Tabela2[[#This Row],[GWO]]+Tabela2[[#This Row],[GWD]]</f>
        <v>4</v>
      </c>
      <c r="T51" s="180">
        <f>SUM(Tabela2[[#This Row],[G]:[GWD]])</f>
        <v>13</v>
      </c>
    </row>
    <row r="52" spans="1:20" ht="30">
      <c r="A52" s="183">
        <v>51</v>
      </c>
      <c r="B52" s="175" t="s">
        <v>700</v>
      </c>
      <c r="C52" s="175" t="s">
        <v>570</v>
      </c>
      <c r="D52" s="175">
        <v>3</v>
      </c>
      <c r="E52" s="175" t="s">
        <v>18</v>
      </c>
      <c r="F52" s="175">
        <v>1</v>
      </c>
      <c r="G52" s="175">
        <v>1</v>
      </c>
      <c r="H52" s="175">
        <v>1</v>
      </c>
      <c r="I52" s="175">
        <v>2</v>
      </c>
      <c r="J52" s="175">
        <v>1</v>
      </c>
      <c r="K52" s="175">
        <v>1</v>
      </c>
      <c r="L52" s="175">
        <v>3</v>
      </c>
      <c r="M52" s="175">
        <v>1</v>
      </c>
      <c r="N52" s="175" t="s">
        <v>445</v>
      </c>
      <c r="O52" s="175"/>
      <c r="P52" s="175"/>
      <c r="Q52" s="184">
        <f>SUM(Tabela2[[#This Row],[G]]+Tabela2[[#This Row],[D]]+Tabela2[[#This Row],[N]]+Tabela2[[#This Row],[HM]])</f>
        <v>4</v>
      </c>
      <c r="R52" s="184">
        <f>SUM(Tabela2[[#This Row],[AO]]+Tabela2[[#This Row],[AD]]+Tabela2[[#This Row],[GWO]]+Tabela2[[#This Row],[GWD]])</f>
        <v>7</v>
      </c>
      <c r="S52" s="184">
        <f>Tabela2[[#This Row],[GWO]]+Tabela2[[#This Row],[GWD]]</f>
        <v>4</v>
      </c>
      <c r="T52" s="180">
        <f>SUM(Tabela2[[#This Row],[G]:[GWD]])</f>
        <v>11</v>
      </c>
    </row>
    <row r="53" spans="1:20" ht="30">
      <c r="A53" s="183">
        <v>52</v>
      </c>
      <c r="B53" s="175" t="s">
        <v>699</v>
      </c>
      <c r="C53" s="175" t="s">
        <v>568</v>
      </c>
      <c r="D53" s="175">
        <v>3</v>
      </c>
      <c r="E53" s="175" t="s">
        <v>18</v>
      </c>
      <c r="F53" s="175">
        <v>1</v>
      </c>
      <c r="G53" s="175">
        <v>3</v>
      </c>
      <c r="H53" s="175">
        <v>5</v>
      </c>
      <c r="I53" s="175">
        <v>4</v>
      </c>
      <c r="J53" s="175">
        <v>2</v>
      </c>
      <c r="K53" s="175">
        <v>1</v>
      </c>
      <c r="L53" s="175">
        <v>5</v>
      </c>
      <c r="M53" s="175">
        <v>2</v>
      </c>
      <c r="N53" s="170"/>
      <c r="O53" s="170" t="s">
        <v>783</v>
      </c>
      <c r="P53" s="194" t="s">
        <v>204</v>
      </c>
      <c r="Q53" s="180">
        <f>SUM(Tabela2[[#This Row],[G]]+Tabela2[[#This Row],[D]]+Tabela2[[#This Row],[N]]+Tabela2[[#This Row],[HM]])</f>
        <v>10</v>
      </c>
      <c r="R53" s="180">
        <f>SUM(Tabela2[[#This Row],[AO]]+Tabela2[[#This Row],[AD]]+Tabela2[[#This Row],[GWO]]+Tabela2[[#This Row],[GWD]])</f>
        <v>13</v>
      </c>
      <c r="S53" s="180">
        <f>Tabela2[[#This Row],[GWO]]+Tabela2[[#This Row],[GWD]]</f>
        <v>7</v>
      </c>
      <c r="T53" s="180">
        <f>SUM(Tabela2[[#This Row],[G]:[GWD]])</f>
        <v>23</v>
      </c>
    </row>
    <row r="54" spans="1:20" ht="30">
      <c r="A54" s="183">
        <v>53</v>
      </c>
      <c r="B54" s="175" t="s">
        <v>698</v>
      </c>
      <c r="C54" s="175" t="s">
        <v>566</v>
      </c>
      <c r="D54" s="175">
        <v>3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2</v>
      </c>
      <c r="K54" s="175">
        <v>1</v>
      </c>
      <c r="L54" s="175">
        <v>3</v>
      </c>
      <c r="M54" s="175">
        <v>2</v>
      </c>
      <c r="N54" s="170"/>
      <c r="O54" s="170" t="s">
        <v>204</v>
      </c>
      <c r="P54" s="170"/>
      <c r="Q54" s="180">
        <f>SUM(Tabela2[[#This Row],[G]]+Tabela2[[#This Row],[D]]+Tabela2[[#This Row],[N]]+Tabela2[[#This Row],[HM]])</f>
        <v>4</v>
      </c>
      <c r="R54" s="180">
        <f>SUM(Tabela2[[#This Row],[AO]]+Tabela2[[#This Row],[AD]]+Tabela2[[#This Row],[GWO]]+Tabela2[[#This Row],[GWD]])</f>
        <v>9</v>
      </c>
      <c r="S54" s="180">
        <f>Tabela2[[#This Row],[GWO]]+Tabela2[[#This Row],[GWD]]</f>
        <v>5</v>
      </c>
      <c r="T54" s="180">
        <f>SUM(Tabela2[[#This Row],[G]:[GWD]])</f>
        <v>13</v>
      </c>
    </row>
    <row r="55" spans="1:20">
      <c r="A55" s="183">
        <v>54</v>
      </c>
      <c r="B55" s="175" t="s">
        <v>697</v>
      </c>
      <c r="C55" s="175" t="s">
        <v>565</v>
      </c>
      <c r="D55" s="175">
        <v>3</v>
      </c>
      <c r="E55" s="175" t="s">
        <v>18</v>
      </c>
      <c r="F55" s="175">
        <v>1</v>
      </c>
      <c r="G55" s="175">
        <v>1</v>
      </c>
      <c r="H55" s="175">
        <v>2</v>
      </c>
      <c r="I55" s="175">
        <v>1</v>
      </c>
      <c r="J55" s="175">
        <v>1</v>
      </c>
      <c r="K55" s="175">
        <v>1</v>
      </c>
      <c r="L55" s="175">
        <v>3</v>
      </c>
      <c r="M55" s="175">
        <v>1</v>
      </c>
      <c r="N55" s="170"/>
      <c r="O55" s="170"/>
      <c r="P55" s="170"/>
      <c r="Q55" s="180">
        <f>SUM(Tabela2[[#This Row],[G]]+Tabela2[[#This Row],[D]]+Tabela2[[#This Row],[N]]+Tabela2[[#This Row],[HM]])</f>
        <v>5</v>
      </c>
      <c r="R55" s="180">
        <f>SUM(Tabela2[[#This Row],[AO]]+Tabela2[[#This Row],[AD]]+Tabela2[[#This Row],[GWO]]+Tabela2[[#This Row],[GWD]])</f>
        <v>6</v>
      </c>
      <c r="S55" s="180">
        <f>Tabela2[[#This Row],[GWO]]+Tabela2[[#This Row],[GWD]]</f>
        <v>4</v>
      </c>
      <c r="T55" s="180">
        <f>SUM(Tabela2[[#This Row],[G]:[GWD]])</f>
        <v>11</v>
      </c>
    </row>
    <row r="56" spans="1:20" ht="30">
      <c r="A56" s="183">
        <v>55</v>
      </c>
      <c r="B56" s="175" t="s">
        <v>696</v>
      </c>
      <c r="C56" s="175" t="s">
        <v>695</v>
      </c>
      <c r="D56" s="175">
        <v>3</v>
      </c>
      <c r="E56" s="175" t="s">
        <v>18</v>
      </c>
      <c r="F56" s="175">
        <v>1</v>
      </c>
      <c r="G56" s="175">
        <v>1</v>
      </c>
      <c r="H56" s="175">
        <v>1</v>
      </c>
      <c r="I56" s="175">
        <v>1</v>
      </c>
      <c r="J56" s="175">
        <v>1</v>
      </c>
      <c r="K56" s="175">
        <v>1</v>
      </c>
      <c r="L56" s="175">
        <v>1</v>
      </c>
      <c r="M56" s="175">
        <v>1</v>
      </c>
      <c r="N56" s="170"/>
      <c r="O56" s="170"/>
      <c r="P56" s="170"/>
      <c r="Q56" s="180">
        <f>SUM(Tabela2[[#This Row],[G]]+Tabela2[[#This Row],[D]]+Tabela2[[#This Row],[N]]+Tabela2[[#This Row],[HM]])</f>
        <v>4</v>
      </c>
      <c r="R56" s="180">
        <f>SUM(Tabela2[[#This Row],[AO]]+Tabela2[[#This Row],[AD]]+Tabela2[[#This Row],[GWO]]+Tabela2[[#This Row],[GWD]])</f>
        <v>4</v>
      </c>
      <c r="S56" s="180">
        <f>Tabela2[[#This Row],[GWO]]+Tabela2[[#This Row],[GWD]]</f>
        <v>2</v>
      </c>
      <c r="T56" s="180">
        <f>SUM(Tabela2[[#This Row],[G]:[GWD]])</f>
        <v>8</v>
      </c>
    </row>
    <row r="57" spans="1:20">
      <c r="A57" s="183">
        <v>56</v>
      </c>
      <c r="B57" s="175" t="s">
        <v>694</v>
      </c>
      <c r="C57" s="175" t="s">
        <v>693</v>
      </c>
      <c r="D57" s="175">
        <v>3</v>
      </c>
      <c r="E57" s="175" t="s">
        <v>18</v>
      </c>
      <c r="F57" s="175">
        <v>1</v>
      </c>
      <c r="G57" s="175">
        <v>1</v>
      </c>
      <c r="H57" s="175">
        <v>1</v>
      </c>
      <c r="I57" s="175">
        <v>1</v>
      </c>
      <c r="J57" s="175">
        <v>1</v>
      </c>
      <c r="K57" s="175">
        <v>1</v>
      </c>
      <c r="L57" s="175">
        <v>1</v>
      </c>
      <c r="M57" s="175">
        <v>1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4</v>
      </c>
      <c r="S57" s="180">
        <f>Tabela2[[#This Row],[GWO]]+Tabela2[[#This Row],[GWD]]</f>
        <v>2</v>
      </c>
      <c r="T57" s="180">
        <f>SUM(Tabela2[[#This Row],[G]:[GWD]])</f>
        <v>8</v>
      </c>
    </row>
    <row r="58" spans="1:20">
      <c r="A58" s="183">
        <v>57</v>
      </c>
      <c r="B58" s="175" t="s">
        <v>692</v>
      </c>
      <c r="C58" s="175" t="s">
        <v>283</v>
      </c>
      <c r="D58" s="175">
        <v>3</v>
      </c>
      <c r="E58" s="175" t="s">
        <v>18</v>
      </c>
      <c r="F58" s="175">
        <v>1</v>
      </c>
      <c r="G58" s="175">
        <v>1</v>
      </c>
      <c r="H58" s="175">
        <v>1</v>
      </c>
      <c r="I58" s="175">
        <v>1</v>
      </c>
      <c r="J58" s="175">
        <v>2</v>
      </c>
      <c r="K58" s="175">
        <v>1</v>
      </c>
      <c r="L58" s="175">
        <v>1</v>
      </c>
      <c r="M58" s="175">
        <v>1</v>
      </c>
      <c r="N58" s="170"/>
      <c r="O58" s="170"/>
      <c r="P58" s="170"/>
      <c r="Q58" s="180">
        <f>SUM(Tabela2[[#This Row],[G]]+Tabela2[[#This Row],[D]]+Tabela2[[#This Row],[N]]+Tabela2[[#This Row],[HM]])</f>
        <v>4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2</v>
      </c>
      <c r="T58" s="180">
        <f>SUM(Tabela2[[#This Row],[G]:[GWD]])</f>
        <v>9</v>
      </c>
    </row>
    <row r="59" spans="1:20">
      <c r="A59" s="183">
        <v>58</v>
      </c>
      <c r="B59" s="175" t="s">
        <v>691</v>
      </c>
      <c r="C59" s="175" t="s">
        <v>690</v>
      </c>
      <c r="D59" s="175">
        <v>3</v>
      </c>
      <c r="E59" s="175" t="s">
        <v>18</v>
      </c>
      <c r="F59" s="175">
        <v>3</v>
      </c>
      <c r="G59" s="175">
        <v>5</v>
      </c>
      <c r="H59" s="175">
        <v>1</v>
      </c>
      <c r="I59" s="175">
        <v>2</v>
      </c>
      <c r="J59" s="175">
        <v>2</v>
      </c>
      <c r="K59" s="175">
        <v>4</v>
      </c>
      <c r="L59" s="175">
        <v>2</v>
      </c>
      <c r="M59" s="175">
        <v>2</v>
      </c>
      <c r="N59" s="170"/>
      <c r="O59" s="170" t="s">
        <v>204</v>
      </c>
      <c r="P59" s="170"/>
      <c r="Q59" s="180">
        <f>SUM(Tabela2[[#This Row],[G]]+Tabela2[[#This Row],[D]]+Tabela2[[#This Row],[N]]+Tabela2[[#This Row],[HM]])</f>
        <v>13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21</v>
      </c>
    </row>
    <row r="60" spans="1:20" ht="30">
      <c r="A60" s="183">
        <v>59</v>
      </c>
      <c r="B60" s="175" t="s">
        <v>689</v>
      </c>
      <c r="C60" s="175" t="s">
        <v>688</v>
      </c>
      <c r="D60" s="175">
        <v>3</v>
      </c>
      <c r="E60" s="175" t="s">
        <v>18</v>
      </c>
      <c r="F60" s="175">
        <v>1</v>
      </c>
      <c r="G60" s="175">
        <v>1</v>
      </c>
      <c r="H60" s="175">
        <v>1</v>
      </c>
      <c r="I60" s="175">
        <v>2</v>
      </c>
      <c r="J60" s="175">
        <v>1</v>
      </c>
      <c r="K60" s="175">
        <v>1</v>
      </c>
      <c r="L60" s="175">
        <v>2</v>
      </c>
      <c r="M60" s="175">
        <v>1</v>
      </c>
      <c r="N60" s="170"/>
      <c r="O60" s="170" t="s">
        <v>204</v>
      </c>
      <c r="P60" s="170"/>
      <c r="Q60" s="180">
        <f>SUM(Tabela2[[#This Row],[G]]+Tabela2[[#This Row],[D]]+Tabela2[[#This Row],[N]]+Tabela2[[#This Row],[HM]])</f>
        <v>4</v>
      </c>
      <c r="R60" s="180">
        <f>SUM(Tabela2[[#This Row],[AO]]+Tabela2[[#This Row],[AD]]+Tabela2[[#This Row],[GWO]]+Tabela2[[#This Row],[GWD]])</f>
        <v>6</v>
      </c>
      <c r="S60" s="180">
        <f>Tabela2[[#This Row],[GWO]]+Tabela2[[#This Row],[GWD]]</f>
        <v>3</v>
      </c>
      <c r="T60" s="180">
        <f>SUM(Tabela2[[#This Row],[G]:[GWD]])</f>
        <v>10</v>
      </c>
    </row>
    <row r="61" spans="1:20">
      <c r="A61" s="183">
        <v>60</v>
      </c>
      <c r="B61" s="175" t="s">
        <v>687</v>
      </c>
      <c r="C61" s="175" t="s">
        <v>546</v>
      </c>
      <c r="D61" s="175">
        <v>3</v>
      </c>
      <c r="E61" s="175" t="s">
        <v>18</v>
      </c>
      <c r="F61" s="175">
        <v>1</v>
      </c>
      <c r="G61" s="175">
        <v>1</v>
      </c>
      <c r="H61" s="175">
        <v>3</v>
      </c>
      <c r="I61" s="175">
        <v>1</v>
      </c>
      <c r="J61" s="175">
        <v>1</v>
      </c>
      <c r="K61" s="175">
        <v>1</v>
      </c>
      <c r="L61" s="175">
        <v>1</v>
      </c>
      <c r="M61" s="175">
        <v>1</v>
      </c>
      <c r="N61" s="170"/>
      <c r="O61" s="170"/>
      <c r="P61" s="170"/>
      <c r="Q61" s="180">
        <f>SUM(Tabela2[[#This Row],[G]]+Tabela2[[#This Row],[D]]+Tabela2[[#This Row],[N]]+Tabela2[[#This Row],[HM]])</f>
        <v>6</v>
      </c>
      <c r="R61" s="180">
        <f>SUM(Tabela2[[#This Row],[AO]]+Tabela2[[#This Row],[AD]]+Tabela2[[#This Row],[GWO]]+Tabela2[[#This Row],[GWD]])</f>
        <v>4</v>
      </c>
      <c r="S61" s="180">
        <f>Tabela2[[#This Row],[GWO]]+Tabela2[[#This Row],[GWD]]</f>
        <v>2</v>
      </c>
      <c r="T61" s="180">
        <f>SUM(Tabela2[[#This Row],[G]:[GWD]])</f>
        <v>10</v>
      </c>
    </row>
    <row r="62" spans="1:20" ht="30">
      <c r="A62" s="183">
        <v>61</v>
      </c>
      <c r="B62" s="175" t="s">
        <v>686</v>
      </c>
      <c r="C62" s="175" t="s">
        <v>685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4</v>
      </c>
      <c r="J62" s="175">
        <v>1</v>
      </c>
      <c r="K62" s="175">
        <v>1</v>
      </c>
      <c r="L62" s="175">
        <v>4</v>
      </c>
      <c r="M62" s="175">
        <v>1</v>
      </c>
      <c r="N62" s="175" t="s">
        <v>445</v>
      </c>
      <c r="O62" s="175" t="s">
        <v>204</v>
      </c>
      <c r="P62" s="175"/>
      <c r="Q62" s="184">
        <f>SUM(Tabela2[[#This Row],[G]]+Tabela2[[#This Row],[D]]+Tabela2[[#This Row],[N]]+Tabela2[[#This Row],[HM]])</f>
        <v>4</v>
      </c>
      <c r="R62" s="184">
        <f>SUM(Tabela2[[#This Row],[AO]]+Tabela2[[#This Row],[AD]]+Tabela2[[#This Row],[GWO]]+Tabela2[[#This Row],[GWD]])</f>
        <v>10</v>
      </c>
      <c r="S62" s="184">
        <f>Tabela2[[#This Row],[GWO]]+Tabela2[[#This Row],[GWD]]</f>
        <v>5</v>
      </c>
      <c r="T62" s="180">
        <f>SUM(Tabela2[[#This Row],[G]:[GWD]])</f>
        <v>14</v>
      </c>
    </row>
    <row r="63" spans="1:20" ht="30">
      <c r="A63" s="183">
        <v>62</v>
      </c>
      <c r="B63" s="175" t="s">
        <v>684</v>
      </c>
      <c r="C63" s="175" t="s">
        <v>542</v>
      </c>
      <c r="D63" s="175">
        <v>3</v>
      </c>
      <c r="E63" s="175" t="s">
        <v>18</v>
      </c>
      <c r="F63" s="175">
        <v>1</v>
      </c>
      <c r="G63" s="175">
        <v>1</v>
      </c>
      <c r="H63" s="175">
        <v>2</v>
      </c>
      <c r="I63" s="175">
        <v>1</v>
      </c>
      <c r="J63" s="175">
        <v>1</v>
      </c>
      <c r="K63" s="175">
        <v>1</v>
      </c>
      <c r="L63" s="175">
        <v>1</v>
      </c>
      <c r="M63" s="175">
        <v>1</v>
      </c>
      <c r="N63" s="170"/>
      <c r="O63" s="170"/>
      <c r="P63" s="170"/>
      <c r="Q63" s="180">
        <f>SUM(Tabela2[[#This Row],[G]]+Tabela2[[#This Row],[D]]+Tabela2[[#This Row],[N]]+Tabela2[[#This Row],[HM]])</f>
        <v>5</v>
      </c>
      <c r="R63" s="180">
        <f>SUM(Tabela2[[#This Row],[AO]]+Tabela2[[#This Row],[AD]]+Tabela2[[#This Row],[GWO]]+Tabela2[[#This Row],[GWD]])</f>
        <v>4</v>
      </c>
      <c r="S63" s="180">
        <f>Tabela2[[#This Row],[GWO]]+Tabela2[[#This Row],[GWD]]</f>
        <v>2</v>
      </c>
      <c r="T63" s="180">
        <f>SUM(Tabela2[[#This Row],[G]:[GWD]])</f>
        <v>9</v>
      </c>
    </row>
    <row r="64" spans="1:20">
      <c r="A64" s="183">
        <v>63</v>
      </c>
      <c r="B64" s="175" t="s">
        <v>683</v>
      </c>
      <c r="C64" s="175" t="s">
        <v>540</v>
      </c>
      <c r="D64" s="175">
        <v>3</v>
      </c>
      <c r="E64" s="175" t="s">
        <v>18</v>
      </c>
      <c r="F64" s="175">
        <v>1</v>
      </c>
      <c r="G64" s="175">
        <v>1</v>
      </c>
      <c r="H64" s="175">
        <v>1</v>
      </c>
      <c r="I64" s="175">
        <v>1</v>
      </c>
      <c r="J64" s="175">
        <v>1</v>
      </c>
      <c r="K64" s="175">
        <v>1</v>
      </c>
      <c r="L64" s="175">
        <v>1</v>
      </c>
      <c r="M64" s="175">
        <v>1</v>
      </c>
      <c r="N64" s="170"/>
      <c r="O64" s="170"/>
      <c r="P64" s="170"/>
      <c r="Q64" s="180">
        <f>SUM(Tabela2[[#This Row],[G]]+Tabela2[[#This Row],[D]]+Tabela2[[#This Row],[N]]+Tabela2[[#This Row],[HM]])</f>
        <v>4</v>
      </c>
      <c r="R64" s="180">
        <f>SUM(Tabela2[[#This Row],[AO]]+Tabela2[[#This Row],[AD]]+Tabela2[[#This Row],[GWO]]+Tabela2[[#This Row],[GWD]])</f>
        <v>4</v>
      </c>
      <c r="S64" s="180">
        <f>Tabela2[[#This Row],[GWO]]+Tabela2[[#This Row],[GWD]]</f>
        <v>2</v>
      </c>
      <c r="T64" s="180">
        <f>SUM(Tabela2[[#This Row],[G]:[GWD]])</f>
        <v>8</v>
      </c>
    </row>
    <row r="65" spans="1:20">
      <c r="A65" s="183">
        <v>64</v>
      </c>
      <c r="B65" s="175" t="s">
        <v>208</v>
      </c>
      <c r="C65" s="175" t="s">
        <v>358</v>
      </c>
      <c r="D65" s="175">
        <v>3</v>
      </c>
      <c r="E65" s="175" t="s">
        <v>18</v>
      </c>
      <c r="F65" s="175">
        <v>1</v>
      </c>
      <c r="G65" s="175">
        <v>1</v>
      </c>
      <c r="H65" s="175">
        <v>4</v>
      </c>
      <c r="I65" s="175">
        <v>3</v>
      </c>
      <c r="J65" s="175">
        <v>2</v>
      </c>
      <c r="K65" s="175">
        <v>1</v>
      </c>
      <c r="L65" s="175">
        <v>4</v>
      </c>
      <c r="M65" s="175">
        <v>2</v>
      </c>
      <c r="N65" s="170"/>
      <c r="O65" s="170" t="s">
        <v>204</v>
      </c>
      <c r="P65" s="170"/>
      <c r="Q65" s="180">
        <f>SUM(Tabela2[[#This Row],[G]]+Tabela2[[#This Row],[D]]+Tabela2[[#This Row],[N]]+Tabela2[[#This Row],[HM]])</f>
        <v>7</v>
      </c>
      <c r="R65" s="180">
        <f>SUM(Tabela2[[#This Row],[AO]]+Tabela2[[#This Row],[AD]]+Tabela2[[#This Row],[GWO]]+Tabela2[[#This Row],[GWD]])</f>
        <v>11</v>
      </c>
      <c r="S65" s="180">
        <f>Tabela2[[#This Row],[GWO]]+Tabela2[[#This Row],[GWD]]</f>
        <v>6</v>
      </c>
      <c r="T65" s="180">
        <f>SUM(Tabela2[[#This Row],[G]:[GWD]])</f>
        <v>18</v>
      </c>
    </row>
    <row r="66" spans="1:20" ht="30">
      <c r="A66" s="183">
        <v>65</v>
      </c>
      <c r="B66" s="175" t="s">
        <v>682</v>
      </c>
      <c r="C66" s="175" t="s">
        <v>538</v>
      </c>
      <c r="D66" s="175">
        <v>3</v>
      </c>
      <c r="E66" s="175" t="s">
        <v>18</v>
      </c>
      <c r="F66" s="175">
        <v>1</v>
      </c>
      <c r="G66" s="175">
        <v>1</v>
      </c>
      <c r="H66" s="175">
        <v>1</v>
      </c>
      <c r="I66" s="175">
        <v>1</v>
      </c>
      <c r="J66" s="175">
        <v>2</v>
      </c>
      <c r="K66" s="175">
        <v>1</v>
      </c>
      <c r="L66" s="175">
        <v>1</v>
      </c>
      <c r="M66" s="175">
        <v>2</v>
      </c>
      <c r="N66" s="175" t="s">
        <v>445</v>
      </c>
      <c r="O66" s="175" t="s">
        <v>204</v>
      </c>
      <c r="P66" s="175"/>
      <c r="Q66" s="184">
        <f>SUM(Tabela2[[#This Row],[G]]+Tabela2[[#This Row],[D]]+Tabela2[[#This Row],[N]]+Tabela2[[#This Row],[HM]])</f>
        <v>4</v>
      </c>
      <c r="R66" s="184">
        <f>SUM(Tabela2[[#This Row],[AO]]+Tabela2[[#This Row],[AD]]+Tabela2[[#This Row],[GWO]]+Tabela2[[#This Row],[GWD]])</f>
        <v>6</v>
      </c>
      <c r="S66" s="184">
        <f>Tabela2[[#This Row],[GWO]]+Tabela2[[#This Row],[GWD]]</f>
        <v>3</v>
      </c>
      <c r="T66" s="180">
        <f>SUM(Tabela2[[#This Row],[G]:[GWD]])</f>
        <v>10</v>
      </c>
    </row>
    <row r="67" spans="1:20">
      <c r="A67" s="183">
        <v>66</v>
      </c>
      <c r="B67" s="175" t="s">
        <v>681</v>
      </c>
      <c r="C67" s="175" t="s">
        <v>680</v>
      </c>
      <c r="D67" s="175">
        <v>3</v>
      </c>
      <c r="E67" s="175" t="s">
        <v>18</v>
      </c>
      <c r="F67" s="175">
        <v>1</v>
      </c>
      <c r="G67" s="175">
        <v>1</v>
      </c>
      <c r="H67" s="175">
        <v>1</v>
      </c>
      <c r="I67" s="175">
        <v>1</v>
      </c>
      <c r="J67" s="175">
        <v>1</v>
      </c>
      <c r="K67" s="175">
        <v>1</v>
      </c>
      <c r="L67" s="175">
        <v>1</v>
      </c>
      <c r="M67" s="175">
        <v>1</v>
      </c>
      <c r="N67" s="170"/>
      <c r="O67" s="170"/>
      <c r="P67" s="170"/>
      <c r="Q67" s="180">
        <f>SUM(Tabela2[[#This Row],[G]]+Tabela2[[#This Row],[D]]+Tabela2[[#This Row],[N]]+Tabela2[[#This Row],[HM]])</f>
        <v>4</v>
      </c>
      <c r="R67" s="180">
        <f>SUM(Tabela2[[#This Row],[AO]]+Tabela2[[#This Row],[AD]]+Tabela2[[#This Row],[GWO]]+Tabela2[[#This Row],[GWD]])</f>
        <v>4</v>
      </c>
      <c r="S67" s="180">
        <f>Tabela2[[#This Row],[GWO]]+Tabela2[[#This Row],[GWD]]</f>
        <v>2</v>
      </c>
      <c r="T67" s="180">
        <f>SUM(Tabela2[[#This Row],[G]:[GWD]])</f>
        <v>8</v>
      </c>
    </row>
    <row r="68" spans="1:20">
      <c r="A68" s="183">
        <v>67</v>
      </c>
      <c r="B68" s="175" t="s">
        <v>679</v>
      </c>
      <c r="C68" s="175" t="s">
        <v>678</v>
      </c>
      <c r="D68" s="175">
        <v>3</v>
      </c>
      <c r="E68" s="175" t="s">
        <v>18</v>
      </c>
      <c r="F68" s="175">
        <v>1</v>
      </c>
      <c r="G68" s="175">
        <v>1</v>
      </c>
      <c r="H68" s="175">
        <v>1</v>
      </c>
      <c r="I68" s="175">
        <v>1</v>
      </c>
      <c r="J68" s="175">
        <v>1</v>
      </c>
      <c r="K68" s="175">
        <v>1</v>
      </c>
      <c r="L68" s="175">
        <v>1</v>
      </c>
      <c r="M68" s="175">
        <v>1</v>
      </c>
      <c r="N68" s="175" t="s">
        <v>445</v>
      </c>
      <c r="O68" s="175"/>
      <c r="P68" s="175"/>
      <c r="Q68" s="184">
        <f>SUM(Tabela2[[#This Row],[G]]+Tabela2[[#This Row],[D]]+Tabela2[[#This Row],[N]]+Tabela2[[#This Row],[HM]])</f>
        <v>4</v>
      </c>
      <c r="R68" s="184">
        <f>SUM(Tabela2[[#This Row],[AO]]+Tabela2[[#This Row],[AD]]+Tabela2[[#This Row],[GWO]]+Tabela2[[#This Row],[GWD]])</f>
        <v>4</v>
      </c>
      <c r="S68" s="184">
        <f>Tabela2[[#This Row],[GWO]]+Tabela2[[#This Row],[GWD]]</f>
        <v>2</v>
      </c>
      <c r="T68" s="180">
        <f>SUM(Tabela2[[#This Row],[G]:[GWD]])</f>
        <v>8</v>
      </c>
    </row>
    <row r="69" spans="1:20" ht="30">
      <c r="A69" s="183">
        <v>68</v>
      </c>
      <c r="B69" s="175" t="s">
        <v>677</v>
      </c>
      <c r="C69" s="175" t="s">
        <v>534</v>
      </c>
      <c r="D69" s="175">
        <v>3</v>
      </c>
      <c r="E69" s="175" t="s">
        <v>18</v>
      </c>
      <c r="F69" s="175">
        <v>1</v>
      </c>
      <c r="G69" s="175">
        <v>1</v>
      </c>
      <c r="H69" s="175">
        <v>1</v>
      </c>
      <c r="I69" s="175">
        <v>1</v>
      </c>
      <c r="J69" s="175">
        <v>1</v>
      </c>
      <c r="K69" s="175">
        <v>1</v>
      </c>
      <c r="L69" s="175">
        <v>1</v>
      </c>
      <c r="M69" s="175">
        <v>1</v>
      </c>
      <c r="N69" s="170"/>
      <c r="O69" s="170"/>
      <c r="P69" s="170"/>
      <c r="Q69" s="180">
        <f>SUM(Tabela2[[#This Row],[G]]+Tabela2[[#This Row],[D]]+Tabela2[[#This Row],[N]]+Tabela2[[#This Row],[HM]])</f>
        <v>4</v>
      </c>
      <c r="R69" s="180">
        <f>SUM(Tabela2[[#This Row],[AO]]+Tabela2[[#This Row],[AD]]+Tabela2[[#This Row],[GWO]]+Tabela2[[#This Row],[GWD]])</f>
        <v>4</v>
      </c>
      <c r="S69" s="180">
        <f>Tabela2[[#This Row],[GWO]]+Tabela2[[#This Row],[GWD]]</f>
        <v>2</v>
      </c>
      <c r="T69" s="180">
        <f>SUM(Tabela2[[#This Row],[G]:[GWD]])</f>
        <v>8</v>
      </c>
    </row>
    <row r="70" spans="1:20" ht="30">
      <c r="A70" s="183">
        <v>69</v>
      </c>
      <c r="B70" s="175" t="s">
        <v>676</v>
      </c>
      <c r="C70" s="175" t="s">
        <v>532</v>
      </c>
      <c r="D70" s="175">
        <v>3</v>
      </c>
      <c r="E70" s="175" t="s">
        <v>18</v>
      </c>
      <c r="F70" s="175">
        <v>1</v>
      </c>
      <c r="G70" s="175">
        <v>1</v>
      </c>
      <c r="H70" s="175">
        <v>1</v>
      </c>
      <c r="I70" s="175">
        <v>1</v>
      </c>
      <c r="J70" s="175">
        <v>1</v>
      </c>
      <c r="K70" s="175">
        <v>1</v>
      </c>
      <c r="L70" s="175">
        <v>1</v>
      </c>
      <c r="M70" s="175">
        <v>1</v>
      </c>
      <c r="N70" s="175" t="s">
        <v>445</v>
      </c>
      <c r="O70" s="175"/>
      <c r="P70" s="175"/>
      <c r="Q70" s="184">
        <f>SUM(Tabela2[[#This Row],[G]]+Tabela2[[#This Row],[D]]+Tabela2[[#This Row],[N]]+Tabela2[[#This Row],[HM]])</f>
        <v>4</v>
      </c>
      <c r="R70" s="184">
        <f>SUM(Tabela2[[#This Row],[AO]]+Tabela2[[#This Row],[AD]]+Tabela2[[#This Row],[GWO]]+Tabela2[[#This Row],[GWD]])</f>
        <v>4</v>
      </c>
      <c r="S70" s="184">
        <f>Tabela2[[#This Row],[GWO]]+Tabela2[[#This Row],[GWD]]</f>
        <v>2</v>
      </c>
      <c r="T70" s="180">
        <f>SUM(Tabela2[[#This Row],[G]:[GWD]])</f>
        <v>8</v>
      </c>
    </row>
    <row r="71" spans="1:20" ht="30">
      <c r="A71" s="183">
        <v>70</v>
      </c>
      <c r="B71" s="175" t="s">
        <v>675</v>
      </c>
      <c r="C71" s="175" t="s">
        <v>530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0"/>
      <c r="O71" s="170"/>
      <c r="P71" s="170"/>
      <c r="Q71" s="180">
        <f>SUM(Tabela2[[#This Row],[G]]+Tabela2[[#This Row],[D]]+Tabela2[[#This Row],[N]]+Tabela2[[#This Row],[HM]])</f>
        <v>4</v>
      </c>
      <c r="R71" s="180">
        <f>SUM(Tabela2[[#This Row],[AO]]+Tabela2[[#This Row],[AD]]+Tabela2[[#This Row],[GWO]]+Tabela2[[#This Row],[GWD]])</f>
        <v>4</v>
      </c>
      <c r="S71" s="180">
        <f>Tabela2[[#This Row],[GWO]]+Tabela2[[#This Row],[GWD]]</f>
        <v>2</v>
      </c>
      <c r="T71" s="180">
        <f>SUM(Tabela2[[#This Row],[G]:[GWD]])</f>
        <v>8</v>
      </c>
    </row>
    <row r="72" spans="1:20" ht="30">
      <c r="A72" s="183">
        <v>71</v>
      </c>
      <c r="B72" s="175" t="s">
        <v>674</v>
      </c>
      <c r="C72" s="175" t="s">
        <v>528</v>
      </c>
      <c r="D72" s="175">
        <v>3</v>
      </c>
      <c r="E72" s="175" t="s">
        <v>18</v>
      </c>
      <c r="F72" s="175">
        <v>1</v>
      </c>
      <c r="G72" s="175">
        <v>1</v>
      </c>
      <c r="H72" s="175">
        <v>1</v>
      </c>
      <c r="I72" s="175">
        <v>1</v>
      </c>
      <c r="J72" s="175">
        <v>1</v>
      </c>
      <c r="K72" s="175">
        <v>1</v>
      </c>
      <c r="L72" s="175">
        <v>1</v>
      </c>
      <c r="M72" s="175">
        <v>1</v>
      </c>
      <c r="N72" s="170"/>
      <c r="O72" s="170"/>
      <c r="P72" s="170"/>
      <c r="Q72" s="180">
        <f>SUM(Tabela2[[#This Row],[G]]+Tabela2[[#This Row],[D]]+Tabela2[[#This Row],[N]]+Tabela2[[#This Row],[HM]])</f>
        <v>4</v>
      </c>
      <c r="R72" s="180">
        <f>SUM(Tabela2[[#This Row],[AO]]+Tabela2[[#This Row],[AD]]+Tabela2[[#This Row],[GWO]]+Tabela2[[#This Row],[GWD]])</f>
        <v>4</v>
      </c>
      <c r="S72" s="180">
        <f>Tabela2[[#This Row],[GWO]]+Tabela2[[#This Row],[GWD]]</f>
        <v>2</v>
      </c>
      <c r="T72" s="180">
        <f>SUM(Tabela2[[#This Row],[G]:[GWD]])</f>
        <v>8</v>
      </c>
    </row>
    <row r="73" spans="1:20" ht="30">
      <c r="A73" s="183">
        <v>72</v>
      </c>
      <c r="B73" s="175" t="s">
        <v>673</v>
      </c>
      <c r="C73" s="175" t="s">
        <v>526</v>
      </c>
      <c r="D73" s="175">
        <v>3</v>
      </c>
      <c r="E73" s="175" t="s">
        <v>18</v>
      </c>
      <c r="F73" s="175">
        <v>1</v>
      </c>
      <c r="G73" s="175">
        <v>1</v>
      </c>
      <c r="H73" s="175">
        <v>1</v>
      </c>
      <c r="I73" s="175">
        <v>1</v>
      </c>
      <c r="J73" s="175">
        <v>1</v>
      </c>
      <c r="K73" s="175">
        <v>1</v>
      </c>
      <c r="L73" s="175">
        <v>1</v>
      </c>
      <c r="M73" s="175">
        <v>1</v>
      </c>
      <c r="N73" s="170"/>
      <c r="O73" s="170"/>
      <c r="P73" s="170"/>
      <c r="Q73" s="180">
        <f>SUM(Tabela2[[#This Row],[G]]+Tabela2[[#This Row],[D]]+Tabela2[[#This Row],[N]]+Tabela2[[#This Row],[HM]])</f>
        <v>4</v>
      </c>
      <c r="R73" s="180">
        <f>SUM(Tabela2[[#This Row],[AO]]+Tabela2[[#This Row],[AD]]+Tabela2[[#This Row],[GWO]]+Tabela2[[#This Row],[GWD]])</f>
        <v>4</v>
      </c>
      <c r="S73" s="180">
        <f>Tabela2[[#This Row],[GWO]]+Tabela2[[#This Row],[GWD]]</f>
        <v>2</v>
      </c>
      <c r="T73" s="180">
        <f>SUM(Tabela2[[#This Row],[G]:[GWD]])</f>
        <v>8</v>
      </c>
    </row>
    <row r="74" spans="1:20" ht="30">
      <c r="A74" s="183">
        <v>73</v>
      </c>
      <c r="B74" s="175" t="s">
        <v>672</v>
      </c>
      <c r="C74" s="175" t="s">
        <v>671</v>
      </c>
      <c r="D74" s="175">
        <v>3</v>
      </c>
      <c r="E74" s="175" t="s">
        <v>18</v>
      </c>
      <c r="F74" s="175">
        <v>1</v>
      </c>
      <c r="G74" s="175">
        <v>1</v>
      </c>
      <c r="H74" s="175">
        <v>1</v>
      </c>
      <c r="I74" s="175">
        <v>1</v>
      </c>
      <c r="J74" s="175">
        <v>1</v>
      </c>
      <c r="K74" s="175">
        <v>1</v>
      </c>
      <c r="L74" s="175">
        <v>1</v>
      </c>
      <c r="M74" s="175">
        <v>1</v>
      </c>
      <c r="N74" s="175" t="s">
        <v>445</v>
      </c>
      <c r="O74" s="175"/>
      <c r="P74" s="175"/>
      <c r="Q74" s="184">
        <f>SUM(Tabela2[[#This Row],[G]]+Tabela2[[#This Row],[D]]+Tabela2[[#This Row],[N]]+Tabela2[[#This Row],[HM]])</f>
        <v>4</v>
      </c>
      <c r="R74" s="184">
        <f>SUM(Tabela2[[#This Row],[AO]]+Tabela2[[#This Row],[AD]]+Tabela2[[#This Row],[GWO]]+Tabela2[[#This Row],[GWD]])</f>
        <v>4</v>
      </c>
      <c r="S74" s="184">
        <f>Tabela2[[#This Row],[GWO]]+Tabela2[[#This Row],[GWD]]</f>
        <v>2</v>
      </c>
      <c r="T74" s="180">
        <f>SUM(Tabela2[[#This Row],[G]:[GWD]])</f>
        <v>8</v>
      </c>
    </row>
    <row r="75" spans="1:20">
      <c r="A75" s="183">
        <v>74</v>
      </c>
      <c r="B75" s="175" t="s">
        <v>670</v>
      </c>
      <c r="C75" s="175" t="s">
        <v>284</v>
      </c>
      <c r="D75" s="175">
        <v>3</v>
      </c>
      <c r="E75" s="175" t="s">
        <v>18</v>
      </c>
      <c r="F75" s="175">
        <v>1</v>
      </c>
      <c r="G75" s="175">
        <v>1</v>
      </c>
      <c r="H75" s="175">
        <v>1</v>
      </c>
      <c r="I75" s="175">
        <v>3</v>
      </c>
      <c r="J75" s="175">
        <v>3</v>
      </c>
      <c r="K75" s="175">
        <v>1</v>
      </c>
      <c r="L75" s="175">
        <v>2</v>
      </c>
      <c r="M75" s="175">
        <v>1</v>
      </c>
      <c r="N75" s="175" t="s">
        <v>445</v>
      </c>
      <c r="O75" s="175"/>
      <c r="P75" s="175"/>
      <c r="Q75" s="184">
        <f>SUM(Tabela2[[#This Row],[G]]+Tabela2[[#This Row],[D]]+Tabela2[[#This Row],[N]]+Tabela2[[#This Row],[HM]])</f>
        <v>4</v>
      </c>
      <c r="R75" s="184">
        <f>SUM(Tabela2[[#This Row],[AO]]+Tabela2[[#This Row],[AD]]+Tabela2[[#This Row],[GWO]]+Tabela2[[#This Row],[GWD]])</f>
        <v>9</v>
      </c>
      <c r="S75" s="184">
        <f>Tabela2[[#This Row],[GWO]]+Tabela2[[#This Row],[GWD]]</f>
        <v>3</v>
      </c>
      <c r="T75" s="180">
        <f>SUM(Tabela2[[#This Row],[G]:[GWD]])</f>
        <v>13</v>
      </c>
    </row>
    <row r="76" spans="1:20">
      <c r="A76" s="183">
        <v>75</v>
      </c>
      <c r="B76" s="175" t="s">
        <v>669</v>
      </c>
      <c r="C76" s="175" t="s">
        <v>376</v>
      </c>
      <c r="D76" s="175">
        <v>3</v>
      </c>
      <c r="E76" s="175" t="s">
        <v>18</v>
      </c>
      <c r="F76" s="175">
        <v>1</v>
      </c>
      <c r="G76" s="175">
        <v>1</v>
      </c>
      <c r="H76" s="175">
        <v>1</v>
      </c>
      <c r="I76" s="175">
        <v>1</v>
      </c>
      <c r="J76" s="175">
        <v>1</v>
      </c>
      <c r="K76" s="175">
        <v>1</v>
      </c>
      <c r="L76" s="175">
        <v>1</v>
      </c>
      <c r="M76" s="175">
        <v>1</v>
      </c>
      <c r="N76" s="170"/>
      <c r="O76" s="170"/>
      <c r="P76" s="170"/>
      <c r="Q76" s="180">
        <f>SUM(Tabela2[[#This Row],[G]]+Tabela2[[#This Row],[D]]+Tabela2[[#This Row],[N]]+Tabela2[[#This Row],[HM]])</f>
        <v>4</v>
      </c>
      <c r="R76" s="180">
        <f>SUM(Tabela2[[#This Row],[AO]]+Tabela2[[#This Row],[AD]]+Tabela2[[#This Row],[GWO]]+Tabela2[[#This Row],[GWD]])</f>
        <v>4</v>
      </c>
      <c r="S76" s="180">
        <f>Tabela2[[#This Row],[GWO]]+Tabela2[[#This Row],[GWD]]</f>
        <v>2</v>
      </c>
      <c r="T76" s="180">
        <f>SUM(Tabela2[[#This Row],[G]:[GWD]])</f>
        <v>8</v>
      </c>
    </row>
    <row r="77" spans="1:20">
      <c r="A77" s="183">
        <v>76</v>
      </c>
      <c r="B77" s="175" t="s">
        <v>668</v>
      </c>
      <c r="C77" s="175" t="s">
        <v>267</v>
      </c>
      <c r="D77" s="175">
        <v>3</v>
      </c>
      <c r="E77" s="175" t="s">
        <v>18</v>
      </c>
      <c r="F77" s="175">
        <v>1</v>
      </c>
      <c r="G77" s="175">
        <v>1</v>
      </c>
      <c r="H77" s="175">
        <v>1</v>
      </c>
      <c r="I77" s="175">
        <v>2</v>
      </c>
      <c r="J77" s="175">
        <v>2</v>
      </c>
      <c r="K77" s="175">
        <v>1</v>
      </c>
      <c r="L77" s="175">
        <v>1</v>
      </c>
      <c r="M77" s="175">
        <v>1</v>
      </c>
      <c r="N77" s="170"/>
      <c r="O77" s="170"/>
      <c r="P77" s="170"/>
      <c r="Q77" s="180">
        <f>SUM(Tabela2[[#This Row],[G]]+Tabela2[[#This Row],[D]]+Tabela2[[#This Row],[N]]+Tabela2[[#This Row],[HM]])</f>
        <v>4</v>
      </c>
      <c r="R77" s="180">
        <f>SUM(Tabela2[[#This Row],[AO]]+Tabela2[[#This Row],[AD]]+Tabela2[[#This Row],[GWO]]+Tabela2[[#This Row],[GWD]])</f>
        <v>6</v>
      </c>
      <c r="S77" s="180">
        <f>Tabela2[[#This Row],[GWO]]+Tabela2[[#This Row],[GWD]]</f>
        <v>2</v>
      </c>
      <c r="T77" s="180">
        <f>SUM(Tabela2[[#This Row],[G]:[GWD]])</f>
        <v>10</v>
      </c>
    </row>
    <row r="78" spans="1:20">
      <c r="A78" s="183">
        <v>77</v>
      </c>
      <c r="B78" s="175" t="s">
        <v>667</v>
      </c>
      <c r="C78" s="175" t="s">
        <v>521</v>
      </c>
      <c r="D78" s="175">
        <v>3</v>
      </c>
      <c r="E78" s="175" t="s">
        <v>18</v>
      </c>
      <c r="F78" s="175">
        <v>1</v>
      </c>
      <c r="G78" s="175">
        <v>1</v>
      </c>
      <c r="H78" s="175">
        <v>1</v>
      </c>
      <c r="I78" s="175">
        <v>1</v>
      </c>
      <c r="J78" s="175">
        <v>1</v>
      </c>
      <c r="K78" s="175">
        <v>1</v>
      </c>
      <c r="L78" s="175">
        <v>1</v>
      </c>
      <c r="M78" s="175">
        <v>1</v>
      </c>
      <c r="N78" s="175" t="s">
        <v>445</v>
      </c>
      <c r="O78" s="175"/>
      <c r="P78" s="175"/>
      <c r="Q78" s="184">
        <f>SUM(Tabela2[[#This Row],[G]]+Tabela2[[#This Row],[D]]+Tabela2[[#This Row],[N]]+Tabela2[[#This Row],[HM]])</f>
        <v>4</v>
      </c>
      <c r="R78" s="184">
        <f>SUM(Tabela2[[#This Row],[AO]]+Tabela2[[#This Row],[AD]]+Tabela2[[#This Row],[GWO]]+Tabela2[[#This Row],[GWD]])</f>
        <v>4</v>
      </c>
      <c r="S78" s="184">
        <f>Tabela2[[#This Row],[GWO]]+Tabela2[[#This Row],[GWD]]</f>
        <v>2</v>
      </c>
      <c r="T78" s="180">
        <f>SUM(Tabela2[[#This Row],[G]:[GWD]])</f>
        <v>8</v>
      </c>
    </row>
    <row r="79" spans="1:20">
      <c r="A79" s="183">
        <v>78</v>
      </c>
      <c r="B79" s="175" t="s">
        <v>666</v>
      </c>
      <c r="C79" s="175" t="s">
        <v>578</v>
      </c>
      <c r="D79" s="175">
        <v>3</v>
      </c>
      <c r="E79" s="175" t="s">
        <v>18</v>
      </c>
      <c r="F79" s="175">
        <v>1</v>
      </c>
      <c r="G79" s="175">
        <v>1</v>
      </c>
      <c r="H79" s="175">
        <v>2</v>
      </c>
      <c r="I79" s="175">
        <v>1</v>
      </c>
      <c r="J79" s="175">
        <v>1</v>
      </c>
      <c r="K79" s="175">
        <v>1</v>
      </c>
      <c r="L79" s="175">
        <v>1</v>
      </c>
      <c r="M79" s="175">
        <v>1</v>
      </c>
      <c r="N79" s="170"/>
      <c r="O79" s="170"/>
      <c r="P79" s="170"/>
      <c r="Q79" s="180">
        <f>SUM(Tabela2[[#This Row],[G]]+Tabela2[[#This Row],[D]]+Tabela2[[#This Row],[N]]+Tabela2[[#This Row],[HM]])</f>
        <v>5</v>
      </c>
      <c r="R79" s="180">
        <f>SUM(Tabela2[[#This Row],[AO]]+Tabela2[[#This Row],[AD]]+Tabela2[[#This Row],[GWO]]+Tabela2[[#This Row],[GWD]])</f>
        <v>4</v>
      </c>
      <c r="S79" s="180">
        <f>Tabela2[[#This Row],[GWO]]+Tabela2[[#This Row],[GWD]]</f>
        <v>2</v>
      </c>
      <c r="T79" s="180">
        <f>SUM(Tabela2[[#This Row],[G]:[GWD]])</f>
        <v>9</v>
      </c>
    </row>
    <row r="80" spans="1:20">
      <c r="A80" s="183">
        <v>79</v>
      </c>
      <c r="B80" s="174" t="s">
        <v>665</v>
      </c>
      <c r="C80" s="174" t="s">
        <v>574</v>
      </c>
      <c r="D80" s="174">
        <v>3</v>
      </c>
      <c r="E80" s="174" t="s">
        <v>249</v>
      </c>
      <c r="F80" s="174">
        <v>2</v>
      </c>
      <c r="G80" s="174">
        <v>2</v>
      </c>
      <c r="H80" s="174">
        <v>3</v>
      </c>
      <c r="I80" s="174">
        <v>3</v>
      </c>
      <c r="J80" s="174">
        <v>1</v>
      </c>
      <c r="K80" s="174">
        <v>2</v>
      </c>
      <c r="L80" s="174">
        <v>2</v>
      </c>
      <c r="M80" s="174">
        <v>1</v>
      </c>
      <c r="N80" s="170"/>
      <c r="O80" s="170"/>
      <c r="P80" s="170"/>
      <c r="Q80" s="180">
        <f>SUM(Tabela2[[#This Row],[G]]+Tabela2[[#This Row],[D]]+Tabela2[[#This Row],[N]]+Tabela2[[#This Row],[HM]])</f>
        <v>9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16</v>
      </c>
    </row>
    <row r="81" spans="1:20" ht="30">
      <c r="A81" s="183">
        <v>80</v>
      </c>
      <c r="B81" s="174" t="s">
        <v>664</v>
      </c>
      <c r="C81" s="174" t="s">
        <v>572</v>
      </c>
      <c r="D81" s="174">
        <v>3</v>
      </c>
      <c r="E81" s="174" t="s">
        <v>249</v>
      </c>
      <c r="F81" s="174">
        <v>3</v>
      </c>
      <c r="G81" s="174">
        <v>3</v>
      </c>
      <c r="H81" s="174">
        <v>1</v>
      </c>
      <c r="I81" s="174">
        <v>1</v>
      </c>
      <c r="J81" s="174">
        <v>3</v>
      </c>
      <c r="K81" s="174">
        <v>4</v>
      </c>
      <c r="L81" s="174">
        <v>4</v>
      </c>
      <c r="M81" s="174">
        <v>2</v>
      </c>
      <c r="N81" s="170"/>
      <c r="O81" s="205" t="s">
        <v>204</v>
      </c>
      <c r="P81" s="194"/>
      <c r="Q81" s="180">
        <f>SUM(Tabela2[[#This Row],[G]]+Tabela2[[#This Row],[D]]+Tabela2[[#This Row],[N]]+Tabela2[[#This Row],[HM]])</f>
        <v>11</v>
      </c>
      <c r="R81" s="180">
        <f>SUM(Tabela2[[#This Row],[AO]]+Tabela2[[#This Row],[AD]]+Tabela2[[#This Row],[GWO]]+Tabela2[[#This Row],[GWD]])</f>
        <v>10</v>
      </c>
      <c r="S81" s="180">
        <f>Tabela2[[#This Row],[GWO]]+Tabela2[[#This Row],[GWD]]</f>
        <v>6</v>
      </c>
      <c r="T81" s="180">
        <f>SUM(Tabela2[[#This Row],[G]:[GWD]])</f>
        <v>21</v>
      </c>
    </row>
    <row r="82" spans="1:20">
      <c r="A82" s="183">
        <v>81</v>
      </c>
      <c r="B82" s="174" t="s">
        <v>663</v>
      </c>
      <c r="C82" s="174" t="s">
        <v>290</v>
      </c>
      <c r="D82" s="174">
        <v>3</v>
      </c>
      <c r="E82" s="174" t="s">
        <v>249</v>
      </c>
      <c r="F82" s="174">
        <v>1</v>
      </c>
      <c r="G82" s="174">
        <v>1</v>
      </c>
      <c r="H82" s="174">
        <v>1</v>
      </c>
      <c r="I82" s="174">
        <v>1</v>
      </c>
      <c r="J82" s="174">
        <v>1</v>
      </c>
      <c r="K82" s="174">
        <v>1</v>
      </c>
      <c r="L82" s="174">
        <v>1</v>
      </c>
      <c r="M82" s="174">
        <v>1</v>
      </c>
      <c r="N82" s="174" t="s">
        <v>445</v>
      </c>
      <c r="O82" s="174"/>
      <c r="P82" s="174"/>
      <c r="Q82" s="185">
        <f>SUM(Tabela2[[#This Row],[G]]+Tabela2[[#This Row],[D]]+Tabela2[[#This Row],[N]]+Tabela2[[#This Row],[HM]])</f>
        <v>4</v>
      </c>
      <c r="R82" s="185">
        <f>SUM(Tabela2[[#This Row],[AO]]+Tabela2[[#This Row],[AD]]+Tabela2[[#This Row],[GWO]]+Tabela2[[#This Row],[GWD]])</f>
        <v>4</v>
      </c>
      <c r="S82" s="185">
        <f>Tabela2[[#This Row],[GWO]]+Tabela2[[#This Row],[GWD]]</f>
        <v>2</v>
      </c>
      <c r="T82" s="180">
        <f>SUM(Tabela2[[#This Row],[G]:[GWD]])</f>
        <v>8</v>
      </c>
    </row>
    <row r="83" spans="1:20" ht="30">
      <c r="A83" s="183">
        <v>82</v>
      </c>
      <c r="B83" s="174" t="s">
        <v>662</v>
      </c>
      <c r="C83" s="174" t="s">
        <v>568</v>
      </c>
      <c r="D83" s="174">
        <v>3</v>
      </c>
      <c r="E83" s="174" t="s">
        <v>249</v>
      </c>
      <c r="F83" s="174">
        <v>1</v>
      </c>
      <c r="G83" s="174">
        <v>1</v>
      </c>
      <c r="H83" s="174">
        <v>2</v>
      </c>
      <c r="I83" s="174">
        <v>3</v>
      </c>
      <c r="J83" s="174">
        <v>3</v>
      </c>
      <c r="K83" s="174">
        <v>1</v>
      </c>
      <c r="L83" s="174">
        <v>2</v>
      </c>
      <c r="M83" s="174">
        <v>1</v>
      </c>
      <c r="N83" s="170"/>
      <c r="O83" s="170"/>
      <c r="P83" s="170"/>
      <c r="Q83" s="180">
        <f>SUM(Tabela2[[#This Row],[G]]+Tabela2[[#This Row],[D]]+Tabela2[[#This Row],[N]]+Tabela2[[#This Row],[HM]])</f>
        <v>5</v>
      </c>
      <c r="R83" s="180">
        <f>SUM(Tabela2[[#This Row],[AO]]+Tabela2[[#This Row],[AD]]+Tabela2[[#This Row],[GWO]]+Tabela2[[#This Row],[GWD]])</f>
        <v>9</v>
      </c>
      <c r="S83" s="180">
        <f>Tabela2[[#This Row],[GWO]]+Tabela2[[#This Row],[GWD]]</f>
        <v>3</v>
      </c>
      <c r="T83" s="180">
        <f>SUM(Tabela2[[#This Row],[G]:[GWD]])</f>
        <v>14</v>
      </c>
    </row>
    <row r="84" spans="1:20" ht="30">
      <c r="A84" s="183">
        <v>83</v>
      </c>
      <c r="B84" s="174" t="s">
        <v>661</v>
      </c>
      <c r="C84" s="174" t="s">
        <v>566</v>
      </c>
      <c r="D84" s="174">
        <v>3</v>
      </c>
      <c r="E84" s="174" t="s">
        <v>249</v>
      </c>
      <c r="F84" s="174">
        <v>1</v>
      </c>
      <c r="G84" s="174">
        <v>3</v>
      </c>
      <c r="H84" s="174">
        <v>1</v>
      </c>
      <c r="I84" s="174">
        <v>1</v>
      </c>
      <c r="J84" s="174">
        <v>1</v>
      </c>
      <c r="K84" s="174">
        <v>1</v>
      </c>
      <c r="L84" s="174">
        <v>1</v>
      </c>
      <c r="M84" s="174">
        <v>1</v>
      </c>
      <c r="N84" s="170"/>
      <c r="O84" s="170"/>
      <c r="P84" s="170"/>
      <c r="Q84" s="180">
        <f>SUM(Tabela2[[#This Row],[G]]+Tabela2[[#This Row],[D]]+Tabela2[[#This Row],[N]]+Tabela2[[#This Row],[HM]])</f>
        <v>6</v>
      </c>
      <c r="R84" s="180">
        <f>SUM(Tabela2[[#This Row],[AO]]+Tabela2[[#This Row],[AD]]+Tabela2[[#This Row],[GWO]]+Tabela2[[#This Row],[GWD]])</f>
        <v>4</v>
      </c>
      <c r="S84" s="180">
        <f>Tabela2[[#This Row],[GWO]]+Tabela2[[#This Row],[GWD]]</f>
        <v>2</v>
      </c>
      <c r="T84" s="180">
        <f>SUM(Tabela2[[#This Row],[G]:[GWD]])</f>
        <v>10</v>
      </c>
    </row>
    <row r="85" spans="1:20">
      <c r="A85" s="183">
        <v>84</v>
      </c>
      <c r="B85" s="174" t="s">
        <v>660</v>
      </c>
      <c r="C85" s="174" t="s">
        <v>565</v>
      </c>
      <c r="D85" s="174">
        <v>3</v>
      </c>
      <c r="E85" s="174" t="s">
        <v>249</v>
      </c>
      <c r="F85" s="174">
        <v>1</v>
      </c>
      <c r="G85" s="174">
        <v>1</v>
      </c>
      <c r="H85" s="174">
        <v>4</v>
      </c>
      <c r="I85" s="174">
        <v>2</v>
      </c>
      <c r="J85" s="174">
        <v>1</v>
      </c>
      <c r="K85" s="174">
        <v>1</v>
      </c>
      <c r="L85" s="174">
        <v>3</v>
      </c>
      <c r="M85" s="174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85</v>
      </c>
      <c r="B86" s="174" t="s">
        <v>659</v>
      </c>
      <c r="C86" s="174" t="s">
        <v>570</v>
      </c>
      <c r="D86" s="174">
        <v>3</v>
      </c>
      <c r="E86" s="174" t="s">
        <v>249</v>
      </c>
      <c r="F86" s="174">
        <v>1</v>
      </c>
      <c r="G86" s="174">
        <v>1</v>
      </c>
      <c r="H86" s="174">
        <v>1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4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10</v>
      </c>
    </row>
    <row r="87" spans="1:20" ht="30">
      <c r="A87" s="183">
        <v>86</v>
      </c>
      <c r="B87" s="174" t="s">
        <v>658</v>
      </c>
      <c r="C87" s="174" t="s">
        <v>412</v>
      </c>
      <c r="D87" s="174">
        <v>3</v>
      </c>
      <c r="E87" s="174" t="s">
        <v>249</v>
      </c>
      <c r="F87" s="174">
        <v>1</v>
      </c>
      <c r="G87" s="174">
        <v>1</v>
      </c>
      <c r="H87" s="174">
        <v>1</v>
      </c>
      <c r="I87" s="174">
        <v>1</v>
      </c>
      <c r="J87" s="174">
        <v>3</v>
      </c>
      <c r="K87" s="174">
        <v>1</v>
      </c>
      <c r="L87" s="174">
        <v>1</v>
      </c>
      <c r="M87" s="174">
        <v>1</v>
      </c>
      <c r="N87" s="170"/>
      <c r="O87" s="170"/>
      <c r="P87" s="170"/>
      <c r="Q87" s="180">
        <f>SUM(Tabela2[[#This Row],[G]]+Tabela2[[#This Row],[D]]+Tabela2[[#This Row],[N]]+Tabela2[[#This Row],[HM]])</f>
        <v>4</v>
      </c>
      <c r="R87" s="180">
        <f>SUM(Tabela2[[#This Row],[AO]]+Tabela2[[#This Row],[AD]]+Tabela2[[#This Row],[GWO]]+Tabela2[[#This Row],[GWD]])</f>
        <v>6</v>
      </c>
      <c r="S87" s="180">
        <f>Tabela2[[#This Row],[GWO]]+Tabela2[[#This Row],[GWD]]</f>
        <v>2</v>
      </c>
      <c r="T87" s="180">
        <f>SUM(Tabela2[[#This Row],[G]:[GWD]])</f>
        <v>10</v>
      </c>
    </row>
    <row r="88" spans="1:20" ht="30">
      <c r="A88" s="183">
        <v>87</v>
      </c>
      <c r="B88" s="174" t="s">
        <v>657</v>
      </c>
      <c r="C88" s="174" t="s">
        <v>563</v>
      </c>
      <c r="D88" s="174">
        <v>3</v>
      </c>
      <c r="E88" s="174" t="s">
        <v>249</v>
      </c>
      <c r="F88" s="174">
        <v>1</v>
      </c>
      <c r="G88" s="174">
        <v>1</v>
      </c>
      <c r="H88" s="174">
        <v>1</v>
      </c>
      <c r="I88" s="174">
        <v>1</v>
      </c>
      <c r="J88" s="174">
        <v>1</v>
      </c>
      <c r="K88" s="174">
        <v>1</v>
      </c>
      <c r="L88" s="174">
        <v>1</v>
      </c>
      <c r="M88" s="174">
        <v>1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4</v>
      </c>
      <c r="S88" s="180">
        <f>Tabela2[[#This Row],[GWO]]+Tabela2[[#This Row],[GWD]]</f>
        <v>2</v>
      </c>
      <c r="T88" s="180">
        <f>SUM(Tabela2[[#This Row],[G]:[GWD]])</f>
        <v>8</v>
      </c>
    </row>
    <row r="89" spans="1:20">
      <c r="A89" s="183">
        <v>88</v>
      </c>
      <c r="B89" s="174" t="s">
        <v>656</v>
      </c>
      <c r="C89" s="174" t="s">
        <v>559</v>
      </c>
      <c r="D89" s="174">
        <v>3</v>
      </c>
      <c r="E89" s="174" t="s">
        <v>249</v>
      </c>
      <c r="F89" s="174">
        <v>1</v>
      </c>
      <c r="G89" s="174">
        <v>1</v>
      </c>
      <c r="H89" s="174">
        <v>1</v>
      </c>
      <c r="I89" s="174">
        <v>1</v>
      </c>
      <c r="J89" s="174">
        <v>1</v>
      </c>
      <c r="K89" s="174">
        <v>1</v>
      </c>
      <c r="L89" s="174">
        <v>1</v>
      </c>
      <c r="M89" s="174">
        <v>1</v>
      </c>
      <c r="N89" s="170"/>
      <c r="O89" s="170"/>
      <c r="P89" s="170"/>
      <c r="Q89" s="180">
        <f>SUM(Tabela2[[#This Row],[G]]+Tabela2[[#This Row],[D]]+Tabela2[[#This Row],[N]]+Tabela2[[#This Row],[HM]])</f>
        <v>4</v>
      </c>
      <c r="R89" s="180">
        <f>SUM(Tabela2[[#This Row],[AO]]+Tabela2[[#This Row],[AD]]+Tabela2[[#This Row],[GWO]]+Tabela2[[#This Row],[GWD]])</f>
        <v>4</v>
      </c>
      <c r="S89" s="180">
        <f>Tabela2[[#This Row],[GWO]]+Tabela2[[#This Row],[GWD]]</f>
        <v>2</v>
      </c>
      <c r="T89" s="180">
        <f>SUM(Tabela2[[#This Row],[G]:[GWD]])</f>
        <v>8</v>
      </c>
    </row>
    <row r="90" spans="1:20">
      <c r="A90" s="183">
        <v>89</v>
      </c>
      <c r="B90" s="174" t="s">
        <v>655</v>
      </c>
      <c r="C90" s="174" t="s">
        <v>283</v>
      </c>
      <c r="D90" s="174">
        <v>3</v>
      </c>
      <c r="E90" s="174" t="s">
        <v>249</v>
      </c>
      <c r="F90" s="174">
        <v>1</v>
      </c>
      <c r="G90" s="174">
        <v>1</v>
      </c>
      <c r="H90" s="174">
        <v>1</v>
      </c>
      <c r="I90" s="174">
        <v>1</v>
      </c>
      <c r="J90" s="174">
        <v>2</v>
      </c>
      <c r="K90" s="174">
        <v>1</v>
      </c>
      <c r="L90" s="174">
        <v>1</v>
      </c>
      <c r="M90" s="174">
        <v>1</v>
      </c>
      <c r="N90" s="174" t="s">
        <v>445</v>
      </c>
      <c r="O90" s="174"/>
      <c r="P90" s="174"/>
      <c r="Q90" s="185">
        <f>SUM(Tabela2[[#This Row],[G]]+Tabela2[[#This Row],[D]]+Tabela2[[#This Row],[N]]+Tabela2[[#This Row],[HM]])</f>
        <v>4</v>
      </c>
      <c r="R90" s="185">
        <f>SUM(Tabela2[[#This Row],[AO]]+Tabela2[[#This Row],[AD]]+Tabela2[[#This Row],[GWO]]+Tabela2[[#This Row],[GWD]])</f>
        <v>5</v>
      </c>
      <c r="S90" s="185">
        <f>Tabela2[[#This Row],[GWO]]+Tabela2[[#This Row],[GWD]]</f>
        <v>2</v>
      </c>
      <c r="T90" s="180">
        <f>SUM(Tabela2[[#This Row],[G]:[GWD]])</f>
        <v>9</v>
      </c>
    </row>
    <row r="91" spans="1:20">
      <c r="A91" s="183">
        <v>90</v>
      </c>
      <c r="B91" s="174" t="s">
        <v>654</v>
      </c>
      <c r="C91" s="174" t="s">
        <v>552</v>
      </c>
      <c r="D91" s="174">
        <v>3</v>
      </c>
      <c r="E91" s="174" t="s">
        <v>249</v>
      </c>
      <c r="F91" s="174">
        <v>1</v>
      </c>
      <c r="G91" s="174">
        <v>1</v>
      </c>
      <c r="H91" s="174">
        <v>1</v>
      </c>
      <c r="I91" s="174">
        <v>1</v>
      </c>
      <c r="J91" s="174">
        <v>1</v>
      </c>
      <c r="K91" s="174">
        <v>1</v>
      </c>
      <c r="L91" s="174">
        <v>1</v>
      </c>
      <c r="M91" s="174">
        <v>1</v>
      </c>
      <c r="N91" s="174" t="s">
        <v>445</v>
      </c>
      <c r="O91" s="174"/>
      <c r="P91" s="174"/>
      <c r="Q91" s="185">
        <f>SUM(Tabela2[[#This Row],[G]]+Tabela2[[#This Row],[D]]+Tabela2[[#This Row],[N]]+Tabela2[[#This Row],[HM]])</f>
        <v>4</v>
      </c>
      <c r="R91" s="185">
        <f>SUM(Tabela2[[#This Row],[AO]]+Tabela2[[#This Row],[AD]]+Tabela2[[#This Row],[GWO]]+Tabela2[[#This Row],[GWD]])</f>
        <v>4</v>
      </c>
      <c r="S91" s="185">
        <f>Tabela2[[#This Row],[GWO]]+Tabela2[[#This Row],[GWD]]</f>
        <v>2</v>
      </c>
      <c r="T91" s="180">
        <f>SUM(Tabela2[[#This Row],[G]:[GWD]])</f>
        <v>8</v>
      </c>
    </row>
    <row r="92" spans="1:20" ht="30">
      <c r="A92" s="183">
        <v>91</v>
      </c>
      <c r="B92" s="174" t="s">
        <v>653</v>
      </c>
      <c r="C92" s="174" t="s">
        <v>550</v>
      </c>
      <c r="D92" s="174">
        <v>3</v>
      </c>
      <c r="E92" s="174" t="s">
        <v>249</v>
      </c>
      <c r="F92" s="174">
        <v>2</v>
      </c>
      <c r="G92" s="174">
        <v>2</v>
      </c>
      <c r="H92" s="174">
        <v>1</v>
      </c>
      <c r="I92" s="174">
        <v>1</v>
      </c>
      <c r="J92" s="174">
        <v>1</v>
      </c>
      <c r="K92" s="174">
        <v>5</v>
      </c>
      <c r="L92" s="174">
        <v>1</v>
      </c>
      <c r="M92" s="174">
        <v>1</v>
      </c>
      <c r="N92" s="174" t="s">
        <v>445</v>
      </c>
      <c r="O92" s="174" t="s">
        <v>204</v>
      </c>
      <c r="P92" s="174"/>
      <c r="Q92" s="185">
        <f>SUM(Tabela2[[#This Row],[G]]+Tabela2[[#This Row],[D]]+Tabela2[[#This Row],[N]]+Tabela2[[#This Row],[HM]])</f>
        <v>10</v>
      </c>
      <c r="R92" s="185">
        <f>SUM(Tabela2[[#This Row],[AO]]+Tabela2[[#This Row],[AD]]+Tabela2[[#This Row],[GWO]]+Tabela2[[#This Row],[GWD]])</f>
        <v>4</v>
      </c>
      <c r="S92" s="185">
        <f>Tabela2[[#This Row],[GWO]]+Tabela2[[#This Row],[GWD]]</f>
        <v>2</v>
      </c>
      <c r="T92" s="180">
        <f>SUM(Tabela2[[#This Row],[G]:[GWD]])</f>
        <v>14</v>
      </c>
    </row>
    <row r="93" spans="1:20">
      <c r="A93" s="183">
        <v>92</v>
      </c>
      <c r="B93" s="174" t="s">
        <v>652</v>
      </c>
      <c r="C93" s="174" t="s">
        <v>546</v>
      </c>
      <c r="D93" s="174">
        <v>3</v>
      </c>
      <c r="E93" s="174" t="s">
        <v>249</v>
      </c>
      <c r="F93" s="174">
        <v>1</v>
      </c>
      <c r="G93" s="174">
        <v>1</v>
      </c>
      <c r="H93" s="174">
        <v>1</v>
      </c>
      <c r="I93" s="174">
        <v>1</v>
      </c>
      <c r="J93" s="174">
        <v>1</v>
      </c>
      <c r="K93" s="174">
        <v>1</v>
      </c>
      <c r="L93" s="174">
        <v>1</v>
      </c>
      <c r="M93" s="174">
        <v>1</v>
      </c>
      <c r="N93" s="174" t="s">
        <v>445</v>
      </c>
      <c r="O93" s="174"/>
      <c r="P93" s="174"/>
      <c r="Q93" s="185">
        <f>SUM(Tabela2[[#This Row],[G]]+Tabela2[[#This Row],[D]]+Tabela2[[#This Row],[N]]+Tabela2[[#This Row],[HM]])</f>
        <v>4</v>
      </c>
      <c r="R93" s="185">
        <f>SUM(Tabela2[[#This Row],[AO]]+Tabela2[[#This Row],[AD]]+Tabela2[[#This Row],[GWO]]+Tabela2[[#This Row],[GWD]])</f>
        <v>4</v>
      </c>
      <c r="S93" s="185">
        <f>Tabela2[[#This Row],[GWO]]+Tabela2[[#This Row],[GWD]]</f>
        <v>2</v>
      </c>
      <c r="T93" s="180">
        <f>SUM(Tabela2[[#This Row],[G]:[GWD]])</f>
        <v>8</v>
      </c>
    </row>
    <row r="94" spans="1:20" ht="30">
      <c r="A94" s="183">
        <v>93</v>
      </c>
      <c r="B94" s="174" t="s">
        <v>651</v>
      </c>
      <c r="C94" s="174" t="s">
        <v>544</v>
      </c>
      <c r="D94" s="174">
        <v>3</v>
      </c>
      <c r="E94" s="174" t="s">
        <v>249</v>
      </c>
      <c r="F94" s="174">
        <v>1</v>
      </c>
      <c r="G94" s="174">
        <v>1</v>
      </c>
      <c r="H94" s="174">
        <v>1</v>
      </c>
      <c r="I94" s="174">
        <v>2</v>
      </c>
      <c r="J94" s="174">
        <v>1</v>
      </c>
      <c r="K94" s="174">
        <v>1</v>
      </c>
      <c r="L94" s="174">
        <v>2</v>
      </c>
      <c r="M94" s="174">
        <v>1</v>
      </c>
      <c r="N94" s="170"/>
      <c r="O94" s="170"/>
      <c r="P94" s="170"/>
      <c r="Q94" s="180">
        <f>SUM(Tabela2[[#This Row],[G]]+Tabela2[[#This Row],[D]]+Tabela2[[#This Row],[N]]+Tabela2[[#This Row],[HM]])</f>
        <v>4</v>
      </c>
      <c r="R94" s="180">
        <f>SUM(Tabela2[[#This Row],[AO]]+Tabela2[[#This Row],[AD]]+Tabela2[[#This Row],[GWO]]+Tabela2[[#This Row],[GWD]])</f>
        <v>6</v>
      </c>
      <c r="S94" s="180">
        <f>Tabela2[[#This Row],[GWO]]+Tabela2[[#This Row],[GWD]]</f>
        <v>3</v>
      </c>
      <c r="T94" s="180">
        <f>SUM(Tabela2[[#This Row],[G]:[GWD]])</f>
        <v>10</v>
      </c>
    </row>
    <row r="95" spans="1:20" ht="30">
      <c r="A95" s="183">
        <v>94</v>
      </c>
      <c r="B95" s="174" t="s">
        <v>650</v>
      </c>
      <c r="C95" s="174" t="s">
        <v>542</v>
      </c>
      <c r="D95" s="174">
        <v>3</v>
      </c>
      <c r="E95" s="174" t="s">
        <v>249</v>
      </c>
      <c r="F95" s="174">
        <v>1</v>
      </c>
      <c r="G95" s="174">
        <v>1</v>
      </c>
      <c r="H95" s="174">
        <v>1</v>
      </c>
      <c r="I95" s="174">
        <v>1</v>
      </c>
      <c r="J95" s="174">
        <v>1</v>
      </c>
      <c r="K95" s="174">
        <v>1</v>
      </c>
      <c r="L95" s="174">
        <v>1</v>
      </c>
      <c r="M95" s="174">
        <v>1</v>
      </c>
      <c r="N95" s="170"/>
      <c r="O95" s="170"/>
      <c r="P95" s="170"/>
      <c r="Q95" s="180">
        <f>SUM(Tabela2[[#This Row],[G]]+Tabela2[[#This Row],[D]]+Tabela2[[#This Row],[N]]+Tabela2[[#This Row],[HM]])</f>
        <v>4</v>
      </c>
      <c r="R95" s="180">
        <f>SUM(Tabela2[[#This Row],[AO]]+Tabela2[[#This Row],[AD]]+Tabela2[[#This Row],[GWO]]+Tabela2[[#This Row],[GWD]])</f>
        <v>4</v>
      </c>
      <c r="S95" s="180">
        <f>Tabela2[[#This Row],[GWO]]+Tabela2[[#This Row],[GWD]]</f>
        <v>2</v>
      </c>
      <c r="T95" s="180">
        <f>SUM(Tabela2[[#This Row],[G]:[GWD]])</f>
        <v>8</v>
      </c>
    </row>
    <row r="96" spans="1:20">
      <c r="A96" s="183">
        <v>95</v>
      </c>
      <c r="B96" s="174" t="s">
        <v>649</v>
      </c>
      <c r="C96" s="174" t="s">
        <v>540</v>
      </c>
      <c r="D96" s="174">
        <v>3</v>
      </c>
      <c r="E96" s="174" t="s">
        <v>249</v>
      </c>
      <c r="F96" s="174">
        <v>1</v>
      </c>
      <c r="G96" s="174">
        <v>1</v>
      </c>
      <c r="H96" s="174">
        <v>1</v>
      </c>
      <c r="I96" s="174">
        <v>1</v>
      </c>
      <c r="J96" s="174">
        <v>1</v>
      </c>
      <c r="K96" s="174">
        <v>1</v>
      </c>
      <c r="L96" s="174">
        <v>1</v>
      </c>
      <c r="M96" s="174">
        <v>1</v>
      </c>
      <c r="N96" s="170"/>
      <c r="O96" s="170"/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4</v>
      </c>
      <c r="S96" s="180">
        <f>Tabela2[[#This Row],[GWO]]+Tabela2[[#This Row],[GWD]]</f>
        <v>2</v>
      </c>
      <c r="T96" s="180">
        <f>SUM(Tabela2[[#This Row],[G]:[GWD]])</f>
        <v>8</v>
      </c>
    </row>
    <row r="97" spans="1:20">
      <c r="A97" s="183">
        <v>96</v>
      </c>
      <c r="B97" s="174" t="s">
        <v>648</v>
      </c>
      <c r="C97" s="174" t="s">
        <v>358</v>
      </c>
      <c r="D97" s="174">
        <v>3</v>
      </c>
      <c r="E97" s="174" t="s">
        <v>249</v>
      </c>
      <c r="F97" s="174">
        <v>1</v>
      </c>
      <c r="G97" s="174">
        <v>1</v>
      </c>
      <c r="H97" s="174">
        <v>1</v>
      </c>
      <c r="I97" s="174">
        <v>1</v>
      </c>
      <c r="J97" s="174">
        <v>1</v>
      </c>
      <c r="K97" s="174">
        <v>1</v>
      </c>
      <c r="L97" s="174">
        <v>1</v>
      </c>
      <c r="M97" s="174">
        <v>1</v>
      </c>
      <c r="N97" s="174" t="s">
        <v>445</v>
      </c>
      <c r="O97" s="174"/>
      <c r="P97" s="174"/>
      <c r="Q97" s="185">
        <f>SUM(Tabela2[[#This Row],[G]]+Tabela2[[#This Row],[D]]+Tabela2[[#This Row],[N]]+Tabela2[[#This Row],[HM]])</f>
        <v>4</v>
      </c>
      <c r="R97" s="185">
        <f>SUM(Tabela2[[#This Row],[AO]]+Tabela2[[#This Row],[AD]]+Tabela2[[#This Row],[GWO]]+Tabela2[[#This Row],[GWD]])</f>
        <v>4</v>
      </c>
      <c r="S97" s="185">
        <f>Tabela2[[#This Row],[GWO]]+Tabela2[[#This Row],[GWD]]</f>
        <v>2</v>
      </c>
      <c r="T97" s="180">
        <f>SUM(Tabela2[[#This Row],[G]:[GWD]])</f>
        <v>8</v>
      </c>
    </row>
    <row r="98" spans="1:20" ht="30">
      <c r="A98" s="183">
        <v>97</v>
      </c>
      <c r="B98" s="174" t="s">
        <v>647</v>
      </c>
      <c r="C98" s="174" t="s">
        <v>538</v>
      </c>
      <c r="D98" s="174">
        <v>3</v>
      </c>
      <c r="E98" s="174" t="s">
        <v>249</v>
      </c>
      <c r="F98" s="174">
        <v>1</v>
      </c>
      <c r="G98" s="174">
        <v>1</v>
      </c>
      <c r="H98" s="174">
        <v>1</v>
      </c>
      <c r="I98" s="174">
        <v>1</v>
      </c>
      <c r="J98" s="174">
        <v>1</v>
      </c>
      <c r="K98" s="174">
        <v>1</v>
      </c>
      <c r="L98" s="174">
        <v>1</v>
      </c>
      <c r="M98" s="174">
        <v>1</v>
      </c>
      <c r="N98" s="170"/>
      <c r="O98" s="191" t="s">
        <v>204</v>
      </c>
      <c r="P98" s="191"/>
      <c r="Q98" s="180">
        <f>SUM(Tabela2[[#This Row],[G]]+Tabela2[[#This Row],[D]]+Tabela2[[#This Row],[N]]+Tabela2[[#This Row],[HM]])</f>
        <v>4</v>
      </c>
      <c r="R98" s="180">
        <f>SUM(Tabela2[[#This Row],[AO]]+Tabela2[[#This Row],[AD]]+Tabela2[[#This Row],[GWO]]+Tabela2[[#This Row],[GWD]])</f>
        <v>4</v>
      </c>
      <c r="S98" s="180">
        <f>Tabela2[[#This Row],[GWO]]+Tabela2[[#This Row],[GWD]]</f>
        <v>2</v>
      </c>
      <c r="T98" s="180">
        <f>SUM(Tabela2[[#This Row],[G]:[GWD]])</f>
        <v>8</v>
      </c>
    </row>
    <row r="99" spans="1:20">
      <c r="A99" s="183">
        <v>98</v>
      </c>
      <c r="B99" s="174" t="s">
        <v>646</v>
      </c>
      <c r="C99" s="174" t="s">
        <v>536</v>
      </c>
      <c r="D99" s="174">
        <v>3</v>
      </c>
      <c r="E99" s="174" t="s">
        <v>249</v>
      </c>
      <c r="F99" s="174">
        <v>1</v>
      </c>
      <c r="G99" s="174">
        <v>3</v>
      </c>
      <c r="H99" s="174">
        <v>1</v>
      </c>
      <c r="I99" s="174">
        <v>1</v>
      </c>
      <c r="J99" s="174">
        <v>1</v>
      </c>
      <c r="K99" s="174">
        <v>1</v>
      </c>
      <c r="L99" s="174">
        <v>1</v>
      </c>
      <c r="M99" s="174">
        <v>1</v>
      </c>
      <c r="N99" s="170"/>
      <c r="O99" s="170"/>
      <c r="P99" s="170"/>
      <c r="Q99" s="180">
        <f>SUM(Tabela2[[#This Row],[G]]+Tabela2[[#This Row],[D]]+Tabela2[[#This Row],[N]]+Tabela2[[#This Row],[HM]])</f>
        <v>6</v>
      </c>
      <c r="R99" s="180">
        <f>SUM(Tabela2[[#This Row],[AO]]+Tabela2[[#This Row],[AD]]+Tabela2[[#This Row],[GWO]]+Tabela2[[#This Row],[GWD]])</f>
        <v>4</v>
      </c>
      <c r="S99" s="180">
        <f>Tabela2[[#This Row],[GWO]]+Tabela2[[#This Row],[GWD]]</f>
        <v>2</v>
      </c>
      <c r="T99" s="180">
        <f>SUM(Tabela2[[#This Row],[G]:[GWD]])</f>
        <v>10</v>
      </c>
    </row>
    <row r="100" spans="1:20" ht="30">
      <c r="A100" s="183">
        <v>99</v>
      </c>
      <c r="B100" s="174" t="s">
        <v>645</v>
      </c>
      <c r="C100" s="174" t="s">
        <v>400</v>
      </c>
      <c r="D100" s="174">
        <v>3</v>
      </c>
      <c r="E100" s="174" t="s">
        <v>249</v>
      </c>
      <c r="F100" s="174">
        <v>1</v>
      </c>
      <c r="G100" s="174">
        <v>1</v>
      </c>
      <c r="H100" s="174">
        <v>1</v>
      </c>
      <c r="I100" s="174">
        <v>1</v>
      </c>
      <c r="J100" s="174">
        <v>1</v>
      </c>
      <c r="K100" s="174">
        <v>1</v>
      </c>
      <c r="L100" s="174">
        <v>1</v>
      </c>
      <c r="M100" s="174">
        <v>1</v>
      </c>
      <c r="N100" s="174" t="s">
        <v>445</v>
      </c>
      <c r="O100" s="174"/>
      <c r="P100" s="174"/>
      <c r="Q100" s="185">
        <f>SUM(Tabela2[[#This Row],[G]]+Tabela2[[#This Row],[D]]+Tabela2[[#This Row],[N]]+Tabela2[[#This Row],[HM]])</f>
        <v>4</v>
      </c>
      <c r="R100" s="185">
        <f>SUM(Tabela2[[#This Row],[AO]]+Tabela2[[#This Row],[AD]]+Tabela2[[#This Row],[GWO]]+Tabela2[[#This Row],[GWD]])</f>
        <v>4</v>
      </c>
      <c r="S100" s="185">
        <f>Tabela2[[#This Row],[GWO]]+Tabela2[[#This Row],[GWD]]</f>
        <v>2</v>
      </c>
      <c r="T100" s="180">
        <f>SUM(Tabela2[[#This Row],[G]:[GWD]])</f>
        <v>8</v>
      </c>
    </row>
    <row r="101" spans="1:20" ht="30">
      <c r="A101" s="183">
        <v>100</v>
      </c>
      <c r="B101" s="179" t="s">
        <v>644</v>
      </c>
      <c r="C101" s="174" t="s">
        <v>534</v>
      </c>
      <c r="D101" s="174">
        <v>3</v>
      </c>
      <c r="E101" s="174" t="s">
        <v>249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70"/>
      <c r="Q101" s="180">
        <f>SUM(Tabela2[[#This Row],[G]]+Tabela2[[#This Row],[D]]+Tabela2[[#This Row],[N]]+Tabela2[[#This Row],[HM]])</f>
        <v>4</v>
      </c>
      <c r="R101" s="180">
        <f>SUM(Tabela2[[#This Row],[AO]]+Tabela2[[#This Row],[AD]]+Tabela2[[#This Row],[GWO]]+Tabela2[[#This Row],[GWD]])</f>
        <v>4</v>
      </c>
      <c r="S101" s="180">
        <f>Tabela2[[#This Row],[GWO]]+Tabela2[[#This Row],[GWD]]</f>
        <v>2</v>
      </c>
      <c r="T101" s="180">
        <f>SUM(Tabela2[[#This Row],[G]:[GWD]])</f>
        <v>8</v>
      </c>
    </row>
    <row r="102" spans="1:20" ht="30">
      <c r="A102" s="183">
        <v>101</v>
      </c>
      <c r="B102" s="174" t="s">
        <v>643</v>
      </c>
      <c r="C102" s="174" t="s">
        <v>532</v>
      </c>
      <c r="D102" s="174">
        <v>3</v>
      </c>
      <c r="E102" s="174" t="s">
        <v>249</v>
      </c>
      <c r="F102" s="174">
        <v>1</v>
      </c>
      <c r="G102" s="174">
        <v>1</v>
      </c>
      <c r="H102" s="174">
        <v>1</v>
      </c>
      <c r="I102" s="174">
        <v>1</v>
      </c>
      <c r="J102" s="174">
        <v>1</v>
      </c>
      <c r="K102" s="174">
        <v>1</v>
      </c>
      <c r="L102" s="174">
        <v>1</v>
      </c>
      <c r="M102" s="174">
        <v>1</v>
      </c>
      <c r="N102" s="174" t="s">
        <v>445</v>
      </c>
      <c r="O102" s="174"/>
      <c r="P102" s="174"/>
      <c r="Q102" s="185">
        <f>SUM(Tabela2[[#This Row],[G]]+Tabela2[[#This Row],[D]]+Tabela2[[#This Row],[N]]+Tabela2[[#This Row],[HM]])</f>
        <v>4</v>
      </c>
      <c r="R102" s="185">
        <f>SUM(Tabela2[[#This Row],[AO]]+Tabela2[[#This Row],[AD]]+Tabela2[[#This Row],[GWO]]+Tabela2[[#This Row],[GWD]])</f>
        <v>4</v>
      </c>
      <c r="S102" s="185">
        <f>Tabela2[[#This Row],[GWO]]+Tabela2[[#This Row],[GWD]]</f>
        <v>2</v>
      </c>
      <c r="T102" s="180">
        <f>SUM(Tabela2[[#This Row],[G]:[GWD]])</f>
        <v>8</v>
      </c>
    </row>
    <row r="103" spans="1:20" ht="30">
      <c r="A103" s="183">
        <v>102</v>
      </c>
      <c r="B103" s="174" t="s">
        <v>642</v>
      </c>
      <c r="C103" s="174" t="s">
        <v>530</v>
      </c>
      <c r="D103" s="174">
        <v>3</v>
      </c>
      <c r="E103" s="174" t="s">
        <v>249</v>
      </c>
      <c r="F103" s="174">
        <v>1</v>
      </c>
      <c r="G103" s="174">
        <v>1</v>
      </c>
      <c r="H103" s="174">
        <v>1</v>
      </c>
      <c r="I103" s="174">
        <v>1</v>
      </c>
      <c r="J103" s="174">
        <v>1</v>
      </c>
      <c r="K103" s="174">
        <v>1</v>
      </c>
      <c r="L103" s="174">
        <v>1</v>
      </c>
      <c r="M103" s="174">
        <v>1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4</v>
      </c>
      <c r="S103" s="180">
        <f>Tabela2[[#This Row],[GWO]]+Tabela2[[#This Row],[GWD]]</f>
        <v>2</v>
      </c>
      <c r="T103" s="180">
        <f>SUM(Tabela2[[#This Row],[G]:[GWD]])</f>
        <v>8</v>
      </c>
    </row>
    <row r="104" spans="1:20" ht="30">
      <c r="A104" s="183">
        <v>103</v>
      </c>
      <c r="B104" s="174" t="s">
        <v>641</v>
      </c>
      <c r="C104" s="174" t="s">
        <v>528</v>
      </c>
      <c r="D104" s="174">
        <v>3</v>
      </c>
      <c r="E104" s="174" t="s">
        <v>249</v>
      </c>
      <c r="F104" s="174">
        <v>3</v>
      </c>
      <c r="G104" s="174">
        <v>4</v>
      </c>
      <c r="H104" s="174">
        <v>1</v>
      </c>
      <c r="I104" s="174">
        <v>4</v>
      </c>
      <c r="J104" s="174">
        <v>2</v>
      </c>
      <c r="K104" s="174">
        <v>2</v>
      </c>
      <c r="L104" s="174">
        <v>4</v>
      </c>
      <c r="M104" s="174">
        <v>2</v>
      </c>
      <c r="N104" s="170"/>
      <c r="O104" s="170" t="s">
        <v>204</v>
      </c>
      <c r="P104" s="170"/>
      <c r="Q104" s="180">
        <f>SUM(Tabela2[[#This Row],[G]]+Tabela2[[#This Row],[D]]+Tabela2[[#This Row],[N]]+Tabela2[[#This Row],[HM]])</f>
        <v>10</v>
      </c>
      <c r="R104" s="180">
        <f>SUM(Tabela2[[#This Row],[AO]]+Tabela2[[#This Row],[AD]]+Tabela2[[#This Row],[GWO]]+Tabela2[[#This Row],[GWD]])</f>
        <v>12</v>
      </c>
      <c r="S104" s="180">
        <f>Tabela2[[#This Row],[GWO]]+Tabela2[[#This Row],[GWD]]</f>
        <v>6</v>
      </c>
      <c r="T104" s="180">
        <f>SUM(Tabela2[[#This Row],[G]:[GWD]])</f>
        <v>22</v>
      </c>
    </row>
    <row r="105" spans="1:20" ht="30">
      <c r="A105" s="183">
        <v>104</v>
      </c>
      <c r="B105" s="174" t="s">
        <v>640</v>
      </c>
      <c r="C105" s="174" t="s">
        <v>526</v>
      </c>
      <c r="D105" s="174">
        <v>3</v>
      </c>
      <c r="E105" s="174" t="s">
        <v>249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4</v>
      </c>
      <c r="R105" s="180">
        <f>SUM(Tabela2[[#This Row],[AO]]+Tabela2[[#This Row],[AD]]+Tabela2[[#This Row],[GWO]]+Tabela2[[#This Row],[GWD]])</f>
        <v>4</v>
      </c>
      <c r="S105" s="180">
        <f>Tabela2[[#This Row],[GWO]]+Tabela2[[#This Row],[GWD]]</f>
        <v>2</v>
      </c>
      <c r="T105" s="180">
        <f>SUM(Tabela2[[#This Row],[G]:[GWD]])</f>
        <v>8</v>
      </c>
    </row>
    <row r="106" spans="1:20">
      <c r="A106" s="183">
        <v>105</v>
      </c>
      <c r="B106" s="174" t="s">
        <v>639</v>
      </c>
      <c r="C106" s="174" t="s">
        <v>284</v>
      </c>
      <c r="D106" s="174">
        <v>3</v>
      </c>
      <c r="E106" s="174" t="s">
        <v>249</v>
      </c>
      <c r="F106" s="174">
        <v>1</v>
      </c>
      <c r="G106" s="174">
        <v>1</v>
      </c>
      <c r="H106" s="174">
        <v>1</v>
      </c>
      <c r="I106" s="174">
        <v>1</v>
      </c>
      <c r="J106" s="174">
        <v>1</v>
      </c>
      <c r="K106" s="174">
        <v>1</v>
      </c>
      <c r="L106" s="174">
        <v>1</v>
      </c>
      <c r="M106" s="174">
        <v>1</v>
      </c>
      <c r="N106" s="170"/>
      <c r="O106" s="170"/>
      <c r="P106" s="194" t="s">
        <v>204</v>
      </c>
      <c r="Q106" s="180">
        <f>SUM(Tabela2[[#This Row],[G]]+Tabela2[[#This Row],[D]]+Tabela2[[#This Row],[N]]+Tabela2[[#This Row],[HM]])</f>
        <v>4</v>
      </c>
      <c r="R106" s="180">
        <f>SUM(Tabela2[[#This Row],[AO]]+Tabela2[[#This Row],[AD]]+Tabela2[[#This Row],[GWO]]+Tabela2[[#This Row],[GWD]])</f>
        <v>4</v>
      </c>
      <c r="S106" s="180">
        <f>Tabela2[[#This Row],[GWO]]+Tabela2[[#This Row],[GWD]]</f>
        <v>2</v>
      </c>
      <c r="T106" s="180">
        <f>SUM(Tabela2[[#This Row],[G]:[GWD]])</f>
        <v>8</v>
      </c>
    </row>
    <row r="107" spans="1:20">
      <c r="A107" s="183">
        <v>106</v>
      </c>
      <c r="B107" s="174" t="s">
        <v>638</v>
      </c>
      <c r="C107" s="174" t="s">
        <v>523</v>
      </c>
      <c r="D107" s="174">
        <v>3</v>
      </c>
      <c r="E107" s="174" t="s">
        <v>249</v>
      </c>
      <c r="F107" s="174">
        <v>1</v>
      </c>
      <c r="G107" s="174">
        <v>1</v>
      </c>
      <c r="H107" s="174">
        <v>1</v>
      </c>
      <c r="I107" s="174">
        <v>1</v>
      </c>
      <c r="J107" s="174">
        <v>1</v>
      </c>
      <c r="K107" s="174">
        <v>1</v>
      </c>
      <c r="L107" s="174">
        <v>1</v>
      </c>
      <c r="M107" s="174">
        <v>1</v>
      </c>
      <c r="N107" s="170"/>
      <c r="O107" s="170"/>
      <c r="P107" s="170"/>
      <c r="Q107" s="180">
        <f>SUM(Tabela2[[#This Row],[G]]+Tabela2[[#This Row],[D]]+Tabela2[[#This Row],[N]]+Tabela2[[#This Row],[HM]])</f>
        <v>4</v>
      </c>
      <c r="R107" s="180">
        <f>SUM(Tabela2[[#This Row],[AO]]+Tabela2[[#This Row],[AD]]+Tabela2[[#This Row],[GWO]]+Tabela2[[#This Row],[GWD]])</f>
        <v>4</v>
      </c>
      <c r="S107" s="180">
        <f>Tabela2[[#This Row],[GWO]]+Tabela2[[#This Row],[GWD]]</f>
        <v>2</v>
      </c>
      <c r="T107" s="180">
        <f>SUM(Tabela2[[#This Row],[G]:[GWD]])</f>
        <v>8</v>
      </c>
    </row>
    <row r="108" spans="1:20">
      <c r="A108" s="183">
        <v>107</v>
      </c>
      <c r="B108" s="174" t="s">
        <v>637</v>
      </c>
      <c r="C108" s="174" t="s">
        <v>521</v>
      </c>
      <c r="D108" s="174">
        <v>3</v>
      </c>
      <c r="E108" s="174" t="s">
        <v>249</v>
      </c>
      <c r="F108" s="174">
        <v>2</v>
      </c>
      <c r="G108" s="174">
        <v>3</v>
      </c>
      <c r="H108" s="174">
        <v>3</v>
      </c>
      <c r="I108" s="174">
        <v>3</v>
      </c>
      <c r="J108" s="174">
        <v>3</v>
      </c>
      <c r="K108" s="174">
        <v>1</v>
      </c>
      <c r="L108" s="174">
        <v>4</v>
      </c>
      <c r="M108" s="174">
        <v>3</v>
      </c>
      <c r="N108" s="170"/>
      <c r="O108" s="170"/>
      <c r="P108" s="194" t="s">
        <v>204</v>
      </c>
      <c r="Q108" s="180">
        <f>SUM(Tabela2[[#This Row],[G]]+Tabela2[[#This Row],[D]]+Tabela2[[#This Row],[N]]+Tabela2[[#This Row],[HM]])</f>
        <v>9</v>
      </c>
      <c r="R108" s="180">
        <f>SUM(Tabela2[[#This Row],[AO]]+Tabela2[[#This Row],[AD]]+Tabela2[[#This Row],[GWO]]+Tabela2[[#This Row],[GWD]])</f>
        <v>13</v>
      </c>
      <c r="S108" s="180">
        <f>Tabela2[[#This Row],[GWO]]+Tabela2[[#This Row],[GWD]]</f>
        <v>7</v>
      </c>
      <c r="T108" s="180">
        <f>SUM(Tabela2[[#This Row],[G]:[GWD]])</f>
        <v>22</v>
      </c>
    </row>
    <row r="109" spans="1:20">
      <c r="A109" s="183">
        <v>108</v>
      </c>
      <c r="B109" s="172" t="s">
        <v>636</v>
      </c>
      <c r="C109" s="172" t="s">
        <v>574</v>
      </c>
      <c r="D109" s="172">
        <v>3</v>
      </c>
      <c r="E109" s="172" t="s">
        <v>250</v>
      </c>
      <c r="F109" s="172">
        <v>1</v>
      </c>
      <c r="G109" s="172">
        <v>1</v>
      </c>
      <c r="H109" s="172">
        <v>2</v>
      </c>
      <c r="I109" s="172">
        <v>1</v>
      </c>
      <c r="J109" s="172">
        <v>1</v>
      </c>
      <c r="K109" s="172">
        <v>1</v>
      </c>
      <c r="L109" s="172">
        <v>1</v>
      </c>
      <c r="M109" s="172">
        <v>1</v>
      </c>
      <c r="N109" s="172" t="s">
        <v>445</v>
      </c>
      <c r="O109" s="172"/>
      <c r="P109" s="172"/>
      <c r="Q109" s="186">
        <f>SUM(Tabela2[[#This Row],[G]]+Tabela2[[#This Row],[D]]+Tabela2[[#This Row],[N]]+Tabela2[[#This Row],[HM]])</f>
        <v>5</v>
      </c>
      <c r="R109" s="186">
        <f>SUM(Tabela2[[#This Row],[AO]]+Tabela2[[#This Row],[AD]]+Tabela2[[#This Row],[GWO]]+Tabela2[[#This Row],[GWD]])</f>
        <v>4</v>
      </c>
      <c r="S109" s="186">
        <f>Tabela2[[#This Row],[GWO]]+Tabela2[[#This Row],[GWD]]</f>
        <v>2</v>
      </c>
      <c r="T109" s="180">
        <f>SUM(Tabela2[[#This Row],[G]:[GWD]])</f>
        <v>9</v>
      </c>
    </row>
    <row r="110" spans="1:20" ht="30">
      <c r="A110" s="183">
        <v>109</v>
      </c>
      <c r="B110" s="172" t="s">
        <v>635</v>
      </c>
      <c r="C110" s="172" t="s">
        <v>572</v>
      </c>
      <c r="D110" s="172">
        <v>3</v>
      </c>
      <c r="E110" s="172" t="s">
        <v>250</v>
      </c>
      <c r="F110" s="172">
        <v>2</v>
      </c>
      <c r="G110" s="172">
        <v>1</v>
      </c>
      <c r="H110" s="172">
        <v>1</v>
      </c>
      <c r="I110" s="172">
        <v>1</v>
      </c>
      <c r="J110" s="172">
        <v>1</v>
      </c>
      <c r="K110" s="172">
        <v>1</v>
      </c>
      <c r="L110" s="172">
        <v>1</v>
      </c>
      <c r="M110" s="172">
        <v>1</v>
      </c>
      <c r="N110" s="170"/>
      <c r="O110" s="170"/>
      <c r="P110" s="170"/>
      <c r="Q110" s="180">
        <f>SUM(Tabela2[[#This Row],[G]]+Tabela2[[#This Row],[D]]+Tabela2[[#This Row],[N]]+Tabela2[[#This Row],[HM]])</f>
        <v>5</v>
      </c>
      <c r="R110" s="180">
        <f>SUM(Tabela2[[#This Row],[AO]]+Tabela2[[#This Row],[AD]]+Tabela2[[#This Row],[GWO]]+Tabela2[[#This Row],[GWD]])</f>
        <v>4</v>
      </c>
      <c r="S110" s="180">
        <f>Tabela2[[#This Row],[GWO]]+Tabela2[[#This Row],[GWD]]</f>
        <v>2</v>
      </c>
      <c r="T110" s="180">
        <f>SUM(Tabela2[[#This Row],[G]:[GWD]])</f>
        <v>9</v>
      </c>
    </row>
    <row r="111" spans="1:20">
      <c r="A111" s="183">
        <v>110</v>
      </c>
      <c r="B111" s="172" t="s">
        <v>634</v>
      </c>
      <c r="C111" s="172" t="s">
        <v>290</v>
      </c>
      <c r="D111" s="172">
        <v>3</v>
      </c>
      <c r="E111" s="172" t="s">
        <v>250</v>
      </c>
      <c r="F111" s="172">
        <v>1</v>
      </c>
      <c r="G111" s="172">
        <v>1</v>
      </c>
      <c r="H111" s="172">
        <v>1</v>
      </c>
      <c r="I111" s="172">
        <v>1</v>
      </c>
      <c r="J111" s="172">
        <v>1</v>
      </c>
      <c r="K111" s="172">
        <v>1</v>
      </c>
      <c r="L111" s="172">
        <v>1</v>
      </c>
      <c r="M111" s="172">
        <v>1</v>
      </c>
      <c r="N111" s="172" t="s">
        <v>445</v>
      </c>
      <c r="O111" s="172"/>
      <c r="P111" s="172"/>
      <c r="Q111" s="186">
        <f>SUM(Tabela2[[#This Row],[G]]+Tabela2[[#This Row],[D]]+Tabela2[[#This Row],[N]]+Tabela2[[#This Row],[HM]])</f>
        <v>4</v>
      </c>
      <c r="R111" s="186">
        <f>SUM(Tabela2[[#This Row],[AO]]+Tabela2[[#This Row],[AD]]+Tabela2[[#This Row],[GWO]]+Tabela2[[#This Row],[GWD]])</f>
        <v>4</v>
      </c>
      <c r="S111" s="186">
        <f>Tabela2[[#This Row],[GWO]]+Tabela2[[#This Row],[GWD]]</f>
        <v>2</v>
      </c>
      <c r="T111" s="180">
        <f>SUM(Tabela2[[#This Row],[G]:[GWD]])</f>
        <v>8</v>
      </c>
    </row>
    <row r="112" spans="1:20" ht="30">
      <c r="A112" s="183">
        <v>111</v>
      </c>
      <c r="B112" s="178" t="s">
        <v>633</v>
      </c>
      <c r="C112" s="172" t="s">
        <v>570</v>
      </c>
      <c r="D112" s="172">
        <v>3</v>
      </c>
      <c r="E112" s="172" t="s">
        <v>250</v>
      </c>
      <c r="F112" s="172">
        <v>1</v>
      </c>
      <c r="G112" s="172">
        <v>1</v>
      </c>
      <c r="H112" s="172">
        <v>1</v>
      </c>
      <c r="I112" s="172">
        <v>1</v>
      </c>
      <c r="J112" s="172">
        <v>1</v>
      </c>
      <c r="K112" s="172">
        <v>1</v>
      </c>
      <c r="L112" s="172">
        <v>1</v>
      </c>
      <c r="M112" s="172">
        <v>1</v>
      </c>
      <c r="N112" s="170"/>
      <c r="O112" s="170"/>
      <c r="P112" s="170"/>
      <c r="Q112" s="180">
        <f>SUM(Tabela2[[#This Row],[G]]+Tabela2[[#This Row],[D]]+Tabela2[[#This Row],[N]]+Tabela2[[#This Row],[HM]])</f>
        <v>4</v>
      </c>
      <c r="R112" s="180">
        <f>SUM(Tabela2[[#This Row],[AO]]+Tabela2[[#This Row],[AD]]+Tabela2[[#This Row],[GWO]]+Tabela2[[#This Row],[GWD]])</f>
        <v>4</v>
      </c>
      <c r="S112" s="180">
        <f>Tabela2[[#This Row],[GWO]]+Tabela2[[#This Row],[GWD]]</f>
        <v>2</v>
      </c>
      <c r="T112" s="180">
        <f>SUM(Tabela2[[#This Row],[G]:[GWD]])</f>
        <v>8</v>
      </c>
    </row>
    <row r="113" spans="1:20" ht="30">
      <c r="A113" s="183">
        <v>112</v>
      </c>
      <c r="B113" s="172" t="s">
        <v>632</v>
      </c>
      <c r="C113" s="172" t="s">
        <v>568</v>
      </c>
      <c r="D113" s="172">
        <v>3</v>
      </c>
      <c r="E113" s="172" t="s">
        <v>250</v>
      </c>
      <c r="F113" s="172">
        <v>1</v>
      </c>
      <c r="G113" s="172">
        <v>1</v>
      </c>
      <c r="H113" s="172">
        <v>2</v>
      </c>
      <c r="I113" s="172">
        <v>2</v>
      </c>
      <c r="J113" s="172">
        <v>1</v>
      </c>
      <c r="K113" s="172">
        <v>1</v>
      </c>
      <c r="L113" s="172">
        <v>2</v>
      </c>
      <c r="M113" s="172">
        <v>1</v>
      </c>
      <c r="N113" s="170"/>
      <c r="O113" s="170"/>
      <c r="P113" s="170"/>
      <c r="Q113" s="180">
        <f>SUM(Tabela2[[#This Row],[G]]+Tabela2[[#This Row],[D]]+Tabela2[[#This Row],[N]]+Tabela2[[#This Row],[HM]])</f>
        <v>5</v>
      </c>
      <c r="R113" s="180">
        <f>SUM(Tabela2[[#This Row],[AO]]+Tabela2[[#This Row],[AD]]+Tabela2[[#This Row],[GWO]]+Tabela2[[#This Row],[GWD]])</f>
        <v>6</v>
      </c>
      <c r="S113" s="180">
        <f>Tabela2[[#This Row],[GWO]]+Tabela2[[#This Row],[GWD]]</f>
        <v>3</v>
      </c>
      <c r="T113" s="180">
        <f>SUM(Tabela2[[#This Row],[G]:[GWD]])</f>
        <v>11</v>
      </c>
    </row>
    <row r="114" spans="1:20" ht="30">
      <c r="A114" s="183">
        <v>113</v>
      </c>
      <c r="B114" s="172" t="s">
        <v>631</v>
      </c>
      <c r="C114" s="172" t="s">
        <v>566</v>
      </c>
      <c r="D114" s="172">
        <v>3</v>
      </c>
      <c r="E114" s="172" t="s">
        <v>250</v>
      </c>
      <c r="F114" s="172">
        <v>1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1</v>
      </c>
      <c r="M114" s="172">
        <v>1</v>
      </c>
      <c r="N114" s="170"/>
      <c r="O114" s="170"/>
      <c r="P114" s="170"/>
      <c r="Q114" s="180">
        <f>SUM(Tabela2[[#This Row],[G]]+Tabela2[[#This Row],[D]]+Tabela2[[#This Row],[N]]+Tabela2[[#This Row],[HM]])</f>
        <v>4</v>
      </c>
      <c r="R114" s="180">
        <f>SUM(Tabela2[[#This Row],[AO]]+Tabela2[[#This Row],[AD]]+Tabela2[[#This Row],[GWO]]+Tabela2[[#This Row],[GWD]])</f>
        <v>4</v>
      </c>
      <c r="S114" s="180">
        <f>Tabela2[[#This Row],[GWO]]+Tabela2[[#This Row],[GWD]]</f>
        <v>2</v>
      </c>
      <c r="T114" s="180">
        <f>SUM(Tabela2[[#This Row],[G]:[GWD]])</f>
        <v>8</v>
      </c>
    </row>
    <row r="115" spans="1:20">
      <c r="A115" s="183">
        <v>114</v>
      </c>
      <c r="B115" s="172" t="s">
        <v>630</v>
      </c>
      <c r="C115" s="172" t="s">
        <v>565</v>
      </c>
      <c r="D115" s="172">
        <v>3</v>
      </c>
      <c r="E115" s="172" t="s">
        <v>250</v>
      </c>
      <c r="F115" s="172">
        <v>1</v>
      </c>
      <c r="G115" s="172">
        <v>1</v>
      </c>
      <c r="H115" s="172">
        <v>2</v>
      </c>
      <c r="I115" s="172">
        <v>2</v>
      </c>
      <c r="J115" s="172">
        <v>1</v>
      </c>
      <c r="K115" s="172">
        <v>1</v>
      </c>
      <c r="L115" s="172">
        <v>2</v>
      </c>
      <c r="M115" s="172">
        <v>1</v>
      </c>
      <c r="N115" s="170"/>
      <c r="O115" s="170"/>
      <c r="P115" s="170"/>
      <c r="Q115" s="180">
        <f>SUM(Tabela2[[#This Row],[G]]+Tabela2[[#This Row],[D]]+Tabela2[[#This Row],[N]]+Tabela2[[#This Row],[HM]])</f>
        <v>5</v>
      </c>
      <c r="R115" s="180">
        <f>SUM(Tabela2[[#This Row],[AO]]+Tabela2[[#This Row],[AD]]+Tabela2[[#This Row],[GWO]]+Tabela2[[#This Row],[GWD]])</f>
        <v>6</v>
      </c>
      <c r="S115" s="180">
        <f>Tabela2[[#This Row],[GWO]]+Tabela2[[#This Row],[GWD]]</f>
        <v>3</v>
      </c>
      <c r="T115" s="180">
        <f>SUM(Tabela2[[#This Row],[G]:[GWD]])</f>
        <v>11</v>
      </c>
    </row>
    <row r="116" spans="1:20" ht="30">
      <c r="A116" s="183">
        <v>115</v>
      </c>
      <c r="B116" s="172" t="s">
        <v>629</v>
      </c>
      <c r="C116" s="172" t="s">
        <v>563</v>
      </c>
      <c r="D116" s="172">
        <v>3</v>
      </c>
      <c r="E116" s="172" t="s">
        <v>250</v>
      </c>
      <c r="F116" s="172">
        <v>1</v>
      </c>
      <c r="G116" s="172">
        <v>1</v>
      </c>
      <c r="H116" s="172">
        <v>1</v>
      </c>
      <c r="I116" s="172">
        <v>1</v>
      </c>
      <c r="J116" s="172">
        <v>1</v>
      </c>
      <c r="K116" s="172">
        <v>1</v>
      </c>
      <c r="L116" s="172">
        <v>1</v>
      </c>
      <c r="M116" s="172">
        <v>1</v>
      </c>
      <c r="N116" s="170"/>
      <c r="O116" s="170"/>
      <c r="P116" s="170"/>
      <c r="Q116" s="180">
        <f>SUM(Tabela2[[#This Row],[G]]+Tabela2[[#This Row],[D]]+Tabela2[[#This Row],[N]]+Tabela2[[#This Row],[HM]])</f>
        <v>4</v>
      </c>
      <c r="R116" s="180">
        <f>SUM(Tabela2[[#This Row],[AO]]+Tabela2[[#This Row],[AD]]+Tabela2[[#This Row],[GWO]]+Tabela2[[#This Row],[GWD]])</f>
        <v>4</v>
      </c>
      <c r="S116" s="180">
        <f>Tabela2[[#This Row],[GWO]]+Tabela2[[#This Row],[GWD]]</f>
        <v>2</v>
      </c>
      <c r="T116" s="180">
        <f>SUM(Tabela2[[#This Row],[G]:[GWD]])</f>
        <v>8</v>
      </c>
    </row>
    <row r="117" spans="1:20" ht="30">
      <c r="A117" s="183">
        <v>116</v>
      </c>
      <c r="B117" s="172" t="s">
        <v>628</v>
      </c>
      <c r="C117" s="172" t="s">
        <v>412</v>
      </c>
      <c r="D117" s="172">
        <v>3</v>
      </c>
      <c r="E117" s="172" t="s">
        <v>250</v>
      </c>
      <c r="F117" s="172">
        <v>3</v>
      </c>
      <c r="G117" s="172">
        <v>2</v>
      </c>
      <c r="H117" s="172">
        <v>1</v>
      </c>
      <c r="I117" s="172">
        <v>1</v>
      </c>
      <c r="J117" s="172">
        <v>3</v>
      </c>
      <c r="K117" s="172">
        <v>2</v>
      </c>
      <c r="L117" s="172">
        <v>3</v>
      </c>
      <c r="M117" s="172">
        <v>2</v>
      </c>
      <c r="N117" s="173"/>
      <c r="O117" s="173" t="s">
        <v>204</v>
      </c>
      <c r="P117" s="173"/>
      <c r="Q117" s="181">
        <f>SUM(Tabela2[[#This Row],[G]]+Tabela2[[#This Row],[D]]+Tabela2[[#This Row],[N]]+Tabela2[[#This Row],[HM]])</f>
        <v>8</v>
      </c>
      <c r="R117" s="181">
        <f>SUM(Tabela2[[#This Row],[AO]]+Tabela2[[#This Row],[AD]]+Tabela2[[#This Row],[GWO]]+Tabela2[[#This Row],[GWD]])</f>
        <v>9</v>
      </c>
      <c r="S117" s="181">
        <f>Tabela2[[#This Row],[GWO]]+Tabela2[[#This Row],[GWD]]</f>
        <v>5</v>
      </c>
      <c r="T117" s="181">
        <f>SUM(Tabela2[[#This Row],[G]:[GWD]])</f>
        <v>17</v>
      </c>
    </row>
    <row r="118" spans="1:20">
      <c r="A118" s="183">
        <v>117</v>
      </c>
      <c r="B118" s="172" t="s">
        <v>627</v>
      </c>
      <c r="C118" s="172" t="s">
        <v>283</v>
      </c>
      <c r="D118" s="172">
        <v>3</v>
      </c>
      <c r="E118" s="172" t="s">
        <v>250</v>
      </c>
      <c r="F118" s="172">
        <v>2</v>
      </c>
      <c r="G118" s="172">
        <v>1</v>
      </c>
      <c r="H118" s="172">
        <v>1</v>
      </c>
      <c r="I118" s="172">
        <v>2</v>
      </c>
      <c r="J118" s="172">
        <v>1</v>
      </c>
      <c r="K118" s="172">
        <v>1</v>
      </c>
      <c r="L118" s="172">
        <v>3</v>
      </c>
      <c r="M118" s="172">
        <v>1</v>
      </c>
      <c r="N118" s="170"/>
      <c r="O118" s="170"/>
      <c r="P118" s="170"/>
      <c r="Q118" s="180">
        <f>SUM(Tabela2[[#This Row],[G]]+Tabela2[[#This Row],[D]]+Tabela2[[#This Row],[N]]+Tabela2[[#This Row],[HM]])</f>
        <v>5</v>
      </c>
      <c r="R118" s="180">
        <f>SUM(Tabela2[[#This Row],[AO]]+Tabela2[[#This Row],[AD]]+Tabela2[[#This Row],[GWO]]+Tabela2[[#This Row],[GWD]])</f>
        <v>7</v>
      </c>
      <c r="S118" s="180">
        <f>Tabela2[[#This Row],[GWO]]+Tabela2[[#This Row],[GWD]]</f>
        <v>4</v>
      </c>
      <c r="T118" s="180">
        <f>SUM(Tabela2[[#This Row],[G]:[GWD]])</f>
        <v>12</v>
      </c>
    </row>
    <row r="119" spans="1:20">
      <c r="A119" s="183">
        <v>118</v>
      </c>
      <c r="B119" s="172" t="s">
        <v>149</v>
      </c>
      <c r="C119" s="172" t="s">
        <v>552</v>
      </c>
      <c r="D119" s="172">
        <v>3</v>
      </c>
      <c r="E119" s="172" t="s">
        <v>250</v>
      </c>
      <c r="F119" s="172">
        <v>5</v>
      </c>
      <c r="G119" s="172">
        <v>4</v>
      </c>
      <c r="H119" s="172">
        <v>3</v>
      </c>
      <c r="I119" s="172">
        <v>5</v>
      </c>
      <c r="J119" s="172">
        <v>5</v>
      </c>
      <c r="K119" s="172">
        <v>5</v>
      </c>
      <c r="L119" s="172">
        <v>4</v>
      </c>
      <c r="M119" s="172">
        <v>3</v>
      </c>
      <c r="N119" s="170"/>
      <c r="O119" s="170" t="s">
        <v>204</v>
      </c>
      <c r="P119" s="170"/>
      <c r="Q119" s="180">
        <f>SUM(Tabela2[[#This Row],[G]]+Tabela2[[#This Row],[D]]+Tabela2[[#This Row],[N]]+Tabela2[[#This Row],[HM]])</f>
        <v>17</v>
      </c>
      <c r="R119" s="180">
        <f>SUM(Tabela2[[#This Row],[AO]]+Tabela2[[#This Row],[AD]]+Tabela2[[#This Row],[GWO]]+Tabela2[[#This Row],[GWD]])</f>
        <v>17</v>
      </c>
      <c r="S119" s="180">
        <f>Tabela2[[#This Row],[GWO]]+Tabela2[[#This Row],[GWD]]</f>
        <v>7</v>
      </c>
      <c r="T119" s="180">
        <f>SUM(Tabela2[[#This Row],[G]:[GWD]])</f>
        <v>34</v>
      </c>
    </row>
    <row r="120" spans="1:20" ht="30">
      <c r="A120" s="183">
        <v>119</v>
      </c>
      <c r="B120" s="172" t="s">
        <v>626</v>
      </c>
      <c r="C120" s="172" t="s">
        <v>550</v>
      </c>
      <c r="D120" s="172">
        <v>3</v>
      </c>
      <c r="E120" s="172" t="s">
        <v>250</v>
      </c>
      <c r="F120" s="172">
        <v>1</v>
      </c>
      <c r="G120" s="172">
        <v>1</v>
      </c>
      <c r="H120" s="172">
        <v>1</v>
      </c>
      <c r="I120" s="172">
        <v>1</v>
      </c>
      <c r="J120" s="172">
        <v>1</v>
      </c>
      <c r="K120" s="172">
        <v>1</v>
      </c>
      <c r="L120" s="172">
        <v>1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4</v>
      </c>
      <c r="R120" s="180">
        <f>SUM(Tabela2[[#This Row],[AO]]+Tabela2[[#This Row],[AD]]+Tabela2[[#This Row],[GWO]]+Tabela2[[#This Row],[GWD]])</f>
        <v>4</v>
      </c>
      <c r="S120" s="180">
        <f>Tabela2[[#This Row],[GWO]]+Tabela2[[#This Row],[GWD]]</f>
        <v>2</v>
      </c>
      <c r="T120" s="180">
        <f>SUM(Tabela2[[#This Row],[G]:[GWD]])</f>
        <v>8</v>
      </c>
    </row>
    <row r="121" spans="1:20">
      <c r="A121" s="183">
        <v>120</v>
      </c>
      <c r="B121" s="172" t="s">
        <v>625</v>
      </c>
      <c r="C121" s="172" t="s">
        <v>546</v>
      </c>
      <c r="D121" s="172">
        <v>3</v>
      </c>
      <c r="E121" s="172" t="s">
        <v>250</v>
      </c>
      <c r="F121" s="172">
        <v>1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1</v>
      </c>
      <c r="M121" s="172">
        <v>1</v>
      </c>
      <c r="N121" s="172" t="s">
        <v>445</v>
      </c>
      <c r="O121" s="172"/>
      <c r="P121" s="172"/>
      <c r="Q121" s="186">
        <f>SUM(Tabela2[[#This Row],[G]]+Tabela2[[#This Row],[D]]+Tabela2[[#This Row],[N]]+Tabela2[[#This Row],[HM]])</f>
        <v>4</v>
      </c>
      <c r="R121" s="186">
        <f>SUM(Tabela2[[#This Row],[AO]]+Tabela2[[#This Row],[AD]]+Tabela2[[#This Row],[GWO]]+Tabela2[[#This Row],[GWD]])</f>
        <v>4</v>
      </c>
      <c r="S121" s="186">
        <f>Tabela2[[#This Row],[GWO]]+Tabela2[[#This Row],[GWD]]</f>
        <v>2</v>
      </c>
      <c r="T121" s="180">
        <f>SUM(Tabela2[[#This Row],[G]:[GWD]])</f>
        <v>8</v>
      </c>
    </row>
    <row r="122" spans="1:20" ht="30">
      <c r="A122" s="183">
        <v>121</v>
      </c>
      <c r="B122" s="172" t="s">
        <v>624</v>
      </c>
      <c r="C122" s="172" t="s">
        <v>544</v>
      </c>
      <c r="D122" s="172">
        <v>3</v>
      </c>
      <c r="E122" s="172" t="s">
        <v>250</v>
      </c>
      <c r="F122" s="172">
        <v>1</v>
      </c>
      <c r="G122" s="172">
        <v>1</v>
      </c>
      <c r="H122" s="172">
        <v>1</v>
      </c>
      <c r="I122" s="172">
        <v>1</v>
      </c>
      <c r="J122" s="172">
        <v>1</v>
      </c>
      <c r="K122" s="172">
        <v>1</v>
      </c>
      <c r="L122" s="172">
        <v>1</v>
      </c>
      <c r="M122" s="172">
        <v>1</v>
      </c>
      <c r="N122" s="170"/>
      <c r="O122" s="170"/>
      <c r="P122" s="170"/>
      <c r="Q122" s="180">
        <f>SUM(Tabela2[[#This Row],[G]]+Tabela2[[#This Row],[D]]+Tabela2[[#This Row],[N]]+Tabela2[[#This Row],[HM]])</f>
        <v>4</v>
      </c>
      <c r="R122" s="180">
        <f>SUM(Tabela2[[#This Row],[AO]]+Tabela2[[#This Row],[AD]]+Tabela2[[#This Row],[GWO]]+Tabela2[[#This Row],[GWD]])</f>
        <v>4</v>
      </c>
      <c r="S122" s="180">
        <f>Tabela2[[#This Row],[GWO]]+Tabela2[[#This Row],[GWD]]</f>
        <v>2</v>
      </c>
      <c r="T122" s="180">
        <f>SUM(Tabela2[[#This Row],[G]:[GWD]])</f>
        <v>8</v>
      </c>
    </row>
    <row r="123" spans="1:20" ht="30">
      <c r="A123" s="183">
        <v>122</v>
      </c>
      <c r="B123" s="172" t="s">
        <v>623</v>
      </c>
      <c r="C123" s="172" t="s">
        <v>542</v>
      </c>
      <c r="D123" s="172">
        <v>3</v>
      </c>
      <c r="E123" s="172" t="s">
        <v>250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70"/>
      <c r="Q123" s="180">
        <f>SUM(Tabela2[[#This Row],[G]]+Tabela2[[#This Row],[D]]+Tabela2[[#This Row],[N]]+Tabela2[[#This Row],[HM]])</f>
        <v>4</v>
      </c>
      <c r="R123" s="180">
        <f>SUM(Tabela2[[#This Row],[AO]]+Tabela2[[#This Row],[AD]]+Tabela2[[#This Row],[GWO]]+Tabela2[[#This Row],[GWD]])</f>
        <v>4</v>
      </c>
      <c r="S123" s="180">
        <f>Tabela2[[#This Row],[GWO]]+Tabela2[[#This Row],[GWD]]</f>
        <v>2</v>
      </c>
      <c r="T123" s="180">
        <f>SUM(Tabela2[[#This Row],[G]:[GWD]])</f>
        <v>8</v>
      </c>
    </row>
    <row r="124" spans="1:20">
      <c r="A124" s="183">
        <v>123</v>
      </c>
      <c r="B124" s="172" t="s">
        <v>622</v>
      </c>
      <c r="C124" s="172" t="s">
        <v>540</v>
      </c>
      <c r="D124" s="172">
        <v>3</v>
      </c>
      <c r="E124" s="172" t="s">
        <v>250</v>
      </c>
      <c r="F124" s="172">
        <v>1</v>
      </c>
      <c r="G124" s="172">
        <v>1</v>
      </c>
      <c r="H124" s="172">
        <v>1</v>
      </c>
      <c r="I124" s="172">
        <v>1</v>
      </c>
      <c r="J124" s="172">
        <v>1</v>
      </c>
      <c r="K124" s="172">
        <v>1</v>
      </c>
      <c r="L124" s="172">
        <v>1</v>
      </c>
      <c r="M124" s="172">
        <v>1</v>
      </c>
      <c r="N124" s="172" t="s">
        <v>445</v>
      </c>
      <c r="O124" s="172"/>
      <c r="P124" s="172"/>
      <c r="Q124" s="186">
        <f>SUM(Tabela2[[#This Row],[G]]+Tabela2[[#This Row],[D]]+Tabela2[[#This Row],[N]]+Tabela2[[#This Row],[HM]])</f>
        <v>4</v>
      </c>
      <c r="R124" s="186">
        <f>SUM(Tabela2[[#This Row],[AO]]+Tabela2[[#This Row],[AD]]+Tabela2[[#This Row],[GWO]]+Tabela2[[#This Row],[GWD]])</f>
        <v>4</v>
      </c>
      <c r="S124" s="186">
        <f>Tabela2[[#This Row],[GWO]]+Tabela2[[#This Row],[GWD]]</f>
        <v>2</v>
      </c>
      <c r="T124" s="180">
        <f>SUM(Tabela2[[#This Row],[G]:[GWD]])</f>
        <v>8</v>
      </c>
    </row>
    <row r="125" spans="1:20">
      <c r="A125" s="183">
        <v>124</v>
      </c>
      <c r="B125" s="172" t="s">
        <v>621</v>
      </c>
      <c r="C125" s="172" t="s">
        <v>358</v>
      </c>
      <c r="D125" s="172">
        <v>3</v>
      </c>
      <c r="E125" s="172" t="s">
        <v>250</v>
      </c>
      <c r="F125" s="172">
        <v>1</v>
      </c>
      <c r="G125" s="172">
        <v>1</v>
      </c>
      <c r="H125" s="172">
        <v>1</v>
      </c>
      <c r="I125" s="172">
        <v>1</v>
      </c>
      <c r="J125" s="172">
        <v>1</v>
      </c>
      <c r="K125" s="172">
        <v>1</v>
      </c>
      <c r="L125" s="172">
        <v>1</v>
      </c>
      <c r="M125" s="172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4</v>
      </c>
      <c r="S125" s="180">
        <f>Tabela2[[#This Row],[GWO]]+Tabela2[[#This Row],[GWD]]</f>
        <v>2</v>
      </c>
      <c r="T125" s="180">
        <f>SUM(Tabela2[[#This Row],[G]:[GWD]])</f>
        <v>8</v>
      </c>
    </row>
    <row r="126" spans="1:20" ht="30">
      <c r="A126" s="183">
        <v>125</v>
      </c>
      <c r="B126" s="172" t="s">
        <v>620</v>
      </c>
      <c r="C126" s="172" t="s">
        <v>538</v>
      </c>
      <c r="D126" s="172">
        <v>3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3</v>
      </c>
      <c r="J126" s="172">
        <v>1</v>
      </c>
      <c r="K126" s="172">
        <v>1</v>
      </c>
      <c r="L126" s="172">
        <v>5</v>
      </c>
      <c r="M126" s="172">
        <v>1</v>
      </c>
      <c r="N126" s="170"/>
      <c r="O126" s="170" t="s">
        <v>204</v>
      </c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10</v>
      </c>
      <c r="S126" s="180">
        <f>Tabela2[[#This Row],[GWO]]+Tabela2[[#This Row],[GWD]]</f>
        <v>6</v>
      </c>
      <c r="T126" s="180">
        <f>SUM(Tabela2[[#This Row],[G]:[GWD]])</f>
        <v>16</v>
      </c>
    </row>
    <row r="127" spans="1:20">
      <c r="A127" s="183">
        <v>126</v>
      </c>
      <c r="B127" s="172" t="s">
        <v>619</v>
      </c>
      <c r="C127" s="172" t="s">
        <v>536</v>
      </c>
      <c r="D127" s="172">
        <v>3</v>
      </c>
      <c r="E127" s="172" t="s">
        <v>250</v>
      </c>
      <c r="F127" s="172">
        <v>2</v>
      </c>
      <c r="G127" s="172">
        <v>1</v>
      </c>
      <c r="H127" s="172">
        <v>1</v>
      </c>
      <c r="I127" s="172">
        <v>1</v>
      </c>
      <c r="J127" s="172">
        <v>1</v>
      </c>
      <c r="K127" s="172">
        <v>1</v>
      </c>
      <c r="L127" s="172">
        <v>1</v>
      </c>
      <c r="M127" s="172">
        <v>1</v>
      </c>
      <c r="N127" s="172" t="s">
        <v>445</v>
      </c>
      <c r="O127" s="172"/>
      <c r="P127" s="172"/>
      <c r="Q127" s="186">
        <f>SUM(Tabela2[[#This Row],[G]]+Tabela2[[#This Row],[D]]+Tabela2[[#This Row],[N]]+Tabela2[[#This Row],[HM]])</f>
        <v>5</v>
      </c>
      <c r="R127" s="186">
        <f>SUM(Tabela2[[#This Row],[AO]]+Tabela2[[#This Row],[AD]]+Tabela2[[#This Row],[GWO]]+Tabela2[[#This Row],[GWD]])</f>
        <v>4</v>
      </c>
      <c r="S127" s="186">
        <f>Tabela2[[#This Row],[GWO]]+Tabela2[[#This Row],[GWD]]</f>
        <v>2</v>
      </c>
      <c r="T127" s="180">
        <f>SUM(Tabela2[[#This Row],[G]:[GWD]])</f>
        <v>9</v>
      </c>
    </row>
    <row r="128" spans="1:20" ht="30">
      <c r="A128" s="183">
        <v>127</v>
      </c>
      <c r="B128" s="172" t="s">
        <v>618</v>
      </c>
      <c r="C128" s="172" t="s">
        <v>400</v>
      </c>
      <c r="D128" s="172">
        <v>3</v>
      </c>
      <c r="E128" s="172" t="s">
        <v>250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4</v>
      </c>
      <c r="S128" s="180">
        <f>Tabela2[[#This Row],[GWO]]+Tabela2[[#This Row],[GWD]]</f>
        <v>2</v>
      </c>
      <c r="T128" s="180">
        <f>SUM(Tabela2[[#This Row],[G]:[GWD]])</f>
        <v>8</v>
      </c>
    </row>
    <row r="129" spans="1:20" ht="30">
      <c r="A129" s="183">
        <v>128</v>
      </c>
      <c r="B129" s="172" t="s">
        <v>617</v>
      </c>
      <c r="C129" s="172" t="s">
        <v>534</v>
      </c>
      <c r="D129" s="172">
        <v>3</v>
      </c>
      <c r="E129" s="172" t="s">
        <v>250</v>
      </c>
      <c r="F129" s="172">
        <v>1</v>
      </c>
      <c r="G129" s="172">
        <v>1</v>
      </c>
      <c r="H129" s="172">
        <v>1</v>
      </c>
      <c r="I129" s="172">
        <v>1</v>
      </c>
      <c r="J129" s="172">
        <v>1</v>
      </c>
      <c r="K129" s="172">
        <v>1</v>
      </c>
      <c r="L129" s="172">
        <v>1</v>
      </c>
      <c r="M129" s="172">
        <v>1</v>
      </c>
      <c r="N129" s="170"/>
      <c r="O129" s="170"/>
      <c r="P129" s="170"/>
      <c r="Q129" s="180">
        <f>SUM(Tabela2[[#This Row],[G]]+Tabela2[[#This Row],[D]]+Tabela2[[#This Row],[N]]+Tabela2[[#This Row],[HM]])</f>
        <v>4</v>
      </c>
      <c r="R129" s="180">
        <f>SUM(Tabela2[[#This Row],[AO]]+Tabela2[[#This Row],[AD]]+Tabela2[[#This Row],[GWO]]+Tabela2[[#This Row],[GWD]])</f>
        <v>4</v>
      </c>
      <c r="S129" s="180">
        <f>Tabela2[[#This Row],[GWO]]+Tabela2[[#This Row],[GWD]]</f>
        <v>2</v>
      </c>
      <c r="T129" s="180">
        <f>SUM(Tabela2[[#This Row],[G]:[GWD]])</f>
        <v>8</v>
      </c>
    </row>
    <row r="130" spans="1:20" ht="30">
      <c r="A130" s="183">
        <v>129</v>
      </c>
      <c r="B130" s="172" t="s">
        <v>616</v>
      </c>
      <c r="C130" s="172" t="s">
        <v>532</v>
      </c>
      <c r="D130" s="172">
        <v>3</v>
      </c>
      <c r="E130" s="172" t="s">
        <v>250</v>
      </c>
      <c r="F130" s="172">
        <v>1</v>
      </c>
      <c r="G130" s="172">
        <v>1</v>
      </c>
      <c r="H130" s="172">
        <v>1</v>
      </c>
      <c r="I130" s="172">
        <v>1</v>
      </c>
      <c r="J130" s="172">
        <v>1</v>
      </c>
      <c r="K130" s="172">
        <v>1</v>
      </c>
      <c r="L130" s="172">
        <v>1</v>
      </c>
      <c r="M130" s="172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4</v>
      </c>
      <c r="S130" s="180">
        <f>Tabela2[[#This Row],[GWO]]+Tabela2[[#This Row],[GWD]]</f>
        <v>2</v>
      </c>
      <c r="T130" s="180">
        <f>SUM(Tabela2[[#This Row],[G]:[GWD]])</f>
        <v>8</v>
      </c>
    </row>
    <row r="131" spans="1:20" ht="30">
      <c r="A131" s="183">
        <v>130</v>
      </c>
      <c r="B131" s="172" t="s">
        <v>615</v>
      </c>
      <c r="C131" s="172" t="s">
        <v>530</v>
      </c>
      <c r="D131" s="172">
        <v>3</v>
      </c>
      <c r="E131" s="172" t="s">
        <v>250</v>
      </c>
      <c r="F131" s="172">
        <v>1</v>
      </c>
      <c r="G131" s="172">
        <v>1</v>
      </c>
      <c r="H131" s="172">
        <v>1</v>
      </c>
      <c r="I131" s="172">
        <v>1</v>
      </c>
      <c r="J131" s="172">
        <v>1</v>
      </c>
      <c r="K131" s="172">
        <v>1</v>
      </c>
      <c r="L131" s="172">
        <v>1</v>
      </c>
      <c r="M131" s="172">
        <v>1</v>
      </c>
      <c r="N131" s="172" t="s">
        <v>445</v>
      </c>
      <c r="O131" s="172"/>
      <c r="P131" s="172"/>
      <c r="Q131" s="186">
        <f>SUM(Tabela2[[#This Row],[G]]+Tabela2[[#This Row],[D]]+Tabela2[[#This Row],[N]]+Tabela2[[#This Row],[HM]])</f>
        <v>4</v>
      </c>
      <c r="R131" s="186">
        <f>SUM(Tabela2[[#This Row],[AO]]+Tabela2[[#This Row],[AD]]+Tabela2[[#This Row],[GWO]]+Tabela2[[#This Row],[GWD]])</f>
        <v>4</v>
      </c>
      <c r="S131" s="186">
        <f>Tabela2[[#This Row],[GWO]]+Tabela2[[#This Row],[GWD]]</f>
        <v>2</v>
      </c>
      <c r="T131" s="180">
        <f>SUM(Tabela2[[#This Row],[G]:[GWD]])</f>
        <v>8</v>
      </c>
    </row>
    <row r="132" spans="1:20" ht="30">
      <c r="A132" s="183">
        <v>131</v>
      </c>
      <c r="B132" s="172" t="s">
        <v>614</v>
      </c>
      <c r="C132" s="172" t="s">
        <v>528</v>
      </c>
      <c r="D132" s="172">
        <v>3</v>
      </c>
      <c r="E132" s="172" t="s">
        <v>250</v>
      </c>
      <c r="F132" s="172">
        <v>1</v>
      </c>
      <c r="G132" s="172">
        <v>1</v>
      </c>
      <c r="H132" s="172">
        <v>1</v>
      </c>
      <c r="I132" s="172">
        <v>1</v>
      </c>
      <c r="J132" s="172">
        <v>1</v>
      </c>
      <c r="K132" s="172">
        <v>1</v>
      </c>
      <c r="L132" s="172">
        <v>1</v>
      </c>
      <c r="M132" s="172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4</v>
      </c>
      <c r="S132" s="180">
        <f>Tabela2[[#This Row],[GWO]]+Tabela2[[#This Row],[GWD]]</f>
        <v>2</v>
      </c>
      <c r="T132" s="180">
        <f>SUM(Tabela2[[#This Row],[G]:[GWD]])</f>
        <v>8</v>
      </c>
    </row>
    <row r="133" spans="1:20" ht="30">
      <c r="A133" s="183">
        <v>132</v>
      </c>
      <c r="B133" s="172" t="s">
        <v>613</v>
      </c>
      <c r="C133" s="172" t="s">
        <v>526</v>
      </c>
      <c r="D133" s="172">
        <v>3</v>
      </c>
      <c r="E133" s="172" t="s">
        <v>250</v>
      </c>
      <c r="F133" s="172">
        <v>1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4</v>
      </c>
      <c r="R133" s="180">
        <f>SUM(Tabela2[[#This Row],[AO]]+Tabela2[[#This Row],[AD]]+Tabela2[[#This Row],[GWO]]+Tabela2[[#This Row],[GWD]])</f>
        <v>4</v>
      </c>
      <c r="S133" s="180">
        <f>Tabela2[[#This Row],[GWO]]+Tabela2[[#This Row],[GWD]]</f>
        <v>2</v>
      </c>
      <c r="T133" s="180">
        <f>SUM(Tabela2[[#This Row],[G]:[GWD]])</f>
        <v>8</v>
      </c>
    </row>
    <row r="134" spans="1:20">
      <c r="A134" s="183">
        <v>133</v>
      </c>
      <c r="B134" s="172" t="s">
        <v>612</v>
      </c>
      <c r="C134" s="172" t="s">
        <v>284</v>
      </c>
      <c r="D134" s="172">
        <v>3</v>
      </c>
      <c r="E134" s="172" t="s">
        <v>250</v>
      </c>
      <c r="F134" s="172">
        <v>2</v>
      </c>
      <c r="G134" s="172">
        <v>1</v>
      </c>
      <c r="H134" s="172">
        <v>3</v>
      </c>
      <c r="I134" s="172">
        <v>2</v>
      </c>
      <c r="J134" s="172">
        <v>1</v>
      </c>
      <c r="K134" s="172">
        <v>1</v>
      </c>
      <c r="L134" s="172">
        <v>3</v>
      </c>
      <c r="M134" s="172">
        <v>1</v>
      </c>
      <c r="N134" s="170"/>
      <c r="O134" s="170"/>
      <c r="P134" s="194" t="s">
        <v>204</v>
      </c>
      <c r="Q134" s="180">
        <f>SUM(Tabela2[[#This Row],[G]]+Tabela2[[#This Row],[D]]+Tabela2[[#This Row],[N]]+Tabela2[[#This Row],[HM]])</f>
        <v>7</v>
      </c>
      <c r="R134" s="180">
        <f>SUM(Tabela2[[#This Row],[AO]]+Tabela2[[#This Row],[AD]]+Tabela2[[#This Row],[GWO]]+Tabela2[[#This Row],[GWD]])</f>
        <v>7</v>
      </c>
      <c r="S134" s="180">
        <f>Tabela2[[#This Row],[GWO]]+Tabela2[[#This Row],[GWD]]</f>
        <v>4</v>
      </c>
      <c r="T134" s="180">
        <f>SUM(Tabela2[[#This Row],[G]:[GWD]])</f>
        <v>14</v>
      </c>
    </row>
    <row r="135" spans="1:20">
      <c r="A135" s="183">
        <v>134</v>
      </c>
      <c r="B135" s="172" t="s">
        <v>611</v>
      </c>
      <c r="C135" s="172" t="s">
        <v>521</v>
      </c>
      <c r="D135" s="172">
        <v>3</v>
      </c>
      <c r="E135" s="172" t="s">
        <v>250</v>
      </c>
      <c r="F135" s="172">
        <v>1</v>
      </c>
      <c r="G135" s="172">
        <v>1</v>
      </c>
      <c r="H135" s="172">
        <v>1</v>
      </c>
      <c r="I135" s="172">
        <v>1</v>
      </c>
      <c r="J135" s="172">
        <v>1</v>
      </c>
      <c r="K135" s="172">
        <v>1</v>
      </c>
      <c r="L135" s="172">
        <v>1</v>
      </c>
      <c r="M135" s="172">
        <v>1</v>
      </c>
      <c r="N135" s="172" t="s">
        <v>445</v>
      </c>
      <c r="O135" s="172"/>
      <c r="P135" s="172"/>
      <c r="Q135" s="186">
        <f>SUM(Tabela2[[#This Row],[G]]+Tabela2[[#This Row],[D]]+Tabela2[[#This Row],[N]]+Tabela2[[#This Row],[HM]])</f>
        <v>4</v>
      </c>
      <c r="R135" s="186">
        <f>SUM(Tabela2[[#This Row],[AO]]+Tabela2[[#This Row],[AD]]+Tabela2[[#This Row],[GWO]]+Tabela2[[#This Row],[GWD]])</f>
        <v>4</v>
      </c>
      <c r="S135" s="186">
        <f>Tabela2[[#This Row],[GWO]]+Tabela2[[#This Row],[GWD]]</f>
        <v>2</v>
      </c>
      <c r="T135" s="180">
        <f>SUM(Tabela2[[#This Row],[G]:[GWD]])</f>
        <v>8</v>
      </c>
    </row>
    <row r="136" spans="1:20">
      <c r="A136" s="183">
        <v>135</v>
      </c>
      <c r="B136" s="171" t="s">
        <v>610</v>
      </c>
      <c r="C136" s="171" t="s">
        <v>574</v>
      </c>
      <c r="D136" s="171">
        <v>3</v>
      </c>
      <c r="E136" s="171" t="s">
        <v>251</v>
      </c>
      <c r="F136" s="171">
        <v>1</v>
      </c>
      <c r="G136" s="171">
        <v>1</v>
      </c>
      <c r="H136" s="171">
        <v>1</v>
      </c>
      <c r="I136" s="171">
        <v>2</v>
      </c>
      <c r="J136" s="171">
        <v>1</v>
      </c>
      <c r="K136" s="171">
        <v>1</v>
      </c>
      <c r="L136" s="171">
        <v>2</v>
      </c>
      <c r="M136" s="171">
        <v>1</v>
      </c>
      <c r="N136" s="170"/>
      <c r="O136" s="170"/>
      <c r="P136" s="170"/>
      <c r="Q136" s="180">
        <f>SUM(Tabela2[[#This Row],[G]]+Tabela2[[#This Row],[D]]+Tabela2[[#This Row],[N]]+Tabela2[[#This Row],[HM]])</f>
        <v>4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3</v>
      </c>
      <c r="T136" s="180">
        <f>SUM(Tabela2[[#This Row],[G]:[GWD]])</f>
        <v>10</v>
      </c>
    </row>
    <row r="137" spans="1:20" ht="30">
      <c r="A137" s="183">
        <v>136</v>
      </c>
      <c r="B137" s="171" t="s">
        <v>609</v>
      </c>
      <c r="C137" s="171" t="s">
        <v>572</v>
      </c>
      <c r="D137" s="171">
        <v>3</v>
      </c>
      <c r="E137" s="171" t="s">
        <v>251</v>
      </c>
      <c r="F137" s="171">
        <v>2</v>
      </c>
      <c r="G137" s="171">
        <v>2</v>
      </c>
      <c r="H137" s="171">
        <v>1</v>
      </c>
      <c r="I137" s="171">
        <v>3</v>
      </c>
      <c r="J137" s="171">
        <v>1</v>
      </c>
      <c r="K137" s="171">
        <v>4</v>
      </c>
      <c r="L137" s="171">
        <v>3</v>
      </c>
      <c r="M137" s="171">
        <v>2</v>
      </c>
      <c r="N137" s="170"/>
      <c r="O137" s="170"/>
      <c r="P137" s="194" t="s">
        <v>204</v>
      </c>
      <c r="Q137" s="180">
        <f>SUM(Tabela2[[#This Row],[G]]+Tabela2[[#This Row],[D]]+Tabela2[[#This Row],[N]]+Tabela2[[#This Row],[HM]])</f>
        <v>9</v>
      </c>
      <c r="R137" s="180">
        <f>SUM(Tabela2[[#This Row],[AO]]+Tabela2[[#This Row],[AD]]+Tabela2[[#This Row],[GWO]]+Tabela2[[#This Row],[GWD]])</f>
        <v>9</v>
      </c>
      <c r="S137" s="180">
        <f>Tabela2[[#This Row],[GWO]]+Tabela2[[#This Row],[GWD]]</f>
        <v>5</v>
      </c>
      <c r="T137" s="180">
        <f>SUM(Tabela2[[#This Row],[G]:[GWD]])</f>
        <v>18</v>
      </c>
    </row>
    <row r="138" spans="1:20">
      <c r="A138" s="183">
        <v>137</v>
      </c>
      <c r="B138" s="171" t="s">
        <v>608</v>
      </c>
      <c r="C138" s="171" t="s">
        <v>290</v>
      </c>
      <c r="D138" s="171">
        <v>3</v>
      </c>
      <c r="E138" s="171" t="s">
        <v>251</v>
      </c>
      <c r="F138" s="171">
        <v>1</v>
      </c>
      <c r="G138" s="171">
        <v>1</v>
      </c>
      <c r="H138" s="171">
        <v>1</v>
      </c>
      <c r="I138" s="171">
        <v>1</v>
      </c>
      <c r="J138" s="171">
        <v>1</v>
      </c>
      <c r="K138" s="171">
        <v>1</v>
      </c>
      <c r="L138" s="171">
        <v>1</v>
      </c>
      <c r="M138" s="171">
        <v>1</v>
      </c>
      <c r="N138" s="170"/>
      <c r="O138" s="170"/>
      <c r="P138" s="170"/>
      <c r="Q138" s="180">
        <f>SUM(Tabela2[[#This Row],[G]]+Tabela2[[#This Row],[D]]+Tabela2[[#This Row],[N]]+Tabela2[[#This Row],[HM]])</f>
        <v>4</v>
      </c>
      <c r="R138" s="180">
        <f>SUM(Tabela2[[#This Row],[AO]]+Tabela2[[#This Row],[AD]]+Tabela2[[#This Row],[GWO]]+Tabela2[[#This Row],[GWD]])</f>
        <v>4</v>
      </c>
      <c r="S138" s="180">
        <f>Tabela2[[#This Row],[GWO]]+Tabela2[[#This Row],[GWD]]</f>
        <v>2</v>
      </c>
      <c r="T138" s="180">
        <f>SUM(Tabela2[[#This Row],[G]:[GWD]])</f>
        <v>8</v>
      </c>
    </row>
    <row r="139" spans="1:20" ht="30">
      <c r="A139" s="183">
        <v>138</v>
      </c>
      <c r="B139" s="171" t="s">
        <v>607</v>
      </c>
      <c r="C139" s="171" t="s">
        <v>570</v>
      </c>
      <c r="D139" s="171">
        <v>3</v>
      </c>
      <c r="E139" s="171" t="s">
        <v>251</v>
      </c>
      <c r="F139" s="171">
        <v>1</v>
      </c>
      <c r="G139" s="171">
        <v>1</v>
      </c>
      <c r="H139" s="171">
        <v>1</v>
      </c>
      <c r="I139" s="171">
        <v>1</v>
      </c>
      <c r="J139" s="171">
        <v>1</v>
      </c>
      <c r="K139" s="171">
        <v>1</v>
      </c>
      <c r="L139" s="171">
        <v>1</v>
      </c>
      <c r="M139" s="171">
        <v>1</v>
      </c>
      <c r="N139" s="170"/>
      <c r="O139" s="170"/>
      <c r="P139" s="170"/>
      <c r="Q139" s="180">
        <f>SUM(Tabela2[[#This Row],[G]]+Tabela2[[#This Row],[D]]+Tabela2[[#This Row],[N]]+Tabela2[[#This Row],[HM]])</f>
        <v>4</v>
      </c>
      <c r="R139" s="180">
        <f>SUM(Tabela2[[#This Row],[AO]]+Tabela2[[#This Row],[AD]]+Tabela2[[#This Row],[GWO]]+Tabela2[[#This Row],[GWD]])</f>
        <v>4</v>
      </c>
      <c r="S139" s="180">
        <f>Tabela2[[#This Row],[GWO]]+Tabela2[[#This Row],[GWD]]</f>
        <v>2</v>
      </c>
      <c r="T139" s="180">
        <f>SUM(Tabela2[[#This Row],[G]:[GWD]])</f>
        <v>8</v>
      </c>
    </row>
    <row r="140" spans="1:20" ht="30">
      <c r="A140" s="183">
        <v>139</v>
      </c>
      <c r="B140" s="171" t="s">
        <v>606</v>
      </c>
      <c r="C140" s="171" t="s">
        <v>568</v>
      </c>
      <c r="D140" s="171">
        <v>3</v>
      </c>
      <c r="E140" s="171" t="s">
        <v>251</v>
      </c>
      <c r="F140" s="171">
        <v>1</v>
      </c>
      <c r="G140" s="171">
        <v>1</v>
      </c>
      <c r="H140" s="171">
        <v>1</v>
      </c>
      <c r="I140" s="171">
        <v>1</v>
      </c>
      <c r="J140" s="171">
        <v>1</v>
      </c>
      <c r="K140" s="171">
        <v>1</v>
      </c>
      <c r="L140" s="171">
        <v>1</v>
      </c>
      <c r="M140" s="171">
        <v>1</v>
      </c>
      <c r="N140" s="170"/>
      <c r="O140" s="170"/>
      <c r="P140" s="170"/>
      <c r="Q140" s="180">
        <f>SUM(Tabela2[[#This Row],[G]]+Tabela2[[#This Row],[D]]+Tabela2[[#This Row],[N]]+Tabela2[[#This Row],[HM]])</f>
        <v>4</v>
      </c>
      <c r="R140" s="180">
        <f>SUM(Tabela2[[#This Row],[AO]]+Tabela2[[#This Row],[AD]]+Tabela2[[#This Row],[GWO]]+Tabela2[[#This Row],[GWD]])</f>
        <v>4</v>
      </c>
      <c r="S140" s="180">
        <f>Tabela2[[#This Row],[GWO]]+Tabela2[[#This Row],[GWD]]</f>
        <v>2</v>
      </c>
      <c r="T140" s="180">
        <f>SUM(Tabela2[[#This Row],[G]:[GWD]])</f>
        <v>8</v>
      </c>
    </row>
    <row r="141" spans="1:20" ht="30">
      <c r="A141" s="183">
        <v>140</v>
      </c>
      <c r="B141" s="171" t="s">
        <v>605</v>
      </c>
      <c r="C141" s="171" t="s">
        <v>566</v>
      </c>
      <c r="D141" s="171">
        <v>3</v>
      </c>
      <c r="E141" s="171" t="s">
        <v>251</v>
      </c>
      <c r="F141" s="171">
        <v>1</v>
      </c>
      <c r="G141" s="171">
        <v>1</v>
      </c>
      <c r="H141" s="171">
        <v>1</v>
      </c>
      <c r="I141" s="171">
        <v>1</v>
      </c>
      <c r="J141" s="171">
        <v>1</v>
      </c>
      <c r="K141" s="171">
        <v>1</v>
      </c>
      <c r="L141" s="171">
        <v>1</v>
      </c>
      <c r="M141" s="171">
        <v>1</v>
      </c>
      <c r="N141" s="170"/>
      <c r="O141" s="170"/>
      <c r="P141" s="170"/>
      <c r="Q141" s="180">
        <f>SUM(Tabela2[[#This Row],[G]]+Tabela2[[#This Row],[D]]+Tabela2[[#This Row],[N]]+Tabela2[[#This Row],[HM]])</f>
        <v>4</v>
      </c>
      <c r="R141" s="180">
        <f>SUM(Tabela2[[#This Row],[AO]]+Tabela2[[#This Row],[AD]]+Tabela2[[#This Row],[GWO]]+Tabela2[[#This Row],[GWD]])</f>
        <v>4</v>
      </c>
      <c r="S141" s="180">
        <f>Tabela2[[#This Row],[GWO]]+Tabela2[[#This Row],[GWD]]</f>
        <v>2</v>
      </c>
      <c r="T141" s="180">
        <f>SUM(Tabela2[[#This Row],[G]:[GWD]])</f>
        <v>8</v>
      </c>
    </row>
    <row r="142" spans="1:20">
      <c r="A142" s="183">
        <v>141</v>
      </c>
      <c r="B142" s="171" t="s">
        <v>604</v>
      </c>
      <c r="C142" s="171" t="s">
        <v>565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4</v>
      </c>
      <c r="S142" s="180">
        <f>Tabela2[[#This Row],[GWO]]+Tabela2[[#This Row],[GWD]]</f>
        <v>2</v>
      </c>
      <c r="T142" s="180">
        <f>SUM(Tabela2[[#This Row],[G]:[GWD]])</f>
        <v>8</v>
      </c>
    </row>
    <row r="143" spans="1:20" ht="30">
      <c r="A143" s="183">
        <v>142</v>
      </c>
      <c r="B143" s="171" t="s">
        <v>603</v>
      </c>
      <c r="C143" s="171" t="s">
        <v>563</v>
      </c>
      <c r="D143" s="171">
        <v>3</v>
      </c>
      <c r="E143" s="171" t="s">
        <v>251</v>
      </c>
      <c r="F143" s="171">
        <v>1</v>
      </c>
      <c r="G143" s="171">
        <v>1</v>
      </c>
      <c r="H143" s="171">
        <v>1</v>
      </c>
      <c r="I143" s="171">
        <v>1</v>
      </c>
      <c r="J143" s="171">
        <v>1</v>
      </c>
      <c r="K143" s="171">
        <v>1</v>
      </c>
      <c r="L143" s="171">
        <v>1</v>
      </c>
      <c r="M143" s="171">
        <v>1</v>
      </c>
      <c r="N143" s="170"/>
      <c r="O143" s="170"/>
      <c r="P143" s="170"/>
      <c r="Q143" s="180">
        <f>SUM(Tabela2[[#This Row],[G]]+Tabela2[[#This Row],[D]]+Tabela2[[#This Row],[N]]+Tabela2[[#This Row],[HM]])</f>
        <v>4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8</v>
      </c>
    </row>
    <row r="144" spans="1:20">
      <c r="A144" s="183">
        <v>143</v>
      </c>
      <c r="B144" s="171" t="s">
        <v>602</v>
      </c>
      <c r="C144" s="171" t="s">
        <v>561</v>
      </c>
      <c r="D144" s="171">
        <v>3</v>
      </c>
      <c r="E144" s="171" t="s">
        <v>251</v>
      </c>
      <c r="F144" s="171">
        <v>1</v>
      </c>
      <c r="G144" s="171">
        <v>1</v>
      </c>
      <c r="H144" s="171">
        <v>1</v>
      </c>
      <c r="I144" s="171">
        <v>1</v>
      </c>
      <c r="J144" s="171">
        <v>1</v>
      </c>
      <c r="K144" s="171">
        <v>2</v>
      </c>
      <c r="L144" s="171">
        <v>1</v>
      </c>
      <c r="M144" s="171">
        <v>1</v>
      </c>
      <c r="N144" s="170"/>
      <c r="O144" s="170"/>
      <c r="P144" s="170"/>
      <c r="Q144" s="180">
        <f>SUM(Tabela2[[#This Row],[G]]+Tabela2[[#This Row],[D]]+Tabela2[[#This Row],[N]]+Tabela2[[#This Row],[HM]])</f>
        <v>5</v>
      </c>
      <c r="R144" s="180">
        <f>SUM(Tabela2[[#This Row],[AO]]+Tabela2[[#This Row],[AD]]+Tabela2[[#This Row],[GWO]]+Tabela2[[#This Row],[GWD]])</f>
        <v>4</v>
      </c>
      <c r="S144" s="180">
        <f>Tabela2[[#This Row],[GWO]]+Tabela2[[#This Row],[GWD]]</f>
        <v>2</v>
      </c>
      <c r="T144" s="180">
        <f>SUM(Tabela2[[#This Row],[G]:[GWD]])</f>
        <v>9</v>
      </c>
    </row>
    <row r="145" spans="1:20" ht="30">
      <c r="A145" s="183">
        <v>144</v>
      </c>
      <c r="B145" s="171" t="s">
        <v>601</v>
      </c>
      <c r="C145" s="171" t="s">
        <v>412</v>
      </c>
      <c r="D145" s="171">
        <v>3</v>
      </c>
      <c r="E145" s="171" t="s">
        <v>251</v>
      </c>
      <c r="F145" s="171">
        <v>1</v>
      </c>
      <c r="G145" s="171">
        <v>1</v>
      </c>
      <c r="H145" s="171">
        <v>1</v>
      </c>
      <c r="I145" s="171">
        <v>1</v>
      </c>
      <c r="J145" s="171">
        <v>1</v>
      </c>
      <c r="K145" s="171">
        <v>2</v>
      </c>
      <c r="L145" s="171">
        <v>2</v>
      </c>
      <c r="M145" s="171">
        <v>1</v>
      </c>
      <c r="N145" s="170"/>
      <c r="O145" s="170"/>
      <c r="P145" s="170"/>
      <c r="Q145" s="180">
        <f>SUM(Tabela2[[#This Row],[G]]+Tabela2[[#This Row],[D]]+Tabela2[[#This Row],[N]]+Tabela2[[#This Row],[HM]])</f>
        <v>5</v>
      </c>
      <c r="R145" s="180">
        <f>SUM(Tabela2[[#This Row],[AO]]+Tabela2[[#This Row],[AD]]+Tabela2[[#This Row],[GWO]]+Tabela2[[#This Row],[GWD]])</f>
        <v>5</v>
      </c>
      <c r="S145" s="180">
        <f>Tabela2[[#This Row],[GWO]]+Tabela2[[#This Row],[GWD]]</f>
        <v>3</v>
      </c>
      <c r="T145" s="180">
        <f>SUM(Tabela2[[#This Row],[G]:[GWD]])</f>
        <v>10</v>
      </c>
    </row>
    <row r="146" spans="1:20">
      <c r="A146" s="183">
        <v>145</v>
      </c>
      <c r="B146" s="171" t="s">
        <v>600</v>
      </c>
      <c r="C146" s="171" t="s">
        <v>283</v>
      </c>
      <c r="D146" s="171">
        <v>3</v>
      </c>
      <c r="E146" s="171" t="s">
        <v>251</v>
      </c>
      <c r="F146" s="171">
        <v>1</v>
      </c>
      <c r="G146" s="171">
        <v>1</v>
      </c>
      <c r="H146" s="171">
        <v>1</v>
      </c>
      <c r="I146" s="171">
        <v>1</v>
      </c>
      <c r="J146" s="171">
        <v>1</v>
      </c>
      <c r="K146" s="171">
        <v>2</v>
      </c>
      <c r="L146" s="171">
        <v>1</v>
      </c>
      <c r="M146" s="171">
        <v>1</v>
      </c>
      <c r="N146" s="170"/>
      <c r="O146" s="170"/>
      <c r="P146" s="170"/>
      <c r="Q146" s="180">
        <f>SUM(Tabela2[[#This Row],[G]]+Tabela2[[#This Row],[D]]+Tabela2[[#This Row],[N]]+Tabela2[[#This Row],[HM]])</f>
        <v>5</v>
      </c>
      <c r="R146" s="180">
        <f>SUM(Tabela2[[#This Row],[AO]]+Tabela2[[#This Row],[AD]]+Tabela2[[#This Row],[GWO]]+Tabela2[[#This Row],[GWD]])</f>
        <v>4</v>
      </c>
      <c r="S146" s="180">
        <f>Tabela2[[#This Row],[GWO]]+Tabela2[[#This Row],[GWD]]</f>
        <v>2</v>
      </c>
      <c r="T146" s="180">
        <f>SUM(Tabela2[[#This Row],[G]:[GWD]])</f>
        <v>9</v>
      </c>
    </row>
    <row r="147" spans="1:20">
      <c r="A147" s="183">
        <v>146</v>
      </c>
      <c r="B147" s="171" t="s">
        <v>599</v>
      </c>
      <c r="C147" s="171" t="s">
        <v>552</v>
      </c>
      <c r="D147" s="171">
        <v>3</v>
      </c>
      <c r="E147" s="171" t="s">
        <v>251</v>
      </c>
      <c r="F147" s="171">
        <v>2</v>
      </c>
      <c r="G147" s="171">
        <v>1</v>
      </c>
      <c r="H147" s="171">
        <v>1</v>
      </c>
      <c r="I147" s="171">
        <v>2</v>
      </c>
      <c r="J147" s="171">
        <v>2</v>
      </c>
      <c r="K147" s="171">
        <v>3</v>
      </c>
      <c r="L147" s="171">
        <v>2</v>
      </c>
      <c r="M147" s="171">
        <v>1</v>
      </c>
      <c r="N147" s="170"/>
      <c r="O147" s="170"/>
      <c r="P147" s="170"/>
      <c r="Q147" s="180">
        <f>SUM(Tabela2[[#This Row],[G]]+Tabela2[[#This Row],[D]]+Tabela2[[#This Row],[N]]+Tabela2[[#This Row],[HM]])</f>
        <v>7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3</v>
      </c>
      <c r="T147" s="180">
        <f>SUM(Tabela2[[#This Row],[G]:[GWD]])</f>
        <v>14</v>
      </c>
    </row>
    <row r="148" spans="1:20" ht="30">
      <c r="A148" s="183">
        <v>147</v>
      </c>
      <c r="B148" s="171" t="s">
        <v>598</v>
      </c>
      <c r="C148" s="171" t="s">
        <v>550</v>
      </c>
      <c r="D148" s="171">
        <v>3</v>
      </c>
      <c r="E148" s="171" t="s">
        <v>251</v>
      </c>
      <c r="F148" s="171">
        <v>1</v>
      </c>
      <c r="G148" s="171">
        <v>1</v>
      </c>
      <c r="H148" s="171">
        <v>3</v>
      </c>
      <c r="I148" s="171">
        <v>2</v>
      </c>
      <c r="J148" s="171">
        <v>1</v>
      </c>
      <c r="K148" s="171">
        <v>5</v>
      </c>
      <c r="L148" s="171">
        <v>2</v>
      </c>
      <c r="M148" s="171">
        <v>1</v>
      </c>
      <c r="N148" s="170"/>
      <c r="O148" s="170"/>
      <c r="P148" s="194" t="s">
        <v>204</v>
      </c>
      <c r="Q148" s="180">
        <f>SUM(Tabela2[[#This Row],[G]]+Tabela2[[#This Row],[D]]+Tabela2[[#This Row],[N]]+Tabela2[[#This Row],[HM]])</f>
        <v>10</v>
      </c>
      <c r="R148" s="180">
        <f>SUM(Tabela2[[#This Row],[AO]]+Tabela2[[#This Row],[AD]]+Tabela2[[#This Row],[GWO]]+Tabela2[[#This Row],[GWD]])</f>
        <v>6</v>
      </c>
      <c r="S148" s="180">
        <f>Tabela2[[#This Row],[GWO]]+Tabela2[[#This Row],[GWD]]</f>
        <v>3</v>
      </c>
      <c r="T148" s="180">
        <f>SUM(Tabela2[[#This Row],[G]:[GWD]])</f>
        <v>16</v>
      </c>
    </row>
    <row r="149" spans="1:20">
      <c r="A149" s="183">
        <v>148</v>
      </c>
      <c r="B149" s="171" t="s">
        <v>597</v>
      </c>
      <c r="C149" s="171" t="s">
        <v>548</v>
      </c>
      <c r="D149" s="171">
        <v>3</v>
      </c>
      <c r="E149" s="171" t="s">
        <v>251</v>
      </c>
      <c r="F149" s="171">
        <v>1</v>
      </c>
      <c r="G149" s="171">
        <v>1</v>
      </c>
      <c r="H149" s="171">
        <v>3</v>
      </c>
      <c r="I149" s="171">
        <v>1</v>
      </c>
      <c r="J149" s="171">
        <v>1</v>
      </c>
      <c r="K149" s="171">
        <v>1</v>
      </c>
      <c r="L149" s="171">
        <v>1</v>
      </c>
      <c r="M149" s="171">
        <v>1</v>
      </c>
      <c r="N149" s="170"/>
      <c r="O149" s="170"/>
      <c r="P149" s="170"/>
      <c r="Q149" s="180">
        <f>SUM(Tabela2[[#This Row],[G]]+Tabela2[[#This Row],[D]]+Tabela2[[#This Row],[N]]+Tabela2[[#This Row],[HM]])</f>
        <v>6</v>
      </c>
      <c r="R149" s="180">
        <f>SUM(Tabela2[[#This Row],[AO]]+Tabela2[[#This Row],[AD]]+Tabela2[[#This Row],[GWO]]+Tabela2[[#This Row],[GWD]])</f>
        <v>4</v>
      </c>
      <c r="S149" s="180">
        <f>Tabela2[[#This Row],[GWO]]+Tabela2[[#This Row],[GWD]]</f>
        <v>2</v>
      </c>
      <c r="T149" s="180">
        <f>SUM(Tabela2[[#This Row],[G]:[GWD]])</f>
        <v>10</v>
      </c>
    </row>
    <row r="150" spans="1:20">
      <c r="A150" s="183">
        <v>149</v>
      </c>
      <c r="B150" s="171" t="s">
        <v>596</v>
      </c>
      <c r="C150" s="171" t="s">
        <v>546</v>
      </c>
      <c r="D150" s="171">
        <v>3</v>
      </c>
      <c r="E150" s="171" t="s">
        <v>251</v>
      </c>
      <c r="F150" s="171">
        <v>1</v>
      </c>
      <c r="G150" s="171">
        <v>1</v>
      </c>
      <c r="H150" s="171">
        <v>1</v>
      </c>
      <c r="I150" s="171">
        <v>1</v>
      </c>
      <c r="J150" s="171">
        <v>1</v>
      </c>
      <c r="K150" s="171">
        <v>1</v>
      </c>
      <c r="L150" s="171">
        <v>1</v>
      </c>
      <c r="M150" s="171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4</v>
      </c>
      <c r="S150" s="180">
        <f>Tabela2[[#This Row],[GWO]]+Tabela2[[#This Row],[GWD]]</f>
        <v>2</v>
      </c>
      <c r="T150" s="180">
        <f>SUM(Tabela2[[#This Row],[G]:[GWD]])</f>
        <v>8</v>
      </c>
    </row>
    <row r="151" spans="1:20">
      <c r="A151" s="183">
        <v>150</v>
      </c>
      <c r="B151" s="171" t="s">
        <v>595</v>
      </c>
      <c r="C151" s="171" t="s">
        <v>594</v>
      </c>
      <c r="D151" s="171">
        <v>3</v>
      </c>
      <c r="E151" s="171" t="s">
        <v>251</v>
      </c>
      <c r="F151" s="171">
        <v>1</v>
      </c>
      <c r="G151" s="171">
        <v>1</v>
      </c>
      <c r="H151" s="171">
        <v>1</v>
      </c>
      <c r="I151" s="171">
        <v>1</v>
      </c>
      <c r="J151" s="171">
        <v>1</v>
      </c>
      <c r="K151" s="171">
        <v>1</v>
      </c>
      <c r="L151" s="171">
        <v>1</v>
      </c>
      <c r="M151" s="171">
        <v>1</v>
      </c>
      <c r="N151" s="170"/>
      <c r="O151" s="170"/>
      <c r="P151" s="170"/>
      <c r="Q151" s="180">
        <f>SUM(Tabela2[[#This Row],[G]]+Tabela2[[#This Row],[D]]+Tabela2[[#This Row],[N]]+Tabela2[[#This Row],[HM]])</f>
        <v>4</v>
      </c>
      <c r="R151" s="180">
        <f>SUM(Tabela2[[#This Row],[AO]]+Tabela2[[#This Row],[AD]]+Tabela2[[#This Row],[GWO]]+Tabela2[[#This Row],[GWD]])</f>
        <v>4</v>
      </c>
      <c r="S151" s="180">
        <f>Tabela2[[#This Row],[GWO]]+Tabela2[[#This Row],[GWD]]</f>
        <v>2</v>
      </c>
      <c r="T151" s="180">
        <f>SUM(Tabela2[[#This Row],[G]:[GWD]])</f>
        <v>8</v>
      </c>
    </row>
    <row r="152" spans="1:20" ht="30">
      <c r="A152" s="183">
        <v>151</v>
      </c>
      <c r="B152" s="171" t="s">
        <v>593</v>
      </c>
      <c r="C152" s="171" t="s">
        <v>544</v>
      </c>
      <c r="D152" s="171">
        <v>3</v>
      </c>
      <c r="E152" s="171" t="s">
        <v>251</v>
      </c>
      <c r="F152" s="171">
        <v>1</v>
      </c>
      <c r="G152" s="171">
        <v>1</v>
      </c>
      <c r="H152" s="171">
        <v>1</v>
      </c>
      <c r="I152" s="171">
        <v>1</v>
      </c>
      <c r="J152" s="171">
        <v>1</v>
      </c>
      <c r="K152" s="171">
        <v>1</v>
      </c>
      <c r="L152" s="171">
        <v>1</v>
      </c>
      <c r="M152" s="171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4</v>
      </c>
      <c r="S152" s="180">
        <f>Tabela2[[#This Row],[GWO]]+Tabela2[[#This Row],[GWD]]</f>
        <v>2</v>
      </c>
      <c r="T152" s="180">
        <f>SUM(Tabela2[[#This Row],[G]:[GWD]])</f>
        <v>8</v>
      </c>
    </row>
    <row r="153" spans="1:20" ht="30">
      <c r="A153" s="183">
        <v>152</v>
      </c>
      <c r="B153" s="171" t="s">
        <v>592</v>
      </c>
      <c r="C153" s="171" t="s">
        <v>542</v>
      </c>
      <c r="D153" s="171">
        <v>3</v>
      </c>
      <c r="E153" s="171" t="s">
        <v>251</v>
      </c>
      <c r="F153" s="171">
        <v>1</v>
      </c>
      <c r="G153" s="171">
        <v>1</v>
      </c>
      <c r="H153" s="171">
        <v>1</v>
      </c>
      <c r="I153" s="171">
        <v>1</v>
      </c>
      <c r="J153" s="171">
        <v>1</v>
      </c>
      <c r="K153" s="171">
        <v>1</v>
      </c>
      <c r="L153" s="171">
        <v>1</v>
      </c>
      <c r="M153" s="171">
        <v>1</v>
      </c>
      <c r="N153" s="170"/>
      <c r="O153" s="170"/>
      <c r="P153" s="170"/>
      <c r="Q153" s="180">
        <f>SUM(Tabela2[[#This Row],[G]]+Tabela2[[#This Row],[D]]+Tabela2[[#This Row],[N]]+Tabela2[[#This Row],[HM]])</f>
        <v>4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8</v>
      </c>
    </row>
    <row r="154" spans="1:20">
      <c r="A154" s="183">
        <v>153</v>
      </c>
      <c r="B154" s="171" t="s">
        <v>591</v>
      </c>
      <c r="C154" s="171" t="s">
        <v>540</v>
      </c>
      <c r="D154" s="171">
        <v>3</v>
      </c>
      <c r="E154" s="171" t="s">
        <v>251</v>
      </c>
      <c r="F154" s="171">
        <v>1</v>
      </c>
      <c r="G154" s="171">
        <v>1</v>
      </c>
      <c r="H154" s="171">
        <v>1</v>
      </c>
      <c r="I154" s="171">
        <v>1</v>
      </c>
      <c r="J154" s="171">
        <v>1</v>
      </c>
      <c r="K154" s="171">
        <v>1</v>
      </c>
      <c r="L154" s="171">
        <v>1</v>
      </c>
      <c r="M154" s="171">
        <v>1</v>
      </c>
      <c r="N154" s="170"/>
      <c r="O154" s="170"/>
      <c r="P154" s="170"/>
      <c r="Q154" s="180">
        <f>SUM(Tabela2[[#This Row],[G]]+Tabela2[[#This Row],[D]]+Tabela2[[#This Row],[N]]+Tabela2[[#This Row],[HM]])</f>
        <v>4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8</v>
      </c>
    </row>
    <row r="155" spans="1:20">
      <c r="A155" s="183">
        <v>154</v>
      </c>
      <c r="B155" s="171" t="s">
        <v>590</v>
      </c>
      <c r="C155" s="171" t="s">
        <v>358</v>
      </c>
      <c r="D155" s="171">
        <v>3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1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4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8</v>
      </c>
    </row>
    <row r="156" spans="1:20" ht="30">
      <c r="A156" s="183">
        <v>155</v>
      </c>
      <c r="B156" s="171" t="s">
        <v>589</v>
      </c>
      <c r="C156" s="171" t="s">
        <v>538</v>
      </c>
      <c r="D156" s="171">
        <v>3</v>
      </c>
      <c r="E156" s="171" t="s">
        <v>251</v>
      </c>
      <c r="F156" s="171">
        <v>1</v>
      </c>
      <c r="G156" s="171">
        <v>1</v>
      </c>
      <c r="H156" s="171">
        <v>1</v>
      </c>
      <c r="I156" s="171">
        <v>1</v>
      </c>
      <c r="J156" s="171">
        <v>1</v>
      </c>
      <c r="K156" s="171">
        <v>1</v>
      </c>
      <c r="L156" s="171">
        <v>1</v>
      </c>
      <c r="M156" s="171">
        <v>1</v>
      </c>
      <c r="N156" s="170"/>
      <c r="O156" s="170"/>
      <c r="P156" s="170"/>
      <c r="Q156" s="180">
        <f>SUM(Tabela2[[#This Row],[G]]+Tabela2[[#This Row],[D]]+Tabela2[[#This Row],[N]]+Tabela2[[#This Row],[HM]])</f>
        <v>4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8</v>
      </c>
    </row>
    <row r="157" spans="1:20">
      <c r="A157" s="183">
        <v>156</v>
      </c>
      <c r="B157" s="171" t="s">
        <v>588</v>
      </c>
      <c r="C157" s="171" t="s">
        <v>536</v>
      </c>
      <c r="D157" s="171">
        <v>3</v>
      </c>
      <c r="E157" s="171" t="s">
        <v>251</v>
      </c>
      <c r="F157" s="171">
        <v>2</v>
      </c>
      <c r="G157" s="171">
        <v>2</v>
      </c>
      <c r="H157" s="171">
        <v>1</v>
      </c>
      <c r="I157" s="171">
        <v>1</v>
      </c>
      <c r="J157" s="171">
        <v>1</v>
      </c>
      <c r="K157" s="171">
        <v>3</v>
      </c>
      <c r="L157" s="171">
        <v>2</v>
      </c>
      <c r="M157" s="171">
        <v>1</v>
      </c>
      <c r="N157" s="170"/>
      <c r="O157" s="170"/>
      <c r="P157" s="170"/>
      <c r="Q157" s="180">
        <f>SUM(Tabela2[[#This Row],[G]]+Tabela2[[#This Row],[D]]+Tabela2[[#This Row],[N]]+Tabela2[[#This Row],[HM]])</f>
        <v>8</v>
      </c>
      <c r="R157" s="180">
        <f>SUM(Tabela2[[#This Row],[AO]]+Tabela2[[#This Row],[AD]]+Tabela2[[#This Row],[GWO]]+Tabela2[[#This Row],[GWD]])</f>
        <v>5</v>
      </c>
      <c r="S157" s="180">
        <f>Tabela2[[#This Row],[GWO]]+Tabela2[[#This Row],[GWD]]</f>
        <v>3</v>
      </c>
      <c r="T157" s="180">
        <f>SUM(Tabela2[[#This Row],[G]:[GWD]])</f>
        <v>13</v>
      </c>
    </row>
    <row r="158" spans="1:20" ht="30">
      <c r="A158" s="183">
        <v>157</v>
      </c>
      <c r="B158" s="171" t="s">
        <v>587</v>
      </c>
      <c r="C158" s="171" t="s">
        <v>534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1</v>
      </c>
      <c r="J158" s="171">
        <v>1</v>
      </c>
      <c r="K158" s="171">
        <v>1</v>
      </c>
      <c r="L158" s="171">
        <v>1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4</v>
      </c>
      <c r="S158" s="180">
        <f>Tabela2[[#This Row],[GWO]]+Tabela2[[#This Row],[GWD]]</f>
        <v>2</v>
      </c>
      <c r="T158" s="180">
        <f>SUM(Tabela2[[#This Row],[G]:[GWD]])</f>
        <v>8</v>
      </c>
    </row>
    <row r="159" spans="1:20" ht="30">
      <c r="A159" s="183">
        <v>158</v>
      </c>
      <c r="B159" s="171" t="s">
        <v>586</v>
      </c>
      <c r="C159" s="171" t="s">
        <v>532</v>
      </c>
      <c r="D159" s="171">
        <v>3</v>
      </c>
      <c r="E159" s="171" t="s">
        <v>251</v>
      </c>
      <c r="F159" s="171">
        <v>1</v>
      </c>
      <c r="G159" s="171">
        <v>1</v>
      </c>
      <c r="H159" s="171">
        <v>1</v>
      </c>
      <c r="I159" s="171">
        <v>1</v>
      </c>
      <c r="J159" s="171">
        <v>1</v>
      </c>
      <c r="K159" s="171">
        <v>1</v>
      </c>
      <c r="L159" s="171">
        <v>1</v>
      </c>
      <c r="M159" s="171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4</v>
      </c>
      <c r="S159" s="180">
        <f>Tabela2[[#This Row],[GWO]]+Tabela2[[#This Row],[GWD]]</f>
        <v>2</v>
      </c>
      <c r="T159" s="180">
        <f>SUM(Tabela2[[#This Row],[G]:[GWD]])</f>
        <v>8</v>
      </c>
    </row>
    <row r="160" spans="1:20" ht="30">
      <c r="A160" s="183">
        <v>159</v>
      </c>
      <c r="B160" s="171" t="s">
        <v>585</v>
      </c>
      <c r="C160" s="171" t="s">
        <v>530</v>
      </c>
      <c r="D160" s="171">
        <v>3</v>
      </c>
      <c r="E160" s="171" t="s">
        <v>251</v>
      </c>
      <c r="F160" s="171">
        <v>1</v>
      </c>
      <c r="G160" s="171">
        <v>1</v>
      </c>
      <c r="H160" s="171">
        <v>1</v>
      </c>
      <c r="I160" s="171">
        <v>1</v>
      </c>
      <c r="J160" s="171">
        <v>1</v>
      </c>
      <c r="K160" s="171">
        <v>1</v>
      </c>
      <c r="L160" s="171">
        <v>1</v>
      </c>
      <c r="M160" s="171">
        <v>1</v>
      </c>
      <c r="N160" s="170"/>
      <c r="O160" s="170"/>
      <c r="P160" s="170"/>
      <c r="Q160" s="180">
        <f>SUM(Tabela2[[#This Row],[G]]+Tabela2[[#This Row],[D]]+Tabela2[[#This Row],[N]]+Tabela2[[#This Row],[HM]])</f>
        <v>4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8</v>
      </c>
    </row>
    <row r="161" spans="1:20" ht="30">
      <c r="A161" s="183">
        <v>160</v>
      </c>
      <c r="B161" s="171" t="s">
        <v>584</v>
      </c>
      <c r="C161" s="171" t="s">
        <v>528</v>
      </c>
      <c r="D161" s="171">
        <v>3</v>
      </c>
      <c r="E161" s="171" t="s">
        <v>251</v>
      </c>
      <c r="F161" s="171">
        <v>1</v>
      </c>
      <c r="G161" s="171">
        <v>1</v>
      </c>
      <c r="H161" s="171">
        <v>1</v>
      </c>
      <c r="I161" s="171">
        <v>1</v>
      </c>
      <c r="J161" s="171">
        <v>1</v>
      </c>
      <c r="K161" s="171">
        <v>1</v>
      </c>
      <c r="L161" s="171">
        <v>1</v>
      </c>
      <c r="M161" s="171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4</v>
      </c>
      <c r="S161" s="180">
        <f>Tabela2[[#This Row],[GWO]]+Tabela2[[#This Row],[GWD]]</f>
        <v>2</v>
      </c>
      <c r="T161" s="180">
        <f>SUM(Tabela2[[#This Row],[G]:[GWD]])</f>
        <v>8</v>
      </c>
    </row>
    <row r="162" spans="1:20" ht="30">
      <c r="A162" s="183">
        <v>161</v>
      </c>
      <c r="B162" s="171" t="s">
        <v>583</v>
      </c>
      <c r="C162" s="171" t="s">
        <v>526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1</v>
      </c>
      <c r="L162" s="171">
        <v>1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4</v>
      </c>
      <c r="R162" s="180">
        <f>SUM(Tabela2[[#This Row],[AO]]+Tabela2[[#This Row],[AD]]+Tabela2[[#This Row],[GWO]]+Tabela2[[#This Row],[GWD]])</f>
        <v>4</v>
      </c>
      <c r="S162" s="180">
        <f>Tabela2[[#This Row],[GWO]]+Tabela2[[#This Row],[GWD]]</f>
        <v>2</v>
      </c>
      <c r="T162" s="180">
        <f>SUM(Tabela2[[#This Row],[G]:[GWD]])</f>
        <v>8</v>
      </c>
    </row>
    <row r="163" spans="1:20">
      <c r="A163" s="183">
        <v>162</v>
      </c>
      <c r="B163" s="171" t="s">
        <v>582</v>
      </c>
      <c r="C163" s="171" t="s">
        <v>284</v>
      </c>
      <c r="D163" s="171">
        <v>3</v>
      </c>
      <c r="E163" s="171" t="s">
        <v>251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70"/>
      <c r="Q163" s="180">
        <f>SUM(Tabela2[[#This Row],[G]]+Tabela2[[#This Row],[D]]+Tabela2[[#This Row],[N]]+Tabela2[[#This Row],[HM]])</f>
        <v>4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8</v>
      </c>
    </row>
    <row r="164" spans="1:20">
      <c r="A164" s="183">
        <v>163</v>
      </c>
      <c r="B164" s="171" t="s">
        <v>581</v>
      </c>
      <c r="C164" s="171" t="s">
        <v>376</v>
      </c>
      <c r="D164" s="171">
        <v>3</v>
      </c>
      <c r="E164" s="171" t="s">
        <v>251</v>
      </c>
      <c r="F164" s="171">
        <v>1</v>
      </c>
      <c r="G164" s="171">
        <v>1</v>
      </c>
      <c r="H164" s="171">
        <v>1</v>
      </c>
      <c r="I164" s="171">
        <v>1</v>
      </c>
      <c r="J164" s="171">
        <v>1</v>
      </c>
      <c r="K164" s="171">
        <v>1</v>
      </c>
      <c r="L164" s="171">
        <v>1</v>
      </c>
      <c r="M164" s="171">
        <v>1</v>
      </c>
      <c r="N164" s="170"/>
      <c r="O164" s="170"/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4</v>
      </c>
      <c r="S164" s="180">
        <f>Tabela2[[#This Row],[GWO]]+Tabela2[[#This Row],[GWD]]</f>
        <v>2</v>
      </c>
      <c r="T164" s="180">
        <f>SUM(Tabela2[[#This Row],[G]:[GWD]])</f>
        <v>8</v>
      </c>
    </row>
    <row r="165" spans="1:20">
      <c r="A165" s="183">
        <v>164</v>
      </c>
      <c r="B165" s="171" t="s">
        <v>580</v>
      </c>
      <c r="C165" s="171" t="s">
        <v>267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1</v>
      </c>
      <c r="I165" s="171">
        <v>2</v>
      </c>
      <c r="J165" s="171">
        <v>3</v>
      </c>
      <c r="K165" s="171">
        <v>2</v>
      </c>
      <c r="L165" s="171">
        <v>3</v>
      </c>
      <c r="M165" s="171">
        <v>3</v>
      </c>
      <c r="N165" s="170"/>
      <c r="O165" s="170"/>
      <c r="P165" s="170"/>
      <c r="Q165" s="180">
        <f>SUM(Tabela2[[#This Row],[G]]+Tabela2[[#This Row],[D]]+Tabela2[[#This Row],[N]]+Tabela2[[#This Row],[HM]])</f>
        <v>5</v>
      </c>
      <c r="R165" s="180">
        <f>SUM(Tabela2[[#This Row],[AO]]+Tabela2[[#This Row],[AD]]+Tabela2[[#This Row],[GWO]]+Tabela2[[#This Row],[GWD]])</f>
        <v>11</v>
      </c>
      <c r="S165" s="180">
        <f>Tabela2[[#This Row],[GWO]]+Tabela2[[#This Row],[GWD]]</f>
        <v>6</v>
      </c>
      <c r="T165" s="180">
        <f>SUM(Tabela2[[#This Row],[G]:[GWD]])</f>
        <v>16</v>
      </c>
    </row>
    <row r="166" spans="1:20">
      <c r="A166" s="183">
        <v>165</v>
      </c>
      <c r="B166" s="171" t="s">
        <v>579</v>
      </c>
      <c r="C166" s="171" t="s">
        <v>578</v>
      </c>
      <c r="D166" s="171">
        <v>3</v>
      </c>
      <c r="E166" s="171" t="s">
        <v>251</v>
      </c>
      <c r="F166" s="171">
        <v>1</v>
      </c>
      <c r="G166" s="171">
        <v>1</v>
      </c>
      <c r="H166" s="171">
        <v>1</v>
      </c>
      <c r="I166" s="171">
        <v>1</v>
      </c>
      <c r="J166" s="171">
        <v>1</v>
      </c>
      <c r="K166" s="171">
        <v>1</v>
      </c>
      <c r="L166" s="171">
        <v>1</v>
      </c>
      <c r="M166" s="171">
        <v>1</v>
      </c>
      <c r="N166" s="170"/>
      <c r="O166" s="170"/>
      <c r="P166" s="170"/>
      <c r="Q166" s="180">
        <f>SUM(Tabela2[[#This Row],[G]]+Tabela2[[#This Row],[D]]+Tabela2[[#This Row],[N]]+Tabela2[[#This Row],[HM]])</f>
        <v>4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8</v>
      </c>
    </row>
    <row r="167" spans="1:20">
      <c r="A167" s="183">
        <v>166</v>
      </c>
      <c r="B167" s="171" t="s">
        <v>577</v>
      </c>
      <c r="C167" s="171" t="s">
        <v>521</v>
      </c>
      <c r="D167" s="171">
        <v>3</v>
      </c>
      <c r="E167" s="171" t="s">
        <v>251</v>
      </c>
      <c r="F167" s="171">
        <v>1</v>
      </c>
      <c r="G167" s="171">
        <v>1</v>
      </c>
      <c r="H167" s="171">
        <v>1</v>
      </c>
      <c r="I167" s="171">
        <v>1</v>
      </c>
      <c r="J167" s="171">
        <v>2</v>
      </c>
      <c r="K167" s="171">
        <v>1</v>
      </c>
      <c r="L167" s="171">
        <v>1</v>
      </c>
      <c r="M167" s="171">
        <v>3</v>
      </c>
      <c r="N167" s="170"/>
      <c r="O167" s="170"/>
      <c r="P167" s="170"/>
      <c r="Q167" s="180">
        <f>SUM(Tabela2[[#This Row],[G]]+Tabela2[[#This Row],[D]]+Tabela2[[#This Row],[N]]+Tabela2[[#This Row],[HM]])</f>
        <v>4</v>
      </c>
      <c r="R167" s="180">
        <f>SUM(Tabela2[[#This Row],[AO]]+Tabela2[[#This Row],[AD]]+Tabela2[[#This Row],[GWO]]+Tabela2[[#This Row],[GWD]])</f>
        <v>7</v>
      </c>
      <c r="S167" s="180">
        <f>Tabela2[[#This Row],[GWO]]+Tabela2[[#This Row],[GWD]]</f>
        <v>4</v>
      </c>
      <c r="T167" s="180">
        <f>SUM(Tabela2[[#This Row],[G]:[GWD]])</f>
        <v>11</v>
      </c>
    </row>
    <row r="168" spans="1:20">
      <c r="A168" s="183">
        <v>167</v>
      </c>
      <c r="B168" s="171" t="s">
        <v>576</v>
      </c>
      <c r="C168" s="171" t="s">
        <v>287</v>
      </c>
      <c r="D168" s="171">
        <v>3</v>
      </c>
      <c r="E168" s="171" t="s">
        <v>251</v>
      </c>
      <c r="F168" s="171">
        <v>1</v>
      </c>
      <c r="G168" s="171">
        <v>1</v>
      </c>
      <c r="H168" s="171">
        <v>1</v>
      </c>
      <c r="I168" s="171">
        <v>1</v>
      </c>
      <c r="J168" s="171">
        <v>1</v>
      </c>
      <c r="K168" s="171">
        <v>1</v>
      </c>
      <c r="L168" s="171">
        <v>1</v>
      </c>
      <c r="M168" s="171">
        <v>1</v>
      </c>
      <c r="N168" s="171" t="s">
        <v>445</v>
      </c>
      <c r="O168" s="171"/>
      <c r="P168" s="171"/>
      <c r="Q168" s="187">
        <f>SUM(Tabela2[[#This Row],[G]]+Tabela2[[#This Row],[D]]+Tabela2[[#This Row],[N]]+Tabela2[[#This Row],[HM]])</f>
        <v>4</v>
      </c>
      <c r="R168" s="187">
        <f>SUM(Tabela2[[#This Row],[AO]]+Tabela2[[#This Row],[AD]]+Tabela2[[#This Row],[GWO]]+Tabela2[[#This Row],[GWD]])</f>
        <v>4</v>
      </c>
      <c r="S168" s="187">
        <f>Tabela2[[#This Row],[GWO]]+Tabela2[[#This Row],[GWD]]</f>
        <v>2</v>
      </c>
      <c r="T168" s="180">
        <f>SUM(Tabela2[[#This Row],[G]:[GWD]])</f>
        <v>8</v>
      </c>
    </row>
    <row r="169" spans="1:20">
      <c r="A169" s="183">
        <v>168</v>
      </c>
      <c r="B169" s="170" t="s">
        <v>575</v>
      </c>
      <c r="C169" s="170" t="s">
        <v>574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2</v>
      </c>
      <c r="I169" s="170">
        <v>1</v>
      </c>
      <c r="J169" s="170">
        <v>1</v>
      </c>
      <c r="K169" s="170">
        <v>1</v>
      </c>
      <c r="L169" s="170">
        <v>1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5</v>
      </c>
      <c r="R169" s="180">
        <f>SUM(Tabela2[[#This Row],[AO]]+Tabela2[[#This Row],[AD]]+Tabela2[[#This Row],[GWO]]+Tabela2[[#This Row],[GWD]])</f>
        <v>4</v>
      </c>
      <c r="S169" s="180">
        <f>Tabela2[[#This Row],[GWO]]+Tabela2[[#This Row],[GWD]]</f>
        <v>2</v>
      </c>
      <c r="T169" s="180">
        <f>SUM(Tabela2[[#This Row],[G]:[GWD]])</f>
        <v>9</v>
      </c>
    </row>
    <row r="170" spans="1:20" ht="30">
      <c r="A170" s="183">
        <v>169</v>
      </c>
      <c r="B170" s="170" t="s">
        <v>573</v>
      </c>
      <c r="C170" s="170" t="s">
        <v>572</v>
      </c>
      <c r="D170" s="170">
        <v>3</v>
      </c>
      <c r="E170" s="170" t="s">
        <v>272</v>
      </c>
      <c r="F170" s="170">
        <v>1</v>
      </c>
      <c r="G170" s="170">
        <v>1</v>
      </c>
      <c r="H170" s="170">
        <v>1</v>
      </c>
      <c r="I170" s="170">
        <v>1</v>
      </c>
      <c r="J170" s="170">
        <v>1</v>
      </c>
      <c r="K170" s="170">
        <v>1</v>
      </c>
      <c r="L170" s="170">
        <v>4</v>
      </c>
      <c r="M170" s="170">
        <v>2</v>
      </c>
      <c r="N170" s="170"/>
      <c r="O170" s="170"/>
      <c r="P170" s="170"/>
      <c r="Q170" s="180">
        <f>SUM(Tabela2[[#This Row],[G]]+Tabela2[[#This Row],[D]]+Tabela2[[#This Row],[N]]+Tabela2[[#This Row],[HM]])</f>
        <v>4</v>
      </c>
      <c r="R170" s="180">
        <f>SUM(Tabela2[[#This Row],[AO]]+Tabela2[[#This Row],[AD]]+Tabela2[[#This Row],[GWO]]+Tabela2[[#This Row],[GWD]])</f>
        <v>8</v>
      </c>
      <c r="S170" s="180">
        <f>Tabela2[[#This Row],[GWO]]+Tabela2[[#This Row],[GWD]]</f>
        <v>6</v>
      </c>
      <c r="T170" s="180">
        <f>SUM(Tabela2[[#This Row],[G]:[GWD]])</f>
        <v>12</v>
      </c>
    </row>
    <row r="171" spans="1:20">
      <c r="A171" s="183">
        <v>170</v>
      </c>
      <c r="B171" s="170" t="s">
        <v>186</v>
      </c>
      <c r="C171" s="170" t="s">
        <v>290</v>
      </c>
      <c r="D171" s="170">
        <v>3</v>
      </c>
      <c r="E171" s="170" t="s">
        <v>272</v>
      </c>
      <c r="F171" s="170">
        <v>3</v>
      </c>
      <c r="G171" s="170">
        <v>3</v>
      </c>
      <c r="H171" s="170">
        <v>1</v>
      </c>
      <c r="I171" s="170">
        <v>2</v>
      </c>
      <c r="J171" s="170">
        <v>2</v>
      </c>
      <c r="K171" s="170">
        <v>3</v>
      </c>
      <c r="L171" s="170">
        <v>2</v>
      </c>
      <c r="M171" s="170">
        <v>2</v>
      </c>
      <c r="N171" s="170"/>
      <c r="O171" s="170" t="s">
        <v>204</v>
      </c>
      <c r="P171" s="170"/>
      <c r="Q171" s="180">
        <f>SUM(Tabela2[[#This Row],[G]]+Tabela2[[#This Row],[D]]+Tabela2[[#This Row],[N]]+Tabela2[[#This Row],[HM]])</f>
        <v>10</v>
      </c>
      <c r="R171" s="180">
        <f>SUM(Tabela2[[#This Row],[AO]]+Tabela2[[#This Row],[AD]]+Tabela2[[#This Row],[GWO]]+Tabela2[[#This Row],[GWD]])</f>
        <v>8</v>
      </c>
      <c r="S171" s="180">
        <f>Tabela2[[#This Row],[GWO]]+Tabela2[[#This Row],[GWD]]</f>
        <v>4</v>
      </c>
      <c r="T171" s="180">
        <f>SUM(Tabela2[[#This Row],[G]:[GWD]])</f>
        <v>18</v>
      </c>
    </row>
    <row r="172" spans="1:20" ht="30">
      <c r="A172" s="183">
        <v>171</v>
      </c>
      <c r="B172" s="170" t="s">
        <v>571</v>
      </c>
      <c r="C172" s="170" t="s">
        <v>570</v>
      </c>
      <c r="D172" s="170">
        <v>3</v>
      </c>
      <c r="E172" s="170" t="s">
        <v>272</v>
      </c>
      <c r="F172" s="170">
        <v>1</v>
      </c>
      <c r="G172" s="170">
        <v>2</v>
      </c>
      <c r="H172" s="170">
        <v>3</v>
      </c>
      <c r="I172" s="170">
        <v>1</v>
      </c>
      <c r="J172" s="170">
        <v>1</v>
      </c>
      <c r="K172" s="170">
        <v>2</v>
      </c>
      <c r="L172" s="170">
        <v>1</v>
      </c>
      <c r="M172" s="170">
        <v>1</v>
      </c>
      <c r="N172" s="170"/>
      <c r="O172" s="170"/>
      <c r="P172" s="170"/>
      <c r="Q172" s="180">
        <f>SUM(Tabela2[[#This Row],[G]]+Tabela2[[#This Row],[D]]+Tabela2[[#This Row],[N]]+Tabela2[[#This Row],[HM]])</f>
        <v>8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12</v>
      </c>
    </row>
    <row r="173" spans="1:20" ht="30">
      <c r="A173" s="183">
        <v>172</v>
      </c>
      <c r="B173" s="170" t="s">
        <v>569</v>
      </c>
      <c r="C173" s="170" t="s">
        <v>568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1</v>
      </c>
      <c r="I173" s="170">
        <v>1</v>
      </c>
      <c r="J173" s="170">
        <v>1</v>
      </c>
      <c r="K173" s="170">
        <v>1</v>
      </c>
      <c r="L173" s="170">
        <v>1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4</v>
      </c>
      <c r="R173" s="180">
        <f>SUM(Tabela2[[#This Row],[AO]]+Tabela2[[#This Row],[AD]]+Tabela2[[#This Row],[GWO]]+Tabela2[[#This Row],[GWD]])</f>
        <v>4</v>
      </c>
      <c r="S173" s="180">
        <f>Tabela2[[#This Row],[GWO]]+Tabela2[[#This Row],[GWD]]</f>
        <v>2</v>
      </c>
      <c r="T173" s="180">
        <f>SUM(Tabela2[[#This Row],[G]:[GWD]])</f>
        <v>8</v>
      </c>
    </row>
    <row r="174" spans="1:20" ht="30">
      <c r="A174" s="183">
        <v>173</v>
      </c>
      <c r="B174" s="170" t="s">
        <v>567</v>
      </c>
      <c r="C174" s="170" t="s">
        <v>566</v>
      </c>
      <c r="D174" s="170">
        <v>3</v>
      </c>
      <c r="E174" s="170" t="s">
        <v>272</v>
      </c>
      <c r="F174" s="170">
        <v>1</v>
      </c>
      <c r="G174" s="170">
        <v>1</v>
      </c>
      <c r="H174" s="170">
        <v>1</v>
      </c>
      <c r="I174" s="170">
        <v>1</v>
      </c>
      <c r="J174" s="170">
        <v>1</v>
      </c>
      <c r="K174" s="170">
        <v>1</v>
      </c>
      <c r="L174" s="170">
        <v>1</v>
      </c>
      <c r="M174" s="170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4</v>
      </c>
      <c r="S174" s="180">
        <f>Tabela2[[#This Row],[GWO]]+Tabela2[[#This Row],[GWD]]</f>
        <v>2</v>
      </c>
      <c r="T174" s="180">
        <f>SUM(Tabela2[[#This Row],[G]:[GWD]])</f>
        <v>8</v>
      </c>
    </row>
    <row r="175" spans="1:20">
      <c r="A175" s="183">
        <v>174</v>
      </c>
      <c r="B175" s="177" t="s">
        <v>565</v>
      </c>
      <c r="C175" s="177" t="s">
        <v>565</v>
      </c>
      <c r="D175" s="177">
        <v>3</v>
      </c>
      <c r="E175" s="177" t="s">
        <v>272</v>
      </c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82">
        <f>SUM(Tabela2[[#This Row],[G]]+Tabela2[[#This Row],[D]]+Tabela2[[#This Row],[N]]+Tabela2[[#This Row],[HM]])</f>
        <v>0</v>
      </c>
      <c r="R175" s="182">
        <f>SUM(Tabela2[[#This Row],[AO]]+Tabela2[[#This Row],[AD]]+Tabela2[[#This Row],[GWO]]+Tabela2[[#This Row],[GWD]])</f>
        <v>0</v>
      </c>
      <c r="S175" s="182">
        <f>Tabela2[[#This Row],[GWO]]+Tabela2[[#This Row],[GWD]]</f>
        <v>0</v>
      </c>
      <c r="T175" s="182">
        <f>SUM(Tabela2[[#This Row],[G]:[GWD]])</f>
        <v>0</v>
      </c>
    </row>
    <row r="176" spans="1:20" ht="30">
      <c r="A176" s="183">
        <v>175</v>
      </c>
      <c r="B176" s="170" t="s">
        <v>564</v>
      </c>
      <c r="C176" s="170" t="s">
        <v>563</v>
      </c>
      <c r="D176" s="170">
        <v>3</v>
      </c>
      <c r="E176" s="170" t="s">
        <v>272</v>
      </c>
      <c r="F176" s="170">
        <v>1</v>
      </c>
      <c r="G176" s="170">
        <v>1</v>
      </c>
      <c r="H176" s="170">
        <v>1</v>
      </c>
      <c r="I176" s="170">
        <v>1</v>
      </c>
      <c r="J176" s="170">
        <v>1</v>
      </c>
      <c r="K176" s="170">
        <v>1</v>
      </c>
      <c r="L176" s="170">
        <v>1</v>
      </c>
      <c r="M176" s="170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4</v>
      </c>
      <c r="S176" s="180">
        <f>Tabela2[[#This Row],[GWO]]+Tabela2[[#This Row],[GWD]]</f>
        <v>2</v>
      </c>
      <c r="T176" s="180">
        <f>SUM(Tabela2[[#This Row],[G]:[GWD]])</f>
        <v>8</v>
      </c>
    </row>
    <row r="177" spans="1:20">
      <c r="A177" s="183">
        <v>176</v>
      </c>
      <c r="B177" s="170" t="s">
        <v>562</v>
      </c>
      <c r="C177" s="170" t="s">
        <v>561</v>
      </c>
      <c r="D177" s="170">
        <v>3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1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5</v>
      </c>
      <c r="S177" s="180">
        <f>Tabela2[[#This Row],[GWO]]+Tabela2[[#This Row],[GWD]]</f>
        <v>3</v>
      </c>
      <c r="T177" s="180">
        <f>SUM(Tabela2[[#This Row],[G]:[GWD]])</f>
        <v>9</v>
      </c>
    </row>
    <row r="178" spans="1:20">
      <c r="A178" s="183">
        <v>177</v>
      </c>
      <c r="B178" s="170" t="s">
        <v>560</v>
      </c>
      <c r="C178" s="170" t="s">
        <v>559</v>
      </c>
      <c r="D178" s="170">
        <v>3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1</v>
      </c>
      <c r="J178" s="170">
        <v>1</v>
      </c>
      <c r="K178" s="170">
        <v>3</v>
      </c>
      <c r="L178" s="170">
        <v>1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6</v>
      </c>
      <c r="R178" s="180">
        <f>SUM(Tabela2[[#This Row],[AO]]+Tabela2[[#This Row],[AD]]+Tabela2[[#This Row],[GWO]]+Tabela2[[#This Row],[GWD]])</f>
        <v>4</v>
      </c>
      <c r="S178" s="180">
        <f>Tabela2[[#This Row],[GWO]]+Tabela2[[#This Row],[GWD]]</f>
        <v>2</v>
      </c>
      <c r="T178" s="180">
        <f>SUM(Tabela2[[#This Row],[G]:[GWD]])</f>
        <v>10</v>
      </c>
    </row>
    <row r="179" spans="1:20" ht="30">
      <c r="A179" s="183">
        <v>178</v>
      </c>
      <c r="B179" s="170" t="s">
        <v>558</v>
      </c>
      <c r="C179" s="170" t="s">
        <v>557</v>
      </c>
      <c r="D179" s="170">
        <v>3</v>
      </c>
      <c r="E179" s="170" t="s">
        <v>272</v>
      </c>
      <c r="F179" s="170">
        <v>1</v>
      </c>
      <c r="G179" s="170">
        <v>1</v>
      </c>
      <c r="H179" s="170">
        <v>1</v>
      </c>
      <c r="I179" s="170">
        <v>1</v>
      </c>
      <c r="J179" s="170">
        <v>1</v>
      </c>
      <c r="K179" s="170">
        <v>1</v>
      </c>
      <c r="L179" s="170">
        <v>1</v>
      </c>
      <c r="M179" s="170">
        <v>1</v>
      </c>
      <c r="N179" s="170"/>
      <c r="O179" s="170"/>
      <c r="P179" s="170"/>
      <c r="Q179" s="180">
        <f>SUM(Tabela2[[#This Row],[G]]+Tabela2[[#This Row],[D]]+Tabela2[[#This Row],[N]]+Tabela2[[#This Row],[HM]])</f>
        <v>4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8</v>
      </c>
    </row>
    <row r="180" spans="1:20">
      <c r="A180" s="183">
        <v>179</v>
      </c>
      <c r="B180" s="170" t="s">
        <v>556</v>
      </c>
      <c r="C180" s="170" t="s">
        <v>555</v>
      </c>
      <c r="D180" s="170">
        <v>3</v>
      </c>
      <c r="E180" s="170" t="s">
        <v>272</v>
      </c>
      <c r="F180" s="170">
        <v>2</v>
      </c>
      <c r="G180" s="170">
        <v>2</v>
      </c>
      <c r="H180" s="170">
        <v>1</v>
      </c>
      <c r="I180" s="170">
        <v>2</v>
      </c>
      <c r="J180" s="170">
        <v>2</v>
      </c>
      <c r="K180" s="170">
        <v>1</v>
      </c>
      <c r="L180" s="170">
        <v>2</v>
      </c>
      <c r="M180" s="170">
        <v>1</v>
      </c>
      <c r="N180" s="170"/>
      <c r="O180" s="170"/>
      <c r="P180" s="170"/>
      <c r="Q180" s="180">
        <f>SUM(Tabela2[[#This Row],[G]]+Tabela2[[#This Row],[D]]+Tabela2[[#This Row],[N]]+Tabela2[[#This Row],[HM]])</f>
        <v>6</v>
      </c>
      <c r="R180" s="180">
        <f>SUM(Tabela2[[#This Row],[AO]]+Tabela2[[#This Row],[AD]]+Tabela2[[#This Row],[GWO]]+Tabela2[[#This Row],[GWD]])</f>
        <v>7</v>
      </c>
      <c r="S180" s="180">
        <f>Tabela2[[#This Row],[GWO]]+Tabela2[[#This Row],[GWD]]</f>
        <v>3</v>
      </c>
      <c r="T180" s="180">
        <f>SUM(Tabela2[[#This Row],[G]:[GWD]])</f>
        <v>13</v>
      </c>
    </row>
    <row r="181" spans="1:20">
      <c r="A181" s="183">
        <v>180</v>
      </c>
      <c r="B181" s="170" t="s">
        <v>554</v>
      </c>
      <c r="C181" s="170" t="s">
        <v>283</v>
      </c>
      <c r="D181" s="170">
        <v>3</v>
      </c>
      <c r="E181" s="170" t="s">
        <v>272</v>
      </c>
      <c r="F181" s="170">
        <v>1</v>
      </c>
      <c r="G181" s="170">
        <v>1</v>
      </c>
      <c r="H181" s="170">
        <v>1</v>
      </c>
      <c r="I181" s="170">
        <v>2</v>
      </c>
      <c r="J181" s="170">
        <v>1</v>
      </c>
      <c r="K181" s="170">
        <v>4</v>
      </c>
      <c r="L181" s="170">
        <v>3</v>
      </c>
      <c r="M181" s="170">
        <v>2</v>
      </c>
      <c r="N181" s="170"/>
      <c r="O181" s="170"/>
      <c r="P181" s="170"/>
      <c r="Q181" s="180">
        <f>SUM(Tabela2[[#This Row],[G]]+Tabela2[[#This Row],[D]]+Tabela2[[#This Row],[N]]+Tabela2[[#This Row],[HM]])</f>
        <v>7</v>
      </c>
      <c r="R181" s="180">
        <f>SUM(Tabela2[[#This Row],[AO]]+Tabela2[[#This Row],[AD]]+Tabela2[[#This Row],[GWO]]+Tabela2[[#This Row],[GWD]])</f>
        <v>8</v>
      </c>
      <c r="S181" s="180">
        <f>Tabela2[[#This Row],[GWO]]+Tabela2[[#This Row],[GWD]]</f>
        <v>5</v>
      </c>
      <c r="T181" s="180">
        <f>SUM(Tabela2[[#This Row],[G]:[GWD]])</f>
        <v>15</v>
      </c>
    </row>
    <row r="182" spans="1:20">
      <c r="A182" s="183">
        <v>181</v>
      </c>
      <c r="B182" s="170" t="s">
        <v>553</v>
      </c>
      <c r="C182" s="170" t="s">
        <v>552</v>
      </c>
      <c r="D182" s="170">
        <v>3</v>
      </c>
      <c r="E182" s="170" t="s">
        <v>272</v>
      </c>
      <c r="F182" s="170">
        <v>1</v>
      </c>
      <c r="G182" s="170">
        <v>1</v>
      </c>
      <c r="H182" s="170">
        <v>1</v>
      </c>
      <c r="I182" s="170">
        <v>1</v>
      </c>
      <c r="J182" s="170">
        <v>1</v>
      </c>
      <c r="K182" s="170">
        <v>1</v>
      </c>
      <c r="L182" s="170">
        <v>1</v>
      </c>
      <c r="M182" s="170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4</v>
      </c>
      <c r="S182" s="180">
        <f>Tabela2[[#This Row],[GWO]]+Tabela2[[#This Row],[GWD]]</f>
        <v>2</v>
      </c>
      <c r="T182" s="180">
        <f>SUM(Tabela2[[#This Row],[G]:[GWD]])</f>
        <v>8</v>
      </c>
    </row>
    <row r="183" spans="1:20" ht="30">
      <c r="A183" s="183">
        <v>182</v>
      </c>
      <c r="B183" s="170" t="s">
        <v>551</v>
      </c>
      <c r="C183" s="170" t="s">
        <v>550</v>
      </c>
      <c r="D183" s="170">
        <v>3</v>
      </c>
      <c r="E183" s="170" t="s">
        <v>272</v>
      </c>
      <c r="F183" s="170">
        <v>1</v>
      </c>
      <c r="G183" s="170">
        <v>1</v>
      </c>
      <c r="H183" s="170">
        <v>1</v>
      </c>
      <c r="I183" s="170">
        <v>3</v>
      </c>
      <c r="J183" s="170">
        <v>1</v>
      </c>
      <c r="K183" s="170">
        <v>3</v>
      </c>
      <c r="L183" s="170">
        <v>2</v>
      </c>
      <c r="M183" s="170">
        <v>1</v>
      </c>
      <c r="N183" s="170"/>
      <c r="O183" s="170"/>
      <c r="P183" s="170"/>
      <c r="Q183" s="180">
        <f>SUM(Tabela2[[#This Row],[G]]+Tabela2[[#This Row],[D]]+Tabela2[[#This Row],[N]]+Tabela2[[#This Row],[HM]])</f>
        <v>6</v>
      </c>
      <c r="R183" s="180">
        <f>SUM(Tabela2[[#This Row],[AO]]+Tabela2[[#This Row],[AD]]+Tabela2[[#This Row],[GWO]]+Tabela2[[#This Row],[GWD]])</f>
        <v>7</v>
      </c>
      <c r="S183" s="180">
        <f>Tabela2[[#This Row],[GWO]]+Tabela2[[#This Row],[GWD]]</f>
        <v>3</v>
      </c>
      <c r="T183" s="180">
        <f>SUM(Tabela2[[#This Row],[G]:[GWD]])</f>
        <v>13</v>
      </c>
    </row>
    <row r="184" spans="1:20">
      <c r="A184" s="183">
        <v>183</v>
      </c>
      <c r="B184" s="170" t="s">
        <v>549</v>
      </c>
      <c r="C184" s="170" t="s">
        <v>548</v>
      </c>
      <c r="D184" s="170">
        <v>3</v>
      </c>
      <c r="E184" s="170" t="s">
        <v>272</v>
      </c>
      <c r="F184" s="170">
        <v>1</v>
      </c>
      <c r="G184" s="170">
        <v>1</v>
      </c>
      <c r="H184" s="170">
        <v>3</v>
      </c>
      <c r="I184" s="170">
        <v>1</v>
      </c>
      <c r="J184" s="170">
        <v>1</v>
      </c>
      <c r="K184" s="170">
        <v>1</v>
      </c>
      <c r="L184" s="170">
        <v>1</v>
      </c>
      <c r="M184" s="170">
        <v>1</v>
      </c>
      <c r="N184" s="170"/>
      <c r="O184" s="170"/>
      <c r="P184" s="170"/>
      <c r="Q184" s="180">
        <f>SUM(Tabela2[[#This Row],[G]]+Tabela2[[#This Row],[D]]+Tabela2[[#This Row],[N]]+Tabela2[[#This Row],[HM]])</f>
        <v>6</v>
      </c>
      <c r="R184" s="180">
        <f>SUM(Tabela2[[#This Row],[AO]]+Tabela2[[#This Row],[AD]]+Tabela2[[#This Row],[GWO]]+Tabela2[[#This Row],[GWD]])</f>
        <v>4</v>
      </c>
      <c r="S184" s="180">
        <f>Tabela2[[#This Row],[GWO]]+Tabela2[[#This Row],[GWD]]</f>
        <v>2</v>
      </c>
      <c r="T184" s="180">
        <f>SUM(Tabela2[[#This Row],[G]:[GWD]])</f>
        <v>10</v>
      </c>
    </row>
    <row r="185" spans="1:20">
      <c r="A185" s="183">
        <v>184</v>
      </c>
      <c r="B185" s="170" t="s">
        <v>547</v>
      </c>
      <c r="C185" s="170" t="s">
        <v>546</v>
      </c>
      <c r="D185" s="170">
        <v>3</v>
      </c>
      <c r="E185" s="170" t="s">
        <v>272</v>
      </c>
      <c r="F185" s="170">
        <v>2</v>
      </c>
      <c r="G185" s="170">
        <v>2</v>
      </c>
      <c r="H185" s="170">
        <v>2</v>
      </c>
      <c r="I185" s="170">
        <v>2</v>
      </c>
      <c r="J185" s="170">
        <v>2</v>
      </c>
      <c r="K185" s="170">
        <v>1</v>
      </c>
      <c r="L185" s="170">
        <v>2</v>
      </c>
      <c r="M185" s="170">
        <v>1</v>
      </c>
      <c r="N185" s="170"/>
      <c r="O185" s="170"/>
      <c r="P185" s="170"/>
      <c r="Q185" s="180">
        <f>SUM(Tabela2[[#This Row],[G]]+Tabela2[[#This Row],[D]]+Tabela2[[#This Row],[N]]+Tabela2[[#This Row],[HM]])</f>
        <v>7</v>
      </c>
      <c r="R185" s="180">
        <f>SUM(Tabela2[[#This Row],[AO]]+Tabela2[[#This Row],[AD]]+Tabela2[[#This Row],[GWO]]+Tabela2[[#This Row],[GWD]])</f>
        <v>7</v>
      </c>
      <c r="S185" s="180">
        <f>Tabela2[[#This Row],[GWO]]+Tabela2[[#This Row],[GWD]]</f>
        <v>3</v>
      </c>
      <c r="T185" s="180">
        <f>SUM(Tabela2[[#This Row],[G]:[GWD]])</f>
        <v>14</v>
      </c>
    </row>
    <row r="186" spans="1:20" ht="30">
      <c r="A186" s="183">
        <v>185</v>
      </c>
      <c r="B186" s="170" t="s">
        <v>545</v>
      </c>
      <c r="C186" s="170" t="s">
        <v>544</v>
      </c>
      <c r="D186" s="170">
        <v>3</v>
      </c>
      <c r="E186" s="170" t="s">
        <v>272</v>
      </c>
      <c r="F186" s="170">
        <v>1</v>
      </c>
      <c r="G186" s="170">
        <v>1</v>
      </c>
      <c r="H186" s="170">
        <v>1</v>
      </c>
      <c r="I186" s="170">
        <v>2</v>
      </c>
      <c r="J186" s="170">
        <v>1</v>
      </c>
      <c r="K186" s="170">
        <v>1</v>
      </c>
      <c r="L186" s="170">
        <v>2</v>
      </c>
      <c r="M186" s="170">
        <v>1</v>
      </c>
      <c r="N186" s="170"/>
      <c r="O186" s="170"/>
      <c r="P186" s="170"/>
      <c r="Q186" s="180">
        <f>SUM(Tabela2[[#This Row],[G]]+Tabela2[[#This Row],[D]]+Tabela2[[#This Row],[N]]+Tabela2[[#This Row],[HM]])</f>
        <v>4</v>
      </c>
      <c r="R186" s="180">
        <f>SUM(Tabela2[[#This Row],[AO]]+Tabela2[[#This Row],[AD]]+Tabela2[[#This Row],[GWO]]+Tabela2[[#This Row],[GWD]])</f>
        <v>6</v>
      </c>
      <c r="S186" s="180">
        <f>Tabela2[[#This Row],[GWO]]+Tabela2[[#This Row],[GWD]]</f>
        <v>3</v>
      </c>
      <c r="T186" s="180">
        <f>SUM(Tabela2[[#This Row],[G]:[GWD]])</f>
        <v>10</v>
      </c>
    </row>
    <row r="187" spans="1:20" ht="30">
      <c r="A187" s="183">
        <v>186</v>
      </c>
      <c r="B187" s="170" t="s">
        <v>543</v>
      </c>
      <c r="C187" s="170" t="s">
        <v>542</v>
      </c>
      <c r="D187" s="170">
        <v>3</v>
      </c>
      <c r="E187" s="170" t="s">
        <v>272</v>
      </c>
      <c r="F187" s="170">
        <v>1</v>
      </c>
      <c r="G187" s="170">
        <v>1</v>
      </c>
      <c r="H187" s="170">
        <v>1</v>
      </c>
      <c r="I187" s="170">
        <v>1</v>
      </c>
      <c r="J187" s="170">
        <v>1</v>
      </c>
      <c r="K187" s="170">
        <v>1</v>
      </c>
      <c r="L187" s="170">
        <v>1</v>
      </c>
      <c r="M187" s="170">
        <v>1</v>
      </c>
      <c r="N187" s="170"/>
      <c r="O187" s="170"/>
      <c r="P187" s="170"/>
      <c r="Q187" s="180">
        <f>SUM(Tabela2[[#This Row],[G]]+Tabela2[[#This Row],[D]]+Tabela2[[#This Row],[N]]+Tabela2[[#This Row],[HM]])</f>
        <v>4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8</v>
      </c>
    </row>
    <row r="188" spans="1:20">
      <c r="A188" s="183">
        <v>187</v>
      </c>
      <c r="B188" s="170" t="s">
        <v>541</v>
      </c>
      <c r="C188" s="170" t="s">
        <v>540</v>
      </c>
      <c r="D188" s="170">
        <v>3</v>
      </c>
      <c r="E188" s="170" t="s">
        <v>272</v>
      </c>
      <c r="F188" s="170">
        <v>1</v>
      </c>
      <c r="G188" s="170">
        <v>1</v>
      </c>
      <c r="H188" s="170">
        <v>1</v>
      </c>
      <c r="I188" s="170">
        <v>1</v>
      </c>
      <c r="J188" s="170">
        <v>1</v>
      </c>
      <c r="K188" s="170">
        <v>1</v>
      </c>
      <c r="L188" s="170">
        <v>1</v>
      </c>
      <c r="M188" s="170">
        <v>1</v>
      </c>
      <c r="N188" s="170"/>
      <c r="O188" s="170"/>
      <c r="P188" s="170"/>
      <c r="Q188" s="180">
        <f>SUM(Tabela2[[#This Row],[G]]+Tabela2[[#This Row],[D]]+Tabela2[[#This Row],[N]]+Tabela2[[#This Row],[HM]])</f>
        <v>4</v>
      </c>
      <c r="R188" s="180">
        <f>SUM(Tabela2[[#This Row],[AO]]+Tabela2[[#This Row],[AD]]+Tabela2[[#This Row],[GWO]]+Tabela2[[#This Row],[GWD]])</f>
        <v>4</v>
      </c>
      <c r="S188" s="180">
        <f>Tabela2[[#This Row],[GWO]]+Tabela2[[#This Row],[GWD]]</f>
        <v>2</v>
      </c>
      <c r="T188" s="180">
        <f>SUM(Tabela2[[#This Row],[G]:[GWD]])</f>
        <v>8</v>
      </c>
    </row>
    <row r="189" spans="1:20">
      <c r="A189" s="183">
        <v>188</v>
      </c>
      <c r="B189" s="170" t="s">
        <v>144</v>
      </c>
      <c r="C189" s="170" t="s">
        <v>358</v>
      </c>
      <c r="D189" s="170">
        <v>3</v>
      </c>
      <c r="E189" s="170" t="s">
        <v>272</v>
      </c>
      <c r="F189" s="170">
        <v>5</v>
      </c>
      <c r="G189" s="170">
        <v>5</v>
      </c>
      <c r="H189" s="170">
        <v>4</v>
      </c>
      <c r="I189" s="170">
        <v>3</v>
      </c>
      <c r="J189" s="170">
        <v>5</v>
      </c>
      <c r="K189" s="170">
        <v>4</v>
      </c>
      <c r="L189" s="170">
        <v>5</v>
      </c>
      <c r="M189" s="170">
        <v>4</v>
      </c>
      <c r="N189" s="170"/>
      <c r="O189" s="170" t="s">
        <v>204</v>
      </c>
      <c r="P189" s="170"/>
      <c r="Q189" s="180">
        <f>SUM(Tabela2[[#This Row],[G]]+Tabela2[[#This Row],[D]]+Tabela2[[#This Row],[N]]+Tabela2[[#This Row],[HM]])</f>
        <v>18</v>
      </c>
      <c r="R189" s="180">
        <f>SUM(Tabela2[[#This Row],[AO]]+Tabela2[[#This Row],[AD]]+Tabela2[[#This Row],[GWO]]+Tabela2[[#This Row],[GWD]])</f>
        <v>17</v>
      </c>
      <c r="S189" s="180">
        <f>Tabela2[[#This Row],[GWO]]+Tabela2[[#This Row],[GWD]]</f>
        <v>9</v>
      </c>
      <c r="T189" s="180">
        <f>SUM(Tabela2[[#This Row],[G]:[GWD]])</f>
        <v>35</v>
      </c>
    </row>
    <row r="190" spans="1:20" ht="30">
      <c r="A190" s="183">
        <v>189</v>
      </c>
      <c r="B190" s="170" t="s">
        <v>539</v>
      </c>
      <c r="C190" s="170" t="s">
        <v>538</v>
      </c>
      <c r="D190" s="170">
        <v>3</v>
      </c>
      <c r="E190" s="170" t="s">
        <v>272</v>
      </c>
      <c r="F190" s="170">
        <v>1</v>
      </c>
      <c r="G190" s="170">
        <v>1</v>
      </c>
      <c r="H190" s="170">
        <v>1</v>
      </c>
      <c r="I190" s="170">
        <v>2</v>
      </c>
      <c r="J190" s="170">
        <v>1</v>
      </c>
      <c r="K190" s="170">
        <v>1</v>
      </c>
      <c r="L190" s="170">
        <v>2</v>
      </c>
      <c r="M190" s="170">
        <v>1</v>
      </c>
      <c r="N190" s="170"/>
      <c r="O190" s="170"/>
      <c r="P190" s="170"/>
      <c r="Q190" s="180">
        <f>SUM(Tabela2[[#This Row],[G]]+Tabela2[[#This Row],[D]]+Tabela2[[#This Row],[N]]+Tabela2[[#This Row],[HM]])</f>
        <v>4</v>
      </c>
      <c r="R190" s="180">
        <f>SUM(Tabela2[[#This Row],[AO]]+Tabela2[[#This Row],[AD]]+Tabela2[[#This Row],[GWO]]+Tabela2[[#This Row],[GWD]])</f>
        <v>6</v>
      </c>
      <c r="S190" s="180">
        <f>Tabela2[[#This Row],[GWO]]+Tabela2[[#This Row],[GWD]]</f>
        <v>3</v>
      </c>
      <c r="T190" s="180">
        <f>SUM(Tabela2[[#This Row],[G]:[GWD]])</f>
        <v>10</v>
      </c>
    </row>
    <row r="191" spans="1:20">
      <c r="A191" s="183">
        <v>190</v>
      </c>
      <c r="B191" s="170" t="s">
        <v>537</v>
      </c>
      <c r="C191" s="170" t="s">
        <v>536</v>
      </c>
      <c r="D191" s="170">
        <v>3</v>
      </c>
      <c r="E191" s="170" t="s">
        <v>272</v>
      </c>
      <c r="F191" s="170">
        <v>1</v>
      </c>
      <c r="G191" s="170">
        <v>1</v>
      </c>
      <c r="H191" s="170">
        <v>2</v>
      </c>
      <c r="I191" s="170">
        <v>1</v>
      </c>
      <c r="J191" s="170">
        <v>1</v>
      </c>
      <c r="K191" s="170">
        <v>1</v>
      </c>
      <c r="L191" s="170">
        <v>2</v>
      </c>
      <c r="M191" s="170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5</v>
      </c>
      <c r="S191" s="180">
        <f>Tabela2[[#This Row],[GWO]]+Tabela2[[#This Row],[GWD]]</f>
        <v>3</v>
      </c>
      <c r="T191" s="180">
        <f>SUM(Tabela2[[#This Row],[G]:[GWD]])</f>
        <v>10</v>
      </c>
    </row>
    <row r="192" spans="1:20" ht="30">
      <c r="A192" s="183">
        <v>191</v>
      </c>
      <c r="B192" s="170" t="s">
        <v>535</v>
      </c>
      <c r="C192" s="170" t="s">
        <v>534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4</v>
      </c>
      <c r="S192" s="180">
        <f>Tabela2[[#This Row],[GWO]]+Tabela2[[#This Row],[GWD]]</f>
        <v>2</v>
      </c>
      <c r="T192" s="180">
        <f>SUM(Tabela2[[#This Row],[G]:[GWD]])</f>
        <v>8</v>
      </c>
    </row>
    <row r="193" spans="1:20" ht="30">
      <c r="A193" s="183">
        <v>192</v>
      </c>
      <c r="B193" s="170" t="s">
        <v>533</v>
      </c>
      <c r="C193" s="170" t="s">
        <v>532</v>
      </c>
      <c r="D193" s="170">
        <v>3</v>
      </c>
      <c r="E193" s="170" t="s">
        <v>272</v>
      </c>
      <c r="F193" s="170">
        <v>1</v>
      </c>
      <c r="G193" s="170">
        <v>1</v>
      </c>
      <c r="H193" s="170">
        <v>1</v>
      </c>
      <c r="I193" s="170">
        <v>1</v>
      </c>
      <c r="J193" s="170">
        <v>1</v>
      </c>
      <c r="K193" s="170">
        <v>1</v>
      </c>
      <c r="L193" s="170">
        <v>1</v>
      </c>
      <c r="M193" s="170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4</v>
      </c>
      <c r="S193" s="180">
        <f>Tabela2[[#This Row],[GWO]]+Tabela2[[#This Row],[GWD]]</f>
        <v>2</v>
      </c>
      <c r="T193" s="180">
        <f>SUM(Tabela2[[#This Row],[G]:[GWD]])</f>
        <v>8</v>
      </c>
    </row>
    <row r="194" spans="1:20" ht="30">
      <c r="A194" s="183">
        <v>193</v>
      </c>
      <c r="B194" s="170" t="s">
        <v>531</v>
      </c>
      <c r="C194" s="170" t="s">
        <v>530</v>
      </c>
      <c r="D194" s="170">
        <v>3</v>
      </c>
      <c r="E194" s="170" t="s">
        <v>272</v>
      </c>
      <c r="F194" s="170">
        <v>1</v>
      </c>
      <c r="G194" s="170">
        <v>1</v>
      </c>
      <c r="H194" s="170">
        <v>1</v>
      </c>
      <c r="I194" s="170">
        <v>1</v>
      </c>
      <c r="J194" s="170">
        <v>1</v>
      </c>
      <c r="K194" s="170">
        <v>1</v>
      </c>
      <c r="L194" s="170">
        <v>1</v>
      </c>
      <c r="M194" s="170">
        <v>1</v>
      </c>
      <c r="N194" s="170"/>
      <c r="O194" s="170"/>
      <c r="P194" s="170"/>
      <c r="Q194" s="180">
        <f>SUM(Tabela2[[#This Row],[G]]+Tabela2[[#This Row],[D]]+Tabela2[[#This Row],[N]]+Tabela2[[#This Row],[HM]])</f>
        <v>4</v>
      </c>
      <c r="R194" s="180">
        <f>SUM(Tabela2[[#This Row],[AO]]+Tabela2[[#This Row],[AD]]+Tabela2[[#This Row],[GWO]]+Tabela2[[#This Row],[GWD]])</f>
        <v>4</v>
      </c>
      <c r="S194" s="180">
        <f>Tabela2[[#This Row],[GWO]]+Tabela2[[#This Row],[GWD]]</f>
        <v>2</v>
      </c>
      <c r="T194" s="180">
        <f>SUM(Tabela2[[#This Row],[G]:[GWD]])</f>
        <v>8</v>
      </c>
    </row>
    <row r="195" spans="1:20" ht="30">
      <c r="A195" s="183">
        <v>194</v>
      </c>
      <c r="B195" s="170" t="s">
        <v>529</v>
      </c>
      <c r="C195" s="170" t="s">
        <v>528</v>
      </c>
      <c r="D195" s="170">
        <v>3</v>
      </c>
      <c r="E195" s="170" t="s">
        <v>272</v>
      </c>
      <c r="F195" s="170">
        <v>1</v>
      </c>
      <c r="G195" s="170">
        <v>1</v>
      </c>
      <c r="H195" s="170">
        <v>1</v>
      </c>
      <c r="I195" s="170">
        <v>1</v>
      </c>
      <c r="J195" s="170">
        <v>1</v>
      </c>
      <c r="K195" s="170">
        <v>2</v>
      </c>
      <c r="L195" s="170">
        <v>1</v>
      </c>
      <c r="M195" s="170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195</v>
      </c>
      <c r="B196" s="170" t="s">
        <v>527</v>
      </c>
      <c r="C196" s="170" t="s">
        <v>526</v>
      </c>
      <c r="D196" s="170">
        <v>3</v>
      </c>
      <c r="E196" s="170" t="s">
        <v>272</v>
      </c>
      <c r="F196" s="170">
        <v>1</v>
      </c>
      <c r="G196" s="170">
        <v>1</v>
      </c>
      <c r="H196" s="170">
        <v>1</v>
      </c>
      <c r="I196" s="170">
        <v>1</v>
      </c>
      <c r="J196" s="170">
        <v>1</v>
      </c>
      <c r="K196" s="170">
        <v>1</v>
      </c>
      <c r="L196" s="170">
        <v>1</v>
      </c>
      <c r="M196" s="170">
        <v>1</v>
      </c>
      <c r="N196" s="170"/>
      <c r="O196" s="170"/>
      <c r="P196" s="170"/>
      <c r="Q196" s="180">
        <f>SUM(Tabela2[[#This Row],[G]]+Tabela2[[#This Row],[D]]+Tabela2[[#This Row],[N]]+Tabela2[[#This Row],[HM]])</f>
        <v>4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8</v>
      </c>
    </row>
    <row r="197" spans="1:20">
      <c r="A197" s="183">
        <v>196</v>
      </c>
      <c r="B197" s="170" t="s">
        <v>525</v>
      </c>
      <c r="C197" s="170" t="s">
        <v>284</v>
      </c>
      <c r="D197" s="170">
        <v>3</v>
      </c>
      <c r="E197" s="170" t="s">
        <v>272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70"/>
      <c r="Q197" s="180">
        <f>SUM(Tabela2[[#This Row],[G]]+Tabela2[[#This Row],[D]]+Tabela2[[#This Row],[N]]+Tabela2[[#This Row],[HM]])</f>
        <v>4</v>
      </c>
      <c r="R197" s="180">
        <f>SUM(Tabela2[[#This Row],[AO]]+Tabela2[[#This Row],[AD]]+Tabela2[[#This Row],[GWO]]+Tabela2[[#This Row],[GWD]])</f>
        <v>4</v>
      </c>
      <c r="S197" s="180">
        <f>Tabela2[[#This Row],[GWO]]+Tabela2[[#This Row],[GWD]]</f>
        <v>2</v>
      </c>
      <c r="T197" s="180">
        <f>SUM(Tabela2[[#This Row],[G]:[GWD]])</f>
        <v>8</v>
      </c>
    </row>
    <row r="198" spans="1:20">
      <c r="A198" s="183">
        <v>197</v>
      </c>
      <c r="B198" s="170" t="s">
        <v>145</v>
      </c>
      <c r="C198" s="170" t="s">
        <v>267</v>
      </c>
      <c r="D198" s="170">
        <v>3</v>
      </c>
      <c r="E198" s="170" t="s">
        <v>272</v>
      </c>
      <c r="F198" s="170">
        <v>4</v>
      </c>
      <c r="G198" s="170">
        <v>2</v>
      </c>
      <c r="H198" s="170">
        <v>1</v>
      </c>
      <c r="I198" s="170">
        <v>3</v>
      </c>
      <c r="J198" s="170">
        <v>4</v>
      </c>
      <c r="K198" s="170">
        <v>3</v>
      </c>
      <c r="L198" s="170">
        <v>4</v>
      </c>
      <c r="M198" s="170">
        <v>4</v>
      </c>
      <c r="N198" s="170"/>
      <c r="O198" s="170" t="s">
        <v>204</v>
      </c>
      <c r="P198" s="170"/>
      <c r="Q198" s="180">
        <f>SUM(Tabela2[[#This Row],[G]]+Tabela2[[#This Row],[D]]+Tabela2[[#This Row],[N]]+Tabela2[[#This Row],[HM]])</f>
        <v>10</v>
      </c>
      <c r="R198" s="180">
        <f>SUM(Tabela2[[#This Row],[AO]]+Tabela2[[#This Row],[AD]]+Tabela2[[#This Row],[GWO]]+Tabela2[[#This Row],[GWD]])</f>
        <v>15</v>
      </c>
      <c r="S198" s="180">
        <f>Tabela2[[#This Row],[GWO]]+Tabela2[[#This Row],[GWD]]</f>
        <v>8</v>
      </c>
      <c r="T198" s="180">
        <f>SUM(Tabela2[[#This Row],[G]:[GWD]])</f>
        <v>25</v>
      </c>
    </row>
    <row r="199" spans="1:20">
      <c r="A199" s="183">
        <v>198</v>
      </c>
      <c r="B199" s="170" t="s">
        <v>524</v>
      </c>
      <c r="C199" s="170" t="s">
        <v>523</v>
      </c>
      <c r="D199" s="170">
        <v>3</v>
      </c>
      <c r="E199" s="170" t="s">
        <v>272</v>
      </c>
      <c r="F199" s="170">
        <v>1</v>
      </c>
      <c r="G199" s="170">
        <v>1</v>
      </c>
      <c r="H199" s="170">
        <v>1</v>
      </c>
      <c r="I199" s="170">
        <v>1</v>
      </c>
      <c r="J199" s="170">
        <v>1</v>
      </c>
      <c r="K199" s="170">
        <v>1</v>
      </c>
      <c r="L199" s="170">
        <v>1</v>
      </c>
      <c r="M199" s="170">
        <v>1</v>
      </c>
      <c r="N199" s="170"/>
      <c r="O199" s="170"/>
      <c r="P199" s="170"/>
      <c r="Q199" s="180">
        <f>SUM(Tabela2[[#This Row],[G]]+Tabela2[[#This Row],[D]]+Tabela2[[#This Row],[N]]+Tabela2[[#This Row],[HM]])</f>
        <v>4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8</v>
      </c>
    </row>
    <row r="200" spans="1:20">
      <c r="A200" s="183">
        <v>199</v>
      </c>
      <c r="B200" s="170" t="s">
        <v>522</v>
      </c>
      <c r="C200" s="170" t="s">
        <v>521</v>
      </c>
      <c r="D200" s="170">
        <v>3</v>
      </c>
      <c r="E200" s="170" t="s">
        <v>272</v>
      </c>
      <c r="F200" s="170">
        <v>1</v>
      </c>
      <c r="G200" s="170">
        <v>2</v>
      </c>
      <c r="H200" s="170">
        <v>4</v>
      </c>
      <c r="I200" s="170">
        <v>3</v>
      </c>
      <c r="J200" s="170">
        <v>4</v>
      </c>
      <c r="K200" s="170">
        <v>1</v>
      </c>
      <c r="L200" s="170">
        <v>4</v>
      </c>
      <c r="M200" s="170">
        <v>3</v>
      </c>
      <c r="N200" s="170"/>
      <c r="O200" s="170"/>
      <c r="P200" s="194" t="s">
        <v>204</v>
      </c>
      <c r="Q200" s="180">
        <f>SUM(Tabela2[[#This Row],[G]]+Tabela2[[#This Row],[D]]+Tabela2[[#This Row],[N]]+Tabela2[[#This Row],[HM]])</f>
        <v>8</v>
      </c>
      <c r="R200" s="180">
        <f>SUM(Tabela2[[#This Row],[AO]]+Tabela2[[#This Row],[AD]]+Tabela2[[#This Row],[GWO]]+Tabela2[[#This Row],[GWD]])</f>
        <v>14</v>
      </c>
      <c r="S200" s="180">
        <f>Tabela2[[#This Row],[GWO]]+Tabela2[[#This Row],[GWD]]</f>
        <v>7</v>
      </c>
      <c r="T200" s="180">
        <f>SUM(Tabela2[[#This Row],[G]:[GWD]])</f>
        <v>22</v>
      </c>
    </row>
    <row r="201" spans="1:20">
      <c r="A201" s="183">
        <v>200</v>
      </c>
      <c r="B201" s="176" t="s">
        <v>520</v>
      </c>
      <c r="C201" s="175" t="s">
        <v>419</v>
      </c>
      <c r="D201" s="175">
        <v>4</v>
      </c>
      <c r="E201" s="175" t="s">
        <v>18</v>
      </c>
      <c r="F201" s="175">
        <v>1</v>
      </c>
      <c r="G201" s="175">
        <v>3</v>
      </c>
      <c r="H201" s="175">
        <v>3</v>
      </c>
      <c r="I201" s="175">
        <v>3</v>
      </c>
      <c r="J201" s="175">
        <v>1</v>
      </c>
      <c r="K201" s="175">
        <v>1</v>
      </c>
      <c r="L201" s="175">
        <v>3</v>
      </c>
      <c r="M201" s="175">
        <v>1</v>
      </c>
      <c r="N201" s="170"/>
      <c r="O201" s="170"/>
      <c r="P201" s="170"/>
      <c r="Q201" s="180">
        <f>SUM(Tabela2[[#This Row],[G]]+Tabela2[[#This Row],[D]]+Tabela2[[#This Row],[N]]+Tabela2[[#This Row],[HM]])</f>
        <v>8</v>
      </c>
      <c r="R201" s="180">
        <f>SUM(Tabela2[[#This Row],[AO]]+Tabela2[[#This Row],[AD]]+Tabela2[[#This Row],[GWO]]+Tabela2[[#This Row],[GWD]])</f>
        <v>8</v>
      </c>
      <c r="S201" s="180">
        <f>Tabela2[[#This Row],[GWO]]+Tabela2[[#This Row],[GWD]]</f>
        <v>4</v>
      </c>
      <c r="T201" s="180">
        <f>SUM(Tabela2[[#This Row],[G]:[GWD]])</f>
        <v>16</v>
      </c>
    </row>
    <row r="202" spans="1:20" ht="30">
      <c r="A202" s="183">
        <v>201</v>
      </c>
      <c r="B202" s="176" t="s">
        <v>519</v>
      </c>
      <c r="C202" s="175" t="s">
        <v>441</v>
      </c>
      <c r="D202" s="175">
        <v>4</v>
      </c>
      <c r="E202" s="175" t="s">
        <v>18</v>
      </c>
      <c r="F202" s="175">
        <v>1</v>
      </c>
      <c r="G202" s="175">
        <v>1</v>
      </c>
      <c r="H202" s="175">
        <v>2</v>
      </c>
      <c r="I202" s="175">
        <v>3</v>
      </c>
      <c r="J202" s="175">
        <v>1</v>
      </c>
      <c r="K202" s="175">
        <v>1</v>
      </c>
      <c r="L202" s="175">
        <v>3</v>
      </c>
      <c r="M202" s="175">
        <v>1</v>
      </c>
      <c r="N202" s="170"/>
      <c r="O202" s="170"/>
      <c r="P202" s="170"/>
      <c r="Q202" s="180">
        <f>SUM(Tabela2[[#This Row],[G]]+Tabela2[[#This Row],[D]]+Tabela2[[#This Row],[N]]+Tabela2[[#This Row],[HM]])</f>
        <v>5</v>
      </c>
      <c r="R202" s="180">
        <f>SUM(Tabela2[[#This Row],[AO]]+Tabela2[[#This Row],[AD]]+Tabela2[[#This Row],[GWO]]+Tabela2[[#This Row],[GWD]])</f>
        <v>8</v>
      </c>
      <c r="S202" s="180">
        <f>Tabela2[[#This Row],[GWO]]+Tabela2[[#This Row],[GWD]]</f>
        <v>4</v>
      </c>
      <c r="T202" s="180">
        <f>SUM(Tabela2[[#This Row],[G]:[GWD]])</f>
        <v>13</v>
      </c>
    </row>
    <row r="203" spans="1:20" ht="30">
      <c r="A203" s="183">
        <v>202</v>
      </c>
      <c r="B203" s="175" t="s">
        <v>518</v>
      </c>
      <c r="C203" s="175" t="s">
        <v>415</v>
      </c>
      <c r="D203" s="175">
        <v>4</v>
      </c>
      <c r="E203" s="175" t="s">
        <v>18</v>
      </c>
      <c r="F203" s="175">
        <v>1</v>
      </c>
      <c r="G203" s="175">
        <v>1</v>
      </c>
      <c r="H203" s="175">
        <v>1</v>
      </c>
      <c r="I203" s="175">
        <v>2</v>
      </c>
      <c r="J203" s="175">
        <v>3</v>
      </c>
      <c r="K203" s="175">
        <v>3</v>
      </c>
      <c r="L203" s="175">
        <v>3</v>
      </c>
      <c r="M203" s="175">
        <v>3</v>
      </c>
      <c r="N203" s="170"/>
      <c r="O203" s="170"/>
      <c r="P203" s="170"/>
      <c r="Q203" s="180">
        <f>SUM(Tabela2[[#This Row],[G]]+Tabela2[[#This Row],[D]]+Tabela2[[#This Row],[N]]+Tabela2[[#This Row],[HM]])</f>
        <v>6</v>
      </c>
      <c r="R203" s="180">
        <f>SUM(Tabela2[[#This Row],[AO]]+Tabela2[[#This Row],[AD]]+Tabela2[[#This Row],[GWO]]+Tabela2[[#This Row],[GWD]])</f>
        <v>11</v>
      </c>
      <c r="S203" s="180">
        <f>Tabela2[[#This Row],[GWO]]+Tabela2[[#This Row],[GWD]]</f>
        <v>6</v>
      </c>
      <c r="T203" s="180">
        <f>SUM(Tabela2[[#This Row],[G]:[GWD]])</f>
        <v>17</v>
      </c>
    </row>
    <row r="204" spans="1:20" ht="30">
      <c r="A204" s="183">
        <v>203</v>
      </c>
      <c r="B204" s="175" t="s">
        <v>517</v>
      </c>
      <c r="C204" s="175" t="s">
        <v>357</v>
      </c>
      <c r="D204" s="175">
        <v>4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2</v>
      </c>
      <c r="J204" s="175">
        <v>2</v>
      </c>
      <c r="K204" s="175">
        <v>1</v>
      </c>
      <c r="L204" s="175">
        <v>4</v>
      </c>
      <c r="M204" s="175">
        <v>3</v>
      </c>
      <c r="N204" s="170"/>
      <c r="O204" s="170" t="s">
        <v>204</v>
      </c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11</v>
      </c>
      <c r="S204" s="180">
        <f>Tabela2[[#This Row],[GWO]]+Tabela2[[#This Row],[GWD]]</f>
        <v>7</v>
      </c>
      <c r="T204" s="180">
        <f>SUM(Tabela2[[#This Row],[G]:[GWD]])</f>
        <v>15</v>
      </c>
    </row>
    <row r="205" spans="1:20" ht="30">
      <c r="A205" s="183">
        <v>204</v>
      </c>
      <c r="B205" s="175" t="s">
        <v>516</v>
      </c>
      <c r="C205" s="175" t="s">
        <v>412</v>
      </c>
      <c r="D205" s="175">
        <v>4</v>
      </c>
      <c r="E205" s="175" t="s">
        <v>18</v>
      </c>
      <c r="F205" s="175">
        <v>1</v>
      </c>
      <c r="G205" s="175">
        <v>1</v>
      </c>
      <c r="H205" s="175">
        <v>1</v>
      </c>
      <c r="I205" s="175">
        <v>3</v>
      </c>
      <c r="J205" s="175">
        <v>5</v>
      </c>
      <c r="K205" s="175">
        <v>3</v>
      </c>
      <c r="L205" s="175">
        <v>4</v>
      </c>
      <c r="M205" s="175">
        <v>4</v>
      </c>
      <c r="N205" s="170"/>
      <c r="O205" s="170"/>
      <c r="P205" s="170"/>
      <c r="Q205" s="180">
        <f>SUM(Tabela2[[#This Row],[G]]+Tabela2[[#This Row],[D]]+Tabela2[[#This Row],[N]]+Tabela2[[#This Row],[HM]])</f>
        <v>6</v>
      </c>
      <c r="R205" s="180">
        <f>SUM(Tabela2[[#This Row],[AO]]+Tabela2[[#This Row],[AD]]+Tabela2[[#This Row],[GWO]]+Tabela2[[#This Row],[GWD]])</f>
        <v>16</v>
      </c>
      <c r="S205" s="180">
        <f>Tabela2[[#This Row],[GWO]]+Tabela2[[#This Row],[GWD]]</f>
        <v>8</v>
      </c>
      <c r="T205" s="180">
        <f>SUM(Tabela2[[#This Row],[G]:[GWD]])</f>
        <v>22</v>
      </c>
    </row>
    <row r="206" spans="1:20">
      <c r="A206" s="183">
        <v>205</v>
      </c>
      <c r="B206" s="175" t="s">
        <v>515</v>
      </c>
      <c r="C206" s="175" t="s">
        <v>210</v>
      </c>
      <c r="D206" s="175">
        <v>4</v>
      </c>
      <c r="E206" s="175" t="s">
        <v>18</v>
      </c>
      <c r="F206" s="175">
        <v>1</v>
      </c>
      <c r="G206" s="175">
        <v>1</v>
      </c>
      <c r="H206" s="175">
        <v>1</v>
      </c>
      <c r="I206" s="175">
        <v>3</v>
      </c>
      <c r="J206" s="175">
        <v>1</v>
      </c>
      <c r="K206" s="175">
        <v>1</v>
      </c>
      <c r="L206" s="175">
        <v>3</v>
      </c>
      <c r="M206" s="175">
        <v>1</v>
      </c>
      <c r="N206" s="175" t="s">
        <v>445</v>
      </c>
      <c r="O206" s="175"/>
      <c r="P206" s="175"/>
      <c r="Q206" s="184">
        <f>SUM(Tabela2[[#This Row],[G]]+Tabela2[[#This Row],[D]]+Tabela2[[#This Row],[N]]+Tabela2[[#This Row],[HM]])</f>
        <v>4</v>
      </c>
      <c r="R206" s="184">
        <f>SUM(Tabela2[[#This Row],[AO]]+Tabela2[[#This Row],[AD]]+Tabela2[[#This Row],[GWO]]+Tabela2[[#This Row],[GWD]])</f>
        <v>8</v>
      </c>
      <c r="S206" s="184">
        <f>Tabela2[[#This Row],[GWO]]+Tabela2[[#This Row],[GWD]]</f>
        <v>4</v>
      </c>
      <c r="T206" s="180">
        <f>SUM(Tabela2[[#This Row],[G]:[GWD]])</f>
        <v>12</v>
      </c>
    </row>
    <row r="207" spans="1:20" ht="30">
      <c r="A207" s="183">
        <v>206</v>
      </c>
      <c r="B207" s="175" t="s">
        <v>514</v>
      </c>
      <c r="C207" s="175" t="s">
        <v>409</v>
      </c>
      <c r="D207" s="175">
        <v>4</v>
      </c>
      <c r="E207" s="175" t="s">
        <v>18</v>
      </c>
      <c r="F207" s="175">
        <v>1</v>
      </c>
      <c r="G207" s="175">
        <v>1</v>
      </c>
      <c r="H207" s="175">
        <v>4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7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11</v>
      </c>
    </row>
    <row r="208" spans="1:20" ht="30">
      <c r="A208" s="183">
        <v>207</v>
      </c>
      <c r="B208" s="175" t="s">
        <v>513</v>
      </c>
      <c r="C208" s="175" t="s">
        <v>407</v>
      </c>
      <c r="D208" s="175">
        <v>4</v>
      </c>
      <c r="E208" s="175" t="s">
        <v>18</v>
      </c>
      <c r="F208" s="175">
        <v>1</v>
      </c>
      <c r="G208" s="175">
        <v>1</v>
      </c>
      <c r="H208" s="175">
        <v>3</v>
      </c>
      <c r="I208" s="175">
        <v>1</v>
      </c>
      <c r="J208" s="175">
        <v>1</v>
      </c>
      <c r="K208" s="175">
        <v>1</v>
      </c>
      <c r="L208" s="175">
        <v>1</v>
      </c>
      <c r="M208" s="175">
        <v>1</v>
      </c>
      <c r="N208" s="170"/>
      <c r="O208" s="170"/>
      <c r="P208" s="170"/>
      <c r="Q208" s="180">
        <f>SUM(Tabela2[[#This Row],[G]]+Tabela2[[#This Row],[D]]+Tabela2[[#This Row],[N]]+Tabela2[[#This Row],[HM]])</f>
        <v>6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10</v>
      </c>
    </row>
    <row r="209" spans="1:20">
      <c r="A209" s="183">
        <v>208</v>
      </c>
      <c r="B209" s="175" t="s">
        <v>512</v>
      </c>
      <c r="C209" s="175" t="s">
        <v>405</v>
      </c>
      <c r="D209" s="175">
        <v>4</v>
      </c>
      <c r="E209" s="175" t="s">
        <v>18</v>
      </c>
      <c r="F209" s="175">
        <v>1</v>
      </c>
      <c r="G209" s="175">
        <v>1</v>
      </c>
      <c r="H209" s="175">
        <v>1</v>
      </c>
      <c r="I209" s="175">
        <v>1</v>
      </c>
      <c r="J209" s="175">
        <v>1</v>
      </c>
      <c r="K209" s="175">
        <v>1</v>
      </c>
      <c r="L209" s="175">
        <v>1</v>
      </c>
      <c r="M209" s="175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 ht="30">
      <c r="A210" s="183">
        <v>209</v>
      </c>
      <c r="B210" s="175" t="s">
        <v>511</v>
      </c>
      <c r="C210" s="175" t="s">
        <v>403</v>
      </c>
      <c r="D210" s="175">
        <v>4</v>
      </c>
      <c r="E210" s="175" t="s">
        <v>18</v>
      </c>
      <c r="F210" s="175">
        <v>1</v>
      </c>
      <c r="G210" s="175">
        <v>2</v>
      </c>
      <c r="H210" s="175">
        <v>2</v>
      </c>
      <c r="I210" s="175">
        <v>3</v>
      </c>
      <c r="J210" s="175">
        <v>1</v>
      </c>
      <c r="K210" s="175">
        <v>1</v>
      </c>
      <c r="L210" s="175">
        <v>3</v>
      </c>
      <c r="M210" s="175">
        <v>1</v>
      </c>
      <c r="N210" s="170"/>
      <c r="O210" s="170"/>
      <c r="P210" s="170"/>
      <c r="Q210" s="180">
        <f>SUM(Tabela2[[#This Row],[G]]+Tabela2[[#This Row],[D]]+Tabela2[[#This Row],[N]]+Tabela2[[#This Row],[HM]])</f>
        <v>6</v>
      </c>
      <c r="R210" s="180">
        <f>SUM(Tabela2[[#This Row],[AO]]+Tabela2[[#This Row],[AD]]+Tabela2[[#This Row],[GWO]]+Tabela2[[#This Row],[GWD]])</f>
        <v>8</v>
      </c>
      <c r="S210" s="180">
        <f>Tabela2[[#This Row],[GWO]]+Tabela2[[#This Row],[GWD]]</f>
        <v>4</v>
      </c>
      <c r="T210" s="180">
        <f>SUM(Tabela2[[#This Row],[G]:[GWD]])</f>
        <v>14</v>
      </c>
    </row>
    <row r="211" spans="1:20">
      <c r="A211" s="183">
        <v>210</v>
      </c>
      <c r="B211" s="175" t="s">
        <v>510</v>
      </c>
      <c r="C211" s="175" t="s">
        <v>398</v>
      </c>
      <c r="D211" s="175">
        <v>4</v>
      </c>
      <c r="E211" s="175" t="s">
        <v>18</v>
      </c>
      <c r="F211" s="175">
        <v>1</v>
      </c>
      <c r="G211" s="175">
        <v>3</v>
      </c>
      <c r="H211" s="175">
        <v>1</v>
      </c>
      <c r="I211" s="175">
        <v>3</v>
      </c>
      <c r="J211" s="175">
        <v>3</v>
      </c>
      <c r="K211" s="175">
        <v>2</v>
      </c>
      <c r="L211" s="175">
        <v>3</v>
      </c>
      <c r="M211" s="175">
        <v>2</v>
      </c>
      <c r="N211" s="170"/>
      <c r="O211" s="170"/>
      <c r="P211" s="170"/>
      <c r="Q211" s="180">
        <f>SUM(Tabela2[[#This Row],[G]]+Tabela2[[#This Row],[D]]+Tabela2[[#This Row],[N]]+Tabela2[[#This Row],[HM]])</f>
        <v>7</v>
      </c>
      <c r="R211" s="180">
        <f>SUM(Tabela2[[#This Row],[AO]]+Tabela2[[#This Row],[AD]]+Tabela2[[#This Row],[GWO]]+Tabela2[[#This Row],[GWD]])</f>
        <v>11</v>
      </c>
      <c r="S211" s="180">
        <f>Tabela2[[#This Row],[GWO]]+Tabela2[[#This Row],[GWD]]</f>
        <v>5</v>
      </c>
      <c r="T211" s="180">
        <f>SUM(Tabela2[[#This Row],[G]:[GWD]])</f>
        <v>18</v>
      </c>
    </row>
    <row r="212" spans="1:20" ht="30">
      <c r="A212" s="183">
        <v>211</v>
      </c>
      <c r="B212" s="175" t="s">
        <v>509</v>
      </c>
      <c r="C212" s="175" t="s">
        <v>396</v>
      </c>
      <c r="D212" s="175">
        <v>4</v>
      </c>
      <c r="E212" s="175" t="s">
        <v>18</v>
      </c>
      <c r="F212" s="175">
        <v>1</v>
      </c>
      <c r="G212" s="175">
        <v>4</v>
      </c>
      <c r="H212" s="175">
        <v>3</v>
      </c>
      <c r="I212" s="175">
        <v>3</v>
      </c>
      <c r="J212" s="175">
        <v>2</v>
      </c>
      <c r="K212" s="175">
        <v>1</v>
      </c>
      <c r="L212" s="175">
        <v>3</v>
      </c>
      <c r="M212" s="175">
        <v>2</v>
      </c>
      <c r="N212" s="170"/>
      <c r="O212" s="170"/>
      <c r="P212" s="170"/>
      <c r="Q212" s="180">
        <f>SUM(Tabela2[[#This Row],[G]]+Tabela2[[#This Row],[D]]+Tabela2[[#This Row],[N]]+Tabela2[[#This Row],[HM]])</f>
        <v>9</v>
      </c>
      <c r="R212" s="180">
        <f>SUM(Tabela2[[#This Row],[AO]]+Tabela2[[#This Row],[AD]]+Tabela2[[#This Row],[GWO]]+Tabela2[[#This Row],[GWD]])</f>
        <v>10</v>
      </c>
      <c r="S212" s="180">
        <f>Tabela2[[#This Row],[GWO]]+Tabela2[[#This Row],[GWD]]</f>
        <v>5</v>
      </c>
      <c r="T212" s="180">
        <f>SUM(Tabela2[[#This Row],[G]:[GWD]])</f>
        <v>19</v>
      </c>
    </row>
    <row r="213" spans="1:20" ht="30">
      <c r="A213" s="183">
        <v>212</v>
      </c>
      <c r="B213" s="175" t="s">
        <v>508</v>
      </c>
      <c r="C213" s="175" t="s">
        <v>394</v>
      </c>
      <c r="D213" s="175">
        <v>4</v>
      </c>
      <c r="E213" s="175" t="s">
        <v>18</v>
      </c>
      <c r="F213" s="175">
        <v>1</v>
      </c>
      <c r="G213" s="175">
        <v>3</v>
      </c>
      <c r="H213" s="175">
        <v>3</v>
      </c>
      <c r="I213" s="175">
        <v>3</v>
      </c>
      <c r="J213" s="175">
        <v>1</v>
      </c>
      <c r="K213" s="175">
        <v>1</v>
      </c>
      <c r="L213" s="175">
        <v>3</v>
      </c>
      <c r="M213" s="175">
        <v>1</v>
      </c>
      <c r="N213" s="170"/>
      <c r="O213" s="170"/>
      <c r="P213" s="170"/>
      <c r="Q213" s="180">
        <f>SUM(Tabela2[[#This Row],[G]]+Tabela2[[#This Row],[D]]+Tabela2[[#This Row],[N]]+Tabela2[[#This Row],[HM]])</f>
        <v>8</v>
      </c>
      <c r="R213" s="180">
        <f>SUM(Tabela2[[#This Row],[AO]]+Tabela2[[#This Row],[AD]]+Tabela2[[#This Row],[GWO]]+Tabela2[[#This Row],[GWD]])</f>
        <v>8</v>
      </c>
      <c r="S213" s="180">
        <f>Tabela2[[#This Row],[GWO]]+Tabela2[[#This Row],[GWD]]</f>
        <v>4</v>
      </c>
      <c r="T213" s="180">
        <f>SUM(Tabela2[[#This Row],[G]:[GWD]])</f>
        <v>16</v>
      </c>
    </row>
    <row r="214" spans="1:20" ht="30">
      <c r="A214" s="183">
        <v>213</v>
      </c>
      <c r="B214" s="175" t="s">
        <v>507</v>
      </c>
      <c r="C214" s="175" t="s">
        <v>392</v>
      </c>
      <c r="D214" s="175">
        <v>4</v>
      </c>
      <c r="E214" s="175" t="s">
        <v>18</v>
      </c>
      <c r="F214" s="175">
        <v>1</v>
      </c>
      <c r="G214" s="175">
        <v>1</v>
      </c>
      <c r="H214" s="175">
        <v>5</v>
      </c>
      <c r="I214" s="175">
        <v>3</v>
      </c>
      <c r="J214" s="175">
        <v>1</v>
      </c>
      <c r="K214" s="175">
        <v>1</v>
      </c>
      <c r="L214" s="175">
        <v>3</v>
      </c>
      <c r="M214" s="175">
        <v>1</v>
      </c>
      <c r="N214" s="173"/>
      <c r="O214" s="173"/>
      <c r="P214" s="173"/>
      <c r="Q214" s="181">
        <f>SUM(Tabela2[[#This Row],[G]]+Tabela2[[#This Row],[D]]+Tabela2[[#This Row],[N]]+Tabela2[[#This Row],[HM]])</f>
        <v>8</v>
      </c>
      <c r="R214" s="181">
        <f>SUM(Tabela2[[#This Row],[AO]]+Tabela2[[#This Row],[AD]]+Tabela2[[#This Row],[GWO]]+Tabela2[[#This Row],[GWD]])</f>
        <v>8</v>
      </c>
      <c r="S214" s="181">
        <f>Tabela2[[#This Row],[GWO]]+Tabela2[[#This Row],[GWD]]</f>
        <v>4</v>
      </c>
      <c r="T214" s="181">
        <f>SUM(Tabela2[[#This Row],[G]:[GWD]])</f>
        <v>16</v>
      </c>
    </row>
    <row r="215" spans="1:20">
      <c r="A215" s="183">
        <v>214</v>
      </c>
      <c r="B215" s="175" t="s">
        <v>506</v>
      </c>
      <c r="C215" s="175" t="s">
        <v>215</v>
      </c>
      <c r="D215" s="175">
        <v>4</v>
      </c>
      <c r="E215" s="175" t="s">
        <v>18</v>
      </c>
      <c r="F215" s="175">
        <v>1</v>
      </c>
      <c r="G215" s="175">
        <v>1</v>
      </c>
      <c r="H215" s="175">
        <v>1</v>
      </c>
      <c r="I215" s="175">
        <v>1</v>
      </c>
      <c r="J215" s="175">
        <v>1</v>
      </c>
      <c r="K215" s="175">
        <v>1</v>
      </c>
      <c r="L215" s="175">
        <v>1</v>
      </c>
      <c r="M215" s="175">
        <v>1</v>
      </c>
      <c r="N215" s="170"/>
      <c r="O215" s="170"/>
      <c r="P215" s="170"/>
      <c r="Q215" s="180">
        <f>SUM(Tabela2[[#This Row],[G]]+Tabela2[[#This Row],[D]]+Tabela2[[#This Row],[N]]+Tabela2[[#This Row],[HM]])</f>
        <v>4</v>
      </c>
      <c r="R215" s="180">
        <f>SUM(Tabela2[[#This Row],[AO]]+Tabela2[[#This Row],[AD]]+Tabela2[[#This Row],[GWO]]+Tabela2[[#This Row],[GWD]])</f>
        <v>4</v>
      </c>
      <c r="S215" s="180">
        <f>Tabela2[[#This Row],[GWO]]+Tabela2[[#This Row],[GWD]]</f>
        <v>2</v>
      </c>
      <c r="T215" s="180">
        <f>SUM(Tabela2[[#This Row],[G]:[GWD]])</f>
        <v>8</v>
      </c>
    </row>
    <row r="216" spans="1:20" ht="30">
      <c r="A216" s="183">
        <v>215</v>
      </c>
      <c r="B216" s="175" t="s">
        <v>505</v>
      </c>
      <c r="C216" s="175" t="s">
        <v>344</v>
      </c>
      <c r="D216" s="175">
        <v>4</v>
      </c>
      <c r="E216" s="175" t="s">
        <v>18</v>
      </c>
      <c r="F216" s="175">
        <v>1</v>
      </c>
      <c r="G216" s="175">
        <v>2</v>
      </c>
      <c r="H216" s="175">
        <v>1</v>
      </c>
      <c r="I216" s="175">
        <v>3</v>
      </c>
      <c r="J216" s="175">
        <v>1</v>
      </c>
      <c r="K216" s="175">
        <v>1</v>
      </c>
      <c r="L216" s="175">
        <v>4</v>
      </c>
      <c r="M216" s="175">
        <v>1</v>
      </c>
      <c r="N216" s="170"/>
      <c r="O216" s="170"/>
      <c r="P216" s="170"/>
      <c r="Q216" s="180">
        <f>SUM(Tabela2[[#This Row],[G]]+Tabela2[[#This Row],[D]]+Tabela2[[#This Row],[N]]+Tabela2[[#This Row],[HM]])</f>
        <v>5</v>
      </c>
      <c r="R216" s="180">
        <f>SUM(Tabela2[[#This Row],[AO]]+Tabela2[[#This Row],[AD]]+Tabela2[[#This Row],[GWO]]+Tabela2[[#This Row],[GWD]])</f>
        <v>9</v>
      </c>
      <c r="S216" s="180">
        <f>Tabela2[[#This Row],[GWO]]+Tabela2[[#This Row],[GWD]]</f>
        <v>5</v>
      </c>
      <c r="T216" s="180">
        <f>SUM(Tabela2[[#This Row],[G]:[GWD]])</f>
        <v>14</v>
      </c>
    </row>
    <row r="217" spans="1:20">
      <c r="A217" s="183">
        <v>216</v>
      </c>
      <c r="B217" s="175" t="s">
        <v>504</v>
      </c>
      <c r="C217" s="175" t="s">
        <v>388</v>
      </c>
      <c r="D217" s="175">
        <v>4</v>
      </c>
      <c r="E217" s="175" t="s">
        <v>18</v>
      </c>
      <c r="F217" s="175">
        <v>1</v>
      </c>
      <c r="G217" s="175">
        <v>3</v>
      </c>
      <c r="H217" s="175">
        <v>3</v>
      </c>
      <c r="I217" s="175">
        <v>3</v>
      </c>
      <c r="J217" s="175">
        <v>1</v>
      </c>
      <c r="K217" s="175">
        <v>2</v>
      </c>
      <c r="L217" s="175">
        <v>2</v>
      </c>
      <c r="M217" s="175">
        <v>1</v>
      </c>
      <c r="N217" s="170"/>
      <c r="O217" s="170"/>
      <c r="P217" s="170"/>
      <c r="Q217" s="180">
        <f>SUM(Tabela2[[#This Row],[G]]+Tabela2[[#This Row],[D]]+Tabela2[[#This Row],[N]]+Tabela2[[#This Row],[HM]])</f>
        <v>9</v>
      </c>
      <c r="R217" s="180">
        <f>SUM(Tabela2[[#This Row],[AO]]+Tabela2[[#This Row],[AD]]+Tabela2[[#This Row],[GWO]]+Tabela2[[#This Row],[GWD]])</f>
        <v>7</v>
      </c>
      <c r="S217" s="180">
        <f>Tabela2[[#This Row],[GWO]]+Tabela2[[#This Row],[GWD]]</f>
        <v>3</v>
      </c>
      <c r="T217" s="180">
        <f>SUM(Tabela2[[#This Row],[G]:[GWD]])</f>
        <v>16</v>
      </c>
    </row>
    <row r="218" spans="1:20" ht="30">
      <c r="A218" s="183">
        <v>217</v>
      </c>
      <c r="B218" s="175" t="s">
        <v>503</v>
      </c>
      <c r="C218" s="175" t="s">
        <v>386</v>
      </c>
      <c r="D218" s="175">
        <v>4</v>
      </c>
      <c r="E218" s="175" t="s">
        <v>18</v>
      </c>
      <c r="F218" s="175">
        <v>1</v>
      </c>
      <c r="G218" s="175">
        <v>1</v>
      </c>
      <c r="H218" s="175">
        <v>1</v>
      </c>
      <c r="I218" s="175">
        <v>2</v>
      </c>
      <c r="J218" s="175">
        <v>1</v>
      </c>
      <c r="K218" s="175">
        <v>1</v>
      </c>
      <c r="L218" s="175">
        <v>3</v>
      </c>
      <c r="M218" s="175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7</v>
      </c>
      <c r="S218" s="180">
        <f>Tabela2[[#This Row],[GWO]]+Tabela2[[#This Row],[GWD]]</f>
        <v>4</v>
      </c>
      <c r="T218" s="180">
        <f>SUM(Tabela2[[#This Row],[G]:[GWD]])</f>
        <v>11</v>
      </c>
    </row>
    <row r="219" spans="1:20">
      <c r="A219" s="183">
        <v>218</v>
      </c>
      <c r="B219" s="175" t="s">
        <v>502</v>
      </c>
      <c r="C219" s="175" t="s">
        <v>384</v>
      </c>
      <c r="D219" s="175">
        <v>4</v>
      </c>
      <c r="E219" s="175" t="s">
        <v>18</v>
      </c>
      <c r="F219" s="175">
        <v>2</v>
      </c>
      <c r="G219" s="175">
        <v>5</v>
      </c>
      <c r="H219" s="175">
        <v>2</v>
      </c>
      <c r="I219" s="175">
        <v>3</v>
      </c>
      <c r="J219" s="175">
        <v>2</v>
      </c>
      <c r="K219" s="175">
        <v>4</v>
      </c>
      <c r="L219" s="175">
        <v>4</v>
      </c>
      <c r="M219" s="175">
        <v>2</v>
      </c>
      <c r="N219" s="170"/>
      <c r="O219" s="170"/>
      <c r="P219" s="170"/>
      <c r="Q219" s="180">
        <f>SUM(Tabela2[[#This Row],[G]]+Tabela2[[#This Row],[D]]+Tabela2[[#This Row],[N]]+Tabela2[[#This Row],[HM]])</f>
        <v>13</v>
      </c>
      <c r="R219" s="180">
        <f>SUM(Tabela2[[#This Row],[AO]]+Tabela2[[#This Row],[AD]]+Tabela2[[#This Row],[GWO]]+Tabela2[[#This Row],[GWD]])</f>
        <v>11</v>
      </c>
      <c r="S219" s="180">
        <f>Tabela2[[#This Row],[GWO]]+Tabela2[[#This Row],[GWD]]</f>
        <v>6</v>
      </c>
      <c r="T219" s="180">
        <f>SUM(Tabela2[[#This Row],[G]:[GWD]])</f>
        <v>24</v>
      </c>
    </row>
    <row r="220" spans="1:20">
      <c r="A220" s="183">
        <v>219</v>
      </c>
      <c r="B220" s="175" t="s">
        <v>501</v>
      </c>
      <c r="C220" s="175" t="s">
        <v>382</v>
      </c>
      <c r="D220" s="175">
        <v>4</v>
      </c>
      <c r="E220" s="175" t="s">
        <v>18</v>
      </c>
      <c r="F220" s="175">
        <v>1</v>
      </c>
      <c r="G220" s="175">
        <v>1</v>
      </c>
      <c r="H220" s="175">
        <v>1</v>
      </c>
      <c r="I220" s="175">
        <v>2</v>
      </c>
      <c r="J220" s="175">
        <v>1</v>
      </c>
      <c r="K220" s="175">
        <v>1</v>
      </c>
      <c r="L220" s="175">
        <v>3</v>
      </c>
      <c r="M220" s="175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7</v>
      </c>
      <c r="S220" s="180">
        <f>Tabela2[[#This Row],[GWO]]+Tabela2[[#This Row],[GWD]]</f>
        <v>4</v>
      </c>
      <c r="T220" s="180">
        <f>SUM(Tabela2[[#This Row],[G]:[GWD]])</f>
        <v>11</v>
      </c>
    </row>
    <row r="221" spans="1:20" ht="30">
      <c r="A221" s="183">
        <v>220</v>
      </c>
      <c r="B221" s="175" t="s">
        <v>500</v>
      </c>
      <c r="C221" s="175" t="s">
        <v>451</v>
      </c>
      <c r="D221" s="175">
        <v>4</v>
      </c>
      <c r="E221" s="175" t="s">
        <v>18</v>
      </c>
      <c r="F221" s="175">
        <v>1</v>
      </c>
      <c r="G221" s="175">
        <v>1</v>
      </c>
      <c r="H221" s="175">
        <v>5</v>
      </c>
      <c r="I221" s="175">
        <v>3</v>
      </c>
      <c r="J221" s="175">
        <v>1</v>
      </c>
      <c r="K221" s="175">
        <v>1</v>
      </c>
      <c r="L221" s="175">
        <v>3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8</v>
      </c>
      <c r="R221" s="180">
        <f>SUM(Tabela2[[#This Row],[AO]]+Tabela2[[#This Row],[AD]]+Tabela2[[#This Row],[GWO]]+Tabela2[[#This Row],[GWD]])</f>
        <v>8</v>
      </c>
      <c r="S221" s="180">
        <f>Tabela2[[#This Row],[GWO]]+Tabela2[[#This Row],[GWD]]</f>
        <v>4</v>
      </c>
      <c r="T221" s="180">
        <f>SUM(Tabela2[[#This Row],[G]:[GWD]])</f>
        <v>16</v>
      </c>
    </row>
    <row r="222" spans="1:20">
      <c r="A222" s="183">
        <v>221</v>
      </c>
      <c r="B222" s="175" t="s">
        <v>499</v>
      </c>
      <c r="C222" s="175" t="s">
        <v>227</v>
      </c>
      <c r="D222" s="175">
        <v>4</v>
      </c>
      <c r="E222" s="175" t="s">
        <v>18</v>
      </c>
      <c r="F222" s="175">
        <v>1</v>
      </c>
      <c r="G222" s="175">
        <v>1</v>
      </c>
      <c r="H222" s="175">
        <v>1</v>
      </c>
      <c r="I222" s="175">
        <v>2</v>
      </c>
      <c r="J222" s="175">
        <v>1</v>
      </c>
      <c r="K222" s="175">
        <v>1</v>
      </c>
      <c r="L222" s="175">
        <v>2</v>
      </c>
      <c r="M222" s="175">
        <v>1</v>
      </c>
      <c r="N222" s="175" t="s">
        <v>445</v>
      </c>
      <c r="O222" s="175"/>
      <c r="P222" s="175"/>
      <c r="Q222" s="184">
        <f>SUM(Tabela2[[#This Row],[G]]+Tabela2[[#This Row],[D]]+Tabela2[[#This Row],[N]]+Tabela2[[#This Row],[HM]])</f>
        <v>4</v>
      </c>
      <c r="R222" s="184">
        <f>SUM(Tabela2[[#This Row],[AO]]+Tabela2[[#This Row],[AD]]+Tabela2[[#This Row],[GWO]]+Tabela2[[#This Row],[GWD]])</f>
        <v>6</v>
      </c>
      <c r="S222" s="184">
        <f>Tabela2[[#This Row],[GWO]]+Tabela2[[#This Row],[GWD]]</f>
        <v>3</v>
      </c>
      <c r="T222" s="180">
        <f>SUM(Tabela2[[#This Row],[G]:[GWD]])</f>
        <v>10</v>
      </c>
    </row>
    <row r="223" spans="1:20">
      <c r="A223" s="183">
        <v>222</v>
      </c>
      <c r="B223" s="175" t="s">
        <v>343</v>
      </c>
      <c r="C223" s="175" t="s">
        <v>225</v>
      </c>
      <c r="D223" s="175">
        <v>4</v>
      </c>
      <c r="E223" s="175" t="s">
        <v>18</v>
      </c>
      <c r="F223" s="175">
        <v>1</v>
      </c>
      <c r="G223" s="175">
        <v>4</v>
      </c>
      <c r="H223" s="175">
        <v>1</v>
      </c>
      <c r="I223" s="175">
        <v>3</v>
      </c>
      <c r="J223" s="175">
        <v>1</v>
      </c>
      <c r="K223" s="175">
        <v>5</v>
      </c>
      <c r="L223" s="175">
        <v>3</v>
      </c>
      <c r="M223" s="175">
        <v>1</v>
      </c>
      <c r="N223" s="175" t="s">
        <v>445</v>
      </c>
      <c r="O223" s="175" t="s">
        <v>204</v>
      </c>
      <c r="P223" s="175"/>
      <c r="Q223" s="184">
        <f>SUM(Tabela2[[#This Row],[G]]+Tabela2[[#This Row],[D]]+Tabela2[[#This Row],[N]]+Tabela2[[#This Row],[HM]])</f>
        <v>11</v>
      </c>
      <c r="R223" s="184">
        <f>SUM(Tabela2[[#This Row],[AO]]+Tabela2[[#This Row],[AD]]+Tabela2[[#This Row],[GWO]]+Tabela2[[#This Row],[GWD]])</f>
        <v>8</v>
      </c>
      <c r="S223" s="184">
        <f>Tabela2[[#This Row],[GWO]]+Tabela2[[#This Row],[GWD]]</f>
        <v>4</v>
      </c>
      <c r="T223" s="180">
        <f>SUM(Tabela2[[#This Row],[G]:[GWD]])</f>
        <v>19</v>
      </c>
    </row>
    <row r="224" spans="1:20">
      <c r="A224" s="183">
        <v>223</v>
      </c>
      <c r="B224" s="175" t="s">
        <v>498</v>
      </c>
      <c r="C224" s="175" t="s">
        <v>378</v>
      </c>
      <c r="D224" s="175">
        <v>4</v>
      </c>
      <c r="E224" s="175" t="s">
        <v>18</v>
      </c>
      <c r="F224" s="175">
        <v>1</v>
      </c>
      <c r="G224" s="175">
        <v>1</v>
      </c>
      <c r="H224" s="175">
        <v>1</v>
      </c>
      <c r="I224" s="175">
        <v>1</v>
      </c>
      <c r="J224" s="175">
        <v>1</v>
      </c>
      <c r="K224" s="175">
        <v>1</v>
      </c>
      <c r="L224" s="175">
        <v>1</v>
      </c>
      <c r="M224" s="175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>
      <c r="A225" s="183">
        <v>224</v>
      </c>
      <c r="B225" s="175" t="s">
        <v>497</v>
      </c>
      <c r="C225" s="175" t="s">
        <v>226</v>
      </c>
      <c r="D225" s="175">
        <v>4</v>
      </c>
      <c r="E225" s="175" t="s">
        <v>18</v>
      </c>
      <c r="F225" s="175">
        <v>1</v>
      </c>
      <c r="G225" s="175">
        <v>3</v>
      </c>
      <c r="H225" s="175">
        <v>1</v>
      </c>
      <c r="I225" s="175">
        <v>1</v>
      </c>
      <c r="J225" s="175">
        <v>1</v>
      </c>
      <c r="K225" s="175">
        <v>2</v>
      </c>
      <c r="L225" s="175">
        <v>1</v>
      </c>
      <c r="M225" s="175">
        <v>1</v>
      </c>
      <c r="N225" s="170"/>
      <c r="O225" s="170"/>
      <c r="P225" s="170"/>
      <c r="Q225" s="180">
        <f>SUM(Tabela2[[#This Row],[G]]+Tabela2[[#This Row],[D]]+Tabela2[[#This Row],[N]]+Tabela2[[#This Row],[HM]])</f>
        <v>7</v>
      </c>
      <c r="R225" s="180">
        <f>SUM(Tabela2[[#This Row],[AO]]+Tabela2[[#This Row],[AD]]+Tabela2[[#This Row],[GWO]]+Tabela2[[#This Row],[GWD]])</f>
        <v>4</v>
      </c>
      <c r="S225" s="180">
        <f>Tabela2[[#This Row],[GWO]]+Tabela2[[#This Row],[GWD]]</f>
        <v>2</v>
      </c>
      <c r="T225" s="180">
        <f>SUM(Tabela2[[#This Row],[G]:[GWD]])</f>
        <v>11</v>
      </c>
    </row>
    <row r="226" spans="1:20">
      <c r="A226" s="183">
        <v>225</v>
      </c>
      <c r="B226" s="175" t="s">
        <v>496</v>
      </c>
      <c r="C226" s="175" t="s">
        <v>184</v>
      </c>
      <c r="D226" s="175">
        <v>4</v>
      </c>
      <c r="E226" s="175" t="s">
        <v>18</v>
      </c>
      <c r="F226" s="175">
        <v>3</v>
      </c>
      <c r="G226" s="175">
        <v>5</v>
      </c>
      <c r="H226" s="175">
        <v>3</v>
      </c>
      <c r="I226" s="175">
        <v>5</v>
      </c>
      <c r="J226" s="175">
        <v>5</v>
      </c>
      <c r="K226" s="175">
        <v>5</v>
      </c>
      <c r="L226" s="175">
        <v>4</v>
      </c>
      <c r="M226" s="175">
        <v>5</v>
      </c>
      <c r="N226" s="170"/>
      <c r="O226" s="170"/>
      <c r="P226" s="170"/>
      <c r="Q226" s="180">
        <f>SUM(Tabela2[[#This Row],[G]]+Tabela2[[#This Row],[D]]+Tabela2[[#This Row],[N]]+Tabela2[[#This Row],[HM]])</f>
        <v>16</v>
      </c>
      <c r="R226" s="180">
        <f>SUM(Tabela2[[#This Row],[AO]]+Tabela2[[#This Row],[AD]]+Tabela2[[#This Row],[GWO]]+Tabela2[[#This Row],[GWD]])</f>
        <v>19</v>
      </c>
      <c r="S226" s="180">
        <f>Tabela2[[#This Row],[GWO]]+Tabela2[[#This Row],[GWD]]</f>
        <v>9</v>
      </c>
      <c r="T226" s="180">
        <f>SUM(Tabela2[[#This Row],[G]:[GWD]])</f>
        <v>35</v>
      </c>
    </row>
    <row r="227" spans="1:20">
      <c r="A227" s="183">
        <v>226</v>
      </c>
      <c r="B227" s="174" t="s">
        <v>495</v>
      </c>
      <c r="C227" s="174" t="s">
        <v>419</v>
      </c>
      <c r="D227" s="174">
        <v>4</v>
      </c>
      <c r="E227" s="174" t="s">
        <v>249</v>
      </c>
      <c r="F227" s="174">
        <v>1</v>
      </c>
      <c r="G227" s="174">
        <v>1</v>
      </c>
      <c r="H227" s="174">
        <v>1</v>
      </c>
      <c r="I227" s="174">
        <v>1</v>
      </c>
      <c r="J227" s="174">
        <v>1</v>
      </c>
      <c r="K227" s="174">
        <v>1</v>
      </c>
      <c r="L227" s="174">
        <v>3</v>
      </c>
      <c r="M227" s="174">
        <v>1</v>
      </c>
      <c r="N227" s="170"/>
      <c r="O227" s="194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6</v>
      </c>
      <c r="S227" s="180">
        <f>Tabela2[[#This Row],[GWO]]+Tabela2[[#This Row],[GWD]]</f>
        <v>4</v>
      </c>
      <c r="T227" s="180">
        <f>SUM(Tabela2[[#This Row],[G]:[GWD]])</f>
        <v>10</v>
      </c>
    </row>
    <row r="228" spans="1:20" ht="30">
      <c r="A228" s="183">
        <v>227</v>
      </c>
      <c r="B228" s="174" t="s">
        <v>494</v>
      </c>
      <c r="C228" s="174" t="s">
        <v>441</v>
      </c>
      <c r="D228" s="174">
        <v>4</v>
      </c>
      <c r="E228" s="174" t="s">
        <v>249</v>
      </c>
      <c r="F228" s="174">
        <v>1</v>
      </c>
      <c r="G228" s="174">
        <v>3</v>
      </c>
      <c r="H228" s="174">
        <v>3</v>
      </c>
      <c r="I228" s="174">
        <v>2</v>
      </c>
      <c r="J228" s="174">
        <v>1</v>
      </c>
      <c r="K228" s="174">
        <v>1</v>
      </c>
      <c r="L228" s="174">
        <v>2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8</v>
      </c>
      <c r="R228" s="180">
        <f>SUM(Tabela2[[#This Row],[AO]]+Tabela2[[#This Row],[AD]]+Tabela2[[#This Row],[GWO]]+Tabela2[[#This Row],[GWD]])</f>
        <v>6</v>
      </c>
      <c r="S228" s="180">
        <f>Tabela2[[#This Row],[GWO]]+Tabela2[[#This Row],[GWD]]</f>
        <v>3</v>
      </c>
      <c r="T228" s="180">
        <f>SUM(Tabela2[[#This Row],[G]:[GWD]])</f>
        <v>14</v>
      </c>
    </row>
    <row r="229" spans="1:20" ht="30">
      <c r="A229" s="183">
        <v>228</v>
      </c>
      <c r="B229" s="174" t="s">
        <v>493</v>
      </c>
      <c r="C229" s="174" t="s">
        <v>415</v>
      </c>
      <c r="D229" s="174">
        <v>4</v>
      </c>
      <c r="E229" s="174" t="s">
        <v>249</v>
      </c>
      <c r="F229" s="174">
        <v>2</v>
      </c>
      <c r="G229" s="174">
        <v>3</v>
      </c>
      <c r="H229" s="174">
        <v>1</v>
      </c>
      <c r="I229" s="174">
        <v>4</v>
      </c>
      <c r="J229" s="174">
        <v>5</v>
      </c>
      <c r="K229" s="174">
        <v>1</v>
      </c>
      <c r="L229" s="174">
        <v>5</v>
      </c>
      <c r="M229" s="174">
        <v>5</v>
      </c>
      <c r="N229" s="170"/>
      <c r="O229" s="170" t="s">
        <v>204</v>
      </c>
      <c r="P229" s="170"/>
      <c r="Q229" s="180">
        <f>SUM(Tabela2[[#This Row],[G]]+Tabela2[[#This Row],[D]]+Tabela2[[#This Row],[N]]+Tabela2[[#This Row],[HM]])</f>
        <v>7</v>
      </c>
      <c r="R229" s="180">
        <f>SUM(Tabela2[[#This Row],[AO]]+Tabela2[[#This Row],[AD]]+Tabela2[[#This Row],[GWO]]+Tabela2[[#This Row],[GWD]])</f>
        <v>19</v>
      </c>
      <c r="S229" s="180">
        <f>Tabela2[[#This Row],[GWO]]+Tabela2[[#This Row],[GWD]]</f>
        <v>10</v>
      </c>
      <c r="T229" s="180">
        <f>SUM(Tabela2[[#This Row],[G]:[GWD]])</f>
        <v>26</v>
      </c>
    </row>
    <row r="230" spans="1:20" ht="30">
      <c r="A230" s="183">
        <v>229</v>
      </c>
      <c r="B230" s="174" t="s">
        <v>492</v>
      </c>
      <c r="C230" s="174" t="s">
        <v>357</v>
      </c>
      <c r="D230" s="174">
        <v>4</v>
      </c>
      <c r="E230" s="174" t="s">
        <v>249</v>
      </c>
      <c r="F230" s="174">
        <v>1</v>
      </c>
      <c r="G230" s="174">
        <v>2</v>
      </c>
      <c r="H230" s="174">
        <v>1</v>
      </c>
      <c r="I230" s="174">
        <v>2</v>
      </c>
      <c r="J230" s="174">
        <v>2</v>
      </c>
      <c r="K230" s="174">
        <v>2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6</v>
      </c>
      <c r="R230" s="180">
        <f>SUM(Tabela2[[#This Row],[AO]]+Tabela2[[#This Row],[AD]]+Tabela2[[#This Row],[GWO]]+Tabela2[[#This Row],[GWD]])</f>
        <v>6</v>
      </c>
      <c r="S230" s="180">
        <f>Tabela2[[#This Row],[GWO]]+Tabela2[[#This Row],[GWD]]</f>
        <v>2</v>
      </c>
      <c r="T230" s="180">
        <f>SUM(Tabela2[[#This Row],[G]:[GWD]])</f>
        <v>12</v>
      </c>
    </row>
    <row r="231" spans="1:20">
      <c r="A231" s="183">
        <v>230</v>
      </c>
      <c r="B231" s="174" t="s">
        <v>491</v>
      </c>
      <c r="C231" s="174" t="s">
        <v>210</v>
      </c>
      <c r="D231" s="174">
        <v>4</v>
      </c>
      <c r="E231" s="174" t="s">
        <v>249</v>
      </c>
      <c r="F231" s="174">
        <v>1</v>
      </c>
      <c r="G231" s="174">
        <v>1</v>
      </c>
      <c r="H231" s="174">
        <v>1</v>
      </c>
      <c r="I231" s="174">
        <v>2</v>
      </c>
      <c r="J231" s="174">
        <v>3</v>
      </c>
      <c r="K231" s="174">
        <v>1</v>
      </c>
      <c r="L231" s="174">
        <v>3</v>
      </c>
      <c r="M231" s="174">
        <v>4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12</v>
      </c>
      <c r="S231" s="180">
        <f>Tabela2[[#This Row],[GWO]]+Tabela2[[#This Row],[GWD]]</f>
        <v>7</v>
      </c>
      <c r="T231" s="180">
        <f>SUM(Tabela2[[#This Row],[G]:[GWD]])</f>
        <v>16</v>
      </c>
    </row>
    <row r="232" spans="1:20" ht="30">
      <c r="A232" s="183">
        <v>231</v>
      </c>
      <c r="B232" s="174" t="s">
        <v>490</v>
      </c>
      <c r="C232" s="174" t="s">
        <v>409</v>
      </c>
      <c r="D232" s="174">
        <v>4</v>
      </c>
      <c r="E232" s="174" t="s">
        <v>249</v>
      </c>
      <c r="F232" s="174">
        <v>1</v>
      </c>
      <c r="G232" s="174">
        <v>1</v>
      </c>
      <c r="H232" s="174">
        <v>3</v>
      </c>
      <c r="I232" s="174">
        <v>4</v>
      </c>
      <c r="J232" s="174">
        <v>1</v>
      </c>
      <c r="K232" s="174">
        <v>3</v>
      </c>
      <c r="L232" s="174">
        <v>3</v>
      </c>
      <c r="M232" s="174">
        <v>1</v>
      </c>
      <c r="N232" s="170"/>
      <c r="O232" s="170"/>
      <c r="P232" s="170"/>
      <c r="Q232" s="180">
        <f>SUM(Tabela2[[#This Row],[G]]+Tabela2[[#This Row],[D]]+Tabela2[[#This Row],[N]]+Tabela2[[#This Row],[HM]])</f>
        <v>8</v>
      </c>
      <c r="R232" s="180">
        <f>SUM(Tabela2[[#This Row],[AO]]+Tabela2[[#This Row],[AD]]+Tabela2[[#This Row],[GWO]]+Tabela2[[#This Row],[GWD]])</f>
        <v>9</v>
      </c>
      <c r="S232" s="180">
        <f>Tabela2[[#This Row],[GWO]]+Tabela2[[#This Row],[GWD]]</f>
        <v>4</v>
      </c>
      <c r="T232" s="180">
        <f>SUM(Tabela2[[#This Row],[G]:[GWD]])</f>
        <v>17</v>
      </c>
    </row>
    <row r="233" spans="1:20" ht="30">
      <c r="A233" s="183">
        <v>232</v>
      </c>
      <c r="B233" s="174" t="s">
        <v>489</v>
      </c>
      <c r="C233" s="174" t="s">
        <v>407</v>
      </c>
      <c r="D233" s="174">
        <v>4</v>
      </c>
      <c r="E233" s="174" t="s">
        <v>249</v>
      </c>
      <c r="F233" s="174">
        <v>1</v>
      </c>
      <c r="G233" s="174">
        <v>1</v>
      </c>
      <c r="H233" s="174">
        <v>3</v>
      </c>
      <c r="I233" s="174">
        <v>2</v>
      </c>
      <c r="J233" s="174">
        <v>1</v>
      </c>
      <c r="K233" s="174">
        <v>1</v>
      </c>
      <c r="L233" s="174">
        <v>2</v>
      </c>
      <c r="M233" s="174">
        <v>1</v>
      </c>
      <c r="N233" s="170"/>
      <c r="O233" s="170"/>
      <c r="P233" s="170"/>
      <c r="Q233" s="180">
        <f>SUM(Tabela2[[#This Row],[G]]+Tabela2[[#This Row],[D]]+Tabela2[[#This Row],[N]]+Tabela2[[#This Row],[HM]])</f>
        <v>6</v>
      </c>
      <c r="R233" s="180">
        <f>SUM(Tabela2[[#This Row],[AO]]+Tabela2[[#This Row],[AD]]+Tabela2[[#This Row],[GWO]]+Tabela2[[#This Row],[GWD]])</f>
        <v>6</v>
      </c>
      <c r="S233" s="180">
        <f>Tabela2[[#This Row],[GWO]]+Tabela2[[#This Row],[GWD]]</f>
        <v>3</v>
      </c>
      <c r="T233" s="180">
        <f>SUM(Tabela2[[#This Row],[G]:[GWD]])</f>
        <v>12</v>
      </c>
    </row>
    <row r="234" spans="1:20">
      <c r="A234" s="183">
        <v>233</v>
      </c>
      <c r="B234" s="174" t="s">
        <v>488</v>
      </c>
      <c r="C234" s="174" t="s">
        <v>405</v>
      </c>
      <c r="D234" s="174">
        <v>4</v>
      </c>
      <c r="E234" s="174" t="s">
        <v>249</v>
      </c>
      <c r="F234" s="174">
        <v>1</v>
      </c>
      <c r="G234" s="174">
        <v>1</v>
      </c>
      <c r="H234" s="174">
        <v>1</v>
      </c>
      <c r="I234" s="174">
        <v>1</v>
      </c>
      <c r="J234" s="174">
        <v>1</v>
      </c>
      <c r="K234" s="174">
        <v>1</v>
      </c>
      <c r="L234" s="174">
        <v>1</v>
      </c>
      <c r="M234" s="174">
        <v>1</v>
      </c>
      <c r="N234" s="170"/>
      <c r="O234" s="170"/>
      <c r="P234" s="170"/>
      <c r="Q234" s="180">
        <f>SUM(Tabela2[[#This Row],[G]]+Tabela2[[#This Row],[D]]+Tabela2[[#This Row],[N]]+Tabela2[[#This Row],[HM]])</f>
        <v>4</v>
      </c>
      <c r="R234" s="180">
        <f>SUM(Tabela2[[#This Row],[AO]]+Tabela2[[#This Row],[AD]]+Tabela2[[#This Row],[GWO]]+Tabela2[[#This Row],[GWD]])</f>
        <v>4</v>
      </c>
      <c r="S234" s="180">
        <f>Tabela2[[#This Row],[GWO]]+Tabela2[[#This Row],[GWD]]</f>
        <v>2</v>
      </c>
      <c r="T234" s="180">
        <f>SUM(Tabela2[[#This Row],[G]:[GWD]])</f>
        <v>8</v>
      </c>
    </row>
    <row r="235" spans="1:20" ht="30">
      <c r="A235" s="183">
        <v>234</v>
      </c>
      <c r="B235" s="174" t="s">
        <v>246</v>
      </c>
      <c r="C235" s="174" t="s">
        <v>403</v>
      </c>
      <c r="D235" s="174">
        <v>4</v>
      </c>
      <c r="E235" s="174" t="s">
        <v>249</v>
      </c>
      <c r="F235" s="174">
        <v>1</v>
      </c>
      <c r="G235" s="174">
        <v>1</v>
      </c>
      <c r="H235" s="174">
        <v>3</v>
      </c>
      <c r="I235" s="174">
        <v>2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6</v>
      </c>
      <c r="R235" s="180">
        <f>SUM(Tabela2[[#This Row],[AO]]+Tabela2[[#This Row],[AD]]+Tabela2[[#This Row],[GWO]]+Tabela2[[#This Row],[GWD]])</f>
        <v>5</v>
      </c>
      <c r="S235" s="180">
        <f>Tabela2[[#This Row],[GWO]]+Tabela2[[#This Row],[GWD]]</f>
        <v>2</v>
      </c>
      <c r="T235" s="180">
        <f>SUM(Tabela2[[#This Row],[G]:[GWD]])</f>
        <v>11</v>
      </c>
    </row>
    <row r="236" spans="1:20">
      <c r="A236" s="183">
        <v>235</v>
      </c>
      <c r="B236" s="174" t="s">
        <v>487</v>
      </c>
      <c r="C236" s="174" t="s">
        <v>398</v>
      </c>
      <c r="D236" s="174">
        <v>4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2</v>
      </c>
      <c r="L236" s="174">
        <v>1</v>
      </c>
      <c r="M236" s="174">
        <v>1</v>
      </c>
      <c r="N236" s="170"/>
      <c r="O236" s="170"/>
      <c r="P236" s="170"/>
      <c r="Q236" s="180">
        <f>SUM(Tabela2[[#This Row],[G]]+Tabela2[[#This Row],[D]]+Tabela2[[#This Row],[N]]+Tabela2[[#This Row],[HM]])</f>
        <v>5</v>
      </c>
      <c r="R236" s="180">
        <f>SUM(Tabela2[[#This Row],[AO]]+Tabela2[[#This Row],[AD]]+Tabela2[[#This Row],[GWO]]+Tabela2[[#This Row],[GWD]])</f>
        <v>4</v>
      </c>
      <c r="S236" s="180">
        <f>Tabela2[[#This Row],[GWO]]+Tabela2[[#This Row],[GWD]]</f>
        <v>2</v>
      </c>
      <c r="T236" s="180">
        <f>SUM(Tabela2[[#This Row],[G]:[GWD]])</f>
        <v>9</v>
      </c>
    </row>
    <row r="237" spans="1:20" ht="30">
      <c r="A237" s="183">
        <v>236</v>
      </c>
      <c r="B237" s="174" t="s">
        <v>486</v>
      </c>
      <c r="C237" s="174" t="s">
        <v>396</v>
      </c>
      <c r="D237" s="174">
        <v>4</v>
      </c>
      <c r="E237" s="174" t="s">
        <v>249</v>
      </c>
      <c r="F237" s="174">
        <v>2</v>
      </c>
      <c r="G237" s="174">
        <v>2</v>
      </c>
      <c r="H237" s="174">
        <v>4</v>
      </c>
      <c r="I237" s="174">
        <v>1</v>
      </c>
      <c r="J237" s="174">
        <v>1</v>
      </c>
      <c r="K237" s="174">
        <v>3</v>
      </c>
      <c r="L237" s="174">
        <v>1</v>
      </c>
      <c r="M237" s="174">
        <v>2</v>
      </c>
      <c r="N237" s="170"/>
      <c r="O237" s="194" t="s">
        <v>204</v>
      </c>
      <c r="P237" s="194"/>
      <c r="Q237" s="180">
        <f>SUM(Tabela2[[#This Row],[G]]+Tabela2[[#This Row],[D]]+Tabela2[[#This Row],[N]]+Tabela2[[#This Row],[HM]])</f>
        <v>11</v>
      </c>
      <c r="R237" s="180">
        <f>SUM(Tabela2[[#This Row],[AO]]+Tabela2[[#This Row],[AD]]+Tabela2[[#This Row],[GWO]]+Tabela2[[#This Row],[GWD]])</f>
        <v>5</v>
      </c>
      <c r="S237" s="180">
        <f>Tabela2[[#This Row],[GWO]]+Tabela2[[#This Row],[GWD]]</f>
        <v>3</v>
      </c>
      <c r="T237" s="180">
        <f>SUM(Tabela2[[#This Row],[G]:[GWD]])</f>
        <v>16</v>
      </c>
    </row>
    <row r="238" spans="1:20" ht="30">
      <c r="A238" s="183">
        <v>237</v>
      </c>
      <c r="B238" s="174" t="s">
        <v>485</v>
      </c>
      <c r="C238" s="174" t="s">
        <v>394</v>
      </c>
      <c r="D238" s="174">
        <v>4</v>
      </c>
      <c r="E238" s="174" t="s">
        <v>249</v>
      </c>
      <c r="F238" s="174">
        <v>1</v>
      </c>
      <c r="G238" s="174">
        <v>4</v>
      </c>
      <c r="H238" s="174">
        <v>1</v>
      </c>
      <c r="I238" s="174">
        <v>1</v>
      </c>
      <c r="J238" s="174">
        <v>1</v>
      </c>
      <c r="K238" s="174">
        <v>1</v>
      </c>
      <c r="L238" s="174">
        <v>3</v>
      </c>
      <c r="M238" s="174">
        <v>1</v>
      </c>
      <c r="N238" s="170"/>
      <c r="O238" s="170"/>
      <c r="P238" s="170"/>
      <c r="Q238" s="180">
        <f>SUM(Tabela2[[#This Row],[G]]+Tabela2[[#This Row],[D]]+Tabela2[[#This Row],[N]]+Tabela2[[#This Row],[HM]])</f>
        <v>7</v>
      </c>
      <c r="R238" s="180">
        <f>SUM(Tabela2[[#This Row],[AO]]+Tabela2[[#This Row],[AD]]+Tabela2[[#This Row],[GWO]]+Tabela2[[#This Row],[GWD]])</f>
        <v>6</v>
      </c>
      <c r="S238" s="180">
        <f>Tabela2[[#This Row],[GWO]]+Tabela2[[#This Row],[GWD]]</f>
        <v>4</v>
      </c>
      <c r="T238" s="180">
        <f>SUM(Tabela2[[#This Row],[G]:[GWD]])</f>
        <v>13</v>
      </c>
    </row>
    <row r="239" spans="1:20" ht="30">
      <c r="A239" s="183">
        <v>238</v>
      </c>
      <c r="B239" s="174" t="s">
        <v>484</v>
      </c>
      <c r="C239" s="174" t="s">
        <v>392</v>
      </c>
      <c r="D239" s="174">
        <v>4</v>
      </c>
      <c r="E239" s="174" t="s">
        <v>249</v>
      </c>
      <c r="F239" s="174">
        <v>1</v>
      </c>
      <c r="G239" s="174">
        <v>1</v>
      </c>
      <c r="H239" s="174">
        <v>3</v>
      </c>
      <c r="I239" s="174">
        <v>3</v>
      </c>
      <c r="J239" s="174">
        <v>1</v>
      </c>
      <c r="K239" s="174">
        <v>1</v>
      </c>
      <c r="L239" s="174">
        <v>2</v>
      </c>
      <c r="M239" s="174">
        <v>1</v>
      </c>
      <c r="N239" s="170"/>
      <c r="O239" s="170"/>
      <c r="P239" s="170"/>
      <c r="Q239" s="180">
        <f>SUM(Tabela2[[#This Row],[G]]+Tabela2[[#This Row],[D]]+Tabela2[[#This Row],[N]]+Tabela2[[#This Row],[HM]])</f>
        <v>6</v>
      </c>
      <c r="R239" s="180">
        <f>SUM(Tabela2[[#This Row],[AO]]+Tabela2[[#This Row],[AD]]+Tabela2[[#This Row],[GWO]]+Tabela2[[#This Row],[GWD]])</f>
        <v>7</v>
      </c>
      <c r="S239" s="180">
        <f>Tabela2[[#This Row],[GWO]]+Tabela2[[#This Row],[GWD]]</f>
        <v>3</v>
      </c>
      <c r="T239" s="180">
        <f>SUM(Tabela2[[#This Row],[G]:[GWD]])</f>
        <v>13</v>
      </c>
    </row>
    <row r="240" spans="1:20">
      <c r="A240" s="183">
        <v>239</v>
      </c>
      <c r="B240" s="174" t="s">
        <v>483</v>
      </c>
      <c r="C240" s="174" t="s">
        <v>215</v>
      </c>
      <c r="D240" s="174">
        <v>4</v>
      </c>
      <c r="E240" s="174" t="s">
        <v>249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445</v>
      </c>
      <c r="O240" s="174"/>
      <c r="P240" s="174"/>
      <c r="Q240" s="185">
        <f>SUM(Tabela2[[#This Row],[G]]+Tabela2[[#This Row],[D]]+Tabela2[[#This Row],[N]]+Tabela2[[#This Row],[HM]])</f>
        <v>4</v>
      </c>
      <c r="R240" s="185">
        <f>SUM(Tabela2[[#This Row],[AO]]+Tabela2[[#This Row],[AD]]+Tabela2[[#This Row],[GWO]]+Tabela2[[#This Row],[GWD]])</f>
        <v>4</v>
      </c>
      <c r="S240" s="185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240</v>
      </c>
      <c r="B241" s="174" t="s">
        <v>482</v>
      </c>
      <c r="C241" s="174" t="s">
        <v>344</v>
      </c>
      <c r="D241" s="174">
        <v>4</v>
      </c>
      <c r="E241" s="174" t="s">
        <v>249</v>
      </c>
      <c r="F241" s="174">
        <v>1</v>
      </c>
      <c r="G241" s="174">
        <v>2</v>
      </c>
      <c r="H241" s="174">
        <v>1</v>
      </c>
      <c r="I241" s="174">
        <v>5</v>
      </c>
      <c r="J241" s="174">
        <v>3</v>
      </c>
      <c r="K241" s="174">
        <v>3</v>
      </c>
      <c r="L241" s="174">
        <v>5</v>
      </c>
      <c r="M241" s="174">
        <v>2</v>
      </c>
      <c r="N241" s="170"/>
      <c r="O241" s="170"/>
      <c r="P241" s="170"/>
      <c r="Q241" s="180">
        <f>SUM(Tabela2[[#This Row],[G]]+Tabela2[[#This Row],[D]]+Tabela2[[#This Row],[N]]+Tabela2[[#This Row],[HM]])</f>
        <v>7</v>
      </c>
      <c r="R241" s="180">
        <f>SUM(Tabela2[[#This Row],[AO]]+Tabela2[[#This Row],[AD]]+Tabela2[[#This Row],[GWO]]+Tabela2[[#This Row],[GWD]])</f>
        <v>15</v>
      </c>
      <c r="S241" s="180">
        <f>Tabela2[[#This Row],[GWO]]+Tabela2[[#This Row],[GWD]]</f>
        <v>7</v>
      </c>
      <c r="T241" s="180">
        <f>SUM(Tabela2[[#This Row],[G]:[GWD]])</f>
        <v>22</v>
      </c>
    </row>
    <row r="242" spans="1:20">
      <c r="A242" s="183">
        <v>241</v>
      </c>
      <c r="B242" s="174" t="s">
        <v>481</v>
      </c>
      <c r="C242" s="174" t="s">
        <v>388</v>
      </c>
      <c r="D242" s="174">
        <v>4</v>
      </c>
      <c r="E242" s="174" t="s">
        <v>249</v>
      </c>
      <c r="F242" s="174">
        <v>1</v>
      </c>
      <c r="G242" s="174">
        <v>1</v>
      </c>
      <c r="H242" s="174">
        <v>3</v>
      </c>
      <c r="I242" s="174">
        <v>4</v>
      </c>
      <c r="J242" s="174">
        <v>1</v>
      </c>
      <c r="K242" s="174">
        <v>1</v>
      </c>
      <c r="L242" s="174">
        <v>4</v>
      </c>
      <c r="M242" s="174">
        <v>1</v>
      </c>
      <c r="N242" s="170"/>
      <c r="O242" s="170"/>
      <c r="P242" s="170"/>
      <c r="Q242" s="180">
        <f>SUM(Tabela2[[#This Row],[G]]+Tabela2[[#This Row],[D]]+Tabela2[[#This Row],[N]]+Tabela2[[#This Row],[HM]])</f>
        <v>6</v>
      </c>
      <c r="R242" s="180">
        <f>SUM(Tabela2[[#This Row],[AO]]+Tabela2[[#This Row],[AD]]+Tabela2[[#This Row],[GWO]]+Tabela2[[#This Row],[GWD]])</f>
        <v>10</v>
      </c>
      <c r="S242" s="180">
        <f>Tabela2[[#This Row],[GWO]]+Tabela2[[#This Row],[GWD]]</f>
        <v>5</v>
      </c>
      <c r="T242" s="180">
        <f>SUM(Tabela2[[#This Row],[G]:[GWD]])</f>
        <v>16</v>
      </c>
    </row>
    <row r="243" spans="1:20" ht="30">
      <c r="A243" s="183">
        <v>242</v>
      </c>
      <c r="B243" s="174" t="s">
        <v>480</v>
      </c>
      <c r="C243" s="174" t="s">
        <v>386</v>
      </c>
      <c r="D243" s="174">
        <v>4</v>
      </c>
      <c r="E243" s="174" t="s">
        <v>249</v>
      </c>
      <c r="F243" s="174">
        <v>5</v>
      </c>
      <c r="G243" s="174">
        <v>5</v>
      </c>
      <c r="H243" s="174">
        <v>1</v>
      </c>
      <c r="I243" s="174">
        <v>5</v>
      </c>
      <c r="J243" s="174">
        <v>2</v>
      </c>
      <c r="K243" s="174">
        <v>1</v>
      </c>
      <c r="L243" s="174">
        <v>5</v>
      </c>
      <c r="M243" s="174">
        <v>5</v>
      </c>
      <c r="N243" s="170"/>
      <c r="O243" s="170"/>
      <c r="P243" s="170"/>
      <c r="Q243" s="180">
        <f>SUM(Tabela2[[#This Row],[G]]+Tabela2[[#This Row],[D]]+Tabela2[[#This Row],[N]]+Tabela2[[#This Row],[HM]])</f>
        <v>12</v>
      </c>
      <c r="R243" s="180">
        <f>SUM(Tabela2[[#This Row],[AO]]+Tabela2[[#This Row],[AD]]+Tabela2[[#This Row],[GWO]]+Tabela2[[#This Row],[GWD]])</f>
        <v>17</v>
      </c>
      <c r="S243" s="180">
        <f>Tabela2[[#This Row],[GWO]]+Tabela2[[#This Row],[GWD]]</f>
        <v>10</v>
      </c>
      <c r="T243" s="180">
        <f>SUM(Tabela2[[#This Row],[G]:[GWD]])</f>
        <v>29</v>
      </c>
    </row>
    <row r="244" spans="1:20">
      <c r="A244" s="183">
        <v>243</v>
      </c>
      <c r="B244" s="174" t="s">
        <v>479</v>
      </c>
      <c r="C244" s="174" t="s">
        <v>384</v>
      </c>
      <c r="D244" s="174">
        <v>4</v>
      </c>
      <c r="E244" s="174" t="s">
        <v>249</v>
      </c>
      <c r="F244" s="174">
        <v>2</v>
      </c>
      <c r="G244" s="174">
        <v>4</v>
      </c>
      <c r="H244" s="174">
        <v>1</v>
      </c>
      <c r="I244" s="174">
        <v>2</v>
      </c>
      <c r="J244" s="174">
        <v>1</v>
      </c>
      <c r="K244" s="174">
        <v>1</v>
      </c>
      <c r="L244" s="174">
        <v>4</v>
      </c>
      <c r="M244" s="174">
        <v>1</v>
      </c>
      <c r="N244" s="170"/>
      <c r="O244" s="170" t="s">
        <v>204</v>
      </c>
      <c r="P244" s="170"/>
      <c r="Q244" s="180">
        <f>SUM(Tabela2[[#This Row],[G]]+Tabela2[[#This Row],[D]]+Tabela2[[#This Row],[N]]+Tabela2[[#This Row],[HM]])</f>
        <v>8</v>
      </c>
      <c r="R244" s="180">
        <f>SUM(Tabela2[[#This Row],[AO]]+Tabela2[[#This Row],[AD]]+Tabela2[[#This Row],[GWO]]+Tabela2[[#This Row],[GWD]])</f>
        <v>8</v>
      </c>
      <c r="S244" s="180">
        <f>Tabela2[[#This Row],[GWO]]+Tabela2[[#This Row],[GWD]]</f>
        <v>5</v>
      </c>
      <c r="T244" s="180">
        <f>SUM(Tabela2[[#This Row],[G]:[GWD]])</f>
        <v>16</v>
      </c>
    </row>
    <row r="245" spans="1:20">
      <c r="A245" s="183">
        <v>244</v>
      </c>
      <c r="B245" s="174" t="s">
        <v>478</v>
      </c>
      <c r="C245" s="174" t="s">
        <v>382</v>
      </c>
      <c r="D245" s="174">
        <v>4</v>
      </c>
      <c r="E245" s="174" t="s">
        <v>249</v>
      </c>
      <c r="F245" s="174">
        <v>1</v>
      </c>
      <c r="G245" s="174">
        <v>1</v>
      </c>
      <c r="H245" s="174">
        <v>1</v>
      </c>
      <c r="I245" s="174">
        <v>1</v>
      </c>
      <c r="J245" s="174">
        <v>1</v>
      </c>
      <c r="K245" s="174">
        <v>1</v>
      </c>
      <c r="L245" s="174">
        <v>3</v>
      </c>
      <c r="M245" s="174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6</v>
      </c>
      <c r="S245" s="180">
        <f>Tabela2[[#This Row],[GWO]]+Tabela2[[#This Row],[GWD]]</f>
        <v>4</v>
      </c>
      <c r="T245" s="180">
        <f>SUM(Tabela2[[#This Row],[G]:[GWD]])</f>
        <v>10</v>
      </c>
    </row>
    <row r="246" spans="1:20" ht="30">
      <c r="A246" s="183">
        <v>245</v>
      </c>
      <c r="B246" s="174" t="s">
        <v>477</v>
      </c>
      <c r="C246" s="174" t="s">
        <v>451</v>
      </c>
      <c r="D246" s="174">
        <v>4</v>
      </c>
      <c r="E246" s="174" t="s">
        <v>249</v>
      </c>
      <c r="F246" s="174">
        <v>1</v>
      </c>
      <c r="G246" s="174">
        <v>1</v>
      </c>
      <c r="H246" s="174">
        <v>1</v>
      </c>
      <c r="I246" s="174">
        <v>1</v>
      </c>
      <c r="J246" s="174">
        <v>2</v>
      </c>
      <c r="K246" s="174">
        <v>3</v>
      </c>
      <c r="L246" s="174">
        <v>2</v>
      </c>
      <c r="M246" s="174">
        <v>2</v>
      </c>
      <c r="N246" s="170"/>
      <c r="O246" s="170"/>
      <c r="P246" s="170"/>
      <c r="Q246" s="180">
        <f>SUM(Tabela2[[#This Row],[G]]+Tabela2[[#This Row],[D]]+Tabela2[[#This Row],[N]]+Tabela2[[#This Row],[HM]])</f>
        <v>6</v>
      </c>
      <c r="R246" s="180">
        <f>SUM(Tabela2[[#This Row],[AO]]+Tabela2[[#This Row],[AD]]+Tabela2[[#This Row],[GWO]]+Tabela2[[#This Row],[GWD]])</f>
        <v>7</v>
      </c>
      <c r="S246" s="180">
        <f>Tabela2[[#This Row],[GWO]]+Tabela2[[#This Row],[GWD]]</f>
        <v>4</v>
      </c>
      <c r="T246" s="180">
        <f>SUM(Tabela2[[#This Row],[G]:[GWD]])</f>
        <v>13</v>
      </c>
    </row>
    <row r="247" spans="1:20">
      <c r="A247" s="183">
        <v>246</v>
      </c>
      <c r="B247" s="174" t="s">
        <v>476</v>
      </c>
      <c r="C247" s="174" t="s">
        <v>227</v>
      </c>
      <c r="D247" s="174">
        <v>4</v>
      </c>
      <c r="E247" s="174" t="s">
        <v>249</v>
      </c>
      <c r="F247" s="174">
        <v>1</v>
      </c>
      <c r="G247" s="174">
        <v>1</v>
      </c>
      <c r="H247" s="174">
        <v>2</v>
      </c>
      <c r="I247" s="174">
        <v>3</v>
      </c>
      <c r="J247" s="174">
        <v>3</v>
      </c>
      <c r="K247" s="174">
        <v>1</v>
      </c>
      <c r="L247" s="174">
        <v>1</v>
      </c>
      <c r="M247" s="174">
        <v>1</v>
      </c>
      <c r="N247" s="170"/>
      <c r="O247" s="170"/>
      <c r="P247" s="170"/>
      <c r="Q247" s="180">
        <f>SUM(Tabela2[[#This Row],[G]]+Tabela2[[#This Row],[D]]+Tabela2[[#This Row],[N]]+Tabela2[[#This Row],[HM]])</f>
        <v>5</v>
      </c>
      <c r="R247" s="180">
        <f>SUM(Tabela2[[#This Row],[AO]]+Tabela2[[#This Row],[AD]]+Tabela2[[#This Row],[GWO]]+Tabela2[[#This Row],[GWD]])</f>
        <v>8</v>
      </c>
      <c r="S247" s="180">
        <f>Tabela2[[#This Row],[GWO]]+Tabela2[[#This Row],[GWD]]</f>
        <v>2</v>
      </c>
      <c r="T247" s="180">
        <f>SUM(Tabela2[[#This Row],[G]:[GWD]])</f>
        <v>13</v>
      </c>
    </row>
    <row r="248" spans="1:20">
      <c r="A248" s="183">
        <v>247</v>
      </c>
      <c r="B248" s="174" t="s">
        <v>475</v>
      </c>
      <c r="C248" s="174" t="s">
        <v>225</v>
      </c>
      <c r="D248" s="174">
        <v>4</v>
      </c>
      <c r="E248" s="174" t="s">
        <v>249</v>
      </c>
      <c r="F248" s="174">
        <v>1</v>
      </c>
      <c r="G248" s="174">
        <v>2</v>
      </c>
      <c r="H248" s="174">
        <v>1</v>
      </c>
      <c r="I248" s="174">
        <v>4</v>
      </c>
      <c r="J248" s="174">
        <v>5</v>
      </c>
      <c r="K248" s="174">
        <v>5</v>
      </c>
      <c r="L248" s="174">
        <v>3</v>
      </c>
      <c r="M248" s="174">
        <v>3</v>
      </c>
      <c r="N248" s="170"/>
      <c r="O248" s="205" t="s">
        <v>204</v>
      </c>
      <c r="P248" s="170"/>
      <c r="Q248" s="180">
        <f>SUM(Tabela2[[#This Row],[G]]+Tabela2[[#This Row],[D]]+Tabela2[[#This Row],[N]]+Tabela2[[#This Row],[HM]])</f>
        <v>9</v>
      </c>
      <c r="R248" s="180">
        <f>SUM(Tabela2[[#This Row],[AO]]+Tabela2[[#This Row],[AD]]+Tabela2[[#This Row],[GWO]]+Tabela2[[#This Row],[GWD]])</f>
        <v>15</v>
      </c>
      <c r="S248" s="180">
        <f>Tabela2[[#This Row],[GWO]]+Tabela2[[#This Row],[GWD]]</f>
        <v>6</v>
      </c>
      <c r="T248" s="180">
        <f>SUM(Tabela2[[#This Row],[G]:[GWD]])</f>
        <v>24</v>
      </c>
    </row>
    <row r="249" spans="1:20">
      <c r="A249" s="183">
        <v>248</v>
      </c>
      <c r="B249" s="174" t="s">
        <v>474</v>
      </c>
      <c r="C249" s="174" t="s">
        <v>378</v>
      </c>
      <c r="D249" s="174">
        <v>4</v>
      </c>
      <c r="E249" s="174" t="s">
        <v>249</v>
      </c>
      <c r="F249" s="174">
        <v>2</v>
      </c>
      <c r="G249" s="174">
        <v>3</v>
      </c>
      <c r="H249" s="174">
        <v>1</v>
      </c>
      <c r="I249" s="174">
        <v>1</v>
      </c>
      <c r="J249" s="174">
        <v>1</v>
      </c>
      <c r="K249" s="174">
        <v>1</v>
      </c>
      <c r="L249" s="174">
        <v>3</v>
      </c>
      <c r="M249" s="174">
        <v>1</v>
      </c>
      <c r="N249" s="170"/>
      <c r="O249" s="170"/>
      <c r="P249" s="170"/>
      <c r="Q249" s="180">
        <f>SUM(Tabela2[[#This Row],[G]]+Tabela2[[#This Row],[D]]+Tabela2[[#This Row],[N]]+Tabela2[[#This Row],[HM]])</f>
        <v>7</v>
      </c>
      <c r="R249" s="180">
        <f>SUM(Tabela2[[#This Row],[AO]]+Tabela2[[#This Row],[AD]]+Tabela2[[#This Row],[GWO]]+Tabela2[[#This Row],[GWD]])</f>
        <v>6</v>
      </c>
      <c r="S249" s="180">
        <f>Tabela2[[#This Row],[GWO]]+Tabela2[[#This Row],[GWD]]</f>
        <v>4</v>
      </c>
      <c r="T249" s="180">
        <f>SUM(Tabela2[[#This Row],[G]:[GWD]])</f>
        <v>13</v>
      </c>
    </row>
    <row r="250" spans="1:20">
      <c r="A250" s="183">
        <v>249</v>
      </c>
      <c r="B250" s="174" t="s">
        <v>473</v>
      </c>
      <c r="C250" s="174" t="s">
        <v>226</v>
      </c>
      <c r="D250" s="174">
        <v>4</v>
      </c>
      <c r="E250" s="174" t="s">
        <v>249</v>
      </c>
      <c r="F250" s="174">
        <v>1</v>
      </c>
      <c r="G250" s="174">
        <v>2</v>
      </c>
      <c r="H250" s="174">
        <v>1</v>
      </c>
      <c r="I250" s="174">
        <v>1</v>
      </c>
      <c r="J250" s="174">
        <v>1</v>
      </c>
      <c r="K250" s="174">
        <v>1</v>
      </c>
      <c r="L250" s="174">
        <v>2</v>
      </c>
      <c r="M250" s="174">
        <v>1</v>
      </c>
      <c r="N250" s="174" t="s">
        <v>445</v>
      </c>
      <c r="O250" s="174"/>
      <c r="P250" s="174"/>
      <c r="Q250" s="185">
        <f>SUM(Tabela2[[#This Row],[G]]+Tabela2[[#This Row],[D]]+Tabela2[[#This Row],[N]]+Tabela2[[#This Row],[HM]])</f>
        <v>5</v>
      </c>
      <c r="R250" s="185">
        <f>SUM(Tabela2[[#This Row],[AO]]+Tabela2[[#This Row],[AD]]+Tabela2[[#This Row],[GWO]]+Tabela2[[#This Row],[GWD]])</f>
        <v>5</v>
      </c>
      <c r="S250" s="185">
        <f>Tabela2[[#This Row],[GWO]]+Tabela2[[#This Row],[GWD]]</f>
        <v>3</v>
      </c>
      <c r="T250" s="180">
        <f>SUM(Tabela2[[#This Row],[G]:[GWD]])</f>
        <v>10</v>
      </c>
    </row>
    <row r="251" spans="1:20">
      <c r="A251" s="183">
        <v>250</v>
      </c>
      <c r="B251" s="174" t="s">
        <v>472</v>
      </c>
      <c r="C251" s="174" t="s">
        <v>184</v>
      </c>
      <c r="D251" s="174">
        <v>4</v>
      </c>
      <c r="E251" s="174" t="s">
        <v>249</v>
      </c>
      <c r="F251" s="174">
        <v>1</v>
      </c>
      <c r="G251" s="174">
        <v>1</v>
      </c>
      <c r="H251" s="174">
        <v>1</v>
      </c>
      <c r="I251" s="174">
        <v>1</v>
      </c>
      <c r="J251" s="174">
        <v>1</v>
      </c>
      <c r="K251" s="174">
        <v>1</v>
      </c>
      <c r="L251" s="174">
        <v>1</v>
      </c>
      <c r="M251" s="174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251</v>
      </c>
      <c r="B252" s="174" t="s">
        <v>471</v>
      </c>
      <c r="C252" s="174" t="s">
        <v>376</v>
      </c>
      <c r="D252" s="174">
        <v>4</v>
      </c>
      <c r="E252" s="174" t="s">
        <v>249</v>
      </c>
      <c r="F252" s="174">
        <v>1</v>
      </c>
      <c r="G252" s="174">
        <v>1</v>
      </c>
      <c r="H252" s="174">
        <v>1</v>
      </c>
      <c r="I252" s="174">
        <v>1</v>
      </c>
      <c r="J252" s="174">
        <v>1</v>
      </c>
      <c r="K252" s="174">
        <v>1</v>
      </c>
      <c r="L252" s="174">
        <v>1</v>
      </c>
      <c r="M252" s="174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252</v>
      </c>
      <c r="B253" s="172" t="s">
        <v>470</v>
      </c>
      <c r="C253" s="172" t="s">
        <v>419</v>
      </c>
      <c r="D253" s="172">
        <v>4</v>
      </c>
      <c r="E253" s="172" t="s">
        <v>250</v>
      </c>
      <c r="F253" s="172">
        <v>2</v>
      </c>
      <c r="G253" s="172">
        <v>1</v>
      </c>
      <c r="H253" s="172">
        <v>1</v>
      </c>
      <c r="I253" s="172">
        <v>1</v>
      </c>
      <c r="J253" s="172">
        <v>1</v>
      </c>
      <c r="K253" s="172">
        <v>1</v>
      </c>
      <c r="L253" s="172">
        <v>4</v>
      </c>
      <c r="M253" s="172">
        <v>1</v>
      </c>
      <c r="N253" s="170"/>
      <c r="O253" s="191" t="s">
        <v>204</v>
      </c>
      <c r="P253" s="191"/>
      <c r="Q253" s="180">
        <f>SUM(Tabela2[[#This Row],[G]]+Tabela2[[#This Row],[D]]+Tabela2[[#This Row],[N]]+Tabela2[[#This Row],[HM]])</f>
        <v>5</v>
      </c>
      <c r="R253" s="180">
        <f>SUM(Tabela2[[#This Row],[AO]]+Tabela2[[#This Row],[AD]]+Tabela2[[#This Row],[GWO]]+Tabela2[[#This Row],[GWD]])</f>
        <v>7</v>
      </c>
      <c r="S253" s="180">
        <f>Tabela2[[#This Row],[GWO]]+Tabela2[[#This Row],[GWD]]</f>
        <v>5</v>
      </c>
      <c r="T253" s="180">
        <f>SUM(Tabela2[[#This Row],[G]:[GWD]])</f>
        <v>12</v>
      </c>
    </row>
    <row r="254" spans="1:20" ht="30">
      <c r="A254" s="183">
        <v>253</v>
      </c>
      <c r="B254" s="172" t="s">
        <v>469</v>
      </c>
      <c r="C254" s="172" t="s">
        <v>441</v>
      </c>
      <c r="D254" s="172">
        <v>4</v>
      </c>
      <c r="E254" s="172" t="s">
        <v>250</v>
      </c>
      <c r="F254" s="172">
        <v>2</v>
      </c>
      <c r="G254" s="172">
        <v>1</v>
      </c>
      <c r="H254" s="172">
        <v>1</v>
      </c>
      <c r="I254" s="172">
        <v>1</v>
      </c>
      <c r="J254" s="172">
        <v>1</v>
      </c>
      <c r="K254" s="172">
        <v>1</v>
      </c>
      <c r="L254" s="172">
        <v>1</v>
      </c>
      <c r="M254" s="172">
        <v>1</v>
      </c>
      <c r="N254" s="170"/>
      <c r="O254" s="170"/>
      <c r="P254" s="170"/>
      <c r="Q254" s="180">
        <f>SUM(Tabela2[[#This Row],[G]]+Tabela2[[#This Row],[D]]+Tabela2[[#This Row],[N]]+Tabela2[[#This Row],[HM]])</f>
        <v>5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9</v>
      </c>
    </row>
    <row r="255" spans="1:20" ht="30">
      <c r="A255" s="183">
        <v>254</v>
      </c>
      <c r="B255" s="172" t="s">
        <v>468</v>
      </c>
      <c r="C255" s="172" t="s">
        <v>415</v>
      </c>
      <c r="D255" s="172">
        <v>4</v>
      </c>
      <c r="E255" s="172" t="s">
        <v>250</v>
      </c>
      <c r="F255" s="172">
        <v>3</v>
      </c>
      <c r="G255" s="172">
        <v>1</v>
      </c>
      <c r="H255" s="172">
        <v>1</v>
      </c>
      <c r="I255" s="172">
        <v>4</v>
      </c>
      <c r="J255" s="172">
        <v>3</v>
      </c>
      <c r="K255" s="172">
        <v>1</v>
      </c>
      <c r="L255" s="172">
        <v>4</v>
      </c>
      <c r="M255" s="172">
        <v>1</v>
      </c>
      <c r="N255" s="170"/>
      <c r="O255" s="170"/>
      <c r="P255" s="170"/>
      <c r="Q255" s="180">
        <f>SUM(Tabela2[[#This Row],[G]]+Tabela2[[#This Row],[D]]+Tabela2[[#This Row],[N]]+Tabela2[[#This Row],[HM]])</f>
        <v>6</v>
      </c>
      <c r="R255" s="180">
        <f>SUM(Tabela2[[#This Row],[AO]]+Tabela2[[#This Row],[AD]]+Tabela2[[#This Row],[GWO]]+Tabela2[[#This Row],[GWD]])</f>
        <v>12</v>
      </c>
      <c r="S255" s="180">
        <f>Tabela2[[#This Row],[GWO]]+Tabela2[[#This Row],[GWD]]</f>
        <v>5</v>
      </c>
      <c r="T255" s="180">
        <f>SUM(Tabela2[[#This Row],[G]:[GWD]])</f>
        <v>18</v>
      </c>
    </row>
    <row r="256" spans="1:20" ht="30">
      <c r="A256" s="183">
        <v>255</v>
      </c>
      <c r="B256" s="172" t="s">
        <v>467</v>
      </c>
      <c r="C256" s="172" t="s">
        <v>357</v>
      </c>
      <c r="D256" s="172">
        <v>4</v>
      </c>
      <c r="E256" s="172" t="s">
        <v>250</v>
      </c>
      <c r="F256" s="172">
        <v>3</v>
      </c>
      <c r="G256" s="172">
        <v>3</v>
      </c>
      <c r="H256" s="172">
        <v>1</v>
      </c>
      <c r="I256" s="172">
        <v>1</v>
      </c>
      <c r="J256" s="172">
        <v>3</v>
      </c>
      <c r="K256" s="172">
        <v>5</v>
      </c>
      <c r="L256" s="172">
        <v>4</v>
      </c>
      <c r="M256" s="172">
        <v>3</v>
      </c>
      <c r="N256" s="170"/>
      <c r="O256" s="170"/>
      <c r="P256" s="170"/>
      <c r="Q256" s="180">
        <f>SUM(Tabela2[[#This Row],[G]]+Tabela2[[#This Row],[D]]+Tabela2[[#This Row],[N]]+Tabela2[[#This Row],[HM]])</f>
        <v>12</v>
      </c>
      <c r="R256" s="180">
        <f>SUM(Tabela2[[#This Row],[AO]]+Tabela2[[#This Row],[AD]]+Tabela2[[#This Row],[GWO]]+Tabela2[[#This Row],[GWD]])</f>
        <v>11</v>
      </c>
      <c r="S256" s="180">
        <f>Tabela2[[#This Row],[GWO]]+Tabela2[[#This Row],[GWD]]</f>
        <v>7</v>
      </c>
      <c r="T256" s="180">
        <f>SUM(Tabela2[[#This Row],[G]:[GWD]])</f>
        <v>23</v>
      </c>
    </row>
    <row r="257" spans="1:20">
      <c r="A257" s="183">
        <v>256</v>
      </c>
      <c r="B257" s="172" t="s">
        <v>466</v>
      </c>
      <c r="C257" s="172" t="s">
        <v>210</v>
      </c>
      <c r="D257" s="172">
        <v>4</v>
      </c>
      <c r="E257" s="172" t="s">
        <v>250</v>
      </c>
      <c r="F257" s="172">
        <v>5</v>
      </c>
      <c r="G257" s="172">
        <v>1</v>
      </c>
      <c r="H257" s="172">
        <v>2</v>
      </c>
      <c r="I257" s="172">
        <v>5</v>
      </c>
      <c r="J257" s="172">
        <v>1</v>
      </c>
      <c r="K257" s="172">
        <v>1</v>
      </c>
      <c r="L257" s="172">
        <v>5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9</v>
      </c>
      <c r="R257" s="180">
        <f>SUM(Tabela2[[#This Row],[AO]]+Tabela2[[#This Row],[AD]]+Tabela2[[#This Row],[GWO]]+Tabela2[[#This Row],[GWD]])</f>
        <v>12</v>
      </c>
      <c r="S257" s="180">
        <f>Tabela2[[#This Row],[GWO]]+Tabela2[[#This Row],[GWD]]</f>
        <v>6</v>
      </c>
      <c r="T257" s="180">
        <f>SUM(Tabela2[[#This Row],[G]:[GWD]])</f>
        <v>21</v>
      </c>
    </row>
    <row r="258" spans="1:20" ht="30">
      <c r="A258" s="183">
        <v>257</v>
      </c>
      <c r="B258" s="172" t="s">
        <v>465</v>
      </c>
      <c r="C258" s="172" t="s">
        <v>409</v>
      </c>
      <c r="D258" s="172">
        <v>4</v>
      </c>
      <c r="E258" s="172" t="s">
        <v>250</v>
      </c>
      <c r="F258" s="172">
        <v>3</v>
      </c>
      <c r="G258" s="172">
        <v>1</v>
      </c>
      <c r="H258" s="172">
        <v>2</v>
      </c>
      <c r="I258" s="172">
        <v>4</v>
      </c>
      <c r="J258" s="172">
        <v>1</v>
      </c>
      <c r="K258" s="172">
        <v>1</v>
      </c>
      <c r="L258" s="172">
        <v>4</v>
      </c>
      <c r="M258" s="172">
        <v>1</v>
      </c>
      <c r="N258" s="170"/>
      <c r="O258" s="170"/>
      <c r="P258" s="170"/>
      <c r="Q258" s="180">
        <f>SUM(Tabela2[[#This Row],[G]]+Tabela2[[#This Row],[D]]+Tabela2[[#This Row],[N]]+Tabela2[[#This Row],[HM]])</f>
        <v>7</v>
      </c>
      <c r="R258" s="180">
        <f>SUM(Tabela2[[#This Row],[AO]]+Tabela2[[#This Row],[AD]]+Tabela2[[#This Row],[GWO]]+Tabela2[[#This Row],[GWD]])</f>
        <v>10</v>
      </c>
      <c r="S258" s="180">
        <f>Tabela2[[#This Row],[GWO]]+Tabela2[[#This Row],[GWD]]</f>
        <v>5</v>
      </c>
      <c r="T258" s="180">
        <f>SUM(Tabela2[[#This Row],[G]:[GWD]])</f>
        <v>17</v>
      </c>
    </row>
    <row r="259" spans="1:20" ht="30">
      <c r="A259" s="183">
        <v>258</v>
      </c>
      <c r="B259" s="172" t="s">
        <v>464</v>
      </c>
      <c r="C259" s="172" t="s">
        <v>407</v>
      </c>
      <c r="D259" s="172">
        <v>4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0"/>
      <c r="O259" s="170"/>
      <c r="P259" s="170"/>
      <c r="Q259" s="180">
        <f>SUM(Tabela2[[#This Row],[G]]+Tabela2[[#This Row],[D]]+Tabela2[[#This Row],[N]]+Tabela2[[#This Row],[HM]])</f>
        <v>4</v>
      </c>
      <c r="R259" s="180">
        <f>SUM(Tabela2[[#This Row],[AO]]+Tabela2[[#This Row],[AD]]+Tabela2[[#This Row],[GWO]]+Tabela2[[#This Row],[GWD]])</f>
        <v>4</v>
      </c>
      <c r="S259" s="180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259</v>
      </c>
      <c r="B260" s="172" t="s">
        <v>463</v>
      </c>
      <c r="C260" s="172" t="s">
        <v>405</v>
      </c>
      <c r="D260" s="172">
        <v>4</v>
      </c>
      <c r="E260" s="172" t="s">
        <v>250</v>
      </c>
      <c r="F260" s="172">
        <v>2</v>
      </c>
      <c r="G260" s="172">
        <v>1</v>
      </c>
      <c r="H260" s="172">
        <v>1</v>
      </c>
      <c r="I260" s="172">
        <v>1</v>
      </c>
      <c r="J260" s="172">
        <v>1</v>
      </c>
      <c r="K260" s="172">
        <v>1</v>
      </c>
      <c r="L260" s="172">
        <v>2</v>
      </c>
      <c r="M260" s="172">
        <v>1</v>
      </c>
      <c r="N260" s="170"/>
      <c r="O260" s="170"/>
      <c r="P260" s="170"/>
      <c r="Q260" s="180">
        <f>SUM(Tabela2[[#This Row],[G]]+Tabela2[[#This Row],[D]]+Tabela2[[#This Row],[N]]+Tabela2[[#This Row],[HM]])</f>
        <v>5</v>
      </c>
      <c r="R260" s="180">
        <f>SUM(Tabela2[[#This Row],[AO]]+Tabela2[[#This Row],[AD]]+Tabela2[[#This Row],[GWO]]+Tabela2[[#This Row],[GWD]])</f>
        <v>5</v>
      </c>
      <c r="S260" s="180">
        <f>Tabela2[[#This Row],[GWO]]+Tabela2[[#This Row],[GWD]]</f>
        <v>3</v>
      </c>
      <c r="T260" s="180">
        <f>SUM(Tabela2[[#This Row],[G]:[GWD]])</f>
        <v>10</v>
      </c>
    </row>
    <row r="261" spans="1:20" ht="30">
      <c r="A261" s="183">
        <v>260</v>
      </c>
      <c r="B261" s="172" t="s">
        <v>462</v>
      </c>
      <c r="C261" s="172" t="s">
        <v>403</v>
      </c>
      <c r="D261" s="172">
        <v>4</v>
      </c>
      <c r="E261" s="172" t="s">
        <v>250</v>
      </c>
      <c r="F261" s="172">
        <v>3</v>
      </c>
      <c r="G261" s="172">
        <v>1</v>
      </c>
      <c r="H261" s="172">
        <v>2</v>
      </c>
      <c r="I261" s="172">
        <v>1</v>
      </c>
      <c r="J261" s="172">
        <v>1</v>
      </c>
      <c r="K261" s="172">
        <v>1</v>
      </c>
      <c r="L261" s="172">
        <v>1</v>
      </c>
      <c r="M261" s="172">
        <v>1</v>
      </c>
      <c r="N261" s="170"/>
      <c r="O261" s="170"/>
      <c r="P261" s="170"/>
      <c r="Q261" s="180">
        <f>SUM(Tabela2[[#This Row],[G]]+Tabela2[[#This Row],[D]]+Tabela2[[#This Row],[N]]+Tabela2[[#This Row],[HM]])</f>
        <v>7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11</v>
      </c>
    </row>
    <row r="262" spans="1:20">
      <c r="A262" s="183">
        <v>261</v>
      </c>
      <c r="B262" s="172" t="s">
        <v>461</v>
      </c>
      <c r="C262" s="172" t="s">
        <v>398</v>
      </c>
      <c r="D262" s="172">
        <v>4</v>
      </c>
      <c r="E262" s="172" t="s">
        <v>250</v>
      </c>
      <c r="F262" s="172">
        <v>3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6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10</v>
      </c>
    </row>
    <row r="263" spans="1:20" ht="30">
      <c r="A263" s="183">
        <v>262</v>
      </c>
      <c r="B263" s="172" t="s">
        <v>460</v>
      </c>
      <c r="C263" s="172" t="s">
        <v>396</v>
      </c>
      <c r="D263" s="172">
        <v>4</v>
      </c>
      <c r="E263" s="172" t="s">
        <v>250</v>
      </c>
      <c r="F263" s="172">
        <v>3</v>
      </c>
      <c r="G263" s="172">
        <v>1</v>
      </c>
      <c r="H263" s="172">
        <v>1</v>
      </c>
      <c r="I263" s="172">
        <v>1</v>
      </c>
      <c r="J263" s="172">
        <v>2</v>
      </c>
      <c r="K263" s="172">
        <v>1</v>
      </c>
      <c r="L263" s="172">
        <v>3</v>
      </c>
      <c r="M263" s="172">
        <v>3</v>
      </c>
      <c r="N263" s="170"/>
      <c r="O263" s="170"/>
      <c r="P263" s="170"/>
      <c r="Q263" s="180">
        <f>SUM(Tabela2[[#This Row],[G]]+Tabela2[[#This Row],[D]]+Tabela2[[#This Row],[N]]+Tabela2[[#This Row],[HM]])</f>
        <v>6</v>
      </c>
      <c r="R263" s="180">
        <f>SUM(Tabela2[[#This Row],[AO]]+Tabela2[[#This Row],[AD]]+Tabela2[[#This Row],[GWO]]+Tabela2[[#This Row],[GWD]])</f>
        <v>9</v>
      </c>
      <c r="S263" s="180">
        <f>Tabela2[[#This Row],[GWO]]+Tabela2[[#This Row],[GWD]]</f>
        <v>6</v>
      </c>
      <c r="T263" s="180">
        <f>SUM(Tabela2[[#This Row],[G]:[GWD]])</f>
        <v>15</v>
      </c>
    </row>
    <row r="264" spans="1:20" ht="30">
      <c r="A264" s="183">
        <v>263</v>
      </c>
      <c r="B264" s="172" t="s">
        <v>459</v>
      </c>
      <c r="C264" s="172" t="s">
        <v>394</v>
      </c>
      <c r="D264" s="172">
        <v>4</v>
      </c>
      <c r="E264" s="172" t="s">
        <v>250</v>
      </c>
      <c r="F264" s="172">
        <v>3</v>
      </c>
      <c r="G264" s="172">
        <v>1</v>
      </c>
      <c r="H264" s="172">
        <v>1</v>
      </c>
      <c r="I264" s="172">
        <v>1</v>
      </c>
      <c r="J264" s="172">
        <v>1</v>
      </c>
      <c r="K264" s="172">
        <v>1</v>
      </c>
      <c r="L264" s="172">
        <v>3</v>
      </c>
      <c r="M264" s="172">
        <v>1</v>
      </c>
      <c r="N264" s="170"/>
      <c r="O264" s="170"/>
      <c r="P264" s="170"/>
      <c r="Q264" s="180">
        <f>SUM(Tabela2[[#This Row],[G]]+Tabela2[[#This Row],[D]]+Tabela2[[#This Row],[N]]+Tabela2[[#This Row],[HM]])</f>
        <v>6</v>
      </c>
      <c r="R264" s="180">
        <f>SUM(Tabela2[[#This Row],[AO]]+Tabela2[[#This Row],[AD]]+Tabela2[[#This Row],[GWO]]+Tabela2[[#This Row],[GWD]])</f>
        <v>6</v>
      </c>
      <c r="S264" s="180">
        <f>Tabela2[[#This Row],[GWO]]+Tabela2[[#This Row],[GWD]]</f>
        <v>4</v>
      </c>
      <c r="T264" s="180">
        <f>SUM(Tabela2[[#This Row],[G]:[GWD]])</f>
        <v>12</v>
      </c>
    </row>
    <row r="265" spans="1:20" ht="30">
      <c r="A265" s="183">
        <v>264</v>
      </c>
      <c r="B265" s="172" t="s">
        <v>458</v>
      </c>
      <c r="C265" s="172" t="s">
        <v>392</v>
      </c>
      <c r="D265" s="172">
        <v>4</v>
      </c>
      <c r="E265" s="172" t="s">
        <v>250</v>
      </c>
      <c r="F265" s="172">
        <v>4</v>
      </c>
      <c r="G265" s="172">
        <v>1</v>
      </c>
      <c r="H265" s="172">
        <v>4</v>
      </c>
      <c r="I265" s="172">
        <v>1</v>
      </c>
      <c r="J265" s="172">
        <v>1</v>
      </c>
      <c r="K265" s="172">
        <v>1</v>
      </c>
      <c r="L265" s="172">
        <v>3</v>
      </c>
      <c r="M265" s="172">
        <v>1</v>
      </c>
      <c r="N265" s="172" t="s">
        <v>445</v>
      </c>
      <c r="O265" s="172"/>
      <c r="P265" s="172"/>
      <c r="Q265" s="186">
        <f>SUM(Tabela2[[#This Row],[G]]+Tabela2[[#This Row],[D]]+Tabela2[[#This Row],[N]]+Tabela2[[#This Row],[HM]])</f>
        <v>10</v>
      </c>
      <c r="R265" s="186">
        <f>SUM(Tabela2[[#This Row],[AO]]+Tabela2[[#This Row],[AD]]+Tabela2[[#This Row],[GWO]]+Tabela2[[#This Row],[GWD]])</f>
        <v>6</v>
      </c>
      <c r="S265" s="186">
        <f>Tabela2[[#This Row],[GWO]]+Tabela2[[#This Row],[GWD]]</f>
        <v>4</v>
      </c>
      <c r="T265" s="180">
        <f>SUM(Tabela2[[#This Row],[G]:[GWD]])</f>
        <v>16</v>
      </c>
    </row>
    <row r="266" spans="1:20">
      <c r="A266" s="183">
        <v>265</v>
      </c>
      <c r="B266" s="172" t="s">
        <v>356</v>
      </c>
      <c r="C266" s="172" t="s">
        <v>215</v>
      </c>
      <c r="D266" s="172">
        <v>4</v>
      </c>
      <c r="E266" s="172" t="s">
        <v>250</v>
      </c>
      <c r="F266" s="172">
        <v>5</v>
      </c>
      <c r="G266" s="172">
        <v>1</v>
      </c>
      <c r="H266" s="172">
        <v>5</v>
      </c>
      <c r="I266" s="172">
        <v>1</v>
      </c>
      <c r="J266" s="172">
        <v>1</v>
      </c>
      <c r="K266" s="172">
        <v>1</v>
      </c>
      <c r="L266" s="172">
        <v>3</v>
      </c>
      <c r="M266" s="172">
        <v>1</v>
      </c>
      <c r="N266" s="173"/>
      <c r="O266" s="173" t="s">
        <v>204</v>
      </c>
      <c r="P266" s="173"/>
      <c r="Q266" s="181">
        <f>SUM(Tabela2[[#This Row],[G]]+Tabela2[[#This Row],[D]]+Tabela2[[#This Row],[N]]+Tabela2[[#This Row],[HM]])</f>
        <v>12</v>
      </c>
      <c r="R266" s="181">
        <f>SUM(Tabela2[[#This Row],[AO]]+Tabela2[[#This Row],[AD]]+Tabela2[[#This Row],[GWO]]+Tabela2[[#This Row],[GWD]])</f>
        <v>6</v>
      </c>
      <c r="S266" s="181">
        <f>Tabela2[[#This Row],[GWO]]+Tabela2[[#This Row],[GWD]]</f>
        <v>4</v>
      </c>
      <c r="T266" s="181">
        <f>SUM(Tabela2[[#This Row],[G]:[GWD]])</f>
        <v>18</v>
      </c>
    </row>
    <row r="267" spans="1:20" ht="30">
      <c r="A267" s="183">
        <v>266</v>
      </c>
      <c r="B267" s="172" t="s">
        <v>457</v>
      </c>
      <c r="C267" s="172" t="s">
        <v>344</v>
      </c>
      <c r="D267" s="172">
        <v>4</v>
      </c>
      <c r="E267" s="172" t="s">
        <v>250</v>
      </c>
      <c r="F267" s="172">
        <v>3</v>
      </c>
      <c r="G267" s="172">
        <v>1</v>
      </c>
      <c r="H267" s="172">
        <v>1</v>
      </c>
      <c r="I267" s="172">
        <v>3</v>
      </c>
      <c r="J267" s="172">
        <v>1</v>
      </c>
      <c r="K267" s="172">
        <v>1</v>
      </c>
      <c r="L267" s="172">
        <v>2</v>
      </c>
      <c r="M267" s="172">
        <v>1</v>
      </c>
      <c r="N267" s="170"/>
      <c r="O267" s="170" t="s">
        <v>204</v>
      </c>
      <c r="P267" s="170"/>
      <c r="Q267" s="180">
        <f>SUM(Tabela2[[#This Row],[G]]+Tabela2[[#This Row],[D]]+Tabela2[[#This Row],[N]]+Tabela2[[#This Row],[HM]])</f>
        <v>6</v>
      </c>
      <c r="R267" s="180">
        <f>SUM(Tabela2[[#This Row],[AO]]+Tabela2[[#This Row],[AD]]+Tabela2[[#This Row],[GWO]]+Tabela2[[#This Row],[GWD]])</f>
        <v>7</v>
      </c>
      <c r="S267" s="180">
        <f>Tabela2[[#This Row],[GWO]]+Tabela2[[#This Row],[GWD]]</f>
        <v>3</v>
      </c>
      <c r="T267" s="180">
        <f>SUM(Tabela2[[#This Row],[G]:[GWD]])</f>
        <v>13</v>
      </c>
    </row>
    <row r="268" spans="1:20">
      <c r="A268" s="183">
        <v>267</v>
      </c>
      <c r="B268" s="172" t="s">
        <v>456</v>
      </c>
      <c r="C268" s="172" t="s">
        <v>388</v>
      </c>
      <c r="D268" s="172">
        <v>4</v>
      </c>
      <c r="E268" s="172" t="s">
        <v>250</v>
      </c>
      <c r="F268" s="172">
        <v>2</v>
      </c>
      <c r="G268" s="172">
        <v>1</v>
      </c>
      <c r="H268" s="172">
        <v>3</v>
      </c>
      <c r="I268" s="172">
        <v>1</v>
      </c>
      <c r="J268" s="172">
        <v>1</v>
      </c>
      <c r="K268" s="172">
        <v>1</v>
      </c>
      <c r="L268" s="172">
        <v>3</v>
      </c>
      <c r="M268" s="172">
        <v>1</v>
      </c>
      <c r="N268" s="170"/>
      <c r="O268" s="170"/>
      <c r="P268" s="170"/>
      <c r="Q268" s="180">
        <f>SUM(Tabela2[[#This Row],[G]]+Tabela2[[#This Row],[D]]+Tabela2[[#This Row],[N]]+Tabela2[[#This Row],[HM]])</f>
        <v>7</v>
      </c>
      <c r="R268" s="180">
        <f>SUM(Tabela2[[#This Row],[AO]]+Tabela2[[#This Row],[AD]]+Tabela2[[#This Row],[GWO]]+Tabela2[[#This Row],[GWD]])</f>
        <v>6</v>
      </c>
      <c r="S268" s="180">
        <f>Tabela2[[#This Row],[GWO]]+Tabela2[[#This Row],[GWD]]</f>
        <v>4</v>
      </c>
      <c r="T268" s="180">
        <f>SUM(Tabela2[[#This Row],[G]:[GWD]])</f>
        <v>13</v>
      </c>
    </row>
    <row r="269" spans="1:20" ht="30">
      <c r="A269" s="183">
        <v>268</v>
      </c>
      <c r="B269" s="172" t="s">
        <v>455</v>
      </c>
      <c r="C269" s="172" t="s">
        <v>386</v>
      </c>
      <c r="D269" s="172">
        <v>4</v>
      </c>
      <c r="E269" s="172" t="s">
        <v>250</v>
      </c>
      <c r="F269" s="172">
        <v>2</v>
      </c>
      <c r="G269" s="172">
        <v>1</v>
      </c>
      <c r="H269" s="172">
        <v>1</v>
      </c>
      <c r="I269" s="172">
        <v>1</v>
      </c>
      <c r="J269" s="172">
        <v>1</v>
      </c>
      <c r="K269" s="172">
        <v>1</v>
      </c>
      <c r="L269" s="172">
        <v>3</v>
      </c>
      <c r="M269" s="172">
        <v>1</v>
      </c>
      <c r="N269" s="170"/>
      <c r="O269" s="170"/>
      <c r="P269" s="170"/>
      <c r="Q269" s="180">
        <f>SUM(Tabela2[[#This Row],[G]]+Tabela2[[#This Row],[D]]+Tabela2[[#This Row],[N]]+Tabela2[[#This Row],[HM]])</f>
        <v>5</v>
      </c>
      <c r="R269" s="180">
        <f>SUM(Tabela2[[#This Row],[AO]]+Tabela2[[#This Row],[AD]]+Tabela2[[#This Row],[GWO]]+Tabela2[[#This Row],[GWD]])</f>
        <v>6</v>
      </c>
      <c r="S269" s="180">
        <f>Tabela2[[#This Row],[GWO]]+Tabela2[[#This Row],[GWD]]</f>
        <v>4</v>
      </c>
      <c r="T269" s="180">
        <f>SUM(Tabela2[[#This Row],[G]:[GWD]])</f>
        <v>11</v>
      </c>
    </row>
    <row r="270" spans="1:20">
      <c r="A270" s="183">
        <v>269</v>
      </c>
      <c r="B270" s="172" t="s">
        <v>454</v>
      </c>
      <c r="C270" s="172" t="s">
        <v>384</v>
      </c>
      <c r="D270" s="172">
        <v>4</v>
      </c>
      <c r="E270" s="172" t="s">
        <v>250</v>
      </c>
      <c r="F270" s="172">
        <v>3</v>
      </c>
      <c r="G270" s="172">
        <v>1</v>
      </c>
      <c r="H270" s="172">
        <v>4</v>
      </c>
      <c r="I270" s="172">
        <v>2</v>
      </c>
      <c r="J270" s="172">
        <v>1</v>
      </c>
      <c r="K270" s="172">
        <v>1</v>
      </c>
      <c r="L270" s="172">
        <v>3</v>
      </c>
      <c r="M270" s="172">
        <v>1</v>
      </c>
      <c r="N270" s="170"/>
      <c r="O270" s="170"/>
      <c r="P270" s="170"/>
      <c r="Q270" s="180">
        <f>SUM(Tabela2[[#This Row],[G]]+Tabela2[[#This Row],[D]]+Tabela2[[#This Row],[N]]+Tabela2[[#This Row],[HM]])</f>
        <v>9</v>
      </c>
      <c r="R270" s="180">
        <f>SUM(Tabela2[[#This Row],[AO]]+Tabela2[[#This Row],[AD]]+Tabela2[[#This Row],[GWO]]+Tabela2[[#This Row],[GWD]])</f>
        <v>7</v>
      </c>
      <c r="S270" s="180">
        <f>Tabela2[[#This Row],[GWO]]+Tabela2[[#This Row],[GWD]]</f>
        <v>4</v>
      </c>
      <c r="T270" s="180">
        <f>SUM(Tabela2[[#This Row],[G]:[GWD]])</f>
        <v>16</v>
      </c>
    </row>
    <row r="271" spans="1:20">
      <c r="A271" s="183">
        <v>270</v>
      </c>
      <c r="B271" s="172" t="s">
        <v>453</v>
      </c>
      <c r="C271" s="172" t="s">
        <v>382</v>
      </c>
      <c r="D271" s="172">
        <v>4</v>
      </c>
      <c r="E271" s="172" t="s">
        <v>250</v>
      </c>
      <c r="F271" s="172">
        <v>1</v>
      </c>
      <c r="G271" s="172">
        <v>1</v>
      </c>
      <c r="H271" s="172">
        <v>1</v>
      </c>
      <c r="I271" s="172">
        <v>1</v>
      </c>
      <c r="J271" s="172">
        <v>1</v>
      </c>
      <c r="K271" s="172">
        <v>1</v>
      </c>
      <c r="L271" s="172">
        <v>3</v>
      </c>
      <c r="M271" s="172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6</v>
      </c>
      <c r="S271" s="180">
        <f>Tabela2[[#This Row],[GWO]]+Tabela2[[#This Row],[GWD]]</f>
        <v>4</v>
      </c>
      <c r="T271" s="180">
        <f>SUM(Tabela2[[#This Row],[G]:[GWD]])</f>
        <v>10</v>
      </c>
    </row>
    <row r="272" spans="1:20" ht="30">
      <c r="A272" s="183">
        <v>271</v>
      </c>
      <c r="B272" s="172" t="s">
        <v>452</v>
      </c>
      <c r="C272" s="172" t="s">
        <v>451</v>
      </c>
      <c r="D272" s="172">
        <v>4</v>
      </c>
      <c r="E272" s="172" t="s">
        <v>250</v>
      </c>
      <c r="F272" s="172">
        <v>5</v>
      </c>
      <c r="G272" s="172">
        <v>3</v>
      </c>
      <c r="H272" s="172">
        <v>3</v>
      </c>
      <c r="I272" s="172">
        <v>4</v>
      </c>
      <c r="J272" s="172">
        <v>5</v>
      </c>
      <c r="K272" s="172">
        <v>5</v>
      </c>
      <c r="L272" s="172">
        <v>5</v>
      </c>
      <c r="M272" s="172">
        <v>5</v>
      </c>
      <c r="N272" s="170"/>
      <c r="O272" s="170"/>
      <c r="P272" s="170"/>
      <c r="Q272" s="180">
        <f>SUM(Tabela2[[#This Row],[G]]+Tabela2[[#This Row],[D]]+Tabela2[[#This Row],[N]]+Tabela2[[#This Row],[HM]])</f>
        <v>16</v>
      </c>
      <c r="R272" s="180">
        <f>SUM(Tabela2[[#This Row],[AO]]+Tabela2[[#This Row],[AD]]+Tabela2[[#This Row],[GWO]]+Tabela2[[#This Row],[GWD]])</f>
        <v>19</v>
      </c>
      <c r="S272" s="180">
        <f>Tabela2[[#This Row],[GWO]]+Tabela2[[#This Row],[GWD]]</f>
        <v>10</v>
      </c>
      <c r="T272" s="180">
        <f>SUM(Tabela2[[#This Row],[G]:[GWD]])</f>
        <v>35</v>
      </c>
    </row>
    <row r="273" spans="1:20">
      <c r="A273" s="183">
        <v>272</v>
      </c>
      <c r="B273" s="172" t="s">
        <v>450</v>
      </c>
      <c r="C273" s="172" t="s">
        <v>227</v>
      </c>
      <c r="D273" s="172">
        <v>4</v>
      </c>
      <c r="E273" s="172" t="s">
        <v>250</v>
      </c>
      <c r="F273" s="172">
        <v>2</v>
      </c>
      <c r="G273" s="172">
        <v>1</v>
      </c>
      <c r="H273" s="172">
        <v>4</v>
      </c>
      <c r="I273" s="172">
        <v>1</v>
      </c>
      <c r="J273" s="172">
        <v>1</v>
      </c>
      <c r="K273" s="172">
        <v>1</v>
      </c>
      <c r="L273" s="172">
        <v>3</v>
      </c>
      <c r="M273" s="172">
        <v>1</v>
      </c>
      <c r="N273" s="170"/>
      <c r="O273" s="170"/>
      <c r="P273" s="170"/>
      <c r="Q273" s="180">
        <f>SUM(Tabela2[[#This Row],[G]]+Tabela2[[#This Row],[D]]+Tabela2[[#This Row],[N]]+Tabela2[[#This Row],[HM]])</f>
        <v>8</v>
      </c>
      <c r="R273" s="180">
        <f>SUM(Tabela2[[#This Row],[AO]]+Tabela2[[#This Row],[AD]]+Tabela2[[#This Row],[GWO]]+Tabela2[[#This Row],[GWD]])</f>
        <v>6</v>
      </c>
      <c r="S273" s="180">
        <f>Tabela2[[#This Row],[GWO]]+Tabela2[[#This Row],[GWD]]</f>
        <v>4</v>
      </c>
      <c r="T273" s="180">
        <f>SUM(Tabela2[[#This Row],[G]:[GWD]])</f>
        <v>14</v>
      </c>
    </row>
    <row r="274" spans="1:20">
      <c r="A274" s="183">
        <v>273</v>
      </c>
      <c r="B274" s="172" t="s">
        <v>449</v>
      </c>
      <c r="C274" s="172" t="s">
        <v>225</v>
      </c>
      <c r="D274" s="172">
        <v>4</v>
      </c>
      <c r="E274" s="172" t="s">
        <v>250</v>
      </c>
      <c r="F274" s="172">
        <v>2</v>
      </c>
      <c r="G274" s="172">
        <v>1</v>
      </c>
      <c r="H274" s="172">
        <v>1</v>
      </c>
      <c r="I274" s="172">
        <v>3</v>
      </c>
      <c r="J274" s="172">
        <v>1</v>
      </c>
      <c r="K274" s="172">
        <v>1</v>
      </c>
      <c r="L274" s="172">
        <v>2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5</v>
      </c>
      <c r="R274" s="180">
        <f>SUM(Tabela2[[#This Row],[AO]]+Tabela2[[#This Row],[AD]]+Tabela2[[#This Row],[GWO]]+Tabela2[[#This Row],[GWD]])</f>
        <v>7</v>
      </c>
      <c r="S274" s="180">
        <f>Tabela2[[#This Row],[GWO]]+Tabela2[[#This Row],[GWD]]</f>
        <v>3</v>
      </c>
      <c r="T274" s="180">
        <f>SUM(Tabela2[[#This Row],[G]:[GWD]])</f>
        <v>12</v>
      </c>
    </row>
    <row r="275" spans="1:20">
      <c r="A275" s="183">
        <v>274</v>
      </c>
      <c r="B275" s="172" t="s">
        <v>448</v>
      </c>
      <c r="C275" s="172" t="s">
        <v>378</v>
      </c>
      <c r="D275" s="172">
        <v>4</v>
      </c>
      <c r="E275" s="172" t="s">
        <v>250</v>
      </c>
      <c r="F275" s="172">
        <v>5</v>
      </c>
      <c r="G275" s="172">
        <v>1</v>
      </c>
      <c r="H275" s="172">
        <v>1</v>
      </c>
      <c r="I275" s="172">
        <v>1</v>
      </c>
      <c r="J275" s="172">
        <v>1</v>
      </c>
      <c r="K275" s="172">
        <v>3</v>
      </c>
      <c r="L275" s="172">
        <v>3</v>
      </c>
      <c r="M275" s="172">
        <v>2</v>
      </c>
      <c r="N275" s="170"/>
      <c r="O275" s="170"/>
      <c r="P275" s="170"/>
      <c r="Q275" s="180">
        <f>SUM(Tabela2[[#This Row],[G]]+Tabela2[[#This Row],[D]]+Tabela2[[#This Row],[N]]+Tabela2[[#This Row],[HM]])</f>
        <v>10</v>
      </c>
      <c r="R275" s="180">
        <f>SUM(Tabela2[[#This Row],[AO]]+Tabela2[[#This Row],[AD]]+Tabela2[[#This Row],[GWO]]+Tabela2[[#This Row],[GWD]])</f>
        <v>7</v>
      </c>
      <c r="S275" s="180">
        <f>Tabela2[[#This Row],[GWO]]+Tabela2[[#This Row],[GWD]]</f>
        <v>5</v>
      </c>
      <c r="T275" s="180">
        <f>SUM(Tabela2[[#This Row],[G]:[GWD]])</f>
        <v>17</v>
      </c>
    </row>
    <row r="276" spans="1:20">
      <c r="A276" s="183">
        <v>275</v>
      </c>
      <c r="B276" s="172" t="s">
        <v>447</v>
      </c>
      <c r="C276" s="172" t="s">
        <v>226</v>
      </c>
      <c r="D276" s="172">
        <v>4</v>
      </c>
      <c r="E276" s="172" t="s">
        <v>250</v>
      </c>
      <c r="F276" s="172">
        <v>4</v>
      </c>
      <c r="G276" s="172">
        <v>1</v>
      </c>
      <c r="H276" s="172">
        <v>1</v>
      </c>
      <c r="I276" s="172">
        <v>3</v>
      </c>
      <c r="J276" s="172">
        <v>3</v>
      </c>
      <c r="K276" s="172">
        <v>2</v>
      </c>
      <c r="L276" s="172">
        <v>4</v>
      </c>
      <c r="M276" s="172">
        <v>2</v>
      </c>
      <c r="N276" s="170"/>
      <c r="O276" s="204" t="s">
        <v>204</v>
      </c>
      <c r="P276" s="170"/>
      <c r="Q276" s="180">
        <f>SUM(Tabela2[[#This Row],[G]]+Tabela2[[#This Row],[D]]+Tabela2[[#This Row],[N]]+Tabela2[[#This Row],[HM]])</f>
        <v>8</v>
      </c>
      <c r="R276" s="180">
        <f>SUM(Tabela2[[#This Row],[AO]]+Tabela2[[#This Row],[AD]]+Tabela2[[#This Row],[GWO]]+Tabela2[[#This Row],[GWD]])</f>
        <v>12</v>
      </c>
      <c r="S276" s="180">
        <f>Tabela2[[#This Row],[GWO]]+Tabela2[[#This Row],[GWD]]</f>
        <v>6</v>
      </c>
      <c r="T276" s="180">
        <f>SUM(Tabela2[[#This Row],[G]:[GWD]])</f>
        <v>20</v>
      </c>
    </row>
    <row r="277" spans="1:20">
      <c r="A277" s="183">
        <v>276</v>
      </c>
      <c r="B277" s="172" t="s">
        <v>446</v>
      </c>
      <c r="C277" s="172" t="s">
        <v>184</v>
      </c>
      <c r="D277" s="172">
        <v>4</v>
      </c>
      <c r="E277" s="172" t="s">
        <v>250</v>
      </c>
      <c r="F277" s="172">
        <v>4</v>
      </c>
      <c r="G277" s="172">
        <v>1</v>
      </c>
      <c r="H277" s="172">
        <v>1</v>
      </c>
      <c r="I277" s="172">
        <v>1</v>
      </c>
      <c r="J277" s="172">
        <v>1</v>
      </c>
      <c r="K277" s="172">
        <v>1</v>
      </c>
      <c r="L277" s="172">
        <v>3</v>
      </c>
      <c r="M277" s="172">
        <v>1</v>
      </c>
      <c r="N277" s="172" t="s">
        <v>445</v>
      </c>
      <c r="O277" s="172"/>
      <c r="P277" s="172"/>
      <c r="Q277" s="186">
        <f>SUM(Tabela2[[#This Row],[G]]+Tabela2[[#This Row],[D]]+Tabela2[[#This Row],[N]]+Tabela2[[#This Row],[HM]])</f>
        <v>7</v>
      </c>
      <c r="R277" s="186">
        <f>SUM(Tabela2[[#This Row],[AO]]+Tabela2[[#This Row],[AD]]+Tabela2[[#This Row],[GWO]]+Tabela2[[#This Row],[GWD]])</f>
        <v>6</v>
      </c>
      <c r="S277" s="186">
        <f>Tabela2[[#This Row],[GWO]]+Tabela2[[#This Row],[GWD]]</f>
        <v>4</v>
      </c>
      <c r="T277" s="180">
        <f>SUM(Tabela2[[#This Row],[G]:[GWD]])</f>
        <v>13</v>
      </c>
    </row>
    <row r="278" spans="1:20">
      <c r="A278" s="183">
        <v>277</v>
      </c>
      <c r="B278" s="172" t="s">
        <v>444</v>
      </c>
      <c r="C278" s="172" t="s">
        <v>376</v>
      </c>
      <c r="D278" s="172">
        <v>4</v>
      </c>
      <c r="E278" s="172" t="s">
        <v>250</v>
      </c>
      <c r="F278" s="172">
        <v>3</v>
      </c>
      <c r="G278" s="172">
        <v>1</v>
      </c>
      <c r="H278" s="172">
        <v>1</v>
      </c>
      <c r="I278" s="172">
        <v>3</v>
      </c>
      <c r="J278" s="172">
        <v>1</v>
      </c>
      <c r="K278" s="172">
        <v>3</v>
      </c>
      <c r="L278" s="172">
        <v>1</v>
      </c>
      <c r="M278" s="172">
        <v>1</v>
      </c>
      <c r="N278" s="170"/>
      <c r="O278" s="170"/>
      <c r="P278" s="170"/>
      <c r="Q278" s="180">
        <f>SUM(Tabela2[[#This Row],[G]]+Tabela2[[#This Row],[D]]+Tabela2[[#This Row],[N]]+Tabela2[[#This Row],[HM]])</f>
        <v>8</v>
      </c>
      <c r="R278" s="180">
        <f>SUM(Tabela2[[#This Row],[AO]]+Tabela2[[#This Row],[AD]]+Tabela2[[#This Row],[GWO]]+Tabela2[[#This Row],[GWD]])</f>
        <v>6</v>
      </c>
      <c r="S278" s="180">
        <f>Tabela2[[#This Row],[GWO]]+Tabela2[[#This Row],[GWD]]</f>
        <v>2</v>
      </c>
      <c r="T278" s="180">
        <f>SUM(Tabela2[[#This Row],[G]:[GWD]])</f>
        <v>14</v>
      </c>
    </row>
    <row r="279" spans="1:20">
      <c r="A279" s="183">
        <v>278</v>
      </c>
      <c r="B279" s="171" t="s">
        <v>443</v>
      </c>
      <c r="C279" s="171" t="s">
        <v>419</v>
      </c>
      <c r="D279" s="171">
        <v>4</v>
      </c>
      <c r="E279" s="171" t="s">
        <v>251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3</v>
      </c>
      <c r="M279" s="171">
        <v>1</v>
      </c>
      <c r="N279" s="170"/>
      <c r="O279" s="170"/>
      <c r="P279" s="170"/>
      <c r="Q279" s="180">
        <f>SUM(Tabela2[[#This Row],[G]]+Tabela2[[#This Row],[D]]+Tabela2[[#This Row],[N]]+Tabela2[[#This Row],[HM]])</f>
        <v>4</v>
      </c>
      <c r="R279" s="180">
        <f>SUM(Tabela2[[#This Row],[AO]]+Tabela2[[#This Row],[AD]]+Tabela2[[#This Row],[GWO]]+Tabela2[[#This Row],[GWD]])</f>
        <v>6</v>
      </c>
      <c r="S279" s="180">
        <f>Tabela2[[#This Row],[GWO]]+Tabela2[[#This Row],[GWD]]</f>
        <v>4</v>
      </c>
      <c r="T279" s="180">
        <f>SUM(Tabela2[[#This Row],[G]:[GWD]])</f>
        <v>10</v>
      </c>
    </row>
    <row r="280" spans="1:20" ht="30">
      <c r="A280" s="183">
        <v>279</v>
      </c>
      <c r="B280" s="171" t="s">
        <v>442</v>
      </c>
      <c r="C280" s="171" t="s">
        <v>441</v>
      </c>
      <c r="D280" s="171">
        <v>4</v>
      </c>
      <c r="E280" s="171" t="s">
        <v>251</v>
      </c>
      <c r="F280" s="171">
        <v>2</v>
      </c>
      <c r="G280" s="171">
        <v>2</v>
      </c>
      <c r="H280" s="171">
        <v>2</v>
      </c>
      <c r="I280" s="171">
        <v>3</v>
      </c>
      <c r="J280" s="171">
        <v>1</v>
      </c>
      <c r="K280" s="171">
        <v>1</v>
      </c>
      <c r="L280" s="171">
        <v>4</v>
      </c>
      <c r="M280" s="171">
        <v>1</v>
      </c>
      <c r="N280" s="170"/>
      <c r="O280" s="170"/>
      <c r="P280" s="170"/>
      <c r="Q280" s="180">
        <f>SUM(Tabela2[[#This Row],[G]]+Tabela2[[#This Row],[D]]+Tabela2[[#This Row],[N]]+Tabela2[[#This Row],[HM]])</f>
        <v>7</v>
      </c>
      <c r="R280" s="180">
        <f>SUM(Tabela2[[#This Row],[AO]]+Tabela2[[#This Row],[AD]]+Tabela2[[#This Row],[GWO]]+Tabela2[[#This Row],[GWD]])</f>
        <v>9</v>
      </c>
      <c r="S280" s="180">
        <f>Tabela2[[#This Row],[GWO]]+Tabela2[[#This Row],[GWD]]</f>
        <v>5</v>
      </c>
      <c r="T280" s="180">
        <f>SUM(Tabela2[[#This Row],[G]:[GWD]])</f>
        <v>16</v>
      </c>
    </row>
    <row r="281" spans="1:20" ht="30">
      <c r="A281" s="183">
        <v>280</v>
      </c>
      <c r="B281" s="171" t="s">
        <v>440</v>
      </c>
      <c r="C281" s="171" t="s">
        <v>415</v>
      </c>
      <c r="D281" s="171">
        <v>4</v>
      </c>
      <c r="E281" s="171" t="s">
        <v>251</v>
      </c>
      <c r="F281" s="171">
        <v>1</v>
      </c>
      <c r="G281" s="171">
        <v>1</v>
      </c>
      <c r="H281" s="171">
        <v>1</v>
      </c>
      <c r="I281" s="171">
        <v>4</v>
      </c>
      <c r="J281" s="171">
        <v>3</v>
      </c>
      <c r="K281" s="171">
        <v>3</v>
      </c>
      <c r="L281" s="171">
        <v>3</v>
      </c>
      <c r="M281" s="171">
        <v>3</v>
      </c>
      <c r="N281" s="170"/>
      <c r="O281" s="170"/>
      <c r="P281" s="170"/>
      <c r="Q281" s="180">
        <f>SUM(Tabela2[[#This Row],[G]]+Tabela2[[#This Row],[D]]+Tabela2[[#This Row],[N]]+Tabela2[[#This Row],[HM]])</f>
        <v>6</v>
      </c>
      <c r="R281" s="180">
        <f>SUM(Tabela2[[#This Row],[AO]]+Tabela2[[#This Row],[AD]]+Tabela2[[#This Row],[GWO]]+Tabela2[[#This Row],[GWD]])</f>
        <v>13</v>
      </c>
      <c r="S281" s="180">
        <f>Tabela2[[#This Row],[GWO]]+Tabela2[[#This Row],[GWD]]</f>
        <v>6</v>
      </c>
      <c r="T281" s="180">
        <f>SUM(Tabela2[[#This Row],[G]:[GWD]])</f>
        <v>19</v>
      </c>
    </row>
    <row r="282" spans="1:20" ht="30">
      <c r="A282" s="183">
        <v>281</v>
      </c>
      <c r="B282" s="171" t="s">
        <v>439</v>
      </c>
      <c r="C282" s="171" t="s">
        <v>357</v>
      </c>
      <c r="D282" s="171">
        <v>4</v>
      </c>
      <c r="E282" s="171" t="s">
        <v>251</v>
      </c>
      <c r="F282" s="171">
        <v>3</v>
      </c>
      <c r="G282" s="171">
        <v>1</v>
      </c>
      <c r="H282" s="171">
        <v>1</v>
      </c>
      <c r="I282" s="171">
        <v>1</v>
      </c>
      <c r="J282" s="171">
        <v>3</v>
      </c>
      <c r="K282" s="171">
        <v>1</v>
      </c>
      <c r="L282" s="171">
        <v>3</v>
      </c>
      <c r="M282" s="171">
        <v>3</v>
      </c>
      <c r="N282" s="170"/>
      <c r="O282" s="170"/>
      <c r="P282" s="170"/>
      <c r="Q282" s="180">
        <f>SUM(Tabela2[[#This Row],[G]]+Tabela2[[#This Row],[D]]+Tabela2[[#This Row],[N]]+Tabela2[[#This Row],[HM]])</f>
        <v>6</v>
      </c>
      <c r="R282" s="180">
        <f>SUM(Tabela2[[#This Row],[AO]]+Tabela2[[#This Row],[AD]]+Tabela2[[#This Row],[GWO]]+Tabela2[[#This Row],[GWD]])</f>
        <v>10</v>
      </c>
      <c r="S282" s="180">
        <f>Tabela2[[#This Row],[GWO]]+Tabela2[[#This Row],[GWD]]</f>
        <v>6</v>
      </c>
      <c r="T282" s="180">
        <f>SUM(Tabela2[[#This Row],[G]:[GWD]])</f>
        <v>16</v>
      </c>
    </row>
    <row r="283" spans="1:20">
      <c r="A283" s="183">
        <v>282</v>
      </c>
      <c r="B283" s="171" t="s">
        <v>438</v>
      </c>
      <c r="C283" s="171" t="s">
        <v>210</v>
      </c>
      <c r="D283" s="171">
        <v>4</v>
      </c>
      <c r="E283" s="171" t="s">
        <v>251</v>
      </c>
      <c r="F283" s="171">
        <v>1</v>
      </c>
      <c r="G283" s="171">
        <v>1</v>
      </c>
      <c r="H283" s="171">
        <v>1</v>
      </c>
      <c r="I283" s="171">
        <v>4</v>
      </c>
      <c r="J283" s="171">
        <v>1</v>
      </c>
      <c r="K283" s="171">
        <v>3</v>
      </c>
      <c r="L283" s="171">
        <v>4</v>
      </c>
      <c r="M283" s="171">
        <v>3</v>
      </c>
      <c r="N283" s="170"/>
      <c r="O283" s="170"/>
      <c r="P283" s="170"/>
      <c r="Q283" s="180">
        <f>SUM(Tabela2[[#This Row],[G]]+Tabela2[[#This Row],[D]]+Tabela2[[#This Row],[N]]+Tabela2[[#This Row],[HM]])</f>
        <v>6</v>
      </c>
      <c r="R283" s="180">
        <f>SUM(Tabela2[[#This Row],[AO]]+Tabela2[[#This Row],[AD]]+Tabela2[[#This Row],[GWO]]+Tabela2[[#This Row],[GWD]])</f>
        <v>12</v>
      </c>
      <c r="S283" s="180">
        <f>Tabela2[[#This Row],[GWO]]+Tabela2[[#This Row],[GWD]]</f>
        <v>7</v>
      </c>
      <c r="T283" s="180">
        <f>SUM(Tabela2[[#This Row],[G]:[GWD]])</f>
        <v>18</v>
      </c>
    </row>
    <row r="284" spans="1:20" ht="30">
      <c r="A284" s="183">
        <v>283</v>
      </c>
      <c r="B284" s="171" t="s">
        <v>437</v>
      </c>
      <c r="C284" s="171" t="s">
        <v>409</v>
      </c>
      <c r="D284" s="171">
        <v>4</v>
      </c>
      <c r="E284" s="171" t="s">
        <v>251</v>
      </c>
      <c r="F284" s="171">
        <v>1</v>
      </c>
      <c r="G284" s="171">
        <v>1</v>
      </c>
      <c r="H284" s="171">
        <v>2</v>
      </c>
      <c r="I284" s="171">
        <v>4</v>
      </c>
      <c r="J284" s="171">
        <v>2</v>
      </c>
      <c r="K284" s="171">
        <v>1</v>
      </c>
      <c r="L284" s="171">
        <v>3</v>
      </c>
      <c r="M284" s="171">
        <v>1</v>
      </c>
      <c r="N284" s="170"/>
      <c r="O284" s="170"/>
      <c r="P284" s="170"/>
      <c r="Q284" s="180">
        <f>SUM(Tabela2[[#This Row],[G]]+Tabela2[[#This Row],[D]]+Tabela2[[#This Row],[N]]+Tabela2[[#This Row],[HM]])</f>
        <v>5</v>
      </c>
      <c r="R284" s="180">
        <f>SUM(Tabela2[[#This Row],[AO]]+Tabela2[[#This Row],[AD]]+Tabela2[[#This Row],[GWO]]+Tabela2[[#This Row],[GWD]])</f>
        <v>10</v>
      </c>
      <c r="S284" s="180">
        <f>Tabela2[[#This Row],[GWO]]+Tabela2[[#This Row],[GWD]]</f>
        <v>4</v>
      </c>
      <c r="T284" s="180">
        <f>SUM(Tabela2[[#This Row],[G]:[GWD]])</f>
        <v>15</v>
      </c>
    </row>
    <row r="285" spans="1:20" ht="30">
      <c r="A285" s="183">
        <v>284</v>
      </c>
      <c r="B285" s="171" t="s">
        <v>436</v>
      </c>
      <c r="C285" s="171" t="s">
        <v>407</v>
      </c>
      <c r="D285" s="171">
        <v>4</v>
      </c>
      <c r="E285" s="171" t="s">
        <v>251</v>
      </c>
      <c r="F285" s="171">
        <v>2</v>
      </c>
      <c r="G285" s="171">
        <v>2</v>
      </c>
      <c r="H285" s="171">
        <v>4</v>
      </c>
      <c r="I285" s="171">
        <v>4</v>
      </c>
      <c r="J285" s="171">
        <v>4</v>
      </c>
      <c r="K285" s="171">
        <v>1</v>
      </c>
      <c r="L285" s="171">
        <v>5</v>
      </c>
      <c r="M285" s="171">
        <v>4</v>
      </c>
      <c r="N285" s="170"/>
      <c r="O285" s="170"/>
      <c r="P285" s="170"/>
      <c r="Q285" s="180">
        <f>SUM(Tabela2[[#This Row],[G]]+Tabela2[[#This Row],[D]]+Tabela2[[#This Row],[N]]+Tabela2[[#This Row],[HM]])</f>
        <v>9</v>
      </c>
      <c r="R285" s="180">
        <f>SUM(Tabela2[[#This Row],[AO]]+Tabela2[[#This Row],[AD]]+Tabela2[[#This Row],[GWO]]+Tabela2[[#This Row],[GWD]])</f>
        <v>17</v>
      </c>
      <c r="S285" s="180">
        <f>Tabela2[[#This Row],[GWO]]+Tabela2[[#This Row],[GWD]]</f>
        <v>9</v>
      </c>
      <c r="T285" s="180">
        <f>SUM(Tabela2[[#This Row],[G]:[GWD]])</f>
        <v>26</v>
      </c>
    </row>
    <row r="286" spans="1:20">
      <c r="A286" s="183">
        <v>285</v>
      </c>
      <c r="B286" s="171" t="s">
        <v>435</v>
      </c>
      <c r="C286" s="171" t="s">
        <v>405</v>
      </c>
      <c r="D286" s="171">
        <v>4</v>
      </c>
      <c r="E286" s="171" t="s">
        <v>251</v>
      </c>
      <c r="F286" s="171">
        <v>1</v>
      </c>
      <c r="G286" s="171">
        <v>1</v>
      </c>
      <c r="H286" s="171">
        <v>1</v>
      </c>
      <c r="I286" s="171">
        <v>1</v>
      </c>
      <c r="J286" s="171">
        <v>3</v>
      </c>
      <c r="K286" s="171">
        <v>1</v>
      </c>
      <c r="L286" s="171">
        <v>3</v>
      </c>
      <c r="M286" s="171">
        <v>3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10</v>
      </c>
      <c r="S286" s="180">
        <f>Tabela2[[#This Row],[GWO]]+Tabela2[[#This Row],[GWD]]</f>
        <v>6</v>
      </c>
      <c r="T286" s="180">
        <f>SUM(Tabela2[[#This Row],[G]:[GWD]])</f>
        <v>14</v>
      </c>
    </row>
    <row r="287" spans="1:20" ht="30">
      <c r="A287" s="183">
        <v>286</v>
      </c>
      <c r="B287" s="171" t="s">
        <v>434</v>
      </c>
      <c r="C287" s="171" t="s">
        <v>403</v>
      </c>
      <c r="D287" s="171">
        <v>4</v>
      </c>
      <c r="E287" s="171" t="s">
        <v>251</v>
      </c>
      <c r="F287" s="171">
        <v>3</v>
      </c>
      <c r="G287" s="171">
        <v>3</v>
      </c>
      <c r="H287" s="171">
        <v>4</v>
      </c>
      <c r="I287" s="171">
        <v>2</v>
      </c>
      <c r="J287" s="171">
        <v>2</v>
      </c>
      <c r="K287" s="171">
        <v>2</v>
      </c>
      <c r="L287" s="171">
        <v>3</v>
      </c>
      <c r="M287" s="171">
        <v>2</v>
      </c>
      <c r="N287" s="170"/>
      <c r="O287" s="194" t="s">
        <v>204</v>
      </c>
      <c r="P287" s="170"/>
      <c r="Q287" s="180">
        <f>SUM(Tabela2[[#This Row],[G]]+Tabela2[[#This Row],[D]]+Tabela2[[#This Row],[N]]+Tabela2[[#This Row],[HM]])</f>
        <v>12</v>
      </c>
      <c r="R287" s="180">
        <f>SUM(Tabela2[[#This Row],[AO]]+Tabela2[[#This Row],[AD]]+Tabela2[[#This Row],[GWO]]+Tabela2[[#This Row],[GWD]])</f>
        <v>9</v>
      </c>
      <c r="S287" s="180">
        <f>Tabela2[[#This Row],[GWO]]+Tabela2[[#This Row],[GWD]]</f>
        <v>5</v>
      </c>
      <c r="T287" s="180">
        <f>SUM(Tabela2[[#This Row],[G]:[GWD]])</f>
        <v>21</v>
      </c>
    </row>
    <row r="288" spans="1:20" ht="30">
      <c r="A288" s="183">
        <v>287</v>
      </c>
      <c r="B288" s="171" t="s">
        <v>433</v>
      </c>
      <c r="C288" s="171" t="s">
        <v>400</v>
      </c>
      <c r="D288" s="171">
        <v>4</v>
      </c>
      <c r="E288" s="171" t="s">
        <v>251</v>
      </c>
      <c r="F288" s="171">
        <v>1</v>
      </c>
      <c r="G288" s="171">
        <v>1</v>
      </c>
      <c r="H288" s="171">
        <v>1</v>
      </c>
      <c r="I288" s="171">
        <v>2</v>
      </c>
      <c r="J288" s="171">
        <v>1</v>
      </c>
      <c r="K288" s="171">
        <v>1</v>
      </c>
      <c r="L288" s="171">
        <v>4</v>
      </c>
      <c r="M288" s="171">
        <v>1</v>
      </c>
      <c r="N288" s="170"/>
      <c r="O288" s="170"/>
      <c r="P288" s="170"/>
      <c r="Q288" s="180">
        <f>SUM(Tabela2[[#This Row],[G]]+Tabela2[[#This Row],[D]]+Tabela2[[#This Row],[N]]+Tabela2[[#This Row],[HM]])</f>
        <v>4</v>
      </c>
      <c r="R288" s="180">
        <f>SUM(Tabela2[[#This Row],[AO]]+Tabela2[[#This Row],[AD]]+Tabela2[[#This Row],[GWO]]+Tabela2[[#This Row],[GWD]])</f>
        <v>8</v>
      </c>
      <c r="S288" s="180">
        <f>Tabela2[[#This Row],[GWO]]+Tabela2[[#This Row],[GWD]]</f>
        <v>5</v>
      </c>
      <c r="T288" s="180">
        <f>SUM(Tabela2[[#This Row],[G]:[GWD]])</f>
        <v>12</v>
      </c>
    </row>
    <row r="289" spans="1:20">
      <c r="A289" s="183">
        <v>288</v>
      </c>
      <c r="B289" s="171" t="s">
        <v>432</v>
      </c>
      <c r="C289" s="171" t="s">
        <v>398</v>
      </c>
      <c r="D289" s="171">
        <v>4</v>
      </c>
      <c r="E289" s="171" t="s">
        <v>251</v>
      </c>
      <c r="F289" s="171">
        <v>3</v>
      </c>
      <c r="G289" s="171">
        <v>2</v>
      </c>
      <c r="H289" s="171">
        <v>1</v>
      </c>
      <c r="I289" s="171">
        <v>1</v>
      </c>
      <c r="J289" s="171">
        <v>3</v>
      </c>
      <c r="K289" s="171">
        <v>1</v>
      </c>
      <c r="L289" s="171">
        <v>3</v>
      </c>
      <c r="M289" s="171">
        <v>5</v>
      </c>
      <c r="N289" s="170"/>
      <c r="O289" s="170"/>
      <c r="P289" s="170"/>
      <c r="Q289" s="180">
        <f>SUM(Tabela2[[#This Row],[G]]+Tabela2[[#This Row],[D]]+Tabela2[[#This Row],[N]]+Tabela2[[#This Row],[HM]])</f>
        <v>7</v>
      </c>
      <c r="R289" s="180">
        <f>SUM(Tabela2[[#This Row],[AO]]+Tabela2[[#This Row],[AD]]+Tabela2[[#This Row],[GWO]]+Tabela2[[#This Row],[GWD]])</f>
        <v>12</v>
      </c>
      <c r="S289" s="180">
        <f>Tabela2[[#This Row],[GWO]]+Tabela2[[#This Row],[GWD]]</f>
        <v>8</v>
      </c>
      <c r="T289" s="180">
        <f>SUM(Tabela2[[#This Row],[G]:[GWD]])</f>
        <v>19</v>
      </c>
    </row>
    <row r="290" spans="1:20" ht="30">
      <c r="A290" s="183">
        <v>289</v>
      </c>
      <c r="B290" s="171" t="s">
        <v>431</v>
      </c>
      <c r="C290" s="171" t="s">
        <v>394</v>
      </c>
      <c r="D290" s="171">
        <v>4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2</v>
      </c>
      <c r="J290" s="171">
        <v>1</v>
      </c>
      <c r="K290" s="171">
        <v>1</v>
      </c>
      <c r="L290" s="171">
        <v>4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8</v>
      </c>
      <c r="S290" s="180">
        <f>Tabela2[[#This Row],[GWO]]+Tabela2[[#This Row],[GWD]]</f>
        <v>5</v>
      </c>
      <c r="T290" s="180">
        <f>SUM(Tabela2[[#This Row],[G]:[GWD]])</f>
        <v>12</v>
      </c>
    </row>
    <row r="291" spans="1:20" ht="30">
      <c r="A291" s="183">
        <v>290</v>
      </c>
      <c r="B291" s="171" t="s">
        <v>430</v>
      </c>
      <c r="C291" s="171" t="s">
        <v>392</v>
      </c>
      <c r="D291" s="171">
        <v>4</v>
      </c>
      <c r="E291" s="171" t="s">
        <v>251</v>
      </c>
      <c r="F291" s="171">
        <v>1</v>
      </c>
      <c r="G291" s="171">
        <v>1</v>
      </c>
      <c r="H291" s="171">
        <v>1</v>
      </c>
      <c r="I291" s="171">
        <v>1</v>
      </c>
      <c r="J291" s="171">
        <v>1</v>
      </c>
      <c r="K291" s="171">
        <v>1</v>
      </c>
      <c r="L291" s="171">
        <v>3</v>
      </c>
      <c r="M291" s="171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6</v>
      </c>
      <c r="S291" s="180">
        <f>Tabela2[[#This Row],[GWO]]+Tabela2[[#This Row],[GWD]]</f>
        <v>4</v>
      </c>
      <c r="T291" s="180">
        <f>SUM(Tabela2[[#This Row],[G]:[GWD]])</f>
        <v>10</v>
      </c>
    </row>
    <row r="292" spans="1:20" ht="30">
      <c r="A292" s="183">
        <v>291</v>
      </c>
      <c r="B292" s="171" t="s">
        <v>429</v>
      </c>
      <c r="C292" s="171" t="s">
        <v>344</v>
      </c>
      <c r="D292" s="171">
        <v>4</v>
      </c>
      <c r="E292" s="171" t="s">
        <v>251</v>
      </c>
      <c r="F292" s="171">
        <v>1</v>
      </c>
      <c r="G292" s="171">
        <v>1</v>
      </c>
      <c r="H292" s="171">
        <v>1</v>
      </c>
      <c r="I292" s="171">
        <v>2</v>
      </c>
      <c r="J292" s="171">
        <v>1</v>
      </c>
      <c r="K292" s="171">
        <v>1</v>
      </c>
      <c r="L292" s="171">
        <v>4</v>
      </c>
      <c r="M292" s="171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8</v>
      </c>
      <c r="S292" s="180">
        <f>Tabela2[[#This Row],[GWO]]+Tabela2[[#This Row],[GWD]]</f>
        <v>5</v>
      </c>
      <c r="T292" s="180">
        <f>SUM(Tabela2[[#This Row],[G]:[GWD]])</f>
        <v>12</v>
      </c>
    </row>
    <row r="293" spans="1:20">
      <c r="A293" s="183">
        <v>292</v>
      </c>
      <c r="B293" s="171" t="s">
        <v>428</v>
      </c>
      <c r="C293" s="171" t="s">
        <v>388</v>
      </c>
      <c r="D293" s="171">
        <v>4</v>
      </c>
      <c r="E293" s="171" t="s">
        <v>251</v>
      </c>
      <c r="F293" s="171">
        <v>1</v>
      </c>
      <c r="G293" s="171">
        <v>4</v>
      </c>
      <c r="H293" s="171">
        <v>3</v>
      </c>
      <c r="I293" s="171">
        <v>1</v>
      </c>
      <c r="J293" s="171">
        <v>1</v>
      </c>
      <c r="K293" s="171">
        <v>1</v>
      </c>
      <c r="L293" s="171">
        <v>3</v>
      </c>
      <c r="M293" s="171">
        <v>1</v>
      </c>
      <c r="N293" s="170"/>
      <c r="O293" s="170"/>
      <c r="P293" s="170"/>
      <c r="Q293" s="180">
        <f>SUM(Tabela2[[#This Row],[G]]+Tabela2[[#This Row],[D]]+Tabela2[[#This Row],[N]]+Tabela2[[#This Row],[HM]])</f>
        <v>9</v>
      </c>
      <c r="R293" s="180">
        <f>SUM(Tabela2[[#This Row],[AO]]+Tabela2[[#This Row],[AD]]+Tabela2[[#This Row],[GWO]]+Tabela2[[#This Row],[GWD]])</f>
        <v>6</v>
      </c>
      <c r="S293" s="180">
        <f>Tabela2[[#This Row],[GWO]]+Tabela2[[#This Row],[GWD]]</f>
        <v>4</v>
      </c>
      <c r="T293" s="180">
        <f>SUM(Tabela2[[#This Row],[G]:[GWD]])</f>
        <v>15</v>
      </c>
    </row>
    <row r="294" spans="1:20" ht="30">
      <c r="A294" s="183">
        <v>293</v>
      </c>
      <c r="B294" s="171" t="s">
        <v>427</v>
      </c>
      <c r="C294" s="171" t="s">
        <v>386</v>
      </c>
      <c r="D294" s="171">
        <v>4</v>
      </c>
      <c r="E294" s="171" t="s">
        <v>251</v>
      </c>
      <c r="F294" s="171">
        <v>1</v>
      </c>
      <c r="G294" s="171">
        <v>1</v>
      </c>
      <c r="H294" s="171">
        <v>1</v>
      </c>
      <c r="I294" s="171">
        <v>4</v>
      </c>
      <c r="J294" s="171">
        <v>1</v>
      </c>
      <c r="K294" s="171">
        <v>1</v>
      </c>
      <c r="L294" s="171">
        <v>3</v>
      </c>
      <c r="M294" s="171">
        <v>1</v>
      </c>
      <c r="N294" s="170"/>
      <c r="O294" s="170"/>
      <c r="P294" s="170"/>
      <c r="Q294" s="180">
        <f>SUM(Tabela2[[#This Row],[G]]+Tabela2[[#This Row],[D]]+Tabela2[[#This Row],[N]]+Tabela2[[#This Row],[HM]])</f>
        <v>4</v>
      </c>
      <c r="R294" s="180">
        <f>SUM(Tabela2[[#This Row],[AO]]+Tabela2[[#This Row],[AD]]+Tabela2[[#This Row],[GWO]]+Tabela2[[#This Row],[GWD]])</f>
        <v>9</v>
      </c>
      <c r="S294" s="180">
        <f>Tabela2[[#This Row],[GWO]]+Tabela2[[#This Row],[GWD]]</f>
        <v>4</v>
      </c>
      <c r="T294" s="180">
        <f>SUM(Tabela2[[#This Row],[G]:[GWD]])</f>
        <v>13</v>
      </c>
    </row>
    <row r="295" spans="1:20">
      <c r="A295" s="183">
        <v>294</v>
      </c>
      <c r="B295" s="171" t="s">
        <v>426</v>
      </c>
      <c r="C295" s="171" t="s">
        <v>384</v>
      </c>
      <c r="D295" s="171">
        <v>4</v>
      </c>
      <c r="E295" s="171" t="s">
        <v>251</v>
      </c>
      <c r="F295" s="171">
        <v>3</v>
      </c>
      <c r="G295" s="171">
        <v>1</v>
      </c>
      <c r="H295" s="171">
        <v>3</v>
      </c>
      <c r="I295" s="171">
        <v>2</v>
      </c>
      <c r="J295" s="171">
        <v>1</v>
      </c>
      <c r="K295" s="171">
        <v>1</v>
      </c>
      <c r="L295" s="171">
        <v>3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8</v>
      </c>
      <c r="R295" s="180">
        <f>SUM(Tabela2[[#This Row],[AO]]+Tabela2[[#This Row],[AD]]+Tabela2[[#This Row],[GWO]]+Tabela2[[#This Row],[GWD]])</f>
        <v>7</v>
      </c>
      <c r="S295" s="180">
        <f>Tabela2[[#This Row],[GWO]]+Tabela2[[#This Row],[GWD]]</f>
        <v>4</v>
      </c>
      <c r="T295" s="180">
        <f>SUM(Tabela2[[#This Row],[G]:[GWD]])</f>
        <v>15</v>
      </c>
    </row>
    <row r="296" spans="1:20">
      <c r="A296" s="183">
        <v>295</v>
      </c>
      <c r="B296" s="171" t="s">
        <v>425</v>
      </c>
      <c r="C296" s="171" t="s">
        <v>382</v>
      </c>
      <c r="D296" s="171">
        <v>4</v>
      </c>
      <c r="E296" s="171" t="s">
        <v>251</v>
      </c>
      <c r="F296" s="171">
        <v>2</v>
      </c>
      <c r="G296" s="171">
        <v>1</v>
      </c>
      <c r="H296" s="171">
        <v>2</v>
      </c>
      <c r="I296" s="171">
        <v>5</v>
      </c>
      <c r="J296" s="171">
        <v>1</v>
      </c>
      <c r="K296" s="171">
        <v>1</v>
      </c>
      <c r="L296" s="171">
        <v>4</v>
      </c>
      <c r="M296" s="171">
        <v>1</v>
      </c>
      <c r="N296" s="170"/>
      <c r="O296" s="170"/>
      <c r="P296" s="170"/>
      <c r="Q296" s="180">
        <f>SUM(Tabela2[[#This Row],[G]]+Tabela2[[#This Row],[D]]+Tabela2[[#This Row],[N]]+Tabela2[[#This Row],[HM]])</f>
        <v>6</v>
      </c>
      <c r="R296" s="180">
        <f>SUM(Tabela2[[#This Row],[AO]]+Tabela2[[#This Row],[AD]]+Tabela2[[#This Row],[GWO]]+Tabela2[[#This Row],[GWD]])</f>
        <v>11</v>
      </c>
      <c r="S296" s="180">
        <f>Tabela2[[#This Row],[GWO]]+Tabela2[[#This Row],[GWD]]</f>
        <v>5</v>
      </c>
      <c r="T296" s="180">
        <f>SUM(Tabela2[[#This Row],[G]:[GWD]])</f>
        <v>17</v>
      </c>
    </row>
    <row r="297" spans="1:20">
      <c r="A297" s="183">
        <v>296</v>
      </c>
      <c r="B297" s="171" t="s">
        <v>424</v>
      </c>
      <c r="C297" s="171" t="s">
        <v>227</v>
      </c>
      <c r="D297" s="171">
        <v>4</v>
      </c>
      <c r="E297" s="171" t="s">
        <v>251</v>
      </c>
      <c r="F297" s="171">
        <v>1</v>
      </c>
      <c r="G297" s="171">
        <v>1</v>
      </c>
      <c r="H297" s="171">
        <v>1</v>
      </c>
      <c r="I297" s="171">
        <v>2</v>
      </c>
      <c r="J297" s="171">
        <v>1</v>
      </c>
      <c r="K297" s="171">
        <v>1</v>
      </c>
      <c r="L297" s="171">
        <v>4</v>
      </c>
      <c r="M297" s="171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8</v>
      </c>
      <c r="S297" s="180">
        <f>Tabela2[[#This Row],[GWO]]+Tabela2[[#This Row],[GWD]]</f>
        <v>5</v>
      </c>
      <c r="T297" s="180">
        <f>SUM(Tabela2[[#This Row],[G]:[GWD]])</f>
        <v>12</v>
      </c>
    </row>
    <row r="298" spans="1:20">
      <c r="A298" s="183">
        <v>297</v>
      </c>
      <c r="B298" s="171" t="s">
        <v>423</v>
      </c>
      <c r="C298" s="171" t="s">
        <v>225</v>
      </c>
      <c r="D298" s="171">
        <v>4</v>
      </c>
      <c r="E298" s="171" t="s">
        <v>251</v>
      </c>
      <c r="F298" s="171">
        <v>2</v>
      </c>
      <c r="G298" s="171">
        <v>1</v>
      </c>
      <c r="H298" s="171">
        <v>1</v>
      </c>
      <c r="I298" s="171">
        <v>3</v>
      </c>
      <c r="J298" s="171">
        <v>2</v>
      </c>
      <c r="K298" s="171">
        <v>1</v>
      </c>
      <c r="L298" s="171">
        <v>3</v>
      </c>
      <c r="M298" s="171">
        <v>2</v>
      </c>
      <c r="N298" s="170"/>
      <c r="O298" s="170"/>
      <c r="P298" s="170"/>
      <c r="Q298" s="180">
        <f>SUM(Tabela2[[#This Row],[G]]+Tabela2[[#This Row],[D]]+Tabela2[[#This Row],[N]]+Tabela2[[#This Row],[HM]])</f>
        <v>5</v>
      </c>
      <c r="R298" s="180">
        <f>SUM(Tabela2[[#This Row],[AO]]+Tabela2[[#This Row],[AD]]+Tabela2[[#This Row],[GWO]]+Tabela2[[#This Row],[GWD]])</f>
        <v>10</v>
      </c>
      <c r="S298" s="180">
        <f>Tabela2[[#This Row],[GWO]]+Tabela2[[#This Row],[GWD]]</f>
        <v>5</v>
      </c>
      <c r="T298" s="180">
        <f>SUM(Tabela2[[#This Row],[G]:[GWD]])</f>
        <v>15</v>
      </c>
    </row>
    <row r="299" spans="1:20">
      <c r="A299" s="183">
        <v>298</v>
      </c>
      <c r="B299" s="171" t="s">
        <v>422</v>
      </c>
      <c r="C299" s="171" t="s">
        <v>378</v>
      </c>
      <c r="D299" s="171">
        <v>4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3</v>
      </c>
      <c r="J299" s="171">
        <v>3</v>
      </c>
      <c r="K299" s="171">
        <v>3</v>
      </c>
      <c r="L299" s="171">
        <v>2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6</v>
      </c>
      <c r="R299" s="180">
        <f>SUM(Tabela2[[#This Row],[AO]]+Tabela2[[#This Row],[AD]]+Tabela2[[#This Row],[GWO]]+Tabela2[[#This Row],[GWD]])</f>
        <v>9</v>
      </c>
      <c r="S299" s="180">
        <f>Tabela2[[#This Row],[GWO]]+Tabela2[[#This Row],[GWD]]</f>
        <v>3</v>
      </c>
      <c r="T299" s="180">
        <f>SUM(Tabela2[[#This Row],[G]:[GWD]])</f>
        <v>15</v>
      </c>
    </row>
    <row r="300" spans="1:20">
      <c r="A300" s="183">
        <v>299</v>
      </c>
      <c r="B300" s="171" t="s">
        <v>421</v>
      </c>
      <c r="C300" s="171" t="s">
        <v>226</v>
      </c>
      <c r="D300" s="171">
        <v>4</v>
      </c>
      <c r="E300" s="171" t="s">
        <v>251</v>
      </c>
      <c r="F300" s="171">
        <v>1</v>
      </c>
      <c r="G300" s="171">
        <v>1</v>
      </c>
      <c r="H300" s="171">
        <v>1</v>
      </c>
      <c r="I300" s="171">
        <v>2</v>
      </c>
      <c r="J300" s="171">
        <v>2</v>
      </c>
      <c r="K300" s="171">
        <v>1</v>
      </c>
      <c r="L300" s="171">
        <v>3</v>
      </c>
      <c r="M300" s="171">
        <v>2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9</v>
      </c>
      <c r="S300" s="180">
        <f>Tabela2[[#This Row],[GWO]]+Tabela2[[#This Row],[GWD]]</f>
        <v>5</v>
      </c>
      <c r="T300" s="180">
        <f>SUM(Tabela2[[#This Row],[G]:[GWD]])</f>
        <v>13</v>
      </c>
    </row>
    <row r="301" spans="1:20">
      <c r="A301" s="183">
        <v>300</v>
      </c>
      <c r="B301" s="170" t="s">
        <v>420</v>
      </c>
      <c r="C301" s="170" t="s">
        <v>419</v>
      </c>
      <c r="D301" s="170">
        <v>4</v>
      </c>
      <c r="E301" s="170" t="s">
        <v>272</v>
      </c>
      <c r="F301" s="170">
        <v>2</v>
      </c>
      <c r="G301" s="170">
        <v>2</v>
      </c>
      <c r="H301" s="170">
        <v>1</v>
      </c>
      <c r="I301" s="170">
        <v>2</v>
      </c>
      <c r="J301" s="170">
        <v>1</v>
      </c>
      <c r="K301" s="170">
        <v>2</v>
      </c>
      <c r="L301" s="170">
        <v>3</v>
      </c>
      <c r="M301" s="170">
        <v>1</v>
      </c>
      <c r="N301" s="170"/>
      <c r="O301" s="170"/>
      <c r="P301" s="170"/>
      <c r="Q301" s="180">
        <f>SUM(Tabela2[[#This Row],[G]]+Tabela2[[#This Row],[D]]+Tabela2[[#This Row],[N]]+Tabela2[[#This Row],[HM]])</f>
        <v>7</v>
      </c>
      <c r="R301" s="180">
        <f>SUM(Tabela2[[#This Row],[AO]]+Tabela2[[#This Row],[AD]]+Tabela2[[#This Row],[GWO]]+Tabela2[[#This Row],[GWD]])</f>
        <v>7</v>
      </c>
      <c r="S301" s="180">
        <f>Tabela2[[#This Row],[GWO]]+Tabela2[[#This Row],[GWD]]</f>
        <v>4</v>
      </c>
      <c r="T301" s="180">
        <f>SUM(Tabela2[[#This Row],[G]:[GWD]])</f>
        <v>14</v>
      </c>
    </row>
    <row r="302" spans="1:20" ht="30">
      <c r="A302" s="183">
        <v>301</v>
      </c>
      <c r="B302" s="170" t="s">
        <v>418</v>
      </c>
      <c r="C302" s="170" t="s">
        <v>417</v>
      </c>
      <c r="D302" s="170">
        <v>4</v>
      </c>
      <c r="E302" s="170" t="s">
        <v>272</v>
      </c>
      <c r="F302" s="170">
        <v>2</v>
      </c>
      <c r="G302" s="170">
        <v>2</v>
      </c>
      <c r="H302" s="170">
        <v>1</v>
      </c>
      <c r="I302" s="170">
        <v>2</v>
      </c>
      <c r="J302" s="170">
        <v>1</v>
      </c>
      <c r="K302" s="170">
        <v>1</v>
      </c>
      <c r="L302" s="170">
        <v>4</v>
      </c>
      <c r="M302" s="170">
        <v>1</v>
      </c>
      <c r="N302" s="170"/>
      <c r="O302" s="170"/>
      <c r="P302" s="170"/>
      <c r="Q302" s="180">
        <f>SUM(Tabela2[[#This Row],[G]]+Tabela2[[#This Row],[D]]+Tabela2[[#This Row],[N]]+Tabela2[[#This Row],[HM]])</f>
        <v>6</v>
      </c>
      <c r="R302" s="180">
        <f>SUM(Tabela2[[#This Row],[AO]]+Tabela2[[#This Row],[AD]]+Tabela2[[#This Row],[GWO]]+Tabela2[[#This Row],[GWD]])</f>
        <v>8</v>
      </c>
      <c r="S302" s="180">
        <f>Tabela2[[#This Row],[GWO]]+Tabela2[[#This Row],[GWD]]</f>
        <v>5</v>
      </c>
      <c r="T302" s="180">
        <f>SUM(Tabela2[[#This Row],[G]:[GWD]])</f>
        <v>14</v>
      </c>
    </row>
    <row r="303" spans="1:20" ht="30">
      <c r="A303" s="183">
        <v>302</v>
      </c>
      <c r="B303" s="170" t="s">
        <v>416</v>
      </c>
      <c r="C303" s="170" t="s">
        <v>415</v>
      </c>
      <c r="D303" s="170">
        <v>4</v>
      </c>
      <c r="E303" s="170" t="s">
        <v>272</v>
      </c>
      <c r="F303" s="170">
        <v>1</v>
      </c>
      <c r="G303" s="170">
        <v>1</v>
      </c>
      <c r="H303" s="170">
        <v>1</v>
      </c>
      <c r="I303" s="170">
        <v>2</v>
      </c>
      <c r="J303" s="170">
        <v>1</v>
      </c>
      <c r="K303" s="170">
        <v>1</v>
      </c>
      <c r="L303" s="170">
        <v>2</v>
      </c>
      <c r="M303" s="170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6</v>
      </c>
      <c r="S303" s="180">
        <f>Tabela2[[#This Row],[GWO]]+Tabela2[[#This Row],[GWD]]</f>
        <v>3</v>
      </c>
      <c r="T303" s="180">
        <f>SUM(Tabela2[[#This Row],[G]:[GWD]])</f>
        <v>10</v>
      </c>
    </row>
    <row r="304" spans="1:20" ht="30">
      <c r="A304" s="183">
        <v>303</v>
      </c>
      <c r="B304" s="170" t="s">
        <v>414</v>
      </c>
      <c r="C304" s="170" t="s">
        <v>357</v>
      </c>
      <c r="D304" s="170">
        <v>4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304</v>
      </c>
      <c r="B305" s="170" t="s">
        <v>413</v>
      </c>
      <c r="C305" s="170" t="s">
        <v>412</v>
      </c>
      <c r="D305" s="170">
        <v>4</v>
      </c>
      <c r="E305" s="170" t="s">
        <v>272</v>
      </c>
      <c r="F305" s="170">
        <v>1</v>
      </c>
      <c r="G305" s="170">
        <v>2</v>
      </c>
      <c r="H305" s="170">
        <v>1</v>
      </c>
      <c r="I305" s="170">
        <v>2</v>
      </c>
      <c r="J305" s="170">
        <v>4</v>
      </c>
      <c r="K305" s="170">
        <v>4</v>
      </c>
      <c r="L305" s="170">
        <v>5</v>
      </c>
      <c r="M305" s="170">
        <v>5</v>
      </c>
      <c r="N305" s="170"/>
      <c r="O305" s="170"/>
      <c r="P305" s="170"/>
      <c r="Q305" s="180">
        <f>SUM(Tabela2[[#This Row],[G]]+Tabela2[[#This Row],[D]]+Tabela2[[#This Row],[N]]+Tabela2[[#This Row],[HM]])</f>
        <v>8</v>
      </c>
      <c r="R305" s="180">
        <f>SUM(Tabela2[[#This Row],[AO]]+Tabela2[[#This Row],[AD]]+Tabela2[[#This Row],[GWO]]+Tabela2[[#This Row],[GWD]])</f>
        <v>16</v>
      </c>
      <c r="S305" s="180">
        <f>Tabela2[[#This Row],[GWO]]+Tabela2[[#This Row],[GWD]]</f>
        <v>10</v>
      </c>
      <c r="T305" s="180">
        <f>SUM(Tabela2[[#This Row],[G]:[GWD]])</f>
        <v>24</v>
      </c>
    </row>
    <row r="306" spans="1:20">
      <c r="A306" s="183">
        <v>305</v>
      </c>
      <c r="B306" s="170" t="s">
        <v>411</v>
      </c>
      <c r="C306" s="170" t="s">
        <v>210</v>
      </c>
      <c r="D306" s="170">
        <v>4</v>
      </c>
      <c r="E306" s="170" t="s">
        <v>272</v>
      </c>
      <c r="F306" s="170">
        <v>1</v>
      </c>
      <c r="G306" s="170">
        <v>1</v>
      </c>
      <c r="H306" s="170">
        <v>1</v>
      </c>
      <c r="I306" s="170">
        <v>2</v>
      </c>
      <c r="J306" s="170">
        <v>1</v>
      </c>
      <c r="K306" s="170">
        <v>1</v>
      </c>
      <c r="L306" s="170">
        <v>2</v>
      </c>
      <c r="M306" s="170">
        <v>1</v>
      </c>
      <c r="N306" s="170"/>
      <c r="O306" s="170"/>
      <c r="P306" s="170"/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6</v>
      </c>
      <c r="S306" s="180">
        <f>Tabela2[[#This Row],[GWO]]+Tabela2[[#This Row],[GWD]]</f>
        <v>3</v>
      </c>
      <c r="T306" s="180">
        <f>SUM(Tabela2[[#This Row],[G]:[GWD]])</f>
        <v>10</v>
      </c>
    </row>
    <row r="307" spans="1:20" ht="30">
      <c r="A307" s="183">
        <v>306</v>
      </c>
      <c r="B307" s="170" t="s">
        <v>410</v>
      </c>
      <c r="C307" s="170" t="s">
        <v>409</v>
      </c>
      <c r="D307" s="170">
        <v>4</v>
      </c>
      <c r="E307" s="170" t="s">
        <v>272</v>
      </c>
      <c r="F307" s="170">
        <v>1</v>
      </c>
      <c r="G307" s="170">
        <v>1</v>
      </c>
      <c r="H307" s="170">
        <v>1</v>
      </c>
      <c r="I307" s="170">
        <v>4</v>
      </c>
      <c r="J307" s="170">
        <v>1</v>
      </c>
      <c r="K307" s="170">
        <v>2</v>
      </c>
      <c r="L307" s="170">
        <v>4</v>
      </c>
      <c r="M307" s="170">
        <v>1</v>
      </c>
      <c r="N307" s="170"/>
      <c r="O307" s="170"/>
      <c r="P307" s="170"/>
      <c r="Q307" s="180">
        <f>SUM(Tabela2[[#This Row],[G]]+Tabela2[[#This Row],[D]]+Tabela2[[#This Row],[N]]+Tabela2[[#This Row],[HM]])</f>
        <v>5</v>
      </c>
      <c r="R307" s="180">
        <f>SUM(Tabela2[[#This Row],[AO]]+Tabela2[[#This Row],[AD]]+Tabela2[[#This Row],[GWO]]+Tabela2[[#This Row],[GWD]])</f>
        <v>10</v>
      </c>
      <c r="S307" s="180">
        <f>Tabela2[[#This Row],[GWO]]+Tabela2[[#This Row],[GWD]]</f>
        <v>5</v>
      </c>
      <c r="T307" s="180">
        <f>SUM(Tabela2[[#This Row],[G]:[GWD]])</f>
        <v>15</v>
      </c>
    </row>
    <row r="308" spans="1:20" ht="30">
      <c r="A308" s="183">
        <v>307</v>
      </c>
      <c r="B308" s="170" t="s">
        <v>408</v>
      </c>
      <c r="C308" s="170" t="s">
        <v>407</v>
      </c>
      <c r="D308" s="170">
        <v>4</v>
      </c>
      <c r="E308" s="170" t="s">
        <v>272</v>
      </c>
      <c r="F308" s="170">
        <v>1</v>
      </c>
      <c r="G308" s="170">
        <v>1</v>
      </c>
      <c r="H308" s="170">
        <v>3</v>
      </c>
      <c r="I308" s="170">
        <v>2</v>
      </c>
      <c r="J308" s="170">
        <v>1</v>
      </c>
      <c r="K308" s="170">
        <v>1</v>
      </c>
      <c r="L308" s="170">
        <v>3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6</v>
      </c>
      <c r="R308" s="180">
        <f>SUM(Tabela2[[#This Row],[AO]]+Tabela2[[#This Row],[AD]]+Tabela2[[#This Row],[GWO]]+Tabela2[[#This Row],[GWD]])</f>
        <v>7</v>
      </c>
      <c r="S308" s="180">
        <f>Tabela2[[#This Row],[GWO]]+Tabela2[[#This Row],[GWD]]</f>
        <v>4</v>
      </c>
      <c r="T308" s="180">
        <f>SUM(Tabela2[[#This Row],[G]:[GWD]])</f>
        <v>13</v>
      </c>
    </row>
    <row r="309" spans="1:20">
      <c r="A309" s="183">
        <v>308</v>
      </c>
      <c r="B309" s="170" t="s">
        <v>406</v>
      </c>
      <c r="C309" s="170" t="s">
        <v>405</v>
      </c>
      <c r="D309" s="170">
        <v>4</v>
      </c>
      <c r="E309" s="170" t="s">
        <v>272</v>
      </c>
      <c r="F309" s="170">
        <v>1</v>
      </c>
      <c r="G309" s="170">
        <v>1</v>
      </c>
      <c r="H309" s="170">
        <v>1</v>
      </c>
      <c r="I309" s="170">
        <v>1</v>
      </c>
      <c r="J309" s="170">
        <v>1</v>
      </c>
      <c r="K309" s="170">
        <v>1</v>
      </c>
      <c r="L309" s="170">
        <v>1</v>
      </c>
      <c r="M309" s="170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 ht="30">
      <c r="A310" s="183">
        <v>309</v>
      </c>
      <c r="B310" s="170" t="s">
        <v>404</v>
      </c>
      <c r="C310" s="170" t="s">
        <v>403</v>
      </c>
      <c r="D310" s="170">
        <v>4</v>
      </c>
      <c r="E310" s="170" t="s">
        <v>272</v>
      </c>
      <c r="F310" s="170">
        <v>1</v>
      </c>
      <c r="G310" s="170">
        <v>1</v>
      </c>
      <c r="H310" s="170">
        <v>3</v>
      </c>
      <c r="I310" s="170">
        <v>1</v>
      </c>
      <c r="J310" s="170">
        <v>1</v>
      </c>
      <c r="K310" s="170">
        <v>1</v>
      </c>
      <c r="L310" s="170">
        <v>2</v>
      </c>
      <c r="M310" s="170">
        <v>1</v>
      </c>
      <c r="N310" s="170"/>
      <c r="O310" s="170"/>
      <c r="P310" s="170"/>
      <c r="Q310" s="180">
        <f>SUM(Tabela2[[#This Row],[G]]+Tabela2[[#This Row],[D]]+Tabela2[[#This Row],[N]]+Tabela2[[#This Row],[HM]])</f>
        <v>6</v>
      </c>
      <c r="R310" s="180">
        <f>SUM(Tabela2[[#This Row],[AO]]+Tabela2[[#This Row],[AD]]+Tabela2[[#This Row],[GWO]]+Tabela2[[#This Row],[GWD]])</f>
        <v>5</v>
      </c>
      <c r="S310" s="180">
        <f>Tabela2[[#This Row],[GWO]]+Tabela2[[#This Row],[GWD]]</f>
        <v>3</v>
      </c>
      <c r="T310" s="180">
        <f>SUM(Tabela2[[#This Row],[G]:[GWD]])</f>
        <v>11</v>
      </c>
    </row>
    <row r="311" spans="1:20" ht="30">
      <c r="A311" s="183">
        <v>310</v>
      </c>
      <c r="B311" s="170" t="s">
        <v>402</v>
      </c>
      <c r="C311" s="170" t="s">
        <v>400</v>
      </c>
      <c r="D311" s="170">
        <v>4</v>
      </c>
      <c r="E311" s="170" t="s">
        <v>272</v>
      </c>
      <c r="F311" s="170">
        <v>1</v>
      </c>
      <c r="G311" s="170">
        <v>1</v>
      </c>
      <c r="H311" s="170">
        <v>1</v>
      </c>
      <c r="I311" s="170">
        <v>2</v>
      </c>
      <c r="J311" s="170">
        <v>1</v>
      </c>
      <c r="K311" s="170">
        <v>1</v>
      </c>
      <c r="L311" s="170">
        <v>3</v>
      </c>
      <c r="M311" s="170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7</v>
      </c>
      <c r="S311" s="180">
        <f>Tabela2[[#This Row],[GWO]]+Tabela2[[#This Row],[GWD]]</f>
        <v>4</v>
      </c>
      <c r="T311" s="180">
        <f>SUM(Tabela2[[#This Row],[G]:[GWD]])</f>
        <v>11</v>
      </c>
    </row>
    <row r="312" spans="1:20" ht="30">
      <c r="A312" s="183">
        <v>311</v>
      </c>
      <c r="B312" s="170" t="s">
        <v>401</v>
      </c>
      <c r="C312" s="170" t="s">
        <v>400</v>
      </c>
      <c r="D312" s="170">
        <v>4</v>
      </c>
      <c r="E312" s="170" t="s">
        <v>272</v>
      </c>
      <c r="F312" s="170">
        <v>1</v>
      </c>
      <c r="G312" s="170">
        <v>1</v>
      </c>
      <c r="H312" s="170">
        <v>1</v>
      </c>
      <c r="I312" s="170">
        <v>2</v>
      </c>
      <c r="J312" s="170">
        <v>1</v>
      </c>
      <c r="K312" s="170">
        <v>1</v>
      </c>
      <c r="L312" s="170">
        <v>3</v>
      </c>
      <c r="M312" s="170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7</v>
      </c>
      <c r="S312" s="180">
        <f>Tabela2[[#This Row],[GWO]]+Tabela2[[#This Row],[GWD]]</f>
        <v>4</v>
      </c>
      <c r="T312" s="180">
        <f>SUM(Tabela2[[#This Row],[G]:[GWD]])</f>
        <v>11</v>
      </c>
    </row>
    <row r="313" spans="1:20">
      <c r="A313" s="183">
        <v>312</v>
      </c>
      <c r="B313" s="170" t="s">
        <v>399</v>
      </c>
      <c r="C313" s="170" t="s">
        <v>398</v>
      </c>
      <c r="D313" s="170">
        <v>4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4</v>
      </c>
      <c r="K313" s="170">
        <v>1</v>
      </c>
      <c r="L313" s="170">
        <v>1</v>
      </c>
      <c r="M313" s="170">
        <v>3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9</v>
      </c>
      <c r="S313" s="180">
        <f>Tabela2[[#This Row],[GWO]]+Tabela2[[#This Row],[GWD]]</f>
        <v>4</v>
      </c>
      <c r="T313" s="180">
        <f>SUM(Tabela2[[#This Row],[G]:[GWD]])</f>
        <v>13</v>
      </c>
    </row>
    <row r="314" spans="1:20" ht="30">
      <c r="A314" s="183">
        <v>313</v>
      </c>
      <c r="B314" s="170" t="s">
        <v>397</v>
      </c>
      <c r="C314" s="170" t="s">
        <v>396</v>
      </c>
      <c r="D314" s="170"/>
      <c r="E314" s="170" t="s">
        <v>272</v>
      </c>
      <c r="F314" s="170">
        <v>1</v>
      </c>
      <c r="G314" s="170">
        <v>1</v>
      </c>
      <c r="H314" s="170">
        <v>1</v>
      </c>
      <c r="I314" s="170">
        <v>1</v>
      </c>
      <c r="J314" s="170">
        <v>1</v>
      </c>
      <c r="K314" s="170">
        <v>3</v>
      </c>
      <c r="L314" s="170">
        <v>3</v>
      </c>
      <c r="M314" s="170">
        <v>1</v>
      </c>
      <c r="N314" s="170"/>
      <c r="O314" s="170"/>
      <c r="P314" s="170"/>
      <c r="Q314" s="180">
        <f>SUM(Tabela2[[#This Row],[G]]+Tabela2[[#This Row],[D]]+Tabela2[[#This Row],[N]]+Tabela2[[#This Row],[HM]])</f>
        <v>6</v>
      </c>
      <c r="R314" s="180">
        <f>SUM(Tabela2[[#This Row],[AO]]+Tabela2[[#This Row],[AD]]+Tabela2[[#This Row],[GWO]]+Tabela2[[#This Row],[GWD]])</f>
        <v>6</v>
      </c>
      <c r="S314" s="180">
        <f>Tabela2[[#This Row],[GWO]]+Tabela2[[#This Row],[GWD]]</f>
        <v>4</v>
      </c>
      <c r="T314" s="180">
        <f>SUM(Tabela2[[#This Row],[G]:[GWD]])</f>
        <v>12</v>
      </c>
    </row>
    <row r="315" spans="1:20" ht="30">
      <c r="A315" s="183">
        <v>314</v>
      </c>
      <c r="B315" s="170" t="s">
        <v>395</v>
      </c>
      <c r="C315" s="170" t="s">
        <v>394</v>
      </c>
      <c r="D315" s="170">
        <v>4</v>
      </c>
      <c r="E315" s="170" t="s">
        <v>272</v>
      </c>
      <c r="F315" s="170">
        <v>1</v>
      </c>
      <c r="G315" s="170">
        <v>1</v>
      </c>
      <c r="H315" s="170">
        <v>1</v>
      </c>
      <c r="I315" s="170">
        <v>1</v>
      </c>
      <c r="J315" s="170">
        <v>1</v>
      </c>
      <c r="K315" s="170">
        <v>1</v>
      </c>
      <c r="L315" s="170">
        <v>3</v>
      </c>
      <c r="M315" s="170">
        <v>3</v>
      </c>
      <c r="N315" s="170"/>
      <c r="O315" s="170"/>
      <c r="P315" s="170"/>
      <c r="Q315" s="180">
        <f>SUM(Tabela2[[#This Row],[G]]+Tabela2[[#This Row],[D]]+Tabela2[[#This Row],[N]]+Tabela2[[#This Row],[HM]])</f>
        <v>4</v>
      </c>
      <c r="R315" s="180">
        <f>SUM(Tabela2[[#This Row],[AO]]+Tabela2[[#This Row],[AD]]+Tabela2[[#This Row],[GWO]]+Tabela2[[#This Row],[GWD]])</f>
        <v>8</v>
      </c>
      <c r="S315" s="180">
        <f>Tabela2[[#This Row],[GWO]]+Tabela2[[#This Row],[GWD]]</f>
        <v>6</v>
      </c>
      <c r="T315" s="180">
        <f>SUM(Tabela2[[#This Row],[G]:[GWD]])</f>
        <v>12</v>
      </c>
    </row>
    <row r="316" spans="1:20" ht="30">
      <c r="A316" s="183">
        <v>315</v>
      </c>
      <c r="B316" s="170" t="s">
        <v>393</v>
      </c>
      <c r="C316" s="170" t="s">
        <v>392</v>
      </c>
      <c r="D316" s="170">
        <v>4</v>
      </c>
      <c r="E316" s="170" t="s">
        <v>272</v>
      </c>
      <c r="F316" s="170">
        <v>1</v>
      </c>
      <c r="G316" s="170">
        <v>1</v>
      </c>
      <c r="H316" s="170">
        <v>3</v>
      </c>
      <c r="I316" s="170">
        <v>1</v>
      </c>
      <c r="J316" s="170">
        <v>1</v>
      </c>
      <c r="K316" s="170">
        <v>1</v>
      </c>
      <c r="L316" s="170">
        <v>3</v>
      </c>
      <c r="M316" s="170">
        <v>1</v>
      </c>
      <c r="N316" s="170"/>
      <c r="O316" s="170"/>
      <c r="P316" s="170"/>
      <c r="Q316" s="180">
        <f>SUM(Tabela2[[#This Row],[G]]+Tabela2[[#This Row],[D]]+Tabela2[[#This Row],[N]]+Tabela2[[#This Row],[HM]])</f>
        <v>6</v>
      </c>
      <c r="R316" s="180">
        <f>SUM(Tabela2[[#This Row],[AO]]+Tabela2[[#This Row],[AD]]+Tabela2[[#This Row],[GWO]]+Tabela2[[#This Row],[GWD]])</f>
        <v>6</v>
      </c>
      <c r="S316" s="180">
        <f>Tabela2[[#This Row],[GWO]]+Tabela2[[#This Row],[GWD]]</f>
        <v>4</v>
      </c>
      <c r="T316" s="180">
        <f>SUM(Tabela2[[#This Row],[G]:[GWD]])</f>
        <v>12</v>
      </c>
    </row>
    <row r="317" spans="1:20">
      <c r="A317" s="183">
        <v>316</v>
      </c>
      <c r="B317" s="170" t="s">
        <v>391</v>
      </c>
      <c r="C317" s="170" t="s">
        <v>215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2</v>
      </c>
      <c r="J317" s="170">
        <v>1</v>
      </c>
      <c r="K317" s="170">
        <v>2</v>
      </c>
      <c r="L317" s="170">
        <v>2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5</v>
      </c>
      <c r="R317" s="180">
        <f>SUM(Tabela2[[#This Row],[AO]]+Tabela2[[#This Row],[AD]]+Tabela2[[#This Row],[GWO]]+Tabela2[[#This Row],[GWD]])</f>
        <v>6</v>
      </c>
      <c r="S317" s="180">
        <f>Tabela2[[#This Row],[GWO]]+Tabela2[[#This Row],[GWD]]</f>
        <v>3</v>
      </c>
      <c r="T317" s="180">
        <f>SUM(Tabela2[[#This Row],[G]:[GWD]])</f>
        <v>11</v>
      </c>
    </row>
    <row r="318" spans="1:20" ht="30">
      <c r="A318" s="183">
        <v>317</v>
      </c>
      <c r="B318" s="170" t="s">
        <v>390</v>
      </c>
      <c r="C318" s="170" t="s">
        <v>344</v>
      </c>
      <c r="D318" s="170">
        <v>4</v>
      </c>
      <c r="E318" s="170" t="s">
        <v>272</v>
      </c>
      <c r="F318" s="170">
        <v>1</v>
      </c>
      <c r="G318" s="170">
        <v>1</v>
      </c>
      <c r="H318" s="170">
        <v>1</v>
      </c>
      <c r="I318" s="170">
        <v>2</v>
      </c>
      <c r="J318" s="170">
        <v>1</v>
      </c>
      <c r="K318" s="170">
        <v>3</v>
      </c>
      <c r="L318" s="170">
        <v>3</v>
      </c>
      <c r="M318" s="170">
        <v>1</v>
      </c>
      <c r="N318" s="170"/>
      <c r="O318" s="170"/>
      <c r="P318" s="170"/>
      <c r="Q318" s="180">
        <f>SUM(Tabela2[[#This Row],[G]]+Tabela2[[#This Row],[D]]+Tabela2[[#This Row],[N]]+Tabela2[[#This Row],[HM]])</f>
        <v>6</v>
      </c>
      <c r="R318" s="180">
        <f>SUM(Tabela2[[#This Row],[AO]]+Tabela2[[#This Row],[AD]]+Tabela2[[#This Row],[GWO]]+Tabela2[[#This Row],[GWD]])</f>
        <v>7</v>
      </c>
      <c r="S318" s="180">
        <f>Tabela2[[#This Row],[GWO]]+Tabela2[[#This Row],[GWD]]</f>
        <v>4</v>
      </c>
      <c r="T318" s="180">
        <f>SUM(Tabela2[[#This Row],[G]:[GWD]])</f>
        <v>13</v>
      </c>
    </row>
    <row r="319" spans="1:20">
      <c r="A319" s="183">
        <v>318</v>
      </c>
      <c r="B319" s="170" t="s">
        <v>389</v>
      </c>
      <c r="C319" s="170" t="s">
        <v>388</v>
      </c>
      <c r="D319" s="170">
        <v>4</v>
      </c>
      <c r="E319" s="170" t="s">
        <v>272</v>
      </c>
      <c r="F319" s="170">
        <v>1</v>
      </c>
      <c r="G319" s="170">
        <v>1</v>
      </c>
      <c r="H319" s="170">
        <v>3</v>
      </c>
      <c r="I319" s="170">
        <v>2</v>
      </c>
      <c r="J319" s="170">
        <v>1</v>
      </c>
      <c r="K319" s="170">
        <v>1</v>
      </c>
      <c r="L319" s="170">
        <v>4</v>
      </c>
      <c r="M319" s="170">
        <v>1</v>
      </c>
      <c r="N319" s="170"/>
      <c r="O319" s="170"/>
      <c r="P319" s="170"/>
      <c r="Q319" s="180">
        <f>SUM(Tabela2[[#This Row],[G]]+Tabela2[[#This Row],[D]]+Tabela2[[#This Row],[N]]+Tabela2[[#This Row],[HM]])</f>
        <v>6</v>
      </c>
      <c r="R319" s="180">
        <f>SUM(Tabela2[[#This Row],[AO]]+Tabela2[[#This Row],[AD]]+Tabela2[[#This Row],[GWO]]+Tabela2[[#This Row],[GWD]])</f>
        <v>8</v>
      </c>
      <c r="S319" s="180">
        <f>Tabela2[[#This Row],[GWO]]+Tabela2[[#This Row],[GWD]]</f>
        <v>5</v>
      </c>
      <c r="T319" s="180">
        <f>SUM(Tabela2[[#This Row],[G]:[GWD]])</f>
        <v>14</v>
      </c>
    </row>
    <row r="320" spans="1:20" ht="30">
      <c r="A320" s="183">
        <v>319</v>
      </c>
      <c r="B320" s="170" t="s">
        <v>387</v>
      </c>
      <c r="C320" s="170" t="s">
        <v>386</v>
      </c>
      <c r="D320" s="170">
        <v>4</v>
      </c>
      <c r="E320" s="170" t="s">
        <v>272</v>
      </c>
      <c r="F320" s="170">
        <v>2</v>
      </c>
      <c r="G320" s="170">
        <v>1</v>
      </c>
      <c r="H320" s="170">
        <v>1</v>
      </c>
      <c r="I320" s="170">
        <v>2</v>
      </c>
      <c r="J320" s="170">
        <v>1</v>
      </c>
      <c r="K320" s="170">
        <v>1</v>
      </c>
      <c r="L320" s="170">
        <v>3</v>
      </c>
      <c r="M320" s="170">
        <v>1</v>
      </c>
      <c r="N320" s="170"/>
      <c r="O320" s="170"/>
      <c r="P320" s="170"/>
      <c r="Q320" s="180">
        <f>SUM(Tabela2[[#This Row],[G]]+Tabela2[[#This Row],[D]]+Tabela2[[#This Row],[N]]+Tabela2[[#This Row],[HM]])</f>
        <v>5</v>
      </c>
      <c r="R320" s="180">
        <f>SUM(Tabela2[[#This Row],[AO]]+Tabela2[[#This Row],[AD]]+Tabela2[[#This Row],[GWO]]+Tabela2[[#This Row],[GWD]])</f>
        <v>7</v>
      </c>
      <c r="S320" s="180">
        <f>Tabela2[[#This Row],[GWO]]+Tabela2[[#This Row],[GWD]]</f>
        <v>4</v>
      </c>
      <c r="T320" s="180">
        <f>SUM(Tabela2[[#This Row],[G]:[GWD]])</f>
        <v>12</v>
      </c>
    </row>
    <row r="321" spans="1:20">
      <c r="A321" s="183">
        <v>320</v>
      </c>
      <c r="B321" s="170" t="s">
        <v>385</v>
      </c>
      <c r="C321" s="170" t="s">
        <v>384</v>
      </c>
      <c r="D321" s="170">
        <v>4</v>
      </c>
      <c r="E321" s="170" t="s">
        <v>272</v>
      </c>
      <c r="F321" s="170">
        <v>3</v>
      </c>
      <c r="G321" s="170">
        <v>1</v>
      </c>
      <c r="H321" s="170">
        <v>5</v>
      </c>
      <c r="I321" s="170">
        <v>3</v>
      </c>
      <c r="J321" s="170">
        <v>1</v>
      </c>
      <c r="K321" s="170">
        <v>1</v>
      </c>
      <c r="L321" s="170">
        <v>4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10</v>
      </c>
      <c r="R321" s="180">
        <f>SUM(Tabela2[[#This Row],[AO]]+Tabela2[[#This Row],[AD]]+Tabela2[[#This Row],[GWO]]+Tabela2[[#This Row],[GWD]])</f>
        <v>9</v>
      </c>
      <c r="S321" s="180">
        <f>Tabela2[[#This Row],[GWO]]+Tabela2[[#This Row],[GWD]]</f>
        <v>5</v>
      </c>
      <c r="T321" s="180">
        <f>SUM(Tabela2[[#This Row],[G]:[GWD]])</f>
        <v>19</v>
      </c>
    </row>
    <row r="322" spans="1:20">
      <c r="A322" s="183">
        <v>321</v>
      </c>
      <c r="B322" s="170" t="s">
        <v>383</v>
      </c>
      <c r="C322" s="170" t="s">
        <v>382</v>
      </c>
      <c r="D322" s="170">
        <v>4</v>
      </c>
      <c r="E322" s="170" t="s">
        <v>272</v>
      </c>
      <c r="F322" s="170">
        <v>2</v>
      </c>
      <c r="G322" s="170">
        <v>2</v>
      </c>
      <c r="H322" s="170">
        <v>1</v>
      </c>
      <c r="I322" s="170">
        <v>5</v>
      </c>
      <c r="J322" s="170">
        <v>1</v>
      </c>
      <c r="K322" s="170">
        <v>1</v>
      </c>
      <c r="L322" s="170">
        <v>4</v>
      </c>
      <c r="M322" s="170">
        <v>1</v>
      </c>
      <c r="N322" s="170"/>
      <c r="O322" s="170"/>
      <c r="P322" s="170"/>
      <c r="Q322" s="180">
        <f>SUM(Tabela2[[#This Row],[G]]+Tabela2[[#This Row],[D]]+Tabela2[[#This Row],[N]]+Tabela2[[#This Row],[HM]])</f>
        <v>6</v>
      </c>
      <c r="R322" s="180">
        <f>SUM(Tabela2[[#This Row],[AO]]+Tabela2[[#This Row],[AD]]+Tabela2[[#This Row],[GWO]]+Tabela2[[#This Row],[GWD]])</f>
        <v>11</v>
      </c>
      <c r="S322" s="180">
        <f>Tabela2[[#This Row],[GWO]]+Tabela2[[#This Row],[GWD]]</f>
        <v>5</v>
      </c>
      <c r="T322" s="180">
        <f>SUM(Tabela2[[#This Row],[G]:[GWD]])</f>
        <v>17</v>
      </c>
    </row>
    <row r="323" spans="1:20">
      <c r="A323" s="183">
        <v>322</v>
      </c>
      <c r="B323" s="170" t="s">
        <v>381</v>
      </c>
      <c r="C323" s="170" t="s">
        <v>227</v>
      </c>
      <c r="D323" s="170">
        <v>4</v>
      </c>
      <c r="E323" s="170" t="s">
        <v>272</v>
      </c>
      <c r="F323" s="170">
        <v>2</v>
      </c>
      <c r="G323" s="170">
        <v>1</v>
      </c>
      <c r="H323" s="170">
        <v>1</v>
      </c>
      <c r="I323" s="170">
        <v>3</v>
      </c>
      <c r="J323" s="170">
        <v>3</v>
      </c>
      <c r="K323" s="170">
        <v>5</v>
      </c>
      <c r="L323" s="170">
        <v>3</v>
      </c>
      <c r="M323" s="170">
        <v>2</v>
      </c>
      <c r="N323" s="170"/>
      <c r="O323" s="170"/>
      <c r="P323" s="170"/>
      <c r="Q323" s="180">
        <f>SUM(Tabela2[[#This Row],[G]]+Tabela2[[#This Row],[D]]+Tabela2[[#This Row],[N]]+Tabela2[[#This Row],[HM]])</f>
        <v>9</v>
      </c>
      <c r="R323" s="180">
        <f>SUM(Tabela2[[#This Row],[AO]]+Tabela2[[#This Row],[AD]]+Tabela2[[#This Row],[GWO]]+Tabela2[[#This Row],[GWD]])</f>
        <v>11</v>
      </c>
      <c r="S323" s="180">
        <f>Tabela2[[#This Row],[GWO]]+Tabela2[[#This Row],[GWD]]</f>
        <v>5</v>
      </c>
      <c r="T323" s="180">
        <f>SUM(Tabela2[[#This Row],[G]:[GWD]])</f>
        <v>20</v>
      </c>
    </row>
    <row r="324" spans="1:20">
      <c r="A324" s="183">
        <v>323</v>
      </c>
      <c r="B324" s="170" t="s">
        <v>380</v>
      </c>
      <c r="C324" s="170" t="s">
        <v>225</v>
      </c>
      <c r="D324" s="170">
        <v>4</v>
      </c>
      <c r="E324" s="170" t="s">
        <v>272</v>
      </c>
      <c r="F324" s="170">
        <v>2</v>
      </c>
      <c r="G324" s="170">
        <v>1</v>
      </c>
      <c r="H324" s="170">
        <v>1</v>
      </c>
      <c r="I324" s="170">
        <v>2</v>
      </c>
      <c r="J324" s="170">
        <v>3</v>
      </c>
      <c r="K324" s="170">
        <v>3</v>
      </c>
      <c r="L324" s="170">
        <v>2</v>
      </c>
      <c r="M324" s="170">
        <v>1</v>
      </c>
      <c r="N324" s="170"/>
      <c r="O324" s="170"/>
      <c r="P324" s="170"/>
      <c r="Q324" s="180">
        <f>SUM(Tabela2[[#This Row],[G]]+Tabela2[[#This Row],[D]]+Tabela2[[#This Row],[N]]+Tabela2[[#This Row],[HM]])</f>
        <v>7</v>
      </c>
      <c r="R324" s="180">
        <f>SUM(Tabela2[[#This Row],[AO]]+Tabela2[[#This Row],[AD]]+Tabela2[[#This Row],[GWO]]+Tabela2[[#This Row],[GWD]])</f>
        <v>8</v>
      </c>
      <c r="S324" s="180">
        <f>Tabela2[[#This Row],[GWO]]+Tabela2[[#This Row],[GWD]]</f>
        <v>3</v>
      </c>
      <c r="T324" s="180">
        <f>SUM(Tabela2[[#This Row],[G]:[GWD]])</f>
        <v>15</v>
      </c>
    </row>
    <row r="325" spans="1:20">
      <c r="A325" s="183">
        <v>324</v>
      </c>
      <c r="B325" s="170" t="s">
        <v>379</v>
      </c>
      <c r="C325" s="170" t="s">
        <v>378</v>
      </c>
      <c r="D325" s="170">
        <v>4</v>
      </c>
      <c r="E325" s="170" t="s">
        <v>272</v>
      </c>
      <c r="F325" s="170">
        <v>3</v>
      </c>
      <c r="G325" s="170">
        <v>4</v>
      </c>
      <c r="H325" s="170">
        <v>1</v>
      </c>
      <c r="I325" s="170">
        <v>2</v>
      </c>
      <c r="J325" s="170">
        <v>4</v>
      </c>
      <c r="K325" s="170">
        <v>2</v>
      </c>
      <c r="L325" s="170">
        <v>5</v>
      </c>
      <c r="M325" s="170">
        <v>4</v>
      </c>
      <c r="N325" s="170"/>
      <c r="O325" s="170"/>
      <c r="P325" s="170"/>
      <c r="Q325" s="180">
        <f>SUM(Tabela2[[#This Row],[G]]+Tabela2[[#This Row],[D]]+Tabela2[[#This Row],[N]]+Tabela2[[#This Row],[HM]])</f>
        <v>10</v>
      </c>
      <c r="R325" s="180">
        <f>SUM(Tabela2[[#This Row],[AO]]+Tabela2[[#This Row],[AD]]+Tabela2[[#This Row],[GWO]]+Tabela2[[#This Row],[GWD]])</f>
        <v>15</v>
      </c>
      <c r="S325" s="180">
        <f>Tabela2[[#This Row],[GWO]]+Tabela2[[#This Row],[GWD]]</f>
        <v>9</v>
      </c>
      <c r="T325" s="180">
        <f>SUM(Tabela2[[#This Row],[G]:[GWD]])</f>
        <v>25</v>
      </c>
    </row>
    <row r="326" spans="1:20">
      <c r="A326" s="183">
        <v>325</v>
      </c>
      <c r="B326" s="170" t="s">
        <v>377</v>
      </c>
      <c r="C326" s="170" t="s">
        <v>376</v>
      </c>
      <c r="D326" s="170">
        <v>4</v>
      </c>
      <c r="E326" s="170" t="s">
        <v>272</v>
      </c>
      <c r="F326" s="170">
        <v>3</v>
      </c>
      <c r="G326" s="170">
        <v>3</v>
      </c>
      <c r="H326" s="170">
        <v>3</v>
      </c>
      <c r="I326" s="170">
        <v>5</v>
      </c>
      <c r="J326" s="170">
        <v>5</v>
      </c>
      <c r="K326" s="170">
        <v>5</v>
      </c>
      <c r="L326" s="170">
        <v>5</v>
      </c>
      <c r="M326" s="170">
        <v>4</v>
      </c>
      <c r="N326" s="170"/>
      <c r="O326" s="170"/>
      <c r="P326" s="170"/>
      <c r="Q326" s="180">
        <f>SUM(Tabela2[[#This Row],[G]]+Tabela2[[#This Row],[D]]+Tabela2[[#This Row],[N]]+Tabela2[[#This Row],[HM]])</f>
        <v>14</v>
      </c>
      <c r="R326" s="180">
        <f>SUM(Tabela2[[#This Row],[AO]]+Tabela2[[#This Row],[AD]]+Tabela2[[#This Row],[GWO]]+Tabela2[[#This Row],[GWD]])</f>
        <v>19</v>
      </c>
      <c r="S326" s="180">
        <f>Tabela2[[#This Row],[GWO]]+Tabela2[[#This Row],[GWD]]</f>
        <v>9</v>
      </c>
      <c r="T326" s="180">
        <f>SUM(Tabela2[[#This Row],[G]:[GWD]])</f>
        <v>33</v>
      </c>
    </row>
    <row r="327" spans="1:20">
      <c r="A327" s="183">
        <v>326</v>
      </c>
      <c r="B327" s="170" t="s">
        <v>375</v>
      </c>
      <c r="C327" s="170" t="s">
        <v>226</v>
      </c>
      <c r="D327" s="170">
        <v>4</v>
      </c>
      <c r="E327" s="170" t="s">
        <v>272</v>
      </c>
      <c r="F327" s="170">
        <v>1</v>
      </c>
      <c r="G327" s="170">
        <v>1</v>
      </c>
      <c r="H327" s="170">
        <v>1</v>
      </c>
      <c r="I327" s="170">
        <v>2</v>
      </c>
      <c r="J327" s="170">
        <v>1</v>
      </c>
      <c r="K327" s="170">
        <v>3</v>
      </c>
      <c r="L327" s="170">
        <v>3</v>
      </c>
      <c r="M327" s="170">
        <v>1</v>
      </c>
      <c r="N327" s="170"/>
      <c r="O327" s="170"/>
      <c r="P327" s="170"/>
      <c r="Q327" s="180">
        <f>SUM(Tabela2[[#This Row],[G]]+Tabela2[[#This Row],[D]]+Tabela2[[#This Row],[N]]+Tabela2[[#This Row],[HM]])</f>
        <v>6</v>
      </c>
      <c r="R327" s="180">
        <f>SUM(Tabela2[[#This Row],[AO]]+Tabela2[[#This Row],[AD]]+Tabela2[[#This Row],[GWO]]+Tabela2[[#This Row],[GWD]])</f>
        <v>7</v>
      </c>
      <c r="S327" s="180">
        <f>Tabela2[[#This Row],[GWO]]+Tabela2[[#This Row],[GWD]]</f>
        <v>4</v>
      </c>
      <c r="T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HP vs DEF</vt:lpstr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2015-12-29T13:16:47Z</dcterms:modified>
</cp:coreProperties>
</file>