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45621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G16" i="14" l="1"/>
  <c r="G15" i="14"/>
  <c r="G14" i="14"/>
  <c r="E8" i="14"/>
  <c r="G8" i="14" s="1"/>
  <c r="E5" i="14"/>
  <c r="E4" i="14"/>
  <c r="E3" i="14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Q1070" i="6"/>
  <c r="AQ1072" i="6"/>
  <c r="AQ1074" i="6"/>
  <c r="AQ1076" i="6"/>
  <c r="AQ1078" i="6"/>
  <c r="AQ1080" i="6"/>
  <c r="AQ1082" i="6"/>
  <c r="AQ1084" i="6"/>
  <c r="AQ1086" i="6"/>
  <c r="AQ1088" i="6"/>
  <c r="AQ1090" i="6"/>
  <c r="AQ1092" i="6"/>
  <c r="AQ1094" i="6"/>
  <c r="AQ1096" i="6"/>
  <c r="AQ1098" i="6"/>
  <c r="AQ1100" i="6"/>
  <c r="AQ1102" i="6"/>
  <c r="AQ1104" i="6"/>
  <c r="AQ1106" i="6"/>
  <c r="AQ1108" i="6"/>
  <c r="AQ1110" i="6"/>
  <c r="AQ1112" i="6"/>
  <c r="AQ1114" i="6"/>
  <c r="AQ1116" i="6"/>
  <c r="AQ1118" i="6"/>
  <c r="AQ1120" i="6"/>
  <c r="AQ1122" i="6"/>
  <c r="AQ1124" i="6"/>
  <c r="AQ1126" i="6"/>
  <c r="AQ1128" i="6"/>
  <c r="AQ1130" i="6"/>
  <c r="AQ1132" i="6"/>
  <c r="AQ1134" i="6"/>
  <c r="AQ1136" i="6"/>
  <c r="AQ1138" i="6"/>
  <c r="AQ1140" i="6"/>
  <c r="AQ1142" i="6"/>
  <c r="AQ1144" i="6"/>
  <c r="AQ1146" i="6"/>
  <c r="AQ1148" i="6"/>
  <c r="AQ1150" i="6"/>
  <c r="AQ1152" i="6"/>
  <c r="AQ1154" i="6"/>
  <c r="AQ1156" i="6"/>
  <c r="AR1156" i="6"/>
  <c r="AQ1158" i="6"/>
  <c r="AR1158" i="6"/>
  <c r="AQ1160" i="6"/>
  <c r="AR1160" i="6"/>
  <c r="AQ1162" i="6"/>
  <c r="AR1162" i="6"/>
  <c r="AQ1164" i="6"/>
  <c r="AR1164" i="6"/>
  <c r="AQ1166" i="6"/>
  <c r="AR1166" i="6"/>
  <c r="AQ1168" i="6"/>
  <c r="AR1168" i="6"/>
  <c r="AQ1170" i="6"/>
  <c r="AR1170" i="6"/>
  <c r="AQ1172" i="6"/>
  <c r="AR1172" i="6"/>
  <c r="AQ1174" i="6"/>
  <c r="AR1174" i="6"/>
  <c r="AQ1176" i="6"/>
  <c r="AR1176" i="6"/>
  <c r="AQ1178" i="6"/>
  <c r="AR1178" i="6"/>
  <c r="AQ1180" i="6"/>
  <c r="AR1180" i="6"/>
  <c r="AQ1182" i="6"/>
  <c r="AR1182" i="6"/>
  <c r="AQ1184" i="6"/>
  <c r="AR1184" i="6"/>
  <c r="AQ1186" i="6"/>
  <c r="AR1186" i="6"/>
  <c r="AQ1188" i="6"/>
  <c r="AR1188" i="6"/>
  <c r="AQ1190" i="6"/>
  <c r="AR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T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T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R3" i="6"/>
  <c r="AQ3" i="6"/>
  <c r="AG3" i="6"/>
  <c r="G18" i="14"/>
  <c r="G17" i="14"/>
  <c r="G3" i="14"/>
  <c r="G4" i="14"/>
  <c r="G6" i="14"/>
  <c r="G7" i="14"/>
  <c r="G9" i="14"/>
  <c r="G10" i="14"/>
  <c r="G11" i="14"/>
  <c r="G12" i="14"/>
  <c r="G13" i="14"/>
  <c r="G2" i="14"/>
  <c r="J4" i="6"/>
  <c r="R4" i="6" s="1"/>
  <c r="H4" i="6"/>
  <c r="F4" i="6" s="1"/>
  <c r="I4" i="6"/>
  <c r="G4" i="6" s="1"/>
  <c r="C18" i="14"/>
  <c r="C13" i="14"/>
  <c r="C17" i="14" s="1"/>
  <c r="R327" i="13"/>
  <c r="R326" i="13"/>
  <c r="R325" i="13"/>
  <c r="R324" i="13"/>
  <c r="R323" i="13"/>
  <c r="R322" i="13"/>
  <c r="R321" i="13"/>
  <c r="R320" i="13"/>
  <c r="R319" i="13"/>
  <c r="R318" i="13"/>
  <c r="R317" i="13"/>
  <c r="R316" i="13"/>
  <c r="R315" i="13"/>
  <c r="R314" i="13"/>
  <c r="R313" i="13"/>
  <c r="R312" i="13"/>
  <c r="R311" i="13"/>
  <c r="R310" i="13"/>
  <c r="R309" i="13"/>
  <c r="R308" i="13"/>
  <c r="R307" i="13"/>
  <c r="R306" i="13"/>
  <c r="R305" i="13"/>
  <c r="R304" i="13"/>
  <c r="R303" i="13"/>
  <c r="R302" i="13"/>
  <c r="R301" i="13"/>
  <c r="R300" i="13"/>
  <c r="R299" i="13"/>
  <c r="R298" i="13"/>
  <c r="R297" i="13"/>
  <c r="R296" i="13"/>
  <c r="R295" i="13"/>
  <c r="R294" i="13"/>
  <c r="R293" i="13"/>
  <c r="R292" i="13"/>
  <c r="R291" i="13"/>
  <c r="R290" i="13"/>
  <c r="R289" i="13"/>
  <c r="R288" i="13"/>
  <c r="R287" i="13"/>
  <c r="R286" i="13"/>
  <c r="R285" i="13"/>
  <c r="R284" i="13"/>
  <c r="R283" i="13"/>
  <c r="R282" i="13"/>
  <c r="R281" i="13"/>
  <c r="R280" i="13"/>
  <c r="R279" i="13"/>
  <c r="R278" i="13"/>
  <c r="R277" i="13"/>
  <c r="R276" i="13"/>
  <c r="R275" i="13"/>
  <c r="R274" i="13"/>
  <c r="R273" i="13"/>
  <c r="R272" i="13"/>
  <c r="R271" i="13"/>
  <c r="R270" i="13"/>
  <c r="R269" i="13"/>
  <c r="R268" i="13"/>
  <c r="R267" i="13"/>
  <c r="R266" i="13"/>
  <c r="R265" i="13"/>
  <c r="R264" i="13"/>
  <c r="R263" i="13"/>
  <c r="R262" i="13"/>
  <c r="R261" i="13"/>
  <c r="R260" i="13"/>
  <c r="R259" i="13"/>
  <c r="R258" i="13"/>
  <c r="R257" i="13"/>
  <c r="R256" i="13"/>
  <c r="R255" i="13"/>
  <c r="R254" i="13"/>
  <c r="R253" i="13"/>
  <c r="R252" i="13"/>
  <c r="R251" i="13"/>
  <c r="R250" i="13"/>
  <c r="R249" i="13"/>
  <c r="R248" i="13"/>
  <c r="R247" i="13"/>
  <c r="R246" i="13"/>
  <c r="R245" i="13"/>
  <c r="R244" i="13"/>
  <c r="R243" i="13"/>
  <c r="R242" i="13"/>
  <c r="R241" i="13"/>
  <c r="R240" i="13"/>
  <c r="R239" i="13"/>
  <c r="R238" i="13"/>
  <c r="R237" i="13"/>
  <c r="R236" i="13"/>
  <c r="R235" i="13"/>
  <c r="R234" i="13"/>
  <c r="R233" i="13"/>
  <c r="R232" i="13"/>
  <c r="R231" i="13"/>
  <c r="R230" i="13"/>
  <c r="R229" i="13"/>
  <c r="R228" i="13"/>
  <c r="R227" i="13"/>
  <c r="R226" i="13"/>
  <c r="R225" i="13"/>
  <c r="R224" i="13"/>
  <c r="R223" i="13"/>
  <c r="R222" i="13"/>
  <c r="R221" i="13"/>
  <c r="R220" i="13"/>
  <c r="R219" i="13"/>
  <c r="R218" i="13"/>
  <c r="R217" i="13"/>
  <c r="R216" i="13"/>
  <c r="R215" i="13"/>
  <c r="R214" i="13"/>
  <c r="R213" i="13"/>
  <c r="R212" i="13"/>
  <c r="R211" i="13"/>
  <c r="R210" i="13"/>
  <c r="R209" i="13"/>
  <c r="R208" i="13"/>
  <c r="R207" i="13"/>
  <c r="R206" i="13"/>
  <c r="R205" i="13"/>
  <c r="R204" i="13"/>
  <c r="R203" i="13"/>
  <c r="R202" i="13"/>
  <c r="R201" i="13"/>
  <c r="R200" i="13"/>
  <c r="R199" i="13"/>
  <c r="R198" i="13"/>
  <c r="R197" i="13"/>
  <c r="R196" i="13"/>
  <c r="R195" i="13"/>
  <c r="R194" i="13"/>
  <c r="R193" i="13"/>
  <c r="R192" i="13"/>
  <c r="R191" i="13"/>
  <c r="R190" i="13"/>
  <c r="R189" i="13"/>
  <c r="R188" i="13"/>
  <c r="R187" i="13"/>
  <c r="R186" i="13"/>
  <c r="R185" i="13"/>
  <c r="R184" i="13"/>
  <c r="R183" i="13"/>
  <c r="R182" i="13"/>
  <c r="R181" i="13"/>
  <c r="R180" i="13"/>
  <c r="R179" i="13"/>
  <c r="R178" i="13"/>
  <c r="R177" i="13"/>
  <c r="R176" i="13"/>
  <c r="R175" i="13"/>
  <c r="R174" i="13"/>
  <c r="R173" i="13"/>
  <c r="R172" i="13"/>
  <c r="R171" i="13"/>
  <c r="R170" i="13"/>
  <c r="R169" i="13"/>
  <c r="R168" i="13"/>
  <c r="R167" i="13"/>
  <c r="R166" i="13"/>
  <c r="R165" i="13"/>
  <c r="R164" i="13"/>
  <c r="R163" i="13"/>
  <c r="R162" i="13"/>
  <c r="R161" i="13"/>
  <c r="R160" i="13"/>
  <c r="R159" i="13"/>
  <c r="R158" i="13"/>
  <c r="R157" i="13"/>
  <c r="R156" i="13"/>
  <c r="R155" i="13"/>
  <c r="R154" i="13"/>
  <c r="R153" i="13"/>
  <c r="R152" i="13"/>
  <c r="R151" i="13"/>
  <c r="R150" i="13"/>
  <c r="R149" i="13"/>
  <c r="R148" i="13"/>
  <c r="R147" i="13"/>
  <c r="R146" i="13"/>
  <c r="R145" i="13"/>
  <c r="R144" i="13"/>
  <c r="R143" i="13"/>
  <c r="R142" i="13"/>
  <c r="R141" i="13"/>
  <c r="R140" i="13"/>
  <c r="R139" i="13"/>
  <c r="R138" i="13"/>
  <c r="R137" i="13"/>
  <c r="R136" i="13"/>
  <c r="R135" i="13"/>
  <c r="R134" i="13"/>
  <c r="R133" i="13"/>
  <c r="R132" i="13"/>
  <c r="R131" i="13"/>
  <c r="R130" i="13"/>
  <c r="R129" i="13"/>
  <c r="R128" i="13"/>
  <c r="R127" i="13"/>
  <c r="R126" i="13"/>
  <c r="R125" i="13"/>
  <c r="R124" i="13"/>
  <c r="R123" i="13"/>
  <c r="R122" i="13"/>
  <c r="R121" i="13"/>
  <c r="R120" i="13"/>
  <c r="R119" i="13"/>
  <c r="R118" i="13"/>
  <c r="R117" i="13"/>
  <c r="R116" i="13"/>
  <c r="R115" i="13"/>
  <c r="R114" i="13"/>
  <c r="R113" i="13"/>
  <c r="R112" i="13"/>
  <c r="R111" i="13"/>
  <c r="R110" i="13"/>
  <c r="R109" i="13"/>
  <c r="R108" i="13"/>
  <c r="R107" i="13"/>
  <c r="R106" i="13"/>
  <c r="R105" i="13"/>
  <c r="R104" i="13"/>
  <c r="R103" i="13"/>
  <c r="R102" i="13"/>
  <c r="R101" i="13"/>
  <c r="R100" i="13"/>
  <c r="R99" i="13"/>
  <c r="R98" i="13"/>
  <c r="R97" i="13"/>
  <c r="R96" i="13"/>
  <c r="R95" i="13"/>
  <c r="R94" i="13"/>
  <c r="R93" i="13"/>
  <c r="R92" i="13"/>
  <c r="R91" i="13"/>
  <c r="R90" i="13"/>
  <c r="R89" i="13"/>
  <c r="R88" i="13"/>
  <c r="R87" i="13"/>
  <c r="R86" i="13"/>
  <c r="R85" i="13"/>
  <c r="R84" i="13"/>
  <c r="R83" i="13"/>
  <c r="R82" i="13"/>
  <c r="R81" i="13"/>
  <c r="R80" i="13"/>
  <c r="R79" i="13"/>
  <c r="R78" i="13"/>
  <c r="R77" i="13"/>
  <c r="R76" i="13"/>
  <c r="R75" i="13"/>
  <c r="R74" i="13"/>
  <c r="R73" i="13"/>
  <c r="R72" i="13"/>
  <c r="R71" i="13"/>
  <c r="R70" i="13"/>
  <c r="R69" i="13"/>
  <c r="R68" i="13"/>
  <c r="R67" i="13"/>
  <c r="R66" i="13"/>
  <c r="R65" i="13"/>
  <c r="R64" i="13"/>
  <c r="R63" i="13"/>
  <c r="R62" i="13"/>
  <c r="R61" i="13"/>
  <c r="R60" i="13"/>
  <c r="R59" i="13"/>
  <c r="R58" i="13"/>
  <c r="R57" i="13"/>
  <c r="R56" i="13"/>
  <c r="R55" i="13"/>
  <c r="R54" i="13"/>
  <c r="R53" i="13"/>
  <c r="R52" i="13"/>
  <c r="R51" i="13"/>
  <c r="R50" i="13"/>
  <c r="R49" i="13"/>
  <c r="R48" i="13"/>
  <c r="R47" i="13"/>
  <c r="R46" i="13"/>
  <c r="R45" i="13"/>
  <c r="R44" i="13"/>
  <c r="R43" i="13"/>
  <c r="R42" i="13"/>
  <c r="R41" i="13"/>
  <c r="R40" i="13"/>
  <c r="R39" i="13"/>
  <c r="R38" i="13"/>
  <c r="R37" i="13"/>
  <c r="R36" i="13"/>
  <c r="R35" i="13"/>
  <c r="R34" i="13"/>
  <c r="R33" i="13"/>
  <c r="R32" i="13"/>
  <c r="R31" i="13"/>
  <c r="R30" i="13"/>
  <c r="R29" i="13"/>
  <c r="R28" i="13"/>
  <c r="R27" i="13"/>
  <c r="R26" i="13"/>
  <c r="R25" i="13"/>
  <c r="R24" i="13"/>
  <c r="R23" i="13"/>
  <c r="R22" i="13"/>
  <c r="R21" i="13"/>
  <c r="R20" i="13"/>
  <c r="R19" i="13"/>
  <c r="R18" i="13"/>
  <c r="R17" i="13"/>
  <c r="R16" i="13"/>
  <c r="R15" i="13"/>
  <c r="R14" i="13"/>
  <c r="R13" i="13"/>
  <c r="R12" i="13"/>
  <c r="R11" i="13"/>
  <c r="R10" i="13"/>
  <c r="R9" i="13"/>
  <c r="R8" i="13"/>
  <c r="R7" i="13"/>
  <c r="R6" i="13"/>
  <c r="R5" i="13"/>
  <c r="R4" i="13"/>
  <c r="R3" i="13"/>
  <c r="R2" i="13"/>
  <c r="Q327" i="13"/>
  <c r="Q326" i="13"/>
  <c r="Q325" i="13"/>
  <c r="Q324" i="13"/>
  <c r="Q323" i="13"/>
  <c r="Q322" i="13"/>
  <c r="Q321" i="13"/>
  <c r="Q320" i="13"/>
  <c r="Q319" i="13"/>
  <c r="Q318" i="13"/>
  <c r="Q317" i="13"/>
  <c r="Q316" i="13"/>
  <c r="Q315" i="13"/>
  <c r="Q314" i="13"/>
  <c r="Q313" i="13"/>
  <c r="Q312" i="13"/>
  <c r="Q311" i="13"/>
  <c r="Q310" i="13"/>
  <c r="Q309" i="13"/>
  <c r="Q308" i="13"/>
  <c r="Q307" i="13"/>
  <c r="Q306" i="13"/>
  <c r="Q305" i="13"/>
  <c r="Q304" i="13"/>
  <c r="Q303" i="13"/>
  <c r="Q302" i="13"/>
  <c r="Q301" i="13"/>
  <c r="Q300" i="13"/>
  <c r="Q299" i="13"/>
  <c r="Q298" i="13"/>
  <c r="Q297" i="13"/>
  <c r="Q296" i="13"/>
  <c r="Q295" i="13"/>
  <c r="Q294" i="13"/>
  <c r="Q293" i="13"/>
  <c r="Q292" i="13"/>
  <c r="Q291" i="13"/>
  <c r="Q290" i="13"/>
  <c r="Q289" i="13"/>
  <c r="Q288" i="13"/>
  <c r="Q287" i="13"/>
  <c r="Q286" i="13"/>
  <c r="Q285" i="13"/>
  <c r="Q284" i="13"/>
  <c r="Q283" i="13"/>
  <c r="Q282" i="13"/>
  <c r="Q281" i="13"/>
  <c r="Q280" i="13"/>
  <c r="Q279" i="13"/>
  <c r="Q278" i="13"/>
  <c r="Q277" i="13"/>
  <c r="Q276" i="13"/>
  <c r="Q275" i="13"/>
  <c r="Q274" i="13"/>
  <c r="Q273" i="13"/>
  <c r="Q272" i="13"/>
  <c r="Q271" i="13"/>
  <c r="Q270" i="13"/>
  <c r="Q269" i="13"/>
  <c r="Q268" i="13"/>
  <c r="Q267" i="13"/>
  <c r="Q266" i="13"/>
  <c r="Q265" i="13"/>
  <c r="Q264" i="13"/>
  <c r="Q263" i="13"/>
  <c r="Q262" i="13"/>
  <c r="Q261" i="13"/>
  <c r="Q260" i="13"/>
  <c r="Q259" i="13"/>
  <c r="Q258" i="13"/>
  <c r="Q257" i="13"/>
  <c r="Q256" i="13"/>
  <c r="Q255" i="13"/>
  <c r="Q254" i="13"/>
  <c r="Q253" i="13"/>
  <c r="Q252" i="13"/>
  <c r="Q251" i="13"/>
  <c r="Q250" i="13"/>
  <c r="Q249" i="13"/>
  <c r="Q248" i="13"/>
  <c r="Q247" i="13"/>
  <c r="Q246" i="13"/>
  <c r="Q245" i="13"/>
  <c r="Q244" i="13"/>
  <c r="Q243" i="13"/>
  <c r="Q242" i="13"/>
  <c r="Q241" i="13"/>
  <c r="Q240" i="13"/>
  <c r="Q239" i="13"/>
  <c r="Q238" i="13"/>
  <c r="Q237" i="13"/>
  <c r="Q236" i="13"/>
  <c r="Q235" i="13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20" i="13"/>
  <c r="Q219" i="13"/>
  <c r="Q218" i="13"/>
  <c r="Q217" i="13"/>
  <c r="Q216" i="13"/>
  <c r="Q215" i="13"/>
  <c r="Q214" i="13"/>
  <c r="Q213" i="13"/>
  <c r="Q212" i="13"/>
  <c r="Q211" i="13"/>
  <c r="Q210" i="13"/>
  <c r="Q209" i="13"/>
  <c r="Q208" i="13"/>
  <c r="Q207" i="13"/>
  <c r="Q206" i="13"/>
  <c r="Q205" i="13"/>
  <c r="Q204" i="13"/>
  <c r="Q203" i="13"/>
  <c r="Q202" i="13"/>
  <c r="Q201" i="13"/>
  <c r="Q200" i="13"/>
  <c r="Q199" i="13"/>
  <c r="Q198" i="13"/>
  <c r="Q197" i="13"/>
  <c r="Q196" i="13"/>
  <c r="Q195" i="13"/>
  <c r="Q194" i="13"/>
  <c r="Q193" i="13"/>
  <c r="Q192" i="13"/>
  <c r="Q191" i="13"/>
  <c r="Q190" i="13"/>
  <c r="Q189" i="13"/>
  <c r="Q188" i="13"/>
  <c r="Q187" i="13"/>
  <c r="Q186" i="13"/>
  <c r="Q185" i="13"/>
  <c r="Q184" i="13"/>
  <c r="Q183" i="13"/>
  <c r="Q182" i="13"/>
  <c r="Q181" i="13"/>
  <c r="Q180" i="13"/>
  <c r="Q179" i="13"/>
  <c r="Q178" i="13"/>
  <c r="Q177" i="13"/>
  <c r="Q176" i="13"/>
  <c r="Q175" i="13"/>
  <c r="Q174" i="13"/>
  <c r="Q173" i="13"/>
  <c r="Q172" i="13"/>
  <c r="Q171" i="13"/>
  <c r="Q170" i="13"/>
  <c r="Q169" i="13"/>
  <c r="Q168" i="13"/>
  <c r="Q167" i="13"/>
  <c r="Q166" i="13"/>
  <c r="Q165" i="13"/>
  <c r="Q164" i="13"/>
  <c r="Q163" i="13"/>
  <c r="Q162" i="13"/>
  <c r="Q161" i="13"/>
  <c r="Q160" i="13"/>
  <c r="Q159" i="13"/>
  <c r="Q158" i="13"/>
  <c r="Q157" i="13"/>
  <c r="Q156" i="13"/>
  <c r="Q155" i="13"/>
  <c r="Q154" i="13"/>
  <c r="Q153" i="13"/>
  <c r="Q152" i="13"/>
  <c r="Q151" i="13"/>
  <c r="Q150" i="13"/>
  <c r="Q149" i="13"/>
  <c r="Q148" i="13"/>
  <c r="Q147" i="13"/>
  <c r="Q146" i="13"/>
  <c r="Q145" i="13"/>
  <c r="Q144" i="13"/>
  <c r="Q143" i="13"/>
  <c r="Q142" i="13"/>
  <c r="Q141" i="13"/>
  <c r="Q140" i="13"/>
  <c r="Q139" i="13"/>
  <c r="Q138" i="13"/>
  <c r="Q137" i="13"/>
  <c r="Q136" i="13"/>
  <c r="Q135" i="13"/>
  <c r="Q134" i="13"/>
  <c r="Q133" i="13"/>
  <c r="Q132" i="13"/>
  <c r="Q131" i="13"/>
  <c r="Q130" i="13"/>
  <c r="Q129" i="13"/>
  <c r="Q128" i="13"/>
  <c r="Q127" i="13"/>
  <c r="Q126" i="13"/>
  <c r="Q125" i="13"/>
  <c r="Q124" i="13"/>
  <c r="Q123" i="13"/>
  <c r="Q122" i="13"/>
  <c r="Q121" i="13"/>
  <c r="Q120" i="13"/>
  <c r="Q119" i="13"/>
  <c r="Q118" i="13"/>
  <c r="Q117" i="13"/>
  <c r="Q116" i="13"/>
  <c r="Q115" i="13"/>
  <c r="Q114" i="13"/>
  <c r="Q113" i="13"/>
  <c r="Q112" i="13"/>
  <c r="Q111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75" i="13"/>
  <c r="Q74" i="13"/>
  <c r="Q73" i="13"/>
  <c r="Q72" i="13"/>
  <c r="Q71" i="13"/>
  <c r="Q70" i="13"/>
  <c r="Q69" i="13"/>
  <c r="Q68" i="13"/>
  <c r="Q67" i="13"/>
  <c r="Q66" i="13"/>
  <c r="Q65" i="13"/>
  <c r="Q64" i="13"/>
  <c r="Q63" i="13"/>
  <c r="Q62" i="13"/>
  <c r="Q61" i="13"/>
  <c r="Q60" i="13"/>
  <c r="Q59" i="13"/>
  <c r="Q58" i="13"/>
  <c r="Q57" i="13"/>
  <c r="Q56" i="13"/>
  <c r="Q55" i="13"/>
  <c r="Q54" i="13"/>
  <c r="Q53" i="13"/>
  <c r="Q52" i="13"/>
  <c r="Q51" i="13"/>
  <c r="Q50" i="13"/>
  <c r="Q49" i="13"/>
  <c r="Q48" i="13"/>
  <c r="Q47" i="13"/>
  <c r="Q46" i="13"/>
  <c r="Q45" i="13"/>
  <c r="Q44" i="13"/>
  <c r="Q43" i="13"/>
  <c r="Q42" i="13"/>
  <c r="Q41" i="13"/>
  <c r="Q40" i="13"/>
  <c r="Q39" i="13"/>
  <c r="Q38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Q23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Q4" i="13"/>
  <c r="Q3" i="13"/>
  <c r="Q2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S327" i="13"/>
  <c r="S326" i="13"/>
  <c r="S325" i="13"/>
  <c r="S324" i="13"/>
  <c r="S323" i="13"/>
  <c r="S322" i="13"/>
  <c r="S321" i="13"/>
  <c r="S320" i="13"/>
  <c r="S319" i="13"/>
  <c r="S318" i="13"/>
  <c r="S317" i="13"/>
  <c r="S316" i="13"/>
  <c r="S315" i="13"/>
  <c r="S314" i="13"/>
  <c r="S313" i="13"/>
  <c r="S312" i="13"/>
  <c r="S311" i="13"/>
  <c r="S310" i="13"/>
  <c r="S309" i="13"/>
  <c r="S308" i="13"/>
  <c r="S307" i="13"/>
  <c r="S306" i="13"/>
  <c r="S305" i="13"/>
  <c r="S304" i="13"/>
  <c r="S303" i="13"/>
  <c r="S302" i="13"/>
  <c r="S301" i="13"/>
  <c r="S300" i="13"/>
  <c r="S299" i="13"/>
  <c r="S298" i="13"/>
  <c r="S297" i="13"/>
  <c r="S296" i="13"/>
  <c r="S295" i="13"/>
  <c r="S294" i="13"/>
  <c r="S293" i="13"/>
  <c r="S292" i="13"/>
  <c r="S291" i="13"/>
  <c r="S290" i="13"/>
  <c r="S289" i="13"/>
  <c r="S288" i="13"/>
  <c r="S287" i="13"/>
  <c r="S286" i="13"/>
  <c r="S285" i="13"/>
  <c r="S284" i="13"/>
  <c r="S283" i="13"/>
  <c r="S282" i="13"/>
  <c r="S281" i="13"/>
  <c r="S280" i="13"/>
  <c r="S279" i="13"/>
  <c r="S278" i="13"/>
  <c r="S277" i="13"/>
  <c r="S276" i="13"/>
  <c r="S275" i="13"/>
  <c r="S274" i="13"/>
  <c r="S273" i="13"/>
  <c r="S272" i="13"/>
  <c r="S271" i="13"/>
  <c r="S270" i="13"/>
  <c r="S269" i="13"/>
  <c r="S268" i="13"/>
  <c r="S267" i="13"/>
  <c r="S266" i="13"/>
  <c r="S265" i="13"/>
  <c r="S264" i="13"/>
  <c r="S263" i="13"/>
  <c r="S262" i="13"/>
  <c r="S261" i="13"/>
  <c r="S260" i="13"/>
  <c r="S259" i="13"/>
  <c r="S258" i="13"/>
  <c r="S257" i="13"/>
  <c r="S256" i="13"/>
  <c r="S255" i="13"/>
  <c r="S254" i="13"/>
  <c r="S253" i="13"/>
  <c r="S252" i="13"/>
  <c r="S251" i="13"/>
  <c r="S250" i="13"/>
  <c r="S249" i="13"/>
  <c r="S248" i="13"/>
  <c r="S247" i="13"/>
  <c r="S246" i="13"/>
  <c r="S245" i="13"/>
  <c r="S244" i="13"/>
  <c r="S243" i="13"/>
  <c r="S242" i="13"/>
  <c r="S241" i="13"/>
  <c r="S240" i="13"/>
  <c r="S239" i="13"/>
  <c r="S238" i="13"/>
  <c r="S237" i="13"/>
  <c r="S236" i="13"/>
  <c r="S235" i="13"/>
  <c r="S234" i="13"/>
  <c r="S233" i="13"/>
  <c r="S232" i="13"/>
  <c r="S231" i="13"/>
  <c r="S230" i="13"/>
  <c r="S229" i="13"/>
  <c r="S228" i="13"/>
  <c r="S227" i="13"/>
  <c r="S226" i="13"/>
  <c r="S225" i="13"/>
  <c r="S224" i="13"/>
  <c r="S223" i="13"/>
  <c r="S222" i="13"/>
  <c r="S221" i="13"/>
  <c r="S220" i="13"/>
  <c r="S219" i="13"/>
  <c r="S218" i="13"/>
  <c r="S217" i="13"/>
  <c r="S216" i="13"/>
  <c r="S215" i="13"/>
  <c r="S214" i="13"/>
  <c r="S213" i="13"/>
  <c r="S212" i="13"/>
  <c r="S211" i="13"/>
  <c r="S210" i="13"/>
  <c r="S209" i="13"/>
  <c r="S208" i="13"/>
  <c r="S207" i="13"/>
  <c r="S206" i="13"/>
  <c r="S205" i="13"/>
  <c r="S204" i="13"/>
  <c r="S203" i="13"/>
  <c r="S202" i="13"/>
  <c r="S201" i="13"/>
  <c r="S200" i="13"/>
  <c r="S199" i="13"/>
  <c r="S198" i="13"/>
  <c r="S197" i="13"/>
  <c r="S196" i="13"/>
  <c r="S195" i="13"/>
  <c r="S194" i="13"/>
  <c r="S193" i="13"/>
  <c r="S192" i="13"/>
  <c r="S191" i="13"/>
  <c r="S190" i="13"/>
  <c r="S189" i="13"/>
  <c r="S188" i="13"/>
  <c r="S187" i="13"/>
  <c r="S186" i="13"/>
  <c r="S185" i="13"/>
  <c r="S184" i="13"/>
  <c r="S183" i="13"/>
  <c r="S182" i="13"/>
  <c r="S181" i="13"/>
  <c r="S180" i="13"/>
  <c r="S179" i="13"/>
  <c r="S178" i="13"/>
  <c r="S177" i="13"/>
  <c r="S176" i="13"/>
  <c r="S175" i="13"/>
  <c r="S174" i="13"/>
  <c r="S173" i="13"/>
  <c r="S172" i="13"/>
  <c r="S171" i="13"/>
  <c r="S170" i="13"/>
  <c r="S169" i="13"/>
  <c r="S168" i="13"/>
  <c r="S167" i="13"/>
  <c r="S166" i="13"/>
  <c r="S165" i="13"/>
  <c r="S164" i="13"/>
  <c r="S163" i="13"/>
  <c r="S162" i="13"/>
  <c r="S161" i="13"/>
  <c r="S160" i="13"/>
  <c r="S159" i="13"/>
  <c r="S158" i="13"/>
  <c r="S157" i="13"/>
  <c r="S156" i="13"/>
  <c r="S155" i="13"/>
  <c r="S154" i="13"/>
  <c r="S153" i="13"/>
  <c r="S152" i="13"/>
  <c r="S151" i="13"/>
  <c r="S150" i="13"/>
  <c r="S149" i="13"/>
  <c r="S148" i="13"/>
  <c r="S147" i="13"/>
  <c r="S146" i="13"/>
  <c r="S145" i="13"/>
  <c r="S144" i="13"/>
  <c r="S143" i="13"/>
  <c r="S142" i="13"/>
  <c r="S141" i="13"/>
  <c r="S140" i="13"/>
  <c r="S139" i="13"/>
  <c r="S138" i="13"/>
  <c r="S137" i="13"/>
  <c r="S136" i="13"/>
  <c r="S135" i="13"/>
  <c r="S134" i="13"/>
  <c r="S133" i="13"/>
  <c r="S132" i="13"/>
  <c r="S131" i="13"/>
  <c r="S130" i="13"/>
  <c r="S129" i="13"/>
  <c r="S128" i="13"/>
  <c r="S127" i="13"/>
  <c r="S126" i="13"/>
  <c r="S125" i="13"/>
  <c r="S124" i="13"/>
  <c r="S123" i="13"/>
  <c r="S122" i="13"/>
  <c r="S121" i="13"/>
  <c r="S120" i="13"/>
  <c r="S119" i="13"/>
  <c r="S118" i="13"/>
  <c r="S117" i="13"/>
  <c r="S116" i="13"/>
  <c r="S115" i="13"/>
  <c r="S114" i="13"/>
  <c r="S113" i="13"/>
  <c r="S112" i="13"/>
  <c r="S111" i="13"/>
  <c r="S110" i="13"/>
  <c r="S109" i="13"/>
  <c r="S108" i="13"/>
  <c r="S107" i="13"/>
  <c r="S106" i="13"/>
  <c r="S105" i="13"/>
  <c r="S104" i="13"/>
  <c r="S103" i="13"/>
  <c r="S102" i="13"/>
  <c r="S101" i="13"/>
  <c r="S100" i="13"/>
  <c r="S99" i="13"/>
  <c r="S98" i="13"/>
  <c r="S97" i="13"/>
  <c r="S96" i="13"/>
  <c r="S95" i="13"/>
  <c r="S94" i="13"/>
  <c r="S93" i="13"/>
  <c r="S92" i="13"/>
  <c r="S91" i="13"/>
  <c r="S90" i="13"/>
  <c r="S89" i="13"/>
  <c r="S88" i="13"/>
  <c r="S87" i="13"/>
  <c r="S86" i="13"/>
  <c r="S85" i="13"/>
  <c r="S84" i="13"/>
  <c r="S83" i="13"/>
  <c r="S82" i="13"/>
  <c r="S81" i="13"/>
  <c r="S80" i="13"/>
  <c r="S79" i="13"/>
  <c r="S78" i="13"/>
  <c r="S77" i="13"/>
  <c r="S76" i="13"/>
  <c r="S75" i="13"/>
  <c r="S74" i="13"/>
  <c r="S73" i="13"/>
  <c r="S72" i="13"/>
  <c r="S71" i="13"/>
  <c r="S70" i="13"/>
  <c r="S69" i="13"/>
  <c r="S68" i="13"/>
  <c r="S67" i="13"/>
  <c r="S66" i="13"/>
  <c r="S65" i="13"/>
  <c r="S64" i="13"/>
  <c r="S63" i="13"/>
  <c r="S62" i="13"/>
  <c r="S61" i="13"/>
  <c r="S60" i="13"/>
  <c r="S59" i="13"/>
  <c r="S58" i="13"/>
  <c r="S57" i="13"/>
  <c r="S56" i="13"/>
  <c r="S55" i="13"/>
  <c r="S54" i="13"/>
  <c r="S53" i="13"/>
  <c r="S52" i="13"/>
  <c r="S51" i="13"/>
  <c r="S50" i="13"/>
  <c r="S49" i="13"/>
  <c r="S48" i="13"/>
  <c r="S47" i="13"/>
  <c r="S46" i="13"/>
  <c r="S45" i="13"/>
  <c r="S44" i="13"/>
  <c r="S43" i="13"/>
  <c r="S42" i="13"/>
  <c r="S41" i="13"/>
  <c r="S40" i="13"/>
  <c r="S39" i="13"/>
  <c r="S38" i="13"/>
  <c r="S37" i="13"/>
  <c r="S36" i="13"/>
  <c r="S35" i="13"/>
  <c r="S34" i="13"/>
  <c r="S33" i="13"/>
  <c r="S32" i="13"/>
  <c r="S31" i="13"/>
  <c r="S30" i="13"/>
  <c r="S29" i="13"/>
  <c r="S28" i="13"/>
  <c r="S27" i="13"/>
  <c r="S26" i="13"/>
  <c r="S25" i="13"/>
  <c r="S24" i="13"/>
  <c r="S23" i="13"/>
  <c r="S22" i="13"/>
  <c r="S21" i="13"/>
  <c r="S20" i="13"/>
  <c r="S19" i="13"/>
  <c r="S18" i="13"/>
  <c r="S17" i="13"/>
  <c r="S16" i="13"/>
  <c r="S15" i="13"/>
  <c r="S14" i="13"/>
  <c r="S13" i="13"/>
  <c r="S12" i="13"/>
  <c r="S11" i="13"/>
  <c r="S10" i="13"/>
  <c r="S9" i="13"/>
  <c r="S8" i="13"/>
  <c r="S7" i="13"/>
  <c r="S6" i="13"/>
  <c r="S5" i="13"/>
  <c r="S4" i="13"/>
  <c r="S3" i="13"/>
  <c r="S2" i="13"/>
  <c r="AT231" i="6" l="1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0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M3" i="1"/>
  <c r="K2" i="14" l="1"/>
  <c r="L3" i="14" s="1"/>
  <c r="AT8" i="6"/>
  <c r="AS8" i="6"/>
  <c r="AO9" i="6"/>
  <c r="AU9" i="6" s="1"/>
  <c r="AM8" i="6"/>
  <c r="AR5" i="6"/>
  <c r="AQ5" i="6"/>
  <c r="J55" i="6"/>
  <c r="R55" i="6" s="1"/>
  <c r="I55" i="6"/>
  <c r="G55" i="6" s="1"/>
  <c r="H55" i="6"/>
  <c r="J46" i="6"/>
  <c r="R46" i="6" s="1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R6" i="5"/>
  <c r="V6" i="5"/>
  <c r="S6" i="5"/>
  <c r="T6" i="5"/>
  <c r="W6" i="5"/>
  <c r="U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AT16" i="6" l="1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E12" i="4"/>
  <c r="L12" i="4" s="1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U4" i="5"/>
  <c r="W5" i="5"/>
  <c r="U5" i="5"/>
  <c r="R5" i="5"/>
  <c r="T5" i="5"/>
  <c r="V4" i="5"/>
  <c r="V5" i="5"/>
  <c r="T4" i="5"/>
  <c r="W4" i="5"/>
  <c r="S5" i="5"/>
  <c r="S4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AT19" i="6" l="1"/>
  <c r="AS19" i="6"/>
  <c r="AO20" i="6"/>
  <c r="AU20" i="6" s="1"/>
  <c r="AM19" i="6"/>
  <c r="AQ16" i="6"/>
  <c r="AR16" i="6"/>
  <c r="M30" i="1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37" i="9"/>
  <c r="T39" i="9" s="1"/>
  <c r="S37" i="9"/>
  <c r="S39" i="9" s="1"/>
  <c r="R37" i="9"/>
  <c r="R39" i="9" s="1"/>
  <c r="Q37" i="9"/>
  <c r="Q39" i="9" s="1"/>
  <c r="P37" i="9"/>
  <c r="P39" i="9" s="1"/>
  <c r="O37" i="9"/>
  <c r="O39" i="9" s="1"/>
  <c r="N37" i="9"/>
  <c r="N39" i="9" s="1"/>
  <c r="M37" i="9"/>
  <c r="M39" i="9" s="1"/>
  <c r="L37" i="9"/>
  <c r="L39" i="9" s="1"/>
  <c r="K37" i="9"/>
  <c r="K39" i="9" s="1"/>
  <c r="J37" i="9"/>
  <c r="J39" i="9" s="1"/>
  <c r="I37" i="9"/>
  <c r="I39" i="9" s="1"/>
  <c r="H37" i="9"/>
  <c r="H39" i="9" s="1"/>
  <c r="G37" i="9"/>
  <c r="G39" i="9" s="1"/>
  <c r="F37" i="9"/>
  <c r="F39" i="9" s="1"/>
  <c r="AT23" i="6" l="1"/>
  <c r="AS23" i="6"/>
  <c r="AO24" i="6"/>
  <c r="AU24" i="6" s="1"/>
  <c r="AM23" i="6"/>
  <c r="AQ20" i="6"/>
  <c r="AR20" i="6"/>
  <c r="I48" i="9"/>
  <c r="I41" i="9"/>
  <c r="I46" i="9"/>
  <c r="I42" i="9"/>
  <c r="I43" i="9"/>
  <c r="I47" i="9"/>
  <c r="M43" i="9"/>
  <c r="M46" i="9"/>
  <c r="M41" i="9"/>
  <c r="M47" i="9"/>
  <c r="M48" i="9"/>
  <c r="M42" i="9"/>
  <c r="L46" i="9"/>
  <c r="L42" i="9"/>
  <c r="L47" i="9"/>
  <c r="L43" i="9"/>
  <c r="L48" i="9"/>
  <c r="L41" i="9"/>
  <c r="T48" i="9"/>
  <c r="T41" i="9"/>
  <c r="T46" i="9"/>
  <c r="T42" i="9"/>
  <c r="T47" i="9"/>
  <c r="T43" i="9"/>
  <c r="J42" i="9"/>
  <c r="J46" i="9"/>
  <c r="J47" i="9"/>
  <c r="J43" i="9"/>
  <c r="J48" i="9"/>
  <c r="J41" i="9"/>
  <c r="N47" i="9"/>
  <c r="N41" i="9"/>
  <c r="N42" i="9"/>
  <c r="N48" i="9"/>
  <c r="N43" i="9"/>
  <c r="N46" i="9"/>
  <c r="R48" i="9"/>
  <c r="R41" i="9"/>
  <c r="R42" i="9"/>
  <c r="R46" i="9"/>
  <c r="R47" i="9"/>
  <c r="R43" i="9"/>
  <c r="P41" i="9"/>
  <c r="P47" i="9"/>
  <c r="P48" i="9"/>
  <c r="P42" i="9"/>
  <c r="P43" i="9"/>
  <c r="P46" i="9"/>
  <c r="Q46" i="9"/>
  <c r="Q42" i="9"/>
  <c r="Q43" i="9"/>
  <c r="Q47" i="9"/>
  <c r="Q48" i="9"/>
  <c r="Q41" i="9"/>
  <c r="K48" i="9"/>
  <c r="K41" i="9"/>
  <c r="K46" i="9"/>
  <c r="K42" i="9"/>
  <c r="K43" i="9"/>
  <c r="K47" i="9"/>
  <c r="O43" i="9"/>
  <c r="O46" i="9"/>
  <c r="O47" i="9"/>
  <c r="O41" i="9"/>
  <c r="O48" i="9"/>
  <c r="O42" i="9"/>
  <c r="S46" i="9"/>
  <c r="S42" i="9"/>
  <c r="S43" i="9"/>
  <c r="S47" i="9"/>
  <c r="S48" i="9"/>
  <c r="S41" i="9"/>
  <c r="H48" i="9"/>
  <c r="H46" i="9"/>
  <c r="H43" i="9"/>
  <c r="H41" i="9"/>
  <c r="H47" i="9"/>
  <c r="H42" i="9"/>
  <c r="G47" i="9"/>
  <c r="G41" i="9"/>
  <c r="G43" i="9"/>
  <c r="G48" i="9"/>
  <c r="G46" i="9"/>
  <c r="G42" i="9"/>
  <c r="F46" i="9"/>
  <c r="F42" i="9"/>
  <c r="F48" i="9"/>
  <c r="F41" i="9"/>
  <c r="F47" i="9"/>
  <c r="F43" i="9"/>
  <c r="Q15" i="4"/>
  <c r="L15" i="4"/>
  <c r="K15" i="4"/>
  <c r="J15" i="4"/>
  <c r="AT24" i="6" l="1"/>
  <c r="AS24" i="6"/>
  <c r="AO25" i="6"/>
  <c r="AU25" i="6" s="1"/>
  <c r="AM24" i="6"/>
  <c r="AR21" i="6"/>
  <c r="AQ21" i="6"/>
  <c r="U47" i="9"/>
  <c r="U48" i="9"/>
  <c r="U46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AT25" i="6" l="1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V4" i="1"/>
  <c r="W4" i="1" s="1"/>
  <c r="V5" i="1"/>
  <c r="W5" i="1" s="1"/>
  <c r="V6" i="1"/>
  <c r="W6" i="1" s="1"/>
  <c r="V7" i="1"/>
  <c r="W7" i="1" s="1"/>
  <c r="V8" i="1"/>
  <c r="W8" i="1" s="1"/>
  <c r="K16" i="4"/>
  <c r="K19" i="4"/>
  <c r="K17" i="4"/>
  <c r="K7" i="4"/>
  <c r="K18" i="4"/>
  <c r="K14" i="4"/>
  <c r="K21" i="4"/>
  <c r="K4" i="4"/>
  <c r="K6" i="4"/>
  <c r="K9" i="4"/>
  <c r="K8" i="4"/>
  <c r="AT33" i="6" l="1"/>
  <c r="AS33" i="6"/>
  <c r="AO34" i="6"/>
  <c r="AU34" i="6" s="1"/>
  <c r="AM33" i="6"/>
  <c r="AR30" i="6"/>
  <c r="AQ30" i="6"/>
  <c r="Z8" i="1"/>
  <c r="Z7" i="1"/>
  <c r="Z6" i="1"/>
  <c r="Z5" i="1"/>
  <c r="Z4" i="1"/>
  <c r="Y4" i="1"/>
  <c r="Y8" i="1"/>
  <c r="Y7" i="1"/>
  <c r="Y6" i="1"/>
  <c r="Y5" i="1"/>
  <c r="AT34" i="6" l="1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M4" i="1"/>
  <c r="O5" i="1" s="1"/>
  <c r="S2" i="6"/>
  <c r="U2" i="6" s="1"/>
  <c r="J6" i="6"/>
  <c r="J7" i="6" s="1"/>
  <c r="J8" i="6" s="1"/>
  <c r="J9" i="6" s="1"/>
  <c r="Q5" i="6"/>
  <c r="V3" i="1"/>
  <c r="W3" i="1" s="1"/>
  <c r="V2" i="1"/>
  <c r="Q7" i="6" l="1"/>
  <c r="R7" i="6" s="1"/>
  <c r="R5" i="6"/>
  <c r="AQ33" i="6"/>
  <c r="AR33" i="6"/>
  <c r="F55" i="6"/>
  <c r="O55" i="6" s="1"/>
  <c r="P55" i="6" s="1"/>
  <c r="S55" i="6" s="1"/>
  <c r="F46" i="6"/>
  <c r="N3" i="6"/>
  <c r="O6" i="1"/>
  <c r="N31" i="1" s="1"/>
  <c r="M31" i="1" s="1"/>
  <c r="O7" i="1"/>
  <c r="N32" i="1" s="1"/>
  <c r="M32" i="1" s="1"/>
  <c r="M6" i="1"/>
  <c r="M7" i="1"/>
  <c r="J10" i="6"/>
  <c r="N4" i="6"/>
  <c r="P4" i="1"/>
  <c r="Z2" i="1"/>
  <c r="W2" i="1"/>
  <c r="O33" i="2"/>
  <c r="O34" i="2"/>
  <c r="Y2" i="1"/>
  <c r="Q8" i="6"/>
  <c r="Q6" i="6"/>
  <c r="R6" i="6" s="1"/>
  <c r="I5" i="6"/>
  <c r="G5" i="6" s="1"/>
  <c r="H6" i="6"/>
  <c r="F6" i="6" s="1"/>
  <c r="N5" i="6"/>
  <c r="Z3" i="1"/>
  <c r="Y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Q9" i="6" l="1"/>
  <c r="R8" i="6"/>
  <c r="AR34" i="6"/>
  <c r="AQ34" i="6"/>
  <c r="N55" i="6"/>
  <c r="U55" i="6"/>
  <c r="O46" i="6"/>
  <c r="N46" i="6"/>
  <c r="H7" i="6"/>
  <c r="N6" i="6"/>
  <c r="O31" i="1"/>
  <c r="O3" i="6"/>
  <c r="P3" i="6" s="1"/>
  <c r="S3" i="6" s="1"/>
  <c r="U3" i="6" s="1"/>
  <c r="O8" i="1"/>
  <c r="N33" i="1" s="1"/>
  <c r="M33" i="1" s="1"/>
  <c r="O33" i="1" s="1"/>
  <c r="M9" i="1"/>
  <c r="M8" i="1"/>
  <c r="O9" i="1" s="1"/>
  <c r="N34" i="1" s="1"/>
  <c r="M34" i="1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P46" i="6" l="1"/>
  <c r="S46" i="6" s="1"/>
  <c r="U46" i="6" s="1"/>
  <c r="F7" i="6"/>
  <c r="N7" i="6" s="1"/>
  <c r="Q10" i="6"/>
  <c r="R9" i="6"/>
  <c r="AQ35" i="6"/>
  <c r="AR35" i="6"/>
  <c r="H8" i="6"/>
  <c r="O37" i="1"/>
  <c r="I7" i="6"/>
  <c r="G7" i="6" s="1"/>
  <c r="J12" i="6"/>
  <c r="M11" i="1"/>
  <c r="P8" i="1"/>
  <c r="O7" i="6"/>
  <c r="O6" i="6"/>
  <c r="O24" i="2"/>
  <c r="O22" i="2"/>
  <c r="O23" i="2"/>
  <c r="P23" i="2"/>
  <c r="P24" i="2"/>
  <c r="P22" i="2"/>
  <c r="F8" i="6" l="1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12" i="1" s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Q12" i="6" l="1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3" i="6"/>
  <c r="S23" i="6" s="1"/>
  <c r="U23" i="6" s="1"/>
  <c r="I25" i="6"/>
  <c r="G25" i="6" s="1"/>
  <c r="P24" i="6"/>
  <c r="S24" i="6" s="1"/>
  <c r="U24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<sst xmlns="http://schemas.openxmlformats.org/spreadsheetml/2006/main" count="6047" uniqueCount="842">
  <si>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</si>
  <si>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</si>
  <si>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</si>
  <si>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</si>
  <si>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</si>
  <si>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</si>
  <si>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</si>
  <si>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</si>
  <si>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</si>
  <si>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</si>
  <si>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</si>
  <si>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</si>
  <si>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</si>
  <si>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</si>
  <si>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</si>
  <si>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</si>
  <si>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</si>
  <si>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</si>
  <si>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</si>
  <si>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</si>
  <si>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</si>
  <si>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</si>
  <si>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</si>
  <si>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</si>
  <si>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</si>
  <si>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</si>
  <si>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</si>
  <si>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</si>
  <si>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</si>
  <si>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</si>
  <si>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</si>
  <si>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</si>
  <si>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</si>
  <si>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</si>
  <si>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</si>
  <si>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</si>
  <si>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</si>
  <si>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</si>
  <si>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</si>
  <si>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</si>
  <si>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</si>
  <si>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</si>
  <si>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</si>
  <si>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</si>
  <si>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</si>
  <si>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</si>
  <si>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</si>
  <si>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</si>
  <si>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</si>
  <si>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</si>
  <si>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</si>
  <si>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</si>
  <si>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</si>
  <si>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</si>
  <si>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</si>
  <si>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</si>
  <si>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</si>
  <si>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</si>
  <si>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</si>
  <si>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</si>
  <si>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</si>
  <si>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</si>
  <si>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</si>
  <si>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</si>
  <si>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</si>
  <si>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</si>
  <si>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</si>
  <si>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</si>
  <si>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</si>
  <si>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</si>
  <si>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</si>
  <si>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</si>
  <si>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</si>
  <si>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</si>
  <si>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</si>
  <si>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</si>
  <si>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</si>
  <si>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</si>
  <si>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</si>
  <si>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</si>
  <si>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</si>
  <si>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</si>
  <si>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</si>
  <si>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</si>
  <si>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</si>
  <si>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</si>
  <si>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</si>
  <si>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</si>
  <si>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</si>
  <si>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</si>
  <si>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</si>
  <si>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</si>
  <si>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</si>
  <si>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</si>
  <si>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</si>
  <si>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</si>
  <si>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</si>
  <si>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</si>
  <si>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</si>
  <si>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</si>
  <si>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</si>
  <si>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</si>
  <si>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</si>
  <si>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</si>
  <si>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</si>
  <si>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</si>
  <si>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</si>
  <si>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</si>
  <si>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</si>
  <si>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</si>
  <si>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</si>
  <si>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</si>
  <si>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</si>
  <si>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</si>
  <si>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</si>
  <si>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</si>
  <si>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</si>
  <si>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</si>
  <si>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</si>
  <si>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</si>
  <si>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</si>
  <si>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</si>
  <si>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</si>
  <si>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</si>
  <si>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</si>
  <si>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</si>
  <si>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</si>
  <si>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</si>
  <si>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</si>
  <si>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</si>
  <si>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</si>
  <si>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</si>
  <si>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</si>
  <si>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</si>
  <si>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</si>
  <si>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</si>
  <si>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</si>
  <si>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</si>
  <si>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</si>
  <si>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</si>
  <si>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</si>
  <si>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</si>
  <si>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</si>
  <si>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</si>
  <si>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</si>
  <si>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</si>
  <si>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</si>
  <si>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</si>
  <si>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</si>
  <si>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</si>
  <si>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</si>
  <si>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</si>
  <si>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</si>
  <si>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</si>
  <si>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</si>
  <si>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</si>
  <si>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</si>
  <si>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</si>
  <si>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</si>
  <si>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</si>
  <si>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</si>
  <si>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</si>
  <si>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</si>
  <si>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</si>
  <si>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</si>
  <si>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</si>
  <si>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</si>
  <si>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</si>
  <si>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</si>
  <si>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</si>
  <si>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</si>
  <si>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</si>
  <si>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</si>
  <si>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</si>
  <si>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</si>
  <si>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</si>
  <si>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</si>
  <si>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</si>
  <si>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</si>
  <si>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</si>
  <si>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</si>
  <si>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</si>
  <si>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</si>
  <si>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</si>
  <si>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</si>
  <si>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</si>
  <si>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</si>
  <si>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</si>
  <si>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</si>
  <si>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</si>
  <si>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</si>
  <si>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</si>
  <si>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</si>
  <si>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</si>
  <si>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</si>
  <si>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</si>
  <si>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</si>
  <si>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</si>
  <si>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</si>
  <si>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</si>
  <si>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</si>
  <si>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</si>
  <si>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</si>
  <si>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</si>
  <si>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</si>
  <si>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</si>
  <si>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</si>
  <si>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</si>
  <si>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</si>
  <si>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</si>
  <si>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</si>
  <si>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</si>
  <si>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</si>
  <si>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</si>
  <si>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</si>
  <si>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</si>
  <si>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</si>
  <si>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</si>
  <si>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</si>
  <si>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</si>
  <si>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</si>
  <si>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</si>
  <si>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</si>
  <si>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</si>
  <si>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</si>
  <si>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</si>
  <si>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</si>
  <si>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</si>
  <si>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</si>
  <si>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</si>
  <si>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</si>
  <si>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</si>
  <si>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</si>
  <si>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</si>
  <si>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</si>
  <si>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</si>
  <si>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</si>
  <si>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</si>
  <si>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</si>
  <si>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</si>
  <si>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</si>
  <si>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</si>
  <si>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</si>
  <si>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</si>
  <si>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</si>
  <si>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</si>
  <si>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</si>
  <si>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</si>
  <si>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</si>
  <si>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</si>
  <si>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</si>
  <si>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</si>
  <si>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</si>
  <si>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</si>
  <si>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</si>
  <si>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</si>
  <si>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</si>
  <si>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</si>
  <si>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</si>
  <si>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</si>
  <si>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</si>
  <si>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</si>
  <si>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</si>
  <si>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</si>
  <si>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</si>
  <si>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</si>
  <si>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</si>
  <si>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</si>
  <si>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</si>
  <si>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</si>
  <si>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</si>
  <si>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</si>
  <si>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</si>
  <si>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</si>
  <si>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</si>
  <si>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</si>
  <si>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</si>
  <si>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</si>
  <si>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</si>
  <si>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</si>
  <si>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</si>
  <si>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</si>
  <si>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</si>
  <si>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</si>
  <si>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</si>
  <si>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</si>
  <si>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</si>
  <si>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</si>
  <si>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</si>
  <si>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</si>
  <si>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</si>
  <si>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</si>
  <si>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</si>
  <si>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</si>
  <si>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</si>
  <si>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</si>
  <si>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</si>
  <si>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</si>
  <si>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</si>
  <si>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</si>
  <si>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</si>
  <si>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</si>
  <si>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</si>
  <si>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</si>
  <si>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</si>
  <si>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</si>
  <si>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</si>
  <si>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</si>
  <si>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</si>
  <si>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</si>
  <si>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</si>
  <si>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</si>
  <si>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</si>
  <si>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</si>
  <si>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</si>
  <si>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</si>
  <si>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</si>
  <si>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</si>
  <si>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</si>
  <si>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</si>
  <si>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</si>
  <si>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</si>
  <si>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</si>
  <si>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</si>
  <si>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</si>
  <si>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</si>
  <si>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</si>
  <si>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</si>
  <si>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</si>
  <si>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</si>
  <si>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</si>
  <si>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</si>
  <si>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</si>
  <si>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</si>
  <si>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</si>
  <si>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</si>
  <si>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</si>
  <si>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</si>
  <si>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</si>
  <si>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</si>
  <si>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</si>
  <si>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</si>
  <si>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</si>
  <si>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</si>
  <si>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</si>
  <si>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</si>
  <si>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</si>
  <si>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</si>
  <si>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</si>
  <si>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</si>
  <si>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</si>
  <si>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</si>
  <si>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</si>
  <si>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</si>
  <si>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</si>
  <si>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</si>
  <si>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</si>
  <si>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</si>
  <si>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</si>
  <si>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</si>
  <si>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</si>
  <si>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</si>
  <si>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</si>
  <si>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</si>
  <si>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</si>
  <si>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</si>
  <si>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</si>
  <si>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</si>
  <si>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</si>
  <si>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</si>
  <si>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</si>
  <si>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</si>
  <si>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</si>
  <si>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</si>
  <si>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</si>
  <si>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</si>
  <si>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</si>
  <si>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</si>
  <si>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</si>
  <si>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</si>
  <si>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</si>
  <si>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</si>
  <si>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</si>
  <si>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</si>
  <si>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</si>
  <si>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</si>
  <si>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</si>
  <si>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</si>
  <si>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</si>
  <si>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</si>
  <si>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</si>
  <si>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</si>
  <si>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</si>
  <si>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</si>
  <si>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</si>
  <si>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</si>
  <si>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</si>
  <si>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</si>
  <si>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</si>
  <si>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</si>
  <si>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</si>
  <si>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</si>
  <si>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</si>
  <si>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</si>
  <si>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</si>
  <si>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</si>
  <si>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</si>
  <si>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</si>
  <si>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</si>
  <si>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</si>
  <si>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</si>
  <si>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</si>
  <si>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</si>
  <si>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</si>
  <si>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</si>
  <si>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</si>
  <si>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</si>
  <si>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</si>
  <si>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</si>
  <si>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</si>
  <si>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</si>
  <si>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</si>
  <si>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</si>
  <si>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</si>
  <si>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</si>
  <si>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</si>
  <si>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</si>
  <si>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</si>
  <si>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</si>
  <si>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</si>
  <si>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</si>
  <si>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</si>
  <si>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</si>
  <si>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</si>
  <si>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</si>
  <si>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</si>
  <si>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</si>
  <si>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</si>
  <si>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</si>
  <si>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</si>
  <si>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</si>
  <si>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</si>
  <si>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</si>
  <si>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</si>
  <si>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</si>
  <si>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</si>
  <si>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</si>
  <si>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</si>
  <si>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</si>
  <si>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</si>
  <si>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</si>
  <si>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</si>
  <si>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</si>
  <si>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</si>
  <si>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</si>
  <si>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</si>
  <si>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</si>
  <si>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</si>
  <si>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</si>
  <si>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</si>
  <si>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</si>
  <si>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</si>
  <si>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</si>
  <si>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</si>
  <si>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</si>
  <si>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</si>
  <si>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</si>
  <si>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</si>
  <si>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</si>
  <si>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</si>
  <si>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</si>
  <si>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</si>
  <si>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</si>
  <si>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</si>
  <si>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</si>
  <si>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</si>
  <si>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</si>
  <si>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</si>
  <si>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</si>
  <si>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</si>
  <si>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</si>
  <si>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</si>
  <si>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</si>
  <si>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</si>
  <si>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</si>
  <si>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</si>
  <si>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</si>
  <si>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</si>
  <si>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</si>
  <si>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</si>
  <si>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</si>
  <si>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</si>
  <si>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</si>
  <si>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</si>
  <si>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</si>
  <si>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</si>
  <si>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</si>
  <si>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</si>
  <si>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</si>
  <si>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</si>
  <si>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</si>
  <si>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</si>
  <si>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</si>
  <si>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</si>
  <si>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</si>
  <si>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</si>
  <si>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</si>
  <si>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</si>
  <si>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</si>
  <si>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</si>
  <si>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</si>
  <si>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</si>
  <si>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</si>
  <si>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</si>
  <si>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</si>
  <si>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</si>
  <si>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</si>
  <si>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</si>
  <si>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</si>
  <si>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</si>
  <si>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</si>
  <si>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</si>
  <si>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</si>
  <si>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</si>
  <si>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</si>
  <si>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</si>
  <si>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</si>
  <si>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</si>
  <si>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</si>
  <si>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</si>
  <si>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</si>
  <si>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</si>
  <si>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</si>
  <si>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</si>
  <si>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</si>
  <si>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</si>
  <si>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</si>
  <si>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</si>
  <si>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</si>
  <si>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</si>
  <si>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</si>
  <si>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</si>
  <si>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</si>
  <si>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</si>
  <si>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</si>
  <si>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</si>
  <si>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</si>
  <si>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</si>
  <si>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</si>
  <si>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</si>
  <si>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</si>
  <si>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</si>
  <si>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</si>
  <si>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</si>
  <si>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</si>
  <si>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</si>
  <si>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</si>
  <si>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</si>
  <si>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</si>
  <si>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</si>
  <si>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</si>
  <si>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</si>
  <si>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</si>
  <si>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</si>
  <si>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</si>
  <si>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</si>
  <si>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</si>
  <si>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</si>
  <si>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</si>
  <si>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</si>
  <si>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</si>
  <si>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</si>
  <si>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</si>
  <si>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</si>
  <si>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</si>
  <si>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</si>
  <si>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</si>
  <si>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</si>
  <si>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</si>
  <si>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</si>
  <si>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</si>
  <si>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</si>
  <si>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</si>
  <si>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</si>
  <si>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</si>
  <si>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</si>
  <si>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</si>
  <si>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</si>
  <si>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</si>
  <si>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</si>
  <si>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</si>
  <si>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</si>
  <si>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</si>
  <si>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</si>
  <si>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</si>
  <si>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</si>
  <si>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</si>
  <si>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</si>
  <si>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</si>
  <si>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</si>
  <si>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</si>
  <si>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</si>
  <si>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</si>
  <si>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</si>
  <si>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</si>
  <si>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</si>
  <si>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</si>
  <si>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</si>
  <si>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</si>
  <si>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</si>
  <si>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</si>
  <si>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</si>
  <si>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</si>
  <si>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</si>
  <si>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</si>
  <si>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</si>
  <si>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</si>
  <si>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</si>
  <si>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</si>
  <si>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</si>
  <si>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</si>
  <si>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</si>
  <si>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</si>
  <si>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</si>
  <si>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</si>
  <si>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</si>
  <si>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</si>
  <si>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</si>
  <si>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</si>
  <si>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</si>
  <si>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</si>
  <si>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</si>
  <si>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</si>
  <si>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</si>
  <si>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</si>
  <si>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</si>
  <si>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</si>
  <si>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</si>
  <si>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</si>
  <si>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</si>
  <si>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</si>
  <si>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</si>
  <si>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</si>
  <si>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</si>
  <si>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</si>
  <si>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</si>
  <si>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</si>
  <si>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</si>
  <si>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</si>
  <si>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</si>
  <si>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</si>
  <si>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</si>
  <si>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</si>
  <si>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</si>
  <si>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</si>
  <si>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</si>
  <si>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</si>
  <si>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</si>
  <si>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</si>
  <si>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</si>
  <si>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</si>
  <si>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</si>
  <si>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</si>
  <si>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</si>
  <si>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</si>
  <si>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</si>
  <si>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</si>
  <si>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</si>
  <si>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</si>
  <si>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</si>
  <si>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</si>
  <si>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</si>
  <si>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</si>
  <si>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</si>
  <si>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</si>
  <si>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</si>
  <si>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</si>
  <si>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</si>
  <si>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</si>
  <si>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</si>
  <si>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</si>
  <si>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</si>
  <si>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</si>
  <si>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</si>
  <si>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</si>
  <si>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</si>
  <si>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</si>
  <si>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</si>
  <si>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</si>
  <si>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</si>
  <si>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</si>
  <si>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</si>
  <si>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</si>
  <si>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</si>
  <si>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</si>
  <si>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</si>
  <si>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</si>
  <si>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</si>
  <si>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</si>
  <si>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</si>
  <si>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</si>
  <si>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</si>
  <si>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</si>
  <si>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</si>
  <si>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</si>
  <si>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</si>
  <si>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</si>
  <si>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</si>
  <si>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</si>
  <si>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</si>
  <si>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</si>
  <si>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</si>
  <si>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</si>
  <si>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</si>
  <si>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</si>
  <si>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</si>
  <si>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</si>
  <si>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</si>
  <si>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</si>
  <si>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</si>
  <si>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</si>
  <si>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</si>
  <si>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</si>
  <si>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</si>
  <si>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</si>
  <si>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</si>
  <si>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</si>
  <si>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</si>
  <si>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</si>
  <si>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</si>
  <si>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</si>
  <si>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</si>
  <si>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</si>
  <si>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</si>
  <si>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</si>
  <si>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</si>
  <si>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</si>
  <si>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</si>
  <si>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</si>
  <si>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</si>
  <si>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</si>
  <si>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</si>
  <si>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</si>
  <si>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</si>
  <si>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</si>
  <si>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</si>
  <si>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</si>
  <si>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</si>
  <si>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</si>
  <si>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</si>
  <si>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</si>
  <si>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</si>
  <si>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</si>
  <si>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</si>
  <si>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</si>
  <si>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</si>
  <si>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</si>
  <si>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</si>
  <si>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</si>
  <si>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</si>
  <si>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</si>
  <si>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</si>
  <si>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</si>
  <si>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</si>
  <si>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</si>
  <si>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</si>
  <si>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</si>
  <si>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</si>
  <si>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</si>
  <si>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</si>
  <si>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</si>
  <si>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</si>
  <si>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</si>
  <si>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</si>
  <si>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</si>
  <si>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</si>
  <si>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</si>
  <si>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</si>
  <si>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</si>
  <si>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</si>
  <si>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</si>
  <si>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</si>
  <si>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</si>
  <si>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</si>
  <si>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</si>
  <si>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</si>
  <si>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</si>
  <si>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</si>
  <si>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</si>
  <si>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</si>
  <si>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</si>
  <si>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</si>
  <si>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</si>
  <si>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</si>
  <si>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</si>
  <si>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</si>
  <si>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</si>
  <si>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</si>
  <si>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</si>
  <si>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</si>
  <si>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</si>
  <si>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</si>
  <si>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</si>
  <si>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</si>
  <si>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</si>
  <si>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</si>
  <si>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</si>
  <si>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</si>
  <si>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</si>
  <si>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</si>
  <si>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</si>
  <si>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</si>
  <si>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</si>
  <si>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</si>
  <si>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</si>
  <si>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</si>
  <si>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</si>
  <si>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</si>
  <si>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</si>
  <si>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</si>
  <si>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</si>
  <si>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</si>
  <si>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</si>
  <si>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</si>
  <si>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</si>
  <si>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</si>
  <si>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</si>
  <si>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0 Maksimum z Fatal + Blade</t>
  </si>
  <si>
    <t>0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</si>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</sst>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32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0" fillId="15" borderId="6" xfId="0" applyFill="1" applyBorder="1"/>
    <xf numFmtId="0" fontId="1" fillId="0" borderId="0" xfId="2" applyNumberFormat="1" applyAlignment="1">
      <alignment vertical="center" wrapText="1"/>
    </xf>
    <xf numFmtId="0" fontId="1" fillId="14" borderId="0" xfId="2" applyNumberFormat="1" applyFill="1" applyAlignment="1">
      <alignment vertical="center" wrapText="1"/>
    </xf>
    <xf numFmtId="0" fontId="1" fillId="5" borderId="0" xfId="2" applyNumberFormat="1" applyFill="1" applyAlignment="1">
      <alignment vertical="center" wrapText="1"/>
    </xf>
    <xf numFmtId="0" fontId="1" fillId="0" borderId="0" xfId="2" applyFill="1" applyAlignment="1">
      <alignment vertical="center" wrapText="1"/>
    </xf>
    <xf numFmtId="0" fontId="9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19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61E-2"/>
          <c:w val="0.72971464242649076"/>
          <c:h val="0.89097169207608462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- 2 - 0 - 1 -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2997.0600000000004</c:v>
                </c:pt>
                <c:pt idx="1">
                  <c:v>3143.36</c:v>
                </c:pt>
                <c:pt idx="2">
                  <c:v>3289.66</c:v>
                </c:pt>
                <c:pt idx="3">
                  <c:v>3435.9600000000005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3553</c:v>
                </c:pt>
                <c:pt idx="10">
                  <c:v>3553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- 2 - 0 - 1 -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2926.68</c:v>
                </c:pt>
                <c:pt idx="1">
                  <c:v>3118.08</c:v>
                </c:pt>
                <c:pt idx="2">
                  <c:v>3309.48</c:v>
                </c:pt>
                <c:pt idx="3">
                  <c:v>3500.88</c:v>
                </c:pt>
                <c:pt idx="4">
                  <c:v>3654</c:v>
                </c:pt>
                <c:pt idx="5">
                  <c:v>3654</c:v>
                </c:pt>
                <c:pt idx="6">
                  <c:v>3654</c:v>
                </c:pt>
                <c:pt idx="7">
                  <c:v>3654</c:v>
                </c:pt>
                <c:pt idx="8">
                  <c:v>3654</c:v>
                </c:pt>
                <c:pt idx="9">
                  <c:v>3654</c:v>
                </c:pt>
                <c:pt idx="10">
                  <c:v>3654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Arkusz1!$F$5:$F$11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Arkusz1!$F$12:$F$23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Arkusz1!$G$5:$G$11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Arkusz1!$G$12:$G$23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Arkusz1!$P$5:$P$11</c:f>
              <c:strCache>
                <c:ptCount val="1"/>
                <c:pt idx="0">
                  <c:v>20% - 0% - 2 - 0 - 1 -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Arkusz1!$P$12:$P$23</c:f>
              <c:numCache>
                <c:formatCode>General</c:formatCode>
                <c:ptCount val="11"/>
                <c:pt idx="0">
                  <c:v>2999.9</c:v>
                </c:pt>
                <c:pt idx="1">
                  <c:v>3114.4</c:v>
                </c:pt>
                <c:pt idx="2">
                  <c:v>3228.8999999999996</c:v>
                </c:pt>
                <c:pt idx="3">
                  <c:v>3343.4000000000005</c:v>
                </c:pt>
                <c:pt idx="4">
                  <c:v>3435</c:v>
                </c:pt>
                <c:pt idx="5">
                  <c:v>3435</c:v>
                </c:pt>
                <c:pt idx="6">
                  <c:v>3435</c:v>
                </c:pt>
                <c:pt idx="7">
                  <c:v>3435</c:v>
                </c:pt>
                <c:pt idx="8">
                  <c:v>3435</c:v>
                </c:pt>
                <c:pt idx="9">
                  <c:v>3435</c:v>
                </c:pt>
                <c:pt idx="10">
                  <c:v>3435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Arkusz1!$Q$5:$Q$11</c:f>
              <c:strCache>
                <c:ptCount val="1"/>
                <c:pt idx="0">
                  <c:v>20% - 0% - 2 - 0 - 1 -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Arkusz1!$Q$12:$Q$23</c:f>
              <c:numCache>
                <c:formatCode>General</c:formatCode>
                <c:ptCount val="11"/>
                <c:pt idx="0">
                  <c:v>3022.5199999999995</c:v>
                </c:pt>
                <c:pt idx="1">
                  <c:v>3197.12</c:v>
                </c:pt>
                <c:pt idx="2">
                  <c:v>3371.7199999999993</c:v>
                </c:pt>
                <c:pt idx="3">
                  <c:v>3546.32</c:v>
                </c:pt>
                <c:pt idx="4">
                  <c:v>3686</c:v>
                </c:pt>
                <c:pt idx="5">
                  <c:v>3686</c:v>
                </c:pt>
                <c:pt idx="6">
                  <c:v>3686</c:v>
                </c:pt>
                <c:pt idx="7">
                  <c:v>3686</c:v>
                </c:pt>
                <c:pt idx="8">
                  <c:v>3686</c:v>
                </c:pt>
                <c:pt idx="9">
                  <c:v>3686</c:v>
                </c:pt>
                <c:pt idx="10">
                  <c:v>3686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Arkusz1!$T$5:$T$11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Arkusz1!$T$12:$T$23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Arkusz1!$U$5:$U$11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Arkusz1!$U$12:$U$23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7328"/>
        <c:axId val="17828864"/>
      </c:lineChart>
      <c:catAx>
        <c:axId val="17827328"/>
        <c:scaling>
          <c:orientation val="minMax"/>
        </c:scaling>
        <c:delete val="0"/>
        <c:axPos val="b"/>
        <c:majorTickMark val="out"/>
        <c:minorTickMark val="none"/>
        <c:tickLblPos val="nextTo"/>
        <c:crossAx val="17828864"/>
        <c:crosses val="autoZero"/>
        <c:auto val="1"/>
        <c:lblAlgn val="ctr"/>
        <c:lblOffset val="100"/>
        <c:noMultiLvlLbl val="0"/>
      </c:catAx>
      <c:valAx>
        <c:axId val="17828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8273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1104900</xdr:colOff>
      <xdr:row>9</xdr:row>
      <xdr:rowOff>95249</xdr:rowOff>
    </xdr:from>
    <xdr:to>
      <xdr:col>6</xdr:col>
      <xdr:colOff>1028700</xdr:colOff>
      <xdr:row>32</xdr:row>
      <xdr:rowOff>76200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AE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30">
    <i>
      <x/>
      <x v="1"/>
      <x/>
      <x/>
      <x v="1"/>
      <x/>
    </i>
    <i r="5" i="1">
      <x v="1"/>
    </i>
    <i t="default" r="3">
      <x/>
    </i>
    <i t="default" r="3" i="1">
      <x/>
    </i>
    <i r="3"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/>
      <x v="1"/>
      <x/>
    </i>
    <i r="5" i="1">
      <x v="1"/>
    </i>
    <i t="default" r="3">
      <x/>
    </i>
    <i t="default" r="3" i="1">
      <x/>
    </i>
    <i r="3"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2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118">
      <calculatedColumnFormula>MAXA(-(4*M1-Tabela6[[#This Row],[Done]]),0)</calculatedColumnFormula>
    </tableColumn>
    <tableColumn id="4" name="XP to gain" dataDxfId="1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5">
  <autoFilter ref="W20:AF43"/>
  <tableColumns count="10">
    <tableColumn id="1" name="Crit C" dataDxfId="64"/>
    <tableColumn id="2" name="Crit D" dataDxfId="63"/>
    <tableColumn id="3" name="Atk " dataDxfId="62"/>
    <tableColumn id="4" name="Set1" dataDxfId="61"/>
    <tableColumn id="5" name="Set2" dataDxfId="60"/>
    <tableColumn id="6" name="Rune1" dataDxfId="59"/>
    <tableColumn id="7" name="NBR R1"/>
    <tableColumn id="8" name="Rune2" dataDxfId="5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7">
  <autoFilter ref="AJ2:AU1190"/>
  <tableColumns count="12">
    <tableColumn id="1" name="Att stones" dataDxfId="56"/>
    <tableColumn id="2" name="Crid D stone" dataDxfId="55"/>
    <tableColumn id="3" name="Crit C stone" dataDxfId="54"/>
    <tableColumn id="11" name="Kolumna1" dataDxfId="53">
      <calculatedColumnFormula>Tabela21[[#This Row],[Att subs]]+Tabela21[[#This Row],[Crit D subs]]</calculatedColumnFormula>
    </tableColumn>
    <tableColumn id="4" name="Att subs" dataDxfId="52"/>
    <tableColumn id="5" name="Crit D subs" dataDxfId="51"/>
    <tableColumn id="6" name="Crit C subs" dataDxfId="50"/>
    <tableColumn id="7" name="Fatal + Blade" dataDxfId="49">
      <calculatedColumnFormula>$AG$3*(1+$AJ3*$Y$2+$AN3+0.35)*(MAXA(1-$AI$3-$AL3*$AA$3-$AP3-0.12,0)+MINA($AI$3+$AL3*$AA$3+$AP3+0.12,1)*(1+$AH$3+$AO3+$AK3*$Z$4))</calculatedColumnFormula>
    </tableColumn>
    <tableColumn id="8" name="Rage + Blade" dataDxfId="48">
      <calculatedColumnFormula>$AG$3*(1+$AJ3*$Y$2+$AN3)*(MAXA(1-$AI$3-$AL3*$AA$3-$AP3-0.12,0)+MINA($AI$3+$AL3*$AA$3+$AP3+0.12,1)*(1+$AH$3+$AO3+$AK3*$Z$4+0.4))</calculatedColumnFormula>
    </tableColumn>
    <tableColumn id="9" name="3x Blade" dataDxfId="47">
      <calculatedColumnFormula>$AG$3*(1+$AJ3*$Y$2+$AN3)*(MAXA(1-$AI$3-$AL3*$AA$3-$AP3-0.36,0)+MINA($AI$3+$AL3*$AA$3+$AP3+0.36,1)*(1+$AH$3+$AO3+$AK3*$Z$4))</calculatedColumnFormula>
    </tableColumn>
    <tableColumn id="10" name="DobSk Fatal+balde" dataDxfId="46">
      <calculatedColumnFormula>$AG$3*(1+$AJ3*$Y$2+$AN3)*(MAXA(1-$AI$3-$AL3*$AA$3-$AP3-0.36,0)+2*MINA($AI$3+$AL3*$AA$3+$AP3+0.36,1)*(1+$AH$3+$AO3+$AK3*$Z$4))</calculatedColumnFormula>
    </tableColumn>
    <tableColumn id="12" name="DobSk Fatal+balde2" dataDxfId="4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4">
      <calculatedColumnFormula>FLOOR((J$17+J$18*(Tabela1318[[#This Row],[Type]]-1))*1.2,1)</calculatedColumnFormula>
    </tableColumn>
    <tableColumn id="9" name="Att" dataDxfId="43">
      <calculatedColumnFormula>FLOOR((K$17+K$18*(Tabela1318[[#This Row],[Type]]-1))*1.2,1)</calculatedColumnFormula>
    </tableColumn>
    <tableColumn id="10" name="Def" dataDxfId="4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1"/>
    <tableColumn id="5" name="HP"/>
    <tableColumn id="6" name="Acc%"/>
    <tableColumn id="7" name="SPD"/>
    <tableColumn id="8" name="Crit Rate%" dataDxfId="40"/>
    <tableColumn id="9" name="Crit DMG%" dataDxfId="39"/>
    <tableColumn id="10" name="Att%" dataDxfId="38"/>
    <tableColumn id="16" name="Att"/>
    <tableColumn id="11" name="Def%" dataDxfId="37"/>
    <tableColumn id="14" name="Def"/>
    <tableColumn id="12" name="Res%" dataDxfId="3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8">
  <autoFilter ref="A6:R38"/>
  <tableColumns count="18">
    <tableColumn id="1" name="Scenario"/>
    <tableColumn id="2" name="XP" dataDxfId="27">
      <calculatedColumnFormula>(2*$J7+$K7)/($R7-$Q7)*O7</calculatedColumnFormula>
    </tableColumn>
    <tableColumn id="3" name="Gold" dataDxfId="2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5"/>
    <tableColumn id="11" name="Ene normal" dataDxfId="24"/>
    <tableColumn id="12" name="Location" dataDxfId="23"/>
    <tableColumn id="13" name="LVL" dataDxfId="22"/>
    <tableColumn id="14" name="Stage" dataDxfId="2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/>
  <sortState ref="A2:S327">
    <sortCondition descending="1" ref="A2:A327"/>
  </sortState>
  <tableColumns count="19">
    <tableColumn id="1" name="LP" dataDxfId="18" dataCellStyle="Normalny 2"/>
    <tableColumn id="16" name="Awakened2" dataDxfId="17" dataCellStyle="Normalny 2"/>
    <tableColumn id="2" name="Name" dataDxfId="16"/>
    <tableColumn id="3" name="Stars" dataDxfId="15"/>
    <tableColumn id="4" name="Attribute" dataDxfId="14"/>
    <tableColumn id="5" name="G" dataDxfId="13"/>
    <tableColumn id="6" name="D" dataDxfId="12"/>
    <tableColumn id="7" name="N" dataDxfId="11"/>
    <tableColumn id="8" name="AO" dataDxfId="10"/>
    <tableColumn id="9" name="AD" dataDxfId="9"/>
    <tableColumn id="10" name="HM" dataDxfId="8"/>
    <tableColumn id="11" name="GWO" dataDxfId="7"/>
    <tableColumn id="12" name="GWD" dataDxfId="6"/>
    <tableColumn id="13" name="Fusion" dataDxfId="5"/>
    <tableColumn id="15" name="Possesion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Views>
    <sheetView tabSelected="1" workbookViewId="0">
      <selection activeCell="N9" sqref="N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142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341</v>
      </c>
      <c r="P2" t="s">
        <v>121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5-Tabela6[[#This Row],[Done]]</f>
        <v>2</v>
      </c>
      <c r="N3">
        <v>3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4</v>
      </c>
      <c r="O4" s="43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3</v>
      </c>
      <c r="N5">
        <v>5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18</v>
      </c>
      <c r="O6" s="43">
        <f>MAXA(-(M5+M4-O5-Tabela6[[#This Row],[Done]]),0)</f>
        <v>15</v>
      </c>
      <c r="P6" s="1">
        <f>M6*$B$4</f>
        <v>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7</v>
      </c>
      <c r="N7">
        <v>2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7</v>
      </c>
      <c r="N8">
        <v>0</v>
      </c>
      <c r="O8" s="43">
        <f>MAXA(-(M7+M6-O7-Tabela6[[#This Row],[Done]]),0)</f>
        <v>0</v>
      </c>
      <c r="P8" s="1">
        <f>M8*$B$3</f>
        <v>250754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0</v>
      </c>
      <c r="N9">
        <v>26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O12" s="38">
        <f>SUM(Tabela6[XP to gain])</f>
        <v>250754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234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342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15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24</v>
      </c>
      <c r="N32">
        <f>O7</f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120</v>
      </c>
      <c r="M33">
        <f>MAXA(3+M32-Tabela610[[#This Row],[Done]],0)</f>
        <v>27</v>
      </c>
      <c r="N33">
        <f>O8</f>
        <v>0</v>
      </c>
      <c r="O33" s="1">
        <f>M33*$B$3</f>
        <v>967194</v>
      </c>
    </row>
    <row r="34" spans="4:15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28</v>
      </c>
      <c r="N34">
        <f>O9</f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122</v>
      </c>
      <c r="O37" s="38">
        <f>SUM(Tabela610[XP to gain])</f>
        <v>2239988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80" activePane="bottomLeft" state="frozen"/>
      <selection pane="bottomLeft" activeCell="J1060" sqref="J106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274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302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301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265</v>
      </c>
      <c r="G120">
        <v>2</v>
      </c>
      <c r="H120" t="s">
        <v>283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265</v>
      </c>
      <c r="G170">
        <v>2</v>
      </c>
      <c r="H170" t="s">
        <v>283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265</v>
      </c>
      <c r="G174">
        <v>1</v>
      </c>
      <c r="H174" t="s">
        <v>305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262</v>
      </c>
      <c r="G176">
        <v>2</v>
      </c>
      <c r="H176" t="s">
        <v>283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265</v>
      </c>
      <c r="G284">
        <v>4</v>
      </c>
      <c r="H284" t="s">
        <v>283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285</v>
      </c>
      <c r="G285">
        <v>3</v>
      </c>
      <c r="H285" t="s">
        <v>283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285</v>
      </c>
      <c r="G286">
        <v>2</v>
      </c>
      <c r="H286" t="s">
        <v>283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285</v>
      </c>
      <c r="G287">
        <v>1</v>
      </c>
      <c r="H287" t="s">
        <v>305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285</v>
      </c>
      <c r="G288">
        <v>2</v>
      </c>
      <c r="H288" t="s">
        <v>283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285</v>
      </c>
      <c r="G289">
        <v>1</v>
      </c>
      <c r="H289" t="s">
        <v>305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285</v>
      </c>
      <c r="G290">
        <v>2</v>
      </c>
      <c r="H290" t="s">
        <v>283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285</v>
      </c>
      <c r="G292">
        <v>2</v>
      </c>
      <c r="H292" t="s">
        <v>305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285</v>
      </c>
      <c r="G293">
        <v>1</v>
      </c>
      <c r="H293" t="s">
        <v>305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285</v>
      </c>
      <c r="G297">
        <v>1</v>
      </c>
      <c r="H297" t="s">
        <v>305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285</v>
      </c>
      <c r="G298">
        <v>3</v>
      </c>
      <c r="H298" t="s">
        <v>305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285</v>
      </c>
      <c r="G300">
        <v>4</v>
      </c>
      <c r="H300" t="s">
        <v>283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265</v>
      </c>
      <c r="G335">
        <v>1</v>
      </c>
      <c r="H335" t="s">
        <v>305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264</v>
      </c>
      <c r="G336">
        <v>5</v>
      </c>
      <c r="H336" t="s">
        <v>283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265</v>
      </c>
      <c r="G522">
        <v>1</v>
      </c>
      <c r="H522" t="s">
        <v>305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265</v>
      </c>
      <c r="G523">
        <v>1</v>
      </c>
      <c r="H523" t="s">
        <v>305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265</v>
      </c>
      <c r="G524">
        <v>4</v>
      </c>
      <c r="H524" t="s">
        <v>283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262</v>
      </c>
      <c r="G535">
        <v>3</v>
      </c>
      <c r="H535" t="s">
        <v>283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262</v>
      </c>
      <c r="G536">
        <v>1</v>
      </c>
      <c r="H536" t="s">
        <v>305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262</v>
      </c>
      <c r="G537">
        <v>3</v>
      </c>
      <c r="H537" t="s">
        <v>283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262</v>
      </c>
      <c r="G538">
        <v>1</v>
      </c>
      <c r="H538" t="s">
        <v>305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262</v>
      </c>
      <c r="G540">
        <v>2</v>
      </c>
      <c r="H540" t="s">
        <v>305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262</v>
      </c>
      <c r="G543">
        <v>5</v>
      </c>
      <c r="H543" t="s">
        <v>283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262</v>
      </c>
      <c r="G546">
        <v>4</v>
      </c>
      <c r="H546" t="s">
        <v>283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262</v>
      </c>
      <c r="G547">
        <v>4</v>
      </c>
      <c r="H547" t="s">
        <v>283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262</v>
      </c>
      <c r="G549">
        <v>4</v>
      </c>
      <c r="H549" t="s">
        <v>283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262</v>
      </c>
      <c r="G550">
        <v>4</v>
      </c>
      <c r="H550" t="s">
        <v>283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262</v>
      </c>
      <c r="G551">
        <v>5</v>
      </c>
      <c r="H551" t="s">
        <v>283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262</v>
      </c>
      <c r="G555">
        <v>1</v>
      </c>
      <c r="H555" t="s">
        <v>284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262</v>
      </c>
      <c r="G556">
        <v>1</v>
      </c>
      <c r="H556" t="s">
        <v>284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 t="s">
        <v>303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262</v>
      </c>
      <c r="G559">
        <v>4</v>
      </c>
      <c r="H559" t="s">
        <v>283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262</v>
      </c>
      <c r="G561">
        <v>3</v>
      </c>
      <c r="H561" t="s">
        <v>283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262</v>
      </c>
      <c r="G562">
        <v>4</v>
      </c>
      <c r="H562" t="s">
        <v>283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262</v>
      </c>
      <c r="G563">
        <v>1</v>
      </c>
      <c r="H563" t="s">
        <v>305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262</v>
      </c>
      <c r="G564">
        <v>1</v>
      </c>
      <c r="H564" t="s">
        <v>305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262</v>
      </c>
      <c r="G565">
        <v>2</v>
      </c>
      <c r="H565" t="s">
        <v>284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262</v>
      </c>
      <c r="G566">
        <v>3</v>
      </c>
      <c r="H566" t="s">
        <v>283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262</v>
      </c>
      <c r="G567">
        <v>3</v>
      </c>
      <c r="H567" t="s">
        <v>284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265</v>
      </c>
      <c r="G568">
        <v>2</v>
      </c>
      <c r="H568" t="s">
        <v>305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265</v>
      </c>
      <c r="G569">
        <v>1</v>
      </c>
      <c r="H569" t="s">
        <v>305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265</v>
      </c>
      <c r="G570">
        <v>4</v>
      </c>
      <c r="H570" t="s">
        <v>283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265</v>
      </c>
      <c r="G571">
        <v>1</v>
      </c>
      <c r="H571" t="s">
        <v>305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265</v>
      </c>
      <c r="G572">
        <v>1</v>
      </c>
      <c r="H572" t="s">
        <v>305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265</v>
      </c>
      <c r="G573">
        <v>4</v>
      </c>
      <c r="H573" t="s">
        <v>283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265</v>
      </c>
      <c r="G574">
        <v>3</v>
      </c>
      <c r="H574" t="s">
        <v>305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265</v>
      </c>
      <c r="G575">
        <v>3</v>
      </c>
      <c r="H575" t="s">
        <v>305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265</v>
      </c>
      <c r="G576">
        <v>4</v>
      </c>
      <c r="H576" t="s">
        <v>283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265</v>
      </c>
      <c r="G577">
        <v>3</v>
      </c>
      <c r="H577" t="s">
        <v>283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262</v>
      </c>
      <c r="G578">
        <v>3</v>
      </c>
      <c r="H578" t="s">
        <v>283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265</v>
      </c>
      <c r="G579">
        <v>5</v>
      </c>
      <c r="H579" t="s">
        <v>283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265</v>
      </c>
      <c r="G582">
        <v>3</v>
      </c>
      <c r="H582" t="s">
        <v>283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265</v>
      </c>
      <c r="G583">
        <v>2</v>
      </c>
      <c r="H583" t="s">
        <v>284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271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265</v>
      </c>
      <c r="G655">
        <v>4</v>
      </c>
      <c r="H655" t="s">
        <v>283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265</v>
      </c>
      <c r="G656">
        <v>1</v>
      </c>
      <c r="H656" t="s">
        <v>284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265</v>
      </c>
      <c r="G657">
        <v>1</v>
      </c>
      <c r="H657" t="s">
        <v>305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262</v>
      </c>
      <c r="G658">
        <v>1</v>
      </c>
      <c r="H658" t="s">
        <v>305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265</v>
      </c>
      <c r="G660">
        <v>1</v>
      </c>
      <c r="H660" t="s">
        <v>305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265</v>
      </c>
      <c r="G662">
        <v>1</v>
      </c>
      <c r="H662" t="s">
        <v>305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265</v>
      </c>
      <c r="G663">
        <v>5</v>
      </c>
      <c r="H663" t="s">
        <v>283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265</v>
      </c>
      <c r="G664">
        <v>4</v>
      </c>
      <c r="H664" t="s">
        <v>283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265</v>
      </c>
      <c r="G665">
        <v>2</v>
      </c>
      <c r="H665" t="s">
        <v>305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265</v>
      </c>
      <c r="G666">
        <v>1</v>
      </c>
      <c r="H666" t="s">
        <v>305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265</v>
      </c>
      <c r="G667">
        <v>3</v>
      </c>
      <c r="H667" t="s">
        <v>283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263</v>
      </c>
      <c r="G668">
        <v>1</v>
      </c>
      <c r="H668" t="s">
        <v>305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263</v>
      </c>
      <c r="G669">
        <v>2</v>
      </c>
      <c r="H669" t="s">
        <v>305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265</v>
      </c>
      <c r="G670">
        <v>5</v>
      </c>
      <c r="H670" t="s">
        <v>283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265</v>
      </c>
      <c r="G672">
        <v>3</v>
      </c>
      <c r="H672" t="s">
        <v>283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265</v>
      </c>
      <c r="G673">
        <v>4</v>
      </c>
      <c r="H673" t="s">
        <v>283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263</v>
      </c>
      <c r="G674">
        <v>3</v>
      </c>
      <c r="H674" t="s">
        <v>305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265</v>
      </c>
      <c r="G675">
        <v>5</v>
      </c>
      <c r="H675" t="s">
        <v>283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284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265</v>
      </c>
      <c r="G677">
        <v>5</v>
      </c>
      <c r="H677" t="s">
        <v>283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263</v>
      </c>
      <c r="G678">
        <v>1</v>
      </c>
      <c r="H678" t="s">
        <v>305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271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265</v>
      </c>
      <c r="G690">
        <v>1</v>
      </c>
      <c r="H690" t="s">
        <v>305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265</v>
      </c>
      <c r="G691">
        <v>1</v>
      </c>
      <c r="H691" t="s">
        <v>284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265</v>
      </c>
      <c r="G692">
        <v>1</v>
      </c>
      <c r="H692" t="s">
        <v>305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263</v>
      </c>
      <c r="G693">
        <v>1</v>
      </c>
      <c r="H693" t="s">
        <v>305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265</v>
      </c>
      <c r="G694">
        <v>4</v>
      </c>
      <c r="H694" t="s">
        <v>283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284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265</v>
      </c>
      <c r="G696">
        <v>1</v>
      </c>
      <c r="H696" t="s">
        <v>305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265</v>
      </c>
      <c r="G697">
        <v>5</v>
      </c>
      <c r="H697" t="s">
        <v>283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265</v>
      </c>
      <c r="G698">
        <v>1</v>
      </c>
      <c r="H698" t="s">
        <v>284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265</v>
      </c>
      <c r="G699">
        <v>3</v>
      </c>
      <c r="H699" t="s">
        <v>283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265</v>
      </c>
      <c r="G701">
        <v>5</v>
      </c>
      <c r="H701" t="s">
        <v>283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265</v>
      </c>
      <c r="G702">
        <v>1</v>
      </c>
      <c r="H702" t="s">
        <v>305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265</v>
      </c>
      <c r="G703">
        <v>1</v>
      </c>
      <c r="H703" t="s">
        <v>284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265</v>
      </c>
      <c r="G704">
        <v>1</v>
      </c>
      <c r="H704" t="s">
        <v>305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265</v>
      </c>
      <c r="G706">
        <v>3</v>
      </c>
      <c r="H706" t="s">
        <v>283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265</v>
      </c>
      <c r="G707">
        <v>4</v>
      </c>
      <c r="H707" t="s">
        <v>283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264</v>
      </c>
      <c r="G708">
        <v>2</v>
      </c>
      <c r="H708" t="s">
        <v>305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264</v>
      </c>
      <c r="G710">
        <v>2</v>
      </c>
      <c r="H710" t="s">
        <v>305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264</v>
      </c>
      <c r="G711">
        <v>1</v>
      </c>
      <c r="H711" t="s">
        <v>305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264</v>
      </c>
      <c r="G712">
        <v>3</v>
      </c>
      <c r="H712" t="s">
        <v>305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264</v>
      </c>
      <c r="G713">
        <v>1</v>
      </c>
      <c r="H713" t="s">
        <v>305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264</v>
      </c>
      <c r="G714">
        <v>3</v>
      </c>
      <c r="H714" t="s">
        <v>284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264</v>
      </c>
      <c r="G715">
        <v>5</v>
      </c>
      <c r="H715" t="s">
        <v>283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264</v>
      </c>
      <c r="G716">
        <v>5</v>
      </c>
      <c r="H716" t="s">
        <v>283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265</v>
      </c>
      <c r="G717">
        <v>2</v>
      </c>
      <c r="H717" t="s">
        <v>284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265</v>
      </c>
      <c r="G718">
        <v>1</v>
      </c>
      <c r="H718" t="s">
        <v>305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265</v>
      </c>
      <c r="G719">
        <v>5</v>
      </c>
      <c r="H719" t="s">
        <v>283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265</v>
      </c>
      <c r="G720">
        <v>5</v>
      </c>
      <c r="H720" t="s">
        <v>283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265</v>
      </c>
      <c r="G721">
        <v>1</v>
      </c>
      <c r="H721" t="s">
        <v>305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265</v>
      </c>
      <c r="G722">
        <v>5</v>
      </c>
      <c r="H722" t="s">
        <v>283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265</v>
      </c>
      <c r="G723">
        <v>2</v>
      </c>
      <c r="H723" t="s">
        <v>305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265</v>
      </c>
      <c r="G724">
        <v>3</v>
      </c>
      <c r="H724" t="s">
        <v>283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271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265</v>
      </c>
      <c r="G728">
        <v>1</v>
      </c>
      <c r="H728" t="s">
        <v>284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265</v>
      </c>
      <c r="G730">
        <v>3</v>
      </c>
      <c r="H730" t="s">
        <v>305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262</v>
      </c>
      <c r="G731">
        <v>2</v>
      </c>
      <c r="H731" t="s">
        <v>305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262</v>
      </c>
      <c r="G732">
        <v>4</v>
      </c>
      <c r="H732" t="s">
        <v>283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265</v>
      </c>
      <c r="G733">
        <v>1</v>
      </c>
      <c r="H733" t="s">
        <v>284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271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265</v>
      </c>
      <c r="G756">
        <v>1</v>
      </c>
      <c r="H756" t="s">
        <v>305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265</v>
      </c>
      <c r="G757">
        <v>2</v>
      </c>
      <c r="H757" t="s">
        <v>305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265</v>
      </c>
      <c r="G758">
        <v>4</v>
      </c>
      <c r="H758" t="s">
        <v>283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265</v>
      </c>
      <c r="G759">
        <v>1</v>
      </c>
      <c r="H759" t="s">
        <v>284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275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275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283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275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305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275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275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275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305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275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275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275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284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275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305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275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305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275</v>
      </c>
      <c r="B772" t="s">
        <v>9</v>
      </c>
      <c r="C772">
        <v>9</v>
      </c>
      <c r="D772">
        <v>2758</v>
      </c>
      <c r="E772">
        <v>0</v>
      </c>
      <c r="F772" t="s">
        <v>277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275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305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275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305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275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284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275</v>
      </c>
      <c r="B776" t="s">
        <v>9</v>
      </c>
      <c r="C776">
        <v>9</v>
      </c>
      <c r="D776">
        <v>2516</v>
      </c>
      <c r="E776">
        <v>1</v>
      </c>
      <c r="F776" t="s">
        <v>277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275</v>
      </c>
      <c r="B777" t="s">
        <v>9</v>
      </c>
      <c r="C777">
        <v>9</v>
      </c>
      <c r="D777">
        <v>2850</v>
      </c>
      <c r="E777">
        <v>2</v>
      </c>
      <c r="F777" t="s">
        <v>276</v>
      </c>
      <c r="G777">
        <v>3</v>
      </c>
      <c r="H777" t="s">
        <v>283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265</v>
      </c>
      <c r="G778">
        <v>3</v>
      </c>
      <c r="H778" t="s">
        <v>305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278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275</v>
      </c>
      <c r="B780" t="s">
        <v>9</v>
      </c>
      <c r="C780">
        <v>9</v>
      </c>
      <c r="D780">
        <v>2517</v>
      </c>
      <c r="E780">
        <v>0</v>
      </c>
      <c r="F780" t="s">
        <v>277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275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284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275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275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305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275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305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275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275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305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275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305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275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283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275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283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275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283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277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275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271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277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271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279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271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271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271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262</v>
      </c>
      <c r="G821">
        <v>1</v>
      </c>
      <c r="H821" t="s">
        <v>305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262</v>
      </c>
      <c r="G822">
        <v>2</v>
      </c>
      <c r="H822" t="s">
        <v>305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262</v>
      </c>
      <c r="G823">
        <v>2</v>
      </c>
      <c r="H823" t="s">
        <v>305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262</v>
      </c>
      <c r="G824">
        <v>3</v>
      </c>
      <c r="H824" t="s">
        <v>283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262</v>
      </c>
      <c r="G825">
        <v>3</v>
      </c>
      <c r="H825" t="s">
        <v>283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228</v>
      </c>
      <c r="G826" t="s">
        <v>280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262</v>
      </c>
      <c r="G827">
        <v>1</v>
      </c>
      <c r="H827" t="s">
        <v>284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262</v>
      </c>
      <c r="G828">
        <v>1</v>
      </c>
      <c r="H828" t="s">
        <v>305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301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228</v>
      </c>
      <c r="G831" t="s">
        <v>281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262</v>
      </c>
      <c r="G832">
        <v>1</v>
      </c>
      <c r="H832" t="s">
        <v>305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262</v>
      </c>
      <c r="G835">
        <v>5</v>
      </c>
      <c r="H835" t="s">
        <v>283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262</v>
      </c>
      <c r="G836">
        <v>1</v>
      </c>
      <c r="H836" t="s">
        <v>284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262</v>
      </c>
      <c r="G838">
        <v>4</v>
      </c>
      <c r="H838" t="s">
        <v>283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262</v>
      </c>
      <c r="G839">
        <v>1</v>
      </c>
      <c r="H839" t="s">
        <v>305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262</v>
      </c>
      <c r="G840">
        <v>1</v>
      </c>
      <c r="H840" t="s">
        <v>305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262</v>
      </c>
      <c r="G841">
        <v>1</v>
      </c>
      <c r="H841" t="s">
        <v>284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262</v>
      </c>
      <c r="G842">
        <v>1</v>
      </c>
      <c r="H842" t="s">
        <v>305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262</v>
      </c>
      <c r="G843">
        <v>1</v>
      </c>
      <c r="H843" t="s">
        <v>305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262</v>
      </c>
      <c r="G844">
        <v>5</v>
      </c>
      <c r="H844" t="s">
        <v>283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262</v>
      </c>
      <c r="G845">
        <v>4</v>
      </c>
      <c r="H845" t="s">
        <v>283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262</v>
      </c>
      <c r="G846">
        <v>3</v>
      </c>
      <c r="H846" t="s">
        <v>305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262</v>
      </c>
      <c r="G847">
        <v>1</v>
      </c>
      <c r="H847" t="s">
        <v>305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262</v>
      </c>
      <c r="G848">
        <v>5</v>
      </c>
      <c r="H848" t="s">
        <v>283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262</v>
      </c>
      <c r="G849">
        <v>3</v>
      </c>
      <c r="H849" t="s">
        <v>284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262</v>
      </c>
      <c r="G850">
        <v>3</v>
      </c>
      <c r="H850" t="s">
        <v>283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262</v>
      </c>
      <c r="G851">
        <v>2</v>
      </c>
      <c r="H851" t="s">
        <v>284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262</v>
      </c>
      <c r="G852">
        <v>1</v>
      </c>
      <c r="H852" t="s">
        <v>284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262</v>
      </c>
      <c r="G853">
        <v>4</v>
      </c>
      <c r="H853" t="s">
        <v>283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228</v>
      </c>
      <c r="G854" t="s">
        <v>296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262</v>
      </c>
      <c r="G855">
        <v>5</v>
      </c>
      <c r="H855" t="s">
        <v>283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262</v>
      </c>
      <c r="G856">
        <v>1</v>
      </c>
      <c r="H856" t="s">
        <v>305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262</v>
      </c>
      <c r="G858">
        <v>4</v>
      </c>
      <c r="H858" t="s">
        <v>283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262</v>
      </c>
      <c r="G859">
        <v>5</v>
      </c>
      <c r="H859" t="s">
        <v>283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262</v>
      </c>
      <c r="G860">
        <v>5</v>
      </c>
      <c r="H860" t="s">
        <v>283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262</v>
      </c>
      <c r="G862">
        <v>5</v>
      </c>
      <c r="H862" t="s">
        <v>283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262</v>
      </c>
      <c r="G863">
        <v>4</v>
      </c>
      <c r="H863" t="s">
        <v>283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262</v>
      </c>
      <c r="G865">
        <v>1</v>
      </c>
      <c r="H865" t="s">
        <v>305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262</v>
      </c>
      <c r="G866">
        <v>3</v>
      </c>
      <c r="H866" t="s">
        <v>283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262</v>
      </c>
      <c r="G867">
        <v>5</v>
      </c>
      <c r="H867" t="s">
        <v>283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262</v>
      </c>
      <c r="G868">
        <v>4</v>
      </c>
      <c r="H868" t="s">
        <v>283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262</v>
      </c>
      <c r="G869">
        <v>3</v>
      </c>
      <c r="H869" t="s">
        <v>284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262</v>
      </c>
      <c r="G870">
        <v>1</v>
      </c>
      <c r="H870" t="s">
        <v>284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262</v>
      </c>
      <c r="G871">
        <v>1</v>
      </c>
      <c r="H871" t="s">
        <v>284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262</v>
      </c>
      <c r="G872">
        <v>4</v>
      </c>
      <c r="H872" t="s">
        <v>283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262</v>
      </c>
      <c r="G873">
        <v>2</v>
      </c>
      <c r="H873" t="s">
        <v>305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228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228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228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228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228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228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228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228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262</v>
      </c>
      <c r="G882">
        <v>1</v>
      </c>
      <c r="H882" t="s">
        <v>305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262</v>
      </c>
      <c r="G883">
        <v>1</v>
      </c>
      <c r="H883" t="s">
        <v>284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262</v>
      </c>
      <c r="G884">
        <v>1</v>
      </c>
      <c r="H884" t="s">
        <v>284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262</v>
      </c>
      <c r="G885">
        <v>3</v>
      </c>
      <c r="H885" t="s">
        <v>305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262</v>
      </c>
      <c r="G886">
        <v>2</v>
      </c>
      <c r="H886" t="s">
        <v>305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228</v>
      </c>
      <c r="G887" t="s">
        <v>297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262</v>
      </c>
      <c r="G888">
        <v>1</v>
      </c>
      <c r="H888" t="s">
        <v>305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262</v>
      </c>
      <c r="G889">
        <v>1</v>
      </c>
      <c r="H889" t="s">
        <v>305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262</v>
      </c>
      <c r="G890">
        <v>3</v>
      </c>
      <c r="H890" t="s">
        <v>284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262</v>
      </c>
      <c r="G891">
        <v>2</v>
      </c>
      <c r="H891" t="s">
        <v>305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262</v>
      </c>
      <c r="G894">
        <v>1</v>
      </c>
      <c r="H894" t="s">
        <v>284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262</v>
      </c>
      <c r="G895">
        <v>1</v>
      </c>
      <c r="H895" t="s">
        <v>284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265</v>
      </c>
      <c r="G896">
        <v>5</v>
      </c>
      <c r="H896" t="s">
        <v>283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298</v>
      </c>
      <c r="B897" t="s">
        <v>9</v>
      </c>
      <c r="C897">
        <v>9</v>
      </c>
      <c r="D897">
        <v>2838</v>
      </c>
      <c r="E897">
        <v>0</v>
      </c>
      <c r="F897" t="s">
        <v>263</v>
      </c>
      <c r="G897">
        <v>4</v>
      </c>
      <c r="H897" t="s">
        <v>283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298</v>
      </c>
      <c r="B898" t="s">
        <v>9</v>
      </c>
      <c r="C898">
        <v>9</v>
      </c>
      <c r="D898">
        <v>2427</v>
      </c>
      <c r="E898">
        <v>1</v>
      </c>
      <c r="F898" t="s">
        <v>277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298</v>
      </c>
      <c r="B899" t="s">
        <v>9</v>
      </c>
      <c r="C899">
        <v>9</v>
      </c>
      <c r="D899">
        <v>3047</v>
      </c>
      <c r="E899">
        <v>2</v>
      </c>
      <c r="F899" t="s">
        <v>263</v>
      </c>
      <c r="G899">
        <v>1</v>
      </c>
      <c r="H899" t="s">
        <v>305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298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298</v>
      </c>
      <c r="B901" t="s">
        <v>9</v>
      </c>
      <c r="C901">
        <v>9</v>
      </c>
      <c r="D901">
        <v>2763</v>
      </c>
      <c r="E901">
        <v>0</v>
      </c>
      <c r="F901" t="s">
        <v>277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298</v>
      </c>
      <c r="B902" t="s">
        <v>9</v>
      </c>
      <c r="C902">
        <v>9</v>
      </c>
      <c r="D902">
        <v>3056</v>
      </c>
      <c r="E902">
        <v>1</v>
      </c>
      <c r="F902" t="s">
        <v>277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298</v>
      </c>
      <c r="B903" t="s">
        <v>9</v>
      </c>
      <c r="C903">
        <v>9</v>
      </c>
      <c r="D903">
        <v>2719</v>
      </c>
      <c r="E903">
        <v>0</v>
      </c>
      <c r="F903" t="s">
        <v>263</v>
      </c>
      <c r="G903">
        <v>5</v>
      </c>
      <c r="H903" t="s">
        <v>283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298</v>
      </c>
      <c r="B904" t="s">
        <v>9</v>
      </c>
      <c r="C904">
        <v>9</v>
      </c>
      <c r="D904">
        <v>2911</v>
      </c>
      <c r="E904">
        <v>1</v>
      </c>
      <c r="F904" t="s">
        <v>263</v>
      </c>
      <c r="G904">
        <v>5</v>
      </c>
      <c r="H904" t="s">
        <v>283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298</v>
      </c>
      <c r="B905" t="s">
        <v>9</v>
      </c>
      <c r="C905">
        <v>9</v>
      </c>
      <c r="D905">
        <v>2858</v>
      </c>
      <c r="E905">
        <v>0</v>
      </c>
      <c r="F905" t="s">
        <v>263</v>
      </c>
      <c r="G905">
        <v>1</v>
      </c>
      <c r="H905" t="s">
        <v>305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298</v>
      </c>
      <c r="B906" t="s">
        <v>9</v>
      </c>
      <c r="C906">
        <v>9</v>
      </c>
      <c r="D906">
        <v>2965</v>
      </c>
      <c r="E906">
        <v>1</v>
      </c>
      <c r="F906" t="s">
        <v>263</v>
      </c>
      <c r="G906">
        <v>3</v>
      </c>
      <c r="H906" t="s">
        <v>305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298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298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298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298</v>
      </c>
      <c r="B910" t="s">
        <v>9</v>
      </c>
      <c r="C910">
        <v>9</v>
      </c>
      <c r="D910">
        <v>2744</v>
      </c>
      <c r="E910">
        <v>1</v>
      </c>
      <c r="F910" t="s">
        <v>263</v>
      </c>
      <c r="G910">
        <v>1</v>
      </c>
      <c r="H910" t="s">
        <v>284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298</v>
      </c>
      <c r="B911" t="s">
        <v>9</v>
      </c>
      <c r="C911">
        <v>9</v>
      </c>
      <c r="D911">
        <v>2564</v>
      </c>
      <c r="E911">
        <v>0</v>
      </c>
      <c r="F911" t="s">
        <v>263</v>
      </c>
      <c r="G911">
        <v>5</v>
      </c>
      <c r="H911" t="s">
        <v>283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298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298</v>
      </c>
      <c r="B913" t="s">
        <v>9</v>
      </c>
      <c r="C913">
        <v>9</v>
      </c>
      <c r="D913">
        <v>2779</v>
      </c>
      <c r="E913">
        <v>0</v>
      </c>
      <c r="F913" t="s">
        <v>277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265</v>
      </c>
      <c r="G914">
        <v>3</v>
      </c>
      <c r="H914" t="s">
        <v>305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298</v>
      </c>
      <c r="B915" t="s">
        <v>9</v>
      </c>
      <c r="C915">
        <v>9</v>
      </c>
      <c r="D915">
        <v>3032</v>
      </c>
      <c r="E915">
        <v>0</v>
      </c>
      <c r="F915" t="s">
        <v>263</v>
      </c>
      <c r="G915">
        <v>5</v>
      </c>
      <c r="H915" t="s">
        <v>283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298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298</v>
      </c>
      <c r="B917" t="s">
        <v>9</v>
      </c>
      <c r="C917">
        <v>9</v>
      </c>
      <c r="D917">
        <v>2891</v>
      </c>
      <c r="E917">
        <v>2</v>
      </c>
      <c r="F917" t="s">
        <v>263</v>
      </c>
      <c r="G917">
        <v>1</v>
      </c>
      <c r="H917" t="s">
        <v>305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298</v>
      </c>
      <c r="B918" t="s">
        <v>9</v>
      </c>
      <c r="C918">
        <v>9</v>
      </c>
      <c r="D918">
        <v>2799</v>
      </c>
      <c r="E918">
        <v>0</v>
      </c>
      <c r="F918" t="s">
        <v>263</v>
      </c>
      <c r="G918">
        <v>2</v>
      </c>
      <c r="H918" t="s">
        <v>305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298</v>
      </c>
      <c r="B919" t="s">
        <v>9</v>
      </c>
      <c r="C919">
        <v>9</v>
      </c>
      <c r="D919">
        <v>3197</v>
      </c>
      <c r="E919">
        <v>1</v>
      </c>
      <c r="F919" t="s">
        <v>263</v>
      </c>
      <c r="G919">
        <v>2</v>
      </c>
      <c r="H919" t="s">
        <v>305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298</v>
      </c>
      <c r="B920" t="s">
        <v>9</v>
      </c>
      <c r="C920">
        <v>9</v>
      </c>
      <c r="D920">
        <v>3013</v>
      </c>
      <c r="E920">
        <v>0</v>
      </c>
      <c r="F920" t="s">
        <v>263</v>
      </c>
      <c r="G920">
        <v>4</v>
      </c>
      <c r="H920" t="s">
        <v>283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298</v>
      </c>
      <c r="B921" t="s">
        <v>9</v>
      </c>
      <c r="C921">
        <v>9</v>
      </c>
      <c r="D921">
        <v>3393</v>
      </c>
      <c r="E921">
        <v>1</v>
      </c>
      <c r="F921" t="s">
        <v>263</v>
      </c>
      <c r="G921">
        <v>4</v>
      </c>
      <c r="H921" t="s">
        <v>283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298</v>
      </c>
      <c r="B922" t="s">
        <v>9</v>
      </c>
      <c r="C922">
        <v>9</v>
      </c>
      <c r="D922">
        <v>3290</v>
      </c>
      <c r="E922">
        <v>0</v>
      </c>
      <c r="F922" t="s">
        <v>301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299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298</v>
      </c>
      <c r="B924" t="s">
        <v>9</v>
      </c>
      <c r="C924">
        <v>9</v>
      </c>
      <c r="D924">
        <v>2551</v>
      </c>
      <c r="E924">
        <v>1</v>
      </c>
      <c r="F924" t="s">
        <v>228</v>
      </c>
      <c r="G924" t="s">
        <v>300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298</v>
      </c>
      <c r="B925" t="s">
        <v>9</v>
      </c>
      <c r="C925">
        <v>9</v>
      </c>
      <c r="D925">
        <v>2856</v>
      </c>
      <c r="E925">
        <v>0</v>
      </c>
      <c r="F925" t="s">
        <v>263</v>
      </c>
      <c r="G925">
        <v>1</v>
      </c>
      <c r="H925" t="s">
        <v>284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298</v>
      </c>
      <c r="B926" t="s">
        <v>9</v>
      </c>
      <c r="C926">
        <v>9</v>
      </c>
      <c r="D926">
        <v>2488</v>
      </c>
      <c r="E926">
        <v>1</v>
      </c>
      <c r="F926" t="s">
        <v>263</v>
      </c>
      <c r="G926">
        <v>3</v>
      </c>
      <c r="H926" t="s">
        <v>305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298</v>
      </c>
      <c r="B927" t="s">
        <v>9</v>
      </c>
      <c r="C927">
        <v>9</v>
      </c>
      <c r="D927">
        <v>2583</v>
      </c>
      <c r="E927">
        <v>0</v>
      </c>
      <c r="F927" t="s">
        <v>263</v>
      </c>
      <c r="G927">
        <v>5</v>
      </c>
      <c r="H927" t="s">
        <v>283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298</v>
      </c>
      <c r="B928" t="s">
        <v>9</v>
      </c>
      <c r="C928">
        <v>9</v>
      </c>
      <c r="D928">
        <v>2394</v>
      </c>
      <c r="E928">
        <v>0</v>
      </c>
      <c r="F928" t="s">
        <v>263</v>
      </c>
      <c r="G928">
        <v>4</v>
      </c>
      <c r="H928" t="s">
        <v>283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298</v>
      </c>
      <c r="B929" t="s">
        <v>9</v>
      </c>
      <c r="C929">
        <v>9</v>
      </c>
      <c r="D929">
        <v>2703</v>
      </c>
      <c r="E929">
        <v>0</v>
      </c>
      <c r="F929" t="s">
        <v>263</v>
      </c>
      <c r="G929">
        <v>1</v>
      </c>
      <c r="H929" t="s">
        <v>284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298</v>
      </c>
      <c r="B930" t="s">
        <v>9</v>
      </c>
      <c r="C930">
        <v>9</v>
      </c>
      <c r="D930">
        <v>2880</v>
      </c>
      <c r="E930">
        <v>1</v>
      </c>
      <c r="F930" t="s">
        <v>263</v>
      </c>
      <c r="G930">
        <v>4</v>
      </c>
      <c r="H930" t="s">
        <v>283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298</v>
      </c>
      <c r="B931" t="s">
        <v>9</v>
      </c>
      <c r="C931">
        <v>9</v>
      </c>
      <c r="D931">
        <v>2802</v>
      </c>
      <c r="E931">
        <v>0</v>
      </c>
      <c r="F931" t="s">
        <v>263</v>
      </c>
      <c r="G931">
        <v>3</v>
      </c>
      <c r="H931" t="s">
        <v>305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298</v>
      </c>
      <c r="B932" t="s">
        <v>9</v>
      </c>
      <c r="C932">
        <v>9</v>
      </c>
      <c r="D932">
        <v>2784</v>
      </c>
      <c r="E932">
        <v>2</v>
      </c>
      <c r="F932" t="s">
        <v>277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298</v>
      </c>
      <c r="B933" t="s">
        <v>9</v>
      </c>
      <c r="C933">
        <v>9</v>
      </c>
      <c r="D933">
        <v>2856</v>
      </c>
      <c r="E933">
        <v>0</v>
      </c>
      <c r="F933" t="s">
        <v>263</v>
      </c>
      <c r="G933">
        <v>3</v>
      </c>
      <c r="H933" t="s">
        <v>305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298</v>
      </c>
      <c r="B934" t="s">
        <v>9</v>
      </c>
      <c r="C934">
        <v>9</v>
      </c>
      <c r="D934">
        <v>3481</v>
      </c>
      <c r="E934">
        <v>0</v>
      </c>
      <c r="F934" t="s">
        <v>263</v>
      </c>
      <c r="G934">
        <v>4</v>
      </c>
      <c r="H934" t="s">
        <v>283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298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298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298</v>
      </c>
      <c r="B937" t="s">
        <v>9</v>
      </c>
      <c r="C937">
        <v>9</v>
      </c>
      <c r="D937">
        <v>2999</v>
      </c>
      <c r="E937">
        <v>0</v>
      </c>
      <c r="F937" t="s">
        <v>263</v>
      </c>
      <c r="G937">
        <v>5</v>
      </c>
      <c r="H937" t="s">
        <v>283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298</v>
      </c>
      <c r="B938" t="s">
        <v>9</v>
      </c>
      <c r="C938">
        <v>9</v>
      </c>
      <c r="D938">
        <v>2639</v>
      </c>
      <c r="E938">
        <v>1</v>
      </c>
      <c r="F938" t="s">
        <v>263</v>
      </c>
      <c r="G938">
        <v>2</v>
      </c>
      <c r="H938" t="s">
        <v>305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298</v>
      </c>
      <c r="B939" t="s">
        <v>9</v>
      </c>
      <c r="C939">
        <v>9</v>
      </c>
      <c r="D939">
        <v>2853</v>
      </c>
      <c r="E939">
        <v>0</v>
      </c>
      <c r="F939" t="s">
        <v>263</v>
      </c>
      <c r="G939">
        <v>2</v>
      </c>
      <c r="H939" t="s">
        <v>284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298</v>
      </c>
      <c r="B940" t="s">
        <v>9</v>
      </c>
      <c r="C940">
        <v>9</v>
      </c>
      <c r="D940">
        <v>3206</v>
      </c>
      <c r="E940">
        <v>1</v>
      </c>
      <c r="F940" t="s">
        <v>263</v>
      </c>
      <c r="G940">
        <v>4</v>
      </c>
      <c r="H940" t="s">
        <v>283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298</v>
      </c>
      <c r="B941" t="s">
        <v>9</v>
      </c>
      <c r="C941">
        <v>9</v>
      </c>
      <c r="D941">
        <v>3218</v>
      </c>
      <c r="E941">
        <v>0</v>
      </c>
      <c r="F941" t="s">
        <v>263</v>
      </c>
      <c r="G941">
        <v>3</v>
      </c>
      <c r="H941" t="s">
        <v>305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298</v>
      </c>
      <c r="B942" t="s">
        <v>9</v>
      </c>
      <c r="C942">
        <v>9</v>
      </c>
      <c r="D942">
        <v>2853</v>
      </c>
      <c r="E942">
        <v>2</v>
      </c>
      <c r="F942" t="s">
        <v>263</v>
      </c>
      <c r="G942">
        <v>3</v>
      </c>
      <c r="H942" t="s">
        <v>284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298</v>
      </c>
      <c r="B943" t="s">
        <v>9</v>
      </c>
      <c r="C943">
        <v>9</v>
      </c>
      <c r="D943">
        <v>2921</v>
      </c>
      <c r="E943">
        <v>0</v>
      </c>
      <c r="F943" t="s">
        <v>263</v>
      </c>
      <c r="G943">
        <v>1</v>
      </c>
      <c r="H943" t="s">
        <v>284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298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298</v>
      </c>
      <c r="B945" t="s">
        <v>9</v>
      </c>
      <c r="C945">
        <v>9</v>
      </c>
      <c r="D945">
        <v>3444</v>
      </c>
      <c r="E945">
        <v>0</v>
      </c>
      <c r="F945" t="s">
        <v>277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298</v>
      </c>
      <c r="B946" t="s">
        <v>9</v>
      </c>
      <c r="C946">
        <v>9</v>
      </c>
      <c r="D946">
        <v>2844</v>
      </c>
      <c r="E946">
        <v>0</v>
      </c>
      <c r="F946" t="s">
        <v>263</v>
      </c>
      <c r="G946">
        <v>2</v>
      </c>
      <c r="H946" t="s">
        <v>305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298</v>
      </c>
      <c r="B947" t="s">
        <v>9</v>
      </c>
      <c r="C947">
        <v>9</v>
      </c>
      <c r="D947">
        <v>2720</v>
      </c>
      <c r="E947">
        <v>0</v>
      </c>
      <c r="F947" t="s">
        <v>263</v>
      </c>
      <c r="G947">
        <v>4</v>
      </c>
      <c r="H947" t="s">
        <v>283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298</v>
      </c>
      <c r="B948" t="s">
        <v>9</v>
      </c>
      <c r="C948">
        <v>9</v>
      </c>
      <c r="D948">
        <v>2990</v>
      </c>
      <c r="E948">
        <v>1</v>
      </c>
      <c r="F948" t="s">
        <v>263</v>
      </c>
      <c r="G948">
        <v>4</v>
      </c>
      <c r="H948" t="s">
        <v>283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298</v>
      </c>
      <c r="B949" t="s">
        <v>9</v>
      </c>
      <c r="C949">
        <v>9</v>
      </c>
      <c r="D949">
        <v>2846</v>
      </c>
      <c r="E949">
        <v>4</v>
      </c>
      <c r="F949" t="s">
        <v>263</v>
      </c>
      <c r="G949">
        <v>1</v>
      </c>
      <c r="H949" t="s">
        <v>305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298</v>
      </c>
      <c r="B950" t="s">
        <v>9</v>
      </c>
      <c r="C950">
        <v>9</v>
      </c>
      <c r="D950">
        <v>2740</v>
      </c>
      <c r="E950">
        <v>1</v>
      </c>
      <c r="F950" t="s">
        <v>277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298</v>
      </c>
      <c r="B951" t="s">
        <v>9</v>
      </c>
      <c r="C951">
        <v>9</v>
      </c>
      <c r="D951">
        <v>2619</v>
      </c>
      <c r="E951">
        <v>2</v>
      </c>
      <c r="F951" t="s">
        <v>263</v>
      </c>
      <c r="G951">
        <v>1</v>
      </c>
      <c r="H951" t="s">
        <v>305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298</v>
      </c>
      <c r="B952" t="s">
        <v>9</v>
      </c>
      <c r="C952">
        <v>9</v>
      </c>
      <c r="D952">
        <v>3000</v>
      </c>
      <c r="E952">
        <v>1</v>
      </c>
      <c r="F952" t="s">
        <v>263</v>
      </c>
      <c r="G952">
        <v>2</v>
      </c>
      <c r="H952" t="s">
        <v>305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298</v>
      </c>
      <c r="B953" t="s">
        <v>9</v>
      </c>
      <c r="C953">
        <v>9</v>
      </c>
      <c r="D953">
        <v>2846</v>
      </c>
      <c r="E953">
        <v>3</v>
      </c>
      <c r="F953" t="s">
        <v>263</v>
      </c>
      <c r="G953">
        <v>4</v>
      </c>
      <c r="H953" t="s">
        <v>283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298</v>
      </c>
      <c r="B954" t="s">
        <v>9</v>
      </c>
      <c r="C954">
        <v>9</v>
      </c>
      <c r="D954">
        <v>2824</v>
      </c>
      <c r="E954">
        <v>2</v>
      </c>
      <c r="F954" t="s">
        <v>277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298</v>
      </c>
      <c r="B955" t="s">
        <v>9</v>
      </c>
      <c r="C955">
        <v>9</v>
      </c>
      <c r="D955">
        <v>3201</v>
      </c>
      <c r="E955">
        <v>0</v>
      </c>
      <c r="F955" t="s">
        <v>263</v>
      </c>
      <c r="G955">
        <v>5</v>
      </c>
      <c r="H955" t="s">
        <v>283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298</v>
      </c>
      <c r="B956" t="s">
        <v>9</v>
      </c>
      <c r="C956">
        <v>9</v>
      </c>
      <c r="D956">
        <v>2638</v>
      </c>
      <c r="E956">
        <v>0</v>
      </c>
      <c r="F956" t="s">
        <v>263</v>
      </c>
      <c r="G956">
        <v>3</v>
      </c>
      <c r="H956" t="s">
        <v>283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298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298</v>
      </c>
      <c r="B958" t="s">
        <v>9</v>
      </c>
      <c r="C958">
        <v>9</v>
      </c>
      <c r="D958">
        <v>2399</v>
      </c>
      <c r="E958">
        <v>0</v>
      </c>
      <c r="F958" t="s">
        <v>263</v>
      </c>
      <c r="G958">
        <v>3</v>
      </c>
      <c r="H958" t="s">
        <v>284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298</v>
      </c>
      <c r="B959" t="s">
        <v>9</v>
      </c>
      <c r="C959">
        <v>9</v>
      </c>
      <c r="D959">
        <v>3055</v>
      </c>
      <c r="E959">
        <v>1</v>
      </c>
      <c r="F959" t="s">
        <v>263</v>
      </c>
      <c r="G959">
        <v>1</v>
      </c>
      <c r="H959" t="s">
        <v>305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298</v>
      </c>
      <c r="B960" t="s">
        <v>9</v>
      </c>
      <c r="C960">
        <v>9</v>
      </c>
      <c r="D960">
        <v>2841</v>
      </c>
      <c r="E960">
        <v>0</v>
      </c>
      <c r="F960" t="s">
        <v>263</v>
      </c>
      <c r="G960">
        <v>5</v>
      </c>
      <c r="H960" t="s">
        <v>283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298</v>
      </c>
      <c r="B961" t="s">
        <v>9</v>
      </c>
      <c r="C961">
        <v>9</v>
      </c>
      <c r="D961">
        <v>2937</v>
      </c>
      <c r="E961">
        <v>0</v>
      </c>
      <c r="F961" t="s">
        <v>228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298</v>
      </c>
      <c r="B962" t="s">
        <v>9</v>
      </c>
      <c r="C962">
        <v>9</v>
      </c>
      <c r="D962">
        <v>2426</v>
      </c>
      <c r="E962">
        <v>0</v>
      </c>
      <c r="F962" t="s">
        <v>263</v>
      </c>
      <c r="G962">
        <v>1</v>
      </c>
      <c r="H962" t="s">
        <v>284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298</v>
      </c>
      <c r="B963" t="s">
        <v>9</v>
      </c>
      <c r="C963">
        <v>9</v>
      </c>
      <c r="D963">
        <v>2552</v>
      </c>
      <c r="E963">
        <v>1</v>
      </c>
      <c r="F963" t="s">
        <v>263</v>
      </c>
      <c r="G963">
        <v>3</v>
      </c>
      <c r="H963" t="s">
        <v>305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298</v>
      </c>
      <c r="B964" t="s">
        <v>9</v>
      </c>
      <c r="C964">
        <v>9</v>
      </c>
      <c r="D964">
        <v>2771</v>
      </c>
      <c r="E964">
        <v>2</v>
      </c>
      <c r="F964" t="s">
        <v>263</v>
      </c>
      <c r="G964">
        <v>1</v>
      </c>
      <c r="H964" t="s">
        <v>305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298</v>
      </c>
      <c r="B965" t="s">
        <v>9</v>
      </c>
      <c r="C965">
        <v>9</v>
      </c>
      <c r="D965">
        <v>2652</v>
      </c>
      <c r="E965">
        <v>2</v>
      </c>
      <c r="F965" t="s">
        <v>263</v>
      </c>
      <c r="G965">
        <v>4</v>
      </c>
      <c r="H965" t="s">
        <v>283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298</v>
      </c>
      <c r="B966" t="s">
        <v>9</v>
      </c>
      <c r="C966">
        <v>9</v>
      </c>
      <c r="D966">
        <v>2708</v>
      </c>
      <c r="E966">
        <v>0</v>
      </c>
      <c r="F966" t="s">
        <v>263</v>
      </c>
      <c r="G966">
        <v>1</v>
      </c>
      <c r="H966" t="s">
        <v>284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298</v>
      </c>
      <c r="B967" t="s">
        <v>9</v>
      </c>
      <c r="C967">
        <v>9</v>
      </c>
      <c r="D967">
        <v>2684</v>
      </c>
      <c r="E967">
        <v>1</v>
      </c>
      <c r="F967" t="s">
        <v>263</v>
      </c>
      <c r="G967">
        <v>1</v>
      </c>
      <c r="H967" t="s">
        <v>284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298</v>
      </c>
      <c r="B968" t="s">
        <v>9</v>
      </c>
      <c r="C968">
        <v>9</v>
      </c>
      <c r="D968">
        <v>3108</v>
      </c>
      <c r="E968">
        <v>3</v>
      </c>
      <c r="F968" t="s">
        <v>263</v>
      </c>
      <c r="G968">
        <v>4</v>
      </c>
      <c r="H968" t="s">
        <v>283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298</v>
      </c>
      <c r="B969" t="s">
        <v>9</v>
      </c>
      <c r="C969">
        <v>9</v>
      </c>
      <c r="D969">
        <v>2839</v>
      </c>
      <c r="E969">
        <v>1</v>
      </c>
      <c r="F969" t="s">
        <v>263</v>
      </c>
      <c r="G969">
        <v>1</v>
      </c>
      <c r="H969" t="s">
        <v>284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265</v>
      </c>
      <c r="G989">
        <v>5</v>
      </c>
      <c r="H989" t="s">
        <v>283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271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271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271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271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304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304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271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271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304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271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271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271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271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304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271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271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304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304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304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271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304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271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271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271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271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271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271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271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304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304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304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304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271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271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271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271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271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304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271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304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271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271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271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304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271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331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271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299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299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299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299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299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299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299</v>
      </c>
      <c r="B1071" t="s">
        <v>32</v>
      </c>
      <c r="C1071">
        <v>5</v>
      </c>
      <c r="D1071">
        <v>1020</v>
      </c>
      <c r="E1071">
        <v>1</v>
      </c>
      <c r="F1071" t="s">
        <v>277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299</v>
      </c>
      <c r="B1072" t="s">
        <v>32</v>
      </c>
      <c r="C1072">
        <v>5</v>
      </c>
      <c r="D1072">
        <v>1937</v>
      </c>
      <c r="E1072">
        <v>1</v>
      </c>
      <c r="F1072" t="s">
        <v>277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299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299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299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299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332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332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332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332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332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332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332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332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299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299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299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299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299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299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299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299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299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299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299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299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299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opLeftCell="A10" zoomScale="85" zoomScaleNormal="85" workbookViewId="0">
      <selection activeCell="I25" sqref="I25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12" t="s">
        <v>233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4"/>
    </row>
    <row r="3" spans="1:16" ht="15">
      <c r="A3" s="33" t="s">
        <v>211</v>
      </c>
      <c r="B3" s="32" t="s">
        <v>226</v>
      </c>
      <c r="C3" s="32" t="s">
        <v>232</v>
      </c>
      <c r="D3" s="32" t="s">
        <v>216</v>
      </c>
      <c r="E3" s="32" t="s">
        <v>226</v>
      </c>
      <c r="F3" s="32" t="s">
        <v>232</v>
      </c>
      <c r="G3" s="32" t="s">
        <v>221</v>
      </c>
      <c r="H3" s="32" t="s">
        <v>226</v>
      </c>
      <c r="I3" s="32" t="s">
        <v>232</v>
      </c>
      <c r="J3" s="51"/>
      <c r="K3" s="32" t="s">
        <v>226</v>
      </c>
      <c r="L3" s="52" t="s">
        <v>232</v>
      </c>
    </row>
    <row r="4" spans="1:16">
      <c r="A4" s="5" t="s">
        <v>214</v>
      </c>
      <c r="B4" s="6" t="s">
        <v>227</v>
      </c>
      <c r="C4" s="6" t="s">
        <v>205</v>
      </c>
      <c r="D4" s="6" t="s">
        <v>217</v>
      </c>
      <c r="E4" s="6" t="s">
        <v>227</v>
      </c>
      <c r="F4" s="6"/>
      <c r="G4" s="6" t="s">
        <v>222</v>
      </c>
      <c r="H4" s="6" t="s">
        <v>227</v>
      </c>
      <c r="I4" s="56" t="s">
        <v>205</v>
      </c>
      <c r="J4" s="53" t="s">
        <v>230</v>
      </c>
      <c r="K4" s="53" t="s">
        <v>34</v>
      </c>
      <c r="L4" s="54" t="s">
        <v>205</v>
      </c>
    </row>
    <row r="5" spans="1:16">
      <c r="A5" s="5" t="s">
        <v>213</v>
      </c>
      <c r="B5" s="6" t="s">
        <v>228</v>
      </c>
      <c r="C5" s="6" t="s">
        <v>205</v>
      </c>
      <c r="D5" s="6" t="s">
        <v>218</v>
      </c>
      <c r="E5" s="6" t="s">
        <v>228</v>
      </c>
      <c r="F5" s="56" t="s">
        <v>205</v>
      </c>
      <c r="G5" s="6" t="s">
        <v>223</v>
      </c>
      <c r="H5" s="6" t="s">
        <v>34</v>
      </c>
      <c r="I5" s="6" t="s">
        <v>205</v>
      </c>
      <c r="J5" s="6"/>
      <c r="K5" s="6"/>
      <c r="L5" s="55"/>
    </row>
    <row r="6" spans="1:16">
      <c r="A6" s="5" t="s">
        <v>212</v>
      </c>
      <c r="B6" s="6" t="s">
        <v>228</v>
      </c>
      <c r="C6" s="56" t="s">
        <v>205</v>
      </c>
      <c r="D6" s="6" t="s">
        <v>219</v>
      </c>
      <c r="E6" s="6" t="s">
        <v>228</v>
      </c>
      <c r="F6" s="6" t="s">
        <v>205</v>
      </c>
      <c r="G6" s="6" t="s">
        <v>224</v>
      </c>
      <c r="H6" s="6" t="s">
        <v>227</v>
      </c>
      <c r="I6" s="56" t="s">
        <v>205</v>
      </c>
      <c r="J6" s="6"/>
      <c r="K6" s="6"/>
      <c r="L6" s="55"/>
    </row>
    <row r="7" spans="1:16" ht="15" thickBot="1">
      <c r="A7" s="7" t="s">
        <v>215</v>
      </c>
      <c r="B7" s="8" t="s">
        <v>231</v>
      </c>
      <c r="C7" s="8" t="s">
        <v>205</v>
      </c>
      <c r="D7" s="8" t="s">
        <v>220</v>
      </c>
      <c r="E7" s="8" t="s">
        <v>229</v>
      </c>
      <c r="F7" s="8" t="s">
        <v>205</v>
      </c>
      <c r="G7" s="8" t="s">
        <v>225</v>
      </c>
      <c r="H7" s="8" t="s">
        <v>229</v>
      </c>
      <c r="I7" s="8" t="s">
        <v>205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15" t="s">
        <v>234</v>
      </c>
      <c r="E9" s="216"/>
      <c r="F9" s="216"/>
      <c r="G9" s="216"/>
      <c r="H9" s="216"/>
      <c r="I9" s="216"/>
      <c r="J9" s="216"/>
      <c r="K9" s="216"/>
      <c r="L9" s="216"/>
      <c r="M9" s="216"/>
      <c r="N9" s="216"/>
      <c r="O9" s="216"/>
      <c r="P9" s="217"/>
    </row>
    <row r="10" spans="1:16" ht="15">
      <c r="A10" s="33" t="s">
        <v>235</v>
      </c>
      <c r="B10" s="32" t="s">
        <v>226</v>
      </c>
      <c r="C10" s="32" t="s">
        <v>232</v>
      </c>
      <c r="D10" s="66" t="s">
        <v>236</v>
      </c>
      <c r="E10" s="65" t="s">
        <v>226</v>
      </c>
      <c r="F10" s="65" t="s">
        <v>232</v>
      </c>
      <c r="G10" s="65" t="s">
        <v>237</v>
      </c>
      <c r="H10" s="65" t="s">
        <v>226</v>
      </c>
      <c r="I10" s="65" t="s">
        <v>232</v>
      </c>
      <c r="J10" s="65" t="s">
        <v>185</v>
      </c>
      <c r="K10" s="65"/>
      <c r="L10" s="65" t="s">
        <v>226</v>
      </c>
      <c r="M10" s="65" t="s">
        <v>232</v>
      </c>
      <c r="N10" s="59"/>
      <c r="O10" s="65" t="s">
        <v>226</v>
      </c>
      <c r="P10" s="67" t="s">
        <v>232</v>
      </c>
    </row>
    <row r="11" spans="1:16">
      <c r="A11" s="5" t="s">
        <v>251</v>
      </c>
      <c r="B11" s="6" t="s">
        <v>228</v>
      </c>
      <c r="C11" s="68" t="s">
        <v>205</v>
      </c>
      <c r="D11" s="63" t="s">
        <v>238</v>
      </c>
      <c r="E11" s="59" t="s">
        <v>228</v>
      </c>
      <c r="F11" s="59" t="s">
        <v>205</v>
      </c>
      <c r="G11" s="59" t="s">
        <v>242</v>
      </c>
      <c r="H11" s="59" t="s">
        <v>34</v>
      </c>
      <c r="I11" s="59" t="s">
        <v>205</v>
      </c>
      <c r="J11" s="59" t="s">
        <v>246</v>
      </c>
      <c r="K11" s="59"/>
      <c r="L11" s="59" t="s">
        <v>34</v>
      </c>
      <c r="M11" s="59"/>
      <c r="N11" s="59" t="s">
        <v>250</v>
      </c>
      <c r="O11" s="59"/>
      <c r="P11" s="60" t="s">
        <v>205</v>
      </c>
    </row>
    <row r="12" spans="1:16">
      <c r="A12" s="5" t="s">
        <v>252</v>
      </c>
      <c r="B12" s="6" t="s">
        <v>34</v>
      </c>
      <c r="C12" s="68" t="s">
        <v>205</v>
      </c>
      <c r="D12" s="63" t="s">
        <v>239</v>
      </c>
      <c r="E12" s="59" t="s">
        <v>34</v>
      </c>
      <c r="F12" s="59" t="s">
        <v>205</v>
      </c>
      <c r="G12" s="59" t="s">
        <v>243</v>
      </c>
      <c r="H12" s="59" t="s">
        <v>227</v>
      </c>
      <c r="I12" s="59" t="s">
        <v>205</v>
      </c>
      <c r="J12" s="59" t="s">
        <v>247</v>
      </c>
      <c r="K12" s="59"/>
      <c r="L12" s="59" t="s">
        <v>227</v>
      </c>
      <c r="M12" s="59" t="s">
        <v>205</v>
      </c>
      <c r="N12" s="59"/>
      <c r="O12" s="59"/>
      <c r="P12" s="60"/>
    </row>
    <row r="13" spans="1:16">
      <c r="A13" s="5" t="s">
        <v>253</v>
      </c>
      <c r="B13" s="6" t="s">
        <v>228</v>
      </c>
      <c r="C13" s="68" t="s">
        <v>205</v>
      </c>
      <c r="D13" s="63" t="s">
        <v>240</v>
      </c>
      <c r="E13" s="59" t="s">
        <v>228</v>
      </c>
      <c r="F13" s="59" t="s">
        <v>205</v>
      </c>
      <c r="G13" s="59" t="s">
        <v>244</v>
      </c>
      <c r="H13" s="59" t="s">
        <v>228</v>
      </c>
      <c r="I13" s="59" t="s">
        <v>205</v>
      </c>
      <c r="J13" s="59" t="s">
        <v>248</v>
      </c>
      <c r="K13" s="59"/>
      <c r="L13" s="59" t="s">
        <v>227</v>
      </c>
      <c r="M13" s="59" t="s">
        <v>205</v>
      </c>
      <c r="N13" s="59"/>
      <c r="O13" s="59"/>
      <c r="P13" s="60"/>
    </row>
    <row r="14" spans="1:16" ht="15" thickBot="1">
      <c r="A14" s="7" t="s">
        <v>254</v>
      </c>
      <c r="B14" s="8" t="s">
        <v>227</v>
      </c>
      <c r="C14" s="69" t="s">
        <v>205</v>
      </c>
      <c r="D14" s="64" t="s">
        <v>241</v>
      </c>
      <c r="E14" s="61" t="s">
        <v>255</v>
      </c>
      <c r="F14" s="61" t="s">
        <v>205</v>
      </c>
      <c r="G14" s="61" t="s">
        <v>245</v>
      </c>
      <c r="H14" s="61" t="s">
        <v>255</v>
      </c>
      <c r="I14" s="61" t="s">
        <v>205</v>
      </c>
      <c r="J14" s="61" t="s">
        <v>249</v>
      </c>
      <c r="K14" s="61"/>
      <c r="L14" s="61" t="s">
        <v>255</v>
      </c>
      <c r="M14" s="61" t="s">
        <v>205</v>
      </c>
      <c r="N14" s="61"/>
      <c r="O14" s="61"/>
      <c r="P14" s="62"/>
    </row>
    <row r="17" spans="1:20" ht="15" thickBot="1"/>
    <row r="18" spans="1:20" ht="15" thickBot="1">
      <c r="F18" s="218" t="s">
        <v>262</v>
      </c>
      <c r="G18" s="219"/>
      <c r="H18" s="220"/>
      <c r="I18" s="221" t="s">
        <v>263</v>
      </c>
      <c r="J18" s="222"/>
      <c r="K18" s="223"/>
      <c r="L18" s="224" t="s">
        <v>18</v>
      </c>
      <c r="M18" s="225"/>
      <c r="N18" s="226"/>
      <c r="O18" s="227" t="s">
        <v>265</v>
      </c>
      <c r="P18" s="228"/>
      <c r="Q18" s="229"/>
      <c r="R18" s="209" t="s">
        <v>264</v>
      </c>
      <c r="S18" s="210"/>
      <c r="T18" s="211"/>
    </row>
    <row r="19" spans="1:20" ht="15.75" thickBot="1">
      <c r="C19" s="33" t="s">
        <v>258</v>
      </c>
      <c r="D19" s="32" t="s">
        <v>259</v>
      </c>
      <c r="E19" s="52" t="s">
        <v>260</v>
      </c>
      <c r="F19" s="85" t="s">
        <v>266</v>
      </c>
      <c r="G19" s="86" t="s">
        <v>306</v>
      </c>
      <c r="H19" s="87" t="s">
        <v>267</v>
      </c>
      <c r="I19" s="93" t="s">
        <v>266</v>
      </c>
      <c r="J19" s="94" t="s">
        <v>306</v>
      </c>
      <c r="K19" s="95" t="s">
        <v>267</v>
      </c>
      <c r="L19" s="101" t="s">
        <v>266</v>
      </c>
      <c r="M19" s="102" t="s">
        <v>306</v>
      </c>
      <c r="N19" s="103" t="s">
        <v>267</v>
      </c>
      <c r="O19" s="119" t="s">
        <v>266</v>
      </c>
      <c r="P19" s="120" t="s">
        <v>306</v>
      </c>
      <c r="Q19" s="121" t="s">
        <v>267</v>
      </c>
      <c r="R19" s="109" t="s">
        <v>266</v>
      </c>
      <c r="S19" s="110" t="s">
        <v>306</v>
      </c>
      <c r="T19" s="111" t="s">
        <v>267</v>
      </c>
    </row>
    <row r="20" spans="1:20" ht="15">
      <c r="A20" s="70" t="s">
        <v>261</v>
      </c>
      <c r="B20" s="75" t="s">
        <v>236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261</v>
      </c>
      <c r="B21" s="76" t="s">
        <v>238</v>
      </c>
      <c r="C21" s="5" t="s">
        <v>205</v>
      </c>
      <c r="D21" s="63" t="s">
        <v>340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261</v>
      </c>
      <c r="B22" s="76" t="s">
        <v>239</v>
      </c>
      <c r="C22" s="5" t="s">
        <v>205</v>
      </c>
      <c r="D22" s="63" t="s">
        <v>340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261</v>
      </c>
      <c r="B23" s="76" t="s">
        <v>240</v>
      </c>
      <c r="C23" s="5" t="s">
        <v>205</v>
      </c>
      <c r="D23" s="63" t="s">
        <v>340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261</v>
      </c>
      <c r="B24" s="77" t="s">
        <v>241</v>
      </c>
      <c r="C24" s="5" t="s">
        <v>205</v>
      </c>
      <c r="D24" s="63" t="s">
        <v>340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261</v>
      </c>
      <c r="B25" s="75" t="s">
        <v>237</v>
      </c>
      <c r="C25" s="5"/>
      <c r="D25" s="63" t="s">
        <v>343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261</v>
      </c>
      <c r="B26" s="76" t="s">
        <v>242</v>
      </c>
      <c r="C26" s="5" t="s">
        <v>205</v>
      </c>
      <c r="D26" s="63" t="s">
        <v>340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261</v>
      </c>
      <c r="B27" s="76" t="s">
        <v>243</v>
      </c>
      <c r="C27" s="5" t="s">
        <v>205</v>
      </c>
      <c r="D27" s="63" t="s">
        <v>340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261</v>
      </c>
      <c r="B28" s="76" t="s">
        <v>244</v>
      </c>
      <c r="C28" s="5" t="s">
        <v>205</v>
      </c>
      <c r="D28" s="63" t="s">
        <v>340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261</v>
      </c>
      <c r="B29" s="77" t="s">
        <v>245</v>
      </c>
      <c r="C29" s="5" t="s">
        <v>205</v>
      </c>
      <c r="D29" s="63" t="s">
        <v>340</v>
      </c>
      <c r="E29" s="55"/>
      <c r="F29" s="88"/>
      <c r="G29" s="89"/>
      <c r="H29" s="90"/>
      <c r="I29" s="96"/>
      <c r="J29" s="97"/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261</v>
      </c>
      <c r="B30" s="75" t="s">
        <v>185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261</v>
      </c>
      <c r="B31" s="142" t="s">
        <v>246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261</v>
      </c>
      <c r="B32" s="76" t="s">
        <v>247</v>
      </c>
      <c r="C32" s="5" t="s">
        <v>205</v>
      </c>
      <c r="D32" s="63" t="s">
        <v>340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261</v>
      </c>
      <c r="B33" s="76" t="s">
        <v>248</v>
      </c>
      <c r="C33" s="5" t="s">
        <v>205</v>
      </c>
      <c r="D33" s="63" t="s">
        <v>340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261</v>
      </c>
      <c r="B34" s="77" t="s">
        <v>249</v>
      </c>
      <c r="C34" s="5" t="s">
        <v>205</v>
      </c>
      <c r="D34" s="63" t="s">
        <v>340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" thickBot="1">
      <c r="A35" s="71"/>
      <c r="B35" s="77" t="s">
        <v>234</v>
      </c>
      <c r="C35" s="5"/>
      <c r="D35" s="193"/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/>
      <c r="P35" s="123">
        <v>5</v>
      </c>
      <c r="Q35" s="124">
        <v>15</v>
      </c>
      <c r="R35" s="112"/>
      <c r="S35" s="113">
        <v>10</v>
      </c>
      <c r="T35" s="114">
        <v>20</v>
      </c>
    </row>
    <row r="36" spans="1:21" ht="15.75" thickBot="1">
      <c r="A36" s="72" t="s">
        <v>261</v>
      </c>
      <c r="B36" s="78" t="s">
        <v>250</v>
      </c>
      <c r="C36" s="7" t="s">
        <v>205</v>
      </c>
      <c r="D36" s="64" t="s">
        <v>343</v>
      </c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>
        <v>20</v>
      </c>
      <c r="P36" s="123"/>
      <c r="Q36" s="124"/>
      <c r="R36" s="112"/>
      <c r="S36" s="113"/>
      <c r="T36" s="114"/>
    </row>
    <row r="37" spans="1:21">
      <c r="E37" s="71" t="s">
        <v>268</v>
      </c>
      <c r="F37" s="91">
        <f t="shared" ref="F37:T37" si="0">SUM(F$20:F$36)</f>
        <v>50</v>
      </c>
      <c r="G37" s="91">
        <f t="shared" si="0"/>
        <v>65</v>
      </c>
      <c r="H37" s="91">
        <f t="shared" si="0"/>
        <v>10</v>
      </c>
      <c r="I37" s="99">
        <f t="shared" si="0"/>
        <v>30</v>
      </c>
      <c r="J37" s="99">
        <f t="shared" si="0"/>
        <v>60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269</v>
      </c>
      <c r="F38" s="89">
        <v>261</v>
      </c>
      <c r="G38" s="89">
        <v>66</v>
      </c>
      <c r="H38" s="89">
        <v>37</v>
      </c>
      <c r="I38" s="97">
        <v>82</v>
      </c>
      <c r="J38" s="97">
        <v>49</v>
      </c>
      <c r="K38" s="97">
        <v>32</v>
      </c>
      <c r="L38" s="105">
        <v>90</v>
      </c>
      <c r="M38" s="105">
        <v>55</v>
      </c>
      <c r="N38" s="105">
        <v>33</v>
      </c>
      <c r="O38" s="123">
        <v>243</v>
      </c>
      <c r="P38" s="123">
        <v>79</v>
      </c>
      <c r="Q38" s="123">
        <v>69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117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11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31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207" t="s">
        <v>294</v>
      </c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8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19.701492537313431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55.522388059701491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50.285714285714285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141.71428571428572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19.918918918918916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56.13513513513513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204" t="s">
        <v>293</v>
      </c>
      <c r="H45" s="205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6"/>
      <c r="U45" s="134" t="s">
        <v>295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122.54328358208954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345.34925373134325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771.11753731343276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312.77714285714285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881.46285714285716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1563.8857142857144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103.97675675675673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293.02540540540537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902.18216216216206</v>
      </c>
    </row>
  </sheetData>
  <mergeCells count="9">
    <mergeCell ref="G45:T45"/>
    <mergeCell ref="G40:T40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177</v>
      </c>
      <c r="J1" s="79" t="s">
        <v>22</v>
      </c>
      <c r="K1" s="79" t="s">
        <v>56</v>
      </c>
      <c r="L1" s="79" t="s">
        <v>55</v>
      </c>
      <c r="M1" s="79" t="s">
        <v>181</v>
      </c>
      <c r="N1" s="79" t="s">
        <v>178</v>
      </c>
      <c r="O1" s="79" t="s">
        <v>183</v>
      </c>
      <c r="P1" s="79" t="s">
        <v>24</v>
      </c>
      <c r="Q1" s="79" t="s">
        <v>256</v>
      </c>
      <c r="R1" s="79" t="s">
        <v>270</v>
      </c>
      <c r="S1" s="79" t="s">
        <v>131</v>
      </c>
      <c r="T1" s="79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332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257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228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299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257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298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275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282</v>
      </c>
    </row>
    <row r="2" spans="1:23">
      <c r="R2" s="230" t="s">
        <v>286</v>
      </c>
      <c r="S2" s="230"/>
      <c r="T2" s="230"/>
      <c r="U2" s="230"/>
      <c r="V2" s="230"/>
      <c r="W2" s="230"/>
    </row>
    <row r="3" spans="1:23" ht="15" thickBot="1">
      <c r="B3" s="11" t="s">
        <v>69</v>
      </c>
      <c r="G3" s="11" t="s">
        <v>272</v>
      </c>
      <c r="H3" s="11" t="s">
        <v>143</v>
      </c>
      <c r="Q3" s="6" t="s">
        <v>33</v>
      </c>
      <c r="R3" s="127" t="s">
        <v>287</v>
      </c>
      <c r="S3" s="128" t="s">
        <v>288</v>
      </c>
      <c r="T3" s="128" t="s">
        <v>289</v>
      </c>
      <c r="U3" s="128" t="s">
        <v>290</v>
      </c>
      <c r="V3" s="128" t="s">
        <v>291</v>
      </c>
      <c r="W3" s="129" t="s">
        <v>292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284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283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305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273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275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E23"/>
  <sheetViews>
    <sheetView topLeftCell="B5" zoomScale="115" zoomScaleNormal="115" workbookViewId="0">
      <selection activeCell="D10" sqref="D10"/>
    </sheetView>
  </sheetViews>
  <sheetFormatPr defaultRowHeight="14.25"/>
  <cols>
    <col min="1" max="1" width="17" customWidth="1"/>
    <col min="2" max="2" width="24" customWidth="1"/>
    <col min="3" max="3" width="24.375" customWidth="1"/>
    <col min="4" max="4" width="25.5" customWidth="1"/>
    <col min="5" max="5" width="25.875" customWidth="1"/>
    <col min="6" max="6" width="24" customWidth="1"/>
    <col min="7" max="7" width="24.375" customWidth="1"/>
    <col min="8" max="8" width="25.5" customWidth="1"/>
    <col min="9" max="9" width="25.875" customWidth="1"/>
    <col min="10" max="10" width="25.5" customWidth="1"/>
    <col min="11" max="11" width="25.875" customWidth="1"/>
    <col min="12" max="12" width="28.125" customWidth="1"/>
    <col min="13" max="13" width="28.625" customWidth="1"/>
    <col min="14" max="14" width="27.125" customWidth="1"/>
    <col min="15" max="15" width="27.5" customWidth="1"/>
    <col min="16" max="16" width="24" customWidth="1"/>
    <col min="17" max="17" width="24.375" customWidth="1"/>
    <col min="18" max="18" width="25.5" customWidth="1"/>
    <col min="19" max="19" width="25.875" customWidth="1"/>
    <col min="20" max="20" width="24" customWidth="1"/>
    <col min="21" max="21" width="24.375" customWidth="1"/>
    <col min="22" max="22" width="25.5" customWidth="1"/>
    <col min="23" max="23" width="25.875" customWidth="1"/>
    <col min="24" max="24" width="25.5" customWidth="1"/>
    <col min="25" max="25" width="25.875" customWidth="1"/>
    <col min="26" max="26" width="27.125" customWidth="1"/>
    <col min="27" max="27" width="27.5" customWidth="1"/>
    <col min="28" max="28" width="28.125" customWidth="1"/>
    <col min="29" max="29" width="28.625" customWidth="1"/>
    <col min="30" max="30" width="31.125" customWidth="1"/>
    <col min="31" max="31" width="31.5" customWidth="1"/>
    <col min="32" max="32" width="23.875" customWidth="1"/>
    <col min="33" max="33" width="24.125" customWidth="1"/>
    <col min="34" max="34" width="25.5" customWidth="1"/>
    <col min="35" max="35" width="25.75" customWidth="1"/>
    <col min="36" max="36" width="25.5" customWidth="1"/>
    <col min="37" max="37" width="25.75" customWidth="1"/>
    <col min="38" max="38" width="27" customWidth="1"/>
    <col min="39" max="39" width="27.375" customWidth="1"/>
    <col min="40" max="40" width="28" customWidth="1"/>
    <col min="41" max="41" width="28.375" customWidth="1"/>
    <col min="42" max="42" width="31.125" customWidth="1"/>
    <col min="43" max="43" width="31.375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31">
      <c r="A3" s="11" t="s">
        <v>33</v>
      </c>
      <c r="B3" s="202">
        <v>0.2</v>
      </c>
    </row>
    <row r="5" spans="1:31">
      <c r="B5" s="11" t="s">
        <v>143</v>
      </c>
    </row>
    <row r="6" spans="1:31">
      <c r="B6" s="15">
        <v>0</v>
      </c>
      <c r="N6" s="15" t="s">
        <v>831</v>
      </c>
      <c r="O6" s="15" t="s">
        <v>832</v>
      </c>
      <c r="P6" s="15">
        <v>0.2</v>
      </c>
      <c r="AB6" s="15" t="s">
        <v>833</v>
      </c>
      <c r="AC6" s="15" t="s">
        <v>834</v>
      </c>
      <c r="AD6" s="15" t="s">
        <v>823</v>
      </c>
      <c r="AE6" s="15" t="s">
        <v>824</v>
      </c>
    </row>
    <row r="7" spans="1:31">
      <c r="B7" s="15">
        <v>0.2</v>
      </c>
      <c r="L7" s="15" t="s">
        <v>833</v>
      </c>
      <c r="M7" s="15" t="s">
        <v>834</v>
      </c>
      <c r="P7" s="15">
        <v>0</v>
      </c>
      <c r="Z7" s="15" t="s">
        <v>831</v>
      </c>
      <c r="AA7" s="15" t="s">
        <v>832</v>
      </c>
    </row>
    <row r="8" spans="1:31">
      <c r="B8" s="50">
        <v>2</v>
      </c>
      <c r="J8" s="50" t="s">
        <v>825</v>
      </c>
      <c r="K8" s="50" t="s">
        <v>826</v>
      </c>
      <c r="P8" s="50">
        <v>2</v>
      </c>
      <c r="X8" s="50" t="s">
        <v>825</v>
      </c>
      <c r="Y8" s="50" t="s">
        <v>826</v>
      </c>
    </row>
    <row r="9" spans="1:31">
      <c r="B9" s="50">
        <v>0</v>
      </c>
      <c r="D9" s="50" t="s">
        <v>827</v>
      </c>
      <c r="E9" s="50" t="s">
        <v>828</v>
      </c>
      <c r="F9" s="50">
        <v>1</v>
      </c>
      <c r="H9" s="50" t="s">
        <v>829</v>
      </c>
      <c r="I9" s="50" t="s">
        <v>830</v>
      </c>
      <c r="P9" s="50">
        <v>0</v>
      </c>
      <c r="R9" s="50" t="s">
        <v>827</v>
      </c>
      <c r="S9" s="50" t="s">
        <v>828</v>
      </c>
      <c r="T9" s="50">
        <v>1</v>
      </c>
      <c r="V9" s="50" t="s">
        <v>829</v>
      </c>
      <c r="W9" s="50" t="s">
        <v>830</v>
      </c>
    </row>
    <row r="10" spans="1:31">
      <c r="B10" s="50">
        <v>1</v>
      </c>
      <c r="F10" s="50">
        <v>0</v>
      </c>
      <c r="P10" s="50">
        <v>1</v>
      </c>
      <c r="T10" s="50">
        <v>0</v>
      </c>
    </row>
    <row r="11" spans="1:31">
      <c r="A11" s="11" t="s">
        <v>65</v>
      </c>
      <c r="B11" t="s">
        <v>821</v>
      </c>
      <c r="C11" t="s">
        <v>822</v>
      </c>
      <c r="F11" t="s">
        <v>821</v>
      </c>
      <c r="G11" t="s">
        <v>822</v>
      </c>
      <c r="P11" t="s">
        <v>821</v>
      </c>
      <c r="Q11" t="s">
        <v>822</v>
      </c>
      <c r="T11" t="s">
        <v>821</v>
      </c>
      <c r="U11" t="s">
        <v>822</v>
      </c>
    </row>
    <row r="12" spans="1:31">
      <c r="A12" s="202">
        <v>0</v>
      </c>
      <c r="B12" s="43">
        <v>2997.0600000000004</v>
      </c>
      <c r="C12" s="43">
        <v>2926.68</v>
      </c>
      <c r="D12" s="43">
        <v>2997.0600000000004</v>
      </c>
      <c r="E12" s="43">
        <v>2926.68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2997.0600000000004</v>
      </c>
      <c r="K12" s="43">
        <v>2926.68</v>
      </c>
      <c r="L12" s="43">
        <v>2997.0600000000004</v>
      </c>
      <c r="M12" s="43">
        <v>2926.68</v>
      </c>
      <c r="N12" s="43">
        <v>2997.0600000000004</v>
      </c>
      <c r="O12" s="43">
        <v>2926.68</v>
      </c>
      <c r="P12" s="43">
        <v>2999.9</v>
      </c>
      <c r="Q12" s="43">
        <v>3022.5199999999995</v>
      </c>
      <c r="R12" s="43">
        <v>2999.9</v>
      </c>
      <c r="S12" s="43">
        <v>3022.5199999999995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  <c r="X12" s="43">
        <v>2999.9</v>
      </c>
      <c r="Y12" s="43">
        <v>3022.5199999999995</v>
      </c>
      <c r="Z12" s="43">
        <v>2999.9</v>
      </c>
      <c r="AA12" s="43">
        <v>3022.5199999999995</v>
      </c>
      <c r="AB12" s="43">
        <v>2999.9</v>
      </c>
      <c r="AC12" s="43">
        <v>3022.5199999999995</v>
      </c>
      <c r="AD12" s="43">
        <v>2999.9</v>
      </c>
      <c r="AE12" s="43">
        <v>3022.5199999999995</v>
      </c>
    </row>
    <row r="13" spans="1:31">
      <c r="A13" s="202">
        <v>0.1</v>
      </c>
      <c r="B13" s="43">
        <v>3143.36</v>
      </c>
      <c r="C13" s="43">
        <v>3118.08</v>
      </c>
      <c r="D13" s="43">
        <v>3143.36</v>
      </c>
      <c r="E13" s="43">
        <v>3118.08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3143.36</v>
      </c>
      <c r="K13" s="43">
        <v>3118.08</v>
      </c>
      <c r="L13" s="43">
        <v>3143.36</v>
      </c>
      <c r="M13" s="43">
        <v>3118.08</v>
      </c>
      <c r="N13" s="43">
        <v>3143.36</v>
      </c>
      <c r="O13" s="43">
        <v>3118.08</v>
      </c>
      <c r="P13" s="43">
        <v>3114.4</v>
      </c>
      <c r="Q13" s="43">
        <v>3197.12</v>
      </c>
      <c r="R13" s="43">
        <v>3114.4</v>
      </c>
      <c r="S13" s="43">
        <v>3197.12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  <c r="X13" s="43">
        <v>3114.4</v>
      </c>
      <c r="Y13" s="43">
        <v>3197.12</v>
      </c>
      <c r="Z13" s="43">
        <v>3114.4</v>
      </c>
      <c r="AA13" s="43">
        <v>3197.12</v>
      </c>
      <c r="AB13" s="43">
        <v>3114.4</v>
      </c>
      <c r="AC13" s="43">
        <v>3197.12</v>
      </c>
      <c r="AD13" s="43">
        <v>3143.36</v>
      </c>
      <c r="AE13" s="43">
        <v>3197.12</v>
      </c>
    </row>
    <row r="14" spans="1:31">
      <c r="A14" s="202">
        <v>0.2</v>
      </c>
      <c r="B14" s="43">
        <v>3289.66</v>
      </c>
      <c r="C14" s="43">
        <v>3309.48</v>
      </c>
      <c r="D14" s="43">
        <v>3289.66</v>
      </c>
      <c r="E14" s="43">
        <v>3309.48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3289.66</v>
      </c>
      <c r="K14" s="43">
        <v>3309.48</v>
      </c>
      <c r="L14" s="43">
        <v>3289.66</v>
      </c>
      <c r="M14" s="43">
        <v>3309.48</v>
      </c>
      <c r="N14" s="43">
        <v>3289.66</v>
      </c>
      <c r="O14" s="43">
        <v>3309.48</v>
      </c>
      <c r="P14" s="43">
        <v>3228.8999999999996</v>
      </c>
      <c r="Q14" s="43">
        <v>3371.7199999999993</v>
      </c>
      <c r="R14" s="43">
        <v>3228.8999999999996</v>
      </c>
      <c r="S14" s="43">
        <v>3371.7199999999993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  <c r="X14" s="43">
        <v>3334.0109999999995</v>
      </c>
      <c r="Y14" s="43">
        <v>3371.7199999999993</v>
      </c>
      <c r="Z14" s="43">
        <v>3334.0109999999995</v>
      </c>
      <c r="AA14" s="43">
        <v>3371.7199999999993</v>
      </c>
      <c r="AB14" s="43">
        <v>3334.0109999999995</v>
      </c>
      <c r="AC14" s="43">
        <v>3371.7199999999993</v>
      </c>
      <c r="AD14" s="43">
        <v>3334.0109999999995</v>
      </c>
      <c r="AE14" s="43">
        <v>3371.7199999999993</v>
      </c>
    </row>
    <row r="15" spans="1:31">
      <c r="A15" s="202">
        <v>0.3</v>
      </c>
      <c r="B15" s="43">
        <v>3435.9600000000005</v>
      </c>
      <c r="C15" s="43">
        <v>3500.88</v>
      </c>
      <c r="D15" s="43">
        <v>3435.9600000000005</v>
      </c>
      <c r="E15" s="43">
        <v>3500.88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3500.88</v>
      </c>
      <c r="L15" s="43">
        <v>3483.8209999999999</v>
      </c>
      <c r="M15" s="43">
        <v>3500.88</v>
      </c>
      <c r="N15" s="43">
        <v>3483.8209999999999</v>
      </c>
      <c r="O15" s="43">
        <v>3500.88</v>
      </c>
      <c r="P15" s="43">
        <v>3343.4000000000005</v>
      </c>
      <c r="Q15" s="43">
        <v>3546.32</v>
      </c>
      <c r="R15" s="43">
        <v>3343.4000000000005</v>
      </c>
      <c r="S15" s="43">
        <v>3546.32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  <c r="X15" s="43">
        <v>3556.1409999999992</v>
      </c>
      <c r="Y15" s="43">
        <v>3546.32</v>
      </c>
      <c r="Z15" s="43">
        <v>3556.1409999999992</v>
      </c>
      <c r="AA15" s="43">
        <v>3546.32</v>
      </c>
      <c r="AB15" s="43">
        <v>3556.1409999999992</v>
      </c>
      <c r="AC15" s="43">
        <v>3546.32</v>
      </c>
      <c r="AD15" s="43">
        <v>3556.1409999999992</v>
      </c>
      <c r="AE15" s="43">
        <v>3546.32</v>
      </c>
    </row>
    <row r="16" spans="1:31">
      <c r="A16" s="202">
        <v>0.4</v>
      </c>
      <c r="B16" s="43">
        <v>3553</v>
      </c>
      <c r="C16" s="43">
        <v>3654</v>
      </c>
      <c r="D16" s="43">
        <v>3553</v>
      </c>
      <c r="E16" s="43">
        <v>3654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3654</v>
      </c>
      <c r="L16" s="43">
        <v>3728.3510000000001</v>
      </c>
      <c r="M16" s="43">
        <v>3654</v>
      </c>
      <c r="N16" s="43">
        <v>3728.3510000000001</v>
      </c>
      <c r="O16" s="43">
        <v>3654</v>
      </c>
      <c r="P16" s="43">
        <v>3435</v>
      </c>
      <c r="Q16" s="43">
        <v>3686</v>
      </c>
      <c r="R16" s="43">
        <v>3435</v>
      </c>
      <c r="S16" s="43">
        <v>3686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  <c r="X16" s="43">
        <v>3778.2710000000002</v>
      </c>
      <c r="Y16" s="43">
        <v>3720.7259999999997</v>
      </c>
      <c r="Z16" s="43">
        <v>3778.2710000000002</v>
      </c>
      <c r="AA16" s="43">
        <v>3720.7259999999997</v>
      </c>
      <c r="AB16" s="43">
        <v>3778.2710000000002</v>
      </c>
      <c r="AC16" s="43">
        <v>3720.7259999999997</v>
      </c>
      <c r="AD16" s="43">
        <v>3778.2710000000002</v>
      </c>
      <c r="AE16" s="43">
        <v>3720.7259999999997</v>
      </c>
    </row>
    <row r="17" spans="1:31">
      <c r="A17" s="202">
        <v>0.5</v>
      </c>
      <c r="B17" s="43">
        <v>3553</v>
      </c>
      <c r="C17" s="43">
        <v>3654</v>
      </c>
      <c r="D17" s="43">
        <v>3553</v>
      </c>
      <c r="E17" s="43">
        <v>3654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3972.8809999999999</v>
      </c>
      <c r="M17" s="43">
        <v>3843.4859999999999</v>
      </c>
      <c r="N17" s="43">
        <v>3972.8809999999999</v>
      </c>
      <c r="O17" s="43">
        <v>3843.4859999999999</v>
      </c>
      <c r="P17" s="43">
        <v>3435</v>
      </c>
      <c r="Q17" s="43">
        <v>3686</v>
      </c>
      <c r="R17" s="43">
        <v>3435</v>
      </c>
      <c r="S17" s="43">
        <v>3686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  <c r="X17" s="43">
        <v>4000.4009999999998</v>
      </c>
      <c r="Y17" s="43">
        <v>3986.5059999999999</v>
      </c>
      <c r="Z17" s="43">
        <v>4000.4009999999998</v>
      </c>
      <c r="AA17" s="43">
        <v>3986.5059999999999</v>
      </c>
      <c r="AB17" s="43">
        <v>4000.4009999999998</v>
      </c>
      <c r="AC17" s="43">
        <v>3986.5059999999999</v>
      </c>
      <c r="AD17" s="43">
        <v>4000.4009999999998</v>
      </c>
      <c r="AE17" s="43">
        <v>3986.5059999999999</v>
      </c>
    </row>
    <row r="18" spans="1:31">
      <c r="A18" s="202">
        <v>0.6</v>
      </c>
      <c r="B18" s="43">
        <v>3553</v>
      </c>
      <c r="C18" s="43">
        <v>3654</v>
      </c>
      <c r="D18" s="43">
        <v>3553</v>
      </c>
      <c r="E18" s="43">
        <v>3654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4217.4110000000001</v>
      </c>
      <c r="M18" s="43">
        <v>4116.6660000000002</v>
      </c>
      <c r="N18" s="43">
        <v>4217.4110000000001</v>
      </c>
      <c r="O18" s="43">
        <v>4116.6660000000002</v>
      </c>
      <c r="P18" s="43">
        <v>3435</v>
      </c>
      <c r="Q18" s="43">
        <v>3686</v>
      </c>
      <c r="R18" s="43">
        <v>3435</v>
      </c>
      <c r="S18" s="43">
        <v>3686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  <c r="X18" s="43">
        <v>4222.5309999999999</v>
      </c>
      <c r="Y18" s="43">
        <v>4252.2860000000001</v>
      </c>
      <c r="Z18" s="43">
        <v>4222.5309999999999</v>
      </c>
      <c r="AA18" s="43">
        <v>4252.2860000000001</v>
      </c>
      <c r="AB18" s="43">
        <v>4222.5309999999999</v>
      </c>
      <c r="AC18" s="43">
        <v>4252.2860000000001</v>
      </c>
      <c r="AD18" s="43">
        <v>4222.5309999999999</v>
      </c>
      <c r="AE18" s="43">
        <v>4252.2860000000001</v>
      </c>
    </row>
    <row r="19" spans="1:31">
      <c r="A19" s="202">
        <v>0.7</v>
      </c>
      <c r="B19" s="43">
        <v>3553</v>
      </c>
      <c r="C19" s="43">
        <v>3654</v>
      </c>
      <c r="D19" s="43">
        <v>3553</v>
      </c>
      <c r="E19" s="43">
        <v>3654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4461.9409999999998</v>
      </c>
      <c r="M19" s="43">
        <v>4389.8459999999995</v>
      </c>
      <c r="N19" s="43">
        <v>4461.9409999999998</v>
      </c>
      <c r="O19" s="43">
        <v>4389.8459999999995</v>
      </c>
      <c r="P19" s="43">
        <v>3435</v>
      </c>
      <c r="Q19" s="43">
        <v>3686</v>
      </c>
      <c r="R19" s="43">
        <v>3435</v>
      </c>
      <c r="S19" s="43">
        <v>3686</v>
      </c>
      <c r="T19" s="43">
        <v>4444.6610000000001</v>
      </c>
      <c r="U19" s="43">
        <v>4518.0659999999998</v>
      </c>
      <c r="V19" s="43">
        <v>4444.6610000000001</v>
      </c>
      <c r="W19" s="43">
        <v>4518.0659999999998</v>
      </c>
      <c r="X19" s="43">
        <v>4444.6610000000001</v>
      </c>
      <c r="Y19" s="43">
        <v>4518.0659999999998</v>
      </c>
      <c r="Z19" s="43">
        <v>4444.6610000000001</v>
      </c>
      <c r="AA19" s="43">
        <v>4518.0659999999998</v>
      </c>
      <c r="AB19" s="43">
        <v>4444.6610000000001</v>
      </c>
      <c r="AC19" s="43">
        <v>4518.0659999999998</v>
      </c>
      <c r="AD19" s="43">
        <v>4461.9409999999998</v>
      </c>
      <c r="AE19" s="43">
        <v>4518.0659999999998</v>
      </c>
    </row>
    <row r="20" spans="1:31">
      <c r="A20" s="202">
        <v>0.8</v>
      </c>
      <c r="B20" s="43">
        <v>3553</v>
      </c>
      <c r="C20" s="43">
        <v>3654</v>
      </c>
      <c r="D20" s="43">
        <v>3553</v>
      </c>
      <c r="E20" s="43">
        <v>3654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4535.3</v>
      </c>
      <c r="M20" s="43">
        <v>4471.7999999999993</v>
      </c>
      <c r="N20" s="43">
        <v>4535.3</v>
      </c>
      <c r="O20" s="43">
        <v>4471.7999999999993</v>
      </c>
      <c r="P20" s="43">
        <v>3435</v>
      </c>
      <c r="Q20" s="43">
        <v>3686</v>
      </c>
      <c r="R20" s="43">
        <v>3435</v>
      </c>
      <c r="S20" s="43">
        <v>3686</v>
      </c>
      <c r="T20" s="43">
        <v>4511.3</v>
      </c>
      <c r="U20" s="43">
        <v>4597.8</v>
      </c>
      <c r="V20" s="43">
        <v>4511.3</v>
      </c>
      <c r="W20" s="43">
        <v>4597.8</v>
      </c>
      <c r="X20" s="43">
        <v>4511.3</v>
      </c>
      <c r="Y20" s="43">
        <v>4597.8</v>
      </c>
      <c r="Z20" s="43">
        <v>4511.3</v>
      </c>
      <c r="AA20" s="43">
        <v>4597.8</v>
      </c>
      <c r="AB20" s="43">
        <v>4511.3</v>
      </c>
      <c r="AC20" s="43">
        <v>4597.8</v>
      </c>
      <c r="AD20" s="43">
        <v>4535.3</v>
      </c>
      <c r="AE20" s="43">
        <v>4597.8</v>
      </c>
    </row>
    <row r="21" spans="1:31">
      <c r="A21" s="202">
        <v>0.9</v>
      </c>
      <c r="B21" s="43">
        <v>3553</v>
      </c>
      <c r="C21" s="43">
        <v>3654</v>
      </c>
      <c r="D21" s="43">
        <v>3553</v>
      </c>
      <c r="E21" s="43">
        <v>3654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4535.3</v>
      </c>
      <c r="M21" s="43">
        <v>4471.7999999999993</v>
      </c>
      <c r="N21" s="43">
        <v>4535.3</v>
      </c>
      <c r="O21" s="43">
        <v>4471.7999999999993</v>
      </c>
      <c r="P21" s="43">
        <v>3435</v>
      </c>
      <c r="Q21" s="43">
        <v>3686</v>
      </c>
      <c r="R21" s="43">
        <v>3435</v>
      </c>
      <c r="S21" s="43">
        <v>3686</v>
      </c>
      <c r="T21" s="43">
        <v>4511.3</v>
      </c>
      <c r="U21" s="43">
        <v>4597.8</v>
      </c>
      <c r="V21" s="43">
        <v>4511.3</v>
      </c>
      <c r="W21" s="43">
        <v>4597.8</v>
      </c>
      <c r="X21" s="43">
        <v>4511.3</v>
      </c>
      <c r="Y21" s="43">
        <v>4597.8</v>
      </c>
      <c r="Z21" s="43">
        <v>4511.3</v>
      </c>
      <c r="AA21" s="43">
        <v>4597.8</v>
      </c>
      <c r="AB21" s="43">
        <v>4511.3</v>
      </c>
      <c r="AC21" s="43">
        <v>4597.8</v>
      </c>
      <c r="AD21" s="43">
        <v>4535.3</v>
      </c>
      <c r="AE21" s="43">
        <v>4597.8</v>
      </c>
    </row>
    <row r="22" spans="1:31">
      <c r="A22" s="202">
        <v>1</v>
      </c>
      <c r="B22" s="43">
        <v>3553</v>
      </c>
      <c r="C22" s="43">
        <v>3654</v>
      </c>
      <c r="D22" s="43">
        <v>3553</v>
      </c>
      <c r="E22" s="43">
        <v>3654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4535.3</v>
      </c>
      <c r="M22" s="43">
        <v>4471.7999999999993</v>
      </c>
      <c r="N22" s="43">
        <v>4535.3</v>
      </c>
      <c r="O22" s="43">
        <v>4471.7999999999993</v>
      </c>
      <c r="P22" s="43">
        <v>3435</v>
      </c>
      <c r="Q22" s="43">
        <v>3686</v>
      </c>
      <c r="R22" s="43">
        <v>3435</v>
      </c>
      <c r="S22" s="43">
        <v>3686</v>
      </c>
      <c r="T22" s="43">
        <v>4511.3</v>
      </c>
      <c r="U22" s="43">
        <v>4597.8</v>
      </c>
      <c r="V22" s="43">
        <v>4511.3</v>
      </c>
      <c r="W22" s="43">
        <v>4597.8</v>
      </c>
      <c r="X22" s="43">
        <v>4511.3</v>
      </c>
      <c r="Y22" s="43">
        <v>4597.8</v>
      </c>
      <c r="Z22" s="43">
        <v>4511.3</v>
      </c>
      <c r="AA22" s="43">
        <v>4597.8</v>
      </c>
      <c r="AB22" s="43">
        <v>4511.3</v>
      </c>
      <c r="AC22" s="43">
        <v>4597.8</v>
      </c>
      <c r="AD22" s="43">
        <v>4535.3</v>
      </c>
      <c r="AE22" s="43">
        <v>4597.8</v>
      </c>
    </row>
    <row r="23" spans="1:31">
      <c r="A23" s="202" t="s">
        <v>67</v>
      </c>
      <c r="B23" s="43">
        <v>3553</v>
      </c>
      <c r="C23" s="43">
        <v>3654</v>
      </c>
      <c r="D23" s="43">
        <v>3553</v>
      </c>
      <c r="E23" s="43">
        <v>3654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4535.3</v>
      </c>
      <c r="M23" s="43">
        <v>4471.7999999999993</v>
      </c>
      <c r="N23" s="43">
        <v>4535.3</v>
      </c>
      <c r="O23" s="43">
        <v>4471.7999999999993</v>
      </c>
      <c r="P23" s="43">
        <v>3435</v>
      </c>
      <c r="Q23" s="43">
        <v>3686</v>
      </c>
      <c r="R23" s="43">
        <v>3435</v>
      </c>
      <c r="S23" s="43">
        <v>3686</v>
      </c>
      <c r="T23" s="43">
        <v>4511.3</v>
      </c>
      <c r="U23" s="43">
        <v>4597.8</v>
      </c>
      <c r="V23" s="43">
        <v>4511.3</v>
      </c>
      <c r="W23" s="43">
        <v>4597.8</v>
      </c>
      <c r="X23" s="43">
        <v>4511.3</v>
      </c>
      <c r="Y23" s="43">
        <v>4597.8</v>
      </c>
      <c r="Z23" s="43">
        <v>4511.3</v>
      </c>
      <c r="AA23" s="43">
        <v>4597.8</v>
      </c>
      <c r="AB23" s="43">
        <v>4511.3</v>
      </c>
      <c r="AC23" s="43">
        <v>4597.8</v>
      </c>
      <c r="AD23" s="43">
        <v>4535.3</v>
      </c>
      <c r="AE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O39" sqref="O39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46" t="s">
        <v>113</v>
      </c>
      <c r="B1" s="147" t="s">
        <v>112</v>
      </c>
      <c r="C1" s="148" t="s">
        <v>313</v>
      </c>
      <c r="D1" s="148" t="s">
        <v>314</v>
      </c>
      <c r="E1" s="148" t="s">
        <v>315</v>
      </c>
      <c r="F1" s="147" t="s">
        <v>111</v>
      </c>
      <c r="G1" s="147" t="s">
        <v>110</v>
      </c>
      <c r="H1" s="147" t="s">
        <v>109</v>
      </c>
      <c r="I1" s="147" t="s">
        <v>108</v>
      </c>
      <c r="J1" s="147" t="s">
        <v>107</v>
      </c>
      <c r="K1" s="147" t="s">
        <v>106</v>
      </c>
      <c r="L1" s="147" t="s">
        <v>105</v>
      </c>
      <c r="M1" s="149" t="s">
        <v>104</v>
      </c>
      <c r="N1" s="147" t="s">
        <v>103</v>
      </c>
      <c r="O1" s="147" t="s">
        <v>102</v>
      </c>
      <c r="P1" s="147" t="s">
        <v>101</v>
      </c>
      <c r="Q1" s="147" t="s">
        <v>100</v>
      </c>
      <c r="R1" s="148" t="s">
        <v>316</v>
      </c>
      <c r="S1" s="147" t="s">
        <v>99</v>
      </c>
      <c r="T1" s="150" t="s">
        <v>98</v>
      </c>
      <c r="U1" s="149" t="s">
        <v>97</v>
      </c>
      <c r="V1" s="35"/>
      <c r="W1" s="35"/>
      <c r="X1" s="143" t="s">
        <v>310</v>
      </c>
      <c r="Y1" s="143" t="s">
        <v>307</v>
      </c>
      <c r="Z1" s="143" t="s">
        <v>308</v>
      </c>
      <c r="AA1" s="143" t="s">
        <v>309</v>
      </c>
      <c r="AB1" s="153" t="s">
        <v>355</v>
      </c>
      <c r="AC1" s="35"/>
      <c r="AD1" s="35"/>
      <c r="AE1" s="35"/>
      <c r="AP1" s="143"/>
      <c r="AQ1" s="143"/>
    </row>
    <row r="2" spans="1:47" ht="15" thickBot="1">
      <c r="A2" s="144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818</v>
      </c>
      <c r="AH2" s="15" t="s">
        <v>820</v>
      </c>
      <c r="AI2" t="s">
        <v>819</v>
      </c>
      <c r="AJ2" s="15" t="s">
        <v>815</v>
      </c>
      <c r="AK2" s="15" t="s">
        <v>816</v>
      </c>
      <c r="AL2" s="15" t="s">
        <v>817</v>
      </c>
      <c r="AM2" s="15" t="s">
        <v>33</v>
      </c>
      <c r="AN2" s="15" t="s">
        <v>809</v>
      </c>
      <c r="AO2" t="s">
        <v>810</v>
      </c>
      <c r="AP2" t="s">
        <v>811</v>
      </c>
      <c r="AQ2" s="15" t="s">
        <v>812</v>
      </c>
      <c r="AR2" s="15" t="s">
        <v>813</v>
      </c>
      <c r="AS2" s="15" t="s">
        <v>814</v>
      </c>
      <c r="AT2" s="15" t="s">
        <v>835</v>
      </c>
      <c r="AU2" s="15" t="s">
        <v>836</v>
      </c>
    </row>
    <row r="3" spans="1:47" ht="15" thickBot="1">
      <c r="A3" s="144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51">
        <v>5172.027000000001</v>
      </c>
      <c r="U3" s="152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0">
        <f>$AG$3*(1+$AJ3*$Y$2+$AN3+0.35)*(MAXA(1-$AI$3-$AL3*$AA$3-$AP3-0.12,0)+MINA($AI$3+$AL3*$AA$3+$AP3+0.12,1)*(1+$AH$3+$AO3+$AK3*$Z$4))</f>
        <v>2637.3710000000001</v>
      </c>
      <c r="AR3" s="10">
        <f>$AG$3*(1+$AJ3*$Y$2+$AN3)*(MAXA(1-$AI$3-$AL3*$AA$3-$AP3-0.12,0)+MINA($AI$3+$AL3*$AA$3+$AP3+0.12,1)*(1+$AH$3+$AO3+$AK3*$Z$4+0.4))</f>
        <v>2383.6259999999997</v>
      </c>
      <c r="AS3" s="47">
        <f t="shared" ref="AS3:AS66" si="6">$AG$3*(1+$AJ3*$Y$2+$AN3)*(MAXA(1-$AI$3-$AL3*$AA$3-$AP3-0.36,0)+MINA($AI$3+$AL3*$AA$3+$AP3+0.36,1)*(1+$AH$3+$AO3+$AK3*$Z$4))</f>
        <v>2600.7779999999998</v>
      </c>
      <c r="AT3" s="47">
        <v>2889.7510000000002</v>
      </c>
      <c r="AU3" s="43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44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51">
        <v>5979.3678</v>
      </c>
      <c r="U4" s="152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0">
        <f t="shared" ref="AQ4:AQ67" si="12">$AG$3*(1+$AJ4*$Y$2+$AN4+0.35)*(MAXA(1-$AI$3-$AL4*$AA$3-$AP4-0.12,0)+MINA($AI$3+$AL4*$AA$3+$AP4+0.12,1)*(1+$AH$3+$AO4+$AK4*$Z$4))</f>
        <v>2840.1010000000001</v>
      </c>
      <c r="AR4" s="10">
        <f t="shared" ref="AR4:AR67" si="13">$AG$3*(1+$AJ4*$Y$2+$AN4)*(MAXA(1-$AI$3-$AL4*$AA$3-$AP4-0.12,0)+MINA($AI$3+$AL4*$AA$3+$AP4+0.12,1)*(1+$AH$3+$AO4+$AK4*$Z$4+0.4))</f>
        <v>2622.0059999999999</v>
      </c>
      <c r="AS4" s="47">
        <f t="shared" si="6"/>
        <v>2769.558</v>
      </c>
      <c r="AT4" s="47">
        <f t="shared" ref="AT4:AT35" si="14">$AG$3*(1+$AJ4*$Y$2+$AN4)*(MAXA(1-$AI$3-$AL4*$AA$3-$AP4-0.36,0)+2*MINA($AI$3+$AL4*$AA$3+$AP4+0.36,1)*(1+$AH$3+$AO4+$AK4*$Z$4))</f>
        <v>4860.5160000000005</v>
      </c>
      <c r="AU4" s="43">
        <f t="shared" si="7"/>
        <v>4147.8119999999999</v>
      </c>
    </row>
    <row r="5" spans="1:47" ht="15" thickBot="1">
      <c r="A5" s="144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51">
        <v>5859.1050000000014</v>
      </c>
      <c r="U5" s="152">
        <f t="shared" si="11"/>
        <v>-0.16462787405243662</v>
      </c>
      <c r="V5" s="18"/>
      <c r="W5" s="18"/>
      <c r="X5" s="145" t="s">
        <v>355</v>
      </c>
      <c r="Y5" s="145"/>
      <c r="Z5" s="145"/>
      <c r="AA5" s="145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0">
        <f t="shared" si="12"/>
        <v>3042.8309999999997</v>
      </c>
      <c r="AR5" s="10">
        <f t="shared" si="13"/>
        <v>2860.386</v>
      </c>
      <c r="AS5" s="47">
        <f t="shared" si="6"/>
        <v>2938.3379999999997</v>
      </c>
      <c r="AT5" s="47">
        <f t="shared" si="14"/>
        <v>5372.0759999999991</v>
      </c>
      <c r="AU5" s="43">
        <f t="shared" si="7"/>
        <v>4798.5719999999992</v>
      </c>
    </row>
    <row r="6" spans="1:47" ht="15" thickBot="1">
      <c r="A6" s="144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51">
        <v>5879.3385000000007</v>
      </c>
      <c r="U6" s="152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0">
        <f t="shared" si="12"/>
        <v>3245.5609999999992</v>
      </c>
      <c r="AR6" s="10">
        <f t="shared" si="13"/>
        <v>3098.7660000000001</v>
      </c>
      <c r="AS6" s="47">
        <f t="shared" si="6"/>
        <v>3107.1179999999999</v>
      </c>
      <c r="AT6" s="47">
        <f t="shared" si="14"/>
        <v>5883.6359999999995</v>
      </c>
      <c r="AU6" s="43">
        <f t="shared" si="7"/>
        <v>5449.3320000000003</v>
      </c>
    </row>
    <row r="7" spans="1:47" ht="15" thickBot="1">
      <c r="A7" s="144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51">
        <v>6862.3968000000004</v>
      </c>
      <c r="U7" s="152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0">
        <f t="shared" si="12"/>
        <v>3448.2910000000002</v>
      </c>
      <c r="AR7" s="10">
        <f t="shared" si="13"/>
        <v>3337.1459999999997</v>
      </c>
      <c r="AS7" s="47">
        <f t="shared" si="6"/>
        <v>3275.8979999999997</v>
      </c>
      <c r="AT7" s="47">
        <f t="shared" si="14"/>
        <v>6395.1959999999999</v>
      </c>
      <c r="AU7" s="43">
        <f t="shared" si="7"/>
        <v>6100.0920000000006</v>
      </c>
    </row>
    <row r="8" spans="1:47" ht="15" thickBot="1">
      <c r="A8" s="144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51">
        <v>6735.8717999999999</v>
      </c>
      <c r="U8" s="152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0">
        <f t="shared" si="12"/>
        <v>3651.0209999999997</v>
      </c>
      <c r="AR8" s="10">
        <f t="shared" si="13"/>
        <v>3575.5259999999998</v>
      </c>
      <c r="AS8" s="47">
        <f t="shared" si="6"/>
        <v>3427.7999999999997</v>
      </c>
      <c r="AT8" s="47">
        <f t="shared" si="14"/>
        <v>6855.5999999999995</v>
      </c>
      <c r="AU8" s="43">
        <f t="shared" si="7"/>
        <v>6750.8520000000008</v>
      </c>
    </row>
    <row r="9" spans="1:47" ht="15.75" thickBot="1">
      <c r="A9" s="144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51">
        <v>6928.9794000000002</v>
      </c>
      <c r="U9" s="152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0">
        <f t="shared" si="12"/>
        <v>3853.7510000000002</v>
      </c>
      <c r="AR9" s="10">
        <f t="shared" si="13"/>
        <v>3813.9059999999999</v>
      </c>
      <c r="AS9" s="47">
        <f t="shared" si="6"/>
        <v>3427.7999999999997</v>
      </c>
      <c r="AT9" s="47">
        <f t="shared" si="14"/>
        <v>6855.5999999999995</v>
      </c>
      <c r="AU9" s="43">
        <f t="shared" si="7"/>
        <v>7401.6120000000001</v>
      </c>
    </row>
    <row r="10" spans="1:47" ht="15" thickBot="1">
      <c r="A10" s="144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51">
        <v>7225.68</v>
      </c>
      <c r="U10" s="152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0">
        <f t="shared" si="12"/>
        <v>4056.4809999999998</v>
      </c>
      <c r="AR10" s="10">
        <f t="shared" si="13"/>
        <v>4052.2860000000001</v>
      </c>
      <c r="AS10" s="47">
        <f t="shared" si="6"/>
        <v>3427.7999999999997</v>
      </c>
      <c r="AT10" s="47">
        <f t="shared" si="14"/>
        <v>6855.5999999999995</v>
      </c>
      <c r="AU10" s="43">
        <f t="shared" si="7"/>
        <v>8052.3720000000012</v>
      </c>
    </row>
    <row r="11" spans="1:47" ht="15" thickBot="1">
      <c r="A11" s="144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51">
        <v>7291.3050000000003</v>
      </c>
      <c r="U11" s="152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0">
        <f t="shared" si="12"/>
        <v>4117.3</v>
      </c>
      <c r="AR11" s="10">
        <f t="shared" si="13"/>
        <v>4123.8</v>
      </c>
      <c r="AS11" s="47">
        <f t="shared" si="6"/>
        <v>3427.7999999999997</v>
      </c>
      <c r="AT11" s="47">
        <f t="shared" si="14"/>
        <v>6855.5999999999995</v>
      </c>
      <c r="AU11" s="43">
        <f t="shared" si="7"/>
        <v>8247.6</v>
      </c>
    </row>
    <row r="12" spans="1:47" ht="15" thickBot="1">
      <c r="A12" s="144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51">
        <v>7331.4150000000018</v>
      </c>
      <c r="U12" s="152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0">
        <f t="shared" si="12"/>
        <v>4117.3</v>
      </c>
      <c r="AR12" s="10">
        <f t="shared" si="13"/>
        <v>4123.8</v>
      </c>
      <c r="AS12" s="47">
        <f t="shared" si="6"/>
        <v>3427.7999999999997</v>
      </c>
      <c r="AT12" s="47">
        <f t="shared" si="14"/>
        <v>6855.5999999999995</v>
      </c>
      <c r="AU12" s="43">
        <f t="shared" si="7"/>
        <v>8247.6</v>
      </c>
    </row>
    <row r="13" spans="1:47" ht="15" thickBot="1">
      <c r="A13" s="144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51">
        <v>7434.0000000000018</v>
      </c>
      <c r="U13" s="152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0">
        <f t="shared" si="12"/>
        <v>4117.3</v>
      </c>
      <c r="AR13" s="10">
        <f t="shared" si="13"/>
        <v>4123.8</v>
      </c>
      <c r="AS13" s="47">
        <f t="shared" si="6"/>
        <v>3427.7999999999997</v>
      </c>
      <c r="AT13" s="47">
        <f t="shared" si="14"/>
        <v>6855.5999999999995</v>
      </c>
      <c r="AU13" s="43">
        <f t="shared" si="7"/>
        <v>8247.6</v>
      </c>
    </row>
    <row r="14" spans="1:47" ht="15" thickBot="1">
      <c r="A14" s="144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51">
        <v>7210.8750000000018</v>
      </c>
      <c r="U14" s="152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0">
        <f t="shared" si="12"/>
        <v>2737.9</v>
      </c>
      <c r="AR14" s="10">
        <f t="shared" si="13"/>
        <v>2710.9199999999996</v>
      </c>
      <c r="AS14" s="47">
        <f t="shared" si="6"/>
        <v>2488.2000000000003</v>
      </c>
      <c r="AT14" s="47">
        <f t="shared" si="14"/>
        <v>4732.8</v>
      </c>
      <c r="AU14" s="43">
        <f t="shared" si="7"/>
        <v>4760.6399999999994</v>
      </c>
    </row>
    <row r="15" spans="1:47" ht="15" thickBot="1">
      <c r="A15" s="144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51">
        <v>6586.6500000000015</v>
      </c>
      <c r="U15" s="152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0">
        <f t="shared" si="12"/>
        <v>2842.4</v>
      </c>
      <c r="AR15" s="10">
        <f t="shared" si="13"/>
        <v>2867.52</v>
      </c>
      <c r="AS15" s="47">
        <f t="shared" si="6"/>
        <v>2575.1999999999998</v>
      </c>
      <c r="AT15" s="47">
        <f t="shared" si="14"/>
        <v>5080.8</v>
      </c>
      <c r="AU15" s="43">
        <f t="shared" si="7"/>
        <v>5247.84</v>
      </c>
    </row>
    <row r="16" spans="1:47" ht="15" thickBot="1">
      <c r="A16" s="144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51">
        <v>7203.6720000000014</v>
      </c>
      <c r="U16" s="152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0">
        <f t="shared" si="12"/>
        <v>2946.8999999999996</v>
      </c>
      <c r="AR16" s="10">
        <f t="shared" si="13"/>
        <v>3024.1199999999994</v>
      </c>
      <c r="AS16" s="47">
        <f t="shared" si="6"/>
        <v>2610</v>
      </c>
      <c r="AT16" s="47">
        <f t="shared" si="14"/>
        <v>5220</v>
      </c>
      <c r="AU16" s="43">
        <f t="shared" si="7"/>
        <v>5735.04</v>
      </c>
    </row>
    <row r="17" spans="1:47" ht="15" thickBot="1">
      <c r="A17" s="144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51">
        <v>7547.956500000003</v>
      </c>
      <c r="U17" s="152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0">
        <f t="shared" si="12"/>
        <v>3051.4000000000005</v>
      </c>
      <c r="AR17" s="10">
        <f t="shared" si="13"/>
        <v>3180.7200000000003</v>
      </c>
      <c r="AS17" s="47">
        <f t="shared" si="6"/>
        <v>2610</v>
      </c>
      <c r="AT17" s="47">
        <f t="shared" si="14"/>
        <v>5220</v>
      </c>
      <c r="AU17" s="43">
        <f t="shared" si="7"/>
        <v>6222.24</v>
      </c>
    </row>
    <row r="18" spans="1:47" ht="15" thickBot="1">
      <c r="A18" s="144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51">
        <v>7547.956500000003</v>
      </c>
      <c r="U18" s="152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0">
        <f t="shared" si="12"/>
        <v>3135</v>
      </c>
      <c r="AR18" s="10">
        <f t="shared" si="13"/>
        <v>3306</v>
      </c>
      <c r="AS18" s="47">
        <f t="shared" si="6"/>
        <v>2610</v>
      </c>
      <c r="AT18" s="47">
        <f t="shared" si="14"/>
        <v>5220</v>
      </c>
      <c r="AU18" s="43">
        <f t="shared" si="7"/>
        <v>6612</v>
      </c>
    </row>
    <row r="19" spans="1:47" ht="15" thickBot="1">
      <c r="A19" s="144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51">
        <v>7547.956500000003</v>
      </c>
      <c r="U19" s="152">
        <f t="shared" ref="U19" si="29">S19/T19-1</f>
        <v>-0.15473678206810049</v>
      </c>
      <c r="V19" s="18"/>
      <c r="W19" s="231" t="s">
        <v>328</v>
      </c>
      <c r="X19" s="231"/>
      <c r="Y19" s="231"/>
      <c r="Z19" s="231"/>
      <c r="AA19" s="231"/>
      <c r="AB19" s="231"/>
      <c r="AC19" s="231"/>
      <c r="AD19" s="231"/>
      <c r="AE19" s="231"/>
      <c r="AF19" s="231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0">
        <f t="shared" si="12"/>
        <v>3135</v>
      </c>
      <c r="AR19" s="10">
        <f t="shared" si="13"/>
        <v>3306</v>
      </c>
      <c r="AS19" s="47">
        <f t="shared" si="6"/>
        <v>2610</v>
      </c>
      <c r="AT19" s="47">
        <f t="shared" si="14"/>
        <v>5220</v>
      </c>
      <c r="AU19" s="43">
        <f t="shared" si="7"/>
        <v>6612</v>
      </c>
    </row>
    <row r="20" spans="1:47" ht="15" thickBot="1">
      <c r="A20" s="144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51">
        <v>7547.956500000003</v>
      </c>
      <c r="U20" s="152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321</v>
      </c>
      <c r="AA20" s="18" t="s">
        <v>322</v>
      </c>
      <c r="AB20" s="18" t="s">
        <v>323</v>
      </c>
      <c r="AC20" s="18" t="s">
        <v>324</v>
      </c>
      <c r="AD20" s="18" t="s">
        <v>325</v>
      </c>
      <c r="AE20" s="18" t="s">
        <v>326</v>
      </c>
      <c r="AF20" t="s">
        <v>327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0">
        <f t="shared" si="12"/>
        <v>3135</v>
      </c>
      <c r="AR20" s="10">
        <f t="shared" si="13"/>
        <v>3306</v>
      </c>
      <c r="AS20" s="47">
        <f t="shared" si="6"/>
        <v>2610</v>
      </c>
      <c r="AT20" s="47">
        <f t="shared" si="14"/>
        <v>5220</v>
      </c>
      <c r="AU20" s="43">
        <f t="shared" si="7"/>
        <v>6612</v>
      </c>
    </row>
    <row r="21" spans="1:47" ht="15" thickBot="1">
      <c r="A21" s="144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51">
        <v>7547.956500000003</v>
      </c>
      <c r="U21" s="152">
        <f t="shared" ref="U21:U22" si="37">S21/T21-1</f>
        <v>-0.15342051852047656</v>
      </c>
      <c r="V21" s="18"/>
      <c r="W21" s="18" t="s">
        <v>318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317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0">
        <f t="shared" si="12"/>
        <v>3135</v>
      </c>
      <c r="AR21" s="10">
        <f t="shared" si="13"/>
        <v>3306</v>
      </c>
      <c r="AS21" s="47">
        <f t="shared" si="6"/>
        <v>2610</v>
      </c>
      <c r="AT21" s="47">
        <f t="shared" si="14"/>
        <v>5220</v>
      </c>
      <c r="AU21" s="43">
        <f t="shared" si="7"/>
        <v>6612</v>
      </c>
    </row>
    <row r="22" spans="1:47" ht="15" thickBot="1">
      <c r="A22" s="144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51">
        <v>7547.956500000003</v>
      </c>
      <c r="U22" s="152">
        <f t="shared" si="37"/>
        <v>-0.18011053720301684</v>
      </c>
      <c r="V22" s="18"/>
      <c r="W22" s="18" t="s">
        <v>318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317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0">
        <f t="shared" si="12"/>
        <v>3135</v>
      </c>
      <c r="AR22" s="10">
        <f t="shared" si="13"/>
        <v>3306</v>
      </c>
      <c r="AS22" s="47">
        <f t="shared" si="6"/>
        <v>2610</v>
      </c>
      <c r="AT22" s="47">
        <f t="shared" si="14"/>
        <v>5220</v>
      </c>
      <c r="AU22" s="43">
        <f t="shared" si="7"/>
        <v>6612</v>
      </c>
    </row>
    <row r="23" spans="1:47" ht="15" thickBot="1">
      <c r="A23" s="144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51">
        <v>7547.956500000003</v>
      </c>
      <c r="U23" s="152">
        <f t="shared" ref="U23" si="40">S23/T23-1</f>
        <v>-0.16463310301271639</v>
      </c>
      <c r="V23" s="18"/>
      <c r="W23" s="18" t="s">
        <v>319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317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0">
        <f t="shared" si="12"/>
        <v>3135</v>
      </c>
      <c r="AR23" s="10">
        <f t="shared" si="13"/>
        <v>3306</v>
      </c>
      <c r="AS23" s="47">
        <f t="shared" si="6"/>
        <v>2610</v>
      </c>
      <c r="AT23" s="47">
        <f t="shared" si="14"/>
        <v>5220</v>
      </c>
      <c r="AU23" s="43">
        <f t="shared" si="7"/>
        <v>6612</v>
      </c>
    </row>
    <row r="24" spans="1:47" ht="15" thickBot="1">
      <c r="A24" s="144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51">
        <v>7547.956500000003</v>
      </c>
      <c r="U24" s="152">
        <f t="shared" ref="U24:U26" si="43">S24/T24-1</f>
        <v>-0.20418054873527725</v>
      </c>
      <c r="V24" s="18"/>
      <c r="W24" s="18" t="s">
        <v>320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317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0">
        <f t="shared" si="12"/>
        <v>3135</v>
      </c>
      <c r="AR24" s="10">
        <f t="shared" si="13"/>
        <v>3306</v>
      </c>
      <c r="AS24" s="47">
        <f t="shared" si="6"/>
        <v>2610</v>
      </c>
      <c r="AT24" s="47">
        <f t="shared" si="14"/>
        <v>5220</v>
      </c>
      <c r="AU24" s="43">
        <f t="shared" si="7"/>
        <v>6612</v>
      </c>
    </row>
    <row r="25" spans="1:47" ht="15" thickBot="1">
      <c r="A25" s="144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51">
        <v>7547.956500000003</v>
      </c>
      <c r="U25" s="152">
        <f t="shared" si="43"/>
        <v>-0.1586263116381238</v>
      </c>
      <c r="V25" s="18"/>
      <c r="W25" s="18" t="s">
        <v>320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317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0">
        <f t="shared" si="12"/>
        <v>2792.1</v>
      </c>
      <c r="AR25" s="10">
        <f t="shared" si="13"/>
        <v>2622.7299999999996</v>
      </c>
      <c r="AS25" s="47">
        <f t="shared" si="6"/>
        <v>2648.0499999999997</v>
      </c>
      <c r="AT25" s="47">
        <f t="shared" si="14"/>
        <v>4262.2</v>
      </c>
      <c r="AU25" s="43">
        <f t="shared" si="7"/>
        <v>3705.16</v>
      </c>
    </row>
    <row r="26" spans="1:47" ht="15" thickBot="1">
      <c r="A26" s="144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51">
        <v>7547.956500000003</v>
      </c>
      <c r="U26" s="152">
        <f t="shared" si="43"/>
        <v>-0.2045522519903239</v>
      </c>
      <c r="V26" s="18"/>
      <c r="W26" s="18" t="s">
        <v>320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317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0">
        <f t="shared" si="12"/>
        <v>2915.1</v>
      </c>
      <c r="AR26" s="10">
        <f t="shared" si="13"/>
        <v>2812.63</v>
      </c>
      <c r="AS26" s="47">
        <f t="shared" si="6"/>
        <v>2753.55</v>
      </c>
      <c r="AT26" s="47">
        <f t="shared" si="14"/>
        <v>4684.2000000000007</v>
      </c>
      <c r="AU26" s="43">
        <f t="shared" si="7"/>
        <v>4295.96</v>
      </c>
    </row>
    <row r="27" spans="1:47" ht="15" thickBot="1">
      <c r="A27" s="144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51">
        <v>7547.956500000003</v>
      </c>
      <c r="U27" s="152">
        <f t="shared" ref="U27:U28" si="46">S27/T27-1</f>
        <v>-0.18249266539890663</v>
      </c>
      <c r="V27" s="18"/>
      <c r="W27" s="18" t="s">
        <v>318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317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0">
        <f t="shared" si="12"/>
        <v>3038.1</v>
      </c>
      <c r="AR27" s="10">
        <f t="shared" si="13"/>
        <v>3002.5299999999997</v>
      </c>
      <c r="AS27" s="47">
        <f t="shared" si="6"/>
        <v>2859.05</v>
      </c>
      <c r="AT27" s="47">
        <f t="shared" si="14"/>
        <v>5106.2</v>
      </c>
      <c r="AU27" s="43">
        <f t="shared" si="7"/>
        <v>4886.7599999999993</v>
      </c>
    </row>
    <row r="28" spans="1:47" ht="15" thickBot="1">
      <c r="A28" s="144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51">
        <v>7547.956500000003</v>
      </c>
      <c r="U28" s="152">
        <f t="shared" si="46"/>
        <v>-0.27384319186259254</v>
      </c>
      <c r="V28" s="18"/>
      <c r="W28" s="18" t="s">
        <v>319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317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0">
        <f t="shared" si="12"/>
        <v>3161.1000000000004</v>
      </c>
      <c r="AR28" s="10">
        <f t="shared" si="13"/>
        <v>3192.43</v>
      </c>
      <c r="AS28" s="47">
        <f t="shared" si="6"/>
        <v>2964.5499999999997</v>
      </c>
      <c r="AT28" s="47">
        <f t="shared" si="14"/>
        <v>5528.1999999999989</v>
      </c>
      <c r="AU28" s="43">
        <f t="shared" si="7"/>
        <v>5477.56</v>
      </c>
    </row>
    <row r="29" spans="1:47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319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317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0">
        <f t="shared" si="12"/>
        <v>3284.1</v>
      </c>
      <c r="AR29" s="10">
        <f t="shared" si="13"/>
        <v>3382.3299999999995</v>
      </c>
      <c r="AS29" s="47">
        <f t="shared" si="6"/>
        <v>3070.05</v>
      </c>
      <c r="AT29" s="47">
        <f t="shared" si="14"/>
        <v>5950.2</v>
      </c>
      <c r="AU29" s="43">
        <f t="shared" si="7"/>
        <v>6068.36</v>
      </c>
    </row>
    <row r="30" spans="1:47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319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317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0">
        <f t="shared" si="12"/>
        <v>3407.1</v>
      </c>
      <c r="AR30" s="10">
        <f t="shared" si="13"/>
        <v>3572.2299999999996</v>
      </c>
      <c r="AS30" s="47">
        <f t="shared" si="6"/>
        <v>3165</v>
      </c>
      <c r="AT30" s="47">
        <f t="shared" si="14"/>
        <v>6330</v>
      </c>
      <c r="AU30" s="43">
        <f t="shared" si="7"/>
        <v>6659.1599999999989</v>
      </c>
    </row>
    <row r="31" spans="1:47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8" t="s">
        <v>320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317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0">
        <f t="shared" si="12"/>
        <v>3530.1</v>
      </c>
      <c r="AR31" s="10">
        <f t="shared" si="13"/>
        <v>3762.1299999999997</v>
      </c>
      <c r="AS31" s="47">
        <f t="shared" si="6"/>
        <v>3165</v>
      </c>
      <c r="AT31" s="47">
        <f t="shared" si="14"/>
        <v>6330</v>
      </c>
      <c r="AU31" s="43">
        <f t="shared" si="7"/>
        <v>7249.96</v>
      </c>
    </row>
    <row r="32" spans="1:47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318</v>
      </c>
      <c r="X32" s="145">
        <v>0.2</v>
      </c>
      <c r="Y32" s="145">
        <v>0.2</v>
      </c>
      <c r="Z32" s="18" t="s">
        <v>87</v>
      </c>
      <c r="AA32" s="18" t="s">
        <v>85</v>
      </c>
      <c r="AB32" s="18" t="s">
        <v>317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0">
        <f t="shared" si="12"/>
        <v>3653.1000000000004</v>
      </c>
      <c r="AR32" s="10">
        <f t="shared" si="13"/>
        <v>3952.03</v>
      </c>
      <c r="AS32" s="47">
        <f t="shared" si="6"/>
        <v>3165</v>
      </c>
      <c r="AT32" s="47">
        <f t="shared" si="14"/>
        <v>6330</v>
      </c>
      <c r="AU32" s="43">
        <f t="shared" si="7"/>
        <v>7840.76</v>
      </c>
    </row>
    <row r="33" spans="1:47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45" t="s">
        <v>318</v>
      </c>
      <c r="X33" s="145">
        <v>0.2</v>
      </c>
      <c r="Y33" s="145">
        <v>0.2</v>
      </c>
      <c r="Z33" s="18" t="s">
        <v>86</v>
      </c>
      <c r="AA33" s="18" t="s">
        <v>85</v>
      </c>
      <c r="AB33" s="18" t="s">
        <v>317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0">
        <f t="shared" si="12"/>
        <v>3690</v>
      </c>
      <c r="AR33" s="10">
        <f t="shared" si="13"/>
        <v>4009</v>
      </c>
      <c r="AS33" s="47">
        <f t="shared" si="6"/>
        <v>3165</v>
      </c>
      <c r="AT33" s="47">
        <f t="shared" si="14"/>
        <v>6330</v>
      </c>
      <c r="AU33" s="43">
        <f t="shared" si="7"/>
        <v>8018</v>
      </c>
    </row>
    <row r="34" spans="1:47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329</v>
      </c>
      <c r="X34" s="145">
        <v>0.2</v>
      </c>
      <c r="Y34" s="145">
        <v>0.2</v>
      </c>
      <c r="Z34" s="18" t="s">
        <v>86</v>
      </c>
      <c r="AA34" s="18" t="s">
        <v>85</v>
      </c>
      <c r="AB34" s="18" t="s">
        <v>317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0">
        <f t="shared" si="12"/>
        <v>3690</v>
      </c>
      <c r="AR34" s="10">
        <f t="shared" si="13"/>
        <v>4009</v>
      </c>
      <c r="AS34" s="47">
        <f t="shared" si="6"/>
        <v>3165</v>
      </c>
      <c r="AT34" s="47">
        <f t="shared" si="14"/>
        <v>6330</v>
      </c>
      <c r="AU34" s="43">
        <f t="shared" si="7"/>
        <v>8018</v>
      </c>
    </row>
    <row r="35" spans="1:47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329</v>
      </c>
      <c r="X35" s="145">
        <v>0.2</v>
      </c>
      <c r="Y35" s="145">
        <v>0.2</v>
      </c>
      <c r="Z35" s="18" t="s">
        <v>87</v>
      </c>
      <c r="AA35" s="18" t="s">
        <v>85</v>
      </c>
      <c r="AB35" s="18" t="s">
        <v>317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0">
        <f t="shared" si="12"/>
        <v>3690</v>
      </c>
      <c r="AR35" s="10">
        <f t="shared" si="13"/>
        <v>4009</v>
      </c>
      <c r="AS35" s="47">
        <f t="shared" si="6"/>
        <v>3165</v>
      </c>
      <c r="AT35" s="47">
        <f t="shared" si="14"/>
        <v>6330</v>
      </c>
      <c r="AU35" s="43">
        <f t="shared" si="7"/>
        <v>8018</v>
      </c>
    </row>
    <row r="36" spans="1:47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 t="s">
        <v>330</v>
      </c>
      <c r="X36" s="145">
        <v>0.2</v>
      </c>
      <c r="Y36" s="145">
        <v>0.2</v>
      </c>
      <c r="Z36" s="18" t="s">
        <v>87</v>
      </c>
      <c r="AA36" s="18" t="s">
        <v>85</v>
      </c>
      <c r="AB36" s="18" t="s">
        <v>317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203">
        <f t="shared" si="12"/>
        <v>2889.7510000000002</v>
      </c>
      <c r="AR36" s="203">
        <f t="shared" si="13"/>
        <v>2657.6059999999998</v>
      </c>
      <c r="AS36" s="203">
        <f t="shared" si="6"/>
        <v>2899.7179999999998</v>
      </c>
      <c r="AT36" s="203">
        <f>$AG$3*(1+$AJ36*$Y$2+$AN36+0.35)*(MAXA(1-$AI$3-$AL36*$AA$3-$AP36-0.12,0)+2*MINA($AI$3+$AL36*$AA$3+$AP36+0.12,1)*(1+$AH$3+$AO36+$AK36*$Z$4))</f>
        <v>4107.8020000000006</v>
      </c>
      <c r="AU36" s="203">
        <f t="shared" si="7"/>
        <v>3899.0120000000006</v>
      </c>
    </row>
    <row r="37" spans="1:47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203">
        <f t="shared" si="12"/>
        <v>3111.8809999999999</v>
      </c>
      <c r="AR37" s="203">
        <f t="shared" si="13"/>
        <v>2923.386</v>
      </c>
      <c r="AS37" s="203">
        <f t="shared" si="6"/>
        <v>3087.8979999999997</v>
      </c>
      <c r="AT37" s="203">
        <f t="shared" ref="AT37:AT68" si="47">$AG$3*(1+$AJ37*$Y$2+$AN37+0.35)*(MAXA(1-$AI$3-$AL37*$AA$3-$AP37-0.12,0)+2*MINA($AI$3+$AL37*$AA$3+$AP37+0.12,1)*(1+$AH$3+$AO37+$AK37*$Z$4))</f>
        <v>4781.0619999999999</v>
      </c>
      <c r="AU37" s="203">
        <f t="shared" si="7"/>
        <v>4624.5720000000001</v>
      </c>
    </row>
    <row r="38" spans="1:47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203">
        <f t="shared" si="12"/>
        <v>3334.0109999999995</v>
      </c>
      <c r="AR38" s="203">
        <f t="shared" si="13"/>
        <v>3189.1659999999997</v>
      </c>
      <c r="AS38" s="203">
        <f t="shared" si="6"/>
        <v>3276.0779999999995</v>
      </c>
      <c r="AT38" s="203">
        <f t="shared" si="47"/>
        <v>5454.3219999999992</v>
      </c>
      <c r="AU38" s="203">
        <f t="shared" si="7"/>
        <v>5350.1319999999996</v>
      </c>
    </row>
    <row r="39" spans="1:47" ht="15" thickBot="1">
      <c r="A39" s="144"/>
      <c r="B39" s="21" t="s">
        <v>379</v>
      </c>
      <c r="C39" s="21" t="s">
        <v>387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45"/>
      <c r="X39" s="145"/>
      <c r="Y39" s="145"/>
      <c r="Z39" s="145"/>
      <c r="AA39" s="145"/>
      <c r="AB39" s="145"/>
      <c r="AC39" s="145"/>
      <c r="AD39" s="145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203">
        <f t="shared" si="12"/>
        <v>3556.1409999999992</v>
      </c>
      <c r="AR39" s="203">
        <f t="shared" si="13"/>
        <v>3454.9459999999999</v>
      </c>
      <c r="AS39" s="203">
        <f t="shared" si="6"/>
        <v>3464.2579999999998</v>
      </c>
      <c r="AT39" s="203">
        <f t="shared" si="47"/>
        <v>6127.5819999999994</v>
      </c>
      <c r="AU39" s="203">
        <f t="shared" si="7"/>
        <v>6075.692</v>
      </c>
    </row>
    <row r="40" spans="1:47" ht="15" thickBot="1">
      <c r="A40" s="170"/>
      <c r="B40" s="21" t="s">
        <v>381</v>
      </c>
      <c r="C40" s="21" t="s">
        <v>386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203">
        <f t="shared" si="12"/>
        <v>3778.2710000000002</v>
      </c>
      <c r="AR40" s="203">
        <f t="shared" si="13"/>
        <v>3720.7259999999997</v>
      </c>
      <c r="AS40" s="203">
        <f t="shared" si="6"/>
        <v>3652.4379999999996</v>
      </c>
      <c r="AT40" s="203">
        <f t="shared" si="47"/>
        <v>6800.8420000000006</v>
      </c>
      <c r="AU40" s="203">
        <f t="shared" si="7"/>
        <v>6801.2520000000004</v>
      </c>
    </row>
    <row r="41" spans="1:47" ht="15" thickBot="1">
      <c r="A41" s="170"/>
      <c r="B41" s="21" t="s">
        <v>382</v>
      </c>
      <c r="C41" s="21" t="s">
        <v>387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203">
        <f t="shared" si="12"/>
        <v>4000.4009999999998</v>
      </c>
      <c r="AR41" s="203">
        <f t="shared" si="13"/>
        <v>3986.5059999999999</v>
      </c>
      <c r="AS41" s="203">
        <f t="shared" si="6"/>
        <v>3821.7999999999997</v>
      </c>
      <c r="AT41" s="203">
        <f t="shared" si="47"/>
        <v>7474.1019999999999</v>
      </c>
      <c r="AU41" s="203">
        <f t="shared" si="7"/>
        <v>7526.8120000000008</v>
      </c>
    </row>
    <row r="42" spans="1:47" ht="15" thickBot="1">
      <c r="A42" s="170"/>
      <c r="B42" s="21" t="s">
        <v>383</v>
      </c>
      <c r="C42" s="21" t="s">
        <v>386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203">
        <f t="shared" si="12"/>
        <v>4222.5309999999999</v>
      </c>
      <c r="AR42" s="203">
        <f t="shared" si="13"/>
        <v>4252.2860000000001</v>
      </c>
      <c r="AS42" s="203">
        <f t="shared" si="6"/>
        <v>3821.7999999999997</v>
      </c>
      <c r="AT42" s="203">
        <f t="shared" si="47"/>
        <v>8147.3620000000001</v>
      </c>
      <c r="AU42" s="203">
        <f t="shared" si="7"/>
        <v>8252.3719999999994</v>
      </c>
    </row>
    <row r="43" spans="1:47" ht="15" thickBot="1">
      <c r="A43" s="170"/>
      <c r="B43" s="21" t="s">
        <v>384</v>
      </c>
      <c r="C43" s="21" t="s">
        <v>386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45"/>
      <c r="X43" s="145"/>
      <c r="Y43" s="145"/>
      <c r="Z43" s="145"/>
      <c r="AA43" s="145"/>
      <c r="AB43" s="145"/>
      <c r="AC43" s="145"/>
      <c r="AD43" s="145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203">
        <f t="shared" si="12"/>
        <v>4444.6610000000001</v>
      </c>
      <c r="AR43" s="203">
        <f t="shared" si="13"/>
        <v>4518.0659999999998</v>
      </c>
      <c r="AS43" s="203">
        <f t="shared" si="6"/>
        <v>3821.7999999999997</v>
      </c>
      <c r="AT43" s="203">
        <f t="shared" si="47"/>
        <v>8820.6219999999994</v>
      </c>
      <c r="AU43" s="203">
        <f t="shared" si="7"/>
        <v>8977.9320000000007</v>
      </c>
    </row>
    <row r="44" spans="1:47" ht="15" thickBot="1">
      <c r="A44" s="170"/>
      <c r="B44" s="21" t="s">
        <v>385</v>
      </c>
      <c r="C44" s="21" t="s">
        <v>386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203">
        <f t="shared" si="12"/>
        <v>4511.3</v>
      </c>
      <c r="AR44" s="203">
        <f t="shared" si="13"/>
        <v>4597.8</v>
      </c>
      <c r="AS44" s="203">
        <f t="shared" si="6"/>
        <v>3821.7999999999997</v>
      </c>
      <c r="AT44" s="203">
        <f t="shared" si="47"/>
        <v>9022.6</v>
      </c>
      <c r="AU44" s="203">
        <f t="shared" si="7"/>
        <v>9195.6</v>
      </c>
    </row>
    <row r="45" spans="1:47" ht="15" thickBot="1">
      <c r="A45" s="170"/>
      <c r="B45" s="21" t="s">
        <v>380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203">
        <f t="shared" si="12"/>
        <v>4511.3</v>
      </c>
      <c r="AR45" s="203">
        <f t="shared" si="13"/>
        <v>4597.8</v>
      </c>
      <c r="AS45" s="203">
        <f t="shared" si="6"/>
        <v>3821.7999999999997</v>
      </c>
      <c r="AT45" s="203">
        <f t="shared" si="47"/>
        <v>9022.6</v>
      </c>
      <c r="AU45" s="203">
        <f t="shared" si="7"/>
        <v>9195.6</v>
      </c>
    </row>
    <row r="46" spans="1:47" ht="15" thickBot="1">
      <c r="A46" s="170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51">
        <v>7547.956500000003</v>
      </c>
      <c r="U46" s="152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203">
        <f t="shared" si="12"/>
        <v>4511.3</v>
      </c>
      <c r="AR46" s="203">
        <f t="shared" si="13"/>
        <v>4597.8</v>
      </c>
      <c r="AS46" s="203">
        <f t="shared" si="6"/>
        <v>3821.7999999999997</v>
      </c>
      <c r="AT46" s="203">
        <f t="shared" si="47"/>
        <v>9022.6</v>
      </c>
      <c r="AU46" s="203">
        <f t="shared" si="7"/>
        <v>9195.6</v>
      </c>
    </row>
    <row r="47" spans="1:47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203">
        <f t="shared" si="12"/>
        <v>2999.9</v>
      </c>
      <c r="AR47" s="203">
        <f t="shared" si="13"/>
        <v>3022.5199999999995</v>
      </c>
      <c r="AS47" s="203">
        <f t="shared" si="6"/>
        <v>2774.2000000000003</v>
      </c>
      <c r="AT47" s="203">
        <f t="shared" si="47"/>
        <v>5129.5999999999995</v>
      </c>
      <c r="AU47" s="203">
        <f t="shared" si="7"/>
        <v>5307.8399999999992</v>
      </c>
    </row>
    <row r="48" spans="1:47" ht="15" thickBot="1">
      <c r="A48" s="170"/>
      <c r="B48" s="21" t="s">
        <v>379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203">
        <f t="shared" si="12"/>
        <v>3114.4</v>
      </c>
      <c r="AR48" s="203">
        <f t="shared" si="13"/>
        <v>3197.12</v>
      </c>
      <c r="AS48" s="203">
        <f t="shared" si="6"/>
        <v>2871.2</v>
      </c>
      <c r="AT48" s="203">
        <f t="shared" si="47"/>
        <v>5587.6000000000013</v>
      </c>
      <c r="AU48" s="203">
        <f t="shared" si="7"/>
        <v>5851.04</v>
      </c>
    </row>
    <row r="49" spans="1:47" ht="15" thickBot="1">
      <c r="A49" s="170"/>
      <c r="B49" s="21" t="s">
        <v>381</v>
      </c>
      <c r="C49" s="21" t="s">
        <v>386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203">
        <f t="shared" si="12"/>
        <v>3228.8999999999996</v>
      </c>
      <c r="AR49" s="203">
        <f t="shared" si="13"/>
        <v>3371.7199999999993</v>
      </c>
      <c r="AS49" s="203">
        <f t="shared" si="6"/>
        <v>2910</v>
      </c>
      <c r="AT49" s="203">
        <f t="shared" si="47"/>
        <v>6045.6</v>
      </c>
      <c r="AU49" s="203">
        <f t="shared" si="7"/>
        <v>6394.24</v>
      </c>
    </row>
    <row r="50" spans="1:47" ht="15" thickBot="1">
      <c r="A50" s="170"/>
      <c r="B50" s="21" t="s">
        <v>382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203">
        <f t="shared" si="12"/>
        <v>3343.4000000000005</v>
      </c>
      <c r="AR50" s="203">
        <f t="shared" si="13"/>
        <v>3546.32</v>
      </c>
      <c r="AS50" s="203">
        <f t="shared" si="6"/>
        <v>2910</v>
      </c>
      <c r="AT50" s="203">
        <f t="shared" si="47"/>
        <v>6503.6</v>
      </c>
      <c r="AU50" s="203">
        <f t="shared" si="7"/>
        <v>6937.4400000000005</v>
      </c>
    </row>
    <row r="51" spans="1:47" ht="15" thickBot="1">
      <c r="A51" s="170"/>
      <c r="B51" s="21" t="s">
        <v>383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203">
        <f t="shared" si="12"/>
        <v>3435</v>
      </c>
      <c r="AR51" s="203">
        <f t="shared" si="13"/>
        <v>3686</v>
      </c>
      <c r="AS51" s="203">
        <f t="shared" si="6"/>
        <v>2910</v>
      </c>
      <c r="AT51" s="203">
        <f t="shared" si="47"/>
        <v>6870</v>
      </c>
      <c r="AU51" s="203">
        <f t="shared" si="7"/>
        <v>7372</v>
      </c>
    </row>
    <row r="52" spans="1:47" ht="15" thickBot="1">
      <c r="A52" s="170"/>
      <c r="B52" s="21" t="s">
        <v>384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203">
        <f t="shared" si="12"/>
        <v>3435</v>
      </c>
      <c r="AR52" s="203">
        <f t="shared" si="13"/>
        <v>3686</v>
      </c>
      <c r="AS52" s="203">
        <f t="shared" si="6"/>
        <v>2910</v>
      </c>
      <c r="AT52" s="203">
        <f t="shared" si="47"/>
        <v>6870</v>
      </c>
      <c r="AU52" s="203">
        <f t="shared" si="7"/>
        <v>7372</v>
      </c>
    </row>
    <row r="53" spans="1:47" ht="15" thickBot="1">
      <c r="A53" s="170"/>
      <c r="B53" s="21" t="s">
        <v>385</v>
      </c>
      <c r="C53" s="21" t="s">
        <v>386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203">
        <f t="shared" si="12"/>
        <v>3435</v>
      </c>
      <c r="AR53" s="203">
        <f t="shared" si="13"/>
        <v>3686</v>
      </c>
      <c r="AS53" s="203">
        <f t="shared" si="6"/>
        <v>2910</v>
      </c>
      <c r="AT53" s="203">
        <f t="shared" si="47"/>
        <v>6870</v>
      </c>
      <c r="AU53" s="203">
        <f t="shared" si="7"/>
        <v>7372</v>
      </c>
    </row>
    <row r="54" spans="1:47" ht="15" thickBot="1">
      <c r="A54" s="170"/>
      <c r="B54" s="21" t="s">
        <v>380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203">
        <f t="shared" si="12"/>
        <v>3435</v>
      </c>
      <c r="AR54" s="203">
        <f t="shared" si="13"/>
        <v>3686</v>
      </c>
      <c r="AS54" s="203">
        <f t="shared" si="6"/>
        <v>2910</v>
      </c>
      <c r="AT54" s="203">
        <f t="shared" si="47"/>
        <v>6870</v>
      </c>
      <c r="AU54" s="203">
        <f t="shared" si="7"/>
        <v>7372</v>
      </c>
    </row>
    <row r="55" spans="1:47" ht="15" thickBot="1">
      <c r="A55" s="170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51">
        <v>7547.956500000003</v>
      </c>
      <c r="U55" s="152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203">
        <f t="shared" si="12"/>
        <v>3435</v>
      </c>
      <c r="AR55" s="203">
        <f t="shared" si="13"/>
        <v>3686</v>
      </c>
      <c r="AS55" s="203">
        <f t="shared" si="6"/>
        <v>2910</v>
      </c>
      <c r="AT55" s="203">
        <f t="shared" si="47"/>
        <v>6870</v>
      </c>
      <c r="AU55" s="203">
        <f t="shared" si="7"/>
        <v>7372</v>
      </c>
    </row>
    <row r="56" spans="1:47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203">
        <f t="shared" si="12"/>
        <v>3435</v>
      </c>
      <c r="AR56" s="203">
        <f t="shared" si="13"/>
        <v>3686</v>
      </c>
      <c r="AS56" s="203">
        <f t="shared" si="6"/>
        <v>2910</v>
      </c>
      <c r="AT56" s="203">
        <f t="shared" si="47"/>
        <v>6870</v>
      </c>
      <c r="AU56" s="203">
        <f t="shared" si="7"/>
        <v>7372</v>
      </c>
    </row>
    <row r="57" spans="1:47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203">
        <f t="shared" si="12"/>
        <v>3435</v>
      </c>
      <c r="AR57" s="203">
        <f t="shared" si="13"/>
        <v>3686</v>
      </c>
      <c r="AS57" s="203">
        <f t="shared" si="6"/>
        <v>2910</v>
      </c>
      <c r="AT57" s="203">
        <f t="shared" si="47"/>
        <v>6870</v>
      </c>
      <c r="AU57" s="203">
        <f t="shared" si="7"/>
        <v>7372</v>
      </c>
    </row>
    <row r="58" spans="1:47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203">
        <f t="shared" si="12"/>
        <v>3019.1</v>
      </c>
      <c r="AR58" s="203">
        <f t="shared" si="13"/>
        <v>2871.33</v>
      </c>
      <c r="AS58" s="203">
        <f t="shared" si="6"/>
        <v>2899.0499999999997</v>
      </c>
      <c r="AT58" s="203">
        <f t="shared" si="47"/>
        <v>4096.4000000000005</v>
      </c>
      <c r="AU58" s="203">
        <f t="shared" si="7"/>
        <v>4056.36</v>
      </c>
    </row>
    <row r="59" spans="1:47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203">
        <f t="shared" si="12"/>
        <v>3152.1000000000004</v>
      </c>
      <c r="AR59" s="203">
        <f t="shared" si="13"/>
        <v>3079.23</v>
      </c>
      <c r="AS59" s="203">
        <f t="shared" si="6"/>
        <v>3014.55</v>
      </c>
      <c r="AT59" s="203">
        <f t="shared" si="47"/>
        <v>4628.3999999999996</v>
      </c>
      <c r="AU59" s="203">
        <f t="shared" si="7"/>
        <v>4703.16</v>
      </c>
    </row>
    <row r="60" spans="1:47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203">
        <f t="shared" si="12"/>
        <v>3285.0999999999995</v>
      </c>
      <c r="AR60" s="203">
        <f t="shared" si="13"/>
        <v>3287.1299999999997</v>
      </c>
      <c r="AS60" s="203">
        <f t="shared" si="6"/>
        <v>3130.05</v>
      </c>
      <c r="AT60" s="203">
        <f t="shared" si="47"/>
        <v>5160.3999999999996</v>
      </c>
      <c r="AU60" s="203">
        <f t="shared" si="7"/>
        <v>5349.96</v>
      </c>
    </row>
    <row r="61" spans="1:47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203">
        <f t="shared" si="12"/>
        <v>3418.1000000000004</v>
      </c>
      <c r="AR61" s="203">
        <f t="shared" si="13"/>
        <v>3495.0299999999997</v>
      </c>
      <c r="AS61" s="203">
        <f t="shared" si="6"/>
        <v>3245.5499999999997</v>
      </c>
      <c r="AT61" s="203">
        <f t="shared" si="47"/>
        <v>5692.4000000000005</v>
      </c>
      <c r="AU61" s="203">
        <f t="shared" si="7"/>
        <v>5996.76</v>
      </c>
    </row>
    <row r="62" spans="1:47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203">
        <f t="shared" si="12"/>
        <v>3551.1</v>
      </c>
      <c r="AR62" s="203">
        <f t="shared" si="13"/>
        <v>3702.9299999999994</v>
      </c>
      <c r="AS62" s="203">
        <f t="shared" si="6"/>
        <v>3361.05</v>
      </c>
      <c r="AT62" s="203">
        <f t="shared" si="47"/>
        <v>6224.4000000000005</v>
      </c>
      <c r="AU62" s="203">
        <f t="shared" si="7"/>
        <v>6643.5599999999995</v>
      </c>
    </row>
    <row r="63" spans="1:47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203">
        <f t="shared" si="12"/>
        <v>3684.1</v>
      </c>
      <c r="AR63" s="203">
        <f t="shared" si="13"/>
        <v>3910.8299999999995</v>
      </c>
      <c r="AS63" s="203">
        <f t="shared" si="6"/>
        <v>3465</v>
      </c>
      <c r="AT63" s="203">
        <f t="shared" si="47"/>
        <v>6756.4000000000005</v>
      </c>
      <c r="AU63" s="203">
        <f t="shared" si="7"/>
        <v>7290.36</v>
      </c>
    </row>
    <row r="64" spans="1:47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203">
        <f t="shared" si="12"/>
        <v>3817.1000000000004</v>
      </c>
      <c r="AR64" s="203">
        <f t="shared" si="13"/>
        <v>4118.7299999999996</v>
      </c>
      <c r="AS64" s="203">
        <f t="shared" si="6"/>
        <v>3465</v>
      </c>
      <c r="AT64" s="203">
        <f t="shared" si="47"/>
        <v>7288.4</v>
      </c>
      <c r="AU64" s="203">
        <f t="shared" si="7"/>
        <v>7937.16</v>
      </c>
    </row>
    <row r="65" spans="1:47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203">
        <f t="shared" si="12"/>
        <v>3950.1000000000004</v>
      </c>
      <c r="AR65" s="203">
        <f t="shared" si="13"/>
        <v>4326.63</v>
      </c>
      <c r="AS65" s="203">
        <f t="shared" si="6"/>
        <v>3465</v>
      </c>
      <c r="AT65" s="203">
        <f t="shared" si="47"/>
        <v>7820.4000000000015</v>
      </c>
      <c r="AU65" s="203">
        <f t="shared" si="7"/>
        <v>8583.9600000000009</v>
      </c>
    </row>
    <row r="66" spans="1:47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203">
        <f t="shared" si="12"/>
        <v>3990</v>
      </c>
      <c r="AR66" s="203">
        <f t="shared" si="13"/>
        <v>4389</v>
      </c>
      <c r="AS66" s="203">
        <f t="shared" si="6"/>
        <v>3465</v>
      </c>
      <c r="AT66" s="203">
        <f t="shared" si="47"/>
        <v>7980</v>
      </c>
      <c r="AU66" s="203">
        <f t="shared" si="7"/>
        <v>8778</v>
      </c>
    </row>
    <row r="67" spans="1:47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203">
        <f t="shared" si="12"/>
        <v>3990</v>
      </c>
      <c r="AR67" s="203">
        <f t="shared" si="13"/>
        <v>4389</v>
      </c>
      <c r="AS67" s="203">
        <f t="shared" ref="AS67:AS130" si="62">$AG$3*(1+$AJ67*$Y$2+$AN67)*(MAXA(1-$AI$3-$AL67*$AA$3-$AP67-0.36,0)+MINA($AI$3+$AL67*$AA$3+$AP67+0.36,1)*(1+$AH$3+$AO67+$AK67*$Z$4))</f>
        <v>3465</v>
      </c>
      <c r="AT67" s="203">
        <f t="shared" si="47"/>
        <v>7980</v>
      </c>
      <c r="AU67" s="203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203">
        <f t="shared" ref="AQ68:AQ131" si="64">$AG$3*(1+$AJ68*$Y$2+$AN68+0.35)*(MAXA(1-$AI$3-$AL68*$AA$3-$AP68-0.12,0)+MINA($AI$3+$AL68*$AA$3+$AP68+0.12,1)*(1+$AH$3+$AO68+$AK68*$Z$4))</f>
        <v>3990</v>
      </c>
      <c r="AR68" s="203">
        <f t="shared" ref="AR68:AR131" si="65">$AG$3*(1+$AJ68*$Y$2+$AN68)*(MAXA(1-$AI$3-$AL68*$AA$3-$AP68-0.12,0)+MINA($AI$3+$AL68*$AA$3+$AP68+0.12,1)*(1+$AH$3+$AO68+$AK68*$Z$4+0.4))</f>
        <v>4389</v>
      </c>
      <c r="AS68" s="203">
        <f t="shared" si="62"/>
        <v>3465</v>
      </c>
      <c r="AT68" s="203">
        <f t="shared" si="47"/>
        <v>7980</v>
      </c>
      <c r="AU68" s="203">
        <f t="shared" si="63"/>
        <v>8778</v>
      </c>
    </row>
    <row r="69" spans="1:47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0">
        <f t="shared" si="64"/>
        <v>3142.1309999999999</v>
      </c>
      <c r="AR69" s="10">
        <f t="shared" si="65"/>
        <v>2931.5859999999998</v>
      </c>
      <c r="AS69" s="47">
        <f t="shared" si="62"/>
        <v>3198.6579999999999</v>
      </c>
      <c r="AT69" s="47">
        <f t="shared" ref="AT69:AT130" si="66">$AG$3*(1+$AJ69*$Y$2+$AN69)*(MAXA(1-$AI$3-$AL69*$AA$3-$AP69-0.36,0)+2*MINA($AI$3+$AL69*$AA$3+$AP69+0.36,1)*(1+$AH$3+$AO69+$AK69*$Z$4))</f>
        <v>5348.7159999999994</v>
      </c>
      <c r="AU69" s="43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0">
        <f t="shared" si="64"/>
        <v>3383.6610000000001</v>
      </c>
      <c r="AR70" s="10">
        <f t="shared" si="65"/>
        <v>3224.7659999999996</v>
      </c>
      <c r="AS70" s="47">
        <f t="shared" si="62"/>
        <v>3406.2379999999998</v>
      </c>
      <c r="AT70" s="47">
        <f t="shared" si="66"/>
        <v>5977.8760000000002</v>
      </c>
      <c r="AU70" s="43">
        <f t="shared" si="67"/>
        <v>5101.3319999999994</v>
      </c>
    </row>
    <row r="71" spans="1:47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0">
        <f t="shared" si="64"/>
        <v>3625.1909999999993</v>
      </c>
      <c r="AR71" s="10">
        <f t="shared" si="65"/>
        <v>3517.9459999999999</v>
      </c>
      <c r="AS71" s="47">
        <f t="shared" si="62"/>
        <v>3613.8179999999998</v>
      </c>
      <c r="AT71" s="47">
        <f t="shared" si="66"/>
        <v>6607.0359999999991</v>
      </c>
      <c r="AU71" s="43">
        <f t="shared" si="67"/>
        <v>5901.6919999999991</v>
      </c>
    </row>
    <row r="72" spans="1:47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0">
        <f t="shared" si="64"/>
        <v>3866.7209999999991</v>
      </c>
      <c r="AR72" s="10">
        <f t="shared" si="65"/>
        <v>3811.1259999999997</v>
      </c>
      <c r="AS72" s="47">
        <f t="shared" si="62"/>
        <v>3821.3979999999997</v>
      </c>
      <c r="AT72" s="47">
        <f t="shared" si="66"/>
        <v>7236.195999999999</v>
      </c>
      <c r="AU72" s="43">
        <f t="shared" si="67"/>
        <v>6702.0520000000006</v>
      </c>
    </row>
    <row r="73" spans="1:47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0">
        <f t="shared" si="64"/>
        <v>4108.2510000000002</v>
      </c>
      <c r="AR73" s="10">
        <f t="shared" si="65"/>
        <v>4104.3059999999996</v>
      </c>
      <c r="AS73" s="47">
        <f t="shared" si="62"/>
        <v>4028.9779999999996</v>
      </c>
      <c r="AT73" s="47">
        <f t="shared" si="66"/>
        <v>7865.3559999999998</v>
      </c>
      <c r="AU73" s="43">
        <f t="shared" si="67"/>
        <v>7502.4120000000003</v>
      </c>
    </row>
    <row r="74" spans="1:47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0">
        <f t="shared" si="64"/>
        <v>4349.7809999999999</v>
      </c>
      <c r="AR74" s="10">
        <f t="shared" si="65"/>
        <v>4397.4859999999999</v>
      </c>
      <c r="AS74" s="47">
        <f t="shared" si="62"/>
        <v>4215.8</v>
      </c>
      <c r="AT74" s="47">
        <f t="shared" si="66"/>
        <v>8431.6</v>
      </c>
      <c r="AU74" s="43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0">
        <f t="shared" si="64"/>
        <v>4591.3110000000006</v>
      </c>
      <c r="AR75" s="10">
        <f t="shared" si="65"/>
        <v>4690.6660000000002</v>
      </c>
      <c r="AS75" s="47">
        <f t="shared" si="62"/>
        <v>4215.8</v>
      </c>
      <c r="AT75" s="47">
        <f t="shared" si="66"/>
        <v>8431.6</v>
      </c>
      <c r="AU75" s="43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0">
        <f t="shared" si="64"/>
        <v>4832.8409999999994</v>
      </c>
      <c r="AR76" s="10">
        <f t="shared" si="65"/>
        <v>4983.8459999999995</v>
      </c>
      <c r="AS76" s="47">
        <f t="shared" si="62"/>
        <v>4215.8</v>
      </c>
      <c r="AT76" s="47">
        <f t="shared" si="66"/>
        <v>8431.6</v>
      </c>
      <c r="AU76" s="43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0">
        <f t="shared" si="64"/>
        <v>4905.3</v>
      </c>
      <c r="AR77" s="10">
        <f t="shared" si="65"/>
        <v>5071.8</v>
      </c>
      <c r="AS77" s="47">
        <f t="shared" si="62"/>
        <v>4215.8</v>
      </c>
      <c r="AT77" s="47">
        <f t="shared" si="66"/>
        <v>8431.6</v>
      </c>
      <c r="AU77" s="43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0">
        <f t="shared" si="64"/>
        <v>4905.3</v>
      </c>
      <c r="AR78" s="10">
        <f t="shared" si="65"/>
        <v>5071.8</v>
      </c>
      <c r="AS78" s="47">
        <f t="shared" si="62"/>
        <v>4215.8</v>
      </c>
      <c r="AT78" s="47">
        <f t="shared" si="66"/>
        <v>8431.6</v>
      </c>
      <c r="AU78" s="43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0">
        <f t="shared" si="64"/>
        <v>4905.3</v>
      </c>
      <c r="AR79" s="10">
        <f t="shared" si="65"/>
        <v>5071.8</v>
      </c>
      <c r="AS79" s="47">
        <f t="shared" si="62"/>
        <v>4215.8</v>
      </c>
      <c r="AT79" s="47">
        <f t="shared" si="66"/>
        <v>8431.6</v>
      </c>
      <c r="AU79" s="43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0">
        <f t="shared" si="64"/>
        <v>3261.9</v>
      </c>
      <c r="AR80" s="10">
        <f t="shared" si="65"/>
        <v>3334.1199999999994</v>
      </c>
      <c r="AS80" s="47">
        <f t="shared" si="62"/>
        <v>3060.2000000000003</v>
      </c>
      <c r="AT80" s="47">
        <f t="shared" si="66"/>
        <v>5820.8</v>
      </c>
      <c r="AU80" s="43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0">
        <f t="shared" si="64"/>
        <v>3386.4</v>
      </c>
      <c r="AR81" s="10">
        <f t="shared" si="65"/>
        <v>3526.72</v>
      </c>
      <c r="AS81" s="47">
        <f t="shared" si="62"/>
        <v>3167.2</v>
      </c>
      <c r="AT81" s="47">
        <f t="shared" si="66"/>
        <v>6248.8</v>
      </c>
      <c r="AU81" s="43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0">
        <f t="shared" si="64"/>
        <v>3510.8999999999996</v>
      </c>
      <c r="AR82" s="10">
        <f t="shared" si="65"/>
        <v>3719.3199999999997</v>
      </c>
      <c r="AS82" s="47">
        <f t="shared" si="62"/>
        <v>3210</v>
      </c>
      <c r="AT82" s="47">
        <f t="shared" si="66"/>
        <v>6420</v>
      </c>
      <c r="AU82" s="43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0">
        <f t="shared" si="64"/>
        <v>3635.4000000000005</v>
      </c>
      <c r="AR83" s="10">
        <f t="shared" si="65"/>
        <v>3911.92</v>
      </c>
      <c r="AS83" s="47">
        <f t="shared" si="62"/>
        <v>3210</v>
      </c>
      <c r="AT83" s="47">
        <f t="shared" si="66"/>
        <v>6420</v>
      </c>
      <c r="AU83" s="43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0">
        <f t="shared" si="64"/>
        <v>3735</v>
      </c>
      <c r="AR84" s="10">
        <f t="shared" si="65"/>
        <v>4066</v>
      </c>
      <c r="AS84" s="47">
        <f t="shared" si="62"/>
        <v>3210</v>
      </c>
      <c r="AT84" s="47">
        <f t="shared" si="66"/>
        <v>6420</v>
      </c>
      <c r="AU84" s="43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0">
        <f t="shared" si="64"/>
        <v>3735</v>
      </c>
      <c r="AR85" s="10">
        <f t="shared" si="65"/>
        <v>4066</v>
      </c>
      <c r="AS85" s="47">
        <f t="shared" si="62"/>
        <v>3210</v>
      </c>
      <c r="AT85" s="47">
        <f t="shared" si="66"/>
        <v>6420</v>
      </c>
      <c r="AU85" s="43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0">
        <f t="shared" si="64"/>
        <v>3735</v>
      </c>
      <c r="AR86" s="10">
        <f t="shared" si="65"/>
        <v>4066</v>
      </c>
      <c r="AS86" s="47">
        <f t="shared" si="62"/>
        <v>3210</v>
      </c>
      <c r="AT86" s="47">
        <f t="shared" si="66"/>
        <v>6420</v>
      </c>
      <c r="AU86" s="43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0">
        <f t="shared" si="64"/>
        <v>3735</v>
      </c>
      <c r="AR87" s="10">
        <f t="shared" si="65"/>
        <v>4066</v>
      </c>
      <c r="AS87" s="47">
        <f t="shared" si="62"/>
        <v>3210</v>
      </c>
      <c r="AT87" s="47">
        <f t="shared" si="66"/>
        <v>6420</v>
      </c>
      <c r="AU87" s="43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0">
        <f t="shared" si="64"/>
        <v>3735</v>
      </c>
      <c r="AR88" s="10">
        <f t="shared" si="65"/>
        <v>4066</v>
      </c>
      <c r="AS88" s="47">
        <f t="shared" si="62"/>
        <v>3210</v>
      </c>
      <c r="AT88" s="47">
        <f t="shared" si="66"/>
        <v>6420</v>
      </c>
      <c r="AU88" s="43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0">
        <f t="shared" si="64"/>
        <v>3735</v>
      </c>
      <c r="AR89" s="10">
        <f t="shared" si="65"/>
        <v>4066</v>
      </c>
      <c r="AS89" s="47">
        <f t="shared" si="62"/>
        <v>3210</v>
      </c>
      <c r="AT89" s="47">
        <f t="shared" si="66"/>
        <v>6420</v>
      </c>
      <c r="AU89" s="43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0">
        <f t="shared" si="64"/>
        <v>3735</v>
      </c>
      <c r="AR90" s="10">
        <f t="shared" si="65"/>
        <v>4066</v>
      </c>
      <c r="AS90" s="47">
        <f t="shared" si="62"/>
        <v>3210</v>
      </c>
      <c r="AT90" s="47">
        <f t="shared" si="66"/>
        <v>6420</v>
      </c>
      <c r="AU90" s="43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0">
        <f t="shared" si="64"/>
        <v>3246.1</v>
      </c>
      <c r="AR91" s="10">
        <f t="shared" si="65"/>
        <v>3119.93</v>
      </c>
      <c r="AS91" s="47">
        <f t="shared" si="62"/>
        <v>3150.0499999999997</v>
      </c>
      <c r="AT91" s="47">
        <f t="shared" si="66"/>
        <v>5070.2</v>
      </c>
      <c r="AU91" s="43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0">
        <f t="shared" si="64"/>
        <v>3389.1000000000004</v>
      </c>
      <c r="AR92" s="10">
        <f t="shared" si="65"/>
        <v>3345.83</v>
      </c>
      <c r="AS92" s="47">
        <f t="shared" si="62"/>
        <v>3275.55</v>
      </c>
      <c r="AT92" s="47">
        <f t="shared" si="66"/>
        <v>5572.2000000000007</v>
      </c>
      <c r="AU92" s="43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0">
        <f t="shared" si="64"/>
        <v>3532.0999999999995</v>
      </c>
      <c r="AR93" s="10">
        <f t="shared" si="65"/>
        <v>3571.7299999999996</v>
      </c>
      <c r="AS93" s="47">
        <f t="shared" si="62"/>
        <v>3401.05</v>
      </c>
      <c r="AT93" s="47">
        <f t="shared" si="66"/>
        <v>6074.2</v>
      </c>
      <c r="AU93" s="43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0">
        <f t="shared" si="64"/>
        <v>3675.1000000000004</v>
      </c>
      <c r="AR94" s="10">
        <f t="shared" si="65"/>
        <v>3797.6299999999997</v>
      </c>
      <c r="AS94" s="47">
        <f t="shared" si="62"/>
        <v>3526.5499999999997</v>
      </c>
      <c r="AT94" s="47">
        <f t="shared" si="66"/>
        <v>6576.1999999999989</v>
      </c>
      <c r="AU94" s="43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0">
        <f t="shared" si="64"/>
        <v>3818.1</v>
      </c>
      <c r="AR95" s="10">
        <f t="shared" si="65"/>
        <v>4023.5299999999993</v>
      </c>
      <c r="AS95" s="47">
        <f t="shared" si="62"/>
        <v>3652.05</v>
      </c>
      <c r="AT95" s="47">
        <f t="shared" si="66"/>
        <v>7078.2</v>
      </c>
      <c r="AU95" s="43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0">
        <f t="shared" si="64"/>
        <v>3961.1</v>
      </c>
      <c r="AR96" s="10">
        <f t="shared" si="65"/>
        <v>4249.4299999999994</v>
      </c>
      <c r="AS96" s="47">
        <f t="shared" si="62"/>
        <v>3765</v>
      </c>
      <c r="AT96" s="47">
        <f t="shared" si="66"/>
        <v>7530</v>
      </c>
      <c r="AU96" s="43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0">
        <f t="shared" si="64"/>
        <v>4104.1000000000004</v>
      </c>
      <c r="AR97" s="10">
        <f t="shared" si="65"/>
        <v>4475.33</v>
      </c>
      <c r="AS97" s="47">
        <f t="shared" si="62"/>
        <v>3765</v>
      </c>
      <c r="AT97" s="47">
        <f t="shared" si="66"/>
        <v>7530</v>
      </c>
      <c r="AU97" s="43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0">
        <f t="shared" si="64"/>
        <v>4247.1000000000004</v>
      </c>
      <c r="AR98" s="10">
        <f t="shared" si="65"/>
        <v>4701.2299999999996</v>
      </c>
      <c r="AS98" s="47">
        <f t="shared" si="62"/>
        <v>3765</v>
      </c>
      <c r="AT98" s="47">
        <f t="shared" si="66"/>
        <v>7530</v>
      </c>
      <c r="AU98" s="43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0">
        <f t="shared" si="64"/>
        <v>4290</v>
      </c>
      <c r="AR99" s="10">
        <f t="shared" si="65"/>
        <v>4769</v>
      </c>
      <c r="AS99" s="47">
        <f t="shared" si="62"/>
        <v>3765</v>
      </c>
      <c r="AT99" s="47">
        <f t="shared" si="66"/>
        <v>7530</v>
      </c>
      <c r="AU99" s="43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0">
        <f t="shared" si="64"/>
        <v>4290</v>
      </c>
      <c r="AR100" s="10">
        <f t="shared" si="65"/>
        <v>4769</v>
      </c>
      <c r="AS100" s="47">
        <f t="shared" si="62"/>
        <v>3765</v>
      </c>
      <c r="AT100" s="47">
        <f t="shared" si="66"/>
        <v>7530</v>
      </c>
      <c r="AU100" s="43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0">
        <f t="shared" si="64"/>
        <v>4290</v>
      </c>
      <c r="AR101" s="10">
        <f t="shared" si="65"/>
        <v>4769</v>
      </c>
      <c r="AS101" s="47">
        <f t="shared" si="62"/>
        <v>3765</v>
      </c>
      <c r="AT101" s="47">
        <f t="shared" si="66"/>
        <v>7530</v>
      </c>
      <c r="AU101" s="43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0">
        <f t="shared" si="64"/>
        <v>3394.511</v>
      </c>
      <c r="AR102" s="10">
        <f t="shared" si="65"/>
        <v>3205.5659999999998</v>
      </c>
      <c r="AS102" s="47">
        <f t="shared" si="62"/>
        <v>3497.598</v>
      </c>
      <c r="AT102" s="47">
        <f t="shared" si="66"/>
        <v>5848.5959999999995</v>
      </c>
      <c r="AU102" s="43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0">
        <f t="shared" si="64"/>
        <v>3655.4409999999998</v>
      </c>
      <c r="AR103" s="10">
        <f t="shared" si="65"/>
        <v>3526.1459999999997</v>
      </c>
      <c r="AS103" s="47">
        <f t="shared" si="62"/>
        <v>3724.578</v>
      </c>
      <c r="AT103" s="47">
        <f t="shared" si="66"/>
        <v>6536.5560000000005</v>
      </c>
      <c r="AU103" s="43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0">
        <f t="shared" si="64"/>
        <v>3916.3709999999992</v>
      </c>
      <c r="AR104" s="10">
        <f t="shared" si="65"/>
        <v>3846.7259999999997</v>
      </c>
      <c r="AS104" s="47">
        <f t="shared" si="62"/>
        <v>3951.5579999999995</v>
      </c>
      <c r="AT104" s="47">
        <f t="shared" si="66"/>
        <v>7224.5159999999996</v>
      </c>
      <c r="AU104" s="43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0">
        <f t="shared" si="64"/>
        <v>4177.3009999999995</v>
      </c>
      <c r="AR105" s="10">
        <f t="shared" si="65"/>
        <v>4167.3059999999996</v>
      </c>
      <c r="AS105" s="47">
        <f t="shared" si="62"/>
        <v>4178.5379999999996</v>
      </c>
      <c r="AT105" s="47">
        <f t="shared" si="66"/>
        <v>7912.4759999999997</v>
      </c>
      <c r="AU105" s="43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0">
        <f t="shared" si="64"/>
        <v>4438.2310000000007</v>
      </c>
      <c r="AR106" s="10">
        <f t="shared" si="65"/>
        <v>4487.8859999999995</v>
      </c>
      <c r="AS106" s="47">
        <f t="shared" si="62"/>
        <v>4405.518</v>
      </c>
      <c r="AT106" s="47">
        <f t="shared" si="66"/>
        <v>8600.4359999999997</v>
      </c>
      <c r="AU106" s="43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0">
        <f t="shared" si="64"/>
        <v>4699.1610000000001</v>
      </c>
      <c r="AR107" s="10">
        <f t="shared" si="65"/>
        <v>4808.4659999999994</v>
      </c>
      <c r="AS107" s="47">
        <f t="shared" si="62"/>
        <v>4609.8</v>
      </c>
      <c r="AT107" s="47">
        <f t="shared" si="66"/>
        <v>9219.6</v>
      </c>
      <c r="AU107" s="43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0">
        <f t="shared" si="64"/>
        <v>4960.0910000000003</v>
      </c>
      <c r="AR108" s="10">
        <f t="shared" si="65"/>
        <v>5129.0460000000003</v>
      </c>
      <c r="AS108" s="47">
        <f t="shared" si="62"/>
        <v>4609.8</v>
      </c>
      <c r="AT108" s="47">
        <f t="shared" si="66"/>
        <v>9219.6</v>
      </c>
      <c r="AU108" s="43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0">
        <f t="shared" si="64"/>
        <v>5221.0209999999997</v>
      </c>
      <c r="AR109" s="10">
        <f t="shared" si="65"/>
        <v>5449.6260000000002</v>
      </c>
      <c r="AS109" s="47">
        <f t="shared" si="62"/>
        <v>4609.8</v>
      </c>
      <c r="AT109" s="47">
        <f t="shared" si="66"/>
        <v>9219.6</v>
      </c>
      <c r="AU109" s="43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0">
        <f t="shared" si="64"/>
        <v>5299.3</v>
      </c>
      <c r="AR110" s="10">
        <f t="shared" si="65"/>
        <v>5545.8</v>
      </c>
      <c r="AS110" s="47">
        <f t="shared" si="62"/>
        <v>4609.8</v>
      </c>
      <c r="AT110" s="47">
        <f t="shared" si="66"/>
        <v>9219.6</v>
      </c>
      <c r="AU110" s="43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0">
        <f t="shared" si="64"/>
        <v>5299.3</v>
      </c>
      <c r="AR111" s="10">
        <f t="shared" si="65"/>
        <v>5545.8</v>
      </c>
      <c r="AS111" s="47">
        <f t="shared" si="62"/>
        <v>4609.8</v>
      </c>
      <c r="AT111" s="47">
        <f t="shared" si="66"/>
        <v>9219.6</v>
      </c>
      <c r="AU111" s="43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0">
        <f t="shared" si="64"/>
        <v>5299.3</v>
      </c>
      <c r="AR112" s="10">
        <f t="shared" si="65"/>
        <v>5545.8</v>
      </c>
      <c r="AS112" s="47">
        <f t="shared" si="62"/>
        <v>4609.8</v>
      </c>
      <c r="AT112" s="47">
        <f t="shared" si="66"/>
        <v>9219.6</v>
      </c>
      <c r="AU112" s="43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0">
        <f t="shared" si="64"/>
        <v>3523.9</v>
      </c>
      <c r="AR113" s="10">
        <f t="shared" si="65"/>
        <v>3645.72</v>
      </c>
      <c r="AS113" s="47">
        <f t="shared" si="62"/>
        <v>3346.2000000000003</v>
      </c>
      <c r="AT113" s="47">
        <f t="shared" si="66"/>
        <v>6364.8</v>
      </c>
      <c r="AU113" s="43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0">
        <f t="shared" si="64"/>
        <v>3658.4</v>
      </c>
      <c r="AR114" s="10">
        <f t="shared" si="65"/>
        <v>3856.3199999999997</v>
      </c>
      <c r="AS114" s="47">
        <f t="shared" si="62"/>
        <v>3463.2</v>
      </c>
      <c r="AT114" s="47">
        <f t="shared" si="66"/>
        <v>6832.8</v>
      </c>
      <c r="AU114" s="43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0">
        <f t="shared" si="64"/>
        <v>3792.8999999999996</v>
      </c>
      <c r="AR115" s="10">
        <f t="shared" si="65"/>
        <v>4066.9199999999996</v>
      </c>
      <c r="AS115" s="47">
        <f t="shared" si="62"/>
        <v>3510</v>
      </c>
      <c r="AT115" s="47">
        <f t="shared" si="66"/>
        <v>7020</v>
      </c>
      <c r="AU115" s="43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0">
        <f t="shared" si="64"/>
        <v>3927.4000000000005</v>
      </c>
      <c r="AR116" s="10">
        <f t="shared" si="65"/>
        <v>4277.5200000000004</v>
      </c>
      <c r="AS116" s="47">
        <f t="shared" si="62"/>
        <v>3510</v>
      </c>
      <c r="AT116" s="47">
        <f t="shared" si="66"/>
        <v>7020</v>
      </c>
      <c r="AU116" s="43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0">
        <f t="shared" si="64"/>
        <v>4035</v>
      </c>
      <c r="AR117" s="10">
        <f t="shared" si="65"/>
        <v>4446</v>
      </c>
      <c r="AS117" s="47">
        <f t="shared" si="62"/>
        <v>3510</v>
      </c>
      <c r="AT117" s="47">
        <f t="shared" si="66"/>
        <v>7020</v>
      </c>
      <c r="AU117" s="43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0">
        <f t="shared" si="64"/>
        <v>4035</v>
      </c>
      <c r="AR118" s="10">
        <f t="shared" si="65"/>
        <v>4446</v>
      </c>
      <c r="AS118" s="47">
        <f t="shared" si="62"/>
        <v>3510</v>
      </c>
      <c r="AT118" s="47">
        <f t="shared" si="66"/>
        <v>7020</v>
      </c>
      <c r="AU118" s="43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0">
        <f t="shared" si="64"/>
        <v>4035</v>
      </c>
      <c r="AR119" s="10">
        <f t="shared" si="65"/>
        <v>4446</v>
      </c>
      <c r="AS119" s="47">
        <f t="shared" si="62"/>
        <v>3510</v>
      </c>
      <c r="AT119" s="47">
        <f t="shared" si="66"/>
        <v>7020</v>
      </c>
      <c r="AU119" s="43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0">
        <f t="shared" si="64"/>
        <v>4035</v>
      </c>
      <c r="AR120" s="10">
        <f t="shared" si="65"/>
        <v>4446</v>
      </c>
      <c r="AS120" s="47">
        <f t="shared" si="62"/>
        <v>3510</v>
      </c>
      <c r="AT120" s="47">
        <f t="shared" si="66"/>
        <v>7020</v>
      </c>
      <c r="AU120" s="43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0">
        <f t="shared" si="64"/>
        <v>4035</v>
      </c>
      <c r="AR121" s="10">
        <f t="shared" si="65"/>
        <v>4446</v>
      </c>
      <c r="AS121" s="47">
        <f t="shared" si="62"/>
        <v>3510</v>
      </c>
      <c r="AT121" s="47">
        <f t="shared" si="66"/>
        <v>7020</v>
      </c>
      <c r="AU121" s="43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0">
        <f t="shared" si="64"/>
        <v>4035</v>
      </c>
      <c r="AR122" s="10">
        <f t="shared" si="65"/>
        <v>4446</v>
      </c>
      <c r="AS122" s="47">
        <f t="shared" si="62"/>
        <v>3510</v>
      </c>
      <c r="AT122" s="47">
        <f t="shared" si="66"/>
        <v>7020</v>
      </c>
      <c r="AU122" s="43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0">
        <f t="shared" si="64"/>
        <v>4035</v>
      </c>
      <c r="AR123" s="10">
        <f t="shared" si="65"/>
        <v>4446</v>
      </c>
      <c r="AS123" s="47">
        <f t="shared" si="62"/>
        <v>3510</v>
      </c>
      <c r="AT123" s="47">
        <f t="shared" si="66"/>
        <v>7020</v>
      </c>
      <c r="AU123" s="43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0">
        <f t="shared" si="64"/>
        <v>3473.1</v>
      </c>
      <c r="AR124" s="10">
        <f t="shared" si="65"/>
        <v>3368.5299999999997</v>
      </c>
      <c r="AS124" s="47">
        <f t="shared" si="62"/>
        <v>3401.0499999999997</v>
      </c>
      <c r="AT124" s="47">
        <f t="shared" si="66"/>
        <v>5474.2</v>
      </c>
      <c r="AU124" s="43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0">
        <f t="shared" si="64"/>
        <v>3626.1000000000004</v>
      </c>
      <c r="AR125" s="10">
        <f t="shared" si="65"/>
        <v>3612.43</v>
      </c>
      <c r="AS125" s="47">
        <f t="shared" si="62"/>
        <v>3536.5500000000006</v>
      </c>
      <c r="AT125" s="47">
        <f t="shared" si="66"/>
        <v>6016.2000000000007</v>
      </c>
      <c r="AU125" s="43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0">
        <f t="shared" si="64"/>
        <v>3779.0999999999995</v>
      </c>
      <c r="AR126" s="10">
        <f t="shared" si="65"/>
        <v>3856.3299999999995</v>
      </c>
      <c r="AS126" s="47">
        <f t="shared" si="62"/>
        <v>3672.0499999999997</v>
      </c>
      <c r="AT126" s="47">
        <f t="shared" si="66"/>
        <v>6558.2</v>
      </c>
      <c r="AU126" s="43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0">
        <f t="shared" si="64"/>
        <v>3932.1000000000004</v>
      </c>
      <c r="AR127" s="10">
        <f t="shared" si="65"/>
        <v>4100.2299999999996</v>
      </c>
      <c r="AS127" s="47">
        <f t="shared" si="62"/>
        <v>3807.5499999999993</v>
      </c>
      <c r="AT127" s="47">
        <f t="shared" si="66"/>
        <v>7100.1999999999989</v>
      </c>
      <c r="AU127" s="43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0">
        <f t="shared" si="64"/>
        <v>4085.1</v>
      </c>
      <c r="AR128" s="10">
        <f t="shared" si="65"/>
        <v>4344.1299999999992</v>
      </c>
      <c r="AS128" s="47">
        <f t="shared" si="62"/>
        <v>3943.05</v>
      </c>
      <c r="AT128" s="47">
        <f t="shared" si="66"/>
        <v>7642.2</v>
      </c>
      <c r="AU128" s="43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0">
        <f t="shared" si="64"/>
        <v>4238.1000000000004</v>
      </c>
      <c r="AR129" s="10">
        <f t="shared" si="65"/>
        <v>4588.03</v>
      </c>
      <c r="AS129" s="47">
        <f t="shared" si="62"/>
        <v>4065</v>
      </c>
      <c r="AT129" s="47">
        <f t="shared" si="66"/>
        <v>8130</v>
      </c>
      <c r="AU129" s="43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0">
        <f t="shared" si="64"/>
        <v>4391.1000000000004</v>
      </c>
      <c r="AR130" s="10">
        <f t="shared" si="65"/>
        <v>4831.9299999999994</v>
      </c>
      <c r="AS130" s="47">
        <f t="shared" si="62"/>
        <v>4065</v>
      </c>
      <c r="AT130" s="47">
        <f t="shared" si="66"/>
        <v>8130</v>
      </c>
      <c r="AU130" s="43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0">
        <f t="shared" si="64"/>
        <v>4544.1000000000004</v>
      </c>
      <c r="AR131" s="10">
        <f t="shared" si="65"/>
        <v>5075.83</v>
      </c>
      <c r="AS131" s="47">
        <f t="shared" ref="AS131:AS194" si="70">$AG$3*(1+$AJ131*$Y$2+$AN131)*(MAXA(1-$AI$3-$AL131*$AA$3-$AP131-0.36,0)+MINA($AI$3+$AL131*$AA$3+$AP131+0.36,1)*(1+$AH$3+$AO131+$AK131*$Z$4))</f>
        <v>4065</v>
      </c>
      <c r="AT131" s="47">
        <f t="shared" ref="AT131:AT194" si="71">$AG$3*(1+$AJ131*$Y$2+$AN131)*(MAXA(1-$AI$3-$AL131*$AA$3-$AP131-0.36,0)+2*MINA($AI$3+$AL131*$AA$3+$AP131+0.36,1)*(1+$AH$3+$AO131+$AK131*$Z$4))</f>
        <v>8130</v>
      </c>
      <c r="AU131" s="43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0">
        <f t="shared" ref="AQ132:AQ195" si="73">$AG$3*(1+$AJ132*$Y$2+$AN132+0.35)*(MAXA(1-$AI$3-$AL132*$AA$3-$AP132-0.12,0)+MINA($AI$3+$AL132*$AA$3+$AP132+0.12,1)*(1+$AH$3+$AO132+$AK132*$Z$4))</f>
        <v>4590</v>
      </c>
      <c r="AR132" s="10">
        <f t="shared" ref="AR132:AR195" si="74">$AG$3*(1+$AJ132*$Y$2+$AN132)*(MAXA(1-$AI$3-$AL132*$AA$3-$AP132-0.12,0)+MINA($AI$3+$AL132*$AA$3+$AP132+0.12,1)*(1+$AH$3+$AO132+$AK132*$Z$4+0.4))</f>
        <v>5149</v>
      </c>
      <c r="AS132" s="47">
        <f t="shared" si="70"/>
        <v>4065</v>
      </c>
      <c r="AT132" s="47">
        <f t="shared" si="71"/>
        <v>8130</v>
      </c>
      <c r="AU132" s="43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0">
        <f t="shared" si="73"/>
        <v>4590</v>
      </c>
      <c r="AR133" s="10">
        <f t="shared" si="74"/>
        <v>5149</v>
      </c>
      <c r="AS133" s="47">
        <f t="shared" si="70"/>
        <v>4065</v>
      </c>
      <c r="AT133" s="47">
        <f t="shared" si="71"/>
        <v>8130</v>
      </c>
      <c r="AU133" s="43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0">
        <f t="shared" si="73"/>
        <v>4590</v>
      </c>
      <c r="AR134" s="10">
        <f t="shared" si="74"/>
        <v>5149</v>
      </c>
      <c r="AS134" s="47">
        <f t="shared" si="70"/>
        <v>4065</v>
      </c>
      <c r="AT134" s="47">
        <f t="shared" si="71"/>
        <v>8130</v>
      </c>
      <c r="AU134" s="43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0">
        <f>$AG$3*(1+$AJ135*$Y$2+$AN135+0.35)*(MAXA(1-$AI$3-$AL135*$AA$3-$AP135-0.12,0)+MINA($AI$3+$AL135*$AA$3+$AP135+0.12,1)*(1+$AH$3+$AO135+$AK135*$Z$4))</f>
        <v>3646.8910000000001</v>
      </c>
      <c r="AR135" s="10">
        <f t="shared" si="74"/>
        <v>3479.5459999999998</v>
      </c>
      <c r="AS135" s="47">
        <f t="shared" si="70"/>
        <v>3796.538</v>
      </c>
      <c r="AT135" s="47">
        <f t="shared" si="71"/>
        <v>6348.4759999999987</v>
      </c>
      <c r="AU135" s="43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0">
        <f t="shared" si="73"/>
        <v>3927.221</v>
      </c>
      <c r="AR136" s="10">
        <f t="shared" si="74"/>
        <v>3827.5259999999998</v>
      </c>
      <c r="AS136" s="47">
        <f t="shared" si="70"/>
        <v>4042.9179999999997</v>
      </c>
      <c r="AT136" s="47">
        <f t="shared" si="71"/>
        <v>7095.2359999999999</v>
      </c>
      <c r="AU136" s="43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0">
        <f t="shared" si="73"/>
        <v>4207.5509999999995</v>
      </c>
      <c r="AR137" s="10">
        <f t="shared" si="74"/>
        <v>4175.5059999999994</v>
      </c>
      <c r="AS137" s="47">
        <f t="shared" si="70"/>
        <v>4289.2979999999998</v>
      </c>
      <c r="AT137" s="47">
        <f t="shared" si="71"/>
        <v>7841.9959999999992</v>
      </c>
      <c r="AU137" s="43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0">
        <f t="shared" si="73"/>
        <v>4487.8809999999994</v>
      </c>
      <c r="AR138" s="10">
        <f t="shared" si="74"/>
        <v>4523.4859999999999</v>
      </c>
      <c r="AS138" s="47">
        <f t="shared" si="70"/>
        <v>4535.6779999999999</v>
      </c>
      <c r="AT138" s="47">
        <f t="shared" si="71"/>
        <v>8588.7559999999994</v>
      </c>
      <c r="AU138" s="43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0">
        <f t="shared" si="73"/>
        <v>4768.2110000000002</v>
      </c>
      <c r="AR139" s="10">
        <f t="shared" si="74"/>
        <v>4871.4659999999994</v>
      </c>
      <c r="AS139" s="47">
        <f t="shared" si="70"/>
        <v>4782.0579999999991</v>
      </c>
      <c r="AT139" s="47">
        <f t="shared" si="71"/>
        <v>9335.5159999999996</v>
      </c>
      <c r="AU139" s="43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0">
        <f t="shared" si="73"/>
        <v>5048.5409999999993</v>
      </c>
      <c r="AR140" s="10">
        <f t="shared" si="74"/>
        <v>5219.4459999999999</v>
      </c>
      <c r="AS140" s="47">
        <f t="shared" si="70"/>
        <v>5003.8</v>
      </c>
      <c r="AT140" s="47">
        <f t="shared" si="71"/>
        <v>10007.6</v>
      </c>
      <c r="AU140" s="43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0">
        <f t="shared" si="73"/>
        <v>5328.8710000000001</v>
      </c>
      <c r="AR141" s="10">
        <f t="shared" si="74"/>
        <v>5567.4259999999995</v>
      </c>
      <c r="AS141" s="47">
        <f t="shared" si="70"/>
        <v>5003.8</v>
      </c>
      <c r="AT141" s="47">
        <f t="shared" si="71"/>
        <v>10007.6</v>
      </c>
      <c r="AU141" s="43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0">
        <f t="shared" si="73"/>
        <v>5609.2009999999991</v>
      </c>
      <c r="AR142" s="10">
        <f t="shared" si="74"/>
        <v>5915.4059999999999</v>
      </c>
      <c r="AS142" s="47">
        <f t="shared" si="70"/>
        <v>5003.8</v>
      </c>
      <c r="AT142" s="47">
        <f t="shared" si="71"/>
        <v>10007.6</v>
      </c>
      <c r="AU142" s="43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0">
        <f t="shared" si="73"/>
        <v>5693.3</v>
      </c>
      <c r="AR143" s="10">
        <f t="shared" si="74"/>
        <v>6019.8</v>
      </c>
      <c r="AS143" s="47">
        <f t="shared" si="70"/>
        <v>5003.8</v>
      </c>
      <c r="AT143" s="47">
        <f t="shared" si="71"/>
        <v>10007.6</v>
      </c>
      <c r="AU143" s="43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0">
        <f t="shared" si="73"/>
        <v>5693.3</v>
      </c>
      <c r="AR144" s="10">
        <f t="shared" si="74"/>
        <v>6019.8</v>
      </c>
      <c r="AS144" s="47">
        <f t="shared" si="70"/>
        <v>5003.8</v>
      </c>
      <c r="AT144" s="47">
        <f t="shared" si="71"/>
        <v>10007.6</v>
      </c>
      <c r="AU144" s="43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0">
        <f t="shared" si="73"/>
        <v>5693.3</v>
      </c>
      <c r="AR145" s="10">
        <f t="shared" si="74"/>
        <v>6019.8</v>
      </c>
      <c r="AS145" s="47">
        <f t="shared" si="70"/>
        <v>5003.8</v>
      </c>
      <c r="AT145" s="47">
        <f t="shared" si="71"/>
        <v>10007.6</v>
      </c>
      <c r="AU145" s="43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0">
        <f t="shared" si="73"/>
        <v>3785.9</v>
      </c>
      <c r="AR146" s="10">
        <f t="shared" si="74"/>
        <v>3957.3199999999997</v>
      </c>
      <c r="AS146" s="47">
        <f t="shared" si="70"/>
        <v>3632.2000000000003</v>
      </c>
      <c r="AT146" s="47">
        <f t="shared" si="71"/>
        <v>6908.8</v>
      </c>
      <c r="AU146" s="43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0">
        <f t="shared" si="73"/>
        <v>3930.4</v>
      </c>
      <c r="AR147" s="10">
        <f t="shared" si="74"/>
        <v>4185.92</v>
      </c>
      <c r="AS147" s="47">
        <f t="shared" si="70"/>
        <v>3759.2</v>
      </c>
      <c r="AT147" s="47">
        <f t="shared" si="71"/>
        <v>7416.8</v>
      </c>
      <c r="AU147" s="43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0">
        <f t="shared" si="73"/>
        <v>4074.8999999999996</v>
      </c>
      <c r="AR148" s="10">
        <f t="shared" si="74"/>
        <v>4414.5199999999995</v>
      </c>
      <c r="AS148" s="47">
        <f t="shared" si="70"/>
        <v>3810</v>
      </c>
      <c r="AT148" s="47">
        <f t="shared" si="71"/>
        <v>7620</v>
      </c>
      <c r="AU148" s="43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0">
        <f t="shared" si="73"/>
        <v>4219.4000000000005</v>
      </c>
      <c r="AR149" s="10">
        <f t="shared" si="74"/>
        <v>4643.12</v>
      </c>
      <c r="AS149" s="47">
        <f t="shared" si="70"/>
        <v>3810</v>
      </c>
      <c r="AT149" s="47">
        <f t="shared" si="71"/>
        <v>7620</v>
      </c>
      <c r="AU149" s="43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0">
        <f t="shared" si="73"/>
        <v>4335</v>
      </c>
      <c r="AR150" s="10">
        <f t="shared" si="74"/>
        <v>4826</v>
      </c>
      <c r="AS150" s="47">
        <f t="shared" si="70"/>
        <v>3810</v>
      </c>
      <c r="AT150" s="47">
        <f t="shared" si="71"/>
        <v>7620</v>
      </c>
      <c r="AU150" s="43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0">
        <f t="shared" si="73"/>
        <v>4335</v>
      </c>
      <c r="AR151" s="10">
        <f t="shared" si="74"/>
        <v>4826</v>
      </c>
      <c r="AS151" s="47">
        <f t="shared" si="70"/>
        <v>3810</v>
      </c>
      <c r="AT151" s="47">
        <f t="shared" si="71"/>
        <v>7620</v>
      </c>
      <c r="AU151" s="43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0">
        <f t="shared" si="73"/>
        <v>4335</v>
      </c>
      <c r="AR152" s="10">
        <f t="shared" si="74"/>
        <v>4826</v>
      </c>
      <c r="AS152" s="47">
        <f t="shared" si="70"/>
        <v>3810</v>
      </c>
      <c r="AT152" s="47">
        <f t="shared" si="71"/>
        <v>7620</v>
      </c>
      <c r="AU152" s="43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0">
        <f t="shared" si="73"/>
        <v>4335</v>
      </c>
      <c r="AR153" s="10">
        <f t="shared" si="74"/>
        <v>4826</v>
      </c>
      <c r="AS153" s="47">
        <f t="shared" si="70"/>
        <v>3810</v>
      </c>
      <c r="AT153" s="47">
        <f t="shared" si="71"/>
        <v>7620</v>
      </c>
      <c r="AU153" s="43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0">
        <f t="shared" si="73"/>
        <v>4335</v>
      </c>
      <c r="AR154" s="10">
        <f t="shared" si="74"/>
        <v>4826</v>
      </c>
      <c r="AS154" s="47">
        <f t="shared" si="70"/>
        <v>3810</v>
      </c>
      <c r="AT154" s="47">
        <f t="shared" si="71"/>
        <v>7620</v>
      </c>
      <c r="AU154" s="43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0">
        <f t="shared" si="73"/>
        <v>4335</v>
      </c>
      <c r="AR155" s="10">
        <f t="shared" si="74"/>
        <v>4826</v>
      </c>
      <c r="AS155" s="47">
        <f t="shared" si="70"/>
        <v>3810</v>
      </c>
      <c r="AT155" s="47">
        <f t="shared" si="71"/>
        <v>7620</v>
      </c>
      <c r="AU155" s="43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0">
        <f t="shared" si="73"/>
        <v>4335</v>
      </c>
      <c r="AR156" s="10">
        <f t="shared" si="74"/>
        <v>4826</v>
      </c>
      <c r="AS156" s="47">
        <f t="shared" si="70"/>
        <v>3810</v>
      </c>
      <c r="AT156" s="47">
        <f t="shared" si="71"/>
        <v>7620</v>
      </c>
      <c r="AU156" s="43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0">
        <f t="shared" si="73"/>
        <v>3700.1000000000004</v>
      </c>
      <c r="AR157" s="10">
        <f t="shared" si="74"/>
        <v>3617.1299999999997</v>
      </c>
      <c r="AS157" s="47">
        <f t="shared" si="70"/>
        <v>3652.0499999999997</v>
      </c>
      <c r="AT157" s="47">
        <f t="shared" si="71"/>
        <v>5878.2</v>
      </c>
      <c r="AU157" s="43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0">
        <f t="shared" si="73"/>
        <v>3863.1000000000008</v>
      </c>
      <c r="AR158" s="10">
        <f t="shared" si="74"/>
        <v>3879.0299999999997</v>
      </c>
      <c r="AS158" s="47">
        <f t="shared" si="70"/>
        <v>3797.5500000000006</v>
      </c>
      <c r="AT158" s="47">
        <f t="shared" si="71"/>
        <v>6460.2000000000007</v>
      </c>
      <c r="AU158" s="43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0">
        <f t="shared" si="73"/>
        <v>4026.1000000000004</v>
      </c>
      <c r="AR159" s="10">
        <f t="shared" si="74"/>
        <v>4140.9299999999994</v>
      </c>
      <c r="AS159" s="47">
        <f t="shared" si="70"/>
        <v>3943.0499999999997</v>
      </c>
      <c r="AT159" s="47">
        <f t="shared" si="71"/>
        <v>7042.2</v>
      </c>
      <c r="AU159" s="43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0">
        <f t="shared" si="73"/>
        <v>4189.1000000000013</v>
      </c>
      <c r="AR160" s="10">
        <f t="shared" si="74"/>
        <v>4402.83</v>
      </c>
      <c r="AS160" s="47">
        <f t="shared" si="70"/>
        <v>4088.5499999999993</v>
      </c>
      <c r="AT160" s="47">
        <f t="shared" si="71"/>
        <v>7624.1999999999989</v>
      </c>
      <c r="AU160" s="43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0">
        <f t="shared" si="73"/>
        <v>4352.1000000000004</v>
      </c>
      <c r="AR161" s="10">
        <f t="shared" si="74"/>
        <v>4664.7299999999996</v>
      </c>
      <c r="AS161" s="47">
        <f t="shared" si="70"/>
        <v>4234.05</v>
      </c>
      <c r="AT161" s="47">
        <f t="shared" si="71"/>
        <v>8206.1999999999989</v>
      </c>
      <c r="AU161" s="43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0">
        <f t="shared" si="73"/>
        <v>4515.1000000000004</v>
      </c>
      <c r="AR162" s="10">
        <f t="shared" si="74"/>
        <v>4926.6299999999992</v>
      </c>
      <c r="AS162" s="47">
        <f t="shared" si="70"/>
        <v>4365</v>
      </c>
      <c r="AT162" s="47">
        <f t="shared" si="71"/>
        <v>8730</v>
      </c>
      <c r="AU162" s="43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0">
        <f t="shared" si="73"/>
        <v>4678.1000000000013</v>
      </c>
      <c r="AR163" s="10">
        <f t="shared" si="74"/>
        <v>5188.53</v>
      </c>
      <c r="AS163" s="47">
        <f t="shared" si="70"/>
        <v>4365</v>
      </c>
      <c r="AT163" s="47">
        <f t="shared" si="71"/>
        <v>8730</v>
      </c>
      <c r="AU163" s="43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0">
        <f t="shared" si="73"/>
        <v>4841.1000000000013</v>
      </c>
      <c r="AR164" s="10">
        <f t="shared" si="74"/>
        <v>5450.43</v>
      </c>
      <c r="AS164" s="47">
        <f t="shared" si="70"/>
        <v>4365</v>
      </c>
      <c r="AT164" s="47">
        <f t="shared" si="71"/>
        <v>8730</v>
      </c>
      <c r="AU164" s="43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0">
        <f t="shared" si="73"/>
        <v>4890.0000000000009</v>
      </c>
      <c r="AR165" s="10">
        <f t="shared" si="74"/>
        <v>5529</v>
      </c>
      <c r="AS165" s="47">
        <f t="shared" si="70"/>
        <v>4365</v>
      </c>
      <c r="AT165" s="47">
        <f t="shared" si="71"/>
        <v>8730</v>
      </c>
      <c r="AU165" s="43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0">
        <f t="shared" si="73"/>
        <v>4890.0000000000009</v>
      </c>
      <c r="AR166" s="10">
        <f t="shared" si="74"/>
        <v>5529</v>
      </c>
      <c r="AS166" s="47">
        <f t="shared" si="70"/>
        <v>4365</v>
      </c>
      <c r="AT166" s="47">
        <f t="shared" si="71"/>
        <v>8730</v>
      </c>
      <c r="AU166" s="43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0">
        <f t="shared" si="73"/>
        <v>4890.0000000000009</v>
      </c>
      <c r="AR167" s="10">
        <f t="shared" si="74"/>
        <v>5529</v>
      </c>
      <c r="AS167" s="47">
        <f t="shared" si="70"/>
        <v>4365</v>
      </c>
      <c r="AT167" s="47">
        <f t="shared" si="71"/>
        <v>8730</v>
      </c>
      <c r="AU167" s="43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0">
        <f t="shared" si="73"/>
        <v>3899.2710000000006</v>
      </c>
      <c r="AR168" s="10">
        <f t="shared" si="74"/>
        <v>3753.5259999999998</v>
      </c>
      <c r="AS168" s="47">
        <f t="shared" si="70"/>
        <v>4095.4779999999996</v>
      </c>
      <c r="AT168" s="47">
        <f t="shared" si="71"/>
        <v>6848.3559999999989</v>
      </c>
      <c r="AU168" s="43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0">
        <f t="shared" si="73"/>
        <v>4199.0010000000002</v>
      </c>
      <c r="AR169" s="10">
        <f t="shared" si="74"/>
        <v>4128.9059999999999</v>
      </c>
      <c r="AS169" s="47">
        <f t="shared" si="70"/>
        <v>4361.2579999999998</v>
      </c>
      <c r="AT169" s="47">
        <f t="shared" si="71"/>
        <v>7653.9160000000002</v>
      </c>
      <c r="AU169" s="43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0">
        <f t="shared" si="73"/>
        <v>4498.7309999999998</v>
      </c>
      <c r="AR170" s="10">
        <f t="shared" si="74"/>
        <v>4504.2860000000001</v>
      </c>
      <c r="AS170" s="47">
        <f t="shared" si="70"/>
        <v>4627.0379999999996</v>
      </c>
      <c r="AT170" s="47">
        <f t="shared" si="71"/>
        <v>8459.4759999999987</v>
      </c>
      <c r="AU170" s="43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0">
        <f t="shared" si="73"/>
        <v>4798.4610000000002</v>
      </c>
      <c r="AR171" s="10">
        <f t="shared" si="74"/>
        <v>4879.6660000000002</v>
      </c>
      <c r="AS171" s="47">
        <f t="shared" si="70"/>
        <v>4892.8179999999993</v>
      </c>
      <c r="AT171" s="47">
        <f t="shared" si="71"/>
        <v>9265.0360000000001</v>
      </c>
      <c r="AU171" s="43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0">
        <f t="shared" si="73"/>
        <v>5098.1910000000016</v>
      </c>
      <c r="AR172" s="10">
        <f t="shared" si="74"/>
        <v>5255.0460000000003</v>
      </c>
      <c r="AS172" s="47">
        <f t="shared" si="70"/>
        <v>5158.598</v>
      </c>
      <c r="AT172" s="47">
        <f t="shared" si="71"/>
        <v>10070.596</v>
      </c>
      <c r="AU172" s="43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0">
        <f t="shared" si="73"/>
        <v>5397.9210000000003</v>
      </c>
      <c r="AR173" s="10">
        <f t="shared" si="74"/>
        <v>5630.4259999999995</v>
      </c>
      <c r="AS173" s="47">
        <f t="shared" si="70"/>
        <v>5397.8</v>
      </c>
      <c r="AT173" s="47">
        <f t="shared" si="71"/>
        <v>10795.6</v>
      </c>
      <c r="AU173" s="43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0">
        <f t="shared" si="73"/>
        <v>5697.6510000000007</v>
      </c>
      <c r="AR174" s="10">
        <f t="shared" si="74"/>
        <v>6005.8059999999996</v>
      </c>
      <c r="AS174" s="47">
        <f t="shared" si="70"/>
        <v>5397.8</v>
      </c>
      <c r="AT174" s="47">
        <f t="shared" si="71"/>
        <v>10795.6</v>
      </c>
      <c r="AU174" s="43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0">
        <f t="shared" si="73"/>
        <v>5997.3810000000003</v>
      </c>
      <c r="AR175" s="10">
        <f t="shared" si="74"/>
        <v>6381.1859999999997</v>
      </c>
      <c r="AS175" s="47">
        <f t="shared" si="70"/>
        <v>5397.8</v>
      </c>
      <c r="AT175" s="47">
        <f t="shared" si="71"/>
        <v>10795.6</v>
      </c>
      <c r="AU175" s="43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0">
        <f t="shared" si="73"/>
        <v>6087.3000000000011</v>
      </c>
      <c r="AR176" s="10">
        <f t="shared" si="74"/>
        <v>6493.8</v>
      </c>
      <c r="AS176" s="47">
        <f t="shared" si="70"/>
        <v>5397.8</v>
      </c>
      <c r="AT176" s="47">
        <f t="shared" si="71"/>
        <v>10795.6</v>
      </c>
      <c r="AU176" s="43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0">
        <f t="shared" si="73"/>
        <v>6087.3000000000011</v>
      </c>
      <c r="AR177" s="10">
        <f t="shared" si="74"/>
        <v>6493.8</v>
      </c>
      <c r="AS177" s="47">
        <f t="shared" si="70"/>
        <v>5397.8</v>
      </c>
      <c r="AT177" s="47">
        <f t="shared" si="71"/>
        <v>10795.6</v>
      </c>
      <c r="AU177" s="43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0">
        <f t="shared" si="73"/>
        <v>6087.3000000000011</v>
      </c>
      <c r="AR178" s="10">
        <f t="shared" si="74"/>
        <v>6493.8</v>
      </c>
      <c r="AS178" s="47">
        <f t="shared" si="70"/>
        <v>5397.8</v>
      </c>
      <c r="AT178" s="47">
        <f t="shared" si="71"/>
        <v>10795.6</v>
      </c>
      <c r="AU178" s="43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0">
        <f t="shared" si="73"/>
        <v>4047.9000000000005</v>
      </c>
      <c r="AR179" s="10">
        <f t="shared" si="74"/>
        <v>4268.9199999999992</v>
      </c>
      <c r="AS179" s="47">
        <f t="shared" si="70"/>
        <v>3918.2000000000003</v>
      </c>
      <c r="AT179" s="47">
        <f t="shared" si="71"/>
        <v>7452.8</v>
      </c>
      <c r="AU179" s="43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0">
        <f t="shared" si="73"/>
        <v>4202.4000000000005</v>
      </c>
      <c r="AR180" s="10">
        <f t="shared" si="74"/>
        <v>4515.5199999999995</v>
      </c>
      <c r="AS180" s="47">
        <f t="shared" si="70"/>
        <v>4055.2</v>
      </c>
      <c r="AT180" s="47">
        <f t="shared" si="71"/>
        <v>8000.8</v>
      </c>
      <c r="AU180" s="43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0">
        <f t="shared" si="73"/>
        <v>4356.9000000000005</v>
      </c>
      <c r="AR181" s="10">
        <f t="shared" si="74"/>
        <v>4762.119999999999</v>
      </c>
      <c r="AS181" s="47">
        <f t="shared" si="70"/>
        <v>4110</v>
      </c>
      <c r="AT181" s="47">
        <f t="shared" si="71"/>
        <v>8220</v>
      </c>
      <c r="AU181" s="43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0">
        <f t="shared" si="73"/>
        <v>4511.4000000000015</v>
      </c>
      <c r="AR182" s="10">
        <f t="shared" si="74"/>
        <v>5008.72</v>
      </c>
      <c r="AS182" s="47">
        <f t="shared" si="70"/>
        <v>4110</v>
      </c>
      <c r="AT182" s="47">
        <f t="shared" si="71"/>
        <v>8220</v>
      </c>
      <c r="AU182" s="43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0">
        <f t="shared" si="73"/>
        <v>4635.0000000000009</v>
      </c>
      <c r="AR183" s="10">
        <f t="shared" si="74"/>
        <v>5206</v>
      </c>
      <c r="AS183" s="47">
        <f t="shared" si="70"/>
        <v>4110</v>
      </c>
      <c r="AT183" s="47">
        <f t="shared" si="71"/>
        <v>8220</v>
      </c>
      <c r="AU183" s="43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0">
        <f t="shared" si="73"/>
        <v>4635.0000000000009</v>
      </c>
      <c r="AR184" s="10">
        <f t="shared" si="74"/>
        <v>5206</v>
      </c>
      <c r="AS184" s="47">
        <f t="shared" si="70"/>
        <v>4110</v>
      </c>
      <c r="AT184" s="47">
        <f t="shared" si="71"/>
        <v>8220</v>
      </c>
      <c r="AU184" s="43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0">
        <f t="shared" si="73"/>
        <v>4635.0000000000009</v>
      </c>
      <c r="AR185" s="10">
        <f t="shared" si="74"/>
        <v>5206</v>
      </c>
      <c r="AS185" s="47">
        <f t="shared" si="70"/>
        <v>4110</v>
      </c>
      <c r="AT185" s="47">
        <f t="shared" si="71"/>
        <v>8220</v>
      </c>
      <c r="AU185" s="43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0">
        <f t="shared" si="73"/>
        <v>4635.0000000000009</v>
      </c>
      <c r="AR186" s="10">
        <f t="shared" si="74"/>
        <v>5206</v>
      </c>
      <c r="AS186" s="47">
        <f t="shared" si="70"/>
        <v>4110</v>
      </c>
      <c r="AT186" s="47">
        <f t="shared" si="71"/>
        <v>8220</v>
      </c>
      <c r="AU186" s="43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0">
        <f t="shared" si="73"/>
        <v>4635.0000000000009</v>
      </c>
      <c r="AR187" s="10">
        <f t="shared" si="74"/>
        <v>5206</v>
      </c>
      <c r="AS187" s="47">
        <f t="shared" si="70"/>
        <v>4110</v>
      </c>
      <c r="AT187" s="47">
        <f t="shared" si="71"/>
        <v>8220</v>
      </c>
      <c r="AU187" s="43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0">
        <f t="shared" si="73"/>
        <v>4635.0000000000009</v>
      </c>
      <c r="AR188" s="10">
        <f t="shared" si="74"/>
        <v>5206</v>
      </c>
      <c r="AS188" s="47">
        <f t="shared" si="70"/>
        <v>4110</v>
      </c>
      <c r="AT188" s="47">
        <f t="shared" si="71"/>
        <v>8220</v>
      </c>
      <c r="AU188" s="43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0">
        <f t="shared" si="73"/>
        <v>4635.0000000000009</v>
      </c>
      <c r="AR189" s="10">
        <f t="shared" si="74"/>
        <v>5206</v>
      </c>
      <c r="AS189" s="47">
        <f t="shared" si="70"/>
        <v>4110</v>
      </c>
      <c r="AT189" s="47">
        <f t="shared" si="71"/>
        <v>8220</v>
      </c>
      <c r="AU189" s="43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0">
        <f t="shared" si="73"/>
        <v>3927.1</v>
      </c>
      <c r="AR190" s="10">
        <f t="shared" si="74"/>
        <v>3865.7299999999996</v>
      </c>
      <c r="AS190" s="47">
        <f t="shared" si="70"/>
        <v>3903.0499999999997</v>
      </c>
      <c r="AT190" s="47">
        <f t="shared" si="71"/>
        <v>6282.2</v>
      </c>
      <c r="AU190" s="43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0">
        <f t="shared" si="73"/>
        <v>4100.1000000000004</v>
      </c>
      <c r="AR191" s="10">
        <f t="shared" si="74"/>
        <v>4145.63</v>
      </c>
      <c r="AS191" s="47">
        <f t="shared" si="70"/>
        <v>4058.5500000000006</v>
      </c>
      <c r="AT191" s="47">
        <f t="shared" si="71"/>
        <v>6904.2000000000007</v>
      </c>
      <c r="AU191" s="43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0">
        <f t="shared" si="73"/>
        <v>4273.0999999999995</v>
      </c>
      <c r="AR192" s="10">
        <f t="shared" si="74"/>
        <v>4425.53</v>
      </c>
      <c r="AS192" s="47">
        <f t="shared" si="70"/>
        <v>4214.05</v>
      </c>
      <c r="AT192" s="47">
        <f t="shared" si="71"/>
        <v>7526.2</v>
      </c>
      <c r="AU192" s="43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0">
        <f t="shared" si="73"/>
        <v>4446.1000000000004</v>
      </c>
      <c r="AR193" s="10">
        <f t="shared" si="74"/>
        <v>4705.4299999999994</v>
      </c>
      <c r="AS193" s="47">
        <f t="shared" si="70"/>
        <v>4369.5499999999993</v>
      </c>
      <c r="AT193" s="47">
        <f t="shared" si="71"/>
        <v>8148.1999999999989</v>
      </c>
      <c r="AU193" s="43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0">
        <f t="shared" si="73"/>
        <v>4619.0999999999995</v>
      </c>
      <c r="AR194" s="10">
        <f t="shared" si="74"/>
        <v>4985.329999999999</v>
      </c>
      <c r="AS194" s="47">
        <f t="shared" si="70"/>
        <v>4525.05</v>
      </c>
      <c r="AT194" s="47">
        <f t="shared" si="71"/>
        <v>8770.1999999999989</v>
      </c>
      <c r="AU194" s="43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0">
        <f t="shared" si="73"/>
        <v>4792.1000000000004</v>
      </c>
      <c r="AR195" s="10">
        <f t="shared" si="74"/>
        <v>5265.23</v>
      </c>
      <c r="AS195" s="47">
        <f t="shared" ref="AS195:AS258" si="77">$AG$3*(1+$AJ195*$Y$2+$AN195)*(MAXA(1-$AI$3-$AL195*$AA$3-$AP195-0.36,0)+MINA($AI$3+$AL195*$AA$3+$AP195+0.36,1)*(1+$AH$3+$AO195+$AK195*$Z$4))</f>
        <v>4665</v>
      </c>
      <c r="AT195" s="47">
        <f t="shared" ref="AT195:AT258" si="78">$AG$3*(1+$AJ195*$Y$2+$AN195)*(MAXA(1-$AI$3-$AL195*$AA$3-$AP195-0.36,0)+2*MINA($AI$3+$AL195*$AA$3+$AP195+0.36,1)*(1+$AH$3+$AO195+$AK195*$Z$4))</f>
        <v>9330</v>
      </c>
      <c r="AU195" s="43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0">
        <f t="shared" ref="AQ196:AQ259" si="80">$AG$3*(1+$AJ196*$Y$2+$AN196+0.35)*(MAXA(1-$AI$3-$AL196*$AA$3-$AP196-0.12,0)+MINA($AI$3+$AL196*$AA$3+$AP196+0.12,1)*(1+$AH$3+$AO196+$AK196*$Z$4))</f>
        <v>4965.1000000000004</v>
      </c>
      <c r="AR196" s="10">
        <f t="shared" ref="AR196:AR259" si="81">$AG$3*(1+$AJ196*$Y$2+$AN196)*(MAXA(1-$AI$3-$AL196*$AA$3-$AP196-0.12,0)+MINA($AI$3+$AL196*$AA$3+$AP196+0.12,1)*(1+$AH$3+$AO196+$AK196*$Z$4+0.4))</f>
        <v>5545.13</v>
      </c>
      <c r="AS196" s="47">
        <f t="shared" si="77"/>
        <v>4665</v>
      </c>
      <c r="AT196" s="47">
        <f t="shared" si="78"/>
        <v>9330</v>
      </c>
      <c r="AU196" s="43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0">
        <f t="shared" si="80"/>
        <v>5138.1000000000004</v>
      </c>
      <c r="AR197" s="10">
        <f t="shared" si="81"/>
        <v>5825.03</v>
      </c>
      <c r="AS197" s="47">
        <f t="shared" si="77"/>
        <v>4665</v>
      </c>
      <c r="AT197" s="47">
        <f t="shared" si="78"/>
        <v>9330</v>
      </c>
      <c r="AU197" s="43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0">
        <f t="shared" si="80"/>
        <v>5190</v>
      </c>
      <c r="AR198" s="10">
        <f t="shared" si="81"/>
        <v>5909</v>
      </c>
      <c r="AS198" s="47">
        <f t="shared" si="77"/>
        <v>4665</v>
      </c>
      <c r="AT198" s="47">
        <f t="shared" si="78"/>
        <v>9330</v>
      </c>
      <c r="AU198" s="43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0">
        <f t="shared" si="80"/>
        <v>5190</v>
      </c>
      <c r="AR199" s="10">
        <f t="shared" si="81"/>
        <v>5909</v>
      </c>
      <c r="AS199" s="47">
        <f t="shared" si="77"/>
        <v>4665</v>
      </c>
      <c r="AT199" s="47">
        <f t="shared" si="78"/>
        <v>9330</v>
      </c>
      <c r="AU199" s="43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0">
        <f t="shared" si="80"/>
        <v>5190</v>
      </c>
      <c r="AR200" s="10">
        <f t="shared" si="81"/>
        <v>5909</v>
      </c>
      <c r="AS200" s="47">
        <f t="shared" si="77"/>
        <v>4665</v>
      </c>
      <c r="AT200" s="47">
        <f t="shared" si="78"/>
        <v>9330</v>
      </c>
      <c r="AU200" s="43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203">
        <f t="shared" si="80"/>
        <v>2750.2310000000002</v>
      </c>
      <c r="AR201" s="203">
        <f t="shared" si="81"/>
        <v>2477.5859999999998</v>
      </c>
      <c r="AS201" s="203">
        <f t="shared" si="77"/>
        <v>2778.2579999999998</v>
      </c>
      <c r="AT201" s="203">
        <f t="shared" ref="AT201:AT233" si="82">$AG$3*(1+$AJ201*$Y$2+$AN201+0.35)*(MAXA(1-$AI$3-$AL201*$AA$3-$AP201-0.12,0)+2*MINA($AI$3+$AL201*$AA$3+$AP201+0.12,1)*(1+$AH$3+$AO201+$AK201*$Z$4))</f>
        <v>3974.7619999999997</v>
      </c>
      <c r="AU201" s="203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203">
        <f t="shared" si="80"/>
        <v>2994.761</v>
      </c>
      <c r="AR202" s="203">
        <f t="shared" si="81"/>
        <v>2750.7660000000001</v>
      </c>
      <c r="AS202" s="203">
        <f t="shared" si="77"/>
        <v>2981.8379999999997</v>
      </c>
      <c r="AT202" s="203">
        <f t="shared" si="82"/>
        <v>4672.8219999999992</v>
      </c>
      <c r="AU202" s="203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203">
        <f t="shared" si="80"/>
        <v>3239.2909999999993</v>
      </c>
      <c r="AR203" s="203">
        <f t="shared" si="81"/>
        <v>3023.9459999999995</v>
      </c>
      <c r="AS203" s="203">
        <f t="shared" si="77"/>
        <v>3185.4179999999997</v>
      </c>
      <c r="AT203" s="203">
        <f t="shared" si="82"/>
        <v>5370.8819999999987</v>
      </c>
      <c r="AU203" s="203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203">
        <f t="shared" si="80"/>
        <v>3483.8209999999999</v>
      </c>
      <c r="AR204" s="203">
        <f t="shared" si="81"/>
        <v>3297.1259999999997</v>
      </c>
      <c r="AS204" s="203">
        <f t="shared" si="77"/>
        <v>3388.9979999999996</v>
      </c>
      <c r="AT204" s="203">
        <f t="shared" si="82"/>
        <v>6068.942</v>
      </c>
      <c r="AU204" s="203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203">
        <f t="shared" si="80"/>
        <v>3728.3510000000001</v>
      </c>
      <c r="AR205" s="203">
        <f t="shared" si="81"/>
        <v>3570.3059999999996</v>
      </c>
      <c r="AS205" s="203">
        <f t="shared" si="77"/>
        <v>3592.5779999999995</v>
      </c>
      <c r="AT205" s="203">
        <f t="shared" si="82"/>
        <v>6767.0020000000004</v>
      </c>
      <c r="AU205" s="203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203">
        <f t="shared" si="80"/>
        <v>3972.8809999999999</v>
      </c>
      <c r="AR206" s="203">
        <f t="shared" si="81"/>
        <v>3843.4859999999999</v>
      </c>
      <c r="AS206" s="203">
        <f t="shared" si="77"/>
        <v>3775.7999999999997</v>
      </c>
      <c r="AT206" s="203">
        <f t="shared" si="82"/>
        <v>7465.0619999999999</v>
      </c>
      <c r="AU206" s="203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203">
        <f t="shared" si="80"/>
        <v>4217.4110000000001</v>
      </c>
      <c r="AR207" s="203">
        <f t="shared" si="81"/>
        <v>4116.6660000000002</v>
      </c>
      <c r="AS207" s="203">
        <f t="shared" si="77"/>
        <v>3775.7999999999997</v>
      </c>
      <c r="AT207" s="203">
        <f t="shared" si="82"/>
        <v>8163.1219999999994</v>
      </c>
      <c r="AU207" s="203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203">
        <f t="shared" si="80"/>
        <v>4461.9409999999998</v>
      </c>
      <c r="AR208" s="203">
        <f t="shared" si="81"/>
        <v>4389.8459999999995</v>
      </c>
      <c r="AS208" s="203">
        <f t="shared" si="77"/>
        <v>3775.7999999999997</v>
      </c>
      <c r="AT208" s="203">
        <f t="shared" si="82"/>
        <v>8861.1819999999989</v>
      </c>
      <c r="AU208" s="203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203">
        <f t="shared" si="80"/>
        <v>4535.3</v>
      </c>
      <c r="AR209" s="203">
        <f t="shared" si="81"/>
        <v>4471.7999999999993</v>
      </c>
      <c r="AS209" s="203">
        <f t="shared" si="77"/>
        <v>3775.7999999999997</v>
      </c>
      <c r="AT209" s="203">
        <f t="shared" si="82"/>
        <v>9070.6</v>
      </c>
      <c r="AU209" s="203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203">
        <f t="shared" si="80"/>
        <v>4535.3</v>
      </c>
      <c r="AR210" s="203">
        <f t="shared" si="81"/>
        <v>4471.7999999999993</v>
      </c>
      <c r="AS210" s="203">
        <f t="shared" si="77"/>
        <v>3775.7999999999997</v>
      </c>
      <c r="AT210" s="203">
        <f t="shared" si="82"/>
        <v>9070.6</v>
      </c>
      <c r="AU210" s="203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203">
        <f t="shared" si="80"/>
        <v>4535.3</v>
      </c>
      <c r="AR211" s="203">
        <f t="shared" si="81"/>
        <v>4471.7999999999993</v>
      </c>
      <c r="AS211" s="203">
        <f t="shared" si="77"/>
        <v>3775.7999999999997</v>
      </c>
      <c r="AT211" s="203">
        <f t="shared" si="82"/>
        <v>9070.6</v>
      </c>
      <c r="AU211" s="203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203">
        <f t="shared" si="80"/>
        <v>2997.0600000000004</v>
      </c>
      <c r="AR212" s="203">
        <f t="shared" si="81"/>
        <v>2926.68</v>
      </c>
      <c r="AS212" s="203">
        <f t="shared" si="77"/>
        <v>2787.4799999999996</v>
      </c>
      <c r="AT212" s="203">
        <f t="shared" si="82"/>
        <v>5199.92</v>
      </c>
      <c r="AU212" s="203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203">
        <f t="shared" si="80"/>
        <v>3143.36</v>
      </c>
      <c r="AR213" s="203">
        <f t="shared" si="81"/>
        <v>3118.08</v>
      </c>
      <c r="AS213" s="203">
        <f t="shared" si="77"/>
        <v>2909.2799999999997</v>
      </c>
      <c r="AT213" s="203">
        <f t="shared" si="82"/>
        <v>5701.5199999999995</v>
      </c>
      <c r="AU213" s="203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203">
        <f t="shared" si="80"/>
        <v>3289.66</v>
      </c>
      <c r="AR214" s="203">
        <f t="shared" si="81"/>
        <v>3309.48</v>
      </c>
      <c r="AS214" s="203">
        <f t="shared" si="77"/>
        <v>2958</v>
      </c>
      <c r="AT214" s="203">
        <f t="shared" si="82"/>
        <v>6203.12</v>
      </c>
      <c r="AU214" s="203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203">
        <f t="shared" si="80"/>
        <v>3435.9600000000005</v>
      </c>
      <c r="AR215" s="203">
        <f t="shared" si="81"/>
        <v>3500.88</v>
      </c>
      <c r="AS215" s="203">
        <f t="shared" si="77"/>
        <v>2958</v>
      </c>
      <c r="AT215" s="203">
        <f t="shared" si="82"/>
        <v>6704.72</v>
      </c>
      <c r="AU215" s="203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203">
        <f t="shared" si="80"/>
        <v>3553</v>
      </c>
      <c r="AR216" s="203">
        <f t="shared" si="81"/>
        <v>3654</v>
      </c>
      <c r="AS216" s="203">
        <f t="shared" si="77"/>
        <v>2958</v>
      </c>
      <c r="AT216" s="203">
        <f t="shared" si="82"/>
        <v>7106</v>
      </c>
      <c r="AU216" s="203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203">
        <f t="shared" si="80"/>
        <v>3553</v>
      </c>
      <c r="AR217" s="203">
        <f t="shared" si="81"/>
        <v>3654</v>
      </c>
      <c r="AS217" s="203">
        <f t="shared" si="77"/>
        <v>2958</v>
      </c>
      <c r="AT217" s="203">
        <f t="shared" si="82"/>
        <v>7106</v>
      </c>
      <c r="AU217" s="203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203">
        <f t="shared" si="80"/>
        <v>3553</v>
      </c>
      <c r="AR218" s="203">
        <f t="shared" si="81"/>
        <v>3654</v>
      </c>
      <c r="AS218" s="203">
        <f t="shared" si="77"/>
        <v>2958</v>
      </c>
      <c r="AT218" s="203">
        <f t="shared" si="82"/>
        <v>7106</v>
      </c>
      <c r="AU218" s="203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203">
        <f t="shared" si="80"/>
        <v>3553</v>
      </c>
      <c r="AR219" s="203">
        <f t="shared" si="81"/>
        <v>3654</v>
      </c>
      <c r="AS219" s="203">
        <f t="shared" si="77"/>
        <v>2958</v>
      </c>
      <c r="AT219" s="203">
        <f t="shared" si="82"/>
        <v>7106</v>
      </c>
      <c r="AU219" s="203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203">
        <f t="shared" si="80"/>
        <v>3553</v>
      </c>
      <c r="AR220" s="203">
        <f t="shared" si="81"/>
        <v>3654</v>
      </c>
      <c r="AS220" s="203">
        <f t="shared" si="77"/>
        <v>2958</v>
      </c>
      <c r="AT220" s="203">
        <f t="shared" si="82"/>
        <v>7106</v>
      </c>
      <c r="AU220" s="203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203">
        <f t="shared" si="80"/>
        <v>3553</v>
      </c>
      <c r="AR221" s="203">
        <f t="shared" si="81"/>
        <v>3654</v>
      </c>
      <c r="AS221" s="203">
        <f t="shared" si="77"/>
        <v>2958</v>
      </c>
      <c r="AT221" s="203">
        <f t="shared" si="82"/>
        <v>7106</v>
      </c>
      <c r="AU221" s="203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203">
        <f t="shared" si="80"/>
        <v>3553</v>
      </c>
      <c r="AR222" s="203">
        <f t="shared" si="81"/>
        <v>3654</v>
      </c>
      <c r="AS222" s="203">
        <f t="shared" si="77"/>
        <v>2958</v>
      </c>
      <c r="AT222" s="203">
        <f t="shared" si="82"/>
        <v>7106</v>
      </c>
      <c r="AU222" s="203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203">
        <f t="shared" si="80"/>
        <v>2924.94</v>
      </c>
      <c r="AR223" s="203">
        <f t="shared" si="81"/>
        <v>2736.6700000000005</v>
      </c>
      <c r="AS223" s="203">
        <f t="shared" si="77"/>
        <v>2863.27</v>
      </c>
      <c r="AT223" s="203">
        <f t="shared" si="82"/>
        <v>4054.0800000000004</v>
      </c>
      <c r="AU223" s="203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203">
        <f t="shared" si="80"/>
        <v>3097.14</v>
      </c>
      <c r="AR224" s="203">
        <f t="shared" si="81"/>
        <v>2968.77</v>
      </c>
      <c r="AS224" s="203">
        <f t="shared" si="77"/>
        <v>3010.9700000000003</v>
      </c>
      <c r="AT224" s="203">
        <f t="shared" si="82"/>
        <v>4644.4799999999996</v>
      </c>
      <c r="AU224" s="203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203">
        <f t="shared" si="80"/>
        <v>3269.3399999999992</v>
      </c>
      <c r="AR225" s="203">
        <f t="shared" si="81"/>
        <v>3200.87</v>
      </c>
      <c r="AS225" s="203">
        <f t="shared" si="77"/>
        <v>3158.6699999999996</v>
      </c>
      <c r="AT225" s="203">
        <f t="shared" si="82"/>
        <v>5234.8799999999992</v>
      </c>
      <c r="AU225" s="203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203">
        <f t="shared" si="80"/>
        <v>3441.54</v>
      </c>
      <c r="AR226" s="203">
        <f t="shared" si="81"/>
        <v>3432.9699999999993</v>
      </c>
      <c r="AS226" s="203">
        <f t="shared" si="77"/>
        <v>3306.3699999999994</v>
      </c>
      <c r="AT226" s="203">
        <f t="shared" si="82"/>
        <v>5825.28</v>
      </c>
      <c r="AU226" s="203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203">
        <f t="shared" si="80"/>
        <v>3613.74</v>
      </c>
      <c r="AR227" s="203">
        <f t="shared" si="81"/>
        <v>3665.07</v>
      </c>
      <c r="AS227" s="203">
        <f t="shared" si="77"/>
        <v>3454.07</v>
      </c>
      <c r="AT227" s="203">
        <f t="shared" si="82"/>
        <v>6415.68</v>
      </c>
      <c r="AU227" s="203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203">
        <f t="shared" si="80"/>
        <v>3785.9399999999996</v>
      </c>
      <c r="AR228" s="203">
        <f t="shared" si="81"/>
        <v>3897.1700000000005</v>
      </c>
      <c r="AS228" s="203">
        <f t="shared" si="77"/>
        <v>3587</v>
      </c>
      <c r="AT228" s="203">
        <f t="shared" si="82"/>
        <v>7006.08</v>
      </c>
      <c r="AU228" s="203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203">
        <f t="shared" si="80"/>
        <v>3958.14</v>
      </c>
      <c r="AR229" s="203">
        <f t="shared" si="81"/>
        <v>4129.2699999999995</v>
      </c>
      <c r="AS229" s="203">
        <f t="shared" si="77"/>
        <v>3587</v>
      </c>
      <c r="AT229" s="203">
        <f t="shared" si="82"/>
        <v>7596.4799999999987</v>
      </c>
      <c r="AU229" s="203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203">
        <f t="shared" si="80"/>
        <v>4130.34</v>
      </c>
      <c r="AR230" s="203">
        <f t="shared" si="81"/>
        <v>4361.3700000000008</v>
      </c>
      <c r="AS230" s="203">
        <f t="shared" si="77"/>
        <v>3587</v>
      </c>
      <c r="AT230" s="203">
        <f t="shared" si="82"/>
        <v>8186.880000000001</v>
      </c>
      <c r="AU230" s="203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203">
        <f t="shared" si="80"/>
        <v>4182</v>
      </c>
      <c r="AR231" s="203">
        <f t="shared" si="81"/>
        <v>4431</v>
      </c>
      <c r="AS231" s="203">
        <f t="shared" si="77"/>
        <v>3587</v>
      </c>
      <c r="AT231" s="203">
        <f t="shared" si="82"/>
        <v>8364</v>
      </c>
      <c r="AU231" s="203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203">
        <f t="shared" si="80"/>
        <v>4182</v>
      </c>
      <c r="AR232" s="203">
        <f t="shared" si="81"/>
        <v>4431</v>
      </c>
      <c r="AS232" s="203">
        <f t="shared" si="77"/>
        <v>3587</v>
      </c>
      <c r="AT232" s="203">
        <f t="shared" si="82"/>
        <v>8364</v>
      </c>
      <c r="AU232" s="203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203">
        <f t="shared" si="80"/>
        <v>4182</v>
      </c>
      <c r="AR233" s="203">
        <f t="shared" si="81"/>
        <v>4431</v>
      </c>
      <c r="AS233" s="203">
        <f t="shared" si="77"/>
        <v>3587</v>
      </c>
      <c r="AT233" s="203">
        <f t="shared" si="82"/>
        <v>8364</v>
      </c>
      <c r="AU233" s="203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0">
        <f t="shared" si="80"/>
        <v>3013.4110000000001</v>
      </c>
      <c r="AR234" s="10">
        <f t="shared" si="81"/>
        <v>2762.366</v>
      </c>
      <c r="AS234" s="47">
        <f t="shared" si="77"/>
        <v>3097.598</v>
      </c>
      <c r="AT234" s="47">
        <f t="shared" si="78"/>
        <v>5244.5960000000005</v>
      </c>
      <c r="AU234" s="43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0">
        <f t="shared" si="80"/>
        <v>3281.3410000000003</v>
      </c>
      <c r="AR235" s="10">
        <f t="shared" si="81"/>
        <v>3066.9459999999999</v>
      </c>
      <c r="AS235" s="47">
        <f t="shared" si="77"/>
        <v>3324.5779999999995</v>
      </c>
      <c r="AT235" s="47">
        <f t="shared" si="78"/>
        <v>5892.5559999999996</v>
      </c>
      <c r="AU235" s="43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0">
        <f t="shared" si="80"/>
        <v>3549.2709999999993</v>
      </c>
      <c r="AR236" s="10">
        <f t="shared" si="81"/>
        <v>3371.5259999999994</v>
      </c>
      <c r="AS236" s="47">
        <f t="shared" si="77"/>
        <v>3551.5579999999995</v>
      </c>
      <c r="AT236" s="47">
        <f t="shared" si="78"/>
        <v>6540.5159999999996</v>
      </c>
      <c r="AU236" s="43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0">
        <f t="shared" si="80"/>
        <v>3817.201</v>
      </c>
      <c r="AR237" s="10">
        <f t="shared" si="81"/>
        <v>3676.1059999999998</v>
      </c>
      <c r="AS237" s="47">
        <f t="shared" si="77"/>
        <v>3778.5379999999996</v>
      </c>
      <c r="AT237" s="47">
        <f t="shared" si="78"/>
        <v>7188.4759999999987</v>
      </c>
      <c r="AU237" s="43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0">
        <f t="shared" si="80"/>
        <v>4085.1310000000003</v>
      </c>
      <c r="AR238" s="10">
        <f t="shared" si="81"/>
        <v>3980.6859999999997</v>
      </c>
      <c r="AS238" s="47">
        <f t="shared" si="77"/>
        <v>4005.5179999999996</v>
      </c>
      <c r="AT238" s="47">
        <f t="shared" si="78"/>
        <v>7836.4359999999997</v>
      </c>
      <c r="AU238" s="43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0">
        <f t="shared" si="80"/>
        <v>4353.0609999999997</v>
      </c>
      <c r="AR239" s="10">
        <f t="shared" si="81"/>
        <v>4285.2659999999996</v>
      </c>
      <c r="AS239" s="47">
        <f t="shared" si="77"/>
        <v>4209.8</v>
      </c>
      <c r="AT239" s="47">
        <f t="shared" si="78"/>
        <v>8419.6</v>
      </c>
      <c r="AU239" s="43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0">
        <f t="shared" si="80"/>
        <v>4620.991</v>
      </c>
      <c r="AR240" s="10">
        <f t="shared" si="81"/>
        <v>4589.8459999999995</v>
      </c>
      <c r="AS240" s="47">
        <f t="shared" si="77"/>
        <v>4209.8</v>
      </c>
      <c r="AT240" s="47">
        <f t="shared" si="78"/>
        <v>8419.6</v>
      </c>
      <c r="AU240" s="43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0">
        <f t="shared" si="80"/>
        <v>4888.9210000000003</v>
      </c>
      <c r="AR241" s="10">
        <f t="shared" si="81"/>
        <v>4894.4259999999995</v>
      </c>
      <c r="AS241" s="47">
        <f t="shared" si="77"/>
        <v>4209.8</v>
      </c>
      <c r="AT241" s="47">
        <f t="shared" si="78"/>
        <v>8419.6</v>
      </c>
      <c r="AU241" s="43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0">
        <f t="shared" si="80"/>
        <v>4969.3</v>
      </c>
      <c r="AR242" s="10">
        <f t="shared" si="81"/>
        <v>4985.7999999999993</v>
      </c>
      <c r="AS242" s="47">
        <f t="shared" si="77"/>
        <v>4209.8</v>
      </c>
      <c r="AT242" s="47">
        <f t="shared" si="78"/>
        <v>8419.6</v>
      </c>
      <c r="AU242" s="43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0">
        <f t="shared" si="80"/>
        <v>4969.3</v>
      </c>
      <c r="AR243" s="10">
        <f t="shared" si="81"/>
        <v>4985.7999999999993</v>
      </c>
      <c r="AS243" s="47">
        <f t="shared" si="77"/>
        <v>4209.8</v>
      </c>
      <c r="AT243" s="47">
        <f t="shared" si="78"/>
        <v>8419.6</v>
      </c>
      <c r="AU243" s="43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0">
        <f t="shared" si="80"/>
        <v>4969.3</v>
      </c>
      <c r="AR244" s="10">
        <f t="shared" si="81"/>
        <v>4985.7999999999993</v>
      </c>
      <c r="AS244" s="47">
        <f t="shared" si="77"/>
        <v>4209.8</v>
      </c>
      <c r="AT244" s="47">
        <f t="shared" si="78"/>
        <v>8419.6</v>
      </c>
      <c r="AU244" s="43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0">
        <f t="shared" si="80"/>
        <v>3283.8600000000006</v>
      </c>
      <c r="AR245" s="10">
        <f t="shared" si="81"/>
        <v>3263.08</v>
      </c>
      <c r="AS245" s="47">
        <f t="shared" si="77"/>
        <v>3107.8799999999997</v>
      </c>
      <c r="AT245" s="47">
        <f t="shared" si="78"/>
        <v>5944.16</v>
      </c>
      <c r="AU245" s="43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0">
        <f t="shared" si="80"/>
        <v>3444.16</v>
      </c>
      <c r="AR246" s="10">
        <f t="shared" si="81"/>
        <v>3476.48</v>
      </c>
      <c r="AS246" s="47">
        <f t="shared" si="77"/>
        <v>3243.68</v>
      </c>
      <c r="AT246" s="47">
        <f t="shared" si="78"/>
        <v>6409.7599999999993</v>
      </c>
      <c r="AU246" s="43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0">
        <f t="shared" si="80"/>
        <v>3604.4599999999996</v>
      </c>
      <c r="AR247" s="10">
        <f t="shared" si="81"/>
        <v>3689.8799999999997</v>
      </c>
      <c r="AS247" s="47">
        <f t="shared" si="77"/>
        <v>3298</v>
      </c>
      <c r="AT247" s="47">
        <f t="shared" si="78"/>
        <v>6596</v>
      </c>
      <c r="AU247" s="43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0">
        <f t="shared" si="80"/>
        <v>3764.76</v>
      </c>
      <c r="AR248" s="10">
        <f t="shared" si="81"/>
        <v>3903.28</v>
      </c>
      <c r="AS248" s="47">
        <f t="shared" si="77"/>
        <v>3298</v>
      </c>
      <c r="AT248" s="47">
        <f t="shared" si="78"/>
        <v>6596</v>
      </c>
      <c r="AU248" s="43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0">
        <f t="shared" si="80"/>
        <v>3893</v>
      </c>
      <c r="AR249" s="10">
        <f t="shared" si="81"/>
        <v>4074</v>
      </c>
      <c r="AS249" s="47">
        <f t="shared" si="77"/>
        <v>3298</v>
      </c>
      <c r="AT249" s="47">
        <f t="shared" si="78"/>
        <v>6596</v>
      </c>
      <c r="AU249" s="43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0">
        <f t="shared" si="80"/>
        <v>3893</v>
      </c>
      <c r="AR250" s="10">
        <f t="shared" si="81"/>
        <v>4074</v>
      </c>
      <c r="AS250" s="47">
        <f t="shared" si="77"/>
        <v>3298</v>
      </c>
      <c r="AT250" s="47">
        <f t="shared" si="78"/>
        <v>6596</v>
      </c>
      <c r="AU250" s="43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0">
        <f t="shared" si="80"/>
        <v>3893</v>
      </c>
      <c r="AR251" s="10">
        <f t="shared" si="81"/>
        <v>4074</v>
      </c>
      <c r="AS251" s="47">
        <f t="shared" si="77"/>
        <v>3298</v>
      </c>
      <c r="AT251" s="47">
        <f t="shared" si="78"/>
        <v>6596</v>
      </c>
      <c r="AU251" s="43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0">
        <f t="shared" si="80"/>
        <v>3893</v>
      </c>
      <c r="AR252" s="10">
        <f t="shared" si="81"/>
        <v>4074</v>
      </c>
      <c r="AS252" s="47">
        <f t="shared" si="77"/>
        <v>3298</v>
      </c>
      <c r="AT252" s="47">
        <f t="shared" si="78"/>
        <v>6596</v>
      </c>
      <c r="AU252" s="43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0">
        <f t="shared" si="80"/>
        <v>3893</v>
      </c>
      <c r="AR253" s="10">
        <f t="shared" si="81"/>
        <v>4074</v>
      </c>
      <c r="AS253" s="47">
        <f t="shared" si="77"/>
        <v>3298</v>
      </c>
      <c r="AT253" s="47">
        <f t="shared" si="78"/>
        <v>6596</v>
      </c>
      <c r="AU253" s="43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0">
        <f t="shared" si="80"/>
        <v>3893</v>
      </c>
      <c r="AR254" s="10">
        <f t="shared" si="81"/>
        <v>4074</v>
      </c>
      <c r="AS254" s="47">
        <f t="shared" si="77"/>
        <v>3298</v>
      </c>
      <c r="AT254" s="47">
        <f t="shared" si="78"/>
        <v>6596</v>
      </c>
      <c r="AU254" s="43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0">
        <f t="shared" si="80"/>
        <v>3893</v>
      </c>
      <c r="AR255" s="10">
        <f t="shared" si="81"/>
        <v>4074</v>
      </c>
      <c r="AS255" s="47">
        <f t="shared" si="77"/>
        <v>3298</v>
      </c>
      <c r="AT255" s="47">
        <f t="shared" si="78"/>
        <v>6596</v>
      </c>
      <c r="AU255" s="43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0">
        <f t="shared" si="80"/>
        <v>3162.7400000000002</v>
      </c>
      <c r="AR256" s="10">
        <f t="shared" si="81"/>
        <v>2996.07</v>
      </c>
      <c r="AS256" s="47">
        <f t="shared" si="77"/>
        <v>3134.67</v>
      </c>
      <c r="AT256" s="47">
        <f t="shared" si="78"/>
        <v>5137.4400000000005</v>
      </c>
      <c r="AU256" s="43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0">
        <f t="shared" si="80"/>
        <v>3348.9399999999996</v>
      </c>
      <c r="AR257" s="10">
        <f t="shared" si="81"/>
        <v>3250.17</v>
      </c>
      <c r="AS257" s="47">
        <f t="shared" si="77"/>
        <v>3296.37</v>
      </c>
      <c r="AT257" s="47">
        <f t="shared" si="78"/>
        <v>5691.84</v>
      </c>
      <c r="AU257" s="43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0">
        <f t="shared" si="80"/>
        <v>3535.1399999999994</v>
      </c>
      <c r="AR258" s="10">
        <f t="shared" si="81"/>
        <v>3504.27</v>
      </c>
      <c r="AS258" s="47">
        <f t="shared" si="77"/>
        <v>3458.0699999999997</v>
      </c>
      <c r="AT258" s="47">
        <f t="shared" si="78"/>
        <v>6246.24</v>
      </c>
      <c r="AU258" s="43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0">
        <f t="shared" si="80"/>
        <v>3721.34</v>
      </c>
      <c r="AR259" s="10">
        <f t="shared" si="81"/>
        <v>3758.3699999999994</v>
      </c>
      <c r="AS259" s="47">
        <f t="shared" ref="AS259:AS322" si="83">$AG$3*(1+$AJ259*$Y$2+$AN259)*(MAXA(1-$AI$3-$AL259*$AA$3-$AP259-0.36,0)+MINA($AI$3+$AL259*$AA$3+$AP259+0.36,1)*(1+$AH$3+$AO259+$AK259*$Z$4))</f>
        <v>3619.7699999999995</v>
      </c>
      <c r="AT259" s="47">
        <f t="shared" ref="AT259:AT322" si="84">$AG$3*(1+$AJ259*$Y$2+$AN259)*(MAXA(1-$AI$3-$AL259*$AA$3-$AP259-0.36,0)+2*MINA($AI$3+$AL259*$AA$3+$AP259+0.36,1)*(1+$AH$3+$AO259+$AK259*$Z$4))</f>
        <v>6800.6399999999985</v>
      </c>
      <c r="AU259" s="43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0">
        <f t="shared" ref="AQ260:AQ323" si="86">$AG$3*(1+$AJ260*$Y$2+$AN260+0.35)*(MAXA(1-$AI$3-$AL260*$AA$3-$AP260-0.12,0)+MINA($AI$3+$AL260*$AA$3+$AP260+0.12,1)*(1+$AH$3+$AO260+$AK260*$Z$4))</f>
        <v>3907.5399999999995</v>
      </c>
      <c r="AR260" s="10">
        <f t="shared" ref="AR260:AR323" si="87">$AG$3*(1+$AJ260*$Y$2+$AN260)*(MAXA(1-$AI$3-$AL260*$AA$3-$AP260-0.12,0)+MINA($AI$3+$AL260*$AA$3+$AP260+0.12,1)*(1+$AH$3+$AO260+$AK260*$Z$4+0.4))</f>
        <v>4012.4700000000003</v>
      </c>
      <c r="AS260" s="47">
        <f t="shared" si="83"/>
        <v>3781.47</v>
      </c>
      <c r="AT260" s="47">
        <f t="shared" si="84"/>
        <v>7355.0399999999991</v>
      </c>
      <c r="AU260" s="43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0">
        <f t="shared" si="86"/>
        <v>4093.74</v>
      </c>
      <c r="AR261" s="10">
        <f t="shared" si="87"/>
        <v>4266.5700000000006</v>
      </c>
      <c r="AS261" s="47">
        <f t="shared" si="83"/>
        <v>3927</v>
      </c>
      <c r="AT261" s="47">
        <f t="shared" si="84"/>
        <v>7854</v>
      </c>
      <c r="AU261" s="43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0">
        <f t="shared" si="86"/>
        <v>4279.9399999999996</v>
      </c>
      <c r="AR262" s="10">
        <f t="shared" si="87"/>
        <v>4520.67</v>
      </c>
      <c r="AS262" s="47">
        <f t="shared" si="83"/>
        <v>3927</v>
      </c>
      <c r="AT262" s="47">
        <f t="shared" si="84"/>
        <v>7854</v>
      </c>
      <c r="AU262" s="43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0">
        <f t="shared" si="86"/>
        <v>4466.1400000000003</v>
      </c>
      <c r="AR263" s="10">
        <f t="shared" si="87"/>
        <v>4774.7700000000004</v>
      </c>
      <c r="AS263" s="47">
        <f t="shared" si="83"/>
        <v>3927</v>
      </c>
      <c r="AT263" s="47">
        <f t="shared" si="84"/>
        <v>7854</v>
      </c>
      <c r="AU263" s="43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0">
        <f t="shared" si="86"/>
        <v>4522</v>
      </c>
      <c r="AR264" s="10">
        <f t="shared" si="87"/>
        <v>4851</v>
      </c>
      <c r="AS264" s="47">
        <f t="shared" si="83"/>
        <v>3927</v>
      </c>
      <c r="AT264" s="47">
        <f t="shared" si="84"/>
        <v>7854</v>
      </c>
      <c r="AU264" s="43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0">
        <f t="shared" si="86"/>
        <v>4522</v>
      </c>
      <c r="AR265" s="10">
        <f t="shared" si="87"/>
        <v>4851</v>
      </c>
      <c r="AS265" s="47">
        <f t="shared" si="83"/>
        <v>3927</v>
      </c>
      <c r="AT265" s="47">
        <f t="shared" si="84"/>
        <v>7854</v>
      </c>
      <c r="AU265" s="43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0">
        <f t="shared" si="86"/>
        <v>4522</v>
      </c>
      <c r="AR266" s="10">
        <f t="shared" si="87"/>
        <v>4851</v>
      </c>
      <c r="AS266" s="47">
        <f t="shared" si="83"/>
        <v>3927</v>
      </c>
      <c r="AT266" s="47">
        <f t="shared" si="84"/>
        <v>7854</v>
      </c>
      <c r="AU266" s="43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0">
        <f t="shared" si="86"/>
        <v>3276.5910000000003</v>
      </c>
      <c r="AR267" s="10">
        <f t="shared" si="87"/>
        <v>3047.1459999999997</v>
      </c>
      <c r="AS267" s="47">
        <f t="shared" si="83"/>
        <v>3416.9380000000001</v>
      </c>
      <c r="AT267" s="47">
        <f t="shared" si="84"/>
        <v>5785.2760000000007</v>
      </c>
      <c r="AU267" s="43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0">
        <f t="shared" si="86"/>
        <v>3567.9210000000003</v>
      </c>
      <c r="AR268" s="10">
        <f t="shared" si="87"/>
        <v>3383.1259999999997</v>
      </c>
      <c r="AS268" s="47">
        <f t="shared" si="83"/>
        <v>3667.3179999999993</v>
      </c>
      <c r="AT268" s="47">
        <f t="shared" si="84"/>
        <v>6500.0360000000001</v>
      </c>
      <c r="AU268" s="43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0">
        <f t="shared" si="86"/>
        <v>3859.2509999999988</v>
      </c>
      <c r="AR269" s="10">
        <f t="shared" si="87"/>
        <v>3719.1059999999993</v>
      </c>
      <c r="AS269" s="47">
        <f t="shared" si="83"/>
        <v>3917.6979999999994</v>
      </c>
      <c r="AT269" s="47">
        <f t="shared" si="84"/>
        <v>7214.7960000000003</v>
      </c>
      <c r="AU269" s="43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0">
        <f t="shared" si="86"/>
        <v>4150.5810000000001</v>
      </c>
      <c r="AR270" s="10">
        <f t="shared" si="87"/>
        <v>4055.0859999999998</v>
      </c>
      <c r="AS270" s="47">
        <f t="shared" si="83"/>
        <v>4168.0779999999995</v>
      </c>
      <c r="AT270" s="47">
        <f t="shared" si="84"/>
        <v>7929.5559999999987</v>
      </c>
      <c r="AU270" s="43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0">
        <f t="shared" si="86"/>
        <v>4441.9110000000001</v>
      </c>
      <c r="AR271" s="10">
        <f t="shared" si="87"/>
        <v>4391.0659999999998</v>
      </c>
      <c r="AS271" s="47">
        <f t="shared" si="83"/>
        <v>4418.4579999999996</v>
      </c>
      <c r="AT271" s="47">
        <f t="shared" si="84"/>
        <v>8644.3159999999989</v>
      </c>
      <c r="AU271" s="43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0">
        <f t="shared" si="86"/>
        <v>4733.241</v>
      </c>
      <c r="AR272" s="10">
        <f t="shared" si="87"/>
        <v>4727.0459999999994</v>
      </c>
      <c r="AS272" s="47">
        <f t="shared" si="83"/>
        <v>4643.8</v>
      </c>
      <c r="AT272" s="47">
        <f t="shared" si="84"/>
        <v>9287.6</v>
      </c>
      <c r="AU272" s="43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0">
        <f t="shared" si="86"/>
        <v>5024.5709999999999</v>
      </c>
      <c r="AR273" s="10">
        <f t="shared" si="87"/>
        <v>5063.0259999999998</v>
      </c>
      <c r="AS273" s="47">
        <f t="shared" si="83"/>
        <v>4643.8</v>
      </c>
      <c r="AT273" s="47">
        <f t="shared" si="84"/>
        <v>9287.6</v>
      </c>
      <c r="AU273" s="43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0">
        <f t="shared" si="86"/>
        <v>5315.9009999999998</v>
      </c>
      <c r="AR274" s="10">
        <f t="shared" si="87"/>
        <v>5399.0059999999994</v>
      </c>
      <c r="AS274" s="47">
        <f t="shared" si="83"/>
        <v>4643.8</v>
      </c>
      <c r="AT274" s="47">
        <f t="shared" si="84"/>
        <v>9287.6</v>
      </c>
      <c r="AU274" s="43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0">
        <f t="shared" si="86"/>
        <v>5403.3</v>
      </c>
      <c r="AR275" s="10">
        <f t="shared" si="87"/>
        <v>5499.7999999999993</v>
      </c>
      <c r="AS275" s="47">
        <f t="shared" si="83"/>
        <v>4643.8</v>
      </c>
      <c r="AT275" s="47">
        <f t="shared" si="84"/>
        <v>9287.6</v>
      </c>
      <c r="AU275" s="43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0">
        <f t="shared" si="86"/>
        <v>5403.3</v>
      </c>
      <c r="AR276" s="10">
        <f t="shared" si="87"/>
        <v>5499.7999999999993</v>
      </c>
      <c r="AS276" s="47">
        <f t="shared" si="83"/>
        <v>4643.8</v>
      </c>
      <c r="AT276" s="47">
        <f t="shared" si="84"/>
        <v>9287.6</v>
      </c>
      <c r="AU276" s="43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0">
        <f t="shared" si="86"/>
        <v>5403.3</v>
      </c>
      <c r="AR277" s="10">
        <f t="shared" si="87"/>
        <v>5499.7999999999993</v>
      </c>
      <c r="AS277" s="47">
        <f t="shared" si="83"/>
        <v>4643.8</v>
      </c>
      <c r="AT277" s="47">
        <f t="shared" si="84"/>
        <v>9287.6</v>
      </c>
      <c r="AU277" s="43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0">
        <f t="shared" si="86"/>
        <v>3570.6600000000003</v>
      </c>
      <c r="AR278" s="10">
        <f t="shared" si="87"/>
        <v>3599.48</v>
      </c>
      <c r="AS278" s="47">
        <f t="shared" si="83"/>
        <v>3428.2799999999997</v>
      </c>
      <c r="AT278" s="47">
        <f t="shared" si="84"/>
        <v>6556.96</v>
      </c>
      <c r="AU278" s="43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0">
        <f t="shared" si="86"/>
        <v>3744.96</v>
      </c>
      <c r="AR279" s="10">
        <f t="shared" si="87"/>
        <v>3834.88</v>
      </c>
      <c r="AS279" s="47">
        <f t="shared" si="83"/>
        <v>3578.08</v>
      </c>
      <c r="AT279" s="47">
        <f t="shared" si="84"/>
        <v>7070.5599999999995</v>
      </c>
      <c r="AU279" s="43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0">
        <f t="shared" si="86"/>
        <v>3919.2599999999998</v>
      </c>
      <c r="AR280" s="10">
        <f t="shared" si="87"/>
        <v>4070.2799999999997</v>
      </c>
      <c r="AS280" s="47">
        <f t="shared" si="83"/>
        <v>3638</v>
      </c>
      <c r="AT280" s="47">
        <f t="shared" si="84"/>
        <v>7276</v>
      </c>
      <c r="AU280" s="43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0">
        <f t="shared" si="86"/>
        <v>4093.5600000000004</v>
      </c>
      <c r="AR281" s="10">
        <f t="shared" si="87"/>
        <v>4305.68</v>
      </c>
      <c r="AS281" s="47">
        <f t="shared" si="83"/>
        <v>3638</v>
      </c>
      <c r="AT281" s="47">
        <f t="shared" si="84"/>
        <v>7276</v>
      </c>
      <c r="AU281" s="43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0">
        <f t="shared" si="86"/>
        <v>4233</v>
      </c>
      <c r="AR282" s="10">
        <f t="shared" si="87"/>
        <v>4494</v>
      </c>
      <c r="AS282" s="47">
        <f t="shared" si="83"/>
        <v>3638</v>
      </c>
      <c r="AT282" s="47">
        <f t="shared" si="84"/>
        <v>7276</v>
      </c>
      <c r="AU282" s="43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0">
        <f t="shared" si="86"/>
        <v>4233</v>
      </c>
      <c r="AR283" s="10">
        <f t="shared" si="87"/>
        <v>4494</v>
      </c>
      <c r="AS283" s="47">
        <f t="shared" si="83"/>
        <v>3638</v>
      </c>
      <c r="AT283" s="47">
        <f t="shared" si="84"/>
        <v>7276</v>
      </c>
      <c r="AU283" s="43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0">
        <f t="shared" si="86"/>
        <v>4233</v>
      </c>
      <c r="AR284" s="10">
        <f t="shared" si="87"/>
        <v>4494</v>
      </c>
      <c r="AS284" s="47">
        <f t="shared" si="83"/>
        <v>3638</v>
      </c>
      <c r="AT284" s="47">
        <f t="shared" si="84"/>
        <v>7276</v>
      </c>
      <c r="AU284" s="43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0">
        <f t="shared" si="86"/>
        <v>4233</v>
      </c>
      <c r="AR285" s="10">
        <f t="shared" si="87"/>
        <v>4494</v>
      </c>
      <c r="AS285" s="47">
        <f t="shared" si="83"/>
        <v>3638</v>
      </c>
      <c r="AT285" s="47">
        <f t="shared" si="84"/>
        <v>7276</v>
      </c>
      <c r="AU285" s="43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0">
        <f t="shared" si="86"/>
        <v>4233</v>
      </c>
      <c r="AR286" s="10">
        <f t="shared" si="87"/>
        <v>4494</v>
      </c>
      <c r="AS286" s="47">
        <f t="shared" si="83"/>
        <v>3638</v>
      </c>
      <c r="AT286" s="47">
        <f t="shared" si="84"/>
        <v>7276</v>
      </c>
      <c r="AU286" s="43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0">
        <f t="shared" si="86"/>
        <v>4233</v>
      </c>
      <c r="AR287" s="10">
        <f t="shared" si="87"/>
        <v>4494</v>
      </c>
      <c r="AS287" s="47">
        <f t="shared" si="83"/>
        <v>3638</v>
      </c>
      <c r="AT287" s="47">
        <f t="shared" si="84"/>
        <v>7276</v>
      </c>
      <c r="AU287" s="43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0">
        <f t="shared" si="86"/>
        <v>4233</v>
      </c>
      <c r="AR288" s="10">
        <f t="shared" si="87"/>
        <v>4494</v>
      </c>
      <c r="AS288" s="47">
        <f t="shared" si="83"/>
        <v>3638</v>
      </c>
      <c r="AT288" s="47">
        <f t="shared" si="84"/>
        <v>7276</v>
      </c>
      <c r="AU288" s="43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0">
        <f t="shared" si="86"/>
        <v>3400.54</v>
      </c>
      <c r="AR289" s="10">
        <f t="shared" si="87"/>
        <v>3255.4700000000003</v>
      </c>
      <c r="AS289" s="47">
        <f t="shared" si="83"/>
        <v>3406.07</v>
      </c>
      <c r="AT289" s="47">
        <f t="shared" si="84"/>
        <v>5582.2400000000007</v>
      </c>
      <c r="AU289" s="43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0">
        <f t="shared" si="86"/>
        <v>3600.74</v>
      </c>
      <c r="AR290" s="10">
        <f t="shared" si="87"/>
        <v>3531.57</v>
      </c>
      <c r="AS290" s="47">
        <f t="shared" si="83"/>
        <v>3581.77</v>
      </c>
      <c r="AT290" s="47">
        <f t="shared" si="84"/>
        <v>6184.64</v>
      </c>
      <c r="AU290" s="43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0">
        <f t="shared" si="86"/>
        <v>3800.9399999999991</v>
      </c>
      <c r="AR291" s="10">
        <f t="shared" si="87"/>
        <v>3807.6699999999996</v>
      </c>
      <c r="AS291" s="47">
        <f t="shared" si="83"/>
        <v>3757.47</v>
      </c>
      <c r="AT291" s="47">
        <f t="shared" si="84"/>
        <v>6787.0399999999991</v>
      </c>
      <c r="AU291" s="43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0">
        <f t="shared" si="86"/>
        <v>4001.14</v>
      </c>
      <c r="AR292" s="10">
        <f t="shared" si="87"/>
        <v>4083.7699999999995</v>
      </c>
      <c r="AS292" s="47">
        <f t="shared" si="83"/>
        <v>3933.1699999999992</v>
      </c>
      <c r="AT292" s="47">
        <f t="shared" si="84"/>
        <v>7389.4399999999987</v>
      </c>
      <c r="AU292" s="43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0">
        <f t="shared" si="86"/>
        <v>4201.3399999999992</v>
      </c>
      <c r="AR293" s="10">
        <f t="shared" si="87"/>
        <v>4359.87</v>
      </c>
      <c r="AS293" s="47">
        <f t="shared" si="83"/>
        <v>4108.87</v>
      </c>
      <c r="AT293" s="47">
        <f t="shared" si="84"/>
        <v>7991.8399999999992</v>
      </c>
      <c r="AU293" s="43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0">
        <f t="shared" si="86"/>
        <v>4401.54</v>
      </c>
      <c r="AR294" s="10">
        <f t="shared" si="87"/>
        <v>4635.97</v>
      </c>
      <c r="AS294" s="47">
        <f t="shared" si="83"/>
        <v>4267</v>
      </c>
      <c r="AT294" s="47">
        <f t="shared" si="84"/>
        <v>8534</v>
      </c>
      <c r="AU294" s="43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0">
        <f t="shared" si="86"/>
        <v>4601.74</v>
      </c>
      <c r="AR295" s="10">
        <f t="shared" si="87"/>
        <v>4912.07</v>
      </c>
      <c r="AS295" s="47">
        <f t="shared" si="83"/>
        <v>4267</v>
      </c>
      <c r="AT295" s="47">
        <f t="shared" si="84"/>
        <v>8534</v>
      </c>
      <c r="AU295" s="43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0">
        <f t="shared" si="86"/>
        <v>4801.9400000000005</v>
      </c>
      <c r="AR296" s="10">
        <f t="shared" si="87"/>
        <v>5188.17</v>
      </c>
      <c r="AS296" s="47">
        <f t="shared" si="83"/>
        <v>4267</v>
      </c>
      <c r="AT296" s="47">
        <f t="shared" si="84"/>
        <v>8534</v>
      </c>
      <c r="AU296" s="43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0">
        <f t="shared" si="86"/>
        <v>4862</v>
      </c>
      <c r="AR297" s="10">
        <f t="shared" si="87"/>
        <v>5271</v>
      </c>
      <c r="AS297" s="47">
        <f t="shared" si="83"/>
        <v>4267</v>
      </c>
      <c r="AT297" s="47">
        <f t="shared" si="84"/>
        <v>8534</v>
      </c>
      <c r="AU297" s="43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0">
        <f t="shared" si="86"/>
        <v>4862</v>
      </c>
      <c r="AR298" s="10">
        <f t="shared" si="87"/>
        <v>5271</v>
      </c>
      <c r="AS298" s="47">
        <f t="shared" si="83"/>
        <v>4267</v>
      </c>
      <c r="AT298" s="47">
        <f t="shared" si="84"/>
        <v>8534</v>
      </c>
      <c r="AU298" s="43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0">
        <f t="shared" si="86"/>
        <v>4862</v>
      </c>
      <c r="AR299" s="10">
        <f t="shared" si="87"/>
        <v>5271</v>
      </c>
      <c r="AS299" s="47">
        <f t="shared" si="83"/>
        <v>4267</v>
      </c>
      <c r="AT299" s="47">
        <f t="shared" si="84"/>
        <v>8534</v>
      </c>
      <c r="AU299" s="43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0">
        <f t="shared" si="86"/>
        <v>3539.7710000000002</v>
      </c>
      <c r="AR300" s="10">
        <f t="shared" si="87"/>
        <v>3331.9259999999999</v>
      </c>
      <c r="AS300" s="47">
        <f t="shared" si="83"/>
        <v>3736.2779999999998</v>
      </c>
      <c r="AT300" s="47">
        <f t="shared" si="84"/>
        <v>6325.9560000000001</v>
      </c>
      <c r="AU300" s="43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0">
        <f t="shared" si="86"/>
        <v>3854.5010000000002</v>
      </c>
      <c r="AR301" s="10">
        <f t="shared" si="87"/>
        <v>3699.306</v>
      </c>
      <c r="AS301" s="47">
        <f t="shared" si="83"/>
        <v>4010.0579999999995</v>
      </c>
      <c r="AT301" s="47">
        <f t="shared" si="84"/>
        <v>7107.5159999999996</v>
      </c>
      <c r="AU301" s="43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0">
        <f t="shared" si="86"/>
        <v>4169.2309999999989</v>
      </c>
      <c r="AR302" s="10">
        <f t="shared" si="87"/>
        <v>4066.6859999999997</v>
      </c>
      <c r="AS302" s="47">
        <f t="shared" si="83"/>
        <v>4283.8379999999997</v>
      </c>
      <c r="AT302" s="47">
        <f t="shared" si="84"/>
        <v>7889.076</v>
      </c>
      <c r="AU302" s="43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0">
        <f t="shared" si="86"/>
        <v>4483.9610000000002</v>
      </c>
      <c r="AR303" s="10">
        <f t="shared" si="87"/>
        <v>4434.0659999999998</v>
      </c>
      <c r="AS303" s="47">
        <f t="shared" si="83"/>
        <v>4557.6179999999995</v>
      </c>
      <c r="AT303" s="47">
        <f t="shared" si="84"/>
        <v>8670.6359999999986</v>
      </c>
      <c r="AU303" s="43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0">
        <f t="shared" si="86"/>
        <v>4798.6909999999998</v>
      </c>
      <c r="AR304" s="10">
        <f t="shared" si="87"/>
        <v>4801.4459999999999</v>
      </c>
      <c r="AS304" s="47">
        <f t="shared" si="83"/>
        <v>4831.3979999999992</v>
      </c>
      <c r="AT304" s="47">
        <f t="shared" si="84"/>
        <v>9452.1959999999999</v>
      </c>
      <c r="AU304" s="43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0">
        <f t="shared" si="86"/>
        <v>5113.4210000000003</v>
      </c>
      <c r="AR305" s="10">
        <f t="shared" si="87"/>
        <v>5168.826</v>
      </c>
      <c r="AS305" s="47">
        <f t="shared" si="83"/>
        <v>5077.8</v>
      </c>
      <c r="AT305" s="47">
        <f t="shared" si="84"/>
        <v>10155.6</v>
      </c>
      <c r="AU305" s="43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0">
        <f t="shared" si="86"/>
        <v>5428.1509999999998</v>
      </c>
      <c r="AR306" s="10">
        <f t="shared" si="87"/>
        <v>5536.2060000000001</v>
      </c>
      <c r="AS306" s="47">
        <f t="shared" si="83"/>
        <v>5077.8</v>
      </c>
      <c r="AT306" s="47">
        <f t="shared" si="84"/>
        <v>10155.6</v>
      </c>
      <c r="AU306" s="43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0">
        <f t="shared" si="86"/>
        <v>5742.8810000000003</v>
      </c>
      <c r="AR307" s="10">
        <f t="shared" si="87"/>
        <v>5903.5860000000002</v>
      </c>
      <c r="AS307" s="47">
        <f t="shared" si="83"/>
        <v>5077.8</v>
      </c>
      <c r="AT307" s="47">
        <f t="shared" si="84"/>
        <v>10155.6</v>
      </c>
      <c r="AU307" s="43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0">
        <f t="shared" si="86"/>
        <v>5837.3</v>
      </c>
      <c r="AR308" s="10">
        <f t="shared" si="87"/>
        <v>6013.7999999999993</v>
      </c>
      <c r="AS308" s="47">
        <f t="shared" si="83"/>
        <v>5077.8</v>
      </c>
      <c r="AT308" s="47">
        <f t="shared" si="84"/>
        <v>10155.6</v>
      </c>
      <c r="AU308" s="43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0">
        <f t="shared" si="86"/>
        <v>5837.3</v>
      </c>
      <c r="AR309" s="10">
        <f t="shared" si="87"/>
        <v>6013.7999999999993</v>
      </c>
      <c r="AS309" s="47">
        <f t="shared" si="83"/>
        <v>5077.8</v>
      </c>
      <c r="AT309" s="47">
        <f t="shared" si="84"/>
        <v>10155.6</v>
      </c>
      <c r="AU309" s="43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0">
        <f t="shared" si="86"/>
        <v>5837.3</v>
      </c>
      <c r="AR310" s="10">
        <f t="shared" si="87"/>
        <v>6013.7999999999993</v>
      </c>
      <c r="AS310" s="47">
        <f t="shared" si="83"/>
        <v>5077.8</v>
      </c>
      <c r="AT310" s="47">
        <f t="shared" si="84"/>
        <v>10155.6</v>
      </c>
      <c r="AU310" s="43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0">
        <f t="shared" si="86"/>
        <v>3857.4600000000005</v>
      </c>
      <c r="AR311" s="10">
        <f t="shared" si="87"/>
        <v>3935.8799999999997</v>
      </c>
      <c r="AS311" s="47">
        <f t="shared" si="83"/>
        <v>3748.68</v>
      </c>
      <c r="AT311" s="47">
        <f t="shared" si="84"/>
        <v>7169.76</v>
      </c>
      <c r="AU311" s="43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0">
        <f t="shared" si="86"/>
        <v>4045.76</v>
      </c>
      <c r="AR312" s="10">
        <f t="shared" si="87"/>
        <v>4193.28</v>
      </c>
      <c r="AS312" s="47">
        <f t="shared" si="83"/>
        <v>3912.48</v>
      </c>
      <c r="AT312" s="47">
        <f t="shared" si="84"/>
        <v>7731.36</v>
      </c>
      <c r="AU312" s="43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0">
        <f t="shared" si="86"/>
        <v>4234.0599999999995</v>
      </c>
      <c r="AR313" s="10">
        <f t="shared" si="87"/>
        <v>4450.6799999999994</v>
      </c>
      <c r="AS313" s="47">
        <f t="shared" si="83"/>
        <v>3978</v>
      </c>
      <c r="AT313" s="47">
        <f t="shared" si="84"/>
        <v>7956</v>
      </c>
      <c r="AU313" s="43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0">
        <f t="shared" si="86"/>
        <v>4422.3600000000006</v>
      </c>
      <c r="AR314" s="10">
        <f t="shared" si="87"/>
        <v>4708.08</v>
      </c>
      <c r="AS314" s="47">
        <f t="shared" si="83"/>
        <v>3978</v>
      </c>
      <c r="AT314" s="47">
        <f t="shared" si="84"/>
        <v>7956</v>
      </c>
      <c r="AU314" s="43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0">
        <f t="shared" si="86"/>
        <v>4573</v>
      </c>
      <c r="AR315" s="10">
        <f t="shared" si="87"/>
        <v>4914</v>
      </c>
      <c r="AS315" s="47">
        <f t="shared" si="83"/>
        <v>3978</v>
      </c>
      <c r="AT315" s="47">
        <f t="shared" si="84"/>
        <v>7956</v>
      </c>
      <c r="AU315" s="43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0">
        <f t="shared" si="86"/>
        <v>4573</v>
      </c>
      <c r="AR316" s="10">
        <f t="shared" si="87"/>
        <v>4914</v>
      </c>
      <c r="AS316" s="47">
        <f t="shared" si="83"/>
        <v>3978</v>
      </c>
      <c r="AT316" s="47">
        <f t="shared" si="84"/>
        <v>7956</v>
      </c>
      <c r="AU316" s="43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0">
        <f t="shared" si="86"/>
        <v>4573</v>
      </c>
      <c r="AR317" s="10">
        <f t="shared" si="87"/>
        <v>4914</v>
      </c>
      <c r="AS317" s="47">
        <f t="shared" si="83"/>
        <v>3978</v>
      </c>
      <c r="AT317" s="47">
        <f t="shared" si="84"/>
        <v>7956</v>
      </c>
      <c r="AU317" s="43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0">
        <f t="shared" si="86"/>
        <v>4573</v>
      </c>
      <c r="AR318" s="10">
        <f t="shared" si="87"/>
        <v>4914</v>
      </c>
      <c r="AS318" s="47">
        <f t="shared" si="83"/>
        <v>3978</v>
      </c>
      <c r="AT318" s="47">
        <f t="shared" si="84"/>
        <v>7956</v>
      </c>
      <c r="AU318" s="43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0">
        <f t="shared" si="86"/>
        <v>4573</v>
      </c>
      <c r="AR319" s="10">
        <f t="shared" si="87"/>
        <v>4914</v>
      </c>
      <c r="AS319" s="47">
        <f t="shared" si="83"/>
        <v>3978</v>
      </c>
      <c r="AT319" s="47">
        <f t="shared" si="84"/>
        <v>7956</v>
      </c>
      <c r="AU319" s="43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0">
        <f t="shared" si="86"/>
        <v>4573</v>
      </c>
      <c r="AR320" s="10">
        <f t="shared" si="87"/>
        <v>4914</v>
      </c>
      <c r="AS320" s="47">
        <f t="shared" si="83"/>
        <v>3978</v>
      </c>
      <c r="AT320" s="47">
        <f t="shared" si="84"/>
        <v>7956</v>
      </c>
      <c r="AU320" s="43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0">
        <f t="shared" si="86"/>
        <v>4573</v>
      </c>
      <c r="AR321" s="10">
        <f t="shared" si="87"/>
        <v>4914</v>
      </c>
      <c r="AS321" s="47">
        <f t="shared" si="83"/>
        <v>3978</v>
      </c>
      <c r="AT321" s="47">
        <f t="shared" si="84"/>
        <v>7956</v>
      </c>
      <c r="AU321" s="43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0">
        <f t="shared" si="86"/>
        <v>3638.34</v>
      </c>
      <c r="AR322" s="10">
        <f t="shared" si="87"/>
        <v>3514.8700000000003</v>
      </c>
      <c r="AS322" s="47">
        <f t="shared" si="83"/>
        <v>3677.47</v>
      </c>
      <c r="AT322" s="47">
        <f t="shared" si="84"/>
        <v>6027.0400000000009</v>
      </c>
      <c r="AU322" s="43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0">
        <f t="shared" si="86"/>
        <v>3852.5399999999995</v>
      </c>
      <c r="AR323" s="10">
        <f t="shared" si="87"/>
        <v>3812.9700000000003</v>
      </c>
      <c r="AS323" s="47">
        <f t="shared" ref="AS323:AS386" si="88">$AG$3*(1+$AJ323*$Y$2+$AN323)*(MAXA(1-$AI$3-$AL323*$AA$3-$AP323-0.36,0)+MINA($AI$3+$AL323*$AA$3+$AP323+0.36,1)*(1+$AH$3+$AO323+$AK323*$Z$4))</f>
        <v>3867.17</v>
      </c>
      <c r="AT323" s="47">
        <f t="shared" ref="AT323:AT386" si="89">$AG$3*(1+$AJ323*$Y$2+$AN323)*(MAXA(1-$AI$3-$AL323*$AA$3-$AP323-0.36,0)+2*MINA($AI$3+$AL323*$AA$3+$AP323+0.36,1)*(1+$AH$3+$AO323+$AK323*$Z$4))</f>
        <v>6677.44</v>
      </c>
      <c r="AU323" s="43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0">
        <f t="shared" ref="AQ324:AQ387" si="91">$AG$3*(1+$AJ324*$Y$2+$AN324+0.35)*(MAXA(1-$AI$3-$AL324*$AA$3-$AP324-0.12,0)+MINA($AI$3+$AL324*$AA$3+$AP324+0.12,1)*(1+$AH$3+$AO324+$AK324*$Z$4))</f>
        <v>4066.7399999999993</v>
      </c>
      <c r="AR324" s="10">
        <f t="shared" ref="AR324:AR387" si="92">$AG$3*(1+$AJ324*$Y$2+$AN324)*(MAXA(1-$AI$3-$AL324*$AA$3-$AP324-0.12,0)+MINA($AI$3+$AL324*$AA$3+$AP324+0.12,1)*(1+$AH$3+$AO324+$AK324*$Z$4+0.4))</f>
        <v>4111.07</v>
      </c>
      <c r="AS324" s="47">
        <f t="shared" si="88"/>
        <v>4056.87</v>
      </c>
      <c r="AT324" s="47">
        <f t="shared" si="89"/>
        <v>7327.8399999999992</v>
      </c>
      <c r="AU324" s="43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0">
        <f t="shared" si="91"/>
        <v>4280.9400000000005</v>
      </c>
      <c r="AR325" s="10">
        <f t="shared" si="92"/>
        <v>4409.1699999999992</v>
      </c>
      <c r="AS325" s="47">
        <f t="shared" si="88"/>
        <v>4246.57</v>
      </c>
      <c r="AT325" s="47">
        <f t="shared" si="89"/>
        <v>7978.2399999999989</v>
      </c>
      <c r="AU325" s="43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0">
        <f t="shared" si="91"/>
        <v>4495.1399999999994</v>
      </c>
      <c r="AR326" s="10">
        <f t="shared" si="92"/>
        <v>4707.2700000000004</v>
      </c>
      <c r="AS326" s="47">
        <f t="shared" si="88"/>
        <v>4436.2700000000004</v>
      </c>
      <c r="AT326" s="47">
        <f t="shared" si="89"/>
        <v>8628.64</v>
      </c>
      <c r="AU326" s="43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0">
        <f t="shared" si="91"/>
        <v>4709.34</v>
      </c>
      <c r="AR327" s="10">
        <f t="shared" si="92"/>
        <v>5005.3700000000008</v>
      </c>
      <c r="AS327" s="47">
        <f t="shared" si="88"/>
        <v>4607</v>
      </c>
      <c r="AT327" s="47">
        <f t="shared" si="89"/>
        <v>9214</v>
      </c>
      <c r="AU327" s="43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0">
        <f t="shared" si="91"/>
        <v>4923.54</v>
      </c>
      <c r="AR328" s="10">
        <f t="shared" si="92"/>
        <v>5303.4699999999993</v>
      </c>
      <c r="AS328" s="47">
        <f t="shared" si="88"/>
        <v>4607</v>
      </c>
      <c r="AT328" s="47">
        <f t="shared" si="89"/>
        <v>9214</v>
      </c>
      <c r="AU328" s="43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0">
        <f t="shared" si="91"/>
        <v>5137.74</v>
      </c>
      <c r="AR329" s="10">
        <f t="shared" si="92"/>
        <v>5601.5700000000006</v>
      </c>
      <c r="AS329" s="47">
        <f t="shared" si="88"/>
        <v>4607</v>
      </c>
      <c r="AT329" s="47">
        <f t="shared" si="89"/>
        <v>9214</v>
      </c>
      <c r="AU329" s="43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0">
        <f t="shared" si="91"/>
        <v>5202</v>
      </c>
      <c r="AR330" s="10">
        <f t="shared" si="92"/>
        <v>5691</v>
      </c>
      <c r="AS330" s="47">
        <f t="shared" si="88"/>
        <v>4607</v>
      </c>
      <c r="AT330" s="47">
        <f t="shared" si="89"/>
        <v>9214</v>
      </c>
      <c r="AU330" s="43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0">
        <f t="shared" si="91"/>
        <v>5202</v>
      </c>
      <c r="AR331" s="10">
        <f t="shared" si="92"/>
        <v>5691</v>
      </c>
      <c r="AS331" s="47">
        <f t="shared" si="88"/>
        <v>4607</v>
      </c>
      <c r="AT331" s="47">
        <f t="shared" si="89"/>
        <v>9214</v>
      </c>
      <c r="AU331" s="43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0">
        <f t="shared" si="91"/>
        <v>5202</v>
      </c>
      <c r="AR332" s="10">
        <f t="shared" si="92"/>
        <v>5691</v>
      </c>
      <c r="AS332" s="47">
        <f t="shared" si="88"/>
        <v>4607</v>
      </c>
      <c r="AT332" s="47">
        <f t="shared" si="89"/>
        <v>9214</v>
      </c>
      <c r="AU332" s="43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0">
        <f t="shared" si="91"/>
        <v>3802.951</v>
      </c>
      <c r="AR333" s="10">
        <f t="shared" si="92"/>
        <v>3616.7059999999997</v>
      </c>
      <c r="AS333" s="47">
        <f t="shared" si="88"/>
        <v>4055.6179999999999</v>
      </c>
      <c r="AT333" s="47">
        <f t="shared" si="89"/>
        <v>6866.6360000000004</v>
      </c>
      <c r="AU333" s="43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0">
        <f t="shared" si="91"/>
        <v>4141.0810000000001</v>
      </c>
      <c r="AR334" s="10">
        <f t="shared" si="92"/>
        <v>4015.4859999999999</v>
      </c>
      <c r="AS334" s="47">
        <f t="shared" si="88"/>
        <v>4352.7979999999998</v>
      </c>
      <c r="AT334" s="47">
        <f t="shared" si="89"/>
        <v>7714.9960000000001</v>
      </c>
      <c r="AU334" s="43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0">
        <f t="shared" si="91"/>
        <v>4479.2109999999993</v>
      </c>
      <c r="AR335" s="10">
        <f t="shared" si="92"/>
        <v>4414.2659999999996</v>
      </c>
      <c r="AS335" s="47">
        <f t="shared" si="88"/>
        <v>4649.9779999999992</v>
      </c>
      <c r="AT335" s="47">
        <f t="shared" si="89"/>
        <v>8563.3559999999998</v>
      </c>
      <c r="AU335" s="43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0">
        <f t="shared" si="91"/>
        <v>4817.3410000000003</v>
      </c>
      <c r="AR336" s="10">
        <f t="shared" si="92"/>
        <v>4813.0459999999994</v>
      </c>
      <c r="AS336" s="47">
        <f t="shared" si="88"/>
        <v>4947.1579999999994</v>
      </c>
      <c r="AT336" s="47">
        <f t="shared" si="89"/>
        <v>9411.7159999999985</v>
      </c>
      <c r="AU336" s="43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0">
        <f t="shared" si="91"/>
        <v>5155.4710000000005</v>
      </c>
      <c r="AR337" s="10">
        <f t="shared" si="92"/>
        <v>5211.826</v>
      </c>
      <c r="AS337" s="47">
        <f t="shared" si="88"/>
        <v>5244.3379999999997</v>
      </c>
      <c r="AT337" s="47">
        <f t="shared" si="89"/>
        <v>10260.075999999999</v>
      </c>
      <c r="AU337" s="43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0">
        <f t="shared" si="91"/>
        <v>5493.6009999999997</v>
      </c>
      <c r="AR338" s="10">
        <f t="shared" si="92"/>
        <v>5610.6059999999998</v>
      </c>
      <c r="AS338" s="47">
        <f t="shared" si="88"/>
        <v>5511.8</v>
      </c>
      <c r="AT338" s="47">
        <f t="shared" si="89"/>
        <v>11023.6</v>
      </c>
      <c r="AU338" s="43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0">
        <f t="shared" si="91"/>
        <v>5831.7309999999998</v>
      </c>
      <c r="AR339" s="10">
        <f t="shared" si="92"/>
        <v>6009.3859999999995</v>
      </c>
      <c r="AS339" s="47">
        <f t="shared" si="88"/>
        <v>5511.8</v>
      </c>
      <c r="AT339" s="47">
        <f t="shared" si="89"/>
        <v>11023.6</v>
      </c>
      <c r="AU339" s="43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0">
        <f t="shared" si="91"/>
        <v>6169.8609999999999</v>
      </c>
      <c r="AR340" s="10">
        <f t="shared" si="92"/>
        <v>6408.1660000000002</v>
      </c>
      <c r="AS340" s="47">
        <f t="shared" si="88"/>
        <v>5511.8</v>
      </c>
      <c r="AT340" s="47">
        <f t="shared" si="89"/>
        <v>11023.6</v>
      </c>
      <c r="AU340" s="43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0">
        <f t="shared" si="91"/>
        <v>6271.3</v>
      </c>
      <c r="AR341" s="10">
        <f t="shared" si="92"/>
        <v>6527.7999999999993</v>
      </c>
      <c r="AS341" s="47">
        <f t="shared" si="88"/>
        <v>5511.8</v>
      </c>
      <c r="AT341" s="47">
        <f t="shared" si="89"/>
        <v>11023.6</v>
      </c>
      <c r="AU341" s="43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0">
        <f t="shared" si="91"/>
        <v>6271.3</v>
      </c>
      <c r="AR342" s="10">
        <f t="shared" si="92"/>
        <v>6527.7999999999993</v>
      </c>
      <c r="AS342" s="47">
        <f t="shared" si="88"/>
        <v>5511.8</v>
      </c>
      <c r="AT342" s="47">
        <f t="shared" si="89"/>
        <v>11023.6</v>
      </c>
      <c r="AU342" s="43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0">
        <f t="shared" si="91"/>
        <v>6271.3</v>
      </c>
      <c r="AR343" s="10">
        <f t="shared" si="92"/>
        <v>6527.7999999999993</v>
      </c>
      <c r="AS343" s="47">
        <f t="shared" si="88"/>
        <v>5511.8</v>
      </c>
      <c r="AT343" s="47">
        <f t="shared" si="89"/>
        <v>11023.6</v>
      </c>
      <c r="AU343" s="43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0">
        <f t="shared" si="91"/>
        <v>4144.26</v>
      </c>
      <c r="AR344" s="10">
        <f t="shared" si="92"/>
        <v>4272.28</v>
      </c>
      <c r="AS344" s="47">
        <f t="shared" si="88"/>
        <v>4069.0799999999995</v>
      </c>
      <c r="AT344" s="47">
        <f t="shared" si="89"/>
        <v>7782.56</v>
      </c>
      <c r="AU344" s="43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0">
        <f t="shared" si="91"/>
        <v>4346.5600000000004</v>
      </c>
      <c r="AR345" s="10">
        <f t="shared" si="92"/>
        <v>4551.68</v>
      </c>
      <c r="AS345" s="47">
        <f t="shared" si="88"/>
        <v>4246.88</v>
      </c>
      <c r="AT345" s="47">
        <f t="shared" si="89"/>
        <v>8392.16</v>
      </c>
      <c r="AU345" s="43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0">
        <f t="shared" si="91"/>
        <v>4548.8599999999997</v>
      </c>
      <c r="AR346" s="10">
        <f t="shared" si="92"/>
        <v>4831.08</v>
      </c>
      <c r="AS346" s="47">
        <f t="shared" si="88"/>
        <v>4318</v>
      </c>
      <c r="AT346" s="47">
        <f t="shared" si="89"/>
        <v>8636</v>
      </c>
      <c r="AU346" s="43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0">
        <f t="shared" si="91"/>
        <v>4751.1600000000008</v>
      </c>
      <c r="AR347" s="10">
        <f t="shared" si="92"/>
        <v>5110.4800000000005</v>
      </c>
      <c r="AS347" s="47">
        <f t="shared" si="88"/>
        <v>4318</v>
      </c>
      <c r="AT347" s="47">
        <f t="shared" si="89"/>
        <v>8636</v>
      </c>
      <c r="AU347" s="43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0">
        <f t="shared" si="91"/>
        <v>4913</v>
      </c>
      <c r="AR348" s="10">
        <f t="shared" si="92"/>
        <v>5334</v>
      </c>
      <c r="AS348" s="47">
        <f t="shared" si="88"/>
        <v>4318</v>
      </c>
      <c r="AT348" s="47">
        <f t="shared" si="89"/>
        <v>8636</v>
      </c>
      <c r="AU348" s="43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0">
        <f t="shared" si="91"/>
        <v>4913</v>
      </c>
      <c r="AR349" s="10">
        <f t="shared" si="92"/>
        <v>5334</v>
      </c>
      <c r="AS349" s="47">
        <f t="shared" si="88"/>
        <v>4318</v>
      </c>
      <c r="AT349" s="47">
        <f t="shared" si="89"/>
        <v>8636</v>
      </c>
      <c r="AU349" s="43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0">
        <f t="shared" si="91"/>
        <v>4913</v>
      </c>
      <c r="AR350" s="10">
        <f t="shared" si="92"/>
        <v>5334</v>
      </c>
      <c r="AS350" s="47">
        <f t="shared" si="88"/>
        <v>4318</v>
      </c>
      <c r="AT350" s="47">
        <f t="shared" si="89"/>
        <v>8636</v>
      </c>
      <c r="AU350" s="43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0">
        <f t="shared" si="91"/>
        <v>4913</v>
      </c>
      <c r="AR351" s="10">
        <f t="shared" si="92"/>
        <v>5334</v>
      </c>
      <c r="AS351" s="47">
        <f t="shared" si="88"/>
        <v>4318</v>
      </c>
      <c r="AT351" s="47">
        <f t="shared" si="89"/>
        <v>8636</v>
      </c>
      <c r="AU351" s="43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0">
        <f t="shared" si="91"/>
        <v>4913</v>
      </c>
      <c r="AR352" s="10">
        <f t="shared" si="92"/>
        <v>5334</v>
      </c>
      <c r="AS352" s="47">
        <f t="shared" si="88"/>
        <v>4318</v>
      </c>
      <c r="AT352" s="47">
        <f t="shared" si="89"/>
        <v>8636</v>
      </c>
      <c r="AU352" s="43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0">
        <f t="shared" si="91"/>
        <v>4913</v>
      </c>
      <c r="AR353" s="10">
        <f t="shared" si="92"/>
        <v>5334</v>
      </c>
      <c r="AS353" s="47">
        <f t="shared" si="88"/>
        <v>4318</v>
      </c>
      <c r="AT353" s="47">
        <f t="shared" si="89"/>
        <v>8636</v>
      </c>
      <c r="AU353" s="43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0">
        <f t="shared" si="91"/>
        <v>4913</v>
      </c>
      <c r="AR354" s="10">
        <f t="shared" si="92"/>
        <v>5334</v>
      </c>
      <c r="AS354" s="47">
        <f t="shared" si="88"/>
        <v>4318</v>
      </c>
      <c r="AT354" s="47">
        <f t="shared" si="89"/>
        <v>8636</v>
      </c>
      <c r="AU354" s="43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0">
        <f t="shared" si="91"/>
        <v>3876.1400000000008</v>
      </c>
      <c r="AR355" s="10">
        <f t="shared" si="92"/>
        <v>3774.2700000000004</v>
      </c>
      <c r="AS355" s="47">
        <f t="shared" si="88"/>
        <v>3948.87</v>
      </c>
      <c r="AT355" s="47">
        <f t="shared" si="89"/>
        <v>6471.84</v>
      </c>
      <c r="AU355" s="43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0">
        <f t="shared" si="91"/>
        <v>4104.34</v>
      </c>
      <c r="AR356" s="10">
        <f t="shared" si="92"/>
        <v>4094.37</v>
      </c>
      <c r="AS356" s="47">
        <f t="shared" si="88"/>
        <v>4152.57</v>
      </c>
      <c r="AT356" s="47">
        <f t="shared" si="89"/>
        <v>7170.24</v>
      </c>
      <c r="AU356" s="43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0">
        <f t="shared" si="91"/>
        <v>4332.54</v>
      </c>
      <c r="AR357" s="10">
        <f t="shared" si="92"/>
        <v>4414.4699999999993</v>
      </c>
      <c r="AS357" s="47">
        <f t="shared" si="88"/>
        <v>4356.2699999999995</v>
      </c>
      <c r="AT357" s="47">
        <f t="shared" si="89"/>
        <v>7868.6399999999994</v>
      </c>
      <c r="AU357" s="43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0">
        <f t="shared" si="91"/>
        <v>4560.7400000000007</v>
      </c>
      <c r="AR358" s="10">
        <f t="shared" si="92"/>
        <v>4734.57</v>
      </c>
      <c r="AS358" s="47">
        <f t="shared" si="88"/>
        <v>4559.9699999999993</v>
      </c>
      <c r="AT358" s="47">
        <f t="shared" si="89"/>
        <v>8567.0399999999991</v>
      </c>
      <c r="AU358" s="43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0">
        <f t="shared" si="91"/>
        <v>4788.9400000000005</v>
      </c>
      <c r="AR359" s="10">
        <f t="shared" si="92"/>
        <v>5054.67</v>
      </c>
      <c r="AS359" s="47">
        <f t="shared" si="88"/>
        <v>4763.67</v>
      </c>
      <c r="AT359" s="47">
        <f t="shared" si="89"/>
        <v>9265.4399999999987</v>
      </c>
      <c r="AU359" s="43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0">
        <f t="shared" si="91"/>
        <v>5017.1400000000003</v>
      </c>
      <c r="AR360" s="10">
        <f t="shared" si="92"/>
        <v>5374.77</v>
      </c>
      <c r="AS360" s="47">
        <f t="shared" si="88"/>
        <v>4947</v>
      </c>
      <c r="AT360" s="47">
        <f t="shared" si="89"/>
        <v>9894</v>
      </c>
      <c r="AU360" s="43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0">
        <f t="shared" si="91"/>
        <v>5245.3400000000011</v>
      </c>
      <c r="AR361" s="10">
        <f t="shared" si="92"/>
        <v>5694.87</v>
      </c>
      <c r="AS361" s="47">
        <f t="shared" si="88"/>
        <v>4947</v>
      </c>
      <c r="AT361" s="47">
        <f t="shared" si="89"/>
        <v>9894</v>
      </c>
      <c r="AU361" s="43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0">
        <f t="shared" si="91"/>
        <v>5473.5400000000009</v>
      </c>
      <c r="AR362" s="10">
        <f t="shared" si="92"/>
        <v>6014.97</v>
      </c>
      <c r="AS362" s="47">
        <f t="shared" si="88"/>
        <v>4947</v>
      </c>
      <c r="AT362" s="47">
        <f t="shared" si="89"/>
        <v>9894</v>
      </c>
      <c r="AU362" s="43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0">
        <f t="shared" si="91"/>
        <v>5542.0000000000009</v>
      </c>
      <c r="AR363" s="10">
        <f t="shared" si="92"/>
        <v>6111</v>
      </c>
      <c r="AS363" s="47">
        <f t="shared" si="88"/>
        <v>4947</v>
      </c>
      <c r="AT363" s="47">
        <f t="shared" si="89"/>
        <v>9894</v>
      </c>
      <c r="AU363" s="43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0">
        <f t="shared" si="91"/>
        <v>5542.0000000000009</v>
      </c>
      <c r="AR364" s="10">
        <f t="shared" si="92"/>
        <v>6111</v>
      </c>
      <c r="AS364" s="47">
        <f t="shared" si="88"/>
        <v>4947</v>
      </c>
      <c r="AT364" s="47">
        <f t="shared" si="89"/>
        <v>9894</v>
      </c>
      <c r="AU364" s="43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0">
        <f t="shared" si="91"/>
        <v>5542.0000000000009</v>
      </c>
      <c r="AR365" s="10">
        <f t="shared" si="92"/>
        <v>6111</v>
      </c>
      <c r="AS365" s="47">
        <f t="shared" si="88"/>
        <v>4947</v>
      </c>
      <c r="AT365" s="47">
        <f t="shared" si="89"/>
        <v>9894</v>
      </c>
      <c r="AU365" s="43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0">
        <f t="shared" si="91"/>
        <v>4066.1310000000008</v>
      </c>
      <c r="AR366" s="10">
        <f t="shared" si="92"/>
        <v>3901.4859999999999</v>
      </c>
      <c r="AS366" s="47">
        <f t="shared" si="88"/>
        <v>4374.9579999999996</v>
      </c>
      <c r="AT366" s="47">
        <f t="shared" si="89"/>
        <v>7407.3160000000007</v>
      </c>
      <c r="AU366" s="43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0">
        <f t="shared" si="91"/>
        <v>4427.661000000001</v>
      </c>
      <c r="AR367" s="10">
        <f t="shared" si="92"/>
        <v>4331.6660000000002</v>
      </c>
      <c r="AS367" s="47">
        <f t="shared" si="88"/>
        <v>4695.5379999999996</v>
      </c>
      <c r="AT367" s="47">
        <f t="shared" si="89"/>
        <v>8322.4760000000006</v>
      </c>
      <c r="AU367" s="43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0">
        <f t="shared" si="91"/>
        <v>4789.1909999999998</v>
      </c>
      <c r="AR368" s="10">
        <f t="shared" si="92"/>
        <v>4761.8459999999995</v>
      </c>
      <c r="AS368" s="47">
        <f t="shared" si="88"/>
        <v>5016.1179999999995</v>
      </c>
      <c r="AT368" s="47">
        <f t="shared" si="89"/>
        <v>9237.6360000000004</v>
      </c>
      <c r="AU368" s="43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0">
        <f t="shared" si="91"/>
        <v>5150.7210000000005</v>
      </c>
      <c r="AR369" s="10">
        <f t="shared" si="92"/>
        <v>5192.0259999999998</v>
      </c>
      <c r="AS369" s="47">
        <f t="shared" si="88"/>
        <v>5336.6979999999994</v>
      </c>
      <c r="AT369" s="47">
        <f t="shared" si="89"/>
        <v>10152.795999999998</v>
      </c>
      <c r="AU369" s="43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0">
        <f t="shared" si="91"/>
        <v>5512.2510000000011</v>
      </c>
      <c r="AR370" s="10">
        <f t="shared" si="92"/>
        <v>5622.2059999999992</v>
      </c>
      <c r="AS370" s="47">
        <f t="shared" si="88"/>
        <v>5657.2779999999993</v>
      </c>
      <c r="AT370" s="47">
        <f t="shared" si="89"/>
        <v>11067.955999999998</v>
      </c>
      <c r="AU370" s="43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0">
        <f t="shared" si="91"/>
        <v>5873.7810000000009</v>
      </c>
      <c r="AR371" s="10">
        <f t="shared" si="92"/>
        <v>6052.3859999999995</v>
      </c>
      <c r="AS371" s="47">
        <f t="shared" si="88"/>
        <v>5945.8</v>
      </c>
      <c r="AT371" s="47">
        <f t="shared" si="89"/>
        <v>11891.6</v>
      </c>
      <c r="AU371" s="43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0">
        <f t="shared" si="91"/>
        <v>6235.3110000000006</v>
      </c>
      <c r="AR372" s="10">
        <f t="shared" si="92"/>
        <v>6482.5659999999998</v>
      </c>
      <c r="AS372" s="47">
        <f t="shared" si="88"/>
        <v>5945.8</v>
      </c>
      <c r="AT372" s="47">
        <f t="shared" si="89"/>
        <v>11891.6</v>
      </c>
      <c r="AU372" s="43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0">
        <f t="shared" si="91"/>
        <v>6596.8410000000013</v>
      </c>
      <c r="AR373" s="10">
        <f t="shared" si="92"/>
        <v>6912.7460000000001</v>
      </c>
      <c r="AS373" s="47">
        <f t="shared" si="88"/>
        <v>5945.8</v>
      </c>
      <c r="AT373" s="47">
        <f t="shared" si="89"/>
        <v>11891.6</v>
      </c>
      <c r="AU373" s="43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0">
        <f t="shared" si="91"/>
        <v>6705.3000000000011</v>
      </c>
      <c r="AR374" s="10">
        <f t="shared" si="92"/>
        <v>7041.7999999999993</v>
      </c>
      <c r="AS374" s="47">
        <f t="shared" si="88"/>
        <v>5945.8</v>
      </c>
      <c r="AT374" s="47">
        <f t="shared" si="89"/>
        <v>11891.6</v>
      </c>
      <c r="AU374" s="43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0">
        <f t="shared" si="91"/>
        <v>6705.3000000000011</v>
      </c>
      <c r="AR375" s="10">
        <f t="shared" si="92"/>
        <v>7041.7999999999993</v>
      </c>
      <c r="AS375" s="47">
        <f t="shared" si="88"/>
        <v>5945.8</v>
      </c>
      <c r="AT375" s="47">
        <f t="shared" si="89"/>
        <v>11891.6</v>
      </c>
      <c r="AU375" s="43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0">
        <f t="shared" si="91"/>
        <v>6705.3000000000011</v>
      </c>
      <c r="AR376" s="10">
        <f t="shared" si="92"/>
        <v>7041.7999999999993</v>
      </c>
      <c r="AS376" s="47">
        <f t="shared" si="88"/>
        <v>5945.8</v>
      </c>
      <c r="AT376" s="47">
        <f t="shared" si="89"/>
        <v>11891.6</v>
      </c>
      <c r="AU376" s="43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0">
        <f t="shared" si="91"/>
        <v>4431.0600000000013</v>
      </c>
      <c r="AR377" s="10">
        <f t="shared" si="92"/>
        <v>4608.6799999999994</v>
      </c>
      <c r="AS377" s="47">
        <f t="shared" si="88"/>
        <v>4389.4799999999996</v>
      </c>
      <c r="AT377" s="47">
        <f t="shared" si="89"/>
        <v>8395.36</v>
      </c>
      <c r="AU377" s="43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0">
        <f t="shared" si="91"/>
        <v>4647.3600000000006</v>
      </c>
      <c r="AR378" s="10">
        <f t="shared" si="92"/>
        <v>4910.08</v>
      </c>
      <c r="AS378" s="47">
        <f t="shared" si="88"/>
        <v>4581.28</v>
      </c>
      <c r="AT378" s="47">
        <f t="shared" si="89"/>
        <v>9052.9599999999991</v>
      </c>
      <c r="AU378" s="43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0">
        <f t="shared" si="91"/>
        <v>4863.66</v>
      </c>
      <c r="AR379" s="10">
        <f t="shared" si="92"/>
        <v>5211.4799999999996</v>
      </c>
      <c r="AS379" s="47">
        <f t="shared" si="88"/>
        <v>4658</v>
      </c>
      <c r="AT379" s="47">
        <f t="shared" si="89"/>
        <v>9316</v>
      </c>
      <c r="AU379" s="43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0">
        <f t="shared" si="91"/>
        <v>5079.9600000000009</v>
      </c>
      <c r="AR380" s="10">
        <f t="shared" si="92"/>
        <v>5512.88</v>
      </c>
      <c r="AS380" s="47">
        <f t="shared" si="88"/>
        <v>4658</v>
      </c>
      <c r="AT380" s="47">
        <f t="shared" si="89"/>
        <v>9316</v>
      </c>
      <c r="AU380" s="43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0">
        <f t="shared" si="91"/>
        <v>5253.0000000000009</v>
      </c>
      <c r="AR381" s="10">
        <f t="shared" si="92"/>
        <v>5754</v>
      </c>
      <c r="AS381" s="47">
        <f t="shared" si="88"/>
        <v>4658</v>
      </c>
      <c r="AT381" s="47">
        <f t="shared" si="89"/>
        <v>9316</v>
      </c>
      <c r="AU381" s="43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0">
        <f t="shared" si="91"/>
        <v>5253.0000000000009</v>
      </c>
      <c r="AR382" s="10">
        <f t="shared" si="92"/>
        <v>5754</v>
      </c>
      <c r="AS382" s="47">
        <f t="shared" si="88"/>
        <v>4658</v>
      </c>
      <c r="AT382" s="47">
        <f t="shared" si="89"/>
        <v>9316</v>
      </c>
      <c r="AU382" s="43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0">
        <f t="shared" si="91"/>
        <v>5253.0000000000009</v>
      </c>
      <c r="AR383" s="10">
        <f t="shared" si="92"/>
        <v>5754</v>
      </c>
      <c r="AS383" s="47">
        <f t="shared" si="88"/>
        <v>4658</v>
      </c>
      <c r="AT383" s="47">
        <f t="shared" si="89"/>
        <v>9316</v>
      </c>
      <c r="AU383" s="43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0">
        <f t="shared" si="91"/>
        <v>5253.0000000000009</v>
      </c>
      <c r="AR384" s="10">
        <f t="shared" si="92"/>
        <v>5754</v>
      </c>
      <c r="AS384" s="47">
        <f t="shared" si="88"/>
        <v>4658</v>
      </c>
      <c r="AT384" s="47">
        <f t="shared" si="89"/>
        <v>9316</v>
      </c>
      <c r="AU384" s="43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0">
        <f t="shared" si="91"/>
        <v>5253.0000000000009</v>
      </c>
      <c r="AR385" s="10">
        <f t="shared" si="92"/>
        <v>5754</v>
      </c>
      <c r="AS385" s="47">
        <f t="shared" si="88"/>
        <v>4658</v>
      </c>
      <c r="AT385" s="47">
        <f t="shared" si="89"/>
        <v>9316</v>
      </c>
      <c r="AU385" s="43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0">
        <f t="shared" si="91"/>
        <v>5253.0000000000009</v>
      </c>
      <c r="AR386" s="10">
        <f t="shared" si="92"/>
        <v>5754</v>
      </c>
      <c r="AS386" s="47">
        <f t="shared" si="88"/>
        <v>4658</v>
      </c>
      <c r="AT386" s="47">
        <f t="shared" si="89"/>
        <v>9316</v>
      </c>
      <c r="AU386" s="43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0">
        <f t="shared" si="91"/>
        <v>5253.0000000000009</v>
      </c>
      <c r="AR387" s="10">
        <f t="shared" si="92"/>
        <v>5754</v>
      </c>
      <c r="AS387" s="47">
        <f t="shared" ref="AS387:AS450" si="93">$AG$3*(1+$AJ387*$Y$2+$AN387)*(MAXA(1-$AI$3-$AL387*$AA$3-$AP387-0.36,0)+MINA($AI$3+$AL387*$AA$3+$AP387+0.36,1)*(1+$AH$3+$AO387+$AK387*$Z$4))</f>
        <v>4658</v>
      </c>
      <c r="AT387" s="47">
        <f t="shared" ref="AT387:AT450" si="94">$AG$3*(1+$AJ387*$Y$2+$AN387)*(MAXA(1-$AI$3-$AL387*$AA$3-$AP387-0.36,0)+2*MINA($AI$3+$AL387*$AA$3+$AP387+0.36,1)*(1+$AH$3+$AO387+$AK387*$Z$4))</f>
        <v>9316</v>
      </c>
      <c r="AU387" s="43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0">
        <f t="shared" ref="AQ388:AQ451" si="96">$AG$3*(1+$AJ388*$Y$2+$AN388+0.35)*(MAXA(1-$AI$3-$AL388*$AA$3-$AP388-0.12,0)+MINA($AI$3+$AL388*$AA$3+$AP388+0.12,1)*(1+$AH$3+$AO388+$AK388*$Z$4))</f>
        <v>4113.9400000000005</v>
      </c>
      <c r="AR388" s="10">
        <f t="shared" ref="AR388:AR451" si="97">$AG$3*(1+$AJ388*$Y$2+$AN388)*(MAXA(1-$AI$3-$AL388*$AA$3-$AP388-0.12,0)+MINA($AI$3+$AL388*$AA$3+$AP388+0.12,1)*(1+$AH$3+$AO388+$AK388*$Z$4+0.4))</f>
        <v>4033.6700000000005</v>
      </c>
      <c r="AS388" s="47">
        <f t="shared" si="93"/>
        <v>4220.2699999999995</v>
      </c>
      <c r="AT388" s="47">
        <f t="shared" si="94"/>
        <v>6916.64</v>
      </c>
      <c r="AU388" s="43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0">
        <f t="shared" si="96"/>
        <v>4356.1399999999994</v>
      </c>
      <c r="AR389" s="10">
        <f t="shared" si="97"/>
        <v>4375.7700000000004</v>
      </c>
      <c r="AS389" s="47">
        <f t="shared" si="93"/>
        <v>4437.97</v>
      </c>
      <c r="AT389" s="47">
        <f t="shared" si="94"/>
        <v>7663.04</v>
      </c>
      <c r="AU389" s="43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0">
        <f t="shared" si="96"/>
        <v>4598.3399999999992</v>
      </c>
      <c r="AR390" s="10">
        <f t="shared" si="97"/>
        <v>4717.87</v>
      </c>
      <c r="AS390" s="47">
        <f t="shared" si="93"/>
        <v>4655.67</v>
      </c>
      <c r="AT390" s="47">
        <f t="shared" si="94"/>
        <v>8409.4399999999987</v>
      </c>
      <c r="AU390" s="43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0">
        <f t="shared" si="96"/>
        <v>4840.54</v>
      </c>
      <c r="AR391" s="10">
        <f t="shared" si="97"/>
        <v>5059.9699999999993</v>
      </c>
      <c r="AS391" s="47">
        <f t="shared" si="93"/>
        <v>4873.369999999999</v>
      </c>
      <c r="AT391" s="47">
        <f t="shared" si="94"/>
        <v>9155.8399999999983</v>
      </c>
      <c r="AU391" s="43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0">
        <f t="shared" si="96"/>
        <v>5082.74</v>
      </c>
      <c r="AR392" s="10">
        <f t="shared" si="97"/>
        <v>5402.0700000000006</v>
      </c>
      <c r="AS392" s="47">
        <f t="shared" si="93"/>
        <v>5091.07</v>
      </c>
      <c r="AT392" s="47">
        <f t="shared" si="94"/>
        <v>9902.24</v>
      </c>
      <c r="AU392" s="43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0">
        <f t="shared" si="96"/>
        <v>5324.94</v>
      </c>
      <c r="AR393" s="10">
        <f t="shared" si="97"/>
        <v>5744.170000000001</v>
      </c>
      <c r="AS393" s="47">
        <f t="shared" si="93"/>
        <v>5287</v>
      </c>
      <c r="AT393" s="47">
        <f t="shared" si="94"/>
        <v>10574</v>
      </c>
      <c r="AU393" s="43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0">
        <f t="shared" si="96"/>
        <v>5567.14</v>
      </c>
      <c r="AR394" s="10">
        <f t="shared" si="97"/>
        <v>6086.2699999999995</v>
      </c>
      <c r="AS394" s="47">
        <f t="shared" si="93"/>
        <v>5287</v>
      </c>
      <c r="AT394" s="47">
        <f t="shared" si="94"/>
        <v>10574</v>
      </c>
      <c r="AU394" s="43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0">
        <f t="shared" si="96"/>
        <v>5809.34</v>
      </c>
      <c r="AR395" s="10">
        <f t="shared" si="97"/>
        <v>6428.3700000000008</v>
      </c>
      <c r="AS395" s="47">
        <f t="shared" si="93"/>
        <v>5287</v>
      </c>
      <c r="AT395" s="47">
        <f t="shared" si="94"/>
        <v>10574</v>
      </c>
      <c r="AU395" s="43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0">
        <f t="shared" si="96"/>
        <v>5882</v>
      </c>
      <c r="AR396" s="10">
        <f t="shared" si="97"/>
        <v>6531</v>
      </c>
      <c r="AS396" s="47">
        <f t="shared" si="93"/>
        <v>5287</v>
      </c>
      <c r="AT396" s="47">
        <f t="shared" si="94"/>
        <v>10574</v>
      </c>
      <c r="AU396" s="43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0">
        <f t="shared" si="96"/>
        <v>5882</v>
      </c>
      <c r="AR397" s="10">
        <f t="shared" si="97"/>
        <v>6531</v>
      </c>
      <c r="AS397" s="47">
        <f t="shared" si="93"/>
        <v>5287</v>
      </c>
      <c r="AT397" s="47">
        <f t="shared" si="94"/>
        <v>10574</v>
      </c>
      <c r="AU397" s="43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0">
        <f t="shared" si="96"/>
        <v>5882</v>
      </c>
      <c r="AR398" s="10">
        <f t="shared" si="97"/>
        <v>6531</v>
      </c>
      <c r="AS398" s="47">
        <f t="shared" si="93"/>
        <v>5287</v>
      </c>
      <c r="AT398" s="47">
        <f t="shared" si="94"/>
        <v>10574</v>
      </c>
      <c r="AU398" s="43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0">
        <f t="shared" si="96"/>
        <v>2863.0909999999999</v>
      </c>
      <c r="AR399" s="10">
        <f t="shared" si="97"/>
        <v>2571.5459999999998</v>
      </c>
      <c r="AS399" s="47">
        <f t="shared" si="93"/>
        <v>2955.7380000000003</v>
      </c>
      <c r="AT399" s="47">
        <f t="shared" si="94"/>
        <v>5058.8760000000002</v>
      </c>
      <c r="AU399" s="43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0">
        <f t="shared" si="96"/>
        <v>3149.4209999999998</v>
      </c>
      <c r="AR400" s="10">
        <f t="shared" si="97"/>
        <v>2879.5259999999998</v>
      </c>
      <c r="AS400" s="47">
        <f t="shared" si="93"/>
        <v>3194.1180000000004</v>
      </c>
      <c r="AT400" s="47">
        <f t="shared" si="94"/>
        <v>5709.6360000000004</v>
      </c>
      <c r="AU400" s="43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0">
        <f t="shared" si="96"/>
        <v>3435.7509999999997</v>
      </c>
      <c r="AR401" s="10">
        <f t="shared" si="97"/>
        <v>3187.5059999999994</v>
      </c>
      <c r="AS401" s="47">
        <f t="shared" si="93"/>
        <v>3432.498</v>
      </c>
      <c r="AT401" s="47">
        <f t="shared" si="94"/>
        <v>6360.3960000000006</v>
      </c>
      <c r="AU401" s="43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0">
        <f t="shared" si="96"/>
        <v>3722.0809999999997</v>
      </c>
      <c r="AR402" s="10">
        <f t="shared" si="97"/>
        <v>3495.4860000000003</v>
      </c>
      <c r="AS402" s="47">
        <f t="shared" si="93"/>
        <v>3670.8780000000002</v>
      </c>
      <c r="AT402" s="47">
        <f t="shared" si="94"/>
        <v>7011.1559999999999</v>
      </c>
      <c r="AU402" s="43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0">
        <f t="shared" si="96"/>
        <v>4008.4110000000001</v>
      </c>
      <c r="AR403" s="10">
        <f t="shared" si="97"/>
        <v>3803.4660000000003</v>
      </c>
      <c r="AS403" s="47">
        <f t="shared" si="93"/>
        <v>3909.2580000000003</v>
      </c>
      <c r="AT403" s="47">
        <f t="shared" si="94"/>
        <v>7661.9160000000011</v>
      </c>
      <c r="AU403" s="43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0">
        <f t="shared" si="96"/>
        <v>4294.741</v>
      </c>
      <c r="AR404" s="10">
        <f t="shared" si="97"/>
        <v>4111.4460000000008</v>
      </c>
      <c r="AS404" s="47">
        <f t="shared" si="93"/>
        <v>4123.8</v>
      </c>
      <c r="AT404" s="47">
        <f t="shared" si="94"/>
        <v>8247.6</v>
      </c>
      <c r="AU404" s="43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0">
        <f t="shared" si="96"/>
        <v>4581.0709999999999</v>
      </c>
      <c r="AR405" s="10">
        <f t="shared" si="97"/>
        <v>4419.4259999999995</v>
      </c>
      <c r="AS405" s="47">
        <f t="shared" si="93"/>
        <v>4123.8</v>
      </c>
      <c r="AT405" s="47">
        <f t="shared" si="94"/>
        <v>8247.6</v>
      </c>
      <c r="AU405" s="43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0">
        <f t="shared" si="96"/>
        <v>4867.4009999999998</v>
      </c>
      <c r="AR406" s="10">
        <f t="shared" si="97"/>
        <v>4727.4059999999999</v>
      </c>
      <c r="AS406" s="47">
        <f t="shared" si="93"/>
        <v>4123.8</v>
      </c>
      <c r="AT406" s="47">
        <f t="shared" si="94"/>
        <v>8247.6</v>
      </c>
      <c r="AU406" s="43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0">
        <f t="shared" si="96"/>
        <v>4953.3</v>
      </c>
      <c r="AR407" s="10">
        <f t="shared" si="97"/>
        <v>4819.8</v>
      </c>
      <c r="AS407" s="47">
        <f t="shared" si="93"/>
        <v>4123.8</v>
      </c>
      <c r="AT407" s="47">
        <f t="shared" si="94"/>
        <v>8247.6</v>
      </c>
      <c r="AU407" s="43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0">
        <f t="shared" si="96"/>
        <v>4953.3</v>
      </c>
      <c r="AR408" s="10">
        <f t="shared" si="97"/>
        <v>4819.8</v>
      </c>
      <c r="AS408" s="47">
        <f t="shared" si="93"/>
        <v>4123.8</v>
      </c>
      <c r="AT408" s="47">
        <f t="shared" si="94"/>
        <v>8247.6</v>
      </c>
      <c r="AU408" s="43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0">
        <f t="shared" si="96"/>
        <v>4953.3</v>
      </c>
      <c r="AR409" s="10">
        <f t="shared" si="97"/>
        <v>4819.8</v>
      </c>
      <c r="AS409" s="47">
        <f t="shared" si="93"/>
        <v>4123.8</v>
      </c>
      <c r="AT409" s="47">
        <f t="shared" si="94"/>
        <v>8247.6</v>
      </c>
      <c r="AU409" s="43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0">
        <f t="shared" si="96"/>
        <v>3256.22</v>
      </c>
      <c r="AR410" s="10">
        <f t="shared" si="97"/>
        <v>3142.44</v>
      </c>
      <c r="AS410" s="47">
        <f t="shared" si="93"/>
        <v>3086.76</v>
      </c>
      <c r="AT410" s="47">
        <f t="shared" si="94"/>
        <v>5929.92</v>
      </c>
      <c r="AU410" s="43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0">
        <f t="shared" si="96"/>
        <v>3444.3199999999997</v>
      </c>
      <c r="AR411" s="10">
        <f t="shared" si="97"/>
        <v>3368.64</v>
      </c>
      <c r="AS411" s="47">
        <f t="shared" si="93"/>
        <v>3243.3599999999997</v>
      </c>
      <c r="AT411" s="47">
        <f t="shared" si="94"/>
        <v>6417.12</v>
      </c>
      <c r="AU411" s="43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0">
        <f t="shared" si="96"/>
        <v>3632.4199999999996</v>
      </c>
      <c r="AR412" s="10">
        <f t="shared" si="97"/>
        <v>3594.8399999999997</v>
      </c>
      <c r="AS412" s="47">
        <f t="shared" si="93"/>
        <v>3306</v>
      </c>
      <c r="AT412" s="47">
        <f t="shared" si="94"/>
        <v>6612</v>
      </c>
      <c r="AU412" s="43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0">
        <f t="shared" si="96"/>
        <v>3820.52</v>
      </c>
      <c r="AR413" s="10">
        <f t="shared" si="97"/>
        <v>3821.0400000000004</v>
      </c>
      <c r="AS413" s="47">
        <f t="shared" si="93"/>
        <v>3306</v>
      </c>
      <c r="AT413" s="47">
        <f t="shared" si="94"/>
        <v>6612</v>
      </c>
      <c r="AU413" s="43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0">
        <f t="shared" si="96"/>
        <v>3971</v>
      </c>
      <c r="AR414" s="10">
        <f t="shared" si="97"/>
        <v>4001.9999999999995</v>
      </c>
      <c r="AS414" s="47">
        <f t="shared" si="93"/>
        <v>3306</v>
      </c>
      <c r="AT414" s="47">
        <f t="shared" si="94"/>
        <v>6612</v>
      </c>
      <c r="AU414" s="43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0">
        <f t="shared" si="96"/>
        <v>3971</v>
      </c>
      <c r="AR415" s="10">
        <f t="shared" si="97"/>
        <v>4001.9999999999995</v>
      </c>
      <c r="AS415" s="47">
        <f t="shared" si="93"/>
        <v>3306</v>
      </c>
      <c r="AT415" s="47">
        <f t="shared" si="94"/>
        <v>6612</v>
      </c>
      <c r="AU415" s="43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0">
        <f t="shared" si="96"/>
        <v>3971</v>
      </c>
      <c r="AR416" s="10">
        <f t="shared" si="97"/>
        <v>4001.9999999999995</v>
      </c>
      <c r="AS416" s="47">
        <f t="shared" si="93"/>
        <v>3306</v>
      </c>
      <c r="AT416" s="47">
        <f t="shared" si="94"/>
        <v>6612</v>
      </c>
      <c r="AU416" s="43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0">
        <f t="shared" si="96"/>
        <v>3971</v>
      </c>
      <c r="AR417" s="10">
        <f t="shared" si="97"/>
        <v>4001.9999999999995</v>
      </c>
      <c r="AS417" s="47">
        <f t="shared" si="93"/>
        <v>3306</v>
      </c>
      <c r="AT417" s="47">
        <f t="shared" si="94"/>
        <v>6612</v>
      </c>
      <c r="AU417" s="43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0">
        <f t="shared" si="96"/>
        <v>3971</v>
      </c>
      <c r="AR418" s="10">
        <f t="shared" si="97"/>
        <v>4001.9999999999995</v>
      </c>
      <c r="AS418" s="47">
        <f t="shared" si="93"/>
        <v>3306</v>
      </c>
      <c r="AT418" s="47">
        <f t="shared" si="94"/>
        <v>6612</v>
      </c>
      <c r="AU418" s="43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0">
        <f t="shared" si="96"/>
        <v>3971</v>
      </c>
      <c r="AR419" s="10">
        <f t="shared" si="97"/>
        <v>4001.9999999999995</v>
      </c>
      <c r="AS419" s="47">
        <f t="shared" si="93"/>
        <v>3306</v>
      </c>
      <c r="AT419" s="47">
        <f t="shared" si="94"/>
        <v>6612</v>
      </c>
      <c r="AU419" s="43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0">
        <f t="shared" si="96"/>
        <v>3971</v>
      </c>
      <c r="AR420" s="10">
        <f t="shared" si="97"/>
        <v>4001.9999999999995</v>
      </c>
      <c r="AS420" s="47">
        <f t="shared" si="93"/>
        <v>3306</v>
      </c>
      <c r="AT420" s="47">
        <f t="shared" si="94"/>
        <v>6612</v>
      </c>
      <c r="AU420" s="43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0">
        <f t="shared" si="96"/>
        <v>3057.7799999999997</v>
      </c>
      <c r="AR421" s="10">
        <f t="shared" si="97"/>
        <v>2850.61</v>
      </c>
      <c r="AS421" s="47">
        <f t="shared" si="93"/>
        <v>3078.4900000000002</v>
      </c>
      <c r="AT421" s="47">
        <f t="shared" si="94"/>
        <v>5123.08</v>
      </c>
      <c r="AU421" s="43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0">
        <f t="shared" si="96"/>
        <v>3279.18</v>
      </c>
      <c r="AR422" s="10">
        <f t="shared" si="97"/>
        <v>3124.91</v>
      </c>
      <c r="AS422" s="47">
        <f t="shared" si="93"/>
        <v>3268.39</v>
      </c>
      <c r="AT422" s="47">
        <f t="shared" si="94"/>
        <v>5713.88</v>
      </c>
      <c r="AU422" s="43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0">
        <f t="shared" si="96"/>
        <v>3500.5799999999995</v>
      </c>
      <c r="AR423" s="10">
        <f t="shared" si="97"/>
        <v>3399.2099999999996</v>
      </c>
      <c r="AS423" s="47">
        <f t="shared" si="93"/>
        <v>3458.2899999999995</v>
      </c>
      <c r="AT423" s="47">
        <f t="shared" si="94"/>
        <v>6304.68</v>
      </c>
      <c r="AU423" s="43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0">
        <f t="shared" si="96"/>
        <v>3721.9799999999996</v>
      </c>
      <c r="AR424" s="10">
        <f t="shared" si="97"/>
        <v>3673.5099999999993</v>
      </c>
      <c r="AS424" s="47">
        <f t="shared" si="93"/>
        <v>3648.19</v>
      </c>
      <c r="AT424" s="47">
        <f t="shared" si="94"/>
        <v>6895.48</v>
      </c>
      <c r="AU424" s="43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0">
        <f t="shared" si="96"/>
        <v>3943.3799999999992</v>
      </c>
      <c r="AR425" s="10">
        <f t="shared" si="97"/>
        <v>3947.81</v>
      </c>
      <c r="AS425" s="47">
        <f t="shared" si="93"/>
        <v>3838.0899999999997</v>
      </c>
      <c r="AT425" s="47">
        <f t="shared" si="94"/>
        <v>7486.2799999999988</v>
      </c>
      <c r="AU425" s="43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0">
        <f t="shared" si="96"/>
        <v>4164.78</v>
      </c>
      <c r="AR426" s="10">
        <f t="shared" si="97"/>
        <v>4222.1099999999997</v>
      </c>
      <c r="AS426" s="47">
        <f t="shared" si="93"/>
        <v>4009</v>
      </c>
      <c r="AT426" s="47">
        <f t="shared" si="94"/>
        <v>8018</v>
      </c>
      <c r="AU426" s="43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0">
        <f t="shared" si="96"/>
        <v>4386.1799999999994</v>
      </c>
      <c r="AR427" s="10">
        <f t="shared" si="97"/>
        <v>4496.41</v>
      </c>
      <c r="AS427" s="47">
        <f t="shared" si="93"/>
        <v>4009</v>
      </c>
      <c r="AT427" s="47">
        <f t="shared" si="94"/>
        <v>8018</v>
      </c>
      <c r="AU427" s="43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0">
        <f t="shared" si="96"/>
        <v>4607.58</v>
      </c>
      <c r="AR428" s="10">
        <f t="shared" si="97"/>
        <v>4770.71</v>
      </c>
      <c r="AS428" s="47">
        <f t="shared" si="93"/>
        <v>4009</v>
      </c>
      <c r="AT428" s="47">
        <f t="shared" si="94"/>
        <v>8018</v>
      </c>
      <c r="AU428" s="43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0">
        <f t="shared" si="96"/>
        <v>4674</v>
      </c>
      <c r="AR429" s="10">
        <f t="shared" si="97"/>
        <v>4853</v>
      </c>
      <c r="AS429" s="47">
        <f t="shared" si="93"/>
        <v>4009</v>
      </c>
      <c r="AT429" s="47">
        <f t="shared" si="94"/>
        <v>8018</v>
      </c>
      <c r="AU429" s="43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0">
        <f t="shared" si="96"/>
        <v>4674</v>
      </c>
      <c r="AR430" s="10">
        <f t="shared" si="97"/>
        <v>4853</v>
      </c>
      <c r="AS430" s="47">
        <f t="shared" si="93"/>
        <v>4009</v>
      </c>
      <c r="AT430" s="47">
        <f t="shared" si="94"/>
        <v>8018</v>
      </c>
      <c r="AU430" s="43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0">
        <f t="shared" si="96"/>
        <v>4674</v>
      </c>
      <c r="AR431" s="10">
        <f t="shared" si="97"/>
        <v>4853</v>
      </c>
      <c r="AS431" s="47">
        <f t="shared" si="93"/>
        <v>4009</v>
      </c>
      <c r="AT431" s="47">
        <f t="shared" si="94"/>
        <v>8018</v>
      </c>
      <c r="AU431" s="43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0">
        <f t="shared" si="96"/>
        <v>3137.0709999999999</v>
      </c>
      <c r="AR432" s="10">
        <f t="shared" si="97"/>
        <v>2867.1260000000002</v>
      </c>
      <c r="AS432" s="47">
        <f t="shared" si="93"/>
        <v>3295.4780000000001</v>
      </c>
      <c r="AT432" s="47">
        <f t="shared" si="94"/>
        <v>5640.3559999999998</v>
      </c>
      <c r="AU432" s="43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0">
        <f t="shared" si="96"/>
        <v>3450.8009999999999</v>
      </c>
      <c r="AR433" s="10">
        <f t="shared" si="97"/>
        <v>3210.5059999999999</v>
      </c>
      <c r="AS433" s="47">
        <f t="shared" si="93"/>
        <v>3561.2580000000003</v>
      </c>
      <c r="AT433" s="47">
        <f t="shared" si="94"/>
        <v>6365.9160000000002</v>
      </c>
      <c r="AU433" s="43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0">
        <f t="shared" si="96"/>
        <v>3764.5309999999999</v>
      </c>
      <c r="AR434" s="10">
        <f t="shared" si="97"/>
        <v>3553.8859999999995</v>
      </c>
      <c r="AS434" s="47">
        <f t="shared" si="93"/>
        <v>3827.038</v>
      </c>
      <c r="AT434" s="47">
        <f t="shared" si="94"/>
        <v>7091.4760000000006</v>
      </c>
      <c r="AU434" s="43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0">
        <f t="shared" si="96"/>
        <v>4078.261</v>
      </c>
      <c r="AR435" s="10">
        <f t="shared" si="97"/>
        <v>3897.2660000000001</v>
      </c>
      <c r="AS435" s="47">
        <f t="shared" si="93"/>
        <v>4092.8180000000002</v>
      </c>
      <c r="AT435" s="47">
        <f t="shared" si="94"/>
        <v>7817.0360000000001</v>
      </c>
      <c r="AU435" s="43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0">
        <f t="shared" si="96"/>
        <v>4391.991</v>
      </c>
      <c r="AR436" s="10">
        <f t="shared" si="97"/>
        <v>4240.6460000000006</v>
      </c>
      <c r="AS436" s="47">
        <f t="shared" si="93"/>
        <v>4358.598</v>
      </c>
      <c r="AT436" s="47">
        <f t="shared" si="94"/>
        <v>8542.5960000000014</v>
      </c>
      <c r="AU436" s="43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0">
        <f t="shared" si="96"/>
        <v>4705.7209999999995</v>
      </c>
      <c r="AR437" s="10">
        <f t="shared" si="97"/>
        <v>4584.0260000000007</v>
      </c>
      <c r="AS437" s="47">
        <f t="shared" si="93"/>
        <v>4597.8</v>
      </c>
      <c r="AT437" s="47">
        <f t="shared" si="94"/>
        <v>9195.6</v>
      </c>
      <c r="AU437" s="43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0">
        <f t="shared" si="96"/>
        <v>5019.451</v>
      </c>
      <c r="AR438" s="10">
        <f t="shared" si="97"/>
        <v>4927.4059999999999</v>
      </c>
      <c r="AS438" s="47">
        <f t="shared" si="93"/>
        <v>4597.8</v>
      </c>
      <c r="AT438" s="47">
        <f t="shared" si="94"/>
        <v>9195.6</v>
      </c>
      <c r="AU438" s="43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0">
        <f t="shared" si="96"/>
        <v>5333.1809999999996</v>
      </c>
      <c r="AR439" s="10">
        <f t="shared" si="97"/>
        <v>5270.7860000000001</v>
      </c>
      <c r="AS439" s="47">
        <f t="shared" si="93"/>
        <v>4597.8</v>
      </c>
      <c r="AT439" s="47">
        <f t="shared" si="94"/>
        <v>9195.6</v>
      </c>
      <c r="AU439" s="43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0">
        <f t="shared" si="96"/>
        <v>5427.3</v>
      </c>
      <c r="AR440" s="10">
        <f t="shared" si="97"/>
        <v>5373.8</v>
      </c>
      <c r="AS440" s="47">
        <f t="shared" si="93"/>
        <v>4597.8</v>
      </c>
      <c r="AT440" s="47">
        <f t="shared" si="94"/>
        <v>9195.6</v>
      </c>
      <c r="AU440" s="43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0">
        <f t="shared" si="96"/>
        <v>5427.3</v>
      </c>
      <c r="AR441" s="10">
        <f t="shared" si="97"/>
        <v>5373.8</v>
      </c>
      <c r="AS441" s="47">
        <f t="shared" si="93"/>
        <v>4597.8</v>
      </c>
      <c r="AT441" s="47">
        <f t="shared" si="94"/>
        <v>9195.6</v>
      </c>
      <c r="AU441" s="43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0">
        <f t="shared" si="96"/>
        <v>5427.3</v>
      </c>
      <c r="AR442" s="10">
        <f t="shared" si="97"/>
        <v>5373.8</v>
      </c>
      <c r="AS442" s="47">
        <f t="shared" si="93"/>
        <v>4597.8</v>
      </c>
      <c r="AT442" s="47">
        <f t="shared" si="94"/>
        <v>9195.6</v>
      </c>
      <c r="AU442" s="43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0">
        <f t="shared" si="96"/>
        <v>3567.8199999999997</v>
      </c>
      <c r="AR443" s="10">
        <f t="shared" si="97"/>
        <v>3503.64</v>
      </c>
      <c r="AS443" s="47">
        <f t="shared" si="93"/>
        <v>3441.56</v>
      </c>
      <c r="AT443" s="47">
        <f t="shared" si="94"/>
        <v>6611.5199999999995</v>
      </c>
      <c r="AU443" s="43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0">
        <f t="shared" si="96"/>
        <v>3773.9199999999996</v>
      </c>
      <c r="AR444" s="10">
        <f t="shared" si="97"/>
        <v>3755.8399999999997</v>
      </c>
      <c r="AS444" s="47">
        <f t="shared" si="93"/>
        <v>3616.16</v>
      </c>
      <c r="AT444" s="47">
        <f t="shared" si="94"/>
        <v>7154.7199999999993</v>
      </c>
      <c r="AU444" s="43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0">
        <f t="shared" si="96"/>
        <v>3980.0199999999995</v>
      </c>
      <c r="AR445" s="10">
        <f t="shared" si="97"/>
        <v>4008.0399999999995</v>
      </c>
      <c r="AS445" s="47">
        <f t="shared" si="93"/>
        <v>3686</v>
      </c>
      <c r="AT445" s="47">
        <f t="shared" si="94"/>
        <v>7372</v>
      </c>
      <c r="AU445" s="43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0">
        <f t="shared" si="96"/>
        <v>4186.12</v>
      </c>
      <c r="AR446" s="10">
        <f t="shared" si="97"/>
        <v>4260.2400000000007</v>
      </c>
      <c r="AS446" s="47">
        <f t="shared" si="93"/>
        <v>3686</v>
      </c>
      <c r="AT446" s="47">
        <f t="shared" si="94"/>
        <v>7372</v>
      </c>
      <c r="AU446" s="43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0">
        <f t="shared" si="96"/>
        <v>4351</v>
      </c>
      <c r="AR447" s="10">
        <f t="shared" si="97"/>
        <v>4462</v>
      </c>
      <c r="AS447" s="47">
        <f t="shared" si="93"/>
        <v>3686</v>
      </c>
      <c r="AT447" s="47">
        <f t="shared" si="94"/>
        <v>7372</v>
      </c>
      <c r="AU447" s="43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0">
        <f t="shared" si="96"/>
        <v>4351</v>
      </c>
      <c r="AR448" s="10">
        <f t="shared" si="97"/>
        <v>4462</v>
      </c>
      <c r="AS448" s="47">
        <f t="shared" si="93"/>
        <v>3686</v>
      </c>
      <c r="AT448" s="47">
        <f t="shared" si="94"/>
        <v>7372</v>
      </c>
      <c r="AU448" s="43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0">
        <f t="shared" si="96"/>
        <v>4351</v>
      </c>
      <c r="AR449" s="10">
        <f t="shared" si="97"/>
        <v>4462</v>
      </c>
      <c r="AS449" s="47">
        <f t="shared" si="93"/>
        <v>3686</v>
      </c>
      <c r="AT449" s="47">
        <f t="shared" si="94"/>
        <v>7372</v>
      </c>
      <c r="AU449" s="43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0">
        <f t="shared" si="96"/>
        <v>4351</v>
      </c>
      <c r="AR450" s="10">
        <f t="shared" si="97"/>
        <v>4462</v>
      </c>
      <c r="AS450" s="47">
        <f t="shared" si="93"/>
        <v>3686</v>
      </c>
      <c r="AT450" s="47">
        <f t="shared" si="94"/>
        <v>7372</v>
      </c>
      <c r="AU450" s="43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0">
        <f t="shared" si="96"/>
        <v>4351</v>
      </c>
      <c r="AR451" s="10">
        <f t="shared" si="97"/>
        <v>4462</v>
      </c>
      <c r="AS451" s="47">
        <f t="shared" ref="AS451:AS514" si="98">$AG$3*(1+$AJ451*$Y$2+$AN451)*(MAXA(1-$AI$3-$AL451*$AA$3-$AP451-0.36,0)+MINA($AI$3+$AL451*$AA$3+$AP451+0.36,1)*(1+$AH$3+$AO451+$AK451*$Z$4))</f>
        <v>3686</v>
      </c>
      <c r="AT451" s="47">
        <f t="shared" ref="AT451:AT514" si="99">$AG$3*(1+$AJ451*$Y$2+$AN451)*(MAXA(1-$AI$3-$AL451*$AA$3-$AP451-0.36,0)+2*MINA($AI$3+$AL451*$AA$3+$AP451+0.36,1)*(1+$AH$3+$AO451+$AK451*$Z$4))</f>
        <v>7372</v>
      </c>
      <c r="AU451" s="43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0">
        <f t="shared" ref="AQ452:AQ515" si="101">$AG$3*(1+$AJ452*$Y$2+$AN452+0.35)*(MAXA(1-$AI$3-$AL452*$AA$3-$AP452-0.12,0)+MINA($AI$3+$AL452*$AA$3+$AP452+0.12,1)*(1+$AH$3+$AO452+$AK452*$Z$4))</f>
        <v>4351</v>
      </c>
      <c r="AR452" s="10">
        <f t="shared" ref="AR452:AR515" si="102">$AG$3*(1+$AJ452*$Y$2+$AN452)*(MAXA(1-$AI$3-$AL452*$AA$3-$AP452-0.12,0)+MINA($AI$3+$AL452*$AA$3+$AP452+0.12,1)*(1+$AH$3+$AO452+$AK452*$Z$4+0.4))</f>
        <v>4462</v>
      </c>
      <c r="AS452" s="47">
        <f t="shared" si="98"/>
        <v>3686</v>
      </c>
      <c r="AT452" s="47">
        <f t="shared" si="99"/>
        <v>7372</v>
      </c>
      <c r="AU452" s="43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0">
        <f t="shared" si="101"/>
        <v>4351</v>
      </c>
      <c r="AR453" s="10">
        <f t="shared" si="102"/>
        <v>4462</v>
      </c>
      <c r="AS453" s="47">
        <f t="shared" si="98"/>
        <v>3686</v>
      </c>
      <c r="AT453" s="47">
        <f t="shared" si="99"/>
        <v>7372</v>
      </c>
      <c r="AU453" s="43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0">
        <f t="shared" si="101"/>
        <v>3306.3799999999997</v>
      </c>
      <c r="AR454" s="10">
        <f t="shared" si="102"/>
        <v>3120.81</v>
      </c>
      <c r="AS454" s="47">
        <f t="shared" si="98"/>
        <v>3370.29</v>
      </c>
      <c r="AT454" s="47">
        <f t="shared" si="99"/>
        <v>5608.68</v>
      </c>
      <c r="AU454" s="43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0">
        <f t="shared" si="101"/>
        <v>3545.7799999999997</v>
      </c>
      <c r="AR455" s="10">
        <f t="shared" si="102"/>
        <v>3421.1099999999997</v>
      </c>
      <c r="AS455" s="47">
        <f t="shared" si="98"/>
        <v>3578.19</v>
      </c>
      <c r="AT455" s="47">
        <f t="shared" si="99"/>
        <v>6255.4800000000005</v>
      </c>
      <c r="AU455" s="43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0">
        <f t="shared" si="101"/>
        <v>3785.1799999999994</v>
      </c>
      <c r="AR456" s="10">
        <f t="shared" si="102"/>
        <v>3721.4099999999994</v>
      </c>
      <c r="AS456" s="47">
        <f t="shared" si="98"/>
        <v>3786.0899999999997</v>
      </c>
      <c r="AT456" s="47">
        <f t="shared" si="99"/>
        <v>6902.28</v>
      </c>
      <c r="AU456" s="43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0">
        <f t="shared" si="101"/>
        <v>4024.58</v>
      </c>
      <c r="AR457" s="10">
        <f t="shared" si="102"/>
        <v>4021.7099999999991</v>
      </c>
      <c r="AS457" s="47">
        <f t="shared" si="98"/>
        <v>3993.9900000000002</v>
      </c>
      <c r="AT457" s="47">
        <f t="shared" si="99"/>
        <v>7549.08</v>
      </c>
      <c r="AU457" s="43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0">
        <f t="shared" si="101"/>
        <v>4263.9799999999996</v>
      </c>
      <c r="AR458" s="10">
        <f t="shared" si="102"/>
        <v>4322.01</v>
      </c>
      <c r="AS458" s="47">
        <f t="shared" si="98"/>
        <v>4201.8900000000003</v>
      </c>
      <c r="AT458" s="47">
        <f t="shared" si="99"/>
        <v>8195.8799999999992</v>
      </c>
      <c r="AU458" s="43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0">
        <f t="shared" si="101"/>
        <v>4503.3799999999992</v>
      </c>
      <c r="AR459" s="10">
        <f t="shared" si="102"/>
        <v>4622.3099999999995</v>
      </c>
      <c r="AS459" s="47">
        <f t="shared" si="98"/>
        <v>4389</v>
      </c>
      <c r="AT459" s="47">
        <f t="shared" si="99"/>
        <v>8778</v>
      </c>
      <c r="AU459" s="43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0">
        <f t="shared" si="101"/>
        <v>4742.78</v>
      </c>
      <c r="AR460" s="10">
        <f t="shared" si="102"/>
        <v>4922.6099999999997</v>
      </c>
      <c r="AS460" s="47">
        <f t="shared" si="98"/>
        <v>4389</v>
      </c>
      <c r="AT460" s="47">
        <f t="shared" si="99"/>
        <v>8778</v>
      </c>
      <c r="AU460" s="43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0">
        <f t="shared" si="101"/>
        <v>4982.18</v>
      </c>
      <c r="AR461" s="10">
        <f t="shared" si="102"/>
        <v>5222.91</v>
      </c>
      <c r="AS461" s="47">
        <f t="shared" si="98"/>
        <v>4389</v>
      </c>
      <c r="AT461" s="47">
        <f t="shared" si="99"/>
        <v>8778</v>
      </c>
      <c r="AU461" s="43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0">
        <f t="shared" si="101"/>
        <v>5054</v>
      </c>
      <c r="AR462" s="10">
        <f t="shared" si="102"/>
        <v>5313</v>
      </c>
      <c r="AS462" s="47">
        <f t="shared" si="98"/>
        <v>4389</v>
      </c>
      <c r="AT462" s="47">
        <f t="shared" si="99"/>
        <v>8778</v>
      </c>
      <c r="AU462" s="43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0">
        <f t="shared" si="101"/>
        <v>5054</v>
      </c>
      <c r="AR463" s="10">
        <f t="shared" si="102"/>
        <v>5313</v>
      </c>
      <c r="AS463" s="47">
        <f t="shared" si="98"/>
        <v>4389</v>
      </c>
      <c r="AT463" s="47">
        <f t="shared" si="99"/>
        <v>8778</v>
      </c>
      <c r="AU463" s="43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0">
        <f t="shared" si="101"/>
        <v>5054</v>
      </c>
      <c r="AR464" s="10">
        <f t="shared" si="102"/>
        <v>5313</v>
      </c>
      <c r="AS464" s="47">
        <f t="shared" si="98"/>
        <v>4389</v>
      </c>
      <c r="AT464" s="47">
        <f t="shared" si="99"/>
        <v>8778</v>
      </c>
      <c r="AU464" s="43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0">
        <f t="shared" si="101"/>
        <v>3411.0509999999999</v>
      </c>
      <c r="AR465" s="10">
        <f t="shared" si="102"/>
        <v>3162.7060000000001</v>
      </c>
      <c r="AS465" s="47">
        <f t="shared" si="98"/>
        <v>3635.2180000000003</v>
      </c>
      <c r="AT465" s="47">
        <f t="shared" si="99"/>
        <v>6221.8360000000002</v>
      </c>
      <c r="AU465" s="43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0">
        <f t="shared" si="101"/>
        <v>3752.1809999999996</v>
      </c>
      <c r="AR466" s="10">
        <f t="shared" si="102"/>
        <v>3541.4859999999999</v>
      </c>
      <c r="AS466" s="47">
        <f t="shared" si="98"/>
        <v>3928.3980000000001</v>
      </c>
      <c r="AT466" s="47">
        <f t="shared" si="99"/>
        <v>7022.1959999999999</v>
      </c>
      <c r="AU466" s="43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0">
        <f t="shared" si="101"/>
        <v>4093.3109999999997</v>
      </c>
      <c r="AR467" s="10">
        <f t="shared" si="102"/>
        <v>3920.2659999999992</v>
      </c>
      <c r="AS467" s="47">
        <f t="shared" si="98"/>
        <v>4221.5780000000004</v>
      </c>
      <c r="AT467" s="47">
        <f t="shared" si="99"/>
        <v>7822.5560000000005</v>
      </c>
      <c r="AU467" s="43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0">
        <f t="shared" si="101"/>
        <v>4434.4409999999998</v>
      </c>
      <c r="AR468" s="10">
        <f t="shared" si="102"/>
        <v>4299.0460000000003</v>
      </c>
      <c r="AS468" s="47">
        <f t="shared" si="98"/>
        <v>4514.7580000000007</v>
      </c>
      <c r="AT468" s="47">
        <f t="shared" si="99"/>
        <v>8622.9159999999993</v>
      </c>
      <c r="AU468" s="43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0">
        <f t="shared" si="101"/>
        <v>4775.5709999999999</v>
      </c>
      <c r="AR469" s="10">
        <f t="shared" si="102"/>
        <v>4677.826</v>
      </c>
      <c r="AS469" s="47">
        <f t="shared" si="98"/>
        <v>4807.9380000000001</v>
      </c>
      <c r="AT469" s="47">
        <f t="shared" si="99"/>
        <v>9423.2760000000017</v>
      </c>
      <c r="AU469" s="43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0">
        <f t="shared" si="101"/>
        <v>5116.701</v>
      </c>
      <c r="AR470" s="10">
        <f t="shared" si="102"/>
        <v>5056.6060000000007</v>
      </c>
      <c r="AS470" s="47">
        <f t="shared" si="98"/>
        <v>5071.8</v>
      </c>
      <c r="AT470" s="47">
        <f t="shared" si="99"/>
        <v>10143.6</v>
      </c>
      <c r="AU470" s="43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0">
        <f t="shared" si="101"/>
        <v>5457.8310000000001</v>
      </c>
      <c r="AR471" s="10">
        <f t="shared" si="102"/>
        <v>5435.3859999999995</v>
      </c>
      <c r="AS471" s="47">
        <f t="shared" si="98"/>
        <v>5071.8</v>
      </c>
      <c r="AT471" s="47">
        <f t="shared" si="99"/>
        <v>10143.6</v>
      </c>
      <c r="AU471" s="43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0">
        <f t="shared" si="101"/>
        <v>5798.9610000000002</v>
      </c>
      <c r="AR472" s="10">
        <f t="shared" si="102"/>
        <v>5814.1660000000002</v>
      </c>
      <c r="AS472" s="47">
        <f t="shared" si="98"/>
        <v>5071.8</v>
      </c>
      <c r="AT472" s="47">
        <f t="shared" si="99"/>
        <v>10143.6</v>
      </c>
      <c r="AU472" s="43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0">
        <f t="shared" si="101"/>
        <v>5901.3</v>
      </c>
      <c r="AR473" s="10">
        <f t="shared" si="102"/>
        <v>5927.8</v>
      </c>
      <c r="AS473" s="47">
        <f t="shared" si="98"/>
        <v>5071.8</v>
      </c>
      <c r="AT473" s="47">
        <f t="shared" si="99"/>
        <v>10143.6</v>
      </c>
      <c r="AU473" s="43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0">
        <f t="shared" si="101"/>
        <v>5901.3</v>
      </c>
      <c r="AR474" s="10">
        <f t="shared" si="102"/>
        <v>5927.8</v>
      </c>
      <c r="AS474" s="47">
        <f t="shared" si="98"/>
        <v>5071.8</v>
      </c>
      <c r="AT474" s="47">
        <f t="shared" si="99"/>
        <v>10143.6</v>
      </c>
      <c r="AU474" s="43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0">
        <f t="shared" si="101"/>
        <v>5901.3</v>
      </c>
      <c r="AR475" s="10">
        <f t="shared" si="102"/>
        <v>5927.8</v>
      </c>
      <c r="AS475" s="47">
        <f t="shared" si="98"/>
        <v>5071.8</v>
      </c>
      <c r="AT475" s="47">
        <f t="shared" si="99"/>
        <v>10143.6</v>
      </c>
      <c r="AU475" s="43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0">
        <f t="shared" si="101"/>
        <v>3879.4199999999996</v>
      </c>
      <c r="AR476" s="10">
        <f t="shared" si="102"/>
        <v>3864.84</v>
      </c>
      <c r="AS476" s="47">
        <f t="shared" si="98"/>
        <v>3796.36</v>
      </c>
      <c r="AT476" s="47">
        <f t="shared" si="99"/>
        <v>7293.12</v>
      </c>
      <c r="AU476" s="43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0">
        <f t="shared" si="101"/>
        <v>4103.5199999999995</v>
      </c>
      <c r="AR477" s="10">
        <f t="shared" si="102"/>
        <v>4143.04</v>
      </c>
      <c r="AS477" s="47">
        <f t="shared" si="98"/>
        <v>3988.9599999999996</v>
      </c>
      <c r="AT477" s="47">
        <f t="shared" si="99"/>
        <v>7892.32</v>
      </c>
      <c r="AU477" s="43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0">
        <f t="shared" si="101"/>
        <v>4327.619999999999</v>
      </c>
      <c r="AR478" s="10">
        <f t="shared" si="102"/>
        <v>4421.24</v>
      </c>
      <c r="AS478" s="47">
        <f t="shared" si="98"/>
        <v>4066</v>
      </c>
      <c r="AT478" s="47">
        <f t="shared" si="99"/>
        <v>8132</v>
      </c>
      <c r="AU478" s="43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0">
        <f t="shared" si="101"/>
        <v>4551.72</v>
      </c>
      <c r="AR479" s="10">
        <f t="shared" si="102"/>
        <v>4699.4400000000005</v>
      </c>
      <c r="AS479" s="47">
        <f t="shared" si="98"/>
        <v>4066</v>
      </c>
      <c r="AT479" s="47">
        <f t="shared" si="99"/>
        <v>8132</v>
      </c>
      <c r="AU479" s="43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0">
        <f t="shared" si="101"/>
        <v>4731</v>
      </c>
      <c r="AR480" s="10">
        <f t="shared" si="102"/>
        <v>4922</v>
      </c>
      <c r="AS480" s="47">
        <f t="shared" si="98"/>
        <v>4066</v>
      </c>
      <c r="AT480" s="47">
        <f t="shared" si="99"/>
        <v>8132</v>
      </c>
      <c r="AU480" s="43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0">
        <f t="shared" si="101"/>
        <v>4731</v>
      </c>
      <c r="AR481" s="10">
        <f t="shared" si="102"/>
        <v>4922</v>
      </c>
      <c r="AS481" s="47">
        <f t="shared" si="98"/>
        <v>4066</v>
      </c>
      <c r="AT481" s="47">
        <f t="shared" si="99"/>
        <v>8132</v>
      </c>
      <c r="AU481" s="43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0">
        <f t="shared" si="101"/>
        <v>4731</v>
      </c>
      <c r="AR482" s="10">
        <f t="shared" si="102"/>
        <v>4922</v>
      </c>
      <c r="AS482" s="47">
        <f t="shared" si="98"/>
        <v>4066</v>
      </c>
      <c r="AT482" s="47">
        <f t="shared" si="99"/>
        <v>8132</v>
      </c>
      <c r="AU482" s="43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0">
        <f t="shared" si="101"/>
        <v>4731</v>
      </c>
      <c r="AR483" s="10">
        <f t="shared" si="102"/>
        <v>4922</v>
      </c>
      <c r="AS483" s="47">
        <f t="shared" si="98"/>
        <v>4066</v>
      </c>
      <c r="AT483" s="47">
        <f t="shared" si="99"/>
        <v>8132</v>
      </c>
      <c r="AU483" s="43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0">
        <f t="shared" si="101"/>
        <v>4731</v>
      </c>
      <c r="AR484" s="10">
        <f t="shared" si="102"/>
        <v>4922</v>
      </c>
      <c r="AS484" s="47">
        <f t="shared" si="98"/>
        <v>4066</v>
      </c>
      <c r="AT484" s="47">
        <f t="shared" si="99"/>
        <v>8132</v>
      </c>
      <c r="AU484" s="43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0">
        <f t="shared" si="101"/>
        <v>4731</v>
      </c>
      <c r="AR485" s="10">
        <f t="shared" si="102"/>
        <v>4922</v>
      </c>
      <c r="AS485" s="47">
        <f t="shared" si="98"/>
        <v>4066</v>
      </c>
      <c r="AT485" s="47">
        <f t="shared" si="99"/>
        <v>8132</v>
      </c>
      <c r="AU485" s="43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0">
        <f t="shared" si="101"/>
        <v>4731</v>
      </c>
      <c r="AR486" s="10">
        <f t="shared" si="102"/>
        <v>4922</v>
      </c>
      <c r="AS486" s="47">
        <f t="shared" si="98"/>
        <v>4066</v>
      </c>
      <c r="AT486" s="47">
        <f t="shared" si="99"/>
        <v>8132</v>
      </c>
      <c r="AU486" s="43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0">
        <f t="shared" si="101"/>
        <v>3554.9799999999996</v>
      </c>
      <c r="AR487" s="10">
        <f t="shared" si="102"/>
        <v>3391.0099999999998</v>
      </c>
      <c r="AS487" s="47">
        <f t="shared" si="98"/>
        <v>3662.09</v>
      </c>
      <c r="AT487" s="47">
        <f t="shared" si="99"/>
        <v>6094.28</v>
      </c>
      <c r="AU487" s="43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0">
        <f t="shared" si="101"/>
        <v>3812.38</v>
      </c>
      <c r="AR488" s="10">
        <f t="shared" si="102"/>
        <v>3717.3099999999995</v>
      </c>
      <c r="AS488" s="47">
        <f t="shared" si="98"/>
        <v>3887.99</v>
      </c>
      <c r="AT488" s="47">
        <f t="shared" si="99"/>
        <v>6797.0800000000008</v>
      </c>
      <c r="AU488" s="43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0">
        <f t="shared" si="101"/>
        <v>4069.7799999999993</v>
      </c>
      <c r="AR489" s="10">
        <f t="shared" si="102"/>
        <v>4043.6099999999992</v>
      </c>
      <c r="AS489" s="47">
        <f t="shared" si="98"/>
        <v>4113.8899999999994</v>
      </c>
      <c r="AT489" s="47">
        <f t="shared" si="99"/>
        <v>7499.88</v>
      </c>
      <c r="AU489" s="43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0">
        <f t="shared" si="101"/>
        <v>4327.1799999999994</v>
      </c>
      <c r="AR490" s="10">
        <f t="shared" si="102"/>
        <v>4369.9099999999989</v>
      </c>
      <c r="AS490" s="47">
        <f t="shared" si="98"/>
        <v>4339.79</v>
      </c>
      <c r="AT490" s="47">
        <f t="shared" si="99"/>
        <v>8202.68</v>
      </c>
      <c r="AU490" s="43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0">
        <f t="shared" si="101"/>
        <v>4584.579999999999</v>
      </c>
      <c r="AR491" s="10">
        <f t="shared" si="102"/>
        <v>4696.21</v>
      </c>
      <c r="AS491" s="47">
        <f t="shared" si="98"/>
        <v>4565.6899999999996</v>
      </c>
      <c r="AT491" s="47">
        <f t="shared" si="99"/>
        <v>8905.48</v>
      </c>
      <c r="AU491" s="43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0">
        <f t="shared" si="101"/>
        <v>4841.9799999999996</v>
      </c>
      <c r="AR492" s="10">
        <f t="shared" si="102"/>
        <v>5022.5099999999993</v>
      </c>
      <c r="AS492" s="47">
        <f t="shared" si="98"/>
        <v>4769</v>
      </c>
      <c r="AT492" s="47">
        <f t="shared" si="99"/>
        <v>9538</v>
      </c>
      <c r="AU492" s="43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0">
        <f t="shared" si="101"/>
        <v>5099.38</v>
      </c>
      <c r="AR493" s="10">
        <f t="shared" si="102"/>
        <v>5348.8099999999995</v>
      </c>
      <c r="AS493" s="47">
        <f t="shared" si="98"/>
        <v>4769</v>
      </c>
      <c r="AT493" s="47">
        <f t="shared" si="99"/>
        <v>9538</v>
      </c>
      <c r="AU493" s="43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0">
        <f t="shared" si="101"/>
        <v>5356.78</v>
      </c>
      <c r="AR494" s="10">
        <f t="shared" si="102"/>
        <v>5675.1100000000006</v>
      </c>
      <c r="AS494" s="47">
        <f t="shared" si="98"/>
        <v>4769</v>
      </c>
      <c r="AT494" s="47">
        <f t="shared" si="99"/>
        <v>9538</v>
      </c>
      <c r="AU494" s="43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0">
        <f t="shared" si="101"/>
        <v>5434</v>
      </c>
      <c r="AR495" s="10">
        <f t="shared" si="102"/>
        <v>5773</v>
      </c>
      <c r="AS495" s="47">
        <f t="shared" si="98"/>
        <v>4769</v>
      </c>
      <c r="AT495" s="47">
        <f t="shared" si="99"/>
        <v>9538</v>
      </c>
      <c r="AU495" s="43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0">
        <f t="shared" si="101"/>
        <v>5434</v>
      </c>
      <c r="AR496" s="10">
        <f t="shared" si="102"/>
        <v>5773</v>
      </c>
      <c r="AS496" s="47">
        <f t="shared" si="98"/>
        <v>4769</v>
      </c>
      <c r="AT496" s="47">
        <f t="shared" si="99"/>
        <v>9538</v>
      </c>
      <c r="AU496" s="43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0">
        <f t="shared" si="101"/>
        <v>5434</v>
      </c>
      <c r="AR497" s="10">
        <f t="shared" si="102"/>
        <v>5773</v>
      </c>
      <c r="AS497" s="47">
        <f t="shared" si="98"/>
        <v>4769</v>
      </c>
      <c r="AT497" s="47">
        <f t="shared" si="99"/>
        <v>9538</v>
      </c>
      <c r="AU497" s="43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0">
        <f t="shared" si="101"/>
        <v>3685.0309999999995</v>
      </c>
      <c r="AR498" s="10">
        <f t="shared" si="102"/>
        <v>3458.2860000000001</v>
      </c>
      <c r="AS498" s="47">
        <f t="shared" si="98"/>
        <v>3974.9580000000001</v>
      </c>
      <c r="AT498" s="47">
        <f t="shared" si="99"/>
        <v>6803.3159999999998</v>
      </c>
      <c r="AU498" s="43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0">
        <f t="shared" si="101"/>
        <v>4053.5609999999997</v>
      </c>
      <c r="AR499" s="10">
        <f t="shared" si="102"/>
        <v>3872.4659999999999</v>
      </c>
      <c r="AS499" s="47">
        <f t="shared" si="98"/>
        <v>4295.5380000000005</v>
      </c>
      <c r="AT499" s="47">
        <f t="shared" si="99"/>
        <v>7678.4760000000006</v>
      </c>
      <c r="AU499" s="43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0">
        <f t="shared" si="101"/>
        <v>4422.0909999999994</v>
      </c>
      <c r="AR500" s="10">
        <f t="shared" si="102"/>
        <v>4286.6459999999988</v>
      </c>
      <c r="AS500" s="47">
        <f t="shared" si="98"/>
        <v>4616.1180000000004</v>
      </c>
      <c r="AT500" s="47">
        <f t="shared" si="99"/>
        <v>8553.6360000000004</v>
      </c>
      <c r="AU500" s="43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0">
        <f t="shared" si="101"/>
        <v>4790.6210000000001</v>
      </c>
      <c r="AR501" s="10">
        <f t="shared" si="102"/>
        <v>4700.826</v>
      </c>
      <c r="AS501" s="47">
        <f t="shared" si="98"/>
        <v>4936.6980000000003</v>
      </c>
      <c r="AT501" s="47">
        <f t="shared" si="99"/>
        <v>9428.7960000000003</v>
      </c>
      <c r="AU501" s="43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0">
        <f t="shared" si="101"/>
        <v>5159.1509999999998</v>
      </c>
      <c r="AR502" s="10">
        <f t="shared" si="102"/>
        <v>5115.0060000000003</v>
      </c>
      <c r="AS502" s="47">
        <f t="shared" si="98"/>
        <v>5257.2780000000002</v>
      </c>
      <c r="AT502" s="47">
        <f t="shared" si="99"/>
        <v>10303.956</v>
      </c>
      <c r="AU502" s="43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0">
        <f t="shared" si="101"/>
        <v>5527.6809999999996</v>
      </c>
      <c r="AR503" s="10">
        <f t="shared" si="102"/>
        <v>5529.1860000000006</v>
      </c>
      <c r="AS503" s="47">
        <f t="shared" si="98"/>
        <v>5545.8</v>
      </c>
      <c r="AT503" s="47">
        <f t="shared" si="99"/>
        <v>11091.6</v>
      </c>
      <c r="AU503" s="43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0">
        <f t="shared" si="101"/>
        <v>5896.2110000000002</v>
      </c>
      <c r="AR504" s="10">
        <f t="shared" si="102"/>
        <v>5943.366</v>
      </c>
      <c r="AS504" s="47">
        <f t="shared" si="98"/>
        <v>5545.8</v>
      </c>
      <c r="AT504" s="47">
        <f t="shared" si="99"/>
        <v>11091.6</v>
      </c>
      <c r="AU504" s="43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0">
        <f t="shared" si="101"/>
        <v>6264.741</v>
      </c>
      <c r="AR505" s="10">
        <f t="shared" si="102"/>
        <v>6357.5459999999994</v>
      </c>
      <c r="AS505" s="47">
        <f t="shared" si="98"/>
        <v>5545.8</v>
      </c>
      <c r="AT505" s="47">
        <f t="shared" si="99"/>
        <v>11091.6</v>
      </c>
      <c r="AU505" s="43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0">
        <f t="shared" si="101"/>
        <v>6375.3</v>
      </c>
      <c r="AR506" s="10">
        <f t="shared" si="102"/>
        <v>6481.8</v>
      </c>
      <c r="AS506" s="47">
        <f t="shared" si="98"/>
        <v>5545.8</v>
      </c>
      <c r="AT506" s="47">
        <f t="shared" si="99"/>
        <v>11091.6</v>
      </c>
      <c r="AU506" s="43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0">
        <f t="shared" si="101"/>
        <v>6375.3</v>
      </c>
      <c r="AR507" s="10">
        <f t="shared" si="102"/>
        <v>6481.8</v>
      </c>
      <c r="AS507" s="47">
        <f t="shared" si="98"/>
        <v>5545.8</v>
      </c>
      <c r="AT507" s="47">
        <f t="shared" si="99"/>
        <v>11091.6</v>
      </c>
      <c r="AU507" s="43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0">
        <f t="shared" si="101"/>
        <v>6375.3</v>
      </c>
      <c r="AR508" s="10">
        <f t="shared" si="102"/>
        <v>6481.8</v>
      </c>
      <c r="AS508" s="47">
        <f t="shared" si="98"/>
        <v>5545.8</v>
      </c>
      <c r="AT508" s="47">
        <f t="shared" si="99"/>
        <v>11091.6</v>
      </c>
      <c r="AU508" s="43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0">
        <f t="shared" si="101"/>
        <v>4191.0199999999995</v>
      </c>
      <c r="AR509" s="10">
        <f t="shared" si="102"/>
        <v>4226.04</v>
      </c>
      <c r="AS509" s="47">
        <f t="shared" si="98"/>
        <v>4151.16</v>
      </c>
      <c r="AT509" s="47">
        <f t="shared" si="99"/>
        <v>7974.72</v>
      </c>
      <c r="AU509" s="43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0">
        <f t="shared" si="101"/>
        <v>4433.12</v>
      </c>
      <c r="AR510" s="10">
        <f t="shared" si="102"/>
        <v>4530.24</v>
      </c>
      <c r="AS510" s="47">
        <f t="shared" si="98"/>
        <v>4361.7599999999993</v>
      </c>
      <c r="AT510" s="47">
        <f t="shared" si="99"/>
        <v>8629.92</v>
      </c>
      <c r="AU510" s="43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0">
        <f t="shared" si="101"/>
        <v>4675.2199999999993</v>
      </c>
      <c r="AR511" s="10">
        <f t="shared" si="102"/>
        <v>4834.4399999999996</v>
      </c>
      <c r="AS511" s="47">
        <f t="shared" si="98"/>
        <v>4446</v>
      </c>
      <c r="AT511" s="47">
        <f t="shared" si="99"/>
        <v>8892</v>
      </c>
      <c r="AU511" s="43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0">
        <f t="shared" si="101"/>
        <v>4917.3200000000006</v>
      </c>
      <c r="AR512" s="10">
        <f t="shared" si="102"/>
        <v>5138.6400000000003</v>
      </c>
      <c r="AS512" s="47">
        <f t="shared" si="98"/>
        <v>4446</v>
      </c>
      <c r="AT512" s="47">
        <f t="shared" si="99"/>
        <v>8892</v>
      </c>
      <c r="AU512" s="43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0">
        <f t="shared" si="101"/>
        <v>5111</v>
      </c>
      <c r="AR513" s="10">
        <f t="shared" si="102"/>
        <v>5382</v>
      </c>
      <c r="AS513" s="47">
        <f t="shared" si="98"/>
        <v>4446</v>
      </c>
      <c r="AT513" s="47">
        <f t="shared" si="99"/>
        <v>8892</v>
      </c>
      <c r="AU513" s="43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0">
        <f t="shared" si="101"/>
        <v>5111</v>
      </c>
      <c r="AR514" s="10">
        <f t="shared" si="102"/>
        <v>5382</v>
      </c>
      <c r="AS514" s="47">
        <f t="shared" si="98"/>
        <v>4446</v>
      </c>
      <c r="AT514" s="47">
        <f t="shared" si="99"/>
        <v>8892</v>
      </c>
      <c r="AU514" s="43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0">
        <f t="shared" si="101"/>
        <v>5111</v>
      </c>
      <c r="AR515" s="10">
        <f t="shared" si="102"/>
        <v>5382</v>
      </c>
      <c r="AS515" s="47">
        <f t="shared" ref="AS515:AS578" si="103">$AG$3*(1+$AJ515*$Y$2+$AN515)*(MAXA(1-$AI$3-$AL515*$AA$3-$AP515-0.36,0)+MINA($AI$3+$AL515*$AA$3+$AP515+0.36,1)*(1+$AH$3+$AO515+$AK515*$Z$4))</f>
        <v>4446</v>
      </c>
      <c r="AT515" s="47">
        <f t="shared" ref="AT515:AT578" si="104">$AG$3*(1+$AJ515*$Y$2+$AN515)*(MAXA(1-$AI$3-$AL515*$AA$3-$AP515-0.36,0)+2*MINA($AI$3+$AL515*$AA$3+$AP515+0.36,1)*(1+$AH$3+$AO515+$AK515*$Z$4))</f>
        <v>8892</v>
      </c>
      <c r="AU515" s="43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0">
        <f t="shared" ref="AQ516:AQ579" si="106">$AG$3*(1+$AJ516*$Y$2+$AN516+0.35)*(MAXA(1-$AI$3-$AL516*$AA$3-$AP516-0.12,0)+MINA($AI$3+$AL516*$AA$3+$AP516+0.12,1)*(1+$AH$3+$AO516+$AK516*$Z$4))</f>
        <v>5111</v>
      </c>
      <c r="AR516" s="10">
        <f t="shared" ref="AR516:AR579" si="107">$AG$3*(1+$AJ516*$Y$2+$AN516)*(MAXA(1-$AI$3-$AL516*$AA$3-$AP516-0.12,0)+MINA($AI$3+$AL516*$AA$3+$AP516+0.12,1)*(1+$AH$3+$AO516+$AK516*$Z$4+0.4))</f>
        <v>5382</v>
      </c>
      <c r="AS516" s="47">
        <f t="shared" si="103"/>
        <v>4446</v>
      </c>
      <c r="AT516" s="47">
        <f t="shared" si="104"/>
        <v>8892</v>
      </c>
      <c r="AU516" s="43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0">
        <f t="shared" si="106"/>
        <v>5111</v>
      </c>
      <c r="AR517" s="10">
        <f t="shared" si="107"/>
        <v>5382</v>
      </c>
      <c r="AS517" s="47">
        <f t="shared" si="103"/>
        <v>4446</v>
      </c>
      <c r="AT517" s="47">
        <f t="shared" si="104"/>
        <v>8892</v>
      </c>
      <c r="AU517" s="43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0">
        <f t="shared" si="106"/>
        <v>5111</v>
      </c>
      <c r="AR518" s="10">
        <f t="shared" si="107"/>
        <v>5382</v>
      </c>
      <c r="AS518" s="47">
        <f t="shared" si="103"/>
        <v>4446</v>
      </c>
      <c r="AT518" s="47">
        <f t="shared" si="104"/>
        <v>8892</v>
      </c>
      <c r="AU518" s="43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0">
        <f t="shared" si="106"/>
        <v>5111</v>
      </c>
      <c r="AR519" s="10">
        <f t="shared" si="107"/>
        <v>5382</v>
      </c>
      <c r="AS519" s="47">
        <f t="shared" si="103"/>
        <v>4446</v>
      </c>
      <c r="AT519" s="47">
        <f t="shared" si="104"/>
        <v>8892</v>
      </c>
      <c r="AU519" s="43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0">
        <f t="shared" si="106"/>
        <v>3803.5799999999995</v>
      </c>
      <c r="AR520" s="10">
        <f t="shared" si="107"/>
        <v>3661.21</v>
      </c>
      <c r="AS520" s="47">
        <f t="shared" si="103"/>
        <v>3953.8900000000003</v>
      </c>
      <c r="AT520" s="47">
        <f t="shared" si="104"/>
        <v>6579.88</v>
      </c>
      <c r="AU520" s="43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0">
        <f t="shared" si="106"/>
        <v>4078.98</v>
      </c>
      <c r="AR521" s="10">
        <f t="shared" si="107"/>
        <v>4013.5099999999998</v>
      </c>
      <c r="AS521" s="47">
        <f t="shared" si="103"/>
        <v>4197.79</v>
      </c>
      <c r="AT521" s="47">
        <f t="shared" si="104"/>
        <v>7338.68</v>
      </c>
      <c r="AU521" s="43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0">
        <f t="shared" si="106"/>
        <v>4354.3799999999992</v>
      </c>
      <c r="AR522" s="10">
        <f t="shared" si="107"/>
        <v>4365.8099999999995</v>
      </c>
      <c r="AS522" s="47">
        <f t="shared" si="103"/>
        <v>4441.6899999999996</v>
      </c>
      <c r="AT522" s="47">
        <f t="shared" si="104"/>
        <v>8097.48</v>
      </c>
      <c r="AU522" s="43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0">
        <f t="shared" si="106"/>
        <v>4629.78</v>
      </c>
      <c r="AR523" s="10">
        <f t="shared" si="107"/>
        <v>4718.1099999999988</v>
      </c>
      <c r="AS523" s="47">
        <f t="shared" si="103"/>
        <v>4685.59</v>
      </c>
      <c r="AT523" s="47">
        <f t="shared" si="104"/>
        <v>8856.2799999999988</v>
      </c>
      <c r="AU523" s="43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0">
        <f t="shared" si="106"/>
        <v>4905.1799999999994</v>
      </c>
      <c r="AR524" s="10">
        <f t="shared" si="107"/>
        <v>5070.41</v>
      </c>
      <c r="AS524" s="47">
        <f t="shared" si="103"/>
        <v>4929.49</v>
      </c>
      <c r="AT524" s="47">
        <f t="shared" si="104"/>
        <v>9615.0799999999981</v>
      </c>
      <c r="AU524" s="43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0">
        <f t="shared" si="106"/>
        <v>5180.58</v>
      </c>
      <c r="AR525" s="10">
        <f t="shared" si="107"/>
        <v>5422.71</v>
      </c>
      <c r="AS525" s="47">
        <f t="shared" si="103"/>
        <v>5149</v>
      </c>
      <c r="AT525" s="47">
        <f t="shared" si="104"/>
        <v>10298</v>
      </c>
      <c r="AU525" s="43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0">
        <f t="shared" si="106"/>
        <v>5455.98</v>
      </c>
      <c r="AR526" s="10">
        <f t="shared" si="107"/>
        <v>5775.0099999999993</v>
      </c>
      <c r="AS526" s="47">
        <f t="shared" si="103"/>
        <v>5149</v>
      </c>
      <c r="AT526" s="47">
        <f t="shared" si="104"/>
        <v>10298</v>
      </c>
      <c r="AU526" s="43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0">
        <f t="shared" si="106"/>
        <v>5731.38</v>
      </c>
      <c r="AR527" s="10">
        <f t="shared" si="107"/>
        <v>6127.31</v>
      </c>
      <c r="AS527" s="47">
        <f t="shared" si="103"/>
        <v>5149</v>
      </c>
      <c r="AT527" s="47">
        <f t="shared" si="104"/>
        <v>10298</v>
      </c>
      <c r="AU527" s="43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0">
        <f t="shared" si="106"/>
        <v>5814</v>
      </c>
      <c r="AR528" s="10">
        <f t="shared" si="107"/>
        <v>6232.9999999999991</v>
      </c>
      <c r="AS528" s="47">
        <f t="shared" si="103"/>
        <v>5149</v>
      </c>
      <c r="AT528" s="47">
        <f t="shared" si="104"/>
        <v>10298</v>
      </c>
      <c r="AU528" s="43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0">
        <f t="shared" si="106"/>
        <v>5814</v>
      </c>
      <c r="AR529" s="10">
        <f t="shared" si="107"/>
        <v>6232.9999999999991</v>
      </c>
      <c r="AS529" s="47">
        <f t="shared" si="103"/>
        <v>5149</v>
      </c>
      <c r="AT529" s="47">
        <f t="shared" si="104"/>
        <v>10298</v>
      </c>
      <c r="AU529" s="43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0">
        <f t="shared" si="106"/>
        <v>5814</v>
      </c>
      <c r="AR530" s="10">
        <f t="shared" si="107"/>
        <v>6232.9999999999991</v>
      </c>
      <c r="AS530" s="47">
        <f t="shared" si="103"/>
        <v>5149</v>
      </c>
      <c r="AT530" s="47">
        <f t="shared" si="104"/>
        <v>10298</v>
      </c>
      <c r="AU530" s="43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0">
        <f t="shared" si="106"/>
        <v>3959.0109999999995</v>
      </c>
      <c r="AR531" s="10">
        <f t="shared" si="107"/>
        <v>3753.866</v>
      </c>
      <c r="AS531" s="47">
        <f t="shared" si="103"/>
        <v>4314.6980000000003</v>
      </c>
      <c r="AT531" s="47">
        <f t="shared" si="104"/>
        <v>7384.7960000000003</v>
      </c>
      <c r="AU531" s="43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0">
        <f t="shared" si="106"/>
        <v>4354.9409999999998</v>
      </c>
      <c r="AR532" s="10">
        <f t="shared" si="107"/>
        <v>4203.4459999999999</v>
      </c>
      <c r="AS532" s="47">
        <f t="shared" si="103"/>
        <v>4662.6779999999999</v>
      </c>
      <c r="AT532" s="47">
        <f t="shared" si="104"/>
        <v>8334.7559999999994</v>
      </c>
      <c r="AU532" s="43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0">
        <f t="shared" si="106"/>
        <v>4750.8710000000001</v>
      </c>
      <c r="AR533" s="10">
        <f t="shared" si="107"/>
        <v>4653.0259999999989</v>
      </c>
      <c r="AS533" s="47">
        <f t="shared" si="103"/>
        <v>5010.6580000000004</v>
      </c>
      <c r="AT533" s="47">
        <f t="shared" si="104"/>
        <v>9284.7160000000003</v>
      </c>
      <c r="AU533" s="43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0">
        <f t="shared" si="106"/>
        <v>5146.8009999999995</v>
      </c>
      <c r="AR534" s="10">
        <f t="shared" si="107"/>
        <v>5102.6060000000007</v>
      </c>
      <c r="AS534" s="47">
        <f t="shared" si="103"/>
        <v>5358.6379999999999</v>
      </c>
      <c r="AT534" s="47">
        <f t="shared" si="104"/>
        <v>10234.675999999999</v>
      </c>
      <c r="AU534" s="43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0">
        <f t="shared" si="106"/>
        <v>5542.7309999999998</v>
      </c>
      <c r="AR535" s="10">
        <f t="shared" si="107"/>
        <v>5552.1860000000006</v>
      </c>
      <c r="AS535" s="47">
        <f t="shared" si="103"/>
        <v>5706.6180000000004</v>
      </c>
      <c r="AT535" s="47">
        <f t="shared" si="104"/>
        <v>11184.636</v>
      </c>
      <c r="AU535" s="43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0">
        <f t="shared" si="106"/>
        <v>5938.6610000000001</v>
      </c>
      <c r="AR536" s="10">
        <f t="shared" si="107"/>
        <v>6001.7660000000005</v>
      </c>
      <c r="AS536" s="47">
        <f t="shared" si="103"/>
        <v>6019.8</v>
      </c>
      <c r="AT536" s="47">
        <f t="shared" si="104"/>
        <v>12039.6</v>
      </c>
      <c r="AU536" s="43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0">
        <f t="shared" si="106"/>
        <v>6334.5909999999994</v>
      </c>
      <c r="AR537" s="10">
        <f t="shared" si="107"/>
        <v>6451.3459999999995</v>
      </c>
      <c r="AS537" s="47">
        <f t="shared" si="103"/>
        <v>6019.8</v>
      </c>
      <c r="AT537" s="47">
        <f t="shared" si="104"/>
        <v>12039.6</v>
      </c>
      <c r="AU537" s="43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0">
        <f t="shared" si="106"/>
        <v>6730.5209999999997</v>
      </c>
      <c r="AR538" s="10">
        <f t="shared" si="107"/>
        <v>6900.9259999999995</v>
      </c>
      <c r="AS538" s="47">
        <f t="shared" si="103"/>
        <v>6019.8</v>
      </c>
      <c r="AT538" s="47">
        <f t="shared" si="104"/>
        <v>12039.6</v>
      </c>
      <c r="AU538" s="43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0">
        <f t="shared" si="106"/>
        <v>6849.3</v>
      </c>
      <c r="AR539" s="10">
        <f t="shared" si="107"/>
        <v>7035.8</v>
      </c>
      <c r="AS539" s="47">
        <f t="shared" si="103"/>
        <v>6019.8</v>
      </c>
      <c r="AT539" s="47">
        <f t="shared" si="104"/>
        <v>12039.6</v>
      </c>
      <c r="AU539" s="43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0">
        <f t="shared" si="106"/>
        <v>6849.3</v>
      </c>
      <c r="AR540" s="10">
        <f t="shared" si="107"/>
        <v>7035.8</v>
      </c>
      <c r="AS540" s="47">
        <f t="shared" si="103"/>
        <v>6019.8</v>
      </c>
      <c r="AT540" s="47">
        <f t="shared" si="104"/>
        <v>12039.6</v>
      </c>
      <c r="AU540" s="43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0">
        <f t="shared" si="106"/>
        <v>6849.3</v>
      </c>
      <c r="AR541" s="10">
        <f t="shared" si="107"/>
        <v>7035.8</v>
      </c>
      <c r="AS541" s="47">
        <f t="shared" si="103"/>
        <v>6019.8</v>
      </c>
      <c r="AT541" s="47">
        <f t="shared" si="104"/>
        <v>12039.6</v>
      </c>
      <c r="AU541" s="43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0">
        <f t="shared" si="106"/>
        <v>4502.62</v>
      </c>
      <c r="AR542" s="10">
        <f t="shared" si="107"/>
        <v>4587.24</v>
      </c>
      <c r="AS542" s="47">
        <f t="shared" si="103"/>
        <v>4505.96</v>
      </c>
      <c r="AT542" s="47">
        <f t="shared" si="104"/>
        <v>8656.32</v>
      </c>
      <c r="AU542" s="43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0">
        <f t="shared" si="106"/>
        <v>4762.7199999999993</v>
      </c>
      <c r="AR543" s="10">
        <f t="shared" si="107"/>
        <v>4917.4399999999996</v>
      </c>
      <c r="AS543" s="47">
        <f t="shared" si="103"/>
        <v>4734.5599999999995</v>
      </c>
      <c r="AT543" s="47">
        <f t="shared" si="104"/>
        <v>9367.5199999999986</v>
      </c>
      <c r="AU543" s="43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0">
        <f t="shared" si="106"/>
        <v>5022.82</v>
      </c>
      <c r="AR544" s="10">
        <f t="shared" si="107"/>
        <v>5247.6399999999994</v>
      </c>
      <c r="AS544" s="47">
        <f t="shared" si="103"/>
        <v>4826</v>
      </c>
      <c r="AT544" s="47">
        <f t="shared" si="104"/>
        <v>9652</v>
      </c>
      <c r="AU544" s="43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0">
        <f t="shared" si="106"/>
        <v>5282.92</v>
      </c>
      <c r="AR545" s="10">
        <f t="shared" si="107"/>
        <v>5577.84</v>
      </c>
      <c r="AS545" s="47">
        <f t="shared" si="103"/>
        <v>4826</v>
      </c>
      <c r="AT545" s="47">
        <f t="shared" si="104"/>
        <v>9652</v>
      </c>
      <c r="AU545" s="43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0">
        <f t="shared" si="106"/>
        <v>5491</v>
      </c>
      <c r="AR546" s="10">
        <f t="shared" si="107"/>
        <v>5842</v>
      </c>
      <c r="AS546" s="47">
        <f t="shared" si="103"/>
        <v>4826</v>
      </c>
      <c r="AT546" s="47">
        <f t="shared" si="104"/>
        <v>9652</v>
      </c>
      <c r="AU546" s="43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0">
        <f t="shared" si="106"/>
        <v>5491</v>
      </c>
      <c r="AR547" s="10">
        <f t="shared" si="107"/>
        <v>5842</v>
      </c>
      <c r="AS547" s="47">
        <f t="shared" si="103"/>
        <v>4826</v>
      </c>
      <c r="AT547" s="47">
        <f t="shared" si="104"/>
        <v>9652</v>
      </c>
      <c r="AU547" s="43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0">
        <f t="shared" si="106"/>
        <v>5491</v>
      </c>
      <c r="AR548" s="10">
        <f t="shared" si="107"/>
        <v>5842</v>
      </c>
      <c r="AS548" s="47">
        <f t="shared" si="103"/>
        <v>4826</v>
      </c>
      <c r="AT548" s="47">
        <f t="shared" si="104"/>
        <v>9652</v>
      </c>
      <c r="AU548" s="43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0">
        <f t="shared" si="106"/>
        <v>5491</v>
      </c>
      <c r="AR549" s="10">
        <f t="shared" si="107"/>
        <v>5842</v>
      </c>
      <c r="AS549" s="47">
        <f t="shared" si="103"/>
        <v>4826</v>
      </c>
      <c r="AT549" s="47">
        <f t="shared" si="104"/>
        <v>9652</v>
      </c>
      <c r="AU549" s="43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0">
        <f t="shared" si="106"/>
        <v>5491</v>
      </c>
      <c r="AR550" s="10">
        <f t="shared" si="107"/>
        <v>5842</v>
      </c>
      <c r="AS550" s="47">
        <f t="shared" si="103"/>
        <v>4826</v>
      </c>
      <c r="AT550" s="47">
        <f t="shared" si="104"/>
        <v>9652</v>
      </c>
      <c r="AU550" s="43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0">
        <f t="shared" si="106"/>
        <v>5491</v>
      </c>
      <c r="AR551" s="10">
        <f t="shared" si="107"/>
        <v>5842</v>
      </c>
      <c r="AS551" s="47">
        <f t="shared" si="103"/>
        <v>4826</v>
      </c>
      <c r="AT551" s="47">
        <f t="shared" si="104"/>
        <v>9652</v>
      </c>
      <c r="AU551" s="43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0">
        <f t="shared" si="106"/>
        <v>5491</v>
      </c>
      <c r="AR552" s="10">
        <f t="shared" si="107"/>
        <v>5842</v>
      </c>
      <c r="AS552" s="47">
        <f t="shared" si="103"/>
        <v>4826</v>
      </c>
      <c r="AT552" s="47">
        <f t="shared" si="104"/>
        <v>9652</v>
      </c>
      <c r="AU552" s="43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0">
        <f t="shared" si="106"/>
        <v>4052.1800000000003</v>
      </c>
      <c r="AR553" s="10">
        <f t="shared" si="107"/>
        <v>3931.41</v>
      </c>
      <c r="AS553" s="47">
        <f t="shared" si="103"/>
        <v>4245.6900000000005</v>
      </c>
      <c r="AT553" s="47">
        <f t="shared" si="104"/>
        <v>7065.48</v>
      </c>
      <c r="AU553" s="43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0">
        <f t="shared" si="106"/>
        <v>4345.5800000000008</v>
      </c>
      <c r="AR554" s="10">
        <f t="shared" si="107"/>
        <v>4309.71</v>
      </c>
      <c r="AS554" s="47">
        <f t="shared" si="103"/>
        <v>4507.59</v>
      </c>
      <c r="AT554" s="47">
        <f t="shared" si="104"/>
        <v>7880.2800000000007</v>
      </c>
      <c r="AU554" s="43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0">
        <f t="shared" si="106"/>
        <v>4638.9800000000005</v>
      </c>
      <c r="AR555" s="10">
        <f t="shared" si="107"/>
        <v>4688.0099999999993</v>
      </c>
      <c r="AS555" s="47">
        <f t="shared" si="103"/>
        <v>4769.49</v>
      </c>
      <c r="AT555" s="47">
        <f t="shared" si="104"/>
        <v>8695.08</v>
      </c>
      <c r="AU555" s="43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0">
        <f t="shared" si="106"/>
        <v>4932.38</v>
      </c>
      <c r="AR556" s="10">
        <f t="shared" si="107"/>
        <v>5066.3099999999986</v>
      </c>
      <c r="AS556" s="47">
        <f t="shared" si="103"/>
        <v>5031.3900000000003</v>
      </c>
      <c r="AT556" s="47">
        <f t="shared" si="104"/>
        <v>9509.8799999999992</v>
      </c>
      <c r="AU556" s="43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0">
        <f t="shared" si="106"/>
        <v>5225.78</v>
      </c>
      <c r="AR557" s="10">
        <f t="shared" si="107"/>
        <v>5444.61</v>
      </c>
      <c r="AS557" s="47">
        <f t="shared" si="103"/>
        <v>5293.29</v>
      </c>
      <c r="AT557" s="47">
        <f t="shared" si="104"/>
        <v>10324.679999999998</v>
      </c>
      <c r="AU557" s="43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0">
        <f t="shared" si="106"/>
        <v>5519.18</v>
      </c>
      <c r="AR558" s="10">
        <f t="shared" si="107"/>
        <v>5822.91</v>
      </c>
      <c r="AS558" s="47">
        <f t="shared" si="103"/>
        <v>5529</v>
      </c>
      <c r="AT558" s="47">
        <f t="shared" si="104"/>
        <v>11058</v>
      </c>
      <c r="AU558" s="43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0">
        <f t="shared" si="106"/>
        <v>5812.5800000000008</v>
      </c>
      <c r="AR559" s="10">
        <f t="shared" si="107"/>
        <v>6201.2099999999991</v>
      </c>
      <c r="AS559" s="47">
        <f t="shared" si="103"/>
        <v>5529</v>
      </c>
      <c r="AT559" s="47">
        <f t="shared" si="104"/>
        <v>11058</v>
      </c>
      <c r="AU559" s="43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0">
        <f t="shared" si="106"/>
        <v>6105.9800000000005</v>
      </c>
      <c r="AR560" s="10">
        <f t="shared" si="107"/>
        <v>6579.51</v>
      </c>
      <c r="AS560" s="47">
        <f t="shared" si="103"/>
        <v>5529</v>
      </c>
      <c r="AT560" s="47">
        <f t="shared" si="104"/>
        <v>11058</v>
      </c>
      <c r="AU560" s="43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0">
        <f t="shared" si="106"/>
        <v>6194.0000000000009</v>
      </c>
      <c r="AR561" s="10">
        <f t="shared" si="107"/>
        <v>6692.9999999999991</v>
      </c>
      <c r="AS561" s="47">
        <f t="shared" si="103"/>
        <v>5529</v>
      </c>
      <c r="AT561" s="47">
        <f t="shared" si="104"/>
        <v>11058</v>
      </c>
      <c r="AU561" s="43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0">
        <f t="shared" si="106"/>
        <v>6194.0000000000009</v>
      </c>
      <c r="AR562" s="10">
        <f t="shared" si="107"/>
        <v>6692.9999999999991</v>
      </c>
      <c r="AS562" s="47">
        <f t="shared" si="103"/>
        <v>5529</v>
      </c>
      <c r="AT562" s="47">
        <f t="shared" si="104"/>
        <v>11058</v>
      </c>
      <c r="AU562" s="43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0">
        <f t="shared" si="106"/>
        <v>6194.0000000000009</v>
      </c>
      <c r="AR563" s="10">
        <f t="shared" si="107"/>
        <v>6692.9999999999991</v>
      </c>
      <c r="AS563" s="47">
        <f t="shared" si="103"/>
        <v>5529</v>
      </c>
      <c r="AT563" s="47">
        <f t="shared" si="104"/>
        <v>11058</v>
      </c>
      <c r="AU563" s="43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0">
        <f t="shared" si="106"/>
        <v>4232.991</v>
      </c>
      <c r="AR564" s="10">
        <f t="shared" si="107"/>
        <v>4049.4459999999999</v>
      </c>
      <c r="AS564" s="47">
        <f t="shared" si="103"/>
        <v>4654.4380000000001</v>
      </c>
      <c r="AT564" s="47">
        <f t="shared" si="104"/>
        <v>7966.2759999999998</v>
      </c>
      <c r="AU564" s="43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0">
        <f t="shared" si="106"/>
        <v>4656.3210000000008</v>
      </c>
      <c r="AR565" s="10">
        <f t="shared" si="107"/>
        <v>4534.4260000000004</v>
      </c>
      <c r="AS565" s="47">
        <f t="shared" si="103"/>
        <v>5029.8180000000002</v>
      </c>
      <c r="AT565" s="47">
        <f t="shared" si="104"/>
        <v>8991.0360000000001</v>
      </c>
      <c r="AU565" s="43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0">
        <f t="shared" si="106"/>
        <v>5079.6510000000007</v>
      </c>
      <c r="AR566" s="10">
        <f t="shared" si="107"/>
        <v>5019.405999999999</v>
      </c>
      <c r="AS566" s="47">
        <f t="shared" si="103"/>
        <v>5405.1980000000003</v>
      </c>
      <c r="AT566" s="47">
        <f t="shared" si="104"/>
        <v>10015.796</v>
      </c>
      <c r="AU566" s="43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0">
        <f t="shared" si="106"/>
        <v>5502.9810000000007</v>
      </c>
      <c r="AR567" s="10">
        <f t="shared" si="107"/>
        <v>5504.3860000000004</v>
      </c>
      <c r="AS567" s="47">
        <f t="shared" si="103"/>
        <v>5780.5780000000004</v>
      </c>
      <c r="AT567" s="47">
        <f t="shared" si="104"/>
        <v>11040.556</v>
      </c>
      <c r="AU567" s="43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0">
        <f t="shared" si="106"/>
        <v>5926.3110000000006</v>
      </c>
      <c r="AR568" s="10">
        <f t="shared" si="107"/>
        <v>5989.3660000000009</v>
      </c>
      <c r="AS568" s="47">
        <f t="shared" si="103"/>
        <v>6155.9580000000005</v>
      </c>
      <c r="AT568" s="47">
        <f t="shared" si="104"/>
        <v>12065.316000000001</v>
      </c>
      <c r="AU568" s="43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0">
        <f t="shared" si="106"/>
        <v>6349.6410000000005</v>
      </c>
      <c r="AR569" s="10">
        <f t="shared" si="107"/>
        <v>6474.3460000000005</v>
      </c>
      <c r="AS569" s="47">
        <f t="shared" si="103"/>
        <v>6493.8</v>
      </c>
      <c r="AT569" s="47">
        <f t="shared" si="104"/>
        <v>12987.6</v>
      </c>
      <c r="AU569" s="43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0">
        <f t="shared" si="106"/>
        <v>6772.9710000000005</v>
      </c>
      <c r="AR570" s="10">
        <f t="shared" si="107"/>
        <v>6959.3259999999991</v>
      </c>
      <c r="AS570" s="47">
        <f t="shared" si="103"/>
        <v>6493.8</v>
      </c>
      <c r="AT570" s="47">
        <f t="shared" si="104"/>
        <v>12987.6</v>
      </c>
      <c r="AU570" s="43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0">
        <f t="shared" si="106"/>
        <v>7196.3010000000013</v>
      </c>
      <c r="AR571" s="10">
        <f t="shared" si="107"/>
        <v>7444.3059999999996</v>
      </c>
      <c r="AS571" s="47">
        <f t="shared" si="103"/>
        <v>6493.8</v>
      </c>
      <c r="AT571" s="47">
        <f t="shared" si="104"/>
        <v>12987.6</v>
      </c>
      <c r="AU571" s="43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0">
        <f t="shared" si="106"/>
        <v>7323.3000000000011</v>
      </c>
      <c r="AR572" s="10">
        <f t="shared" si="107"/>
        <v>7589.8</v>
      </c>
      <c r="AS572" s="47">
        <f t="shared" si="103"/>
        <v>6493.8</v>
      </c>
      <c r="AT572" s="47">
        <f t="shared" si="104"/>
        <v>12987.6</v>
      </c>
      <c r="AU572" s="43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0">
        <f t="shared" si="106"/>
        <v>7323.3000000000011</v>
      </c>
      <c r="AR573" s="10">
        <f t="shared" si="107"/>
        <v>7589.8</v>
      </c>
      <c r="AS573" s="47">
        <f t="shared" si="103"/>
        <v>6493.8</v>
      </c>
      <c r="AT573" s="47">
        <f t="shared" si="104"/>
        <v>12987.6</v>
      </c>
      <c r="AU573" s="43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0">
        <f t="shared" si="106"/>
        <v>7323.3000000000011</v>
      </c>
      <c r="AR574" s="10">
        <f t="shared" si="107"/>
        <v>7589.8</v>
      </c>
      <c r="AS574" s="47">
        <f t="shared" si="103"/>
        <v>6493.8</v>
      </c>
      <c r="AT574" s="47">
        <f t="shared" si="104"/>
        <v>12987.6</v>
      </c>
      <c r="AU574" s="43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0">
        <f t="shared" si="106"/>
        <v>4814.22</v>
      </c>
      <c r="AR575" s="10">
        <f t="shared" si="107"/>
        <v>4948.4400000000005</v>
      </c>
      <c r="AS575" s="47">
        <f t="shared" si="103"/>
        <v>4860.76</v>
      </c>
      <c r="AT575" s="47">
        <f t="shared" si="104"/>
        <v>9337.92</v>
      </c>
      <c r="AU575" s="43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0">
        <f t="shared" si="106"/>
        <v>5092.3200000000006</v>
      </c>
      <c r="AR576" s="10">
        <f t="shared" si="107"/>
        <v>5304.6399999999994</v>
      </c>
      <c r="AS576" s="47">
        <f t="shared" si="103"/>
        <v>5107.3599999999997</v>
      </c>
      <c r="AT576" s="47">
        <f t="shared" si="104"/>
        <v>10105.119999999999</v>
      </c>
      <c r="AU576" s="43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0">
        <f t="shared" si="106"/>
        <v>5370.42</v>
      </c>
      <c r="AR577" s="10">
        <f t="shared" si="107"/>
        <v>5660.8399999999992</v>
      </c>
      <c r="AS577" s="47">
        <f t="shared" si="103"/>
        <v>5206</v>
      </c>
      <c r="AT577" s="47">
        <f t="shared" si="104"/>
        <v>10412</v>
      </c>
      <c r="AU577" s="43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0">
        <f t="shared" si="106"/>
        <v>5648.5200000000013</v>
      </c>
      <c r="AR578" s="10">
        <f t="shared" si="107"/>
        <v>6017.0400000000009</v>
      </c>
      <c r="AS578" s="47">
        <f t="shared" si="103"/>
        <v>5206</v>
      </c>
      <c r="AT578" s="47">
        <f t="shared" si="104"/>
        <v>10412</v>
      </c>
      <c r="AU578" s="43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0">
        <f t="shared" si="106"/>
        <v>5871.0000000000009</v>
      </c>
      <c r="AR579" s="10">
        <f t="shared" si="107"/>
        <v>6301.9999999999991</v>
      </c>
      <c r="AS579" s="47">
        <f t="shared" ref="AS579:AS642" si="108">$AG$3*(1+$AJ579*$Y$2+$AN579)*(MAXA(1-$AI$3-$AL579*$AA$3-$AP579-0.36,0)+MINA($AI$3+$AL579*$AA$3+$AP579+0.36,1)*(1+$AH$3+$AO579+$AK579*$Z$4))</f>
        <v>5206</v>
      </c>
      <c r="AT579" s="47">
        <f t="shared" ref="AT579:AT642" si="109">$AG$3*(1+$AJ579*$Y$2+$AN579)*(MAXA(1-$AI$3-$AL579*$AA$3-$AP579-0.36,0)+2*MINA($AI$3+$AL579*$AA$3+$AP579+0.36,1)*(1+$AH$3+$AO579+$AK579*$Z$4))</f>
        <v>10412</v>
      </c>
      <c r="AU579" s="43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0">
        <f t="shared" ref="AQ580:AQ643" si="111">$AG$3*(1+$AJ580*$Y$2+$AN580+0.35)*(MAXA(1-$AI$3-$AL580*$AA$3-$AP580-0.12,0)+MINA($AI$3+$AL580*$AA$3+$AP580+0.12,1)*(1+$AH$3+$AO580+$AK580*$Z$4))</f>
        <v>5871.0000000000009</v>
      </c>
      <c r="AR580" s="10">
        <f t="shared" ref="AR580:AR643" si="112">$AG$3*(1+$AJ580*$Y$2+$AN580)*(MAXA(1-$AI$3-$AL580*$AA$3-$AP580-0.12,0)+MINA($AI$3+$AL580*$AA$3+$AP580+0.12,1)*(1+$AH$3+$AO580+$AK580*$Z$4+0.4))</f>
        <v>6301.9999999999991</v>
      </c>
      <c r="AS580" s="47">
        <f t="shared" si="108"/>
        <v>5206</v>
      </c>
      <c r="AT580" s="47">
        <f t="shared" si="109"/>
        <v>10412</v>
      </c>
      <c r="AU580" s="43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0">
        <f t="shared" si="111"/>
        <v>5871.0000000000009</v>
      </c>
      <c r="AR581" s="10">
        <f t="shared" si="112"/>
        <v>6301.9999999999991</v>
      </c>
      <c r="AS581" s="47">
        <f t="shared" si="108"/>
        <v>5206</v>
      </c>
      <c r="AT581" s="47">
        <f t="shared" si="109"/>
        <v>10412</v>
      </c>
      <c r="AU581" s="43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0">
        <f t="shared" si="111"/>
        <v>5871.0000000000009</v>
      </c>
      <c r="AR582" s="10">
        <f t="shared" si="112"/>
        <v>6301.9999999999991</v>
      </c>
      <c r="AS582" s="47">
        <f t="shared" si="108"/>
        <v>5206</v>
      </c>
      <c r="AT582" s="47">
        <f t="shared" si="109"/>
        <v>10412</v>
      </c>
      <c r="AU582" s="43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0">
        <f t="shared" si="111"/>
        <v>5871.0000000000009</v>
      </c>
      <c r="AR583" s="10">
        <f t="shared" si="112"/>
        <v>6301.9999999999991</v>
      </c>
      <c r="AS583" s="47">
        <f t="shared" si="108"/>
        <v>5206</v>
      </c>
      <c r="AT583" s="47">
        <f t="shared" si="109"/>
        <v>10412</v>
      </c>
      <c r="AU583" s="43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0">
        <f t="shared" si="111"/>
        <v>5871.0000000000009</v>
      </c>
      <c r="AR584" s="10">
        <f t="shared" si="112"/>
        <v>6301.9999999999991</v>
      </c>
      <c r="AS584" s="47">
        <f t="shared" si="108"/>
        <v>5206</v>
      </c>
      <c r="AT584" s="47">
        <f t="shared" si="109"/>
        <v>10412</v>
      </c>
      <c r="AU584" s="43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0">
        <f t="shared" si="111"/>
        <v>5871.0000000000009</v>
      </c>
      <c r="AR585" s="10">
        <f t="shared" si="112"/>
        <v>6301.9999999999991</v>
      </c>
      <c r="AS585" s="47">
        <f t="shared" si="108"/>
        <v>5206</v>
      </c>
      <c r="AT585" s="47">
        <f t="shared" si="109"/>
        <v>10412</v>
      </c>
      <c r="AU585" s="43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0">
        <f t="shared" si="111"/>
        <v>4300.78</v>
      </c>
      <c r="AR586" s="10">
        <f t="shared" si="112"/>
        <v>4201.6099999999997</v>
      </c>
      <c r="AS586" s="47">
        <f t="shared" si="108"/>
        <v>4537.49</v>
      </c>
      <c r="AT586" s="47">
        <f t="shared" si="109"/>
        <v>7551.08</v>
      </c>
      <c r="AU586" s="43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0">
        <f t="shared" si="111"/>
        <v>4612.18</v>
      </c>
      <c r="AR587" s="10">
        <f t="shared" si="112"/>
        <v>4605.91</v>
      </c>
      <c r="AS587" s="47">
        <f t="shared" si="108"/>
        <v>4817.3899999999994</v>
      </c>
      <c r="AT587" s="47">
        <f t="shared" si="109"/>
        <v>8421.880000000001</v>
      </c>
      <c r="AU587" s="43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0">
        <f t="shared" si="111"/>
        <v>4923.579999999999</v>
      </c>
      <c r="AR588" s="10">
        <f t="shared" si="112"/>
        <v>5010.2099999999991</v>
      </c>
      <c r="AS588" s="47">
        <f t="shared" si="108"/>
        <v>5097.2899999999991</v>
      </c>
      <c r="AT588" s="47">
        <f t="shared" si="109"/>
        <v>9292.68</v>
      </c>
      <c r="AU588" s="43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0">
        <f t="shared" si="111"/>
        <v>5234.9799999999996</v>
      </c>
      <c r="AR589" s="10">
        <f t="shared" si="112"/>
        <v>5414.5099999999993</v>
      </c>
      <c r="AS589" s="47">
        <f t="shared" si="108"/>
        <v>5377.1900000000005</v>
      </c>
      <c r="AT589" s="47">
        <f t="shared" si="109"/>
        <v>10163.48</v>
      </c>
      <c r="AU589" s="43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0">
        <f t="shared" si="111"/>
        <v>5546.3799999999992</v>
      </c>
      <c r="AR590" s="10">
        <f t="shared" si="112"/>
        <v>5818.81</v>
      </c>
      <c r="AS590" s="47">
        <f t="shared" si="108"/>
        <v>5657.09</v>
      </c>
      <c r="AT590" s="47">
        <f t="shared" si="109"/>
        <v>11034.279999999999</v>
      </c>
      <c r="AU590" s="43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0">
        <f t="shared" si="111"/>
        <v>5857.78</v>
      </c>
      <c r="AR591" s="10">
        <f t="shared" si="112"/>
        <v>6223.11</v>
      </c>
      <c r="AS591" s="47">
        <f t="shared" si="108"/>
        <v>5909</v>
      </c>
      <c r="AT591" s="47">
        <f t="shared" si="109"/>
        <v>11818</v>
      </c>
      <c r="AU591" s="43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0">
        <f t="shared" si="111"/>
        <v>6169.1799999999994</v>
      </c>
      <c r="AR592" s="10">
        <f t="shared" si="112"/>
        <v>6627.4099999999989</v>
      </c>
      <c r="AS592" s="47">
        <f t="shared" si="108"/>
        <v>5909</v>
      </c>
      <c r="AT592" s="47">
        <f t="shared" si="109"/>
        <v>11818</v>
      </c>
      <c r="AU592" s="43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0">
        <f t="shared" si="111"/>
        <v>6480.58</v>
      </c>
      <c r="AR593" s="10">
        <f t="shared" si="112"/>
        <v>7031.71</v>
      </c>
      <c r="AS593" s="47">
        <f t="shared" si="108"/>
        <v>5909</v>
      </c>
      <c r="AT593" s="47">
        <f t="shared" si="109"/>
        <v>11818</v>
      </c>
      <c r="AU593" s="43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0">
        <f t="shared" si="111"/>
        <v>6574</v>
      </c>
      <c r="AR594" s="10">
        <f t="shared" si="112"/>
        <v>7152.9999999999991</v>
      </c>
      <c r="AS594" s="47">
        <f t="shared" si="108"/>
        <v>5909</v>
      </c>
      <c r="AT594" s="47">
        <f t="shared" si="109"/>
        <v>11818</v>
      </c>
      <c r="AU594" s="43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0">
        <f t="shared" si="111"/>
        <v>6574</v>
      </c>
      <c r="AR595" s="10">
        <f t="shared" si="112"/>
        <v>7152.9999999999991</v>
      </c>
      <c r="AS595" s="47">
        <f t="shared" si="108"/>
        <v>5909</v>
      </c>
      <c r="AT595" s="47">
        <f t="shared" si="109"/>
        <v>11818</v>
      </c>
      <c r="AU595" s="43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0">
        <f t="shared" si="111"/>
        <v>6574</v>
      </c>
      <c r="AR596" s="10">
        <f t="shared" si="112"/>
        <v>7152.9999999999991</v>
      </c>
      <c r="AS596" s="47">
        <f t="shared" si="108"/>
        <v>5909</v>
      </c>
      <c r="AT596" s="47">
        <f t="shared" si="109"/>
        <v>11818</v>
      </c>
      <c r="AU596" s="43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0">
        <f t="shared" si="111"/>
        <v>2975.9510000000005</v>
      </c>
      <c r="AR597" s="10">
        <f t="shared" si="112"/>
        <v>2665.5059999999999</v>
      </c>
      <c r="AS597" s="47">
        <f t="shared" si="108"/>
        <v>3133.2180000000003</v>
      </c>
      <c r="AT597" s="47">
        <f t="shared" si="109"/>
        <v>5413.8360000000011</v>
      </c>
      <c r="AU597" s="43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0">
        <f t="shared" si="111"/>
        <v>3304.0810000000006</v>
      </c>
      <c r="AR598" s="10">
        <f t="shared" si="112"/>
        <v>3008.2859999999996</v>
      </c>
      <c r="AS598" s="47">
        <f t="shared" si="108"/>
        <v>3406.3980000000001</v>
      </c>
      <c r="AT598" s="47">
        <f t="shared" si="109"/>
        <v>6134.1960000000008</v>
      </c>
      <c r="AU598" s="43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0">
        <f t="shared" si="111"/>
        <v>3632.2109999999993</v>
      </c>
      <c r="AR599" s="10">
        <f t="shared" si="112"/>
        <v>3351.0659999999998</v>
      </c>
      <c r="AS599" s="47">
        <f t="shared" si="108"/>
        <v>3679.578</v>
      </c>
      <c r="AT599" s="47">
        <f t="shared" si="109"/>
        <v>6854.5560000000005</v>
      </c>
      <c r="AU599" s="43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0">
        <f t="shared" si="111"/>
        <v>3960.3410000000003</v>
      </c>
      <c r="AR600" s="10">
        <f t="shared" si="112"/>
        <v>3693.846</v>
      </c>
      <c r="AS600" s="47">
        <f t="shared" si="108"/>
        <v>3952.7580000000003</v>
      </c>
      <c r="AT600" s="47">
        <f t="shared" si="109"/>
        <v>7574.9160000000011</v>
      </c>
      <c r="AU600" s="43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0">
        <f t="shared" si="111"/>
        <v>4288.4710000000005</v>
      </c>
      <c r="AR601" s="10">
        <f t="shared" si="112"/>
        <v>4036.6260000000002</v>
      </c>
      <c r="AS601" s="47">
        <f t="shared" si="108"/>
        <v>4225.9380000000001</v>
      </c>
      <c r="AT601" s="47">
        <f t="shared" si="109"/>
        <v>8295.2759999999998</v>
      </c>
      <c r="AU601" s="43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0">
        <f t="shared" si="111"/>
        <v>4616.6010000000006</v>
      </c>
      <c r="AR602" s="10">
        <f t="shared" si="112"/>
        <v>4379.4059999999999</v>
      </c>
      <c r="AS602" s="47">
        <f t="shared" si="108"/>
        <v>4471.8</v>
      </c>
      <c r="AT602" s="47">
        <f t="shared" si="109"/>
        <v>8943.6</v>
      </c>
      <c r="AU602" s="43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0">
        <f t="shared" si="111"/>
        <v>4944.7310000000007</v>
      </c>
      <c r="AR603" s="10">
        <f t="shared" si="112"/>
        <v>4722.1860000000006</v>
      </c>
      <c r="AS603" s="47">
        <f t="shared" si="108"/>
        <v>4471.8</v>
      </c>
      <c r="AT603" s="47">
        <f t="shared" si="109"/>
        <v>8943.6</v>
      </c>
      <c r="AU603" s="43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0">
        <f t="shared" si="111"/>
        <v>5272.8609999999999</v>
      </c>
      <c r="AR604" s="10">
        <f t="shared" si="112"/>
        <v>5064.9659999999994</v>
      </c>
      <c r="AS604" s="47">
        <f t="shared" si="108"/>
        <v>4471.8</v>
      </c>
      <c r="AT604" s="47">
        <f t="shared" si="109"/>
        <v>8943.6</v>
      </c>
      <c r="AU604" s="43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0">
        <f t="shared" si="111"/>
        <v>5371.3</v>
      </c>
      <c r="AR605" s="10">
        <f t="shared" si="112"/>
        <v>5167.8</v>
      </c>
      <c r="AS605" s="47">
        <f t="shared" si="108"/>
        <v>4471.8</v>
      </c>
      <c r="AT605" s="47">
        <f t="shared" si="109"/>
        <v>8943.6</v>
      </c>
      <c r="AU605" s="43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0">
        <f t="shared" si="111"/>
        <v>5371.3</v>
      </c>
      <c r="AR606" s="10">
        <f t="shared" si="112"/>
        <v>5167.8</v>
      </c>
      <c r="AS606" s="47">
        <f t="shared" si="108"/>
        <v>4471.8</v>
      </c>
      <c r="AT606" s="47">
        <f t="shared" si="109"/>
        <v>8943.6</v>
      </c>
      <c r="AU606" s="43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0">
        <f t="shared" si="111"/>
        <v>5371.3</v>
      </c>
      <c r="AR607" s="10">
        <f t="shared" si="112"/>
        <v>5167.8</v>
      </c>
      <c r="AS607" s="47">
        <f t="shared" si="108"/>
        <v>4471.8</v>
      </c>
      <c r="AT607" s="47">
        <f t="shared" si="109"/>
        <v>8943.6</v>
      </c>
      <c r="AU607" s="43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0">
        <f t="shared" si="111"/>
        <v>3515.3799999999997</v>
      </c>
      <c r="AR608" s="10">
        <f t="shared" si="112"/>
        <v>3358.2000000000003</v>
      </c>
      <c r="AS608" s="47">
        <f t="shared" si="108"/>
        <v>3386.0400000000004</v>
      </c>
      <c r="AT608" s="47">
        <f t="shared" si="109"/>
        <v>6528.4800000000005</v>
      </c>
      <c r="AU608" s="43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0">
        <f t="shared" si="111"/>
        <v>3745.28</v>
      </c>
      <c r="AR609" s="10">
        <f t="shared" si="112"/>
        <v>3619.2000000000003</v>
      </c>
      <c r="AS609" s="47">
        <f t="shared" si="108"/>
        <v>3577.44</v>
      </c>
      <c r="AT609" s="47">
        <f t="shared" si="109"/>
        <v>7085.28</v>
      </c>
      <c r="AU609" s="43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0">
        <f t="shared" si="111"/>
        <v>3975.18</v>
      </c>
      <c r="AR610" s="10">
        <f t="shared" si="112"/>
        <v>3880.2</v>
      </c>
      <c r="AS610" s="47">
        <f t="shared" si="108"/>
        <v>3654</v>
      </c>
      <c r="AT610" s="47">
        <f t="shared" si="109"/>
        <v>7308</v>
      </c>
      <c r="AU610" s="43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0">
        <f t="shared" si="111"/>
        <v>4205.08</v>
      </c>
      <c r="AR611" s="10">
        <f t="shared" si="112"/>
        <v>4141.2000000000007</v>
      </c>
      <c r="AS611" s="47">
        <f t="shared" si="108"/>
        <v>3654</v>
      </c>
      <c r="AT611" s="47">
        <f t="shared" si="109"/>
        <v>7308</v>
      </c>
      <c r="AU611" s="43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0">
        <f t="shared" si="111"/>
        <v>4389</v>
      </c>
      <c r="AR612" s="10">
        <f t="shared" si="112"/>
        <v>4350</v>
      </c>
      <c r="AS612" s="47">
        <f t="shared" si="108"/>
        <v>3654</v>
      </c>
      <c r="AT612" s="47">
        <f t="shared" si="109"/>
        <v>7308</v>
      </c>
      <c r="AU612" s="43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0">
        <f t="shared" si="111"/>
        <v>4389</v>
      </c>
      <c r="AR613" s="10">
        <f t="shared" si="112"/>
        <v>4350</v>
      </c>
      <c r="AS613" s="47">
        <f t="shared" si="108"/>
        <v>3654</v>
      </c>
      <c r="AT613" s="47">
        <f t="shared" si="109"/>
        <v>7308</v>
      </c>
      <c r="AU613" s="43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0">
        <f t="shared" si="111"/>
        <v>4389</v>
      </c>
      <c r="AR614" s="10">
        <f t="shared" si="112"/>
        <v>4350</v>
      </c>
      <c r="AS614" s="47">
        <f t="shared" si="108"/>
        <v>3654</v>
      </c>
      <c r="AT614" s="47">
        <f t="shared" si="109"/>
        <v>7308</v>
      </c>
      <c r="AU614" s="43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0">
        <f t="shared" si="111"/>
        <v>4389</v>
      </c>
      <c r="AR615" s="10">
        <f t="shared" si="112"/>
        <v>4350</v>
      </c>
      <c r="AS615" s="47">
        <f t="shared" si="108"/>
        <v>3654</v>
      </c>
      <c r="AT615" s="47">
        <f t="shared" si="109"/>
        <v>7308</v>
      </c>
      <c r="AU615" s="43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0">
        <f t="shared" si="111"/>
        <v>4389</v>
      </c>
      <c r="AR616" s="10">
        <f t="shared" si="112"/>
        <v>4350</v>
      </c>
      <c r="AS616" s="47">
        <f t="shared" si="108"/>
        <v>3654</v>
      </c>
      <c r="AT616" s="47">
        <f t="shared" si="109"/>
        <v>7308</v>
      </c>
      <c r="AU616" s="43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0">
        <f t="shared" si="111"/>
        <v>4389</v>
      </c>
      <c r="AR617" s="10">
        <f t="shared" si="112"/>
        <v>4350</v>
      </c>
      <c r="AS617" s="47">
        <f t="shared" si="108"/>
        <v>3654</v>
      </c>
      <c r="AT617" s="47">
        <f t="shared" si="109"/>
        <v>7308</v>
      </c>
      <c r="AU617" s="43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0">
        <f t="shared" si="111"/>
        <v>4389</v>
      </c>
      <c r="AR618" s="10">
        <f t="shared" si="112"/>
        <v>4350</v>
      </c>
      <c r="AS618" s="47">
        <f t="shared" si="108"/>
        <v>3654</v>
      </c>
      <c r="AT618" s="47">
        <f t="shared" si="109"/>
        <v>7308</v>
      </c>
      <c r="AU618" s="43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0">
        <f t="shared" si="111"/>
        <v>3190.6200000000003</v>
      </c>
      <c r="AR619" s="10">
        <f t="shared" si="112"/>
        <v>2964.55</v>
      </c>
      <c r="AS619" s="47">
        <f t="shared" si="108"/>
        <v>3293.7100000000005</v>
      </c>
      <c r="AT619" s="47">
        <f t="shared" si="109"/>
        <v>5553.5200000000013</v>
      </c>
      <c r="AU619" s="43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0">
        <f t="shared" si="111"/>
        <v>3461.2200000000003</v>
      </c>
      <c r="AR620" s="10">
        <f t="shared" si="112"/>
        <v>3281.05</v>
      </c>
      <c r="AS620" s="47">
        <f t="shared" si="108"/>
        <v>3525.8099999999995</v>
      </c>
      <c r="AT620" s="47">
        <f t="shared" si="109"/>
        <v>6228.72</v>
      </c>
      <c r="AU620" s="43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0">
        <f t="shared" si="111"/>
        <v>3731.8199999999997</v>
      </c>
      <c r="AR621" s="10">
        <f t="shared" si="112"/>
        <v>3597.5499999999993</v>
      </c>
      <c r="AS621" s="47">
        <f t="shared" si="108"/>
        <v>3757.9099999999994</v>
      </c>
      <c r="AT621" s="47">
        <f t="shared" si="109"/>
        <v>6903.9199999999992</v>
      </c>
      <c r="AU621" s="43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0">
        <f t="shared" si="111"/>
        <v>4002.4199999999996</v>
      </c>
      <c r="AR622" s="10">
        <f t="shared" si="112"/>
        <v>3914.05</v>
      </c>
      <c r="AS622" s="47">
        <f t="shared" si="108"/>
        <v>3990.01</v>
      </c>
      <c r="AT622" s="47">
        <f t="shared" si="109"/>
        <v>7579.119999999999</v>
      </c>
      <c r="AU622" s="43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0">
        <f t="shared" si="111"/>
        <v>4273.0200000000004</v>
      </c>
      <c r="AR623" s="10">
        <f t="shared" si="112"/>
        <v>4230.55</v>
      </c>
      <c r="AS623" s="47">
        <f t="shared" si="108"/>
        <v>4222.1100000000006</v>
      </c>
      <c r="AT623" s="47">
        <f t="shared" si="109"/>
        <v>8254.3200000000015</v>
      </c>
      <c r="AU623" s="43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0">
        <f t="shared" si="111"/>
        <v>4543.6200000000008</v>
      </c>
      <c r="AR624" s="10">
        <f t="shared" si="112"/>
        <v>4547.05</v>
      </c>
      <c r="AS624" s="47">
        <f t="shared" si="108"/>
        <v>4431</v>
      </c>
      <c r="AT624" s="47">
        <f t="shared" si="109"/>
        <v>8862</v>
      </c>
      <c r="AU624" s="43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0">
        <f t="shared" si="111"/>
        <v>4814.2199999999993</v>
      </c>
      <c r="AR625" s="10">
        <f t="shared" si="112"/>
        <v>4863.5499999999993</v>
      </c>
      <c r="AS625" s="47">
        <f t="shared" si="108"/>
        <v>4431</v>
      </c>
      <c r="AT625" s="47">
        <f t="shared" si="109"/>
        <v>8862</v>
      </c>
      <c r="AU625" s="43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0">
        <f t="shared" si="111"/>
        <v>5084.8200000000006</v>
      </c>
      <c r="AR626" s="10">
        <f t="shared" si="112"/>
        <v>5180.05</v>
      </c>
      <c r="AS626" s="47">
        <f t="shared" si="108"/>
        <v>4431</v>
      </c>
      <c r="AT626" s="47">
        <f t="shared" si="109"/>
        <v>8862</v>
      </c>
      <c r="AU626" s="43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0">
        <f t="shared" si="111"/>
        <v>5166</v>
      </c>
      <c r="AR627" s="10">
        <f t="shared" si="112"/>
        <v>5275</v>
      </c>
      <c r="AS627" s="47">
        <f t="shared" si="108"/>
        <v>4431</v>
      </c>
      <c r="AT627" s="47">
        <f t="shared" si="109"/>
        <v>8862</v>
      </c>
      <c r="AU627" s="43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0">
        <f t="shared" si="111"/>
        <v>5166</v>
      </c>
      <c r="AR628" s="10">
        <f t="shared" si="112"/>
        <v>5275</v>
      </c>
      <c r="AS628" s="47">
        <f t="shared" si="108"/>
        <v>4431</v>
      </c>
      <c r="AT628" s="47">
        <f t="shared" si="109"/>
        <v>8862</v>
      </c>
      <c r="AU628" s="43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0">
        <f t="shared" si="111"/>
        <v>5166</v>
      </c>
      <c r="AR629" s="10">
        <f t="shared" si="112"/>
        <v>5275</v>
      </c>
      <c r="AS629" s="47">
        <f t="shared" si="108"/>
        <v>4431</v>
      </c>
      <c r="AT629" s="47">
        <f t="shared" si="109"/>
        <v>8862</v>
      </c>
      <c r="AU629" s="43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0">
        <f t="shared" si="111"/>
        <v>3260.7310000000002</v>
      </c>
      <c r="AR630" s="10">
        <f t="shared" si="112"/>
        <v>2971.886</v>
      </c>
      <c r="AS630" s="47">
        <f t="shared" si="108"/>
        <v>3493.3580000000002</v>
      </c>
      <c r="AT630" s="47">
        <f t="shared" si="109"/>
        <v>6036.1160000000009</v>
      </c>
      <c r="AU630" s="43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0">
        <f t="shared" si="111"/>
        <v>3620.2610000000004</v>
      </c>
      <c r="AR631" s="10">
        <f t="shared" si="112"/>
        <v>3354.0659999999998</v>
      </c>
      <c r="AS631" s="47">
        <f t="shared" si="108"/>
        <v>3797.9380000000001</v>
      </c>
      <c r="AT631" s="47">
        <f t="shared" si="109"/>
        <v>6839.2760000000007</v>
      </c>
      <c r="AU631" s="43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0">
        <f t="shared" si="111"/>
        <v>3979.7909999999997</v>
      </c>
      <c r="AR632" s="10">
        <f t="shared" si="112"/>
        <v>3736.2460000000001</v>
      </c>
      <c r="AS632" s="47">
        <f t="shared" si="108"/>
        <v>4102.518</v>
      </c>
      <c r="AT632" s="47">
        <f t="shared" si="109"/>
        <v>7642.4360000000006</v>
      </c>
      <c r="AU632" s="43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0">
        <f t="shared" si="111"/>
        <v>4339.3210000000008</v>
      </c>
      <c r="AR633" s="10">
        <f t="shared" si="112"/>
        <v>4118.4260000000004</v>
      </c>
      <c r="AS633" s="47">
        <f t="shared" si="108"/>
        <v>4407.098</v>
      </c>
      <c r="AT633" s="47">
        <f t="shared" si="109"/>
        <v>8445.5960000000014</v>
      </c>
      <c r="AU633" s="43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0">
        <f t="shared" si="111"/>
        <v>4698.8510000000006</v>
      </c>
      <c r="AR634" s="10">
        <f t="shared" si="112"/>
        <v>4500.6059999999998</v>
      </c>
      <c r="AS634" s="47">
        <f t="shared" si="108"/>
        <v>4711.6779999999999</v>
      </c>
      <c r="AT634" s="47">
        <f t="shared" si="109"/>
        <v>9248.7560000000012</v>
      </c>
      <c r="AU634" s="43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0">
        <f t="shared" si="111"/>
        <v>5058.3810000000003</v>
      </c>
      <c r="AR635" s="10">
        <f t="shared" si="112"/>
        <v>4882.7860000000001</v>
      </c>
      <c r="AS635" s="47">
        <f t="shared" si="108"/>
        <v>4985.8</v>
      </c>
      <c r="AT635" s="47">
        <f t="shared" si="109"/>
        <v>9971.6</v>
      </c>
      <c r="AU635" s="43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0">
        <f t="shared" si="111"/>
        <v>5417.911000000001</v>
      </c>
      <c r="AR636" s="10">
        <f t="shared" si="112"/>
        <v>5264.9660000000003</v>
      </c>
      <c r="AS636" s="47">
        <f t="shared" si="108"/>
        <v>4985.8</v>
      </c>
      <c r="AT636" s="47">
        <f t="shared" si="109"/>
        <v>9971.6</v>
      </c>
      <c r="AU636" s="43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0">
        <f t="shared" si="111"/>
        <v>5777.4409999999998</v>
      </c>
      <c r="AR637" s="10">
        <f t="shared" si="112"/>
        <v>5647.1459999999997</v>
      </c>
      <c r="AS637" s="47">
        <f t="shared" si="108"/>
        <v>4985.8</v>
      </c>
      <c r="AT637" s="47">
        <f t="shared" si="109"/>
        <v>9971.6</v>
      </c>
      <c r="AU637" s="43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0">
        <f t="shared" si="111"/>
        <v>5885.3000000000011</v>
      </c>
      <c r="AR638" s="10">
        <f t="shared" si="112"/>
        <v>5761.8</v>
      </c>
      <c r="AS638" s="47">
        <f t="shared" si="108"/>
        <v>4985.8</v>
      </c>
      <c r="AT638" s="47">
        <f t="shared" si="109"/>
        <v>9971.6</v>
      </c>
      <c r="AU638" s="43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0">
        <f t="shared" si="111"/>
        <v>5885.3000000000011</v>
      </c>
      <c r="AR639" s="10">
        <f t="shared" si="112"/>
        <v>5761.8</v>
      </c>
      <c r="AS639" s="47">
        <f t="shared" si="108"/>
        <v>4985.8</v>
      </c>
      <c r="AT639" s="47">
        <f t="shared" si="109"/>
        <v>9971.6</v>
      </c>
      <c r="AU639" s="43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0">
        <f t="shared" si="111"/>
        <v>5885.3000000000011</v>
      </c>
      <c r="AR640" s="10">
        <f t="shared" si="112"/>
        <v>5761.8</v>
      </c>
      <c r="AS640" s="47">
        <f t="shared" si="108"/>
        <v>4985.8</v>
      </c>
      <c r="AT640" s="47">
        <f t="shared" si="109"/>
        <v>9971.6</v>
      </c>
      <c r="AU640" s="43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0">
        <f t="shared" si="111"/>
        <v>3851.7799999999997</v>
      </c>
      <c r="AR641" s="10">
        <f t="shared" si="112"/>
        <v>3744.2000000000003</v>
      </c>
      <c r="AS641" s="47">
        <f t="shared" si="108"/>
        <v>3775.2400000000002</v>
      </c>
      <c r="AT641" s="47">
        <f t="shared" si="109"/>
        <v>7278.88</v>
      </c>
      <c r="AU641" s="43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0">
        <f t="shared" si="111"/>
        <v>4103.68</v>
      </c>
      <c r="AR642" s="10">
        <f t="shared" si="112"/>
        <v>4035.2000000000003</v>
      </c>
      <c r="AS642" s="47">
        <f t="shared" si="108"/>
        <v>3988.64</v>
      </c>
      <c r="AT642" s="47">
        <f t="shared" si="109"/>
        <v>7899.68</v>
      </c>
      <c r="AU642" s="43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0">
        <f t="shared" si="111"/>
        <v>4355.58</v>
      </c>
      <c r="AR643" s="10">
        <f t="shared" si="112"/>
        <v>4326.2</v>
      </c>
      <c r="AS643" s="47">
        <f t="shared" ref="AS643:AS706" si="113">$AG$3*(1+$AJ643*$Y$2+$AN643)*(MAXA(1-$AI$3-$AL643*$AA$3-$AP643-0.36,0)+MINA($AI$3+$AL643*$AA$3+$AP643+0.36,1)*(1+$AH$3+$AO643+$AK643*$Z$4))</f>
        <v>4074</v>
      </c>
      <c r="AT643" s="47">
        <f t="shared" ref="AT643:AT706" si="114">$AG$3*(1+$AJ643*$Y$2+$AN643)*(MAXA(1-$AI$3-$AL643*$AA$3-$AP643-0.36,0)+2*MINA($AI$3+$AL643*$AA$3+$AP643+0.36,1)*(1+$AH$3+$AO643+$AK643*$Z$4))</f>
        <v>8148</v>
      </c>
      <c r="AU643" s="43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0">
        <f t="shared" ref="AQ644:AQ707" si="116">$AG$3*(1+$AJ644*$Y$2+$AN644+0.35)*(MAXA(1-$AI$3-$AL644*$AA$3-$AP644-0.12,0)+MINA($AI$3+$AL644*$AA$3+$AP644+0.12,1)*(1+$AH$3+$AO644+$AK644*$Z$4))</f>
        <v>4607.4800000000005</v>
      </c>
      <c r="AR644" s="10">
        <f t="shared" ref="AR644:AR707" si="117">$AG$3*(1+$AJ644*$Y$2+$AN644)*(MAXA(1-$AI$3-$AL644*$AA$3-$AP644-0.12,0)+MINA($AI$3+$AL644*$AA$3+$AP644+0.12,1)*(1+$AH$3+$AO644+$AK644*$Z$4+0.4))</f>
        <v>4617.2000000000007</v>
      </c>
      <c r="AS644" s="47">
        <f t="shared" si="113"/>
        <v>4074</v>
      </c>
      <c r="AT644" s="47">
        <f t="shared" si="114"/>
        <v>8148</v>
      </c>
      <c r="AU644" s="43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0">
        <f t="shared" si="116"/>
        <v>4809</v>
      </c>
      <c r="AR645" s="10">
        <f t="shared" si="117"/>
        <v>4850</v>
      </c>
      <c r="AS645" s="47">
        <f t="shared" si="113"/>
        <v>4074</v>
      </c>
      <c r="AT645" s="47">
        <f t="shared" si="114"/>
        <v>8148</v>
      </c>
      <c r="AU645" s="43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0">
        <f t="shared" si="116"/>
        <v>4809</v>
      </c>
      <c r="AR646" s="10">
        <f t="shared" si="117"/>
        <v>4850</v>
      </c>
      <c r="AS646" s="47">
        <f t="shared" si="113"/>
        <v>4074</v>
      </c>
      <c r="AT646" s="47">
        <f t="shared" si="114"/>
        <v>8148</v>
      </c>
      <c r="AU646" s="43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0">
        <f t="shared" si="116"/>
        <v>4809</v>
      </c>
      <c r="AR647" s="10">
        <f t="shared" si="117"/>
        <v>4850</v>
      </c>
      <c r="AS647" s="47">
        <f t="shared" si="113"/>
        <v>4074</v>
      </c>
      <c r="AT647" s="47">
        <f t="shared" si="114"/>
        <v>8148</v>
      </c>
      <c r="AU647" s="43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0">
        <f t="shared" si="116"/>
        <v>4809</v>
      </c>
      <c r="AR648" s="10">
        <f t="shared" si="117"/>
        <v>4850</v>
      </c>
      <c r="AS648" s="47">
        <f t="shared" si="113"/>
        <v>4074</v>
      </c>
      <c r="AT648" s="47">
        <f t="shared" si="114"/>
        <v>8148</v>
      </c>
      <c r="AU648" s="43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0">
        <f t="shared" si="116"/>
        <v>4809</v>
      </c>
      <c r="AR649" s="10">
        <f t="shared" si="117"/>
        <v>4850</v>
      </c>
      <c r="AS649" s="47">
        <f t="shared" si="113"/>
        <v>4074</v>
      </c>
      <c r="AT649" s="47">
        <f t="shared" si="114"/>
        <v>8148</v>
      </c>
      <c r="AU649" s="43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0">
        <f t="shared" si="116"/>
        <v>4809</v>
      </c>
      <c r="AR650" s="10">
        <f t="shared" si="117"/>
        <v>4850</v>
      </c>
      <c r="AS650" s="47">
        <f t="shared" si="113"/>
        <v>4074</v>
      </c>
      <c r="AT650" s="47">
        <f t="shared" si="114"/>
        <v>8148</v>
      </c>
      <c r="AU650" s="43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0">
        <f t="shared" si="116"/>
        <v>4809</v>
      </c>
      <c r="AR651" s="10">
        <f t="shared" si="117"/>
        <v>4850</v>
      </c>
      <c r="AS651" s="47">
        <f t="shared" si="113"/>
        <v>4074</v>
      </c>
      <c r="AT651" s="47">
        <f t="shared" si="114"/>
        <v>8148</v>
      </c>
      <c r="AU651" s="43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0">
        <f t="shared" si="116"/>
        <v>3450.0200000000004</v>
      </c>
      <c r="AR652" s="10">
        <f t="shared" si="117"/>
        <v>3245.55</v>
      </c>
      <c r="AS652" s="47">
        <f t="shared" si="113"/>
        <v>3605.9100000000003</v>
      </c>
      <c r="AT652" s="47">
        <f t="shared" si="114"/>
        <v>6079.920000000001</v>
      </c>
      <c r="AU652" s="43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0">
        <f t="shared" si="116"/>
        <v>3742.62</v>
      </c>
      <c r="AR653" s="10">
        <f t="shared" si="117"/>
        <v>3592.05</v>
      </c>
      <c r="AS653" s="47">
        <f t="shared" si="113"/>
        <v>3860.0099999999998</v>
      </c>
      <c r="AT653" s="47">
        <f t="shared" si="114"/>
        <v>6819.12</v>
      </c>
      <c r="AU653" s="43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0">
        <f t="shared" si="116"/>
        <v>4035.22</v>
      </c>
      <c r="AR654" s="10">
        <f t="shared" si="117"/>
        <v>3938.5499999999993</v>
      </c>
      <c r="AS654" s="47">
        <f t="shared" si="113"/>
        <v>4114.1099999999997</v>
      </c>
      <c r="AT654" s="47">
        <f t="shared" si="114"/>
        <v>7558.32</v>
      </c>
      <c r="AU654" s="43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0">
        <f t="shared" si="116"/>
        <v>4327.82</v>
      </c>
      <c r="AR655" s="10">
        <f t="shared" si="117"/>
        <v>4285.05</v>
      </c>
      <c r="AS655" s="47">
        <f t="shared" si="113"/>
        <v>4368.21</v>
      </c>
      <c r="AT655" s="47">
        <f t="shared" si="114"/>
        <v>8297.5199999999986</v>
      </c>
      <c r="AU655" s="43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0">
        <f t="shared" si="116"/>
        <v>4620.42</v>
      </c>
      <c r="AR656" s="10">
        <f t="shared" si="117"/>
        <v>4631.55</v>
      </c>
      <c r="AS656" s="47">
        <f t="shared" si="113"/>
        <v>4622.3100000000004</v>
      </c>
      <c r="AT656" s="47">
        <f t="shared" si="114"/>
        <v>9036.7200000000012</v>
      </c>
      <c r="AU656" s="43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0">
        <f t="shared" si="116"/>
        <v>4913.0200000000004</v>
      </c>
      <c r="AR657" s="10">
        <f t="shared" si="117"/>
        <v>4978.05</v>
      </c>
      <c r="AS657" s="47">
        <f t="shared" si="113"/>
        <v>4851</v>
      </c>
      <c r="AT657" s="47">
        <f t="shared" si="114"/>
        <v>9702</v>
      </c>
      <c r="AU657" s="43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0">
        <f t="shared" si="116"/>
        <v>5205.62</v>
      </c>
      <c r="AR658" s="10">
        <f t="shared" si="117"/>
        <v>5324.5499999999993</v>
      </c>
      <c r="AS658" s="47">
        <f t="shared" si="113"/>
        <v>4851</v>
      </c>
      <c r="AT658" s="47">
        <f t="shared" si="114"/>
        <v>9702</v>
      </c>
      <c r="AU658" s="43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0">
        <f t="shared" si="116"/>
        <v>5498.22</v>
      </c>
      <c r="AR659" s="10">
        <f t="shared" si="117"/>
        <v>5671.05</v>
      </c>
      <c r="AS659" s="47">
        <f t="shared" si="113"/>
        <v>4851</v>
      </c>
      <c r="AT659" s="47">
        <f t="shared" si="114"/>
        <v>9702</v>
      </c>
      <c r="AU659" s="43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0">
        <f t="shared" si="116"/>
        <v>5586</v>
      </c>
      <c r="AR660" s="10">
        <f t="shared" si="117"/>
        <v>5775</v>
      </c>
      <c r="AS660" s="47">
        <f t="shared" si="113"/>
        <v>4851</v>
      </c>
      <c r="AT660" s="47">
        <f t="shared" si="114"/>
        <v>9702</v>
      </c>
      <c r="AU660" s="43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0">
        <f t="shared" si="116"/>
        <v>5586</v>
      </c>
      <c r="AR661" s="10">
        <f t="shared" si="117"/>
        <v>5775</v>
      </c>
      <c r="AS661" s="47">
        <f t="shared" si="113"/>
        <v>4851</v>
      </c>
      <c r="AT661" s="47">
        <f t="shared" si="114"/>
        <v>9702</v>
      </c>
      <c r="AU661" s="43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0">
        <f t="shared" si="116"/>
        <v>5586</v>
      </c>
      <c r="AR662" s="10">
        <f t="shared" si="117"/>
        <v>5775</v>
      </c>
      <c r="AS662" s="47">
        <f t="shared" si="113"/>
        <v>4851</v>
      </c>
      <c r="AT662" s="47">
        <f t="shared" si="114"/>
        <v>9702</v>
      </c>
      <c r="AU662" s="43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0">
        <f t="shared" si="116"/>
        <v>3545.5110000000004</v>
      </c>
      <c r="AR663" s="10">
        <f t="shared" si="117"/>
        <v>3278.2660000000001</v>
      </c>
      <c r="AS663" s="47">
        <f t="shared" si="113"/>
        <v>3853.4980000000005</v>
      </c>
      <c r="AT663" s="47">
        <f t="shared" si="114"/>
        <v>6658.3960000000015</v>
      </c>
      <c r="AU663" s="43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0">
        <f t="shared" si="116"/>
        <v>3936.4410000000003</v>
      </c>
      <c r="AR664" s="10">
        <f t="shared" si="117"/>
        <v>3699.8459999999995</v>
      </c>
      <c r="AS664" s="47">
        <f t="shared" si="113"/>
        <v>4189.4780000000001</v>
      </c>
      <c r="AT664" s="47">
        <f t="shared" si="114"/>
        <v>7544.3560000000007</v>
      </c>
      <c r="AU664" s="43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0">
        <f t="shared" si="116"/>
        <v>4327.3709999999992</v>
      </c>
      <c r="AR665" s="10">
        <f t="shared" si="117"/>
        <v>4121.4259999999995</v>
      </c>
      <c r="AS665" s="47">
        <f t="shared" si="113"/>
        <v>4525.4579999999996</v>
      </c>
      <c r="AT665" s="47">
        <f t="shared" si="114"/>
        <v>8430.3160000000007</v>
      </c>
      <c r="AU665" s="43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0">
        <f t="shared" si="116"/>
        <v>4718.3010000000004</v>
      </c>
      <c r="AR666" s="10">
        <f t="shared" si="117"/>
        <v>4543.0060000000003</v>
      </c>
      <c r="AS666" s="47">
        <f t="shared" si="113"/>
        <v>4861.4380000000001</v>
      </c>
      <c r="AT666" s="47">
        <f t="shared" si="114"/>
        <v>9316.2760000000017</v>
      </c>
      <c r="AU666" s="43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0">
        <f t="shared" si="116"/>
        <v>5109.2310000000007</v>
      </c>
      <c r="AR667" s="10">
        <f t="shared" si="117"/>
        <v>4964.5860000000002</v>
      </c>
      <c r="AS667" s="47">
        <f t="shared" si="113"/>
        <v>5197.4180000000006</v>
      </c>
      <c r="AT667" s="47">
        <f t="shared" si="114"/>
        <v>10202.236000000001</v>
      </c>
      <c r="AU667" s="43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0">
        <f t="shared" si="116"/>
        <v>5500.161000000001</v>
      </c>
      <c r="AR668" s="10">
        <f t="shared" si="117"/>
        <v>5386.1660000000002</v>
      </c>
      <c r="AS668" s="47">
        <f t="shared" si="113"/>
        <v>5499.8</v>
      </c>
      <c r="AT668" s="47">
        <f t="shared" si="114"/>
        <v>10999.6</v>
      </c>
      <c r="AU668" s="43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0">
        <f t="shared" si="116"/>
        <v>5891.0910000000013</v>
      </c>
      <c r="AR669" s="10">
        <f t="shared" si="117"/>
        <v>5807.7460000000001</v>
      </c>
      <c r="AS669" s="47">
        <f t="shared" si="113"/>
        <v>5499.8</v>
      </c>
      <c r="AT669" s="47">
        <f t="shared" si="114"/>
        <v>10999.6</v>
      </c>
      <c r="AU669" s="43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0">
        <f t="shared" si="116"/>
        <v>6282.0209999999997</v>
      </c>
      <c r="AR670" s="10">
        <f t="shared" si="117"/>
        <v>6229.326</v>
      </c>
      <c r="AS670" s="47">
        <f t="shared" si="113"/>
        <v>5499.8</v>
      </c>
      <c r="AT670" s="47">
        <f t="shared" si="114"/>
        <v>10999.6</v>
      </c>
      <c r="AU670" s="43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0">
        <f t="shared" si="116"/>
        <v>6399.3000000000011</v>
      </c>
      <c r="AR671" s="10">
        <f t="shared" si="117"/>
        <v>6355.8</v>
      </c>
      <c r="AS671" s="47">
        <f t="shared" si="113"/>
        <v>5499.8</v>
      </c>
      <c r="AT671" s="47">
        <f t="shared" si="114"/>
        <v>10999.6</v>
      </c>
      <c r="AU671" s="43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0">
        <f t="shared" si="116"/>
        <v>6399.3000000000011</v>
      </c>
      <c r="AR672" s="10">
        <f t="shared" si="117"/>
        <v>6355.8</v>
      </c>
      <c r="AS672" s="47">
        <f t="shared" si="113"/>
        <v>5499.8</v>
      </c>
      <c r="AT672" s="47">
        <f t="shared" si="114"/>
        <v>10999.6</v>
      </c>
      <c r="AU672" s="43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0">
        <f t="shared" si="116"/>
        <v>6399.3000000000011</v>
      </c>
      <c r="AR673" s="10">
        <f t="shared" si="117"/>
        <v>6355.8</v>
      </c>
      <c r="AS673" s="47">
        <f t="shared" si="113"/>
        <v>5499.8</v>
      </c>
      <c r="AT673" s="47">
        <f t="shared" si="114"/>
        <v>10999.6</v>
      </c>
      <c r="AU673" s="43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0">
        <f t="shared" si="116"/>
        <v>4188.18</v>
      </c>
      <c r="AR674" s="10">
        <f t="shared" si="117"/>
        <v>4130.2000000000007</v>
      </c>
      <c r="AS674" s="47">
        <f t="shared" si="113"/>
        <v>4164.4400000000005</v>
      </c>
      <c r="AT674" s="47">
        <f t="shared" si="114"/>
        <v>8029.2800000000007</v>
      </c>
      <c r="AU674" s="43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0">
        <f t="shared" si="116"/>
        <v>4462.08</v>
      </c>
      <c r="AR675" s="10">
        <f t="shared" si="117"/>
        <v>4451.2</v>
      </c>
      <c r="AS675" s="47">
        <f t="shared" si="113"/>
        <v>4399.84</v>
      </c>
      <c r="AT675" s="47">
        <f t="shared" si="114"/>
        <v>8714.08</v>
      </c>
      <c r="AU675" s="43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0">
        <f t="shared" si="116"/>
        <v>4735.9799999999996</v>
      </c>
      <c r="AR676" s="10">
        <f t="shared" si="117"/>
        <v>4772.2</v>
      </c>
      <c r="AS676" s="47">
        <f t="shared" si="113"/>
        <v>4494</v>
      </c>
      <c r="AT676" s="47">
        <f t="shared" si="114"/>
        <v>8988</v>
      </c>
      <c r="AU676" s="43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0">
        <f t="shared" si="116"/>
        <v>5009.88</v>
      </c>
      <c r="AR677" s="10">
        <f t="shared" si="117"/>
        <v>5093.2000000000007</v>
      </c>
      <c r="AS677" s="47">
        <f t="shared" si="113"/>
        <v>4494</v>
      </c>
      <c r="AT677" s="47">
        <f t="shared" si="114"/>
        <v>8988</v>
      </c>
      <c r="AU677" s="43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0">
        <f t="shared" si="116"/>
        <v>5229</v>
      </c>
      <c r="AR678" s="10">
        <f t="shared" si="117"/>
        <v>5350</v>
      </c>
      <c r="AS678" s="47">
        <f t="shared" si="113"/>
        <v>4494</v>
      </c>
      <c r="AT678" s="47">
        <f t="shared" si="114"/>
        <v>8988</v>
      </c>
      <c r="AU678" s="43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0">
        <f t="shared" si="116"/>
        <v>5229</v>
      </c>
      <c r="AR679" s="10">
        <f t="shared" si="117"/>
        <v>5350</v>
      </c>
      <c r="AS679" s="47">
        <f t="shared" si="113"/>
        <v>4494</v>
      </c>
      <c r="AT679" s="47">
        <f t="shared" si="114"/>
        <v>8988</v>
      </c>
      <c r="AU679" s="43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0">
        <f t="shared" si="116"/>
        <v>5229</v>
      </c>
      <c r="AR680" s="10">
        <f t="shared" si="117"/>
        <v>5350</v>
      </c>
      <c r="AS680" s="47">
        <f t="shared" si="113"/>
        <v>4494</v>
      </c>
      <c r="AT680" s="47">
        <f t="shared" si="114"/>
        <v>8988</v>
      </c>
      <c r="AU680" s="43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0">
        <f t="shared" si="116"/>
        <v>5229</v>
      </c>
      <c r="AR681" s="10">
        <f t="shared" si="117"/>
        <v>5350</v>
      </c>
      <c r="AS681" s="47">
        <f t="shared" si="113"/>
        <v>4494</v>
      </c>
      <c r="AT681" s="47">
        <f t="shared" si="114"/>
        <v>8988</v>
      </c>
      <c r="AU681" s="43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0">
        <f t="shared" si="116"/>
        <v>5229</v>
      </c>
      <c r="AR682" s="10">
        <f t="shared" si="117"/>
        <v>5350</v>
      </c>
      <c r="AS682" s="47">
        <f t="shared" si="113"/>
        <v>4494</v>
      </c>
      <c r="AT682" s="47">
        <f t="shared" si="114"/>
        <v>8988</v>
      </c>
      <c r="AU682" s="43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0">
        <f t="shared" si="116"/>
        <v>5229</v>
      </c>
      <c r="AR683" s="10">
        <f t="shared" si="117"/>
        <v>5350</v>
      </c>
      <c r="AS683" s="47">
        <f t="shared" si="113"/>
        <v>4494</v>
      </c>
      <c r="AT683" s="47">
        <f t="shared" si="114"/>
        <v>8988</v>
      </c>
      <c r="AU683" s="43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0">
        <f t="shared" si="116"/>
        <v>5229</v>
      </c>
      <c r="AR684" s="10">
        <f t="shared" si="117"/>
        <v>5350</v>
      </c>
      <c r="AS684" s="47">
        <f t="shared" si="113"/>
        <v>4494</v>
      </c>
      <c r="AT684" s="47">
        <f t="shared" si="114"/>
        <v>8988</v>
      </c>
      <c r="AU684" s="43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0">
        <f t="shared" si="116"/>
        <v>3709.4200000000005</v>
      </c>
      <c r="AR685" s="10">
        <f t="shared" si="117"/>
        <v>3526.55</v>
      </c>
      <c r="AS685" s="47">
        <f t="shared" si="113"/>
        <v>3918.1100000000006</v>
      </c>
      <c r="AT685" s="47">
        <f t="shared" si="114"/>
        <v>6606.3200000000015</v>
      </c>
      <c r="AU685" s="43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0">
        <f t="shared" si="116"/>
        <v>4024.02</v>
      </c>
      <c r="AR686" s="10">
        <f t="shared" si="117"/>
        <v>3903.05</v>
      </c>
      <c r="AS686" s="47">
        <f t="shared" si="113"/>
        <v>4194.2099999999991</v>
      </c>
      <c r="AT686" s="47">
        <f t="shared" si="114"/>
        <v>7409.5199999999995</v>
      </c>
      <c r="AU686" s="43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0">
        <f t="shared" si="116"/>
        <v>4338.62</v>
      </c>
      <c r="AR687" s="10">
        <f t="shared" si="117"/>
        <v>4279.5499999999993</v>
      </c>
      <c r="AS687" s="47">
        <f t="shared" si="113"/>
        <v>4470.3099999999995</v>
      </c>
      <c r="AT687" s="47">
        <f t="shared" si="114"/>
        <v>8212.7199999999993</v>
      </c>
      <c r="AU687" s="43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0">
        <f t="shared" si="116"/>
        <v>4653.2199999999993</v>
      </c>
      <c r="AR688" s="10">
        <f t="shared" si="117"/>
        <v>4656.05</v>
      </c>
      <c r="AS688" s="47">
        <f t="shared" si="113"/>
        <v>4746.41</v>
      </c>
      <c r="AT688" s="47">
        <f t="shared" si="114"/>
        <v>9015.9199999999983</v>
      </c>
      <c r="AU688" s="43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0">
        <f t="shared" si="116"/>
        <v>4967.8200000000006</v>
      </c>
      <c r="AR689" s="10">
        <f t="shared" si="117"/>
        <v>5032.55</v>
      </c>
      <c r="AS689" s="47">
        <f t="shared" si="113"/>
        <v>5022.5100000000011</v>
      </c>
      <c r="AT689" s="47">
        <f t="shared" si="114"/>
        <v>9819.1200000000008</v>
      </c>
      <c r="AU689" s="43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0">
        <f t="shared" si="116"/>
        <v>5282.420000000001</v>
      </c>
      <c r="AR690" s="10">
        <f t="shared" si="117"/>
        <v>5409.05</v>
      </c>
      <c r="AS690" s="47">
        <f t="shared" si="113"/>
        <v>5271</v>
      </c>
      <c r="AT690" s="47">
        <f t="shared" si="114"/>
        <v>10542</v>
      </c>
      <c r="AU690" s="43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0">
        <f t="shared" si="116"/>
        <v>5597.0199999999995</v>
      </c>
      <c r="AR691" s="10">
        <f t="shared" si="117"/>
        <v>5785.5499999999993</v>
      </c>
      <c r="AS691" s="47">
        <f t="shared" si="113"/>
        <v>5271</v>
      </c>
      <c r="AT691" s="47">
        <f t="shared" si="114"/>
        <v>10542</v>
      </c>
      <c r="AU691" s="43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0">
        <f t="shared" si="116"/>
        <v>5911.6200000000008</v>
      </c>
      <c r="AR692" s="10">
        <f t="shared" si="117"/>
        <v>6162.05</v>
      </c>
      <c r="AS692" s="47">
        <f t="shared" si="113"/>
        <v>5271</v>
      </c>
      <c r="AT692" s="47">
        <f t="shared" si="114"/>
        <v>10542</v>
      </c>
      <c r="AU692" s="43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0">
        <f t="shared" si="116"/>
        <v>6006</v>
      </c>
      <c r="AR693" s="10">
        <f t="shared" si="117"/>
        <v>6275</v>
      </c>
      <c r="AS693" s="47">
        <f t="shared" si="113"/>
        <v>5271</v>
      </c>
      <c r="AT693" s="47">
        <f t="shared" si="114"/>
        <v>10542</v>
      </c>
      <c r="AU693" s="43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0">
        <f t="shared" si="116"/>
        <v>6006</v>
      </c>
      <c r="AR694" s="10">
        <f t="shared" si="117"/>
        <v>6275</v>
      </c>
      <c r="AS694" s="47">
        <f t="shared" si="113"/>
        <v>5271</v>
      </c>
      <c r="AT694" s="47">
        <f t="shared" si="114"/>
        <v>10542</v>
      </c>
      <c r="AU694" s="43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0">
        <f t="shared" si="116"/>
        <v>6006</v>
      </c>
      <c r="AR695" s="10">
        <f t="shared" si="117"/>
        <v>6275</v>
      </c>
      <c r="AS695" s="47">
        <f t="shared" si="113"/>
        <v>5271</v>
      </c>
      <c r="AT695" s="47">
        <f t="shared" si="114"/>
        <v>10542</v>
      </c>
      <c r="AU695" s="43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0">
        <f t="shared" si="116"/>
        <v>3830.2910000000006</v>
      </c>
      <c r="AR696" s="10">
        <f t="shared" si="117"/>
        <v>3584.6460000000002</v>
      </c>
      <c r="AS696" s="47">
        <f t="shared" si="113"/>
        <v>4213.6380000000008</v>
      </c>
      <c r="AT696" s="47">
        <f t="shared" si="114"/>
        <v>7280.6760000000013</v>
      </c>
      <c r="AU696" s="43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0">
        <f t="shared" si="116"/>
        <v>4252.6210000000001</v>
      </c>
      <c r="AR697" s="10">
        <f t="shared" si="117"/>
        <v>4045.6259999999997</v>
      </c>
      <c r="AS697" s="47">
        <f t="shared" si="113"/>
        <v>4581.018</v>
      </c>
      <c r="AT697" s="47">
        <f t="shared" si="114"/>
        <v>8249.4360000000015</v>
      </c>
      <c r="AU697" s="43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0">
        <f t="shared" si="116"/>
        <v>4674.9509999999991</v>
      </c>
      <c r="AR698" s="10">
        <f t="shared" si="117"/>
        <v>4506.6059999999998</v>
      </c>
      <c r="AS698" s="47">
        <f t="shared" si="113"/>
        <v>4948.3980000000001</v>
      </c>
      <c r="AT698" s="47">
        <f t="shared" si="114"/>
        <v>9218.1960000000017</v>
      </c>
      <c r="AU698" s="43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0">
        <f t="shared" si="116"/>
        <v>5097.2810000000009</v>
      </c>
      <c r="AR699" s="10">
        <f t="shared" si="117"/>
        <v>4967.5860000000002</v>
      </c>
      <c r="AS699" s="47">
        <f t="shared" si="113"/>
        <v>5315.7780000000002</v>
      </c>
      <c r="AT699" s="47">
        <f t="shared" si="114"/>
        <v>10186.956000000002</v>
      </c>
      <c r="AU699" s="43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0">
        <f t="shared" si="116"/>
        <v>5519.6110000000008</v>
      </c>
      <c r="AR700" s="10">
        <f t="shared" si="117"/>
        <v>5428.5659999999998</v>
      </c>
      <c r="AS700" s="47">
        <f t="shared" si="113"/>
        <v>5683.1580000000004</v>
      </c>
      <c r="AT700" s="47">
        <f t="shared" si="114"/>
        <v>11155.716</v>
      </c>
      <c r="AU700" s="43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0">
        <f t="shared" si="116"/>
        <v>5941.9410000000007</v>
      </c>
      <c r="AR701" s="10">
        <f t="shared" si="117"/>
        <v>5889.5460000000003</v>
      </c>
      <c r="AS701" s="47">
        <f t="shared" si="113"/>
        <v>6013.8000000000011</v>
      </c>
      <c r="AT701" s="47">
        <f t="shared" si="114"/>
        <v>12027.600000000002</v>
      </c>
      <c r="AU701" s="43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0">
        <f t="shared" si="116"/>
        <v>6364.2710000000006</v>
      </c>
      <c r="AR702" s="10">
        <f t="shared" si="117"/>
        <v>6350.5260000000007</v>
      </c>
      <c r="AS702" s="47">
        <f t="shared" si="113"/>
        <v>6013.8000000000011</v>
      </c>
      <c r="AT702" s="47">
        <f t="shared" si="114"/>
        <v>12027.600000000002</v>
      </c>
      <c r="AU702" s="43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0">
        <f t="shared" si="116"/>
        <v>6786.6009999999997</v>
      </c>
      <c r="AR703" s="10">
        <f t="shared" si="117"/>
        <v>6811.5059999999994</v>
      </c>
      <c r="AS703" s="47">
        <f t="shared" si="113"/>
        <v>6013.8000000000011</v>
      </c>
      <c r="AT703" s="47">
        <f t="shared" si="114"/>
        <v>12027.600000000002</v>
      </c>
      <c r="AU703" s="43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0">
        <f t="shared" si="116"/>
        <v>6913.3000000000011</v>
      </c>
      <c r="AR704" s="10">
        <f t="shared" si="117"/>
        <v>6949.8</v>
      </c>
      <c r="AS704" s="47">
        <f t="shared" si="113"/>
        <v>6013.8000000000011</v>
      </c>
      <c r="AT704" s="47">
        <f t="shared" si="114"/>
        <v>12027.600000000002</v>
      </c>
      <c r="AU704" s="43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0">
        <f t="shared" si="116"/>
        <v>6913.3000000000011</v>
      </c>
      <c r="AR705" s="10">
        <f t="shared" si="117"/>
        <v>6949.8</v>
      </c>
      <c r="AS705" s="47">
        <f t="shared" si="113"/>
        <v>6013.8000000000011</v>
      </c>
      <c r="AT705" s="47">
        <f t="shared" si="114"/>
        <v>12027.600000000002</v>
      </c>
      <c r="AU705" s="43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0">
        <f t="shared" si="116"/>
        <v>6913.3000000000011</v>
      </c>
      <c r="AR706" s="10">
        <f t="shared" si="117"/>
        <v>6949.8</v>
      </c>
      <c r="AS706" s="47">
        <f t="shared" si="113"/>
        <v>6013.8000000000011</v>
      </c>
      <c r="AT706" s="47">
        <f t="shared" si="114"/>
        <v>12027.600000000002</v>
      </c>
      <c r="AU706" s="43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0">
        <f t="shared" si="116"/>
        <v>4524.58</v>
      </c>
      <c r="AR707" s="10">
        <f t="shared" si="117"/>
        <v>4516.2000000000007</v>
      </c>
      <c r="AS707" s="47">
        <f t="shared" ref="AS707:AS770" si="118">$AG$3*(1+$AJ707*$Y$2+$AN707)*(MAXA(1-$AI$3-$AL707*$AA$3-$AP707-0.36,0)+MINA($AI$3+$AL707*$AA$3+$AP707+0.36,1)*(1+$AH$3+$AO707+$AK707*$Z$4))</f>
        <v>4553.6400000000003</v>
      </c>
      <c r="AT707" s="47">
        <f t="shared" ref="AT707:AT770" si="119">$AG$3*(1+$AJ707*$Y$2+$AN707)*(MAXA(1-$AI$3-$AL707*$AA$3-$AP707-0.36,0)+2*MINA($AI$3+$AL707*$AA$3+$AP707+0.36,1)*(1+$AH$3+$AO707+$AK707*$Z$4))</f>
        <v>8779.68</v>
      </c>
      <c r="AU707" s="43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0">
        <f t="shared" ref="AQ708:AQ771" si="121">$AG$3*(1+$AJ708*$Y$2+$AN708+0.35)*(MAXA(1-$AI$3-$AL708*$AA$3-$AP708-0.12,0)+MINA($AI$3+$AL708*$AA$3+$AP708+0.12,1)*(1+$AH$3+$AO708+$AK708*$Z$4))</f>
        <v>4820.4800000000005</v>
      </c>
      <c r="AR708" s="10">
        <f t="shared" ref="AR708:AR771" si="122">$AG$3*(1+$AJ708*$Y$2+$AN708)*(MAXA(1-$AI$3-$AL708*$AA$3-$AP708-0.12,0)+MINA($AI$3+$AL708*$AA$3+$AP708+0.12,1)*(1+$AH$3+$AO708+$AK708*$Z$4+0.4))</f>
        <v>4867.2</v>
      </c>
      <c r="AS708" s="47">
        <f t="shared" si="118"/>
        <v>4811.04</v>
      </c>
      <c r="AT708" s="47">
        <f t="shared" si="119"/>
        <v>9528.48</v>
      </c>
      <c r="AU708" s="43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0">
        <f t="shared" si="121"/>
        <v>5116.38</v>
      </c>
      <c r="AR709" s="10">
        <f t="shared" si="122"/>
        <v>5218.2</v>
      </c>
      <c r="AS709" s="47">
        <f t="shared" si="118"/>
        <v>4914</v>
      </c>
      <c r="AT709" s="47">
        <f t="shared" si="119"/>
        <v>9828</v>
      </c>
      <c r="AU709" s="43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0">
        <f t="shared" si="121"/>
        <v>5412.28</v>
      </c>
      <c r="AR710" s="10">
        <f t="shared" si="122"/>
        <v>5569.2000000000007</v>
      </c>
      <c r="AS710" s="47">
        <f t="shared" si="118"/>
        <v>4914</v>
      </c>
      <c r="AT710" s="47">
        <f t="shared" si="119"/>
        <v>9828</v>
      </c>
      <c r="AU710" s="43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0">
        <f t="shared" si="121"/>
        <v>5649</v>
      </c>
      <c r="AR711" s="10">
        <f t="shared" si="122"/>
        <v>5850</v>
      </c>
      <c r="AS711" s="47">
        <f t="shared" si="118"/>
        <v>4914</v>
      </c>
      <c r="AT711" s="47">
        <f t="shared" si="119"/>
        <v>9828</v>
      </c>
      <c r="AU711" s="43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0">
        <f t="shared" si="121"/>
        <v>5649</v>
      </c>
      <c r="AR712" s="10">
        <f t="shared" si="122"/>
        <v>5850</v>
      </c>
      <c r="AS712" s="47">
        <f t="shared" si="118"/>
        <v>4914</v>
      </c>
      <c r="AT712" s="47">
        <f t="shared" si="119"/>
        <v>9828</v>
      </c>
      <c r="AU712" s="43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0">
        <f t="shared" si="121"/>
        <v>5649</v>
      </c>
      <c r="AR713" s="10">
        <f t="shared" si="122"/>
        <v>5850</v>
      </c>
      <c r="AS713" s="47">
        <f t="shared" si="118"/>
        <v>4914</v>
      </c>
      <c r="AT713" s="47">
        <f t="shared" si="119"/>
        <v>9828</v>
      </c>
      <c r="AU713" s="43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0">
        <f t="shared" si="121"/>
        <v>5649</v>
      </c>
      <c r="AR714" s="10">
        <f t="shared" si="122"/>
        <v>5850</v>
      </c>
      <c r="AS714" s="47">
        <f t="shared" si="118"/>
        <v>4914</v>
      </c>
      <c r="AT714" s="47">
        <f t="shared" si="119"/>
        <v>9828</v>
      </c>
      <c r="AU714" s="43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0">
        <f t="shared" si="121"/>
        <v>5649</v>
      </c>
      <c r="AR715" s="10">
        <f t="shared" si="122"/>
        <v>5850</v>
      </c>
      <c r="AS715" s="47">
        <f t="shared" si="118"/>
        <v>4914</v>
      </c>
      <c r="AT715" s="47">
        <f t="shared" si="119"/>
        <v>9828</v>
      </c>
      <c r="AU715" s="43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0">
        <f t="shared" si="121"/>
        <v>5649</v>
      </c>
      <c r="AR716" s="10">
        <f t="shared" si="122"/>
        <v>5850</v>
      </c>
      <c r="AS716" s="47">
        <f t="shared" si="118"/>
        <v>4914</v>
      </c>
      <c r="AT716" s="47">
        <f t="shared" si="119"/>
        <v>9828</v>
      </c>
      <c r="AU716" s="43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0">
        <f t="shared" si="121"/>
        <v>5649</v>
      </c>
      <c r="AR717" s="10">
        <f t="shared" si="122"/>
        <v>5850</v>
      </c>
      <c r="AS717" s="47">
        <f t="shared" si="118"/>
        <v>4914</v>
      </c>
      <c r="AT717" s="47">
        <f t="shared" si="119"/>
        <v>9828</v>
      </c>
      <c r="AU717" s="43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0">
        <f t="shared" si="121"/>
        <v>3968.8200000000006</v>
      </c>
      <c r="AR718" s="10">
        <f t="shared" si="122"/>
        <v>3807.55</v>
      </c>
      <c r="AS718" s="47">
        <f t="shared" si="118"/>
        <v>4230.3100000000004</v>
      </c>
      <c r="AT718" s="47">
        <f t="shared" si="119"/>
        <v>7132.7200000000012</v>
      </c>
      <c r="AU718" s="43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0">
        <f t="shared" si="121"/>
        <v>4305.42</v>
      </c>
      <c r="AR719" s="10">
        <f t="shared" si="122"/>
        <v>4214.05</v>
      </c>
      <c r="AS719" s="47">
        <f t="shared" si="118"/>
        <v>4528.41</v>
      </c>
      <c r="AT719" s="47">
        <f t="shared" si="119"/>
        <v>7999.92</v>
      </c>
      <c r="AU719" s="43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0">
        <f t="shared" si="121"/>
        <v>4642.0199999999995</v>
      </c>
      <c r="AR720" s="10">
        <f t="shared" si="122"/>
        <v>4620.5499999999993</v>
      </c>
      <c r="AS720" s="47">
        <f t="shared" si="118"/>
        <v>4826.5099999999993</v>
      </c>
      <c r="AT720" s="47">
        <f t="shared" si="119"/>
        <v>8867.119999999999</v>
      </c>
      <c r="AU720" s="43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0">
        <f t="shared" si="121"/>
        <v>4978.619999999999</v>
      </c>
      <c r="AR721" s="10">
        <f t="shared" si="122"/>
        <v>5027.05</v>
      </c>
      <c r="AS721" s="47">
        <f t="shared" si="118"/>
        <v>5124.6099999999997</v>
      </c>
      <c r="AT721" s="47">
        <f t="shared" si="119"/>
        <v>9734.32</v>
      </c>
      <c r="AU721" s="43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0">
        <f t="shared" si="121"/>
        <v>5315.22</v>
      </c>
      <c r="AR722" s="10">
        <f t="shared" si="122"/>
        <v>5433.5499999999993</v>
      </c>
      <c r="AS722" s="47">
        <f t="shared" si="118"/>
        <v>5422.7100000000009</v>
      </c>
      <c r="AT722" s="47">
        <f t="shared" si="119"/>
        <v>10601.52</v>
      </c>
      <c r="AU722" s="43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0">
        <f t="shared" si="121"/>
        <v>5651.8200000000006</v>
      </c>
      <c r="AR723" s="10">
        <f t="shared" si="122"/>
        <v>5840.0500000000011</v>
      </c>
      <c r="AS723" s="47">
        <f t="shared" si="118"/>
        <v>5691</v>
      </c>
      <c r="AT723" s="47">
        <f t="shared" si="119"/>
        <v>11382</v>
      </c>
      <c r="AU723" s="43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0">
        <f t="shared" si="121"/>
        <v>5988.4199999999992</v>
      </c>
      <c r="AR724" s="10">
        <f t="shared" si="122"/>
        <v>6246.5499999999993</v>
      </c>
      <c r="AS724" s="47">
        <f t="shared" si="118"/>
        <v>5691</v>
      </c>
      <c r="AT724" s="47">
        <f t="shared" si="119"/>
        <v>11382</v>
      </c>
      <c r="AU724" s="43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0">
        <f t="shared" si="121"/>
        <v>6325.02</v>
      </c>
      <c r="AR725" s="10">
        <f t="shared" si="122"/>
        <v>6653.05</v>
      </c>
      <c r="AS725" s="47">
        <f t="shared" si="118"/>
        <v>5691</v>
      </c>
      <c r="AT725" s="47">
        <f t="shared" si="119"/>
        <v>11382</v>
      </c>
      <c r="AU725" s="43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0">
        <f t="shared" si="121"/>
        <v>6426</v>
      </c>
      <c r="AR726" s="10">
        <f t="shared" si="122"/>
        <v>6775</v>
      </c>
      <c r="AS726" s="47">
        <f t="shared" si="118"/>
        <v>5691</v>
      </c>
      <c r="AT726" s="47">
        <f t="shared" si="119"/>
        <v>11382</v>
      </c>
      <c r="AU726" s="43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0">
        <f t="shared" si="121"/>
        <v>6426</v>
      </c>
      <c r="AR727" s="10">
        <f t="shared" si="122"/>
        <v>6775</v>
      </c>
      <c r="AS727" s="47">
        <f t="shared" si="118"/>
        <v>5691</v>
      </c>
      <c r="AT727" s="47">
        <f t="shared" si="119"/>
        <v>11382</v>
      </c>
      <c r="AU727" s="43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0">
        <f t="shared" si="121"/>
        <v>6426</v>
      </c>
      <c r="AR728" s="10">
        <f t="shared" si="122"/>
        <v>6775</v>
      </c>
      <c r="AS728" s="47">
        <f t="shared" si="118"/>
        <v>5691</v>
      </c>
      <c r="AT728" s="47">
        <f t="shared" si="119"/>
        <v>11382</v>
      </c>
      <c r="AU728" s="43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0">
        <f t="shared" si="121"/>
        <v>4115.0710000000008</v>
      </c>
      <c r="AR729" s="10">
        <f t="shared" si="122"/>
        <v>3891.0260000000003</v>
      </c>
      <c r="AS729" s="47">
        <f t="shared" si="118"/>
        <v>4573.7780000000002</v>
      </c>
      <c r="AT729" s="47">
        <f t="shared" si="119"/>
        <v>7902.9560000000019</v>
      </c>
      <c r="AU729" s="43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0">
        <f t="shared" si="121"/>
        <v>4568.8010000000004</v>
      </c>
      <c r="AR730" s="10">
        <f t="shared" si="122"/>
        <v>4391.4059999999999</v>
      </c>
      <c r="AS730" s="47">
        <f t="shared" si="118"/>
        <v>4972.558</v>
      </c>
      <c r="AT730" s="47">
        <f t="shared" si="119"/>
        <v>8954.5160000000014</v>
      </c>
      <c r="AU730" s="43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0">
        <f t="shared" si="121"/>
        <v>5022.530999999999</v>
      </c>
      <c r="AR731" s="10">
        <f t="shared" si="122"/>
        <v>4891.7860000000001</v>
      </c>
      <c r="AS731" s="47">
        <f t="shared" si="118"/>
        <v>5371.3379999999997</v>
      </c>
      <c r="AT731" s="47">
        <f t="shared" si="119"/>
        <v>10006.076000000001</v>
      </c>
      <c r="AU731" s="43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0">
        <f t="shared" si="121"/>
        <v>5476.2610000000004</v>
      </c>
      <c r="AR732" s="10">
        <f t="shared" si="122"/>
        <v>5392.1660000000002</v>
      </c>
      <c r="AS732" s="47">
        <f t="shared" si="118"/>
        <v>5770.1180000000004</v>
      </c>
      <c r="AT732" s="47">
        <f t="shared" si="119"/>
        <v>11057.636000000002</v>
      </c>
      <c r="AU732" s="43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0">
        <f t="shared" si="121"/>
        <v>5929.9910000000009</v>
      </c>
      <c r="AR733" s="10">
        <f t="shared" si="122"/>
        <v>5892.5460000000003</v>
      </c>
      <c r="AS733" s="47">
        <f t="shared" si="118"/>
        <v>6168.8980000000001</v>
      </c>
      <c r="AT733" s="47">
        <f t="shared" si="119"/>
        <v>12109.196</v>
      </c>
      <c r="AU733" s="43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0">
        <f t="shared" si="121"/>
        <v>6383.7210000000005</v>
      </c>
      <c r="AR734" s="10">
        <f t="shared" si="122"/>
        <v>6392.9260000000004</v>
      </c>
      <c r="AS734" s="47">
        <f t="shared" si="118"/>
        <v>6527.8000000000011</v>
      </c>
      <c r="AT734" s="47">
        <f t="shared" si="119"/>
        <v>13055.600000000002</v>
      </c>
      <c r="AU734" s="43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0">
        <f t="shared" si="121"/>
        <v>6837.4510000000009</v>
      </c>
      <c r="AR735" s="10">
        <f t="shared" si="122"/>
        <v>6893.3060000000005</v>
      </c>
      <c r="AS735" s="47">
        <f t="shared" si="118"/>
        <v>6527.8000000000011</v>
      </c>
      <c r="AT735" s="47">
        <f t="shared" si="119"/>
        <v>13055.600000000002</v>
      </c>
      <c r="AU735" s="43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0">
        <f t="shared" si="121"/>
        <v>7291.1809999999996</v>
      </c>
      <c r="AR736" s="10">
        <f t="shared" si="122"/>
        <v>7393.6859999999997</v>
      </c>
      <c r="AS736" s="47">
        <f t="shared" si="118"/>
        <v>6527.8000000000011</v>
      </c>
      <c r="AT736" s="47">
        <f t="shared" si="119"/>
        <v>13055.600000000002</v>
      </c>
      <c r="AU736" s="43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0">
        <f t="shared" si="121"/>
        <v>7427.3000000000011</v>
      </c>
      <c r="AR737" s="10">
        <f t="shared" si="122"/>
        <v>7543.8</v>
      </c>
      <c r="AS737" s="47">
        <f t="shared" si="118"/>
        <v>6527.8000000000011</v>
      </c>
      <c r="AT737" s="47">
        <f t="shared" si="119"/>
        <v>13055.600000000002</v>
      </c>
      <c r="AU737" s="43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0">
        <f t="shared" si="121"/>
        <v>7427.3000000000011</v>
      </c>
      <c r="AR738" s="10">
        <f t="shared" si="122"/>
        <v>7543.8</v>
      </c>
      <c r="AS738" s="47">
        <f t="shared" si="118"/>
        <v>6527.8000000000011</v>
      </c>
      <c r="AT738" s="47">
        <f t="shared" si="119"/>
        <v>13055.600000000002</v>
      </c>
      <c r="AU738" s="43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0">
        <f t="shared" si="121"/>
        <v>7427.3000000000011</v>
      </c>
      <c r="AR739" s="10">
        <f t="shared" si="122"/>
        <v>7543.8</v>
      </c>
      <c r="AS739" s="47">
        <f t="shared" si="118"/>
        <v>6527.8000000000011</v>
      </c>
      <c r="AT739" s="47">
        <f t="shared" si="119"/>
        <v>13055.600000000002</v>
      </c>
      <c r="AU739" s="43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0">
        <f t="shared" si="121"/>
        <v>4860.9799999999996</v>
      </c>
      <c r="AR740" s="10">
        <f t="shared" si="122"/>
        <v>4902.2000000000007</v>
      </c>
      <c r="AS740" s="47">
        <f t="shared" si="118"/>
        <v>4942.84</v>
      </c>
      <c r="AT740" s="47">
        <f t="shared" si="119"/>
        <v>9530.08</v>
      </c>
      <c r="AU740" s="43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0">
        <f t="shared" si="121"/>
        <v>5178.88</v>
      </c>
      <c r="AR741" s="10">
        <f t="shared" si="122"/>
        <v>5283.2</v>
      </c>
      <c r="AS741" s="47">
        <f t="shared" si="118"/>
        <v>5222.24</v>
      </c>
      <c r="AT741" s="47">
        <f t="shared" si="119"/>
        <v>10342.880000000001</v>
      </c>
      <c r="AU741" s="43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0">
        <f t="shared" si="121"/>
        <v>5496.78</v>
      </c>
      <c r="AR742" s="10">
        <f t="shared" si="122"/>
        <v>5664.2</v>
      </c>
      <c r="AS742" s="47">
        <f t="shared" si="118"/>
        <v>5334</v>
      </c>
      <c r="AT742" s="47">
        <f t="shared" si="119"/>
        <v>10668</v>
      </c>
      <c r="AU742" s="43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0">
        <f t="shared" si="121"/>
        <v>5814.68</v>
      </c>
      <c r="AR743" s="10">
        <f t="shared" si="122"/>
        <v>6045.2000000000007</v>
      </c>
      <c r="AS743" s="47">
        <f t="shared" si="118"/>
        <v>5334</v>
      </c>
      <c r="AT743" s="47">
        <f t="shared" si="119"/>
        <v>10668</v>
      </c>
      <c r="AU743" s="43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0">
        <f t="shared" si="121"/>
        <v>6069</v>
      </c>
      <c r="AR744" s="10">
        <f t="shared" si="122"/>
        <v>6350</v>
      </c>
      <c r="AS744" s="47">
        <f t="shared" si="118"/>
        <v>5334</v>
      </c>
      <c r="AT744" s="47">
        <f t="shared" si="119"/>
        <v>10668</v>
      </c>
      <c r="AU744" s="43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0">
        <f t="shared" si="121"/>
        <v>6069</v>
      </c>
      <c r="AR745" s="10">
        <f t="shared" si="122"/>
        <v>6350</v>
      </c>
      <c r="AS745" s="47">
        <f t="shared" si="118"/>
        <v>5334</v>
      </c>
      <c r="AT745" s="47">
        <f t="shared" si="119"/>
        <v>10668</v>
      </c>
      <c r="AU745" s="43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0">
        <f t="shared" si="121"/>
        <v>6069</v>
      </c>
      <c r="AR746" s="10">
        <f t="shared" si="122"/>
        <v>6350</v>
      </c>
      <c r="AS746" s="47">
        <f t="shared" si="118"/>
        <v>5334</v>
      </c>
      <c r="AT746" s="47">
        <f t="shared" si="119"/>
        <v>10668</v>
      </c>
      <c r="AU746" s="43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0">
        <f t="shared" si="121"/>
        <v>6069</v>
      </c>
      <c r="AR747" s="10">
        <f t="shared" si="122"/>
        <v>6350</v>
      </c>
      <c r="AS747" s="47">
        <f t="shared" si="118"/>
        <v>5334</v>
      </c>
      <c r="AT747" s="47">
        <f t="shared" si="119"/>
        <v>10668</v>
      </c>
      <c r="AU747" s="43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0">
        <f t="shared" si="121"/>
        <v>6069</v>
      </c>
      <c r="AR748" s="10">
        <f t="shared" si="122"/>
        <v>6350</v>
      </c>
      <c r="AS748" s="47">
        <f t="shared" si="118"/>
        <v>5334</v>
      </c>
      <c r="AT748" s="47">
        <f t="shared" si="119"/>
        <v>10668</v>
      </c>
      <c r="AU748" s="43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0">
        <f t="shared" si="121"/>
        <v>6069</v>
      </c>
      <c r="AR749" s="10">
        <f t="shared" si="122"/>
        <v>6350</v>
      </c>
      <c r="AS749" s="47">
        <f t="shared" si="118"/>
        <v>5334</v>
      </c>
      <c r="AT749" s="47">
        <f t="shared" si="119"/>
        <v>10668</v>
      </c>
      <c r="AU749" s="43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0">
        <f t="shared" si="121"/>
        <v>6069</v>
      </c>
      <c r="AR750" s="10">
        <f t="shared" si="122"/>
        <v>6350</v>
      </c>
      <c r="AS750" s="47">
        <f t="shared" si="118"/>
        <v>5334</v>
      </c>
      <c r="AT750" s="47">
        <f t="shared" si="119"/>
        <v>10668</v>
      </c>
      <c r="AU750" s="43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0">
        <f t="shared" si="121"/>
        <v>4228.2200000000012</v>
      </c>
      <c r="AR751" s="10">
        <f t="shared" si="122"/>
        <v>4088.55</v>
      </c>
      <c r="AS751" s="47">
        <f t="shared" si="118"/>
        <v>4542.51</v>
      </c>
      <c r="AT751" s="47">
        <f t="shared" si="119"/>
        <v>7659.1200000000017</v>
      </c>
      <c r="AU751" s="43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0">
        <f t="shared" si="121"/>
        <v>4586.8200000000006</v>
      </c>
      <c r="AR752" s="10">
        <f t="shared" si="122"/>
        <v>4525.05</v>
      </c>
      <c r="AS752" s="47">
        <f t="shared" si="118"/>
        <v>4862.6099999999997</v>
      </c>
      <c r="AT752" s="47">
        <f t="shared" si="119"/>
        <v>8590.32</v>
      </c>
      <c r="AU752" s="43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0">
        <f t="shared" si="121"/>
        <v>4945.42</v>
      </c>
      <c r="AR753" s="10">
        <f t="shared" si="122"/>
        <v>4961.5499999999993</v>
      </c>
      <c r="AS753" s="47">
        <f t="shared" si="118"/>
        <v>5182.7099999999991</v>
      </c>
      <c r="AT753" s="47">
        <f t="shared" si="119"/>
        <v>9521.5199999999986</v>
      </c>
      <c r="AU753" s="43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0">
        <f t="shared" si="121"/>
        <v>5304.02</v>
      </c>
      <c r="AR754" s="10">
        <f t="shared" si="122"/>
        <v>5398.05</v>
      </c>
      <c r="AS754" s="47">
        <f t="shared" si="118"/>
        <v>5502.81</v>
      </c>
      <c r="AT754" s="47">
        <f t="shared" si="119"/>
        <v>10452.719999999999</v>
      </c>
      <c r="AU754" s="43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0">
        <f t="shared" si="121"/>
        <v>5662.6200000000008</v>
      </c>
      <c r="AR755" s="10">
        <f t="shared" si="122"/>
        <v>5834.5499999999993</v>
      </c>
      <c r="AS755" s="47">
        <f t="shared" si="118"/>
        <v>5822.9100000000008</v>
      </c>
      <c r="AT755" s="47">
        <f t="shared" si="119"/>
        <v>11383.920000000002</v>
      </c>
      <c r="AU755" s="43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0">
        <f t="shared" si="121"/>
        <v>6021.2200000000012</v>
      </c>
      <c r="AR756" s="10">
        <f t="shared" si="122"/>
        <v>6271.0500000000011</v>
      </c>
      <c r="AS756" s="47">
        <f t="shared" si="118"/>
        <v>6111</v>
      </c>
      <c r="AT756" s="47">
        <f t="shared" si="119"/>
        <v>12222</v>
      </c>
      <c r="AU756" s="43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0">
        <f t="shared" si="121"/>
        <v>6379.8200000000006</v>
      </c>
      <c r="AR757" s="10">
        <f t="shared" si="122"/>
        <v>6707.5499999999993</v>
      </c>
      <c r="AS757" s="47">
        <f t="shared" si="118"/>
        <v>6111</v>
      </c>
      <c r="AT757" s="47">
        <f t="shared" si="119"/>
        <v>12222</v>
      </c>
      <c r="AU757" s="43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0">
        <f t="shared" si="121"/>
        <v>6738.4200000000019</v>
      </c>
      <c r="AR758" s="10">
        <f t="shared" si="122"/>
        <v>7144.05</v>
      </c>
      <c r="AS758" s="47">
        <f t="shared" si="118"/>
        <v>6111</v>
      </c>
      <c r="AT758" s="47">
        <f t="shared" si="119"/>
        <v>12222</v>
      </c>
      <c r="AU758" s="43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0">
        <f t="shared" si="121"/>
        <v>6846.0000000000009</v>
      </c>
      <c r="AR759" s="10">
        <f t="shared" si="122"/>
        <v>7275</v>
      </c>
      <c r="AS759" s="47">
        <f t="shared" si="118"/>
        <v>6111</v>
      </c>
      <c r="AT759" s="47">
        <f t="shared" si="119"/>
        <v>12222</v>
      </c>
      <c r="AU759" s="43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0">
        <f t="shared" si="121"/>
        <v>6846.0000000000009</v>
      </c>
      <c r="AR760" s="10">
        <f t="shared" si="122"/>
        <v>7275</v>
      </c>
      <c r="AS760" s="47">
        <f t="shared" si="118"/>
        <v>6111</v>
      </c>
      <c r="AT760" s="47">
        <f t="shared" si="119"/>
        <v>12222</v>
      </c>
      <c r="AU760" s="43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0">
        <f t="shared" si="121"/>
        <v>6846.0000000000009</v>
      </c>
      <c r="AR761" s="10">
        <f t="shared" si="122"/>
        <v>7275</v>
      </c>
      <c r="AS761" s="47">
        <f t="shared" si="118"/>
        <v>6111</v>
      </c>
      <c r="AT761" s="47">
        <f t="shared" si="119"/>
        <v>12222</v>
      </c>
      <c r="AU761" s="43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0">
        <f t="shared" si="121"/>
        <v>4399.8510000000015</v>
      </c>
      <c r="AR762" s="10">
        <f t="shared" si="122"/>
        <v>4197.4059999999999</v>
      </c>
      <c r="AS762" s="47">
        <f t="shared" si="118"/>
        <v>4933.9180000000006</v>
      </c>
      <c r="AT762" s="47">
        <f t="shared" si="119"/>
        <v>8525.2360000000008</v>
      </c>
      <c r="AU762" s="43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0">
        <f t="shared" si="121"/>
        <v>4884.9810000000016</v>
      </c>
      <c r="AR763" s="10">
        <f t="shared" si="122"/>
        <v>4737.1859999999997</v>
      </c>
      <c r="AS763" s="47">
        <f t="shared" si="118"/>
        <v>5364.098</v>
      </c>
      <c r="AT763" s="47">
        <f t="shared" si="119"/>
        <v>9659.5960000000014</v>
      </c>
      <c r="AU763" s="43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0">
        <f t="shared" si="121"/>
        <v>5370.1109999999999</v>
      </c>
      <c r="AR764" s="10">
        <f t="shared" si="122"/>
        <v>5276.9659999999994</v>
      </c>
      <c r="AS764" s="47">
        <f t="shared" si="118"/>
        <v>5794.2780000000002</v>
      </c>
      <c r="AT764" s="47">
        <f t="shared" si="119"/>
        <v>10793.956000000002</v>
      </c>
      <c r="AU764" s="43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0">
        <f t="shared" si="121"/>
        <v>5855.2410000000018</v>
      </c>
      <c r="AR765" s="10">
        <f t="shared" si="122"/>
        <v>5816.7460000000001</v>
      </c>
      <c r="AS765" s="47">
        <f t="shared" si="118"/>
        <v>6224.4580000000005</v>
      </c>
      <c r="AT765" s="47">
        <f t="shared" si="119"/>
        <v>11928.316000000003</v>
      </c>
      <c r="AU765" s="43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0">
        <f t="shared" si="121"/>
        <v>6340.3710000000019</v>
      </c>
      <c r="AR766" s="10">
        <f t="shared" si="122"/>
        <v>6356.5259999999998</v>
      </c>
      <c r="AS766" s="47">
        <f t="shared" si="118"/>
        <v>6654.6379999999999</v>
      </c>
      <c r="AT766" s="47">
        <f t="shared" si="119"/>
        <v>13062.676000000001</v>
      </c>
      <c r="AU766" s="43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0">
        <f t="shared" si="121"/>
        <v>6825.501000000002</v>
      </c>
      <c r="AR767" s="10">
        <f t="shared" si="122"/>
        <v>6896.3060000000005</v>
      </c>
      <c r="AS767" s="47">
        <f t="shared" si="118"/>
        <v>7041.8000000000011</v>
      </c>
      <c r="AT767" s="47">
        <f t="shared" si="119"/>
        <v>14083.600000000002</v>
      </c>
      <c r="AU767" s="43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0">
        <f t="shared" si="121"/>
        <v>7310.6310000000021</v>
      </c>
      <c r="AR768" s="10">
        <f t="shared" si="122"/>
        <v>7436.0860000000002</v>
      </c>
      <c r="AS768" s="47">
        <f t="shared" si="118"/>
        <v>7041.8000000000011</v>
      </c>
      <c r="AT768" s="47">
        <f t="shared" si="119"/>
        <v>14083.600000000002</v>
      </c>
      <c r="AU768" s="43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0">
        <f t="shared" si="121"/>
        <v>7795.7610000000013</v>
      </c>
      <c r="AR769" s="10">
        <f t="shared" si="122"/>
        <v>7975.8659999999991</v>
      </c>
      <c r="AS769" s="47">
        <f t="shared" si="118"/>
        <v>7041.8000000000011</v>
      </c>
      <c r="AT769" s="47">
        <f t="shared" si="119"/>
        <v>14083.600000000002</v>
      </c>
      <c r="AU769" s="43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0">
        <f t="shared" si="121"/>
        <v>7941.300000000002</v>
      </c>
      <c r="AR770" s="10">
        <f t="shared" si="122"/>
        <v>8137.8</v>
      </c>
      <c r="AS770" s="47">
        <f t="shared" si="118"/>
        <v>7041.8000000000011</v>
      </c>
      <c r="AT770" s="47">
        <f t="shared" si="119"/>
        <v>14083.600000000002</v>
      </c>
      <c r="AU770" s="43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0">
        <f t="shared" si="121"/>
        <v>7941.300000000002</v>
      </c>
      <c r="AR771" s="10">
        <f t="shared" si="122"/>
        <v>8137.8</v>
      </c>
      <c r="AS771" s="47">
        <f t="shared" ref="AS771:AS834" si="123">$AG$3*(1+$AJ771*$Y$2+$AN771)*(MAXA(1-$AI$3-$AL771*$AA$3-$AP771-0.36,0)+MINA($AI$3+$AL771*$AA$3+$AP771+0.36,1)*(1+$AH$3+$AO771+$AK771*$Z$4))</f>
        <v>7041.8000000000011</v>
      </c>
      <c r="AT771" s="47">
        <f t="shared" ref="AT771:AT834" si="124">$AG$3*(1+$AJ771*$Y$2+$AN771)*(MAXA(1-$AI$3-$AL771*$AA$3-$AP771-0.36,0)+2*MINA($AI$3+$AL771*$AA$3+$AP771+0.36,1)*(1+$AH$3+$AO771+$AK771*$Z$4))</f>
        <v>14083.600000000002</v>
      </c>
      <c r="AU771" s="43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0">
        <f t="shared" ref="AQ772:AQ835" si="126">$AG$3*(1+$AJ772*$Y$2+$AN772+0.35)*(MAXA(1-$AI$3-$AL772*$AA$3-$AP772-0.12,0)+MINA($AI$3+$AL772*$AA$3+$AP772+0.12,1)*(1+$AH$3+$AO772+$AK772*$Z$4))</f>
        <v>7941.300000000002</v>
      </c>
      <c r="AR772" s="10">
        <f t="shared" ref="AR772:AR835" si="127">$AG$3*(1+$AJ772*$Y$2+$AN772)*(MAXA(1-$AI$3-$AL772*$AA$3-$AP772-0.12,0)+MINA($AI$3+$AL772*$AA$3+$AP772+0.12,1)*(1+$AH$3+$AO772+$AK772*$Z$4+0.4))</f>
        <v>8137.8</v>
      </c>
      <c r="AS772" s="47">
        <f t="shared" si="123"/>
        <v>7041.8000000000011</v>
      </c>
      <c r="AT772" s="47">
        <f t="shared" si="124"/>
        <v>14083.600000000002</v>
      </c>
      <c r="AU772" s="43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0">
        <f t="shared" si="126"/>
        <v>5197.380000000001</v>
      </c>
      <c r="AR773" s="10">
        <f t="shared" si="127"/>
        <v>5288.2000000000007</v>
      </c>
      <c r="AS773" s="47">
        <f t="shared" si="123"/>
        <v>5332.0400000000009</v>
      </c>
      <c r="AT773" s="47">
        <f t="shared" si="124"/>
        <v>10280.480000000001</v>
      </c>
      <c r="AU773" s="43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0">
        <f t="shared" si="126"/>
        <v>5537.2800000000007</v>
      </c>
      <c r="AR774" s="10">
        <f t="shared" si="127"/>
        <v>5699.2</v>
      </c>
      <c r="AS774" s="47">
        <f t="shared" si="123"/>
        <v>5633.4400000000005</v>
      </c>
      <c r="AT774" s="47">
        <f t="shared" si="124"/>
        <v>11157.28</v>
      </c>
      <c r="AU774" s="43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0">
        <f t="shared" si="126"/>
        <v>5877.18</v>
      </c>
      <c r="AR775" s="10">
        <f t="shared" si="127"/>
        <v>6110.2</v>
      </c>
      <c r="AS775" s="47">
        <f t="shared" si="123"/>
        <v>5754</v>
      </c>
      <c r="AT775" s="47">
        <f t="shared" si="124"/>
        <v>11508</v>
      </c>
      <c r="AU775" s="43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0">
        <f t="shared" si="126"/>
        <v>6217.0800000000008</v>
      </c>
      <c r="AR776" s="10">
        <f t="shared" si="127"/>
        <v>6521.2000000000007</v>
      </c>
      <c r="AS776" s="47">
        <f t="shared" si="123"/>
        <v>5754</v>
      </c>
      <c r="AT776" s="47">
        <f t="shared" si="124"/>
        <v>11508</v>
      </c>
      <c r="AU776" s="43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0">
        <f t="shared" si="126"/>
        <v>6489.0000000000009</v>
      </c>
      <c r="AR777" s="10">
        <f t="shared" si="127"/>
        <v>6850</v>
      </c>
      <c r="AS777" s="47">
        <f t="shared" si="123"/>
        <v>5754</v>
      </c>
      <c r="AT777" s="47">
        <f t="shared" si="124"/>
        <v>11508</v>
      </c>
      <c r="AU777" s="43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0">
        <f t="shared" si="126"/>
        <v>6489.0000000000009</v>
      </c>
      <c r="AR778" s="10">
        <f t="shared" si="127"/>
        <v>6850</v>
      </c>
      <c r="AS778" s="47">
        <f t="shared" si="123"/>
        <v>5754</v>
      </c>
      <c r="AT778" s="47">
        <f t="shared" si="124"/>
        <v>11508</v>
      </c>
      <c r="AU778" s="43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0">
        <f t="shared" si="126"/>
        <v>6489.0000000000009</v>
      </c>
      <c r="AR779" s="10">
        <f t="shared" si="127"/>
        <v>6850</v>
      </c>
      <c r="AS779" s="47">
        <f t="shared" si="123"/>
        <v>5754</v>
      </c>
      <c r="AT779" s="47">
        <f t="shared" si="124"/>
        <v>11508</v>
      </c>
      <c r="AU779" s="43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0">
        <f t="shared" si="126"/>
        <v>6489.0000000000009</v>
      </c>
      <c r="AR780" s="10">
        <f t="shared" si="127"/>
        <v>6850</v>
      </c>
      <c r="AS780" s="47">
        <f t="shared" si="123"/>
        <v>5754</v>
      </c>
      <c r="AT780" s="47">
        <f t="shared" si="124"/>
        <v>11508</v>
      </c>
      <c r="AU780" s="43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0">
        <f t="shared" si="126"/>
        <v>6489.0000000000009</v>
      </c>
      <c r="AR781" s="10">
        <f t="shared" si="127"/>
        <v>6850</v>
      </c>
      <c r="AS781" s="47">
        <f t="shared" si="123"/>
        <v>5754</v>
      </c>
      <c r="AT781" s="47">
        <f t="shared" si="124"/>
        <v>11508</v>
      </c>
      <c r="AU781" s="43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0">
        <f t="shared" si="126"/>
        <v>6489.0000000000009</v>
      </c>
      <c r="AR782" s="10">
        <f t="shared" si="127"/>
        <v>6850</v>
      </c>
      <c r="AS782" s="47">
        <f t="shared" si="123"/>
        <v>5754</v>
      </c>
      <c r="AT782" s="47">
        <f t="shared" si="124"/>
        <v>11508</v>
      </c>
      <c r="AU782" s="43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0">
        <f t="shared" si="126"/>
        <v>6489.0000000000009</v>
      </c>
      <c r="AR783" s="10">
        <f t="shared" si="127"/>
        <v>6850</v>
      </c>
      <c r="AS783" s="47">
        <f t="shared" si="123"/>
        <v>5754</v>
      </c>
      <c r="AT783" s="47">
        <f t="shared" si="124"/>
        <v>11508</v>
      </c>
      <c r="AU783" s="43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0">
        <f t="shared" si="126"/>
        <v>4487.6200000000008</v>
      </c>
      <c r="AR784" s="10">
        <f t="shared" si="127"/>
        <v>4369.55</v>
      </c>
      <c r="AS784" s="47">
        <f t="shared" si="123"/>
        <v>4854.7100000000009</v>
      </c>
      <c r="AT784" s="47">
        <f t="shared" si="124"/>
        <v>8185.5200000000013</v>
      </c>
      <c r="AU784" s="43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0">
        <f t="shared" si="126"/>
        <v>4868.22</v>
      </c>
      <c r="AR785" s="10">
        <f t="shared" si="127"/>
        <v>4836.05</v>
      </c>
      <c r="AS785" s="47">
        <f t="shared" si="123"/>
        <v>5196.8099999999995</v>
      </c>
      <c r="AT785" s="47">
        <f t="shared" si="124"/>
        <v>9180.7199999999993</v>
      </c>
      <c r="AU785" s="43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0">
        <f t="shared" si="126"/>
        <v>5248.82</v>
      </c>
      <c r="AR786" s="10">
        <f t="shared" si="127"/>
        <v>5302.5499999999993</v>
      </c>
      <c r="AS786" s="47">
        <f t="shared" si="123"/>
        <v>5538.9099999999989</v>
      </c>
      <c r="AT786" s="47">
        <f t="shared" si="124"/>
        <v>10175.92</v>
      </c>
      <c r="AU786" s="43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0">
        <f t="shared" si="126"/>
        <v>5629.4199999999992</v>
      </c>
      <c r="AR787" s="10">
        <f t="shared" si="127"/>
        <v>5769.05</v>
      </c>
      <c r="AS787" s="47">
        <f t="shared" si="123"/>
        <v>5881.01</v>
      </c>
      <c r="AT787" s="47">
        <f t="shared" si="124"/>
        <v>11171.119999999999</v>
      </c>
      <c r="AU787" s="43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0">
        <f t="shared" si="126"/>
        <v>6010.02</v>
      </c>
      <c r="AR788" s="10">
        <f t="shared" si="127"/>
        <v>6235.5499999999993</v>
      </c>
      <c r="AS788" s="47">
        <f t="shared" si="123"/>
        <v>6223.1100000000015</v>
      </c>
      <c r="AT788" s="47">
        <f t="shared" si="124"/>
        <v>12166.320000000002</v>
      </c>
      <c r="AU788" s="43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0">
        <f t="shared" si="126"/>
        <v>6390.6200000000008</v>
      </c>
      <c r="AR789" s="10">
        <f t="shared" si="127"/>
        <v>6702.0500000000011</v>
      </c>
      <c r="AS789" s="47">
        <f t="shared" si="123"/>
        <v>6531</v>
      </c>
      <c r="AT789" s="47">
        <f t="shared" si="124"/>
        <v>13062</v>
      </c>
      <c r="AU789" s="43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0">
        <f t="shared" si="126"/>
        <v>6771.2199999999993</v>
      </c>
      <c r="AR790" s="10">
        <f t="shared" si="127"/>
        <v>7168.5499999999993</v>
      </c>
      <c r="AS790" s="47">
        <f t="shared" si="123"/>
        <v>6531</v>
      </c>
      <c r="AT790" s="47">
        <f t="shared" si="124"/>
        <v>13062</v>
      </c>
      <c r="AU790" s="43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0">
        <f t="shared" si="126"/>
        <v>7151.8200000000006</v>
      </c>
      <c r="AR791" s="10">
        <f t="shared" si="127"/>
        <v>7635.05</v>
      </c>
      <c r="AS791" s="47">
        <f t="shared" si="123"/>
        <v>6531</v>
      </c>
      <c r="AT791" s="47">
        <f t="shared" si="124"/>
        <v>13062</v>
      </c>
      <c r="AU791" s="43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0">
        <f t="shared" si="126"/>
        <v>7266</v>
      </c>
      <c r="AR792" s="10">
        <f t="shared" si="127"/>
        <v>7775</v>
      </c>
      <c r="AS792" s="47">
        <f t="shared" si="123"/>
        <v>6531</v>
      </c>
      <c r="AT792" s="47">
        <f t="shared" si="124"/>
        <v>13062</v>
      </c>
      <c r="AU792" s="43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0">
        <f t="shared" si="126"/>
        <v>7266</v>
      </c>
      <c r="AR793" s="10">
        <f t="shared" si="127"/>
        <v>7775</v>
      </c>
      <c r="AS793" s="47">
        <f t="shared" si="123"/>
        <v>6531</v>
      </c>
      <c r="AT793" s="47">
        <f t="shared" si="124"/>
        <v>13062</v>
      </c>
      <c r="AU793" s="43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0">
        <f t="shared" si="126"/>
        <v>7266</v>
      </c>
      <c r="AR794" s="10">
        <f t="shared" si="127"/>
        <v>7775</v>
      </c>
      <c r="AS794" s="47">
        <f t="shared" si="123"/>
        <v>6531</v>
      </c>
      <c r="AT794" s="47">
        <f t="shared" si="124"/>
        <v>13062</v>
      </c>
      <c r="AU794" s="43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0">
        <f t="shared" si="126"/>
        <v>3088.8110000000001</v>
      </c>
      <c r="AR795" s="10">
        <f t="shared" si="127"/>
        <v>2759.4659999999999</v>
      </c>
      <c r="AS795" s="47">
        <f t="shared" si="123"/>
        <v>3310.6979999999999</v>
      </c>
      <c r="AT795" s="47">
        <f t="shared" si="124"/>
        <v>5768.7959999999994</v>
      </c>
      <c r="AU795" s="43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0">
        <f t="shared" si="126"/>
        <v>3458.741</v>
      </c>
      <c r="AR796" s="10">
        <f t="shared" si="127"/>
        <v>3137.0459999999994</v>
      </c>
      <c r="AS796" s="47">
        <f t="shared" si="123"/>
        <v>3618.6779999999999</v>
      </c>
      <c r="AT796" s="47">
        <f t="shared" si="124"/>
        <v>6558.7559999999994</v>
      </c>
      <c r="AU796" s="43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0">
        <f t="shared" si="126"/>
        <v>3828.6709999999994</v>
      </c>
      <c r="AR797" s="10">
        <f t="shared" si="127"/>
        <v>3514.6259999999997</v>
      </c>
      <c r="AS797" s="47">
        <f t="shared" si="123"/>
        <v>3926.657999999999</v>
      </c>
      <c r="AT797" s="47">
        <f t="shared" si="124"/>
        <v>7348.7159999999985</v>
      </c>
      <c r="AU797" s="43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0">
        <f t="shared" si="126"/>
        <v>4198.6009999999997</v>
      </c>
      <c r="AR798" s="10">
        <f t="shared" si="127"/>
        <v>3892.2059999999992</v>
      </c>
      <c r="AS798" s="47">
        <f t="shared" si="123"/>
        <v>4234.637999999999</v>
      </c>
      <c r="AT798" s="47">
        <f t="shared" si="124"/>
        <v>8138.6759999999995</v>
      </c>
      <c r="AU798" s="43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0">
        <f t="shared" si="126"/>
        <v>4568.530999999999</v>
      </c>
      <c r="AR799" s="10">
        <f t="shared" si="127"/>
        <v>4269.7860000000001</v>
      </c>
      <c r="AS799" s="47">
        <f t="shared" si="123"/>
        <v>4542.6179999999995</v>
      </c>
      <c r="AT799" s="47">
        <f t="shared" si="124"/>
        <v>8928.6359999999986</v>
      </c>
      <c r="AU799" s="43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0">
        <f t="shared" si="126"/>
        <v>4938.4609999999993</v>
      </c>
      <c r="AR800" s="10">
        <f t="shared" si="127"/>
        <v>4647.3659999999991</v>
      </c>
      <c r="AS800" s="47">
        <f t="shared" si="123"/>
        <v>4819.7999999999993</v>
      </c>
      <c r="AT800" s="47">
        <f t="shared" si="124"/>
        <v>9639.5999999999985</v>
      </c>
      <c r="AU800" s="43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0">
        <f t="shared" si="126"/>
        <v>5308.3909999999987</v>
      </c>
      <c r="AR801" s="10">
        <f t="shared" si="127"/>
        <v>5024.945999999999</v>
      </c>
      <c r="AS801" s="47">
        <f t="shared" si="123"/>
        <v>4819.7999999999993</v>
      </c>
      <c r="AT801" s="47">
        <f t="shared" si="124"/>
        <v>9639.5999999999985</v>
      </c>
      <c r="AU801" s="43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0">
        <f t="shared" si="126"/>
        <v>5678.3209999999999</v>
      </c>
      <c r="AR802" s="10">
        <f t="shared" si="127"/>
        <v>5402.5259999999998</v>
      </c>
      <c r="AS802" s="47">
        <f t="shared" si="123"/>
        <v>4819.7999999999993</v>
      </c>
      <c r="AT802" s="47">
        <f t="shared" si="124"/>
        <v>9639.5999999999985</v>
      </c>
      <c r="AU802" s="43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0">
        <f t="shared" si="126"/>
        <v>5789.2999999999993</v>
      </c>
      <c r="AR803" s="10">
        <f t="shared" si="127"/>
        <v>5515.7999999999993</v>
      </c>
      <c r="AS803" s="47">
        <f t="shared" si="123"/>
        <v>4819.7999999999993</v>
      </c>
      <c r="AT803" s="47">
        <f t="shared" si="124"/>
        <v>9639.5999999999985</v>
      </c>
      <c r="AU803" s="43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0">
        <f t="shared" si="126"/>
        <v>5789.2999999999993</v>
      </c>
      <c r="AR804" s="10">
        <f t="shared" si="127"/>
        <v>5515.7999999999993</v>
      </c>
      <c r="AS804" s="47">
        <f t="shared" si="123"/>
        <v>4819.7999999999993</v>
      </c>
      <c r="AT804" s="47">
        <f t="shared" si="124"/>
        <v>9639.5999999999985</v>
      </c>
      <c r="AU804" s="43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0">
        <f t="shared" si="126"/>
        <v>5789.2999999999993</v>
      </c>
      <c r="AR805" s="10">
        <f t="shared" si="127"/>
        <v>5515.7999999999993</v>
      </c>
      <c r="AS805" s="47">
        <f t="shared" si="123"/>
        <v>4819.7999999999993</v>
      </c>
      <c r="AT805" s="47">
        <f t="shared" si="124"/>
        <v>9639.5999999999985</v>
      </c>
      <c r="AU805" s="43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0">
        <f t="shared" si="126"/>
        <v>3774.54</v>
      </c>
      <c r="AR806" s="10">
        <f t="shared" si="127"/>
        <v>3573.9599999999996</v>
      </c>
      <c r="AS806" s="47">
        <f t="shared" si="123"/>
        <v>3685.3199999999997</v>
      </c>
      <c r="AT806" s="47">
        <f t="shared" si="124"/>
        <v>7127.0399999999991</v>
      </c>
      <c r="AU806" s="43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0">
        <f t="shared" si="126"/>
        <v>4046.24</v>
      </c>
      <c r="AR807" s="10">
        <f t="shared" si="127"/>
        <v>3869.7599999999998</v>
      </c>
      <c r="AS807" s="47">
        <f t="shared" si="123"/>
        <v>3911.5199999999995</v>
      </c>
      <c r="AT807" s="47">
        <f t="shared" si="124"/>
        <v>7753.44</v>
      </c>
      <c r="AU807" s="43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0">
        <f t="shared" si="126"/>
        <v>4317.9399999999996</v>
      </c>
      <c r="AR808" s="10">
        <f t="shared" si="127"/>
        <v>4165.5599999999995</v>
      </c>
      <c r="AS808" s="47">
        <f t="shared" si="123"/>
        <v>4001.9999999999995</v>
      </c>
      <c r="AT808" s="47">
        <f t="shared" si="124"/>
        <v>8003.9999999999991</v>
      </c>
      <c r="AU808" s="43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0">
        <f t="shared" si="126"/>
        <v>4589.6400000000003</v>
      </c>
      <c r="AR809" s="10">
        <f t="shared" si="127"/>
        <v>4461.3599999999997</v>
      </c>
      <c r="AS809" s="47">
        <f t="shared" si="123"/>
        <v>4001.9999999999995</v>
      </c>
      <c r="AT809" s="47">
        <f t="shared" si="124"/>
        <v>8003.9999999999991</v>
      </c>
      <c r="AU809" s="43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0">
        <f t="shared" si="126"/>
        <v>4807</v>
      </c>
      <c r="AR810" s="10">
        <f t="shared" si="127"/>
        <v>4697.9999999999991</v>
      </c>
      <c r="AS810" s="47">
        <f t="shared" si="123"/>
        <v>4001.9999999999995</v>
      </c>
      <c r="AT810" s="47">
        <f t="shared" si="124"/>
        <v>8003.9999999999991</v>
      </c>
      <c r="AU810" s="43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0">
        <f t="shared" si="126"/>
        <v>4807</v>
      </c>
      <c r="AR811" s="10">
        <f t="shared" si="127"/>
        <v>4697.9999999999991</v>
      </c>
      <c r="AS811" s="47">
        <f t="shared" si="123"/>
        <v>4001.9999999999995</v>
      </c>
      <c r="AT811" s="47">
        <f t="shared" si="124"/>
        <v>8003.9999999999991</v>
      </c>
      <c r="AU811" s="43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0">
        <f t="shared" si="126"/>
        <v>4807</v>
      </c>
      <c r="AR812" s="10">
        <f t="shared" si="127"/>
        <v>4697.9999999999991</v>
      </c>
      <c r="AS812" s="47">
        <f t="shared" si="123"/>
        <v>4001.9999999999995</v>
      </c>
      <c r="AT812" s="47">
        <f t="shared" si="124"/>
        <v>8003.9999999999991</v>
      </c>
      <c r="AU812" s="43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0">
        <f t="shared" si="126"/>
        <v>4807</v>
      </c>
      <c r="AR813" s="10">
        <f t="shared" si="127"/>
        <v>4697.9999999999991</v>
      </c>
      <c r="AS813" s="47">
        <f t="shared" si="123"/>
        <v>4001.9999999999995</v>
      </c>
      <c r="AT813" s="47">
        <f t="shared" si="124"/>
        <v>8003.9999999999991</v>
      </c>
      <c r="AU813" s="43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0">
        <f t="shared" si="126"/>
        <v>4807</v>
      </c>
      <c r="AR814" s="10">
        <f t="shared" si="127"/>
        <v>4697.9999999999991</v>
      </c>
      <c r="AS814" s="47">
        <f t="shared" si="123"/>
        <v>4001.9999999999995</v>
      </c>
      <c r="AT814" s="47">
        <f t="shared" si="124"/>
        <v>8003.9999999999991</v>
      </c>
      <c r="AU814" s="43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0">
        <f t="shared" si="126"/>
        <v>4807</v>
      </c>
      <c r="AR815" s="10">
        <f t="shared" si="127"/>
        <v>4697.9999999999991</v>
      </c>
      <c r="AS815" s="47">
        <f t="shared" si="123"/>
        <v>4001.9999999999995</v>
      </c>
      <c r="AT815" s="47">
        <f t="shared" si="124"/>
        <v>8003.9999999999991</v>
      </c>
      <c r="AU815" s="43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0">
        <f t="shared" si="126"/>
        <v>4807</v>
      </c>
      <c r="AR816" s="10">
        <f t="shared" si="127"/>
        <v>4697.9999999999991</v>
      </c>
      <c r="AS816" s="47">
        <f t="shared" si="123"/>
        <v>4001.9999999999995</v>
      </c>
      <c r="AT816" s="47">
        <f t="shared" si="124"/>
        <v>8003.9999999999991</v>
      </c>
      <c r="AU816" s="43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0">
        <f t="shared" si="126"/>
        <v>3323.46</v>
      </c>
      <c r="AR817" s="10">
        <f t="shared" si="127"/>
        <v>3078.4900000000002</v>
      </c>
      <c r="AS817" s="47">
        <f t="shared" si="123"/>
        <v>3508.9299999999994</v>
      </c>
      <c r="AT817" s="47">
        <f t="shared" si="124"/>
        <v>5983.9599999999991</v>
      </c>
      <c r="AU817" s="43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0">
        <f t="shared" si="126"/>
        <v>3643.2599999999998</v>
      </c>
      <c r="AR818" s="10">
        <f t="shared" si="127"/>
        <v>3437.19</v>
      </c>
      <c r="AS818" s="47">
        <f t="shared" si="123"/>
        <v>3783.2299999999996</v>
      </c>
      <c r="AT818" s="47">
        <f t="shared" si="124"/>
        <v>6743.5599999999995</v>
      </c>
      <c r="AU818" s="43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0">
        <f t="shared" si="126"/>
        <v>3963.0599999999995</v>
      </c>
      <c r="AR819" s="10">
        <f t="shared" si="127"/>
        <v>3795.89</v>
      </c>
      <c r="AS819" s="47">
        <f t="shared" si="123"/>
        <v>4057.5299999999993</v>
      </c>
      <c r="AT819" s="47">
        <f t="shared" si="124"/>
        <v>7503.1599999999989</v>
      </c>
      <c r="AU819" s="43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0">
        <f t="shared" si="126"/>
        <v>4282.8599999999988</v>
      </c>
      <c r="AR820" s="10">
        <f t="shared" si="127"/>
        <v>4154.59</v>
      </c>
      <c r="AS820" s="47">
        <f t="shared" si="123"/>
        <v>4331.83</v>
      </c>
      <c r="AT820" s="47">
        <f t="shared" si="124"/>
        <v>8262.7599999999984</v>
      </c>
      <c r="AU820" s="43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0">
        <f t="shared" si="126"/>
        <v>4602.66</v>
      </c>
      <c r="AR821" s="10">
        <f t="shared" si="127"/>
        <v>4513.29</v>
      </c>
      <c r="AS821" s="47">
        <f t="shared" si="123"/>
        <v>4606.1299999999992</v>
      </c>
      <c r="AT821" s="47">
        <f t="shared" si="124"/>
        <v>9022.3599999999988</v>
      </c>
      <c r="AU821" s="43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0">
        <f t="shared" si="126"/>
        <v>4922.46</v>
      </c>
      <c r="AR822" s="10">
        <f t="shared" si="127"/>
        <v>4871.99</v>
      </c>
      <c r="AS822" s="47">
        <f t="shared" si="123"/>
        <v>4853</v>
      </c>
      <c r="AT822" s="47">
        <f t="shared" si="124"/>
        <v>9706</v>
      </c>
      <c r="AU822" s="43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0">
        <f t="shared" si="126"/>
        <v>5242.2599999999993</v>
      </c>
      <c r="AR823" s="10">
        <f t="shared" si="127"/>
        <v>5230.6899999999996</v>
      </c>
      <c r="AS823" s="47">
        <f t="shared" si="123"/>
        <v>4853</v>
      </c>
      <c r="AT823" s="47">
        <f t="shared" si="124"/>
        <v>9706</v>
      </c>
      <c r="AU823" s="43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0">
        <f t="shared" si="126"/>
        <v>5562.06</v>
      </c>
      <c r="AR824" s="10">
        <f t="shared" si="127"/>
        <v>5589.39</v>
      </c>
      <c r="AS824" s="47">
        <f t="shared" si="123"/>
        <v>4853</v>
      </c>
      <c r="AT824" s="47">
        <f t="shared" si="124"/>
        <v>9706</v>
      </c>
      <c r="AU824" s="43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0">
        <f t="shared" si="126"/>
        <v>5658</v>
      </c>
      <c r="AR825" s="10">
        <f t="shared" si="127"/>
        <v>5696.9999999999991</v>
      </c>
      <c r="AS825" s="47">
        <f t="shared" si="123"/>
        <v>4853</v>
      </c>
      <c r="AT825" s="47">
        <f t="shared" si="124"/>
        <v>9706</v>
      </c>
      <c r="AU825" s="43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0">
        <f t="shared" si="126"/>
        <v>5658</v>
      </c>
      <c r="AR826" s="10">
        <f t="shared" si="127"/>
        <v>5696.9999999999991</v>
      </c>
      <c r="AS826" s="47">
        <f t="shared" si="123"/>
        <v>4853</v>
      </c>
      <c r="AT826" s="47">
        <f t="shared" si="124"/>
        <v>9706</v>
      </c>
      <c r="AU826" s="43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0">
        <f t="shared" si="126"/>
        <v>5658</v>
      </c>
      <c r="AR827" s="10">
        <f t="shared" si="127"/>
        <v>5696.9999999999991</v>
      </c>
      <c r="AS827" s="47">
        <f t="shared" si="123"/>
        <v>4853</v>
      </c>
      <c r="AT827" s="47">
        <f t="shared" si="124"/>
        <v>9706</v>
      </c>
      <c r="AU827" s="43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0">
        <f t="shared" si="126"/>
        <v>3384.3910000000001</v>
      </c>
      <c r="AR828" s="10">
        <f t="shared" si="127"/>
        <v>3076.6459999999997</v>
      </c>
      <c r="AS828" s="47">
        <f t="shared" si="123"/>
        <v>3691.2379999999998</v>
      </c>
      <c r="AT828" s="47">
        <f t="shared" si="124"/>
        <v>6431.8759999999993</v>
      </c>
      <c r="AU828" s="43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0">
        <f t="shared" si="126"/>
        <v>3789.721</v>
      </c>
      <c r="AR829" s="10">
        <f t="shared" si="127"/>
        <v>3497.6259999999993</v>
      </c>
      <c r="AS829" s="47">
        <f t="shared" si="123"/>
        <v>4034.6179999999999</v>
      </c>
      <c r="AT829" s="47">
        <f t="shared" si="124"/>
        <v>7312.6359999999995</v>
      </c>
      <c r="AU829" s="43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0">
        <f t="shared" si="126"/>
        <v>4195.0509999999995</v>
      </c>
      <c r="AR830" s="10">
        <f t="shared" si="127"/>
        <v>3918.6059999999998</v>
      </c>
      <c r="AS830" s="47">
        <f t="shared" si="123"/>
        <v>4377.9979999999987</v>
      </c>
      <c r="AT830" s="47">
        <f t="shared" si="124"/>
        <v>8193.3959999999988</v>
      </c>
      <c r="AU830" s="43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0">
        <f t="shared" si="126"/>
        <v>4600.3809999999994</v>
      </c>
      <c r="AR831" s="10">
        <f t="shared" si="127"/>
        <v>4339.5859999999993</v>
      </c>
      <c r="AS831" s="47">
        <f t="shared" si="123"/>
        <v>4721.3779999999988</v>
      </c>
      <c r="AT831" s="47">
        <f t="shared" si="124"/>
        <v>9074.155999999999</v>
      </c>
      <c r="AU831" s="43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0">
        <f t="shared" si="126"/>
        <v>5005.7109999999993</v>
      </c>
      <c r="AR832" s="10">
        <f t="shared" si="127"/>
        <v>4760.5659999999998</v>
      </c>
      <c r="AS832" s="47">
        <f t="shared" si="123"/>
        <v>5064.7579999999989</v>
      </c>
      <c r="AT832" s="47">
        <f t="shared" si="124"/>
        <v>9954.9159999999993</v>
      </c>
      <c r="AU832" s="43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0">
        <f t="shared" si="126"/>
        <v>5411.0409999999993</v>
      </c>
      <c r="AR833" s="10">
        <f t="shared" si="127"/>
        <v>5181.5459999999994</v>
      </c>
      <c r="AS833" s="47">
        <f t="shared" si="123"/>
        <v>5373.7999999999993</v>
      </c>
      <c r="AT833" s="47">
        <f t="shared" si="124"/>
        <v>10747.599999999999</v>
      </c>
      <c r="AU833" s="43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0">
        <f t="shared" si="126"/>
        <v>5816.3709999999983</v>
      </c>
      <c r="AR834" s="10">
        <f t="shared" si="127"/>
        <v>5602.5259999999989</v>
      </c>
      <c r="AS834" s="47">
        <f t="shared" si="123"/>
        <v>5373.7999999999993</v>
      </c>
      <c r="AT834" s="47">
        <f t="shared" si="124"/>
        <v>10747.599999999999</v>
      </c>
      <c r="AU834" s="43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0">
        <f t="shared" si="126"/>
        <v>6221.701</v>
      </c>
      <c r="AR835" s="10">
        <f t="shared" si="127"/>
        <v>6023.5059999999994</v>
      </c>
      <c r="AS835" s="47">
        <f t="shared" ref="AS835:AS898" si="128">$AG$3*(1+$AJ835*$Y$2+$AN835)*(MAXA(1-$AI$3-$AL835*$AA$3-$AP835-0.36,0)+MINA($AI$3+$AL835*$AA$3+$AP835+0.36,1)*(1+$AH$3+$AO835+$AK835*$Z$4))</f>
        <v>5373.7999999999993</v>
      </c>
      <c r="AT835" s="47">
        <f t="shared" ref="AT835:AT898" si="129">$AG$3*(1+$AJ835*$Y$2+$AN835)*(MAXA(1-$AI$3-$AL835*$AA$3-$AP835-0.36,0)+2*MINA($AI$3+$AL835*$AA$3+$AP835+0.36,1)*(1+$AH$3+$AO835+$AK835*$Z$4))</f>
        <v>10747.599999999999</v>
      </c>
      <c r="AU835" s="43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0">
        <f t="shared" ref="AQ836:AQ899" si="131">$AG$3*(1+$AJ836*$Y$2+$AN836+0.35)*(MAXA(1-$AI$3-$AL836*$AA$3-$AP836-0.12,0)+MINA($AI$3+$AL836*$AA$3+$AP836+0.12,1)*(1+$AH$3+$AO836+$AK836*$Z$4))</f>
        <v>6343.2999999999993</v>
      </c>
      <c r="AR836" s="10">
        <f t="shared" ref="AR836:AR899" si="132">$AG$3*(1+$AJ836*$Y$2+$AN836)*(MAXA(1-$AI$3-$AL836*$AA$3-$AP836-0.12,0)+MINA($AI$3+$AL836*$AA$3+$AP836+0.12,1)*(1+$AH$3+$AO836+$AK836*$Z$4+0.4))</f>
        <v>6149.7999999999993</v>
      </c>
      <c r="AS836" s="47">
        <f t="shared" si="128"/>
        <v>5373.7999999999993</v>
      </c>
      <c r="AT836" s="47">
        <f t="shared" si="129"/>
        <v>10747.599999999999</v>
      </c>
      <c r="AU836" s="43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0">
        <f t="shared" si="131"/>
        <v>6343.2999999999993</v>
      </c>
      <c r="AR837" s="10">
        <f t="shared" si="132"/>
        <v>6149.7999999999993</v>
      </c>
      <c r="AS837" s="47">
        <f t="shared" si="128"/>
        <v>5373.7999999999993</v>
      </c>
      <c r="AT837" s="47">
        <f t="shared" si="129"/>
        <v>10747.599999999999</v>
      </c>
      <c r="AU837" s="43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0">
        <f t="shared" si="131"/>
        <v>6343.2999999999993</v>
      </c>
      <c r="AR838" s="10">
        <f t="shared" si="132"/>
        <v>6149.7999999999993</v>
      </c>
      <c r="AS838" s="47">
        <f t="shared" si="128"/>
        <v>5373.7999999999993</v>
      </c>
      <c r="AT838" s="47">
        <f t="shared" si="129"/>
        <v>10747.599999999999</v>
      </c>
      <c r="AU838" s="43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0">
        <f t="shared" si="131"/>
        <v>4135.74</v>
      </c>
      <c r="AR839" s="10">
        <f t="shared" si="132"/>
        <v>3984.7599999999998</v>
      </c>
      <c r="AS839" s="47">
        <f t="shared" si="128"/>
        <v>4108.92</v>
      </c>
      <c r="AT839" s="47">
        <f t="shared" si="129"/>
        <v>7946.2399999999989</v>
      </c>
      <c r="AU839" s="43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0">
        <f t="shared" si="131"/>
        <v>4433.4399999999996</v>
      </c>
      <c r="AR840" s="10">
        <f t="shared" si="132"/>
        <v>4314.5599999999995</v>
      </c>
      <c r="AS840" s="47">
        <f t="shared" si="128"/>
        <v>4361.12</v>
      </c>
      <c r="AT840" s="47">
        <f t="shared" si="129"/>
        <v>8644.64</v>
      </c>
      <c r="AU840" s="43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0">
        <f t="shared" si="131"/>
        <v>4731.1399999999994</v>
      </c>
      <c r="AR841" s="10">
        <f t="shared" si="132"/>
        <v>4644.3599999999997</v>
      </c>
      <c r="AS841" s="47">
        <f t="shared" si="128"/>
        <v>4462</v>
      </c>
      <c r="AT841" s="47">
        <f t="shared" si="129"/>
        <v>8924</v>
      </c>
      <c r="AU841" s="43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0">
        <f t="shared" si="131"/>
        <v>5028.84</v>
      </c>
      <c r="AR842" s="10">
        <f t="shared" si="132"/>
        <v>4974.16</v>
      </c>
      <c r="AS842" s="47">
        <f t="shared" si="128"/>
        <v>4462</v>
      </c>
      <c r="AT842" s="47">
        <f t="shared" si="129"/>
        <v>8924</v>
      </c>
      <c r="AU842" s="43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0">
        <f t="shared" si="131"/>
        <v>5267</v>
      </c>
      <c r="AR843" s="10">
        <f t="shared" si="132"/>
        <v>5237.9999999999991</v>
      </c>
      <c r="AS843" s="47">
        <f t="shared" si="128"/>
        <v>4462</v>
      </c>
      <c r="AT843" s="47">
        <f t="shared" si="129"/>
        <v>8924</v>
      </c>
      <c r="AU843" s="43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0">
        <f t="shared" si="131"/>
        <v>5267</v>
      </c>
      <c r="AR844" s="10">
        <f t="shared" si="132"/>
        <v>5237.9999999999991</v>
      </c>
      <c r="AS844" s="47">
        <f t="shared" si="128"/>
        <v>4462</v>
      </c>
      <c r="AT844" s="47">
        <f t="shared" si="129"/>
        <v>8924</v>
      </c>
      <c r="AU844" s="43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0">
        <f t="shared" si="131"/>
        <v>5267</v>
      </c>
      <c r="AR845" s="10">
        <f t="shared" si="132"/>
        <v>5237.9999999999991</v>
      </c>
      <c r="AS845" s="47">
        <f t="shared" si="128"/>
        <v>4462</v>
      </c>
      <c r="AT845" s="47">
        <f t="shared" si="129"/>
        <v>8924</v>
      </c>
      <c r="AU845" s="43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0">
        <f t="shared" si="131"/>
        <v>5267</v>
      </c>
      <c r="AR846" s="10">
        <f t="shared" si="132"/>
        <v>5237.9999999999991</v>
      </c>
      <c r="AS846" s="47">
        <f t="shared" si="128"/>
        <v>4462</v>
      </c>
      <c r="AT846" s="47">
        <f t="shared" si="129"/>
        <v>8924</v>
      </c>
      <c r="AU846" s="43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0">
        <f t="shared" si="131"/>
        <v>5267</v>
      </c>
      <c r="AR847" s="10">
        <f t="shared" si="132"/>
        <v>5237.9999999999991</v>
      </c>
      <c r="AS847" s="47">
        <f t="shared" si="128"/>
        <v>4462</v>
      </c>
      <c r="AT847" s="47">
        <f t="shared" si="129"/>
        <v>8924</v>
      </c>
      <c r="AU847" s="43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0">
        <f t="shared" si="131"/>
        <v>5267</v>
      </c>
      <c r="AR848" s="10">
        <f t="shared" si="132"/>
        <v>5237.9999999999991</v>
      </c>
      <c r="AS848" s="47">
        <f t="shared" si="128"/>
        <v>4462</v>
      </c>
      <c r="AT848" s="47">
        <f t="shared" si="129"/>
        <v>8924</v>
      </c>
      <c r="AU848" s="43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0">
        <f t="shared" si="131"/>
        <v>5267</v>
      </c>
      <c r="AR849" s="10">
        <f t="shared" si="132"/>
        <v>5237.9999999999991</v>
      </c>
      <c r="AS849" s="47">
        <f t="shared" si="128"/>
        <v>4462</v>
      </c>
      <c r="AT849" s="47">
        <f t="shared" si="129"/>
        <v>8924</v>
      </c>
      <c r="AU849" s="43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0">
        <f t="shared" si="131"/>
        <v>3593.66</v>
      </c>
      <c r="AR850" s="10">
        <f t="shared" si="132"/>
        <v>3370.29</v>
      </c>
      <c r="AS850" s="47">
        <f t="shared" si="128"/>
        <v>3841.5299999999997</v>
      </c>
      <c r="AT850" s="47">
        <f t="shared" si="129"/>
        <v>6551.1599999999989</v>
      </c>
      <c r="AU850" s="43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0">
        <f t="shared" si="131"/>
        <v>3939.4599999999996</v>
      </c>
      <c r="AR851" s="10">
        <f t="shared" si="132"/>
        <v>3762.99</v>
      </c>
      <c r="AS851" s="47">
        <f t="shared" si="128"/>
        <v>4141.829999999999</v>
      </c>
      <c r="AT851" s="47">
        <f t="shared" si="129"/>
        <v>7382.7599999999993</v>
      </c>
      <c r="AU851" s="43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0">
        <f t="shared" si="131"/>
        <v>4285.2599999999993</v>
      </c>
      <c r="AR852" s="10">
        <f t="shared" si="132"/>
        <v>4155.6899999999996</v>
      </c>
      <c r="AS852" s="47">
        <f t="shared" si="128"/>
        <v>4442.1299999999992</v>
      </c>
      <c r="AT852" s="47">
        <f t="shared" si="129"/>
        <v>8214.3599999999988</v>
      </c>
      <c r="AU852" s="43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0">
        <f t="shared" si="131"/>
        <v>4631.0599999999995</v>
      </c>
      <c r="AR853" s="10">
        <f t="shared" si="132"/>
        <v>4548.3899999999994</v>
      </c>
      <c r="AS853" s="47">
        <f t="shared" si="128"/>
        <v>4742.43</v>
      </c>
      <c r="AT853" s="47">
        <f t="shared" si="129"/>
        <v>9045.9599999999991</v>
      </c>
      <c r="AU853" s="43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0">
        <f t="shared" si="131"/>
        <v>4976.8599999999997</v>
      </c>
      <c r="AR854" s="10">
        <f t="shared" si="132"/>
        <v>4941.0899999999992</v>
      </c>
      <c r="AS854" s="47">
        <f t="shared" si="128"/>
        <v>5042.7299999999996</v>
      </c>
      <c r="AT854" s="47">
        <f t="shared" si="129"/>
        <v>9877.56</v>
      </c>
      <c r="AU854" s="43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0">
        <f t="shared" si="131"/>
        <v>5322.66</v>
      </c>
      <c r="AR855" s="10">
        <f t="shared" si="132"/>
        <v>5333.7899999999991</v>
      </c>
      <c r="AS855" s="47">
        <f t="shared" si="128"/>
        <v>5313</v>
      </c>
      <c r="AT855" s="47">
        <f t="shared" si="129"/>
        <v>10626</v>
      </c>
      <c r="AU855" s="43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0">
        <f t="shared" si="131"/>
        <v>5668.4599999999991</v>
      </c>
      <c r="AR856" s="10">
        <f t="shared" si="132"/>
        <v>5726.4899999999989</v>
      </c>
      <c r="AS856" s="47">
        <f t="shared" si="128"/>
        <v>5313</v>
      </c>
      <c r="AT856" s="47">
        <f t="shared" si="129"/>
        <v>10626</v>
      </c>
      <c r="AU856" s="43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0">
        <f t="shared" si="131"/>
        <v>6014.26</v>
      </c>
      <c r="AR857" s="10">
        <f t="shared" si="132"/>
        <v>6119.19</v>
      </c>
      <c r="AS857" s="47">
        <f t="shared" si="128"/>
        <v>5313</v>
      </c>
      <c r="AT857" s="47">
        <f t="shared" si="129"/>
        <v>10626</v>
      </c>
      <c r="AU857" s="43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0">
        <f t="shared" si="131"/>
        <v>6117.9999999999991</v>
      </c>
      <c r="AR858" s="10">
        <f t="shared" si="132"/>
        <v>6236.9999999999991</v>
      </c>
      <c r="AS858" s="47">
        <f t="shared" si="128"/>
        <v>5313</v>
      </c>
      <c r="AT858" s="47">
        <f t="shared" si="129"/>
        <v>10626</v>
      </c>
      <c r="AU858" s="43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0">
        <f t="shared" si="131"/>
        <v>6117.9999999999991</v>
      </c>
      <c r="AR859" s="10">
        <f t="shared" si="132"/>
        <v>6236.9999999999991</v>
      </c>
      <c r="AS859" s="47">
        <f t="shared" si="128"/>
        <v>5313</v>
      </c>
      <c r="AT859" s="47">
        <f t="shared" si="129"/>
        <v>10626</v>
      </c>
      <c r="AU859" s="43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0">
        <f t="shared" si="131"/>
        <v>6117.9999999999991</v>
      </c>
      <c r="AR860" s="10">
        <f t="shared" si="132"/>
        <v>6236.9999999999991</v>
      </c>
      <c r="AS860" s="47">
        <f t="shared" si="128"/>
        <v>5313</v>
      </c>
      <c r="AT860" s="47">
        <f t="shared" si="129"/>
        <v>10626</v>
      </c>
      <c r="AU860" s="43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0">
        <f t="shared" si="131"/>
        <v>3679.971</v>
      </c>
      <c r="AR861" s="10">
        <f t="shared" si="132"/>
        <v>3393.8259999999996</v>
      </c>
      <c r="AS861" s="47">
        <f t="shared" si="128"/>
        <v>4071.7779999999998</v>
      </c>
      <c r="AT861" s="47">
        <f t="shared" si="129"/>
        <v>7094.9559999999992</v>
      </c>
      <c r="AU861" s="43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0">
        <f t="shared" si="131"/>
        <v>4120.701</v>
      </c>
      <c r="AR862" s="10">
        <f t="shared" si="132"/>
        <v>3858.2059999999992</v>
      </c>
      <c r="AS862" s="47">
        <f t="shared" si="128"/>
        <v>4450.558</v>
      </c>
      <c r="AT862" s="47">
        <f t="shared" si="129"/>
        <v>8066.5159999999996</v>
      </c>
      <c r="AU862" s="43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0">
        <f t="shared" si="131"/>
        <v>4561.4309999999987</v>
      </c>
      <c r="AR863" s="10">
        <f t="shared" si="132"/>
        <v>4322.5859999999993</v>
      </c>
      <c r="AS863" s="47">
        <f t="shared" si="128"/>
        <v>4829.3379999999988</v>
      </c>
      <c r="AT863" s="47">
        <f t="shared" si="129"/>
        <v>9038.0759999999973</v>
      </c>
      <c r="AU863" s="43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0">
        <f t="shared" si="131"/>
        <v>5002.1609999999991</v>
      </c>
      <c r="AR864" s="10">
        <f t="shared" si="132"/>
        <v>4786.9659999999985</v>
      </c>
      <c r="AS864" s="47">
        <f t="shared" si="128"/>
        <v>5208.1179999999986</v>
      </c>
      <c r="AT864" s="47">
        <f t="shared" si="129"/>
        <v>10009.635999999999</v>
      </c>
      <c r="AU864" s="43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0">
        <f t="shared" si="131"/>
        <v>5442.8909999999996</v>
      </c>
      <c r="AR865" s="10">
        <f t="shared" si="132"/>
        <v>5251.3459999999995</v>
      </c>
      <c r="AS865" s="47">
        <f t="shared" si="128"/>
        <v>5586.8979999999992</v>
      </c>
      <c r="AT865" s="47">
        <f t="shared" si="129"/>
        <v>10981.195999999998</v>
      </c>
      <c r="AU865" s="43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0">
        <f t="shared" si="131"/>
        <v>5883.6209999999992</v>
      </c>
      <c r="AR866" s="10">
        <f t="shared" si="132"/>
        <v>5715.7259999999987</v>
      </c>
      <c r="AS866" s="47">
        <f t="shared" si="128"/>
        <v>5927.7999999999993</v>
      </c>
      <c r="AT866" s="47">
        <f t="shared" si="129"/>
        <v>11855.599999999999</v>
      </c>
      <c r="AU866" s="43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0">
        <f t="shared" si="131"/>
        <v>6324.3509999999987</v>
      </c>
      <c r="AR867" s="10">
        <f t="shared" si="132"/>
        <v>6180.1059999999979</v>
      </c>
      <c r="AS867" s="47">
        <f t="shared" si="128"/>
        <v>5927.7999999999993</v>
      </c>
      <c r="AT867" s="47">
        <f t="shared" si="129"/>
        <v>11855.599999999999</v>
      </c>
      <c r="AU867" s="43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0">
        <f t="shared" si="131"/>
        <v>6765.0810000000001</v>
      </c>
      <c r="AR868" s="10">
        <f t="shared" si="132"/>
        <v>6644.4859999999999</v>
      </c>
      <c r="AS868" s="47">
        <f t="shared" si="128"/>
        <v>5927.7999999999993</v>
      </c>
      <c r="AT868" s="47">
        <f t="shared" si="129"/>
        <v>11855.599999999999</v>
      </c>
      <c r="AU868" s="43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0">
        <f t="shared" si="131"/>
        <v>6897.2999999999993</v>
      </c>
      <c r="AR869" s="10">
        <f t="shared" si="132"/>
        <v>6783.7999999999993</v>
      </c>
      <c r="AS869" s="47">
        <f t="shared" si="128"/>
        <v>5927.7999999999993</v>
      </c>
      <c r="AT869" s="47">
        <f t="shared" si="129"/>
        <v>11855.599999999999</v>
      </c>
      <c r="AU869" s="43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0">
        <f t="shared" si="131"/>
        <v>6897.2999999999993</v>
      </c>
      <c r="AR870" s="10">
        <f t="shared" si="132"/>
        <v>6783.7999999999993</v>
      </c>
      <c r="AS870" s="47">
        <f t="shared" si="128"/>
        <v>5927.7999999999993</v>
      </c>
      <c r="AT870" s="47">
        <f t="shared" si="129"/>
        <v>11855.599999999999</v>
      </c>
      <c r="AU870" s="43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0">
        <f t="shared" si="131"/>
        <v>6897.2999999999993</v>
      </c>
      <c r="AR871" s="10">
        <f t="shared" si="132"/>
        <v>6783.7999999999993</v>
      </c>
      <c r="AS871" s="47">
        <f t="shared" si="128"/>
        <v>5927.7999999999993</v>
      </c>
      <c r="AT871" s="47">
        <f t="shared" si="129"/>
        <v>11855.599999999999</v>
      </c>
      <c r="AU871" s="43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0">
        <f t="shared" si="131"/>
        <v>4496.9400000000005</v>
      </c>
      <c r="AR872" s="10">
        <f t="shared" si="132"/>
        <v>4395.5599999999995</v>
      </c>
      <c r="AS872" s="47">
        <f t="shared" si="128"/>
        <v>4532.5199999999995</v>
      </c>
      <c r="AT872" s="47">
        <f t="shared" si="129"/>
        <v>8765.4399999999987</v>
      </c>
      <c r="AU872" s="43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0">
        <f t="shared" si="131"/>
        <v>4820.6399999999994</v>
      </c>
      <c r="AR873" s="10">
        <f t="shared" si="132"/>
        <v>4759.3599999999997</v>
      </c>
      <c r="AS873" s="47">
        <f t="shared" si="128"/>
        <v>4810.7199999999993</v>
      </c>
      <c r="AT873" s="47">
        <f t="shared" si="129"/>
        <v>9535.8399999999983</v>
      </c>
      <c r="AU873" s="43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0">
        <f t="shared" si="131"/>
        <v>5144.3399999999992</v>
      </c>
      <c r="AR874" s="10">
        <f t="shared" si="132"/>
        <v>5123.1599999999989</v>
      </c>
      <c r="AS874" s="47">
        <f t="shared" si="128"/>
        <v>4922</v>
      </c>
      <c r="AT874" s="47">
        <f t="shared" si="129"/>
        <v>9844</v>
      </c>
      <c r="AU874" s="43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0">
        <f t="shared" si="131"/>
        <v>5468.0400000000009</v>
      </c>
      <c r="AR875" s="10">
        <f t="shared" si="132"/>
        <v>5486.96</v>
      </c>
      <c r="AS875" s="47">
        <f t="shared" si="128"/>
        <v>4922</v>
      </c>
      <c r="AT875" s="47">
        <f t="shared" si="129"/>
        <v>9844</v>
      </c>
      <c r="AU875" s="43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0">
        <f t="shared" si="131"/>
        <v>5727</v>
      </c>
      <c r="AR876" s="10">
        <f t="shared" si="132"/>
        <v>5777.9999999999991</v>
      </c>
      <c r="AS876" s="47">
        <f t="shared" si="128"/>
        <v>4922</v>
      </c>
      <c r="AT876" s="47">
        <f t="shared" si="129"/>
        <v>9844</v>
      </c>
      <c r="AU876" s="43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0">
        <f t="shared" si="131"/>
        <v>5727</v>
      </c>
      <c r="AR877" s="10">
        <f t="shared" si="132"/>
        <v>5777.9999999999991</v>
      </c>
      <c r="AS877" s="47">
        <f t="shared" si="128"/>
        <v>4922</v>
      </c>
      <c r="AT877" s="47">
        <f t="shared" si="129"/>
        <v>9844</v>
      </c>
      <c r="AU877" s="43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0">
        <f t="shared" si="131"/>
        <v>5727</v>
      </c>
      <c r="AR878" s="10">
        <f t="shared" si="132"/>
        <v>5777.9999999999991</v>
      </c>
      <c r="AS878" s="47">
        <f t="shared" si="128"/>
        <v>4922</v>
      </c>
      <c r="AT878" s="47">
        <f t="shared" si="129"/>
        <v>9844</v>
      </c>
      <c r="AU878" s="43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0">
        <f t="shared" si="131"/>
        <v>5727</v>
      </c>
      <c r="AR879" s="10">
        <f t="shared" si="132"/>
        <v>5777.9999999999991</v>
      </c>
      <c r="AS879" s="47">
        <f t="shared" si="128"/>
        <v>4922</v>
      </c>
      <c r="AT879" s="47">
        <f t="shared" si="129"/>
        <v>9844</v>
      </c>
      <c r="AU879" s="43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0">
        <f t="shared" si="131"/>
        <v>5727</v>
      </c>
      <c r="AR880" s="10">
        <f t="shared" si="132"/>
        <v>5777.9999999999991</v>
      </c>
      <c r="AS880" s="47">
        <f t="shared" si="128"/>
        <v>4922</v>
      </c>
      <c r="AT880" s="47">
        <f t="shared" si="129"/>
        <v>9844</v>
      </c>
      <c r="AU880" s="43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0">
        <f t="shared" si="131"/>
        <v>5727</v>
      </c>
      <c r="AR881" s="10">
        <f t="shared" si="132"/>
        <v>5777.9999999999991</v>
      </c>
      <c r="AS881" s="47">
        <f t="shared" si="128"/>
        <v>4922</v>
      </c>
      <c r="AT881" s="47">
        <f t="shared" si="129"/>
        <v>9844</v>
      </c>
      <c r="AU881" s="43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0">
        <f t="shared" si="131"/>
        <v>5727</v>
      </c>
      <c r="AR882" s="10">
        <f t="shared" si="132"/>
        <v>5777.9999999999991</v>
      </c>
      <c r="AS882" s="47">
        <f t="shared" si="128"/>
        <v>4922</v>
      </c>
      <c r="AT882" s="47">
        <f t="shared" si="129"/>
        <v>9844</v>
      </c>
      <c r="AU882" s="43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0">
        <f t="shared" si="131"/>
        <v>3863.86</v>
      </c>
      <c r="AR883" s="10">
        <f t="shared" si="132"/>
        <v>3662.09</v>
      </c>
      <c r="AS883" s="47">
        <f t="shared" si="128"/>
        <v>4174.1299999999992</v>
      </c>
      <c r="AT883" s="47">
        <f t="shared" si="129"/>
        <v>7118.3599999999988</v>
      </c>
      <c r="AU883" s="43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0">
        <f t="shared" si="131"/>
        <v>4235.66</v>
      </c>
      <c r="AR884" s="10">
        <f t="shared" si="132"/>
        <v>4088.79</v>
      </c>
      <c r="AS884" s="47">
        <f t="shared" si="128"/>
        <v>4500.4299999999994</v>
      </c>
      <c r="AT884" s="47">
        <f t="shared" si="129"/>
        <v>8021.9599999999991</v>
      </c>
      <c r="AU884" s="43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0">
        <f t="shared" si="131"/>
        <v>4607.4599999999991</v>
      </c>
      <c r="AR885" s="10">
        <f t="shared" si="132"/>
        <v>4515.49</v>
      </c>
      <c r="AS885" s="47">
        <f t="shared" si="128"/>
        <v>4826.7299999999987</v>
      </c>
      <c r="AT885" s="47">
        <f t="shared" si="129"/>
        <v>8925.56</v>
      </c>
      <c r="AU885" s="43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0">
        <f t="shared" si="131"/>
        <v>4979.2599999999993</v>
      </c>
      <c r="AR886" s="10">
        <f t="shared" si="132"/>
        <v>4942.1899999999996</v>
      </c>
      <c r="AS886" s="47">
        <f t="shared" si="128"/>
        <v>5153.03</v>
      </c>
      <c r="AT886" s="47">
        <f t="shared" si="129"/>
        <v>9829.159999999998</v>
      </c>
      <c r="AU886" s="43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0">
        <f t="shared" si="131"/>
        <v>5351.06</v>
      </c>
      <c r="AR887" s="10">
        <f t="shared" si="132"/>
        <v>5368.8899999999994</v>
      </c>
      <c r="AS887" s="47">
        <f t="shared" si="128"/>
        <v>5479.33</v>
      </c>
      <c r="AT887" s="47">
        <f t="shared" si="129"/>
        <v>10732.76</v>
      </c>
      <c r="AU887" s="43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0">
        <f t="shared" si="131"/>
        <v>5722.86</v>
      </c>
      <c r="AR888" s="10">
        <f t="shared" si="132"/>
        <v>5795.5899999999992</v>
      </c>
      <c r="AS888" s="47">
        <f t="shared" si="128"/>
        <v>5773</v>
      </c>
      <c r="AT888" s="47">
        <f t="shared" si="129"/>
        <v>11546</v>
      </c>
      <c r="AU888" s="43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0">
        <f t="shared" si="131"/>
        <v>6094.6599999999989</v>
      </c>
      <c r="AR889" s="10">
        <f t="shared" si="132"/>
        <v>6222.2899999999991</v>
      </c>
      <c r="AS889" s="47">
        <f t="shared" si="128"/>
        <v>5773</v>
      </c>
      <c r="AT889" s="47">
        <f t="shared" si="129"/>
        <v>11546</v>
      </c>
      <c r="AU889" s="43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0">
        <f t="shared" si="131"/>
        <v>6466.46</v>
      </c>
      <c r="AR890" s="10">
        <f t="shared" si="132"/>
        <v>6648.99</v>
      </c>
      <c r="AS890" s="47">
        <f t="shared" si="128"/>
        <v>5773</v>
      </c>
      <c r="AT890" s="47">
        <f t="shared" si="129"/>
        <v>11546</v>
      </c>
      <c r="AU890" s="43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0">
        <f t="shared" si="131"/>
        <v>6577.9999999999991</v>
      </c>
      <c r="AR891" s="10">
        <f t="shared" si="132"/>
        <v>6776.9999999999991</v>
      </c>
      <c r="AS891" s="47">
        <f t="shared" si="128"/>
        <v>5773</v>
      </c>
      <c r="AT891" s="47">
        <f t="shared" si="129"/>
        <v>11546</v>
      </c>
      <c r="AU891" s="43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0">
        <f t="shared" si="131"/>
        <v>6577.9999999999991</v>
      </c>
      <c r="AR892" s="10">
        <f t="shared" si="132"/>
        <v>6776.9999999999991</v>
      </c>
      <c r="AS892" s="47">
        <f t="shared" si="128"/>
        <v>5773</v>
      </c>
      <c r="AT892" s="47">
        <f t="shared" si="129"/>
        <v>11546</v>
      </c>
      <c r="AU892" s="43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0">
        <f t="shared" si="131"/>
        <v>6577.9999999999991</v>
      </c>
      <c r="AR893" s="10">
        <f t="shared" si="132"/>
        <v>6776.9999999999991</v>
      </c>
      <c r="AS893" s="47">
        <f t="shared" si="128"/>
        <v>5773</v>
      </c>
      <c r="AT893" s="47">
        <f t="shared" si="129"/>
        <v>11546</v>
      </c>
      <c r="AU893" s="43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0">
        <f t="shared" si="131"/>
        <v>3975.5509999999999</v>
      </c>
      <c r="AR894" s="10">
        <f t="shared" si="132"/>
        <v>3711.0059999999999</v>
      </c>
      <c r="AS894" s="47">
        <f t="shared" si="128"/>
        <v>4452.3179999999993</v>
      </c>
      <c r="AT894" s="47">
        <f t="shared" si="129"/>
        <v>7758.0359999999991</v>
      </c>
      <c r="AU894" s="43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0">
        <f t="shared" si="131"/>
        <v>4451.6810000000005</v>
      </c>
      <c r="AR895" s="10">
        <f t="shared" si="132"/>
        <v>4218.7859999999991</v>
      </c>
      <c r="AS895" s="47">
        <f t="shared" si="128"/>
        <v>4866.4979999999996</v>
      </c>
      <c r="AT895" s="47">
        <f t="shared" si="129"/>
        <v>8820.3959999999988</v>
      </c>
      <c r="AU895" s="43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0">
        <f t="shared" si="131"/>
        <v>4927.8109999999988</v>
      </c>
      <c r="AR896" s="10">
        <f t="shared" si="132"/>
        <v>4726.5659999999998</v>
      </c>
      <c r="AS896" s="47">
        <f t="shared" si="128"/>
        <v>5280.677999999999</v>
      </c>
      <c r="AT896" s="47">
        <f t="shared" si="129"/>
        <v>9882.7559999999976</v>
      </c>
      <c r="AU896" s="43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0">
        <f t="shared" si="131"/>
        <v>5403.9409999999989</v>
      </c>
      <c r="AR897" s="10">
        <f t="shared" si="132"/>
        <v>5234.3459999999986</v>
      </c>
      <c r="AS897" s="47">
        <f t="shared" si="128"/>
        <v>5694.8579999999993</v>
      </c>
      <c r="AT897" s="47">
        <f t="shared" si="129"/>
        <v>10945.115999999998</v>
      </c>
      <c r="AU897" s="43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0">
        <f t="shared" si="131"/>
        <v>5880.070999999999</v>
      </c>
      <c r="AR898" s="10">
        <f t="shared" si="132"/>
        <v>5742.1260000000002</v>
      </c>
      <c r="AS898" s="47">
        <f t="shared" si="128"/>
        <v>6109.0379999999986</v>
      </c>
      <c r="AT898" s="47">
        <f t="shared" si="129"/>
        <v>12007.475999999999</v>
      </c>
      <c r="AU898" s="43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0">
        <f t="shared" si="131"/>
        <v>6356.2009999999991</v>
      </c>
      <c r="AR899" s="10">
        <f t="shared" si="132"/>
        <v>6249.905999999999</v>
      </c>
      <c r="AS899" s="47">
        <f t="shared" ref="AS899:AS962" si="133">$AG$3*(1+$AJ899*$Y$2+$AN899)*(MAXA(1-$AI$3-$AL899*$AA$3-$AP899-0.36,0)+MINA($AI$3+$AL899*$AA$3+$AP899+0.36,1)*(1+$AH$3+$AO899+$AK899*$Z$4))</f>
        <v>6481.7999999999993</v>
      </c>
      <c r="AT899" s="47">
        <f t="shared" ref="AT899:AT962" si="134">$AG$3*(1+$AJ899*$Y$2+$AN899)*(MAXA(1-$AI$3-$AL899*$AA$3-$AP899-0.36,0)+2*MINA($AI$3+$AL899*$AA$3+$AP899+0.36,1)*(1+$AH$3+$AO899+$AK899*$Z$4))</f>
        <v>12963.599999999999</v>
      </c>
      <c r="AU899" s="43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0">
        <f t="shared" ref="AQ900:AQ963" si="136">$AG$3*(1+$AJ900*$Y$2+$AN900+0.35)*(MAXA(1-$AI$3-$AL900*$AA$3-$AP900-0.12,0)+MINA($AI$3+$AL900*$AA$3+$AP900+0.12,1)*(1+$AH$3+$AO900+$AK900*$Z$4))</f>
        <v>6832.3309999999983</v>
      </c>
      <c r="AR900" s="10">
        <f t="shared" ref="AR900:AR963" si="137">$AG$3*(1+$AJ900*$Y$2+$AN900)*(MAXA(1-$AI$3-$AL900*$AA$3-$AP900-0.12,0)+MINA($AI$3+$AL900*$AA$3+$AP900+0.12,1)*(1+$AH$3+$AO900+$AK900*$Z$4+0.4))</f>
        <v>6757.6859999999979</v>
      </c>
      <c r="AS900" s="47">
        <f t="shared" si="133"/>
        <v>6481.7999999999993</v>
      </c>
      <c r="AT900" s="47">
        <f t="shared" si="134"/>
        <v>12963.599999999999</v>
      </c>
      <c r="AU900" s="43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0">
        <f t="shared" si="136"/>
        <v>7308.4609999999993</v>
      </c>
      <c r="AR901" s="10">
        <f t="shared" si="137"/>
        <v>7265.4659999999994</v>
      </c>
      <c r="AS901" s="47">
        <f t="shared" si="133"/>
        <v>6481.7999999999993</v>
      </c>
      <c r="AT901" s="47">
        <f t="shared" si="134"/>
        <v>12963.599999999999</v>
      </c>
      <c r="AU901" s="43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0">
        <f t="shared" si="136"/>
        <v>7451.2999999999993</v>
      </c>
      <c r="AR902" s="10">
        <f t="shared" si="137"/>
        <v>7417.7999999999984</v>
      </c>
      <c r="AS902" s="47">
        <f t="shared" si="133"/>
        <v>6481.7999999999993</v>
      </c>
      <c r="AT902" s="47">
        <f t="shared" si="134"/>
        <v>12963.599999999999</v>
      </c>
      <c r="AU902" s="43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0">
        <f t="shared" si="136"/>
        <v>7451.2999999999993</v>
      </c>
      <c r="AR903" s="10">
        <f t="shared" si="137"/>
        <v>7417.7999999999984</v>
      </c>
      <c r="AS903" s="47">
        <f t="shared" si="133"/>
        <v>6481.7999999999993</v>
      </c>
      <c r="AT903" s="47">
        <f t="shared" si="134"/>
        <v>12963.599999999999</v>
      </c>
      <c r="AU903" s="43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0">
        <f t="shared" si="136"/>
        <v>7451.2999999999993</v>
      </c>
      <c r="AR904" s="10">
        <f t="shared" si="137"/>
        <v>7417.7999999999984</v>
      </c>
      <c r="AS904" s="47">
        <f t="shared" si="133"/>
        <v>6481.7999999999993</v>
      </c>
      <c r="AT904" s="47">
        <f t="shared" si="134"/>
        <v>12963.599999999999</v>
      </c>
      <c r="AU904" s="43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0">
        <f t="shared" si="136"/>
        <v>4858.1400000000003</v>
      </c>
      <c r="AR905" s="10">
        <f t="shared" si="137"/>
        <v>4806.3599999999997</v>
      </c>
      <c r="AS905" s="47">
        <f t="shared" si="133"/>
        <v>4956.12</v>
      </c>
      <c r="AT905" s="47">
        <f t="shared" si="134"/>
        <v>9584.6399999999976</v>
      </c>
      <c r="AU905" s="43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0">
        <f t="shared" si="136"/>
        <v>5207.84</v>
      </c>
      <c r="AR906" s="10">
        <f t="shared" si="137"/>
        <v>5204.16</v>
      </c>
      <c r="AS906" s="47">
        <f t="shared" si="133"/>
        <v>5260.32</v>
      </c>
      <c r="AT906" s="47">
        <f t="shared" si="134"/>
        <v>10427.039999999999</v>
      </c>
      <c r="AU906" s="43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0">
        <f t="shared" si="136"/>
        <v>5557.54</v>
      </c>
      <c r="AR907" s="10">
        <f t="shared" si="137"/>
        <v>5601.9599999999991</v>
      </c>
      <c r="AS907" s="47">
        <f t="shared" si="133"/>
        <v>5382</v>
      </c>
      <c r="AT907" s="47">
        <f t="shared" si="134"/>
        <v>10764</v>
      </c>
      <c r="AU907" s="43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0">
        <f t="shared" si="136"/>
        <v>5907.2400000000007</v>
      </c>
      <c r="AR908" s="10">
        <f t="shared" si="137"/>
        <v>5999.76</v>
      </c>
      <c r="AS908" s="47">
        <f t="shared" si="133"/>
        <v>5382</v>
      </c>
      <c r="AT908" s="47">
        <f t="shared" si="134"/>
        <v>10764</v>
      </c>
      <c r="AU908" s="43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0">
        <f t="shared" si="136"/>
        <v>6186.9999999999991</v>
      </c>
      <c r="AR909" s="10">
        <f t="shared" si="137"/>
        <v>6317.9999999999991</v>
      </c>
      <c r="AS909" s="47">
        <f t="shared" si="133"/>
        <v>5382</v>
      </c>
      <c r="AT909" s="47">
        <f t="shared" si="134"/>
        <v>10764</v>
      </c>
      <c r="AU909" s="43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0">
        <f t="shared" si="136"/>
        <v>6186.9999999999991</v>
      </c>
      <c r="AR910" s="10">
        <f t="shared" si="137"/>
        <v>6317.9999999999991</v>
      </c>
      <c r="AS910" s="47">
        <f t="shared" si="133"/>
        <v>5382</v>
      </c>
      <c r="AT910" s="47">
        <f t="shared" si="134"/>
        <v>10764</v>
      </c>
      <c r="AU910" s="43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0">
        <f t="shared" si="136"/>
        <v>6186.9999999999991</v>
      </c>
      <c r="AR911" s="10">
        <f t="shared" si="137"/>
        <v>6317.9999999999991</v>
      </c>
      <c r="AS911" s="47">
        <f t="shared" si="133"/>
        <v>5382</v>
      </c>
      <c r="AT911" s="47">
        <f t="shared" si="134"/>
        <v>10764</v>
      </c>
      <c r="AU911" s="43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0">
        <f t="shared" si="136"/>
        <v>6186.9999999999991</v>
      </c>
      <c r="AR912" s="10">
        <f t="shared" si="137"/>
        <v>6317.9999999999991</v>
      </c>
      <c r="AS912" s="47">
        <f t="shared" si="133"/>
        <v>5382</v>
      </c>
      <c r="AT912" s="47">
        <f t="shared" si="134"/>
        <v>10764</v>
      </c>
      <c r="AU912" s="43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0">
        <f t="shared" si="136"/>
        <v>6186.9999999999991</v>
      </c>
      <c r="AR913" s="10">
        <f t="shared" si="137"/>
        <v>6317.9999999999991</v>
      </c>
      <c r="AS913" s="47">
        <f t="shared" si="133"/>
        <v>5382</v>
      </c>
      <c r="AT913" s="47">
        <f t="shared" si="134"/>
        <v>10764</v>
      </c>
      <c r="AU913" s="43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0">
        <f t="shared" si="136"/>
        <v>6186.9999999999991</v>
      </c>
      <c r="AR914" s="10">
        <f t="shared" si="137"/>
        <v>6317.9999999999991</v>
      </c>
      <c r="AS914" s="47">
        <f t="shared" si="133"/>
        <v>5382</v>
      </c>
      <c r="AT914" s="47">
        <f t="shared" si="134"/>
        <v>10764</v>
      </c>
      <c r="AU914" s="43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0">
        <f t="shared" si="136"/>
        <v>6186.9999999999991</v>
      </c>
      <c r="AR915" s="10">
        <f t="shared" si="137"/>
        <v>6317.9999999999991</v>
      </c>
      <c r="AS915" s="47">
        <f t="shared" si="133"/>
        <v>5382</v>
      </c>
      <c r="AT915" s="47">
        <f t="shared" si="134"/>
        <v>10764</v>
      </c>
      <c r="AU915" s="43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0">
        <f t="shared" si="136"/>
        <v>4134.0599999999995</v>
      </c>
      <c r="AR916" s="10">
        <f t="shared" si="137"/>
        <v>3953.8900000000003</v>
      </c>
      <c r="AS916" s="47">
        <f t="shared" si="133"/>
        <v>4506.7299999999996</v>
      </c>
      <c r="AT916" s="47">
        <f t="shared" si="134"/>
        <v>7685.5599999999986</v>
      </c>
      <c r="AU916" s="43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0">
        <f t="shared" si="136"/>
        <v>4531.8599999999997</v>
      </c>
      <c r="AR917" s="10">
        <f t="shared" si="137"/>
        <v>4414.59</v>
      </c>
      <c r="AS917" s="47">
        <f t="shared" si="133"/>
        <v>4859.0299999999988</v>
      </c>
      <c r="AT917" s="47">
        <f t="shared" si="134"/>
        <v>8661.16</v>
      </c>
      <c r="AU917" s="43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0">
        <f t="shared" si="136"/>
        <v>4929.6599999999989</v>
      </c>
      <c r="AR918" s="10">
        <f t="shared" si="137"/>
        <v>4875.29</v>
      </c>
      <c r="AS918" s="47">
        <f t="shared" si="133"/>
        <v>5211.329999999999</v>
      </c>
      <c r="AT918" s="47">
        <f t="shared" si="134"/>
        <v>9636.7599999999984</v>
      </c>
      <c r="AU918" s="43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0">
        <f t="shared" si="136"/>
        <v>5327.4599999999991</v>
      </c>
      <c r="AR919" s="10">
        <f t="shared" si="137"/>
        <v>5335.99</v>
      </c>
      <c r="AS919" s="47">
        <f t="shared" si="133"/>
        <v>5563.63</v>
      </c>
      <c r="AT919" s="47">
        <f t="shared" si="134"/>
        <v>10612.359999999999</v>
      </c>
      <c r="AU919" s="43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0">
        <f t="shared" si="136"/>
        <v>5725.26</v>
      </c>
      <c r="AR920" s="10">
        <f t="shared" si="137"/>
        <v>5796.69</v>
      </c>
      <c r="AS920" s="47">
        <f t="shared" si="133"/>
        <v>5915.9299999999994</v>
      </c>
      <c r="AT920" s="47">
        <f t="shared" si="134"/>
        <v>11587.96</v>
      </c>
      <c r="AU920" s="43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0">
        <f t="shared" si="136"/>
        <v>6123.0599999999995</v>
      </c>
      <c r="AR921" s="10">
        <f t="shared" si="137"/>
        <v>6257.3899999999994</v>
      </c>
      <c r="AS921" s="47">
        <f t="shared" si="133"/>
        <v>6232.9999999999991</v>
      </c>
      <c r="AT921" s="47">
        <f t="shared" si="134"/>
        <v>12465.999999999998</v>
      </c>
      <c r="AU921" s="43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0">
        <f t="shared" si="136"/>
        <v>6520.86</v>
      </c>
      <c r="AR922" s="10">
        <f t="shared" si="137"/>
        <v>6718.0899999999992</v>
      </c>
      <c r="AS922" s="47">
        <f t="shared" si="133"/>
        <v>6232.9999999999991</v>
      </c>
      <c r="AT922" s="47">
        <f t="shared" si="134"/>
        <v>12465.999999999998</v>
      </c>
      <c r="AU922" s="43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0">
        <f t="shared" si="136"/>
        <v>6918.6600000000008</v>
      </c>
      <c r="AR923" s="10">
        <f t="shared" si="137"/>
        <v>7178.79</v>
      </c>
      <c r="AS923" s="47">
        <f t="shared" si="133"/>
        <v>6232.9999999999991</v>
      </c>
      <c r="AT923" s="47">
        <f t="shared" si="134"/>
        <v>12465.999999999998</v>
      </c>
      <c r="AU923" s="43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0">
        <f t="shared" si="136"/>
        <v>7037.9999999999991</v>
      </c>
      <c r="AR924" s="10">
        <f t="shared" si="137"/>
        <v>7316.9999999999991</v>
      </c>
      <c r="AS924" s="47">
        <f t="shared" si="133"/>
        <v>6232.9999999999991</v>
      </c>
      <c r="AT924" s="47">
        <f t="shared" si="134"/>
        <v>12465.999999999998</v>
      </c>
      <c r="AU924" s="43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0">
        <f t="shared" si="136"/>
        <v>7037.9999999999991</v>
      </c>
      <c r="AR925" s="10">
        <f t="shared" si="137"/>
        <v>7316.9999999999991</v>
      </c>
      <c r="AS925" s="47">
        <f t="shared" si="133"/>
        <v>6232.9999999999991</v>
      </c>
      <c r="AT925" s="47">
        <f t="shared" si="134"/>
        <v>12465.999999999998</v>
      </c>
      <c r="AU925" s="43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0">
        <f t="shared" si="136"/>
        <v>7037.9999999999991</v>
      </c>
      <c r="AR926" s="10">
        <f t="shared" si="137"/>
        <v>7316.9999999999991</v>
      </c>
      <c r="AS926" s="47">
        <f t="shared" si="133"/>
        <v>6232.9999999999991</v>
      </c>
      <c r="AT926" s="47">
        <f t="shared" si="134"/>
        <v>12465.999999999998</v>
      </c>
      <c r="AU926" s="43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0">
        <f t="shared" si="136"/>
        <v>4271.1310000000003</v>
      </c>
      <c r="AR927" s="10">
        <f t="shared" si="137"/>
        <v>4028.1859999999997</v>
      </c>
      <c r="AS927" s="47">
        <f t="shared" si="133"/>
        <v>4832.8579999999993</v>
      </c>
      <c r="AT927" s="47">
        <f t="shared" si="134"/>
        <v>8421.1159999999982</v>
      </c>
      <c r="AU927" s="43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0">
        <f t="shared" si="136"/>
        <v>4782.6610000000001</v>
      </c>
      <c r="AR928" s="10">
        <f t="shared" si="137"/>
        <v>4579.3659999999991</v>
      </c>
      <c r="AS928" s="47">
        <f t="shared" si="133"/>
        <v>5282.4380000000001</v>
      </c>
      <c r="AT928" s="47">
        <f t="shared" si="134"/>
        <v>9574.2759999999998</v>
      </c>
      <c r="AU928" s="43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0">
        <f t="shared" si="136"/>
        <v>5294.1909999999989</v>
      </c>
      <c r="AR929" s="10">
        <f t="shared" si="137"/>
        <v>5130.5459999999994</v>
      </c>
      <c r="AS929" s="47">
        <f t="shared" si="133"/>
        <v>5732.0179999999991</v>
      </c>
      <c r="AT929" s="47">
        <f t="shared" si="134"/>
        <v>10727.435999999998</v>
      </c>
      <c r="AU929" s="43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0">
        <f t="shared" si="136"/>
        <v>5805.7209999999986</v>
      </c>
      <c r="AR930" s="10">
        <f t="shared" si="137"/>
        <v>5681.7259999999987</v>
      </c>
      <c r="AS930" s="47">
        <f t="shared" si="133"/>
        <v>6181.597999999999</v>
      </c>
      <c r="AT930" s="47">
        <f t="shared" si="134"/>
        <v>11880.596</v>
      </c>
      <c r="AU930" s="43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0">
        <f t="shared" si="136"/>
        <v>6317.2509999999993</v>
      </c>
      <c r="AR931" s="10">
        <f t="shared" si="137"/>
        <v>6232.9059999999999</v>
      </c>
      <c r="AS931" s="47">
        <f t="shared" si="133"/>
        <v>6631.177999999999</v>
      </c>
      <c r="AT931" s="47">
        <f t="shared" si="134"/>
        <v>13033.755999999998</v>
      </c>
      <c r="AU931" s="43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0">
        <f t="shared" si="136"/>
        <v>6828.780999999999</v>
      </c>
      <c r="AR932" s="10">
        <f t="shared" si="137"/>
        <v>6784.0859999999993</v>
      </c>
      <c r="AS932" s="47">
        <f t="shared" si="133"/>
        <v>7035.7999999999993</v>
      </c>
      <c r="AT932" s="47">
        <f t="shared" si="134"/>
        <v>14071.599999999999</v>
      </c>
      <c r="AU932" s="43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0">
        <f t="shared" si="136"/>
        <v>7340.3109999999979</v>
      </c>
      <c r="AR933" s="10">
        <f t="shared" si="137"/>
        <v>7335.2659999999978</v>
      </c>
      <c r="AS933" s="47">
        <f t="shared" si="133"/>
        <v>7035.7999999999993</v>
      </c>
      <c r="AT933" s="47">
        <f t="shared" si="134"/>
        <v>14071.599999999999</v>
      </c>
      <c r="AU933" s="43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0">
        <f t="shared" si="136"/>
        <v>7851.8409999999994</v>
      </c>
      <c r="AR934" s="10">
        <f t="shared" si="137"/>
        <v>7886.445999999999</v>
      </c>
      <c r="AS934" s="47">
        <f t="shared" si="133"/>
        <v>7035.7999999999993</v>
      </c>
      <c r="AT934" s="47">
        <f t="shared" si="134"/>
        <v>14071.599999999999</v>
      </c>
      <c r="AU934" s="43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0">
        <f t="shared" si="136"/>
        <v>8005.2999999999984</v>
      </c>
      <c r="AR935" s="10">
        <f t="shared" si="137"/>
        <v>8051.7999999999984</v>
      </c>
      <c r="AS935" s="47">
        <f t="shared" si="133"/>
        <v>7035.7999999999993</v>
      </c>
      <c r="AT935" s="47">
        <f t="shared" si="134"/>
        <v>14071.599999999999</v>
      </c>
      <c r="AU935" s="43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0">
        <f t="shared" si="136"/>
        <v>8005.2999999999984</v>
      </c>
      <c r="AR936" s="10">
        <f t="shared" si="137"/>
        <v>8051.7999999999984</v>
      </c>
      <c r="AS936" s="47">
        <f t="shared" si="133"/>
        <v>7035.7999999999993</v>
      </c>
      <c r="AT936" s="47">
        <f t="shared" si="134"/>
        <v>14071.599999999999</v>
      </c>
      <c r="AU936" s="43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0">
        <f t="shared" si="136"/>
        <v>8005.2999999999984</v>
      </c>
      <c r="AR937" s="10">
        <f t="shared" si="137"/>
        <v>8051.7999999999984</v>
      </c>
      <c r="AS937" s="47">
        <f t="shared" si="133"/>
        <v>7035.7999999999993</v>
      </c>
      <c r="AT937" s="47">
        <f t="shared" si="134"/>
        <v>14071.599999999999</v>
      </c>
      <c r="AU937" s="43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0">
        <f t="shared" si="136"/>
        <v>5219.34</v>
      </c>
      <c r="AR938" s="10">
        <f t="shared" si="137"/>
        <v>5217.16</v>
      </c>
      <c r="AS938" s="47">
        <f t="shared" si="133"/>
        <v>5379.7199999999993</v>
      </c>
      <c r="AT938" s="47">
        <f t="shared" si="134"/>
        <v>10403.839999999998</v>
      </c>
      <c r="AU938" s="43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0">
        <f t="shared" si="136"/>
        <v>5595.04</v>
      </c>
      <c r="AR939" s="10">
        <f t="shared" si="137"/>
        <v>5648.9599999999991</v>
      </c>
      <c r="AS939" s="47">
        <f t="shared" si="133"/>
        <v>5709.9199999999992</v>
      </c>
      <c r="AT939" s="47">
        <f t="shared" si="134"/>
        <v>11318.239999999998</v>
      </c>
      <c r="AU939" s="43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0">
        <f t="shared" si="136"/>
        <v>5970.74</v>
      </c>
      <c r="AR940" s="10">
        <f t="shared" si="137"/>
        <v>6080.7599999999993</v>
      </c>
      <c r="AS940" s="47">
        <f t="shared" si="133"/>
        <v>5842</v>
      </c>
      <c r="AT940" s="47">
        <f t="shared" si="134"/>
        <v>11684</v>
      </c>
      <c r="AU940" s="43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0">
        <f t="shared" si="136"/>
        <v>6346.4400000000005</v>
      </c>
      <c r="AR941" s="10">
        <f t="shared" si="137"/>
        <v>6512.56</v>
      </c>
      <c r="AS941" s="47">
        <f t="shared" si="133"/>
        <v>5842</v>
      </c>
      <c r="AT941" s="47">
        <f t="shared" si="134"/>
        <v>11684</v>
      </c>
      <c r="AU941" s="43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0">
        <f t="shared" si="136"/>
        <v>6646.9999999999991</v>
      </c>
      <c r="AR942" s="10">
        <f t="shared" si="137"/>
        <v>6857.9999999999991</v>
      </c>
      <c r="AS942" s="47">
        <f t="shared" si="133"/>
        <v>5842</v>
      </c>
      <c r="AT942" s="47">
        <f t="shared" si="134"/>
        <v>11684</v>
      </c>
      <c r="AU942" s="43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0">
        <f t="shared" si="136"/>
        <v>6646.9999999999991</v>
      </c>
      <c r="AR943" s="10">
        <f t="shared" si="137"/>
        <v>6857.9999999999991</v>
      </c>
      <c r="AS943" s="47">
        <f t="shared" si="133"/>
        <v>5842</v>
      </c>
      <c r="AT943" s="47">
        <f t="shared" si="134"/>
        <v>11684</v>
      </c>
      <c r="AU943" s="43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0">
        <f t="shared" si="136"/>
        <v>6646.9999999999991</v>
      </c>
      <c r="AR944" s="10">
        <f t="shared" si="137"/>
        <v>6857.9999999999991</v>
      </c>
      <c r="AS944" s="47">
        <f t="shared" si="133"/>
        <v>5842</v>
      </c>
      <c r="AT944" s="47">
        <f t="shared" si="134"/>
        <v>11684</v>
      </c>
      <c r="AU944" s="43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0">
        <f t="shared" si="136"/>
        <v>6646.9999999999991</v>
      </c>
      <c r="AR945" s="10">
        <f t="shared" si="137"/>
        <v>6857.9999999999991</v>
      </c>
      <c r="AS945" s="47">
        <f t="shared" si="133"/>
        <v>5842</v>
      </c>
      <c r="AT945" s="47">
        <f t="shared" si="134"/>
        <v>11684</v>
      </c>
      <c r="AU945" s="43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0">
        <f t="shared" si="136"/>
        <v>6646.9999999999991</v>
      </c>
      <c r="AR946" s="10">
        <f t="shared" si="137"/>
        <v>6857.9999999999991</v>
      </c>
      <c r="AS946" s="47">
        <f t="shared" si="133"/>
        <v>5842</v>
      </c>
      <c r="AT946" s="47">
        <f t="shared" si="134"/>
        <v>11684</v>
      </c>
      <c r="AU946" s="43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0">
        <f t="shared" si="136"/>
        <v>6646.9999999999991</v>
      </c>
      <c r="AR947" s="10">
        <f t="shared" si="137"/>
        <v>6857.9999999999991</v>
      </c>
      <c r="AS947" s="47">
        <f t="shared" si="133"/>
        <v>5842</v>
      </c>
      <c r="AT947" s="47">
        <f t="shared" si="134"/>
        <v>11684</v>
      </c>
      <c r="AU947" s="43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0">
        <f t="shared" si="136"/>
        <v>6646.9999999999991</v>
      </c>
      <c r="AR948" s="10">
        <f t="shared" si="137"/>
        <v>6857.9999999999991</v>
      </c>
      <c r="AS948" s="47">
        <f t="shared" si="133"/>
        <v>5842</v>
      </c>
      <c r="AT948" s="47">
        <f t="shared" si="134"/>
        <v>11684</v>
      </c>
      <c r="AU948" s="43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0">
        <f t="shared" si="136"/>
        <v>4404.26</v>
      </c>
      <c r="AR949" s="10">
        <f t="shared" si="137"/>
        <v>4245.6900000000005</v>
      </c>
      <c r="AS949" s="47">
        <f t="shared" si="133"/>
        <v>4839.329999999999</v>
      </c>
      <c r="AT949" s="47">
        <f t="shared" si="134"/>
        <v>8252.7599999999984</v>
      </c>
      <c r="AU949" s="43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0">
        <f t="shared" si="136"/>
        <v>4828.0600000000004</v>
      </c>
      <c r="AR950" s="10">
        <f t="shared" si="137"/>
        <v>4740.3900000000003</v>
      </c>
      <c r="AS950" s="47">
        <f t="shared" si="133"/>
        <v>5217.6299999999992</v>
      </c>
      <c r="AT950" s="47">
        <f t="shared" si="134"/>
        <v>9300.3599999999988</v>
      </c>
      <c r="AU950" s="43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0">
        <f t="shared" si="136"/>
        <v>5251.86</v>
      </c>
      <c r="AR951" s="10">
        <f t="shared" si="137"/>
        <v>5235.09</v>
      </c>
      <c r="AS951" s="47">
        <f t="shared" si="133"/>
        <v>5595.9299999999985</v>
      </c>
      <c r="AT951" s="47">
        <f t="shared" si="134"/>
        <v>10347.959999999999</v>
      </c>
      <c r="AU951" s="43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0">
        <f t="shared" si="136"/>
        <v>5675.66</v>
      </c>
      <c r="AR952" s="10">
        <f t="shared" si="137"/>
        <v>5729.79</v>
      </c>
      <c r="AS952" s="47">
        <f t="shared" si="133"/>
        <v>5974.23</v>
      </c>
      <c r="AT952" s="47">
        <f t="shared" si="134"/>
        <v>11395.559999999998</v>
      </c>
      <c r="AU952" s="43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0">
        <f t="shared" si="136"/>
        <v>6099.4600000000009</v>
      </c>
      <c r="AR953" s="10">
        <f t="shared" si="137"/>
        <v>6224.49</v>
      </c>
      <c r="AS953" s="47">
        <f t="shared" si="133"/>
        <v>6352.53</v>
      </c>
      <c r="AT953" s="47">
        <f t="shared" si="134"/>
        <v>12443.16</v>
      </c>
      <c r="AU953" s="43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0">
        <f t="shared" si="136"/>
        <v>6523.26</v>
      </c>
      <c r="AR954" s="10">
        <f t="shared" si="137"/>
        <v>6719.19</v>
      </c>
      <c r="AS954" s="47">
        <f t="shared" si="133"/>
        <v>6692.9999999999991</v>
      </c>
      <c r="AT954" s="47">
        <f t="shared" si="134"/>
        <v>13385.999999999998</v>
      </c>
      <c r="AU954" s="43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0">
        <f t="shared" si="136"/>
        <v>6947.06</v>
      </c>
      <c r="AR955" s="10">
        <f t="shared" si="137"/>
        <v>7213.8899999999994</v>
      </c>
      <c r="AS955" s="47">
        <f t="shared" si="133"/>
        <v>6692.9999999999991</v>
      </c>
      <c r="AT955" s="47">
        <f t="shared" si="134"/>
        <v>13385.999999999998</v>
      </c>
      <c r="AU955" s="43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0">
        <f t="shared" si="136"/>
        <v>7370.8600000000015</v>
      </c>
      <c r="AR956" s="10">
        <f t="shared" si="137"/>
        <v>7708.59</v>
      </c>
      <c r="AS956" s="47">
        <f t="shared" si="133"/>
        <v>6692.9999999999991</v>
      </c>
      <c r="AT956" s="47">
        <f t="shared" si="134"/>
        <v>13385.999999999998</v>
      </c>
      <c r="AU956" s="43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0">
        <f t="shared" si="136"/>
        <v>7498.0000000000009</v>
      </c>
      <c r="AR957" s="10">
        <f t="shared" si="137"/>
        <v>7856.9999999999991</v>
      </c>
      <c r="AS957" s="47">
        <f t="shared" si="133"/>
        <v>6692.9999999999991</v>
      </c>
      <c r="AT957" s="47">
        <f t="shared" si="134"/>
        <v>13385.999999999998</v>
      </c>
      <c r="AU957" s="43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0">
        <f t="shared" si="136"/>
        <v>7498.0000000000009</v>
      </c>
      <c r="AR958" s="10">
        <f t="shared" si="137"/>
        <v>7856.9999999999991</v>
      </c>
      <c r="AS958" s="47">
        <f t="shared" si="133"/>
        <v>6692.9999999999991</v>
      </c>
      <c r="AT958" s="47">
        <f t="shared" si="134"/>
        <v>13385.999999999998</v>
      </c>
      <c r="AU958" s="43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0">
        <f t="shared" si="136"/>
        <v>7498.0000000000009</v>
      </c>
      <c r="AR959" s="10">
        <f t="shared" si="137"/>
        <v>7856.9999999999991</v>
      </c>
      <c r="AS959" s="47">
        <f t="shared" si="133"/>
        <v>6692.9999999999991</v>
      </c>
      <c r="AT959" s="47">
        <f t="shared" si="134"/>
        <v>13385.999999999998</v>
      </c>
      <c r="AU959" s="43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0">
        <f t="shared" si="136"/>
        <v>4566.7110000000002</v>
      </c>
      <c r="AR960" s="10">
        <f t="shared" si="137"/>
        <v>4345.366</v>
      </c>
      <c r="AS960" s="47">
        <f t="shared" si="133"/>
        <v>5213.3979999999992</v>
      </c>
      <c r="AT960" s="47">
        <f t="shared" si="134"/>
        <v>9084.1959999999981</v>
      </c>
      <c r="AU960" s="43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0">
        <f t="shared" si="136"/>
        <v>5113.6410000000005</v>
      </c>
      <c r="AR961" s="10">
        <f t="shared" si="137"/>
        <v>4939.945999999999</v>
      </c>
      <c r="AS961" s="47">
        <f t="shared" si="133"/>
        <v>5698.3779999999997</v>
      </c>
      <c r="AT961" s="47">
        <f t="shared" si="134"/>
        <v>10328.155999999999</v>
      </c>
      <c r="AU961" s="43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0">
        <f t="shared" si="136"/>
        <v>5660.5709999999999</v>
      </c>
      <c r="AR962" s="10">
        <f t="shared" si="137"/>
        <v>5534.5259999999998</v>
      </c>
      <c r="AS962" s="47">
        <f t="shared" si="133"/>
        <v>6183.3579999999984</v>
      </c>
      <c r="AT962" s="47">
        <f t="shared" si="134"/>
        <v>11572.115999999996</v>
      </c>
      <c r="AU962" s="43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0">
        <f t="shared" si="136"/>
        <v>6207.5010000000002</v>
      </c>
      <c r="AR963" s="10">
        <f t="shared" si="137"/>
        <v>6129.1059999999989</v>
      </c>
      <c r="AS963" s="47">
        <f t="shared" ref="AS963:AS1026" si="138">$AG$3*(1+$AJ963*$Y$2+$AN963)*(MAXA(1-$AI$3-$AL963*$AA$3-$AP963-0.36,0)+MINA($AI$3+$AL963*$AA$3+$AP963+0.36,1)*(1+$AH$3+$AO963+$AK963*$Z$4))</f>
        <v>6668.3379999999988</v>
      </c>
      <c r="AT963" s="47">
        <f t="shared" ref="AT963:AT1026" si="139">$AG$3*(1+$AJ963*$Y$2+$AN963)*(MAXA(1-$AI$3-$AL963*$AA$3-$AP963-0.36,0)+2*MINA($AI$3+$AL963*$AA$3+$AP963+0.36,1)*(1+$AH$3+$AO963+$AK963*$Z$4))</f>
        <v>12816.075999999999</v>
      </c>
      <c r="AU963" s="43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0">
        <f t="shared" ref="AQ964:AQ1027" si="141">$AG$3*(1+$AJ964*$Y$2+$AN964+0.35)*(MAXA(1-$AI$3-$AL964*$AA$3-$AP964-0.12,0)+MINA($AI$3+$AL964*$AA$3+$AP964+0.12,1)*(1+$AH$3+$AO964+$AK964*$Z$4))</f>
        <v>6754.4310000000005</v>
      </c>
      <c r="AR964" s="10">
        <f t="shared" ref="AR964:AR1027" si="142">$AG$3*(1+$AJ964*$Y$2+$AN964)*(MAXA(1-$AI$3-$AL964*$AA$3-$AP964-0.12,0)+MINA($AI$3+$AL964*$AA$3+$AP964+0.12,1)*(1+$AH$3+$AO964+$AK964*$Z$4+0.4))</f>
        <v>6723.6859999999997</v>
      </c>
      <c r="AS964" s="47">
        <f t="shared" si="138"/>
        <v>7153.3179999999984</v>
      </c>
      <c r="AT964" s="47">
        <f t="shared" si="139"/>
        <v>14060.035999999998</v>
      </c>
      <c r="AU964" s="43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0">
        <f t="shared" si="141"/>
        <v>7301.3610000000008</v>
      </c>
      <c r="AR965" s="10">
        <f t="shared" si="142"/>
        <v>7318.2659999999987</v>
      </c>
      <c r="AS965" s="47">
        <f t="shared" si="138"/>
        <v>7589.7999999999993</v>
      </c>
      <c r="AT965" s="47">
        <f t="shared" si="139"/>
        <v>15179.599999999999</v>
      </c>
      <c r="AU965" s="43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0">
        <f t="shared" si="141"/>
        <v>7848.2909999999993</v>
      </c>
      <c r="AR966" s="10">
        <f t="shared" si="142"/>
        <v>7912.8459999999977</v>
      </c>
      <c r="AS966" s="47">
        <f t="shared" si="138"/>
        <v>7589.7999999999993</v>
      </c>
      <c r="AT966" s="47">
        <f t="shared" si="139"/>
        <v>15179.599999999999</v>
      </c>
      <c r="AU966" s="43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0">
        <f t="shared" si="141"/>
        <v>8395.2210000000014</v>
      </c>
      <c r="AR967" s="10">
        <f t="shared" si="142"/>
        <v>8507.4259999999995</v>
      </c>
      <c r="AS967" s="47">
        <f t="shared" si="138"/>
        <v>7589.7999999999993</v>
      </c>
      <c r="AT967" s="47">
        <f t="shared" si="139"/>
        <v>15179.599999999999</v>
      </c>
      <c r="AU967" s="43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0">
        <f t="shared" si="141"/>
        <v>8559.2999999999993</v>
      </c>
      <c r="AR968" s="10">
        <f t="shared" si="142"/>
        <v>8685.7999999999993</v>
      </c>
      <c r="AS968" s="47">
        <f t="shared" si="138"/>
        <v>7589.7999999999993</v>
      </c>
      <c r="AT968" s="47">
        <f t="shared" si="139"/>
        <v>15179.599999999999</v>
      </c>
      <c r="AU968" s="43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0">
        <f t="shared" si="141"/>
        <v>8559.2999999999993</v>
      </c>
      <c r="AR969" s="10">
        <f t="shared" si="142"/>
        <v>8685.7999999999993</v>
      </c>
      <c r="AS969" s="47">
        <f t="shared" si="138"/>
        <v>7589.7999999999993</v>
      </c>
      <c r="AT969" s="47">
        <f t="shared" si="139"/>
        <v>15179.599999999999</v>
      </c>
      <c r="AU969" s="43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0">
        <f t="shared" si="141"/>
        <v>8559.2999999999993</v>
      </c>
      <c r="AR970" s="10">
        <f t="shared" si="142"/>
        <v>8685.7999999999993</v>
      </c>
      <c r="AS970" s="47">
        <f t="shared" si="138"/>
        <v>7589.7999999999993</v>
      </c>
      <c r="AT970" s="47">
        <f t="shared" si="139"/>
        <v>15179.599999999999</v>
      </c>
      <c r="AU970" s="43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0">
        <f t="shared" si="141"/>
        <v>5580.5400000000009</v>
      </c>
      <c r="AR971" s="10">
        <f t="shared" si="142"/>
        <v>5627.9599999999991</v>
      </c>
      <c r="AS971" s="47">
        <f t="shared" si="138"/>
        <v>5803.32</v>
      </c>
      <c r="AT971" s="47">
        <f t="shared" si="139"/>
        <v>11223.039999999997</v>
      </c>
      <c r="AU971" s="43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0">
        <f t="shared" si="141"/>
        <v>5982.2400000000007</v>
      </c>
      <c r="AR972" s="10">
        <f t="shared" si="142"/>
        <v>6093.7599999999993</v>
      </c>
      <c r="AS972" s="47">
        <f t="shared" si="138"/>
        <v>6159.5199999999995</v>
      </c>
      <c r="AT972" s="47">
        <f t="shared" si="139"/>
        <v>12209.439999999999</v>
      </c>
      <c r="AU972" s="43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0">
        <f t="shared" si="141"/>
        <v>6383.9400000000005</v>
      </c>
      <c r="AR973" s="10">
        <f t="shared" si="142"/>
        <v>6559.5599999999995</v>
      </c>
      <c r="AS973" s="47">
        <f t="shared" si="138"/>
        <v>6301.9999999999991</v>
      </c>
      <c r="AT973" s="47">
        <f t="shared" si="139"/>
        <v>12603.999999999998</v>
      </c>
      <c r="AU973" s="43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0">
        <f t="shared" si="141"/>
        <v>6785.6400000000012</v>
      </c>
      <c r="AR974" s="10">
        <f t="shared" si="142"/>
        <v>7025.3600000000006</v>
      </c>
      <c r="AS974" s="47">
        <f t="shared" si="138"/>
        <v>6301.9999999999991</v>
      </c>
      <c r="AT974" s="47">
        <f t="shared" si="139"/>
        <v>12603.999999999998</v>
      </c>
      <c r="AU974" s="43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0">
        <f t="shared" si="141"/>
        <v>7107.0000000000009</v>
      </c>
      <c r="AR975" s="10">
        <f t="shared" si="142"/>
        <v>7397.9999999999991</v>
      </c>
      <c r="AS975" s="47">
        <f t="shared" si="138"/>
        <v>6301.9999999999991</v>
      </c>
      <c r="AT975" s="47">
        <f t="shared" si="139"/>
        <v>12603.999999999998</v>
      </c>
      <c r="AU975" s="43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0">
        <f t="shared" si="141"/>
        <v>7107.0000000000009</v>
      </c>
      <c r="AR976" s="10">
        <f t="shared" si="142"/>
        <v>7397.9999999999991</v>
      </c>
      <c r="AS976" s="47">
        <f t="shared" si="138"/>
        <v>6301.9999999999991</v>
      </c>
      <c r="AT976" s="47">
        <f t="shared" si="139"/>
        <v>12603.999999999998</v>
      </c>
      <c r="AU976" s="43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0">
        <f t="shared" si="141"/>
        <v>7107.0000000000009</v>
      </c>
      <c r="AR977" s="10">
        <f t="shared" si="142"/>
        <v>7397.9999999999991</v>
      </c>
      <c r="AS977" s="47">
        <f t="shared" si="138"/>
        <v>6301.9999999999991</v>
      </c>
      <c r="AT977" s="47">
        <f t="shared" si="139"/>
        <v>12603.999999999998</v>
      </c>
      <c r="AU977" s="43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0">
        <f t="shared" si="141"/>
        <v>7107.0000000000009</v>
      </c>
      <c r="AR978" s="10">
        <f t="shared" si="142"/>
        <v>7397.9999999999991</v>
      </c>
      <c r="AS978" s="47">
        <f t="shared" si="138"/>
        <v>6301.9999999999991</v>
      </c>
      <c r="AT978" s="47">
        <f t="shared" si="139"/>
        <v>12603.999999999998</v>
      </c>
      <c r="AU978" s="43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0">
        <f t="shared" si="141"/>
        <v>7107.0000000000009</v>
      </c>
      <c r="AR979" s="10">
        <f t="shared" si="142"/>
        <v>7397.9999999999991</v>
      </c>
      <c r="AS979" s="47">
        <f t="shared" si="138"/>
        <v>6301.9999999999991</v>
      </c>
      <c r="AT979" s="47">
        <f t="shared" si="139"/>
        <v>12603.999999999998</v>
      </c>
      <c r="AU979" s="43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0">
        <f t="shared" si="141"/>
        <v>7107.0000000000009</v>
      </c>
      <c r="AR980" s="10">
        <f t="shared" si="142"/>
        <v>7397.9999999999991</v>
      </c>
      <c r="AS980" s="47">
        <f t="shared" si="138"/>
        <v>6301.9999999999991</v>
      </c>
      <c r="AT980" s="47">
        <f t="shared" si="139"/>
        <v>12603.999999999998</v>
      </c>
      <c r="AU980" s="43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0">
        <f t="shared" si="141"/>
        <v>7107.0000000000009</v>
      </c>
      <c r="AR981" s="10">
        <f t="shared" si="142"/>
        <v>7397.9999999999991</v>
      </c>
      <c r="AS981" s="47">
        <f t="shared" si="138"/>
        <v>6301.9999999999991</v>
      </c>
      <c r="AT981" s="47">
        <f t="shared" si="139"/>
        <v>12603.999999999998</v>
      </c>
      <c r="AU981" s="43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0">
        <f t="shared" si="141"/>
        <v>4674.46</v>
      </c>
      <c r="AR982" s="10">
        <f t="shared" si="142"/>
        <v>4537.49</v>
      </c>
      <c r="AS982" s="47">
        <f t="shared" si="138"/>
        <v>5171.9299999999994</v>
      </c>
      <c r="AT982" s="47">
        <f t="shared" si="139"/>
        <v>8819.9599999999973</v>
      </c>
      <c r="AU982" s="43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0">
        <f t="shared" si="141"/>
        <v>5124.2599999999993</v>
      </c>
      <c r="AR983" s="10">
        <f t="shared" si="142"/>
        <v>5066.1899999999996</v>
      </c>
      <c r="AS983" s="47">
        <f t="shared" si="138"/>
        <v>5576.2299999999987</v>
      </c>
      <c r="AT983" s="47">
        <f t="shared" si="139"/>
        <v>9939.56</v>
      </c>
      <c r="AU983" s="43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0">
        <f t="shared" si="141"/>
        <v>5574.0599999999995</v>
      </c>
      <c r="AR984" s="10">
        <f t="shared" si="142"/>
        <v>5594.8899999999994</v>
      </c>
      <c r="AS984" s="47">
        <f t="shared" si="138"/>
        <v>5980.5299999999988</v>
      </c>
      <c r="AT984" s="47">
        <f t="shared" si="139"/>
        <v>11059.159999999998</v>
      </c>
      <c r="AU984" s="43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0">
        <f t="shared" si="141"/>
        <v>6023.8599999999988</v>
      </c>
      <c r="AR985" s="10">
        <f t="shared" si="142"/>
        <v>6123.5899999999992</v>
      </c>
      <c r="AS985" s="47">
        <f t="shared" si="138"/>
        <v>6384.83</v>
      </c>
      <c r="AT985" s="47">
        <f t="shared" si="139"/>
        <v>12178.759999999998</v>
      </c>
      <c r="AU985" s="43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0">
        <f t="shared" si="141"/>
        <v>6473.66</v>
      </c>
      <c r="AR986" s="10">
        <f t="shared" si="142"/>
        <v>6652.2899999999991</v>
      </c>
      <c r="AS986" s="47">
        <f t="shared" si="138"/>
        <v>6789.1299999999992</v>
      </c>
      <c r="AT986" s="47">
        <f t="shared" si="139"/>
        <v>13298.359999999999</v>
      </c>
      <c r="AU986" s="43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0">
        <f t="shared" si="141"/>
        <v>6923.46</v>
      </c>
      <c r="AR987" s="10">
        <f t="shared" si="142"/>
        <v>7180.9899999999989</v>
      </c>
      <c r="AS987" s="47">
        <f t="shared" si="138"/>
        <v>7152.9999999999991</v>
      </c>
      <c r="AT987" s="47">
        <f t="shared" si="139"/>
        <v>14305.999999999998</v>
      </c>
      <c r="AU987" s="43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0">
        <f t="shared" si="141"/>
        <v>7373.2599999999993</v>
      </c>
      <c r="AR988" s="10">
        <f t="shared" si="142"/>
        <v>7709.6899999999987</v>
      </c>
      <c r="AS988" s="47">
        <f t="shared" si="138"/>
        <v>7152.9999999999991</v>
      </c>
      <c r="AT988" s="47">
        <f t="shared" si="139"/>
        <v>14305.999999999998</v>
      </c>
      <c r="AU988" s="43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0">
        <f t="shared" si="141"/>
        <v>7823.06</v>
      </c>
      <c r="AR989" s="10">
        <f t="shared" si="142"/>
        <v>8238.39</v>
      </c>
      <c r="AS989" s="47">
        <f t="shared" si="138"/>
        <v>7152.9999999999991</v>
      </c>
      <c r="AT989" s="47">
        <f t="shared" si="139"/>
        <v>14305.999999999998</v>
      </c>
      <c r="AU989" s="43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0">
        <f t="shared" si="141"/>
        <v>7957.9999999999991</v>
      </c>
      <c r="AR990" s="10">
        <f t="shared" si="142"/>
        <v>8397</v>
      </c>
      <c r="AS990" s="47">
        <f t="shared" si="138"/>
        <v>7152.9999999999991</v>
      </c>
      <c r="AT990" s="47">
        <f t="shared" si="139"/>
        <v>14305.999999999998</v>
      </c>
      <c r="AU990" s="43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0">
        <f t="shared" si="141"/>
        <v>7957.9999999999991</v>
      </c>
      <c r="AR991" s="10">
        <f t="shared" si="142"/>
        <v>8397</v>
      </c>
      <c r="AS991" s="47">
        <f t="shared" si="138"/>
        <v>7152.9999999999991</v>
      </c>
      <c r="AT991" s="47">
        <f t="shared" si="139"/>
        <v>14305.999999999998</v>
      </c>
      <c r="AU991" s="43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0">
        <f t="shared" si="141"/>
        <v>7957.9999999999991</v>
      </c>
      <c r="AR992" s="10">
        <f t="shared" si="142"/>
        <v>8397</v>
      </c>
      <c r="AS992" s="47">
        <f t="shared" si="138"/>
        <v>7152.9999999999991</v>
      </c>
      <c r="AT992" s="47">
        <f t="shared" si="139"/>
        <v>14305.999999999998</v>
      </c>
      <c r="AU992" s="43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0">
        <f t="shared" si="141"/>
        <v>3201.6709999999998</v>
      </c>
      <c r="AR993" s="10">
        <f t="shared" si="142"/>
        <v>2853.4259999999999</v>
      </c>
      <c r="AS993" s="47">
        <f t="shared" si="138"/>
        <v>3488.1779999999994</v>
      </c>
      <c r="AT993" s="47">
        <f t="shared" si="139"/>
        <v>6123.7560000000003</v>
      </c>
      <c r="AU993" s="43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0">
        <f t="shared" si="141"/>
        <v>3613.4009999999998</v>
      </c>
      <c r="AR994" s="10">
        <f t="shared" si="142"/>
        <v>3265.806</v>
      </c>
      <c r="AS994" s="47">
        <f t="shared" si="138"/>
        <v>3830.9579999999996</v>
      </c>
      <c r="AT994" s="47">
        <f t="shared" si="139"/>
        <v>6983.3159999999998</v>
      </c>
      <c r="AU994" s="43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0">
        <f t="shared" si="141"/>
        <v>4025.1309999999989</v>
      </c>
      <c r="AR995" s="10">
        <f t="shared" si="142"/>
        <v>3678.1859999999992</v>
      </c>
      <c r="AS995" s="47">
        <f t="shared" si="138"/>
        <v>4173.7379999999994</v>
      </c>
      <c r="AT995" s="47">
        <f t="shared" si="139"/>
        <v>7842.8759999999993</v>
      </c>
      <c r="AU995" s="43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0">
        <f t="shared" si="141"/>
        <v>4436.860999999999</v>
      </c>
      <c r="AR996" s="10">
        <f t="shared" si="142"/>
        <v>4090.5659999999998</v>
      </c>
      <c r="AS996" s="47">
        <f t="shared" si="138"/>
        <v>4516.5179999999991</v>
      </c>
      <c r="AT996" s="47">
        <f t="shared" si="139"/>
        <v>8702.4359999999997</v>
      </c>
      <c r="AU996" s="43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0">
        <f t="shared" si="141"/>
        <v>4848.5910000000003</v>
      </c>
      <c r="AR997" s="10">
        <f t="shared" si="142"/>
        <v>4502.9459999999999</v>
      </c>
      <c r="AS997" s="47">
        <f t="shared" si="138"/>
        <v>4859.2979999999989</v>
      </c>
      <c r="AT997" s="47">
        <f t="shared" si="139"/>
        <v>9561.9959999999992</v>
      </c>
      <c r="AU997" s="43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0">
        <f t="shared" si="141"/>
        <v>5260.320999999999</v>
      </c>
      <c r="AR998" s="10">
        <f t="shared" si="142"/>
        <v>4915.326</v>
      </c>
      <c r="AS998" s="47">
        <f t="shared" si="138"/>
        <v>5167.7999999999993</v>
      </c>
      <c r="AT998" s="47">
        <f t="shared" si="139"/>
        <v>10335.599999999999</v>
      </c>
      <c r="AU998" s="43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0">
        <f t="shared" si="141"/>
        <v>5672.0509999999995</v>
      </c>
      <c r="AR999" s="10">
        <f t="shared" si="142"/>
        <v>5327.7059999999992</v>
      </c>
      <c r="AS999" s="47">
        <f t="shared" si="138"/>
        <v>5167.7999999999993</v>
      </c>
      <c r="AT999" s="47">
        <f t="shared" si="139"/>
        <v>10335.599999999999</v>
      </c>
      <c r="AU999" s="43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0">
        <f t="shared" si="141"/>
        <v>6083.7809999999999</v>
      </c>
      <c r="AR1000" s="10">
        <f t="shared" si="142"/>
        <v>5740.0859999999993</v>
      </c>
      <c r="AS1000" s="47">
        <f t="shared" si="138"/>
        <v>5167.7999999999993</v>
      </c>
      <c r="AT1000" s="47">
        <f t="shared" si="139"/>
        <v>10335.599999999999</v>
      </c>
      <c r="AU1000" s="43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0">
        <f t="shared" si="141"/>
        <v>6207.2999999999993</v>
      </c>
      <c r="AR1001" s="10">
        <f t="shared" si="142"/>
        <v>5863.7999999999993</v>
      </c>
      <c r="AS1001" s="47">
        <f t="shared" si="138"/>
        <v>5167.7999999999993</v>
      </c>
      <c r="AT1001" s="47">
        <f t="shared" si="139"/>
        <v>10335.599999999999</v>
      </c>
      <c r="AU1001" s="43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0">
        <f t="shared" si="141"/>
        <v>6207.2999999999993</v>
      </c>
      <c r="AR1002" s="10">
        <f t="shared" si="142"/>
        <v>5863.7999999999993</v>
      </c>
      <c r="AS1002" s="47">
        <f t="shared" si="138"/>
        <v>5167.7999999999993</v>
      </c>
      <c r="AT1002" s="47">
        <f t="shared" si="139"/>
        <v>10335.599999999999</v>
      </c>
      <c r="AU1002" s="43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0">
        <f t="shared" si="141"/>
        <v>6207.2999999999993</v>
      </c>
      <c r="AR1003" s="10">
        <f t="shared" si="142"/>
        <v>5863.7999999999993</v>
      </c>
      <c r="AS1003" s="47">
        <f t="shared" si="138"/>
        <v>5167.7999999999993</v>
      </c>
      <c r="AT1003" s="47">
        <f t="shared" si="139"/>
        <v>10335.599999999999</v>
      </c>
      <c r="AU1003" s="43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0">
        <f t="shared" si="141"/>
        <v>4033.7000000000003</v>
      </c>
      <c r="AR1004" s="10">
        <f t="shared" si="142"/>
        <v>3789.72</v>
      </c>
      <c r="AS1004" s="47">
        <f t="shared" si="138"/>
        <v>3984.6</v>
      </c>
      <c r="AT1004" s="47">
        <f t="shared" si="139"/>
        <v>7725.5999999999995</v>
      </c>
      <c r="AU1004" s="43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0">
        <f t="shared" si="141"/>
        <v>4347.2</v>
      </c>
      <c r="AR1005" s="10">
        <f t="shared" si="142"/>
        <v>4120.3200000000006</v>
      </c>
      <c r="AS1005" s="47">
        <f t="shared" si="138"/>
        <v>4245.5999999999995</v>
      </c>
      <c r="AT1005" s="47">
        <f t="shared" si="139"/>
        <v>8421.6</v>
      </c>
      <c r="AU1005" s="43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0">
        <f t="shared" si="141"/>
        <v>4660.7</v>
      </c>
      <c r="AR1006" s="10">
        <f t="shared" si="142"/>
        <v>4450.92</v>
      </c>
      <c r="AS1006" s="47">
        <f t="shared" si="138"/>
        <v>4350</v>
      </c>
      <c r="AT1006" s="47">
        <f t="shared" si="139"/>
        <v>8700</v>
      </c>
      <c r="AU1006" s="43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0">
        <f t="shared" si="141"/>
        <v>4974.2000000000007</v>
      </c>
      <c r="AR1007" s="10">
        <f t="shared" si="142"/>
        <v>4781.5200000000004</v>
      </c>
      <c r="AS1007" s="47">
        <f t="shared" si="138"/>
        <v>4350</v>
      </c>
      <c r="AT1007" s="47">
        <f t="shared" si="139"/>
        <v>8700</v>
      </c>
      <c r="AU1007" s="43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0">
        <f t="shared" si="141"/>
        <v>5225</v>
      </c>
      <c r="AR1008" s="10">
        <f t="shared" si="142"/>
        <v>5046</v>
      </c>
      <c r="AS1008" s="47">
        <f t="shared" si="138"/>
        <v>4350</v>
      </c>
      <c r="AT1008" s="47">
        <f t="shared" si="139"/>
        <v>8700</v>
      </c>
      <c r="AU1008" s="43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0">
        <f t="shared" si="141"/>
        <v>5225</v>
      </c>
      <c r="AR1009" s="10">
        <f t="shared" si="142"/>
        <v>5046</v>
      </c>
      <c r="AS1009" s="47">
        <f t="shared" si="138"/>
        <v>4350</v>
      </c>
      <c r="AT1009" s="47">
        <f t="shared" si="139"/>
        <v>8700</v>
      </c>
      <c r="AU1009" s="43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0">
        <f t="shared" si="141"/>
        <v>5225</v>
      </c>
      <c r="AR1010" s="10">
        <f t="shared" si="142"/>
        <v>5046</v>
      </c>
      <c r="AS1010" s="47">
        <f t="shared" si="138"/>
        <v>4350</v>
      </c>
      <c r="AT1010" s="47">
        <f t="shared" si="139"/>
        <v>8700</v>
      </c>
      <c r="AU1010" s="43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0">
        <f t="shared" si="141"/>
        <v>5225</v>
      </c>
      <c r="AR1011" s="10">
        <f t="shared" si="142"/>
        <v>5046</v>
      </c>
      <c r="AS1011" s="47">
        <f t="shared" si="138"/>
        <v>4350</v>
      </c>
      <c r="AT1011" s="47">
        <f t="shared" si="139"/>
        <v>8700</v>
      </c>
      <c r="AU1011" s="43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0">
        <f t="shared" si="141"/>
        <v>5225</v>
      </c>
      <c r="AR1012" s="10">
        <f t="shared" si="142"/>
        <v>5046</v>
      </c>
      <c r="AS1012" s="47">
        <f t="shared" si="138"/>
        <v>4350</v>
      </c>
      <c r="AT1012" s="47">
        <f t="shared" si="139"/>
        <v>8700</v>
      </c>
      <c r="AU1012" s="43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0">
        <f t="shared" si="141"/>
        <v>5225</v>
      </c>
      <c r="AR1013" s="10">
        <f t="shared" si="142"/>
        <v>5046</v>
      </c>
      <c r="AS1013" s="47">
        <f t="shared" si="138"/>
        <v>4350</v>
      </c>
      <c r="AT1013" s="47">
        <f t="shared" si="139"/>
        <v>8700</v>
      </c>
      <c r="AU1013" s="43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0">
        <f t="shared" si="141"/>
        <v>5225</v>
      </c>
      <c r="AR1014" s="10">
        <f t="shared" si="142"/>
        <v>5046</v>
      </c>
      <c r="AS1014" s="47">
        <f t="shared" si="138"/>
        <v>4350</v>
      </c>
      <c r="AT1014" s="47">
        <f t="shared" si="139"/>
        <v>8700</v>
      </c>
      <c r="AU1014" s="43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0">
        <f t="shared" si="141"/>
        <v>3456.3</v>
      </c>
      <c r="AR1015" s="10">
        <f t="shared" si="142"/>
        <v>3192.43</v>
      </c>
      <c r="AS1015" s="47">
        <f t="shared" si="138"/>
        <v>3724.1499999999996</v>
      </c>
      <c r="AT1015" s="47">
        <f t="shared" si="139"/>
        <v>6414.4</v>
      </c>
      <c r="AU1015" s="43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0">
        <f t="shared" si="141"/>
        <v>3825.3</v>
      </c>
      <c r="AR1016" s="10">
        <f t="shared" si="142"/>
        <v>3593.3299999999995</v>
      </c>
      <c r="AS1016" s="47">
        <f t="shared" si="138"/>
        <v>4040.65</v>
      </c>
      <c r="AT1016" s="47">
        <f t="shared" si="139"/>
        <v>7258.4</v>
      </c>
      <c r="AU1016" s="43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0">
        <f t="shared" si="141"/>
        <v>4194.2999999999993</v>
      </c>
      <c r="AR1017" s="10">
        <f t="shared" si="142"/>
        <v>3994.2299999999996</v>
      </c>
      <c r="AS1017" s="47">
        <f t="shared" si="138"/>
        <v>4357.1499999999996</v>
      </c>
      <c r="AT1017" s="47">
        <f t="shared" si="139"/>
        <v>8102.4</v>
      </c>
      <c r="AU1017" s="43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0">
        <f t="shared" si="141"/>
        <v>4563.3</v>
      </c>
      <c r="AR1018" s="10">
        <f t="shared" si="142"/>
        <v>4395.1299999999992</v>
      </c>
      <c r="AS1018" s="47">
        <f t="shared" si="138"/>
        <v>4673.6499999999996</v>
      </c>
      <c r="AT1018" s="47">
        <f t="shared" si="139"/>
        <v>8946.4</v>
      </c>
      <c r="AU1018" s="43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0">
        <f t="shared" si="141"/>
        <v>4932.3</v>
      </c>
      <c r="AR1019" s="10">
        <f t="shared" si="142"/>
        <v>4796.0300000000007</v>
      </c>
      <c r="AS1019" s="47">
        <f t="shared" si="138"/>
        <v>4990.1499999999996</v>
      </c>
      <c r="AT1019" s="47">
        <f t="shared" si="139"/>
        <v>9790.4</v>
      </c>
      <c r="AU1019" s="43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0">
        <f t="shared" si="141"/>
        <v>5301.3</v>
      </c>
      <c r="AR1020" s="10">
        <f t="shared" si="142"/>
        <v>5196.93</v>
      </c>
      <c r="AS1020" s="47">
        <f t="shared" si="138"/>
        <v>5275</v>
      </c>
      <c r="AT1020" s="47">
        <f t="shared" si="139"/>
        <v>10550</v>
      </c>
      <c r="AU1020" s="43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0">
        <f t="shared" si="141"/>
        <v>5670.2999999999993</v>
      </c>
      <c r="AR1021" s="10">
        <f t="shared" si="142"/>
        <v>5597.83</v>
      </c>
      <c r="AS1021" s="47">
        <f t="shared" si="138"/>
        <v>5275</v>
      </c>
      <c r="AT1021" s="47">
        <f t="shared" si="139"/>
        <v>10550</v>
      </c>
      <c r="AU1021" s="43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0">
        <f t="shared" si="141"/>
        <v>6039.3</v>
      </c>
      <c r="AR1022" s="10">
        <f t="shared" si="142"/>
        <v>5998.73</v>
      </c>
      <c r="AS1022" s="47">
        <f t="shared" si="138"/>
        <v>5275</v>
      </c>
      <c r="AT1022" s="47">
        <f t="shared" si="139"/>
        <v>10550</v>
      </c>
      <c r="AU1022" s="43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0">
        <f t="shared" si="141"/>
        <v>6150</v>
      </c>
      <c r="AR1023" s="10">
        <f t="shared" si="142"/>
        <v>6119</v>
      </c>
      <c r="AS1023" s="47">
        <f t="shared" si="138"/>
        <v>5275</v>
      </c>
      <c r="AT1023" s="47">
        <f t="shared" si="139"/>
        <v>10550</v>
      </c>
      <c r="AU1023" s="43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0">
        <f t="shared" si="141"/>
        <v>6150</v>
      </c>
      <c r="AR1024" s="10">
        <f t="shared" si="142"/>
        <v>6119</v>
      </c>
      <c r="AS1024" s="47">
        <f t="shared" si="138"/>
        <v>5275</v>
      </c>
      <c r="AT1024" s="47">
        <f t="shared" si="139"/>
        <v>10550</v>
      </c>
      <c r="AU1024" s="43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0">
        <f t="shared" si="141"/>
        <v>6150</v>
      </c>
      <c r="AR1025" s="10">
        <f t="shared" si="142"/>
        <v>6119</v>
      </c>
      <c r="AS1025" s="47">
        <f t="shared" si="138"/>
        <v>5275</v>
      </c>
      <c r="AT1025" s="47">
        <f t="shared" si="139"/>
        <v>10550</v>
      </c>
      <c r="AU1025" s="43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0">
        <f t="shared" si="141"/>
        <v>3508.0509999999995</v>
      </c>
      <c r="AR1026" s="10">
        <f t="shared" si="142"/>
        <v>3181.4059999999999</v>
      </c>
      <c r="AS1026" s="47">
        <f t="shared" si="138"/>
        <v>3889.1179999999995</v>
      </c>
      <c r="AT1026" s="47">
        <f t="shared" si="139"/>
        <v>6827.6360000000004</v>
      </c>
      <c r="AU1026" s="43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0">
        <f t="shared" si="141"/>
        <v>3959.1809999999996</v>
      </c>
      <c r="AR1027" s="10">
        <f t="shared" si="142"/>
        <v>3641.1860000000001</v>
      </c>
      <c r="AS1027" s="47">
        <f t="shared" ref="AS1027:AS1090" si="143">$AG$3*(1+$AJ1027*$Y$2+$AN1027)*(MAXA(1-$AI$3-$AL1027*$AA$3-$AP1027-0.36,0)+MINA($AI$3+$AL1027*$AA$3+$AP1027+0.36,1)*(1+$AH$3+$AO1027+$AK1027*$Z$4))</f>
        <v>4271.2979999999998</v>
      </c>
      <c r="AT1027" s="47">
        <f t="shared" ref="AT1027:AT1090" si="144">$AG$3*(1+$AJ1027*$Y$2+$AN1027)*(MAXA(1-$AI$3-$AL1027*$AA$3-$AP1027-0.36,0)+2*MINA($AI$3+$AL1027*$AA$3+$AP1027+0.36,1)*(1+$AH$3+$AO1027+$AK1027*$Z$4))</f>
        <v>7785.9960000000001</v>
      </c>
      <c r="AU1027" s="43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0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0">
        <f t="shared" ref="AR1028:AR1091" si="147">$AG$3*(1+$AJ1028*$Y$2+$AN1028)*(MAXA(1-$AI$3-$AL1028*$AA$3-$AP1028-0.12,0)+MINA($AI$3+$AL1028*$AA$3+$AP1028+0.12,1)*(1+$AH$3+$AO1028+$AK1028*$Z$4+0.4))</f>
        <v>4100.9659999999994</v>
      </c>
      <c r="AS1028" s="47">
        <f t="shared" si="143"/>
        <v>4653.4780000000001</v>
      </c>
      <c r="AT1028" s="47">
        <f t="shared" si="144"/>
        <v>8744.3559999999998</v>
      </c>
      <c r="AU1028" s="43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0">
        <f t="shared" si="146"/>
        <v>4861.4409999999989</v>
      </c>
      <c r="AR1029" s="10">
        <f t="shared" si="147"/>
        <v>4560.7459999999992</v>
      </c>
      <c r="AS1029" s="47">
        <f t="shared" si="143"/>
        <v>5035.6579999999985</v>
      </c>
      <c r="AT1029" s="47">
        <f t="shared" si="144"/>
        <v>9702.7159999999985</v>
      </c>
      <c r="AU1029" s="43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0">
        <f t="shared" si="146"/>
        <v>5312.5709999999999</v>
      </c>
      <c r="AR1030" s="10">
        <f t="shared" si="147"/>
        <v>5020.5259999999998</v>
      </c>
      <c r="AS1030" s="47">
        <f t="shared" si="143"/>
        <v>5417.8379999999988</v>
      </c>
      <c r="AT1030" s="47">
        <f t="shared" si="144"/>
        <v>10661.075999999999</v>
      </c>
      <c r="AU1030" s="43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0">
        <f t="shared" si="146"/>
        <v>5763.7009999999991</v>
      </c>
      <c r="AR1031" s="10">
        <f t="shared" si="147"/>
        <v>5480.3059999999996</v>
      </c>
      <c r="AS1031" s="47">
        <f t="shared" si="143"/>
        <v>5761.7999999999993</v>
      </c>
      <c r="AT1031" s="47">
        <f t="shared" si="144"/>
        <v>11523.599999999999</v>
      </c>
      <c r="AU1031" s="43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0">
        <f t="shared" si="146"/>
        <v>6214.8309999999992</v>
      </c>
      <c r="AR1032" s="10">
        <f t="shared" si="147"/>
        <v>5940.0859999999993</v>
      </c>
      <c r="AS1032" s="47">
        <f t="shared" si="143"/>
        <v>5761.7999999999993</v>
      </c>
      <c r="AT1032" s="47">
        <f t="shared" si="144"/>
        <v>11523.599999999999</v>
      </c>
      <c r="AU1032" s="43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0">
        <f t="shared" si="146"/>
        <v>6665.9609999999993</v>
      </c>
      <c r="AR1033" s="10">
        <f t="shared" si="147"/>
        <v>6399.8659999999991</v>
      </c>
      <c r="AS1033" s="47">
        <f t="shared" si="143"/>
        <v>5761.7999999999993</v>
      </c>
      <c r="AT1033" s="47">
        <f t="shared" si="144"/>
        <v>11523.599999999999</v>
      </c>
      <c r="AU1033" s="43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0">
        <f t="shared" si="146"/>
        <v>6801.2999999999993</v>
      </c>
      <c r="AR1034" s="10">
        <f t="shared" si="147"/>
        <v>6537.7999999999993</v>
      </c>
      <c r="AS1034" s="47">
        <f t="shared" si="143"/>
        <v>5761.7999999999993</v>
      </c>
      <c r="AT1034" s="47">
        <f t="shared" si="144"/>
        <v>11523.599999999999</v>
      </c>
      <c r="AU1034" s="43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0">
        <f t="shared" si="146"/>
        <v>6801.2999999999993</v>
      </c>
      <c r="AR1035" s="10">
        <f t="shared" si="147"/>
        <v>6537.7999999999993</v>
      </c>
      <c r="AS1035" s="47">
        <f t="shared" si="143"/>
        <v>5761.7999999999993</v>
      </c>
      <c r="AT1035" s="47">
        <f t="shared" si="144"/>
        <v>11523.599999999999</v>
      </c>
      <c r="AU1035" s="43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0">
        <f t="shared" si="146"/>
        <v>6801.2999999999993</v>
      </c>
      <c r="AR1036" s="10">
        <f t="shared" si="147"/>
        <v>6537.7999999999993</v>
      </c>
      <c r="AS1036" s="47">
        <f t="shared" si="143"/>
        <v>5761.7999999999993</v>
      </c>
      <c r="AT1036" s="47">
        <f t="shared" si="144"/>
        <v>11523.599999999999</v>
      </c>
      <c r="AU1036" s="43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0">
        <f t="shared" si="146"/>
        <v>4419.7000000000007</v>
      </c>
      <c r="AR1037" s="10">
        <f t="shared" si="147"/>
        <v>4225.32</v>
      </c>
      <c r="AS1037" s="47">
        <f t="shared" si="143"/>
        <v>4442.6000000000004</v>
      </c>
      <c r="AT1037" s="47">
        <f t="shared" si="144"/>
        <v>8613.5999999999985</v>
      </c>
      <c r="AU1037" s="43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0">
        <f t="shared" si="146"/>
        <v>4763.2</v>
      </c>
      <c r="AR1038" s="10">
        <f t="shared" si="147"/>
        <v>4593.920000000001</v>
      </c>
      <c r="AS1038" s="47">
        <f t="shared" si="143"/>
        <v>4733.5999999999995</v>
      </c>
      <c r="AT1038" s="47">
        <f t="shared" si="144"/>
        <v>9389.6</v>
      </c>
      <c r="AU1038" s="43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0">
        <f t="shared" si="146"/>
        <v>5106.7</v>
      </c>
      <c r="AR1039" s="10">
        <f t="shared" si="147"/>
        <v>4962.5199999999995</v>
      </c>
      <c r="AS1039" s="47">
        <f t="shared" si="143"/>
        <v>4850</v>
      </c>
      <c r="AT1039" s="47">
        <f t="shared" si="144"/>
        <v>9700</v>
      </c>
      <c r="AU1039" s="43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0">
        <f t="shared" si="146"/>
        <v>5450.2000000000007</v>
      </c>
      <c r="AR1040" s="10">
        <f t="shared" si="147"/>
        <v>5331.1200000000008</v>
      </c>
      <c r="AS1040" s="47">
        <f t="shared" si="143"/>
        <v>4850</v>
      </c>
      <c r="AT1040" s="47">
        <f t="shared" si="144"/>
        <v>9700</v>
      </c>
      <c r="AU1040" s="43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0">
        <f t="shared" si="146"/>
        <v>5725</v>
      </c>
      <c r="AR1041" s="10">
        <f t="shared" si="147"/>
        <v>5626</v>
      </c>
      <c r="AS1041" s="47">
        <f t="shared" si="143"/>
        <v>4850</v>
      </c>
      <c r="AT1041" s="47">
        <f t="shared" si="144"/>
        <v>9700</v>
      </c>
      <c r="AU1041" s="43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0">
        <f t="shared" si="146"/>
        <v>5725</v>
      </c>
      <c r="AR1042" s="10">
        <f t="shared" si="147"/>
        <v>5626</v>
      </c>
      <c r="AS1042" s="47">
        <f t="shared" si="143"/>
        <v>4850</v>
      </c>
      <c r="AT1042" s="47">
        <f t="shared" si="144"/>
        <v>9700</v>
      </c>
      <c r="AU1042" s="43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0">
        <f t="shared" si="146"/>
        <v>5725</v>
      </c>
      <c r="AR1043" s="10">
        <f t="shared" si="147"/>
        <v>5626</v>
      </c>
      <c r="AS1043" s="47">
        <f t="shared" si="143"/>
        <v>4850</v>
      </c>
      <c r="AT1043" s="47">
        <f t="shared" si="144"/>
        <v>9700</v>
      </c>
      <c r="AU1043" s="43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0">
        <f t="shared" si="146"/>
        <v>5725</v>
      </c>
      <c r="AR1044" s="10">
        <f t="shared" si="147"/>
        <v>5626</v>
      </c>
      <c r="AS1044" s="47">
        <f t="shared" si="143"/>
        <v>4850</v>
      </c>
      <c r="AT1044" s="47">
        <f t="shared" si="144"/>
        <v>9700</v>
      </c>
      <c r="AU1044" s="43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0">
        <f t="shared" si="146"/>
        <v>5725</v>
      </c>
      <c r="AR1045" s="10">
        <f t="shared" si="147"/>
        <v>5626</v>
      </c>
      <c r="AS1045" s="47">
        <f t="shared" si="143"/>
        <v>4850</v>
      </c>
      <c r="AT1045" s="47">
        <f t="shared" si="144"/>
        <v>9700</v>
      </c>
      <c r="AU1045" s="43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0">
        <f t="shared" si="146"/>
        <v>5725</v>
      </c>
      <c r="AR1046" s="10">
        <f t="shared" si="147"/>
        <v>5626</v>
      </c>
      <c r="AS1046" s="47">
        <f t="shared" si="143"/>
        <v>4850</v>
      </c>
      <c r="AT1046" s="47">
        <f t="shared" si="144"/>
        <v>9700</v>
      </c>
      <c r="AU1046" s="43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0">
        <f t="shared" si="146"/>
        <v>5725</v>
      </c>
      <c r="AR1047" s="10">
        <f t="shared" si="147"/>
        <v>5626</v>
      </c>
      <c r="AS1047" s="47">
        <f t="shared" si="143"/>
        <v>4850</v>
      </c>
      <c r="AT1047" s="47">
        <f t="shared" si="144"/>
        <v>9700</v>
      </c>
      <c r="AU1047" s="43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0">
        <f t="shared" si="146"/>
        <v>3737.3</v>
      </c>
      <c r="AR1048" s="10">
        <f t="shared" si="147"/>
        <v>3495.0299999999997</v>
      </c>
      <c r="AS1048" s="47">
        <f t="shared" si="143"/>
        <v>4077.1499999999996</v>
      </c>
      <c r="AT1048" s="47">
        <f t="shared" si="144"/>
        <v>7022.4</v>
      </c>
      <c r="AU1048" s="43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0">
        <f t="shared" si="146"/>
        <v>4136.3</v>
      </c>
      <c r="AR1049" s="10">
        <f t="shared" si="147"/>
        <v>3933.93</v>
      </c>
      <c r="AS1049" s="47">
        <f t="shared" si="143"/>
        <v>4423.6499999999996</v>
      </c>
      <c r="AT1049" s="47">
        <f t="shared" si="144"/>
        <v>7946.4</v>
      </c>
      <c r="AU1049" s="43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0">
        <f t="shared" si="146"/>
        <v>4535.2999999999993</v>
      </c>
      <c r="AR1050" s="10">
        <f t="shared" si="147"/>
        <v>4372.83</v>
      </c>
      <c r="AS1050" s="47">
        <f t="shared" si="143"/>
        <v>4770.1499999999996</v>
      </c>
      <c r="AT1050" s="47">
        <f t="shared" si="144"/>
        <v>8870.4</v>
      </c>
      <c r="AU1050" s="43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0">
        <f t="shared" si="146"/>
        <v>4934.3</v>
      </c>
      <c r="AR1051" s="10">
        <f t="shared" si="147"/>
        <v>4811.7299999999996</v>
      </c>
      <c r="AS1051" s="47">
        <f t="shared" si="143"/>
        <v>5116.6499999999996</v>
      </c>
      <c r="AT1051" s="47">
        <f t="shared" si="144"/>
        <v>9794.4</v>
      </c>
      <c r="AU1051" s="43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0">
        <f t="shared" si="146"/>
        <v>5333.2999999999993</v>
      </c>
      <c r="AR1052" s="10">
        <f t="shared" si="147"/>
        <v>5250.63</v>
      </c>
      <c r="AS1052" s="47">
        <f t="shared" si="143"/>
        <v>5463.15</v>
      </c>
      <c r="AT1052" s="47">
        <f t="shared" si="144"/>
        <v>10718.4</v>
      </c>
      <c r="AU1052" s="43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0">
        <f t="shared" si="146"/>
        <v>5732.3000000000011</v>
      </c>
      <c r="AR1053" s="10">
        <f t="shared" si="147"/>
        <v>5689.53</v>
      </c>
      <c r="AS1053" s="47">
        <f t="shared" si="143"/>
        <v>5775</v>
      </c>
      <c r="AT1053" s="47">
        <f t="shared" si="144"/>
        <v>11550</v>
      </c>
      <c r="AU1053" s="43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0">
        <f t="shared" si="146"/>
        <v>6131.2999999999993</v>
      </c>
      <c r="AR1054" s="10">
        <f t="shared" si="147"/>
        <v>6128.43</v>
      </c>
      <c r="AS1054" s="47">
        <f t="shared" si="143"/>
        <v>5775</v>
      </c>
      <c r="AT1054" s="47">
        <f t="shared" si="144"/>
        <v>11550</v>
      </c>
      <c r="AU1054" s="43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0">
        <f t="shared" si="146"/>
        <v>6530.3</v>
      </c>
      <c r="AR1055" s="10">
        <f t="shared" si="147"/>
        <v>6567.33</v>
      </c>
      <c r="AS1055" s="47">
        <f t="shared" si="143"/>
        <v>5775</v>
      </c>
      <c r="AT1055" s="47">
        <f t="shared" si="144"/>
        <v>11550</v>
      </c>
      <c r="AU1055" s="43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0">
        <f t="shared" si="146"/>
        <v>6650</v>
      </c>
      <c r="AR1056" s="10">
        <f t="shared" si="147"/>
        <v>6699</v>
      </c>
      <c r="AS1056" s="47">
        <f t="shared" si="143"/>
        <v>5775</v>
      </c>
      <c r="AT1056" s="47">
        <f t="shared" si="144"/>
        <v>11550</v>
      </c>
      <c r="AU1056" s="43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0">
        <f t="shared" si="146"/>
        <v>6650</v>
      </c>
      <c r="AR1057" s="10">
        <f t="shared" si="147"/>
        <v>6699</v>
      </c>
      <c r="AS1057" s="47">
        <f t="shared" si="143"/>
        <v>5775</v>
      </c>
      <c r="AT1057" s="47">
        <f t="shared" si="144"/>
        <v>11550</v>
      </c>
      <c r="AU1057" s="43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0">
        <f t="shared" si="146"/>
        <v>6650</v>
      </c>
      <c r="AR1058" s="10">
        <f t="shared" si="147"/>
        <v>6699</v>
      </c>
      <c r="AS1058" s="47">
        <f t="shared" si="143"/>
        <v>5775</v>
      </c>
      <c r="AT1058" s="47">
        <f t="shared" si="144"/>
        <v>11550</v>
      </c>
      <c r="AU1058" s="43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0">
        <f t="shared" si="146"/>
        <v>3814.4309999999996</v>
      </c>
      <c r="AR1059" s="10">
        <f t="shared" si="147"/>
        <v>3509.386</v>
      </c>
      <c r="AS1059" s="47">
        <f t="shared" si="143"/>
        <v>4290.0579999999991</v>
      </c>
      <c r="AT1059" s="47">
        <f t="shared" si="144"/>
        <v>7531.5160000000005</v>
      </c>
      <c r="AU1059" s="43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0">
        <f t="shared" si="146"/>
        <v>4304.9609999999993</v>
      </c>
      <c r="AR1060" s="10">
        <f t="shared" si="147"/>
        <v>4016.5659999999998</v>
      </c>
      <c r="AS1060" s="47">
        <f t="shared" si="143"/>
        <v>4711.6379999999999</v>
      </c>
      <c r="AT1060" s="47">
        <f t="shared" si="144"/>
        <v>8588.6759999999995</v>
      </c>
      <c r="AU1060" s="43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0">
        <f t="shared" si="146"/>
        <v>4795.4909999999991</v>
      </c>
      <c r="AR1061" s="10">
        <f t="shared" si="147"/>
        <v>4523.7459999999992</v>
      </c>
      <c r="AS1061" s="47">
        <f t="shared" si="143"/>
        <v>5133.2179999999998</v>
      </c>
      <c r="AT1061" s="47">
        <f t="shared" si="144"/>
        <v>9645.8359999999993</v>
      </c>
      <c r="AU1061" s="43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0">
        <f t="shared" si="146"/>
        <v>5286.0209999999988</v>
      </c>
      <c r="AR1062" s="10">
        <f t="shared" si="147"/>
        <v>5030.9259999999995</v>
      </c>
      <c r="AS1062" s="47">
        <f t="shared" si="143"/>
        <v>5554.7979999999989</v>
      </c>
      <c r="AT1062" s="47">
        <f t="shared" si="144"/>
        <v>10702.995999999999</v>
      </c>
      <c r="AU1062" s="43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0">
        <f t="shared" si="146"/>
        <v>5776.5510000000004</v>
      </c>
      <c r="AR1063" s="10">
        <f t="shared" si="147"/>
        <v>5538.1059999999998</v>
      </c>
      <c r="AS1063" s="47">
        <f t="shared" si="143"/>
        <v>5976.3779999999988</v>
      </c>
      <c r="AT1063" s="47">
        <f t="shared" si="144"/>
        <v>11760.155999999999</v>
      </c>
      <c r="AU1063" s="43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0">
        <f t="shared" si="146"/>
        <v>6267.0809999999992</v>
      </c>
      <c r="AR1064" s="10">
        <f t="shared" si="147"/>
        <v>6045.2860000000001</v>
      </c>
      <c r="AS1064" s="47">
        <f t="shared" si="143"/>
        <v>6355.7999999999993</v>
      </c>
      <c r="AT1064" s="47">
        <f t="shared" si="144"/>
        <v>12711.599999999999</v>
      </c>
      <c r="AU1064" s="43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0">
        <f t="shared" si="146"/>
        <v>6757.610999999999</v>
      </c>
      <c r="AR1065" s="10">
        <f t="shared" si="147"/>
        <v>6552.4659999999994</v>
      </c>
      <c r="AS1065" s="47">
        <f t="shared" si="143"/>
        <v>6355.7999999999993</v>
      </c>
      <c r="AT1065" s="47">
        <f t="shared" si="144"/>
        <v>12711.599999999999</v>
      </c>
      <c r="AU1065" s="43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0">
        <f t="shared" si="146"/>
        <v>7248.1409999999996</v>
      </c>
      <c r="AR1066" s="10">
        <f t="shared" si="147"/>
        <v>7059.6459999999997</v>
      </c>
      <c r="AS1066" s="47">
        <f t="shared" si="143"/>
        <v>6355.7999999999993</v>
      </c>
      <c r="AT1066" s="47">
        <f t="shared" si="144"/>
        <v>12711.599999999999</v>
      </c>
      <c r="AU1066" s="43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0">
        <f t="shared" si="146"/>
        <v>7395.2999999999993</v>
      </c>
      <c r="AR1067" s="10">
        <f t="shared" si="147"/>
        <v>7211.7999999999993</v>
      </c>
      <c r="AS1067" s="47">
        <f t="shared" si="143"/>
        <v>6355.7999999999993</v>
      </c>
      <c r="AT1067" s="47">
        <f t="shared" si="144"/>
        <v>12711.599999999999</v>
      </c>
      <c r="AU1067" s="43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0">
        <f t="shared" si="146"/>
        <v>7395.2999999999993</v>
      </c>
      <c r="AR1068" s="10">
        <f t="shared" si="147"/>
        <v>7211.7999999999993</v>
      </c>
      <c r="AS1068" s="47">
        <f t="shared" si="143"/>
        <v>6355.7999999999993</v>
      </c>
      <c r="AT1068" s="47">
        <f t="shared" si="144"/>
        <v>12711.599999999999</v>
      </c>
      <c r="AU1068" s="43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0">
        <f t="shared" si="146"/>
        <v>7395.2999999999993</v>
      </c>
      <c r="AR1069" s="10">
        <f t="shared" si="147"/>
        <v>7211.7999999999993</v>
      </c>
      <c r="AS1069" s="47">
        <f t="shared" si="143"/>
        <v>6355.7999999999993</v>
      </c>
      <c r="AT1069" s="47">
        <f t="shared" si="144"/>
        <v>12711.599999999999</v>
      </c>
      <c r="AU1069" s="43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0">
        <f t="shared" si="146"/>
        <v>4805.7000000000007</v>
      </c>
      <c r="AR1070" s="10">
        <f t="shared" si="147"/>
        <v>4660.92</v>
      </c>
      <c r="AS1070" s="47">
        <f t="shared" si="143"/>
        <v>4900.6000000000004</v>
      </c>
      <c r="AT1070" s="47">
        <f t="shared" si="144"/>
        <v>9501.5999999999985</v>
      </c>
      <c r="AU1070" s="43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0">
        <f t="shared" si="146"/>
        <v>5179.2</v>
      </c>
      <c r="AR1071" s="10">
        <f t="shared" si="147"/>
        <v>5067.5200000000004</v>
      </c>
      <c r="AS1071" s="47">
        <f t="shared" si="143"/>
        <v>5221.5999999999995</v>
      </c>
      <c r="AT1071" s="47">
        <f t="shared" si="144"/>
        <v>10357.6</v>
      </c>
      <c r="AU1071" s="43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0">
        <f t="shared" si="146"/>
        <v>5552.7</v>
      </c>
      <c r="AR1072" s="10">
        <f t="shared" si="147"/>
        <v>5474.12</v>
      </c>
      <c r="AS1072" s="47">
        <f t="shared" si="143"/>
        <v>5350</v>
      </c>
      <c r="AT1072" s="47">
        <f t="shared" si="144"/>
        <v>10700</v>
      </c>
      <c r="AU1072" s="43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0">
        <f t="shared" si="146"/>
        <v>5926.2000000000007</v>
      </c>
      <c r="AR1073" s="10">
        <f t="shared" si="147"/>
        <v>5880.72</v>
      </c>
      <c r="AS1073" s="47">
        <f t="shared" si="143"/>
        <v>5350</v>
      </c>
      <c r="AT1073" s="47">
        <f t="shared" si="144"/>
        <v>10700</v>
      </c>
      <c r="AU1073" s="43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0">
        <f t="shared" si="146"/>
        <v>6225</v>
      </c>
      <c r="AR1074" s="10">
        <f t="shared" si="147"/>
        <v>6206</v>
      </c>
      <c r="AS1074" s="47">
        <f t="shared" si="143"/>
        <v>5350</v>
      </c>
      <c r="AT1074" s="47">
        <f t="shared" si="144"/>
        <v>10700</v>
      </c>
      <c r="AU1074" s="43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0">
        <f t="shared" si="146"/>
        <v>6225</v>
      </c>
      <c r="AR1075" s="10">
        <f t="shared" si="147"/>
        <v>6206</v>
      </c>
      <c r="AS1075" s="47">
        <f t="shared" si="143"/>
        <v>5350</v>
      </c>
      <c r="AT1075" s="47">
        <f t="shared" si="144"/>
        <v>10700</v>
      </c>
      <c r="AU1075" s="43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0">
        <f t="shared" si="146"/>
        <v>6225</v>
      </c>
      <c r="AR1076" s="10">
        <f t="shared" si="147"/>
        <v>6206</v>
      </c>
      <c r="AS1076" s="47">
        <f t="shared" si="143"/>
        <v>5350</v>
      </c>
      <c r="AT1076" s="47">
        <f t="shared" si="144"/>
        <v>10700</v>
      </c>
      <c r="AU1076" s="43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0">
        <f t="shared" si="146"/>
        <v>6225</v>
      </c>
      <c r="AR1077" s="10">
        <f t="shared" si="147"/>
        <v>6206</v>
      </c>
      <c r="AS1077" s="47">
        <f t="shared" si="143"/>
        <v>5350</v>
      </c>
      <c r="AT1077" s="47">
        <f t="shared" si="144"/>
        <v>10700</v>
      </c>
      <c r="AU1077" s="43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0">
        <f t="shared" si="146"/>
        <v>6225</v>
      </c>
      <c r="AR1078" s="10">
        <f t="shared" si="147"/>
        <v>6206</v>
      </c>
      <c r="AS1078" s="47">
        <f t="shared" si="143"/>
        <v>5350</v>
      </c>
      <c r="AT1078" s="47">
        <f t="shared" si="144"/>
        <v>10700</v>
      </c>
      <c r="AU1078" s="43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0">
        <f t="shared" si="146"/>
        <v>6225</v>
      </c>
      <c r="AR1079" s="10">
        <f t="shared" si="147"/>
        <v>6206</v>
      </c>
      <c r="AS1079" s="47">
        <f t="shared" si="143"/>
        <v>5350</v>
      </c>
      <c r="AT1079" s="47">
        <f t="shared" si="144"/>
        <v>10700</v>
      </c>
      <c r="AU1079" s="43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0">
        <f t="shared" si="146"/>
        <v>6225</v>
      </c>
      <c r="AR1080" s="10">
        <f t="shared" si="147"/>
        <v>6206</v>
      </c>
      <c r="AS1080" s="47">
        <f t="shared" si="143"/>
        <v>5350</v>
      </c>
      <c r="AT1080" s="47">
        <f t="shared" si="144"/>
        <v>10700</v>
      </c>
      <c r="AU1080" s="43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0">
        <f t="shared" si="146"/>
        <v>4018.3</v>
      </c>
      <c r="AR1081" s="10">
        <f t="shared" si="147"/>
        <v>3797.6299999999997</v>
      </c>
      <c r="AS1081" s="47">
        <f t="shared" si="143"/>
        <v>4430.1499999999996</v>
      </c>
      <c r="AT1081" s="47">
        <f t="shared" si="144"/>
        <v>7630.4</v>
      </c>
      <c r="AU1081" s="43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0">
        <f t="shared" si="146"/>
        <v>4447.3</v>
      </c>
      <c r="AR1082" s="10">
        <f t="shared" si="147"/>
        <v>4274.53</v>
      </c>
      <c r="AS1082" s="47">
        <f t="shared" si="143"/>
        <v>4806.6499999999996</v>
      </c>
      <c r="AT1082" s="47">
        <f t="shared" si="144"/>
        <v>8634.4</v>
      </c>
      <c r="AU1082" s="43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0">
        <f t="shared" si="146"/>
        <v>4876.2999999999993</v>
      </c>
      <c r="AR1083" s="10">
        <f t="shared" si="147"/>
        <v>4751.4299999999994</v>
      </c>
      <c r="AS1083" s="47">
        <f t="shared" si="143"/>
        <v>5183.1499999999996</v>
      </c>
      <c r="AT1083" s="47">
        <f t="shared" si="144"/>
        <v>9638.4</v>
      </c>
      <c r="AU1083" s="43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0">
        <f t="shared" si="146"/>
        <v>5305.3</v>
      </c>
      <c r="AR1084" s="10">
        <f t="shared" si="147"/>
        <v>5228.329999999999</v>
      </c>
      <c r="AS1084" s="47">
        <f t="shared" si="143"/>
        <v>5559.65</v>
      </c>
      <c r="AT1084" s="47">
        <f t="shared" si="144"/>
        <v>10642.4</v>
      </c>
      <c r="AU1084" s="43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0">
        <f t="shared" si="146"/>
        <v>5734.2999999999993</v>
      </c>
      <c r="AR1085" s="10">
        <f t="shared" si="147"/>
        <v>5705.2300000000005</v>
      </c>
      <c r="AS1085" s="47">
        <f t="shared" si="143"/>
        <v>5936.15</v>
      </c>
      <c r="AT1085" s="47">
        <f t="shared" si="144"/>
        <v>11646.4</v>
      </c>
      <c r="AU1085" s="43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0">
        <f t="shared" si="146"/>
        <v>6163.3000000000011</v>
      </c>
      <c r="AR1086" s="10">
        <f t="shared" si="147"/>
        <v>6182.13</v>
      </c>
      <c r="AS1086" s="47">
        <f t="shared" si="143"/>
        <v>6275</v>
      </c>
      <c r="AT1086" s="47">
        <f t="shared" si="144"/>
        <v>12550</v>
      </c>
      <c r="AU1086" s="43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0">
        <f t="shared" si="146"/>
        <v>6592.2999999999993</v>
      </c>
      <c r="AR1087" s="10">
        <f t="shared" si="147"/>
        <v>6659.03</v>
      </c>
      <c r="AS1087" s="47">
        <f t="shared" si="143"/>
        <v>6275</v>
      </c>
      <c r="AT1087" s="47">
        <f t="shared" si="144"/>
        <v>12550</v>
      </c>
      <c r="AU1087" s="43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0">
        <f t="shared" si="146"/>
        <v>7021.3</v>
      </c>
      <c r="AR1088" s="10">
        <f t="shared" si="147"/>
        <v>7135.93</v>
      </c>
      <c r="AS1088" s="47">
        <f t="shared" si="143"/>
        <v>6275</v>
      </c>
      <c r="AT1088" s="47">
        <f t="shared" si="144"/>
        <v>12550</v>
      </c>
      <c r="AU1088" s="43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0">
        <f t="shared" si="146"/>
        <v>7150</v>
      </c>
      <c r="AR1089" s="10">
        <f t="shared" si="147"/>
        <v>7279</v>
      </c>
      <c r="AS1089" s="47">
        <f t="shared" si="143"/>
        <v>6275</v>
      </c>
      <c r="AT1089" s="47">
        <f t="shared" si="144"/>
        <v>12550</v>
      </c>
      <c r="AU1089" s="43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0">
        <f t="shared" si="146"/>
        <v>7150</v>
      </c>
      <c r="AR1090" s="10">
        <f t="shared" si="147"/>
        <v>7279</v>
      </c>
      <c r="AS1090" s="47">
        <f t="shared" si="143"/>
        <v>6275</v>
      </c>
      <c r="AT1090" s="47">
        <f t="shared" si="144"/>
        <v>12550</v>
      </c>
      <c r="AU1090" s="43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0">
        <f t="shared" si="146"/>
        <v>7150</v>
      </c>
      <c r="AR1091" s="10">
        <f t="shared" si="147"/>
        <v>7279</v>
      </c>
      <c r="AS1091" s="47">
        <f t="shared" ref="AS1091:AS1154" si="148">$AG$3*(1+$AJ1091*$Y$2+$AN1091)*(MAXA(1-$AI$3-$AL1091*$AA$3-$AP1091-0.36,0)+MINA($AI$3+$AL1091*$AA$3+$AP1091+0.36,1)*(1+$AH$3+$AO1091+$AK1091*$Z$4))</f>
        <v>6275</v>
      </c>
      <c r="AT1091" s="47">
        <f t="shared" ref="AT1091:AT1154" si="149">$AG$3*(1+$AJ1091*$Y$2+$AN1091)*(MAXA(1-$AI$3-$AL1091*$AA$3-$AP1091-0.36,0)+2*MINA($AI$3+$AL1091*$AA$3+$AP1091+0.36,1)*(1+$AH$3+$AO1091+$AK1091*$Z$4))</f>
        <v>12550</v>
      </c>
      <c r="AU1091" s="43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0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0">
        <f t="shared" ref="AR1092:AR1155" si="152">$AG$3*(1+$AJ1092*$Y$2+$AN1092)*(MAXA(1-$AI$3-$AL1092*$AA$3-$AP1092-0.12,0)+MINA($AI$3+$AL1092*$AA$3+$AP1092+0.12,1)*(1+$AH$3+$AO1092+$AK1092*$Z$4+0.4))</f>
        <v>3837.366</v>
      </c>
      <c r="AS1092" s="47">
        <f t="shared" si="148"/>
        <v>4690.9979999999996</v>
      </c>
      <c r="AT1092" s="47">
        <f t="shared" si="149"/>
        <v>8235.3960000000006</v>
      </c>
      <c r="AU1092" s="43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0">
        <f t="shared" si="151"/>
        <v>4650.741</v>
      </c>
      <c r="AR1093" s="10">
        <f t="shared" si="152"/>
        <v>4391.9459999999999</v>
      </c>
      <c r="AS1093" s="47">
        <f t="shared" si="148"/>
        <v>5151.9779999999992</v>
      </c>
      <c r="AT1093" s="47">
        <f t="shared" si="149"/>
        <v>9391.3559999999998</v>
      </c>
      <c r="AU1093" s="43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0">
        <f t="shared" si="151"/>
        <v>5180.6709999999985</v>
      </c>
      <c r="AR1094" s="10">
        <f t="shared" si="152"/>
        <v>4946.5259999999989</v>
      </c>
      <c r="AS1094" s="47">
        <f t="shared" si="148"/>
        <v>5612.9579999999996</v>
      </c>
      <c r="AT1094" s="47">
        <f t="shared" si="149"/>
        <v>10547.315999999999</v>
      </c>
      <c r="AU1094" s="43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0">
        <f t="shared" si="151"/>
        <v>5710.6009999999987</v>
      </c>
      <c r="AR1095" s="10">
        <f t="shared" si="152"/>
        <v>5501.1059999999998</v>
      </c>
      <c r="AS1095" s="47">
        <f t="shared" si="148"/>
        <v>6073.9379999999983</v>
      </c>
      <c r="AT1095" s="47">
        <f t="shared" si="149"/>
        <v>11703.275999999998</v>
      </c>
      <c r="AU1095" s="43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0">
        <f t="shared" si="151"/>
        <v>6240.5309999999999</v>
      </c>
      <c r="AR1096" s="10">
        <f t="shared" si="152"/>
        <v>6055.6859999999997</v>
      </c>
      <c r="AS1096" s="47">
        <f t="shared" si="148"/>
        <v>6534.9179999999988</v>
      </c>
      <c r="AT1096" s="47">
        <f t="shared" si="149"/>
        <v>12859.235999999999</v>
      </c>
      <c r="AU1096" s="43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0">
        <f t="shared" si="151"/>
        <v>6770.4609999999993</v>
      </c>
      <c r="AR1097" s="10">
        <f t="shared" si="152"/>
        <v>6610.2659999999996</v>
      </c>
      <c r="AS1097" s="47">
        <f t="shared" si="148"/>
        <v>6949.7999999999993</v>
      </c>
      <c r="AT1097" s="47">
        <f t="shared" si="149"/>
        <v>13899.599999999999</v>
      </c>
      <c r="AU1097" s="43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0">
        <f t="shared" si="151"/>
        <v>7300.3909999999996</v>
      </c>
      <c r="AR1098" s="10">
        <f t="shared" si="152"/>
        <v>7164.8459999999995</v>
      </c>
      <c r="AS1098" s="47">
        <f t="shared" si="148"/>
        <v>6949.7999999999993</v>
      </c>
      <c r="AT1098" s="47">
        <f t="shared" si="149"/>
        <v>13899.599999999999</v>
      </c>
      <c r="AU1098" s="43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0">
        <f t="shared" si="151"/>
        <v>7830.3209999999999</v>
      </c>
      <c r="AR1099" s="10">
        <f t="shared" si="152"/>
        <v>7719.4259999999995</v>
      </c>
      <c r="AS1099" s="47">
        <f t="shared" si="148"/>
        <v>6949.7999999999993</v>
      </c>
      <c r="AT1099" s="47">
        <f t="shared" si="149"/>
        <v>13899.599999999999</v>
      </c>
      <c r="AU1099" s="43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0">
        <f t="shared" si="151"/>
        <v>7989.2999999999993</v>
      </c>
      <c r="AR1100" s="10">
        <f t="shared" si="152"/>
        <v>7885.7999999999993</v>
      </c>
      <c r="AS1100" s="47">
        <f t="shared" si="148"/>
        <v>6949.7999999999993</v>
      </c>
      <c r="AT1100" s="47">
        <f t="shared" si="149"/>
        <v>13899.599999999999</v>
      </c>
      <c r="AU1100" s="43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0">
        <f t="shared" si="151"/>
        <v>7989.2999999999993</v>
      </c>
      <c r="AR1101" s="10">
        <f t="shared" si="152"/>
        <v>7885.7999999999993</v>
      </c>
      <c r="AS1101" s="47">
        <f t="shared" si="148"/>
        <v>6949.7999999999993</v>
      </c>
      <c r="AT1101" s="47">
        <f t="shared" si="149"/>
        <v>13899.599999999999</v>
      </c>
      <c r="AU1101" s="43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0">
        <f t="shared" si="151"/>
        <v>7989.2999999999993</v>
      </c>
      <c r="AR1102" s="10">
        <f t="shared" si="152"/>
        <v>7885.7999999999993</v>
      </c>
      <c r="AS1102" s="47">
        <f t="shared" si="148"/>
        <v>6949.7999999999993</v>
      </c>
      <c r="AT1102" s="47">
        <f t="shared" si="149"/>
        <v>13899.599999999999</v>
      </c>
      <c r="AU1102" s="43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0">
        <f t="shared" si="151"/>
        <v>5191.7000000000007</v>
      </c>
      <c r="AR1103" s="10">
        <f t="shared" si="152"/>
        <v>5096.5199999999995</v>
      </c>
      <c r="AS1103" s="47">
        <f t="shared" si="148"/>
        <v>5358.6</v>
      </c>
      <c r="AT1103" s="47">
        <f t="shared" si="149"/>
        <v>10389.599999999999</v>
      </c>
      <c r="AU1103" s="43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0">
        <f t="shared" si="151"/>
        <v>5595.2</v>
      </c>
      <c r="AR1104" s="10">
        <f t="shared" si="152"/>
        <v>5541.1200000000008</v>
      </c>
      <c r="AS1104" s="47">
        <f t="shared" si="148"/>
        <v>5709.5999999999995</v>
      </c>
      <c r="AT1104" s="47">
        <f t="shared" si="149"/>
        <v>11325.6</v>
      </c>
      <c r="AU1104" s="43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0">
        <f t="shared" si="151"/>
        <v>5998.7</v>
      </c>
      <c r="AR1105" s="10">
        <f t="shared" si="152"/>
        <v>5985.7199999999993</v>
      </c>
      <c r="AS1105" s="47">
        <f t="shared" si="148"/>
        <v>5850</v>
      </c>
      <c r="AT1105" s="47">
        <f t="shared" si="149"/>
        <v>11700</v>
      </c>
      <c r="AU1105" s="43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0">
        <f t="shared" si="151"/>
        <v>6402.2000000000007</v>
      </c>
      <c r="AR1106" s="10">
        <f t="shared" si="152"/>
        <v>6430.3200000000006</v>
      </c>
      <c r="AS1106" s="47">
        <f t="shared" si="148"/>
        <v>5850</v>
      </c>
      <c r="AT1106" s="47">
        <f t="shared" si="149"/>
        <v>11700</v>
      </c>
      <c r="AU1106" s="43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0">
        <f t="shared" si="151"/>
        <v>6725</v>
      </c>
      <c r="AR1107" s="10">
        <f t="shared" si="152"/>
        <v>6786</v>
      </c>
      <c r="AS1107" s="47">
        <f t="shared" si="148"/>
        <v>5850</v>
      </c>
      <c r="AT1107" s="47">
        <f t="shared" si="149"/>
        <v>11700</v>
      </c>
      <c r="AU1107" s="43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0">
        <f t="shared" si="151"/>
        <v>6725</v>
      </c>
      <c r="AR1108" s="10">
        <f t="shared" si="152"/>
        <v>6786</v>
      </c>
      <c r="AS1108" s="47">
        <f t="shared" si="148"/>
        <v>5850</v>
      </c>
      <c r="AT1108" s="47">
        <f t="shared" si="149"/>
        <v>11700</v>
      </c>
      <c r="AU1108" s="43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0">
        <f t="shared" si="151"/>
        <v>6725</v>
      </c>
      <c r="AR1109" s="10">
        <f t="shared" si="152"/>
        <v>6786</v>
      </c>
      <c r="AS1109" s="47">
        <f t="shared" si="148"/>
        <v>5850</v>
      </c>
      <c r="AT1109" s="47">
        <f t="shared" si="149"/>
        <v>11700</v>
      </c>
      <c r="AU1109" s="43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0">
        <f t="shared" si="151"/>
        <v>6725</v>
      </c>
      <c r="AR1110" s="10">
        <f t="shared" si="152"/>
        <v>6786</v>
      </c>
      <c r="AS1110" s="47">
        <f t="shared" si="148"/>
        <v>5850</v>
      </c>
      <c r="AT1110" s="47">
        <f t="shared" si="149"/>
        <v>11700</v>
      </c>
      <c r="AU1110" s="43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0">
        <f t="shared" si="151"/>
        <v>6725</v>
      </c>
      <c r="AR1111" s="10">
        <f t="shared" si="152"/>
        <v>6786</v>
      </c>
      <c r="AS1111" s="47">
        <f t="shared" si="148"/>
        <v>5850</v>
      </c>
      <c r="AT1111" s="47">
        <f t="shared" si="149"/>
        <v>11700</v>
      </c>
      <c r="AU1111" s="43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0">
        <f t="shared" si="151"/>
        <v>6725</v>
      </c>
      <c r="AR1112" s="10">
        <f t="shared" si="152"/>
        <v>6786</v>
      </c>
      <c r="AS1112" s="47">
        <f t="shared" si="148"/>
        <v>5850</v>
      </c>
      <c r="AT1112" s="47">
        <f t="shared" si="149"/>
        <v>11700</v>
      </c>
      <c r="AU1112" s="43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0">
        <f t="shared" si="151"/>
        <v>6725</v>
      </c>
      <c r="AR1113" s="10">
        <f t="shared" si="152"/>
        <v>6786</v>
      </c>
      <c r="AS1113" s="47">
        <f t="shared" si="148"/>
        <v>5850</v>
      </c>
      <c r="AT1113" s="47">
        <f t="shared" si="149"/>
        <v>11700</v>
      </c>
      <c r="AU1113" s="43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0">
        <f t="shared" si="151"/>
        <v>4299.3</v>
      </c>
      <c r="AR1114" s="10">
        <f t="shared" si="152"/>
        <v>4100.2299999999996</v>
      </c>
      <c r="AS1114" s="47">
        <f t="shared" si="148"/>
        <v>4783.1499999999996</v>
      </c>
      <c r="AT1114" s="47">
        <f t="shared" si="149"/>
        <v>8238.4</v>
      </c>
      <c r="AU1114" s="43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0">
        <f t="shared" si="151"/>
        <v>4758.3</v>
      </c>
      <c r="AR1115" s="10">
        <f t="shared" si="152"/>
        <v>4615.1299999999992</v>
      </c>
      <c r="AS1115" s="47">
        <f t="shared" si="148"/>
        <v>5189.6500000000005</v>
      </c>
      <c r="AT1115" s="47">
        <f t="shared" si="149"/>
        <v>9322.4</v>
      </c>
      <c r="AU1115" s="43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0">
        <f t="shared" si="151"/>
        <v>5217.2999999999993</v>
      </c>
      <c r="AR1116" s="10">
        <f t="shared" si="152"/>
        <v>5130.03</v>
      </c>
      <c r="AS1116" s="47">
        <f t="shared" si="148"/>
        <v>5596.15</v>
      </c>
      <c r="AT1116" s="47">
        <f t="shared" si="149"/>
        <v>10406.4</v>
      </c>
      <c r="AU1116" s="43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0">
        <f t="shared" si="151"/>
        <v>5676.3</v>
      </c>
      <c r="AR1117" s="10">
        <f t="shared" si="152"/>
        <v>5644.9299999999994</v>
      </c>
      <c r="AS1117" s="47">
        <f t="shared" si="148"/>
        <v>6002.65</v>
      </c>
      <c r="AT1117" s="47">
        <f t="shared" si="149"/>
        <v>11490.400000000001</v>
      </c>
      <c r="AU1117" s="43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0">
        <f t="shared" si="151"/>
        <v>6135.2999999999993</v>
      </c>
      <c r="AR1118" s="10">
        <f t="shared" si="152"/>
        <v>6159.83</v>
      </c>
      <c r="AS1118" s="47">
        <f t="shared" si="148"/>
        <v>6409.15</v>
      </c>
      <c r="AT1118" s="47">
        <f t="shared" si="149"/>
        <v>12574.4</v>
      </c>
      <c r="AU1118" s="43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0">
        <f t="shared" si="151"/>
        <v>6594.3000000000011</v>
      </c>
      <c r="AR1119" s="10">
        <f t="shared" si="152"/>
        <v>6674.7300000000005</v>
      </c>
      <c r="AS1119" s="47">
        <f t="shared" si="148"/>
        <v>6775</v>
      </c>
      <c r="AT1119" s="47">
        <f t="shared" si="149"/>
        <v>13550</v>
      </c>
      <c r="AU1119" s="43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0">
        <f t="shared" si="151"/>
        <v>7053.2999999999993</v>
      </c>
      <c r="AR1120" s="10">
        <f t="shared" si="152"/>
        <v>7189.63</v>
      </c>
      <c r="AS1120" s="47">
        <f t="shared" si="148"/>
        <v>6775</v>
      </c>
      <c r="AT1120" s="47">
        <f t="shared" si="149"/>
        <v>13550</v>
      </c>
      <c r="AU1120" s="43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0">
        <f t="shared" si="151"/>
        <v>7512.3</v>
      </c>
      <c r="AR1121" s="10">
        <f t="shared" si="152"/>
        <v>7704.53</v>
      </c>
      <c r="AS1121" s="47">
        <f t="shared" si="148"/>
        <v>6775</v>
      </c>
      <c r="AT1121" s="47">
        <f t="shared" si="149"/>
        <v>13550</v>
      </c>
      <c r="AU1121" s="43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0">
        <f t="shared" si="151"/>
        <v>7650</v>
      </c>
      <c r="AR1122" s="10">
        <f t="shared" si="152"/>
        <v>7859</v>
      </c>
      <c r="AS1122" s="47">
        <f t="shared" si="148"/>
        <v>6775</v>
      </c>
      <c r="AT1122" s="47">
        <f t="shared" si="149"/>
        <v>13550</v>
      </c>
      <c r="AU1122" s="43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0">
        <f t="shared" si="151"/>
        <v>7650</v>
      </c>
      <c r="AR1123" s="10">
        <f t="shared" si="152"/>
        <v>7859</v>
      </c>
      <c r="AS1123" s="47">
        <f t="shared" si="148"/>
        <v>6775</v>
      </c>
      <c r="AT1123" s="47">
        <f t="shared" si="149"/>
        <v>13550</v>
      </c>
      <c r="AU1123" s="43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0">
        <f t="shared" si="151"/>
        <v>7650</v>
      </c>
      <c r="AR1124" s="10">
        <f t="shared" si="152"/>
        <v>7859</v>
      </c>
      <c r="AS1124" s="47">
        <f t="shared" si="148"/>
        <v>6775</v>
      </c>
      <c r="AT1124" s="47">
        <f t="shared" si="149"/>
        <v>13550</v>
      </c>
      <c r="AU1124" s="43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0">
        <f t="shared" si="151"/>
        <v>4427.1909999999998</v>
      </c>
      <c r="AR1125" s="10">
        <f t="shared" si="152"/>
        <v>4165.3459999999995</v>
      </c>
      <c r="AS1125" s="47">
        <f t="shared" si="148"/>
        <v>5091.9379999999992</v>
      </c>
      <c r="AT1125" s="47">
        <f t="shared" si="149"/>
        <v>8939.2759999999998</v>
      </c>
      <c r="AU1125" s="43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0">
        <f t="shared" si="151"/>
        <v>4996.5209999999997</v>
      </c>
      <c r="AR1126" s="10">
        <f t="shared" si="152"/>
        <v>4767.326</v>
      </c>
      <c r="AS1126" s="47">
        <f t="shared" si="148"/>
        <v>5592.3179999999993</v>
      </c>
      <c r="AT1126" s="47">
        <f t="shared" si="149"/>
        <v>10194.036</v>
      </c>
      <c r="AU1126" s="43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0">
        <f t="shared" si="151"/>
        <v>5565.8509999999987</v>
      </c>
      <c r="AR1127" s="10">
        <f t="shared" si="152"/>
        <v>5369.3059999999996</v>
      </c>
      <c r="AS1127" s="47">
        <f t="shared" si="148"/>
        <v>6092.6979999999994</v>
      </c>
      <c r="AT1127" s="47">
        <f t="shared" si="149"/>
        <v>11448.795999999998</v>
      </c>
      <c r="AU1127" s="43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0">
        <f t="shared" si="151"/>
        <v>6135.1809999999987</v>
      </c>
      <c r="AR1128" s="10">
        <f t="shared" si="152"/>
        <v>5971.2859999999991</v>
      </c>
      <c r="AS1128" s="47">
        <f t="shared" si="148"/>
        <v>6593.0779999999986</v>
      </c>
      <c r="AT1128" s="47">
        <f t="shared" si="149"/>
        <v>12703.555999999999</v>
      </c>
      <c r="AU1128" s="43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0">
        <f t="shared" si="151"/>
        <v>6704.5110000000004</v>
      </c>
      <c r="AR1129" s="10">
        <f t="shared" si="152"/>
        <v>6573.2659999999996</v>
      </c>
      <c r="AS1129" s="47">
        <f t="shared" si="148"/>
        <v>7093.4579999999987</v>
      </c>
      <c r="AT1129" s="47">
        <f t="shared" si="149"/>
        <v>13958.315999999997</v>
      </c>
      <c r="AU1129" s="43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0">
        <f t="shared" si="151"/>
        <v>7273.8409999999994</v>
      </c>
      <c r="AR1130" s="10">
        <f t="shared" si="152"/>
        <v>7175.2460000000001</v>
      </c>
      <c r="AS1130" s="47">
        <f t="shared" si="148"/>
        <v>7543.7999999999993</v>
      </c>
      <c r="AT1130" s="47">
        <f t="shared" si="149"/>
        <v>15087.599999999999</v>
      </c>
      <c r="AU1130" s="43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0">
        <f t="shared" si="151"/>
        <v>7843.1709999999994</v>
      </c>
      <c r="AR1131" s="10">
        <f t="shared" si="152"/>
        <v>7777.2259999999987</v>
      </c>
      <c r="AS1131" s="47">
        <f t="shared" si="148"/>
        <v>7543.7999999999993</v>
      </c>
      <c r="AT1131" s="47">
        <f t="shared" si="149"/>
        <v>15087.599999999999</v>
      </c>
      <c r="AU1131" s="43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0">
        <f t="shared" si="151"/>
        <v>8412.5010000000002</v>
      </c>
      <c r="AR1132" s="10">
        <f t="shared" si="152"/>
        <v>8379.2060000000001</v>
      </c>
      <c r="AS1132" s="47">
        <f t="shared" si="148"/>
        <v>7543.7999999999993</v>
      </c>
      <c r="AT1132" s="47">
        <f t="shared" si="149"/>
        <v>15087.599999999999</v>
      </c>
      <c r="AU1132" s="43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0">
        <f t="shared" si="151"/>
        <v>8583.2999999999993</v>
      </c>
      <c r="AR1133" s="10">
        <f t="shared" si="152"/>
        <v>8559.7999999999993</v>
      </c>
      <c r="AS1133" s="47">
        <f t="shared" si="148"/>
        <v>7543.7999999999993</v>
      </c>
      <c r="AT1133" s="47">
        <f t="shared" si="149"/>
        <v>15087.599999999999</v>
      </c>
      <c r="AU1133" s="43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0">
        <f t="shared" si="151"/>
        <v>8583.2999999999993</v>
      </c>
      <c r="AR1134" s="10">
        <f t="shared" si="152"/>
        <v>8559.7999999999993</v>
      </c>
      <c r="AS1134" s="47">
        <f t="shared" si="148"/>
        <v>7543.7999999999993</v>
      </c>
      <c r="AT1134" s="47">
        <f t="shared" si="149"/>
        <v>15087.599999999999</v>
      </c>
      <c r="AU1134" s="43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0">
        <f t="shared" si="151"/>
        <v>8583.2999999999993</v>
      </c>
      <c r="AR1135" s="10">
        <f t="shared" si="152"/>
        <v>8559.7999999999993</v>
      </c>
      <c r="AS1135" s="47">
        <f t="shared" si="148"/>
        <v>7543.7999999999993</v>
      </c>
      <c r="AT1135" s="47">
        <f t="shared" si="149"/>
        <v>15087.599999999999</v>
      </c>
      <c r="AU1135" s="43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0">
        <f t="shared" si="151"/>
        <v>5577.7000000000007</v>
      </c>
      <c r="AR1136" s="10">
        <f t="shared" si="152"/>
        <v>5532.12</v>
      </c>
      <c r="AS1136" s="47">
        <f t="shared" si="148"/>
        <v>5816.6</v>
      </c>
      <c r="AT1136" s="47">
        <f t="shared" si="149"/>
        <v>11277.599999999999</v>
      </c>
      <c r="AU1136" s="43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0">
        <f t="shared" si="151"/>
        <v>6011.2</v>
      </c>
      <c r="AR1137" s="10">
        <f t="shared" si="152"/>
        <v>6014.7200000000012</v>
      </c>
      <c r="AS1137" s="47">
        <f t="shared" si="148"/>
        <v>6197.5999999999995</v>
      </c>
      <c r="AT1137" s="47">
        <f t="shared" si="149"/>
        <v>12293.6</v>
      </c>
      <c r="AU1137" s="43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0">
        <f t="shared" si="151"/>
        <v>6444.7</v>
      </c>
      <c r="AR1138" s="10">
        <f t="shared" si="152"/>
        <v>6497.32</v>
      </c>
      <c r="AS1138" s="47">
        <f t="shared" si="148"/>
        <v>6350</v>
      </c>
      <c r="AT1138" s="47">
        <f t="shared" si="149"/>
        <v>12700</v>
      </c>
      <c r="AU1138" s="43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0">
        <f t="shared" si="151"/>
        <v>6878.2000000000007</v>
      </c>
      <c r="AR1139" s="10">
        <f t="shared" si="152"/>
        <v>6979.920000000001</v>
      </c>
      <c r="AS1139" s="47">
        <f t="shared" si="148"/>
        <v>6350</v>
      </c>
      <c r="AT1139" s="47">
        <f t="shared" si="149"/>
        <v>12700</v>
      </c>
      <c r="AU1139" s="43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0">
        <f t="shared" si="151"/>
        <v>7225</v>
      </c>
      <c r="AR1140" s="10">
        <f t="shared" si="152"/>
        <v>7366</v>
      </c>
      <c r="AS1140" s="47">
        <f t="shared" si="148"/>
        <v>6350</v>
      </c>
      <c r="AT1140" s="47">
        <f t="shared" si="149"/>
        <v>12700</v>
      </c>
      <c r="AU1140" s="43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0">
        <f t="shared" si="151"/>
        <v>7225</v>
      </c>
      <c r="AR1141" s="10">
        <f t="shared" si="152"/>
        <v>7366</v>
      </c>
      <c r="AS1141" s="47">
        <f t="shared" si="148"/>
        <v>6350</v>
      </c>
      <c r="AT1141" s="47">
        <f t="shared" si="149"/>
        <v>12700</v>
      </c>
      <c r="AU1141" s="43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0">
        <f t="shared" si="151"/>
        <v>7225</v>
      </c>
      <c r="AR1142" s="10">
        <f t="shared" si="152"/>
        <v>7366</v>
      </c>
      <c r="AS1142" s="47">
        <f t="shared" si="148"/>
        <v>6350</v>
      </c>
      <c r="AT1142" s="47">
        <f t="shared" si="149"/>
        <v>12700</v>
      </c>
      <c r="AU1142" s="43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0">
        <f t="shared" si="151"/>
        <v>7225</v>
      </c>
      <c r="AR1143" s="10">
        <f t="shared" si="152"/>
        <v>7366</v>
      </c>
      <c r="AS1143" s="47">
        <f t="shared" si="148"/>
        <v>6350</v>
      </c>
      <c r="AT1143" s="47">
        <f t="shared" si="149"/>
        <v>12700</v>
      </c>
      <c r="AU1143" s="43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0">
        <f t="shared" si="151"/>
        <v>7225</v>
      </c>
      <c r="AR1144" s="10">
        <f t="shared" si="152"/>
        <v>7366</v>
      </c>
      <c r="AS1144" s="47">
        <f t="shared" si="148"/>
        <v>6350</v>
      </c>
      <c r="AT1144" s="47">
        <f t="shared" si="149"/>
        <v>12700</v>
      </c>
      <c r="AU1144" s="43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0">
        <f t="shared" si="151"/>
        <v>7225</v>
      </c>
      <c r="AR1145" s="10">
        <f t="shared" si="152"/>
        <v>7366</v>
      </c>
      <c r="AS1145" s="47">
        <f t="shared" si="148"/>
        <v>6350</v>
      </c>
      <c r="AT1145" s="47">
        <f t="shared" si="149"/>
        <v>12700</v>
      </c>
      <c r="AU1145" s="43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0">
        <f t="shared" si="151"/>
        <v>7225</v>
      </c>
      <c r="AR1146" s="10">
        <f t="shared" si="152"/>
        <v>7366</v>
      </c>
      <c r="AS1146" s="47">
        <f t="shared" si="148"/>
        <v>6350</v>
      </c>
      <c r="AT1146" s="47">
        <f t="shared" si="149"/>
        <v>12700</v>
      </c>
      <c r="AU1146" s="43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0">
        <f t="shared" si="151"/>
        <v>4580.3000000000011</v>
      </c>
      <c r="AR1147" s="10">
        <f t="shared" si="152"/>
        <v>4402.83</v>
      </c>
      <c r="AS1147" s="47">
        <f t="shared" si="148"/>
        <v>5136.1499999999996</v>
      </c>
      <c r="AT1147" s="47">
        <f t="shared" si="149"/>
        <v>8846.4</v>
      </c>
      <c r="AU1147" s="43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0">
        <f t="shared" si="151"/>
        <v>5069.3000000000011</v>
      </c>
      <c r="AR1148" s="10">
        <f t="shared" si="152"/>
        <v>4955.7299999999996</v>
      </c>
      <c r="AS1148" s="47">
        <f t="shared" si="148"/>
        <v>5572.6500000000005</v>
      </c>
      <c r="AT1148" s="47">
        <f t="shared" si="149"/>
        <v>10010.4</v>
      </c>
      <c r="AU1148" s="43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0">
        <f t="shared" si="151"/>
        <v>5558.2999999999993</v>
      </c>
      <c r="AR1149" s="10">
        <f t="shared" si="152"/>
        <v>5508.6299999999992</v>
      </c>
      <c r="AS1149" s="47">
        <f t="shared" si="148"/>
        <v>6009.15</v>
      </c>
      <c r="AT1149" s="47">
        <f t="shared" si="149"/>
        <v>11174.4</v>
      </c>
      <c r="AU1149" s="43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0">
        <f t="shared" si="151"/>
        <v>6047.3000000000011</v>
      </c>
      <c r="AR1150" s="10">
        <f t="shared" si="152"/>
        <v>6061.5299999999988</v>
      </c>
      <c r="AS1150" s="47">
        <f t="shared" si="148"/>
        <v>6445.65</v>
      </c>
      <c r="AT1150" s="47">
        <f t="shared" si="149"/>
        <v>12338.400000000001</v>
      </c>
      <c r="AU1150" s="43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0">
        <f t="shared" si="151"/>
        <v>6536.3</v>
      </c>
      <c r="AR1151" s="10">
        <f t="shared" si="152"/>
        <v>6614.43</v>
      </c>
      <c r="AS1151" s="47">
        <f t="shared" si="148"/>
        <v>6882.15</v>
      </c>
      <c r="AT1151" s="47">
        <f t="shared" si="149"/>
        <v>13502.4</v>
      </c>
      <c r="AU1151" s="43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0">
        <f t="shared" si="151"/>
        <v>7025.300000000002</v>
      </c>
      <c r="AR1152" s="10">
        <f t="shared" si="152"/>
        <v>7167.33</v>
      </c>
      <c r="AS1152" s="47">
        <f t="shared" si="148"/>
        <v>7275</v>
      </c>
      <c r="AT1152" s="47">
        <f t="shared" si="149"/>
        <v>14550</v>
      </c>
      <c r="AU1152" s="43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0">
        <f t="shared" si="151"/>
        <v>7514.3</v>
      </c>
      <c r="AR1153" s="10">
        <f t="shared" si="152"/>
        <v>7720.2300000000005</v>
      </c>
      <c r="AS1153" s="47">
        <f t="shared" si="148"/>
        <v>7275</v>
      </c>
      <c r="AT1153" s="47">
        <f t="shared" si="149"/>
        <v>14550</v>
      </c>
      <c r="AU1153" s="43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0">
        <f t="shared" si="151"/>
        <v>8003.3000000000011</v>
      </c>
      <c r="AR1154" s="10">
        <f t="shared" si="152"/>
        <v>8273.1299999999992</v>
      </c>
      <c r="AS1154" s="47">
        <f t="shared" si="148"/>
        <v>7275</v>
      </c>
      <c r="AT1154" s="47">
        <f t="shared" si="149"/>
        <v>14550</v>
      </c>
      <c r="AU1154" s="43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0">
        <f t="shared" si="151"/>
        <v>8150.0000000000009</v>
      </c>
      <c r="AR1155" s="10">
        <f t="shared" si="152"/>
        <v>8439</v>
      </c>
      <c r="AS1155" s="47">
        <f t="shared" ref="AS1155:AS1190" si="153">$AG$3*(1+$AJ1155*$Y$2+$AN1155)*(MAXA(1-$AI$3-$AL1155*$AA$3-$AP1155-0.36,0)+MINA($AI$3+$AL1155*$AA$3+$AP1155+0.36,1)*(1+$AH$3+$AO1155+$AK1155*$Z$4))</f>
        <v>7275</v>
      </c>
      <c r="AT1155" s="47">
        <f t="shared" ref="AT1155:AT1190" si="154">$AG$3*(1+$AJ1155*$Y$2+$AN1155)*(MAXA(1-$AI$3-$AL1155*$AA$3-$AP1155-0.36,0)+2*MINA($AI$3+$AL1155*$AA$3+$AP1155+0.36,1)*(1+$AH$3+$AO1155+$AK1155*$Z$4))</f>
        <v>14550</v>
      </c>
      <c r="AU1155" s="43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0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0">
        <f t="shared" ref="AR1156:AR1190" si="157">$AG$3*(1+$AJ1156*$Y$2+$AN1156)*(MAXA(1-$AI$3-$AL1156*$AA$3-$AP1156-0.12,0)+MINA($AI$3+$AL1156*$AA$3+$AP1156+0.12,1)*(1+$AH$3+$AO1156+$AK1156*$Z$4+0.4))</f>
        <v>8439</v>
      </c>
      <c r="AS1156" s="47">
        <f t="shared" si="153"/>
        <v>7275</v>
      </c>
      <c r="AT1156" s="47">
        <f t="shared" si="154"/>
        <v>14550</v>
      </c>
      <c r="AU1156" s="43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0">
        <f t="shared" si="156"/>
        <v>8150.0000000000009</v>
      </c>
      <c r="AR1157" s="10">
        <f t="shared" si="157"/>
        <v>8439</v>
      </c>
      <c r="AS1157" s="47">
        <f t="shared" si="153"/>
        <v>7275</v>
      </c>
      <c r="AT1157" s="47">
        <f t="shared" si="154"/>
        <v>14550</v>
      </c>
      <c r="AU1157" s="43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0">
        <f t="shared" si="156"/>
        <v>4733.5709999999999</v>
      </c>
      <c r="AR1158" s="10">
        <f t="shared" si="157"/>
        <v>4493.326</v>
      </c>
      <c r="AS1158" s="47">
        <f t="shared" si="153"/>
        <v>5492.8779999999988</v>
      </c>
      <c r="AT1158" s="47">
        <f t="shared" si="154"/>
        <v>9643.1560000000009</v>
      </c>
      <c r="AU1158" s="43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0">
        <f t="shared" si="156"/>
        <v>5342.3010000000004</v>
      </c>
      <c r="AR1159" s="10">
        <f t="shared" si="157"/>
        <v>5142.7060000000001</v>
      </c>
      <c r="AS1159" s="47">
        <f t="shared" si="153"/>
        <v>6032.6579999999994</v>
      </c>
      <c r="AT1159" s="47">
        <f t="shared" si="154"/>
        <v>10996.716</v>
      </c>
      <c r="AU1159" s="43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0">
        <f t="shared" si="156"/>
        <v>5951.030999999999</v>
      </c>
      <c r="AR1160" s="10">
        <f t="shared" si="157"/>
        <v>5792.0859999999993</v>
      </c>
      <c r="AS1160" s="47">
        <f t="shared" si="153"/>
        <v>6572.4379999999992</v>
      </c>
      <c r="AT1160" s="47">
        <f t="shared" si="154"/>
        <v>12350.276</v>
      </c>
      <c r="AU1160" s="43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0">
        <f t="shared" si="156"/>
        <v>6559.7609999999995</v>
      </c>
      <c r="AR1161" s="10">
        <f t="shared" si="157"/>
        <v>6441.4659999999994</v>
      </c>
      <c r="AS1161" s="47">
        <f t="shared" si="153"/>
        <v>7112.2179999999989</v>
      </c>
      <c r="AT1161" s="47">
        <f t="shared" si="154"/>
        <v>13703.835999999998</v>
      </c>
      <c r="AU1161" s="43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0">
        <f t="shared" si="156"/>
        <v>7168.4910000000009</v>
      </c>
      <c r="AR1162" s="10">
        <f t="shared" si="157"/>
        <v>7090.8459999999995</v>
      </c>
      <c r="AS1162" s="47">
        <f t="shared" si="153"/>
        <v>7651.9979999999987</v>
      </c>
      <c r="AT1162" s="47">
        <f t="shared" si="154"/>
        <v>15057.395999999997</v>
      </c>
      <c r="AU1162" s="43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0">
        <f t="shared" si="156"/>
        <v>7777.2210000000005</v>
      </c>
      <c r="AR1163" s="10">
        <f t="shared" si="157"/>
        <v>7740.2259999999997</v>
      </c>
      <c r="AS1163" s="47">
        <f t="shared" si="153"/>
        <v>8137.7999999999993</v>
      </c>
      <c r="AT1163" s="47">
        <f t="shared" si="154"/>
        <v>16275.599999999999</v>
      </c>
      <c r="AU1163" s="43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0">
        <f t="shared" si="156"/>
        <v>8385.9510000000009</v>
      </c>
      <c r="AR1164" s="10">
        <f t="shared" si="157"/>
        <v>8389.6059999999998</v>
      </c>
      <c r="AS1164" s="47">
        <f t="shared" si="153"/>
        <v>8137.7999999999993</v>
      </c>
      <c r="AT1164" s="47">
        <f t="shared" si="154"/>
        <v>16275.599999999999</v>
      </c>
      <c r="AU1164" s="43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0">
        <f t="shared" si="156"/>
        <v>8994.6810000000005</v>
      </c>
      <c r="AR1165" s="10">
        <f t="shared" si="157"/>
        <v>9038.985999999999</v>
      </c>
      <c r="AS1165" s="47">
        <f t="shared" si="153"/>
        <v>8137.7999999999993</v>
      </c>
      <c r="AT1165" s="47">
        <f t="shared" si="154"/>
        <v>16275.599999999999</v>
      </c>
      <c r="AU1165" s="43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0">
        <f t="shared" si="156"/>
        <v>9177.3000000000011</v>
      </c>
      <c r="AR1166" s="10">
        <f t="shared" si="157"/>
        <v>9233.7999999999993</v>
      </c>
      <c r="AS1166" s="47">
        <f t="shared" si="153"/>
        <v>8137.7999999999993</v>
      </c>
      <c r="AT1166" s="47">
        <f t="shared" si="154"/>
        <v>16275.599999999999</v>
      </c>
      <c r="AU1166" s="43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0">
        <f t="shared" si="156"/>
        <v>9177.3000000000011</v>
      </c>
      <c r="AR1167" s="10">
        <f t="shared" si="157"/>
        <v>9233.7999999999993</v>
      </c>
      <c r="AS1167" s="47">
        <f t="shared" si="153"/>
        <v>8137.7999999999993</v>
      </c>
      <c r="AT1167" s="47">
        <f t="shared" si="154"/>
        <v>16275.599999999999</v>
      </c>
      <c r="AU1167" s="43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0">
        <f t="shared" si="156"/>
        <v>9177.3000000000011</v>
      </c>
      <c r="AR1168" s="10">
        <f t="shared" si="157"/>
        <v>9233.7999999999993</v>
      </c>
      <c r="AS1168" s="47">
        <f t="shared" si="153"/>
        <v>8137.7999999999993</v>
      </c>
      <c r="AT1168" s="47">
        <f t="shared" si="154"/>
        <v>16275.599999999999</v>
      </c>
      <c r="AU1168" s="43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0">
        <f t="shared" si="156"/>
        <v>5963.7000000000016</v>
      </c>
      <c r="AR1169" s="10">
        <f t="shared" si="157"/>
        <v>5967.72</v>
      </c>
      <c r="AS1169" s="47">
        <f t="shared" si="153"/>
        <v>6274.6</v>
      </c>
      <c r="AT1169" s="47">
        <f t="shared" si="154"/>
        <v>12165.599999999999</v>
      </c>
      <c r="AU1169" s="43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0">
        <f t="shared" si="156"/>
        <v>6427.2000000000007</v>
      </c>
      <c r="AR1170" s="10">
        <f t="shared" si="157"/>
        <v>6488.3200000000006</v>
      </c>
      <c r="AS1170" s="47">
        <f t="shared" si="153"/>
        <v>6685.5999999999995</v>
      </c>
      <c r="AT1170" s="47">
        <f t="shared" si="154"/>
        <v>13261.6</v>
      </c>
      <c r="AU1170" s="43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0">
        <f t="shared" si="156"/>
        <v>6890.7000000000007</v>
      </c>
      <c r="AR1171" s="10">
        <f t="shared" si="157"/>
        <v>7008.9199999999992</v>
      </c>
      <c r="AS1171" s="47">
        <f t="shared" si="153"/>
        <v>6850</v>
      </c>
      <c r="AT1171" s="47">
        <f t="shared" si="154"/>
        <v>13700</v>
      </c>
      <c r="AU1171" s="43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0">
        <f t="shared" si="156"/>
        <v>7354.2000000000025</v>
      </c>
      <c r="AR1172" s="10">
        <f t="shared" si="157"/>
        <v>7529.52</v>
      </c>
      <c r="AS1172" s="47">
        <f t="shared" si="153"/>
        <v>6850</v>
      </c>
      <c r="AT1172" s="47">
        <f t="shared" si="154"/>
        <v>13700</v>
      </c>
      <c r="AU1172" s="43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0">
        <f t="shared" si="156"/>
        <v>7725.0000000000009</v>
      </c>
      <c r="AR1173" s="10">
        <f t="shared" si="157"/>
        <v>7946</v>
      </c>
      <c r="AS1173" s="47">
        <f t="shared" si="153"/>
        <v>6850</v>
      </c>
      <c r="AT1173" s="47">
        <f t="shared" si="154"/>
        <v>13700</v>
      </c>
      <c r="AU1173" s="43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0">
        <f t="shared" si="156"/>
        <v>7725.0000000000009</v>
      </c>
      <c r="AR1174" s="10">
        <f t="shared" si="157"/>
        <v>7946</v>
      </c>
      <c r="AS1174" s="47">
        <f t="shared" si="153"/>
        <v>6850</v>
      </c>
      <c r="AT1174" s="47">
        <f t="shared" si="154"/>
        <v>13700</v>
      </c>
      <c r="AU1174" s="43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0">
        <f t="shared" si="156"/>
        <v>7725.0000000000009</v>
      </c>
      <c r="AR1175" s="10">
        <f t="shared" si="157"/>
        <v>7946</v>
      </c>
      <c r="AS1175" s="47">
        <f t="shared" si="153"/>
        <v>6850</v>
      </c>
      <c r="AT1175" s="47">
        <f t="shared" si="154"/>
        <v>13700</v>
      </c>
      <c r="AU1175" s="43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0">
        <f t="shared" si="156"/>
        <v>7725.0000000000009</v>
      </c>
      <c r="AR1176" s="10">
        <f t="shared" si="157"/>
        <v>7946</v>
      </c>
      <c r="AS1176" s="47">
        <f t="shared" si="153"/>
        <v>6850</v>
      </c>
      <c r="AT1176" s="47">
        <f t="shared" si="154"/>
        <v>13700</v>
      </c>
      <c r="AU1176" s="43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0">
        <f t="shared" si="156"/>
        <v>7725.0000000000009</v>
      </c>
      <c r="AR1177" s="10">
        <f t="shared" si="157"/>
        <v>7946</v>
      </c>
      <c r="AS1177" s="47">
        <f t="shared" si="153"/>
        <v>6850</v>
      </c>
      <c r="AT1177" s="47">
        <f t="shared" si="154"/>
        <v>13700</v>
      </c>
      <c r="AU1177" s="43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0">
        <f t="shared" si="156"/>
        <v>7725.0000000000009</v>
      </c>
      <c r="AR1178" s="10">
        <f t="shared" si="157"/>
        <v>7946</v>
      </c>
      <c r="AS1178" s="47">
        <f t="shared" si="153"/>
        <v>6850</v>
      </c>
      <c r="AT1178" s="47">
        <f t="shared" si="154"/>
        <v>13700</v>
      </c>
      <c r="AU1178" s="43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0">
        <f t="shared" si="156"/>
        <v>7725.0000000000009</v>
      </c>
      <c r="AR1179" s="10">
        <f t="shared" si="157"/>
        <v>7946</v>
      </c>
      <c r="AS1179" s="47">
        <f t="shared" si="153"/>
        <v>6850</v>
      </c>
      <c r="AT1179" s="47">
        <f t="shared" si="154"/>
        <v>13700</v>
      </c>
      <c r="AU1179" s="43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0">
        <f t="shared" si="156"/>
        <v>4861.3</v>
      </c>
      <c r="AR1180" s="10">
        <f t="shared" si="157"/>
        <v>4705.4299999999994</v>
      </c>
      <c r="AS1180" s="47">
        <f t="shared" si="153"/>
        <v>5489.15</v>
      </c>
      <c r="AT1180" s="47">
        <f t="shared" si="154"/>
        <v>9454.4</v>
      </c>
      <c r="AU1180" s="43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0">
        <f t="shared" si="156"/>
        <v>5380.3</v>
      </c>
      <c r="AR1181" s="10">
        <f t="shared" si="157"/>
        <v>5296.33</v>
      </c>
      <c r="AS1181" s="47">
        <f t="shared" si="153"/>
        <v>5955.6500000000005</v>
      </c>
      <c r="AT1181" s="47">
        <f t="shared" si="154"/>
        <v>10698.4</v>
      </c>
      <c r="AU1181" s="43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0">
        <f t="shared" si="156"/>
        <v>5899.2999999999984</v>
      </c>
      <c r="AR1182" s="10">
        <f t="shared" si="157"/>
        <v>5887.23</v>
      </c>
      <c r="AS1182" s="47">
        <f t="shared" si="153"/>
        <v>6422.15</v>
      </c>
      <c r="AT1182" s="47">
        <f t="shared" si="154"/>
        <v>11942.4</v>
      </c>
      <c r="AU1182" s="43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0">
        <f t="shared" si="156"/>
        <v>6418.3</v>
      </c>
      <c r="AR1183" s="10">
        <f t="shared" si="157"/>
        <v>6478.1299999999992</v>
      </c>
      <c r="AS1183" s="47">
        <f t="shared" si="153"/>
        <v>6888.65</v>
      </c>
      <c r="AT1183" s="47">
        <f t="shared" si="154"/>
        <v>13186.400000000001</v>
      </c>
      <c r="AU1183" s="43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0">
        <f t="shared" si="156"/>
        <v>6937.2999999999993</v>
      </c>
      <c r="AR1184" s="10">
        <f t="shared" si="157"/>
        <v>7069.0300000000007</v>
      </c>
      <c r="AS1184" s="47">
        <f t="shared" si="153"/>
        <v>7355.15</v>
      </c>
      <c r="AT1184" s="47">
        <f t="shared" si="154"/>
        <v>14430.4</v>
      </c>
      <c r="AU1184" s="43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0">
        <f t="shared" si="156"/>
        <v>7456.3000000000011</v>
      </c>
      <c r="AR1185" s="10">
        <f t="shared" si="157"/>
        <v>7659.93</v>
      </c>
      <c r="AS1185" s="47">
        <f t="shared" si="153"/>
        <v>7775</v>
      </c>
      <c r="AT1185" s="47">
        <f t="shared" si="154"/>
        <v>15550</v>
      </c>
      <c r="AU1185" s="43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0">
        <f t="shared" si="156"/>
        <v>7975.2999999999993</v>
      </c>
      <c r="AR1186" s="10">
        <f t="shared" si="157"/>
        <v>8250.83</v>
      </c>
      <c r="AS1186" s="47">
        <f t="shared" si="153"/>
        <v>7775</v>
      </c>
      <c r="AT1186" s="47">
        <f t="shared" si="154"/>
        <v>15550</v>
      </c>
      <c r="AU1186" s="43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0">
        <f t="shared" si="156"/>
        <v>8494.3000000000011</v>
      </c>
      <c r="AR1187" s="10">
        <f t="shared" si="157"/>
        <v>8841.73</v>
      </c>
      <c r="AS1187" s="47">
        <f t="shared" si="153"/>
        <v>7775</v>
      </c>
      <c r="AT1187" s="47">
        <f t="shared" si="154"/>
        <v>15550</v>
      </c>
      <c r="AU1187" s="43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0">
        <f t="shared" si="156"/>
        <v>8650</v>
      </c>
      <c r="AR1188" s="10">
        <f t="shared" si="157"/>
        <v>9019</v>
      </c>
      <c r="AS1188" s="47">
        <f t="shared" si="153"/>
        <v>7775</v>
      </c>
      <c r="AT1188" s="47">
        <f t="shared" si="154"/>
        <v>15550</v>
      </c>
      <c r="AU1188" s="43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0">
        <f t="shared" si="156"/>
        <v>8650</v>
      </c>
      <c r="AR1189" s="10">
        <f t="shared" si="157"/>
        <v>9019</v>
      </c>
      <c r="AS1189" s="47">
        <f t="shared" si="153"/>
        <v>7775</v>
      </c>
      <c r="AT1189" s="47">
        <f t="shared" si="154"/>
        <v>15550</v>
      </c>
      <c r="AU1189" s="43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0">
        <f t="shared" si="156"/>
        <v>8650</v>
      </c>
      <c r="AR1190" s="10">
        <f t="shared" si="157"/>
        <v>9019</v>
      </c>
      <c r="AS1190" s="47">
        <f t="shared" si="153"/>
        <v>7775</v>
      </c>
      <c r="AT1190" s="47">
        <f t="shared" si="154"/>
        <v>15550</v>
      </c>
      <c r="AU1190" s="43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353</v>
      </c>
      <c r="D1" t="s">
        <v>349</v>
      </c>
      <c r="E1" t="s">
        <v>350</v>
      </c>
      <c r="F1" t="s">
        <v>351</v>
      </c>
      <c r="G1" t="s">
        <v>352</v>
      </c>
      <c r="H1" t="s">
        <v>354</v>
      </c>
      <c r="I1" t="s">
        <v>160</v>
      </c>
      <c r="J1" t="s">
        <v>197</v>
      </c>
      <c r="K1" t="s">
        <v>317</v>
      </c>
      <c r="L1" t="s">
        <v>344</v>
      </c>
    </row>
    <row r="2" spans="1:12">
      <c r="A2" t="s">
        <v>26</v>
      </c>
      <c r="B2" t="s">
        <v>311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312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311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312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311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312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311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312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345</v>
      </c>
      <c r="B1" t="s">
        <v>375</v>
      </c>
      <c r="C1" t="s">
        <v>194</v>
      </c>
      <c r="D1" t="s">
        <v>195</v>
      </c>
      <c r="E1" t="s">
        <v>347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317</v>
      </c>
      <c r="O1" t="s">
        <v>202</v>
      </c>
      <c r="P1" t="s">
        <v>344</v>
      </c>
      <c r="Q1" t="s">
        <v>204</v>
      </c>
      <c r="R1" t="s">
        <v>373</v>
      </c>
      <c r="S1" t="s">
        <v>374</v>
      </c>
    </row>
    <row r="2" spans="1:19" hidden="1">
      <c r="A2" t="s">
        <v>348</v>
      </c>
      <c r="B2" t="s">
        <v>348</v>
      </c>
      <c r="C2" t="s">
        <v>346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348</v>
      </c>
      <c r="B3" t="s">
        <v>348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348</v>
      </c>
      <c r="B4" t="s">
        <v>348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348</v>
      </c>
      <c r="B5" t="s">
        <v>348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348</v>
      </c>
      <c r="B6" t="s">
        <v>348</v>
      </c>
      <c r="C6" t="s">
        <v>346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348</v>
      </c>
      <c r="B7" t="s">
        <v>348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356</v>
      </c>
      <c r="B8" t="s">
        <v>356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356</v>
      </c>
      <c r="B9" t="s">
        <v>356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356</v>
      </c>
      <c r="B10" t="s">
        <v>356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356</v>
      </c>
      <c r="B11" t="s">
        <v>356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356</v>
      </c>
      <c r="B12" s="155" t="s">
        <v>356</v>
      </c>
      <c r="C12" s="155" t="s">
        <v>191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356</v>
      </c>
      <c r="B13" t="s">
        <v>356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357</v>
      </c>
      <c r="B14" t="s">
        <v>357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357</v>
      </c>
      <c r="B15" t="s">
        <v>357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357</v>
      </c>
      <c r="B16" t="s">
        <v>357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357</v>
      </c>
      <c r="B17" t="s">
        <v>357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357</v>
      </c>
      <c r="B18" t="s">
        <v>357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357</v>
      </c>
      <c r="B19" t="s">
        <v>357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376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55" t="s">
        <v>187</v>
      </c>
      <c r="B31" s="155"/>
      <c r="C31" s="155" t="s">
        <v>148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187</v>
      </c>
    </row>
    <row r="32" spans="1:19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358</v>
      </c>
      <c r="B38" s="159" t="s">
        <v>358</v>
      </c>
      <c r="C38" s="159" t="s">
        <v>149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358</v>
      </c>
      <c r="B39" t="s">
        <v>358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358</v>
      </c>
      <c r="B40" t="s">
        <v>358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358</v>
      </c>
      <c r="B41" t="s">
        <v>358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358</v>
      </c>
      <c r="B42" t="s">
        <v>358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358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377</v>
      </c>
    </row>
    <row r="44" spans="1:19" hidden="1">
      <c r="A44" t="s">
        <v>359</v>
      </c>
      <c r="B44" t="s">
        <v>359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359</v>
      </c>
      <c r="B45" t="s">
        <v>359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359</v>
      </c>
      <c r="B46" t="s">
        <v>359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359</v>
      </c>
      <c r="B47" s="2" t="s">
        <v>359</v>
      </c>
      <c r="C47" s="2" t="s">
        <v>148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205</v>
      </c>
    </row>
    <row r="48" spans="1:19" hidden="1">
      <c r="A48" t="s">
        <v>359</v>
      </c>
      <c r="B48" t="s">
        <v>359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359</v>
      </c>
      <c r="B49" s="2" t="s">
        <v>359</v>
      </c>
      <c r="C49" s="2" t="s">
        <v>148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135</v>
      </c>
      <c r="B53" s="162" t="s">
        <v>135</v>
      </c>
      <c r="C53" s="162" t="s">
        <v>152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135</v>
      </c>
      <c r="B55" s="162" t="s">
        <v>135</v>
      </c>
      <c r="C55" s="162" t="s">
        <v>191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150</v>
      </c>
      <c r="B61" s="155" t="s">
        <v>150</v>
      </c>
      <c r="C61" s="155" t="s">
        <v>191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376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376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376</v>
      </c>
    </row>
    <row r="66" spans="1:19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376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369</v>
      </c>
      <c r="B68" t="s">
        <v>369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369</v>
      </c>
      <c r="B69" t="s">
        <v>369</v>
      </c>
      <c r="C69" t="s">
        <v>85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369</v>
      </c>
      <c r="B70" t="s">
        <v>369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369</v>
      </c>
      <c r="B71" t="s">
        <v>369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369</v>
      </c>
      <c r="B72" t="s">
        <v>369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369</v>
      </c>
      <c r="B73" t="s">
        <v>369</v>
      </c>
      <c r="C73" t="s">
        <v>85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370</v>
      </c>
      <c r="B74" t="s">
        <v>370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370</v>
      </c>
      <c r="B75" t="s">
        <v>370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370</v>
      </c>
      <c r="B76" t="s">
        <v>370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370</v>
      </c>
      <c r="B77" t="s">
        <v>370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370</v>
      </c>
      <c r="B78" t="s">
        <v>370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370</v>
      </c>
      <c r="B79" t="s">
        <v>370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371</v>
      </c>
      <c r="B80" t="s">
        <v>371</v>
      </c>
      <c r="C80" t="s">
        <v>87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371</v>
      </c>
      <c r="B81" t="s">
        <v>371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371</v>
      </c>
      <c r="B82" t="s">
        <v>371</v>
      </c>
      <c r="C82" t="s">
        <v>87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371</v>
      </c>
      <c r="B83" t="s">
        <v>371</v>
      </c>
      <c r="C83" t="s">
        <v>85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371</v>
      </c>
      <c r="B84" t="s">
        <v>371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371</v>
      </c>
      <c r="B85" t="s">
        <v>371</v>
      </c>
      <c r="C85" t="s">
        <v>87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205</v>
      </c>
      <c r="S91" s="2" t="s">
        <v>377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376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205</v>
      </c>
      <c r="S122" s="2" t="s">
        <v>376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376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376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376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376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149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205</v>
      </c>
      <c r="S143" t="s">
        <v>150</v>
      </c>
    </row>
    <row r="144" spans="1:19">
      <c r="C144" t="s">
        <v>149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205</v>
      </c>
    </row>
    <row r="146" spans="1:18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376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376</v>
      </c>
    </row>
    <row r="173" spans="1:19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360</v>
      </c>
      <c r="C4" t="s">
        <v>361</v>
      </c>
      <c r="D4" t="s">
        <v>362</v>
      </c>
      <c r="E4" t="s">
        <v>363</v>
      </c>
      <c r="F4" t="s">
        <v>364</v>
      </c>
      <c r="G4" t="s">
        <v>365</v>
      </c>
      <c r="H4" t="s">
        <v>366</v>
      </c>
      <c r="I4" t="s">
        <v>367</v>
      </c>
      <c r="J4" t="s">
        <v>368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356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358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359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348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357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369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370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371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360</v>
      </c>
      <c r="C22" t="s">
        <v>361</v>
      </c>
      <c r="D22" t="s">
        <v>362</v>
      </c>
      <c r="E22" t="s">
        <v>363</v>
      </c>
      <c r="F22" t="s">
        <v>364</v>
      </c>
      <c r="G22" t="s">
        <v>365</v>
      </c>
      <c r="H22" t="s">
        <v>366</v>
      </c>
      <c r="I22" t="s">
        <v>367</v>
      </c>
      <c r="J22" t="s">
        <v>368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356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370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371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358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359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348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369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357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339</v>
      </c>
      <c r="B6" t="s">
        <v>3</v>
      </c>
      <c r="C6" t="s">
        <v>2</v>
      </c>
      <c r="D6" t="s">
        <v>336</v>
      </c>
      <c r="E6" t="s">
        <v>335</v>
      </c>
      <c r="F6" t="s">
        <v>337</v>
      </c>
      <c r="G6" t="s">
        <v>338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334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334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333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372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372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372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7"/>
  <sheetViews>
    <sheetView workbookViewId="0">
      <pane ySplit="1" topLeftCell="A103" activePane="bottomLeft" state="frozen"/>
      <selection pane="bottomLeft" activeCell="A126" sqref="A126"/>
    </sheetView>
  </sheetViews>
  <sheetFormatPr defaultRowHeight="15"/>
  <cols>
    <col min="1" max="2" width="11" style="182" customWidth="1"/>
    <col min="3" max="3" width="9" style="182"/>
    <col min="4" max="4" width="6.625" style="182" bestFit="1" customWidth="1"/>
    <col min="5" max="5" width="10" style="182" bestFit="1" customWidth="1"/>
    <col min="6" max="7" width="4" style="182" bestFit="1" customWidth="1"/>
    <col min="8" max="8" width="4.125" style="182" bestFit="1" customWidth="1"/>
    <col min="9" max="9" width="5.25" style="182" bestFit="1" customWidth="1"/>
    <col min="10" max="10" width="5.125" style="182" bestFit="1" customWidth="1"/>
    <col min="11" max="11" width="5.5" style="182" bestFit="1" customWidth="1"/>
    <col min="12" max="12" width="7" style="182" customWidth="1"/>
    <col min="13" max="13" width="6.875" style="182" customWidth="1"/>
    <col min="14" max="15" width="9" style="182"/>
    <col min="16" max="16" width="10.5" style="182" bestFit="1" customWidth="1"/>
    <col min="17" max="17" width="10.625" style="182" bestFit="1" customWidth="1"/>
    <col min="18" max="18" width="10.5" style="182" bestFit="1" customWidth="1"/>
    <col min="19" max="16384" width="9" style="182"/>
  </cols>
  <sheetData>
    <row r="1" spans="1:19">
      <c r="A1" s="183" t="s">
        <v>790</v>
      </c>
      <c r="B1" s="183" t="s">
        <v>791</v>
      </c>
      <c r="C1" s="183" t="s">
        <v>155</v>
      </c>
      <c r="D1" s="183" t="s">
        <v>787</v>
      </c>
      <c r="E1" s="183" t="s">
        <v>786</v>
      </c>
      <c r="F1" s="183" t="s">
        <v>785</v>
      </c>
      <c r="G1" s="183" t="s">
        <v>378</v>
      </c>
      <c r="H1" s="183" t="s">
        <v>784</v>
      </c>
      <c r="I1" s="183" t="s">
        <v>783</v>
      </c>
      <c r="J1" s="183" t="s">
        <v>782</v>
      </c>
      <c r="K1" s="183" t="s">
        <v>781</v>
      </c>
      <c r="L1" s="183" t="s">
        <v>780</v>
      </c>
      <c r="M1" s="183" t="s">
        <v>779</v>
      </c>
      <c r="N1" s="183" t="s">
        <v>778</v>
      </c>
      <c r="O1" s="183" t="s">
        <v>789</v>
      </c>
      <c r="P1" s="183" t="s">
        <v>793</v>
      </c>
      <c r="Q1" s="183" t="s">
        <v>794</v>
      </c>
      <c r="R1" s="183" t="s">
        <v>795</v>
      </c>
      <c r="S1" s="183" t="s">
        <v>792</v>
      </c>
    </row>
    <row r="2" spans="1:19">
      <c r="A2" s="197">
        <v>326</v>
      </c>
      <c r="B2" s="183" t="s">
        <v>388</v>
      </c>
      <c r="C2" s="183" t="s">
        <v>236</v>
      </c>
      <c r="D2" s="183">
        <v>4</v>
      </c>
      <c r="E2" s="183" t="s">
        <v>285</v>
      </c>
      <c r="F2" s="183">
        <v>1</v>
      </c>
      <c r="G2" s="183">
        <v>1</v>
      </c>
      <c r="H2" s="183">
        <v>1</v>
      </c>
      <c r="I2" s="183">
        <v>2</v>
      </c>
      <c r="J2" s="183">
        <v>1</v>
      </c>
      <c r="K2" s="183">
        <v>3</v>
      </c>
      <c r="L2" s="183">
        <v>3</v>
      </c>
      <c r="M2" s="183">
        <v>1</v>
      </c>
      <c r="N2" s="183"/>
      <c r="O2" s="183"/>
      <c r="P2" s="194">
        <f>SUM(Tabela2[[#This Row],[G]]+Tabela2[[#This Row],[D]]+Tabela2[[#This Row],[N]]+Tabela2[[#This Row],[HM]])</f>
        <v>6</v>
      </c>
      <c r="Q2" s="194">
        <f>SUM(Tabela2[[#This Row],[AO]]+Tabela2[[#This Row],[AD]]+Tabela2[[#This Row],[GWO]]+Tabela2[[#This Row],[GWD]])</f>
        <v>7</v>
      </c>
      <c r="R2" s="194">
        <f>Tabela2[[#This Row],[GWO]]+Tabela2[[#This Row],[GWD]]</f>
        <v>4</v>
      </c>
      <c r="S2" s="194">
        <f>SUM(Tabela2[[#This Row],[G]:[GWD]])</f>
        <v>13</v>
      </c>
    </row>
    <row r="3" spans="1:19">
      <c r="A3" s="197">
        <v>325</v>
      </c>
      <c r="B3" s="183" t="s">
        <v>390</v>
      </c>
      <c r="C3" s="183" t="s">
        <v>389</v>
      </c>
      <c r="D3" s="183">
        <v>4</v>
      </c>
      <c r="E3" s="183" t="s">
        <v>285</v>
      </c>
      <c r="F3" s="183">
        <v>3</v>
      </c>
      <c r="G3" s="183">
        <v>3</v>
      </c>
      <c r="H3" s="183">
        <v>3</v>
      </c>
      <c r="I3" s="183">
        <v>5</v>
      </c>
      <c r="J3" s="183">
        <v>5</v>
      </c>
      <c r="K3" s="183">
        <v>5</v>
      </c>
      <c r="L3" s="183">
        <v>5</v>
      </c>
      <c r="M3" s="183">
        <v>4</v>
      </c>
      <c r="N3" s="183"/>
      <c r="O3" s="183"/>
      <c r="P3" s="194">
        <f>SUM(Tabela2[[#This Row],[G]]+Tabela2[[#This Row],[D]]+Tabela2[[#This Row],[N]]+Tabela2[[#This Row],[HM]])</f>
        <v>14</v>
      </c>
      <c r="Q3" s="194">
        <f>SUM(Tabela2[[#This Row],[AO]]+Tabela2[[#This Row],[AD]]+Tabela2[[#This Row],[GWO]]+Tabela2[[#This Row],[GWD]])</f>
        <v>19</v>
      </c>
      <c r="R3" s="194">
        <f>Tabela2[[#This Row],[GWO]]+Tabela2[[#This Row],[GWD]]</f>
        <v>9</v>
      </c>
      <c r="S3" s="194">
        <f>SUM(Tabela2[[#This Row],[G]:[GWD]])</f>
        <v>33</v>
      </c>
    </row>
    <row r="4" spans="1:19">
      <c r="A4" s="197">
        <v>324</v>
      </c>
      <c r="B4" s="183" t="s">
        <v>392</v>
      </c>
      <c r="C4" s="183" t="s">
        <v>391</v>
      </c>
      <c r="D4" s="183">
        <v>4</v>
      </c>
      <c r="E4" s="183" t="s">
        <v>285</v>
      </c>
      <c r="F4" s="183">
        <v>3</v>
      </c>
      <c r="G4" s="183">
        <v>4</v>
      </c>
      <c r="H4" s="183">
        <v>1</v>
      </c>
      <c r="I4" s="183">
        <v>2</v>
      </c>
      <c r="J4" s="183">
        <v>4</v>
      </c>
      <c r="K4" s="183">
        <v>2</v>
      </c>
      <c r="L4" s="183">
        <v>5</v>
      </c>
      <c r="M4" s="183">
        <v>4</v>
      </c>
      <c r="N4" s="183"/>
      <c r="O4" s="183"/>
      <c r="P4" s="194">
        <f>SUM(Tabela2[[#This Row],[G]]+Tabela2[[#This Row],[D]]+Tabela2[[#This Row],[N]]+Tabela2[[#This Row],[HM]])</f>
        <v>10</v>
      </c>
      <c r="Q4" s="194">
        <f>SUM(Tabela2[[#This Row],[AO]]+Tabela2[[#This Row],[AD]]+Tabela2[[#This Row],[GWO]]+Tabela2[[#This Row],[GWD]])</f>
        <v>15</v>
      </c>
      <c r="R4" s="194">
        <f>Tabela2[[#This Row],[GWO]]+Tabela2[[#This Row],[GWD]]</f>
        <v>9</v>
      </c>
      <c r="S4" s="194">
        <f>SUM(Tabela2[[#This Row],[G]:[GWD]])</f>
        <v>25</v>
      </c>
    </row>
    <row r="5" spans="1:19">
      <c r="A5" s="197">
        <v>323</v>
      </c>
      <c r="B5" s="183" t="s">
        <v>393</v>
      </c>
      <c r="C5" s="183" t="s">
        <v>235</v>
      </c>
      <c r="D5" s="183">
        <v>4</v>
      </c>
      <c r="E5" s="183" t="s">
        <v>285</v>
      </c>
      <c r="F5" s="183">
        <v>2</v>
      </c>
      <c r="G5" s="183">
        <v>1</v>
      </c>
      <c r="H5" s="183">
        <v>1</v>
      </c>
      <c r="I5" s="183">
        <v>2</v>
      </c>
      <c r="J5" s="183">
        <v>3</v>
      </c>
      <c r="K5" s="183">
        <v>3</v>
      </c>
      <c r="L5" s="183">
        <v>2</v>
      </c>
      <c r="M5" s="183">
        <v>1</v>
      </c>
      <c r="N5" s="183"/>
      <c r="O5" s="183"/>
      <c r="P5" s="194">
        <f>SUM(Tabela2[[#This Row],[G]]+Tabela2[[#This Row],[D]]+Tabela2[[#This Row],[N]]+Tabela2[[#This Row],[HM]])</f>
        <v>7</v>
      </c>
      <c r="Q5" s="194">
        <f>SUM(Tabela2[[#This Row],[AO]]+Tabela2[[#This Row],[AD]]+Tabela2[[#This Row],[GWO]]+Tabela2[[#This Row],[GWD]])</f>
        <v>8</v>
      </c>
      <c r="R5" s="194">
        <f>Tabela2[[#This Row],[GWO]]+Tabela2[[#This Row],[GWD]]</f>
        <v>3</v>
      </c>
      <c r="S5" s="194">
        <f>SUM(Tabela2[[#This Row],[G]:[GWD]])</f>
        <v>15</v>
      </c>
    </row>
    <row r="6" spans="1:19">
      <c r="A6" s="197">
        <v>322</v>
      </c>
      <c r="B6" s="183" t="s">
        <v>394</v>
      </c>
      <c r="C6" s="183" t="s">
        <v>237</v>
      </c>
      <c r="D6" s="183">
        <v>4</v>
      </c>
      <c r="E6" s="183" t="s">
        <v>285</v>
      </c>
      <c r="F6" s="183">
        <v>2</v>
      </c>
      <c r="G6" s="183">
        <v>1</v>
      </c>
      <c r="H6" s="183">
        <v>1</v>
      </c>
      <c r="I6" s="183">
        <v>3</v>
      </c>
      <c r="J6" s="183">
        <v>3</v>
      </c>
      <c r="K6" s="183">
        <v>5</v>
      </c>
      <c r="L6" s="183">
        <v>3</v>
      </c>
      <c r="M6" s="183">
        <v>2</v>
      </c>
      <c r="N6" s="183"/>
      <c r="O6" s="183"/>
      <c r="P6" s="194">
        <f>SUM(Tabela2[[#This Row],[G]]+Tabela2[[#This Row],[D]]+Tabela2[[#This Row],[N]]+Tabela2[[#This Row],[HM]])</f>
        <v>9</v>
      </c>
      <c r="Q6" s="194">
        <f>SUM(Tabela2[[#This Row],[AO]]+Tabela2[[#This Row],[AD]]+Tabela2[[#This Row],[GWO]]+Tabela2[[#This Row],[GWD]])</f>
        <v>11</v>
      </c>
      <c r="R6" s="194">
        <f>Tabela2[[#This Row],[GWO]]+Tabela2[[#This Row],[GWD]]</f>
        <v>5</v>
      </c>
      <c r="S6" s="194">
        <f>SUM(Tabela2[[#This Row],[G]:[GWD]])</f>
        <v>20</v>
      </c>
    </row>
    <row r="7" spans="1:19">
      <c r="A7" s="197">
        <v>321</v>
      </c>
      <c r="B7" s="183" t="s">
        <v>396</v>
      </c>
      <c r="C7" s="183" t="s">
        <v>395</v>
      </c>
      <c r="D7" s="183">
        <v>4</v>
      </c>
      <c r="E7" s="183" t="s">
        <v>285</v>
      </c>
      <c r="F7" s="183">
        <v>2</v>
      </c>
      <c r="G7" s="183">
        <v>2</v>
      </c>
      <c r="H7" s="183">
        <v>1</v>
      </c>
      <c r="I7" s="183">
        <v>5</v>
      </c>
      <c r="J7" s="183">
        <v>1</v>
      </c>
      <c r="K7" s="183">
        <v>1</v>
      </c>
      <c r="L7" s="183">
        <v>4</v>
      </c>
      <c r="M7" s="183">
        <v>1</v>
      </c>
      <c r="N7" s="183"/>
      <c r="O7" s="183"/>
      <c r="P7" s="194">
        <f>SUM(Tabela2[[#This Row],[G]]+Tabela2[[#This Row],[D]]+Tabela2[[#This Row],[N]]+Tabela2[[#This Row],[HM]])</f>
        <v>6</v>
      </c>
      <c r="Q7" s="194">
        <f>SUM(Tabela2[[#This Row],[AO]]+Tabela2[[#This Row],[AD]]+Tabela2[[#This Row],[GWO]]+Tabela2[[#This Row],[GWD]])</f>
        <v>11</v>
      </c>
      <c r="R7" s="194">
        <f>Tabela2[[#This Row],[GWO]]+Tabela2[[#This Row],[GWD]]</f>
        <v>5</v>
      </c>
      <c r="S7" s="194">
        <f>SUM(Tabela2[[#This Row],[G]:[GWD]])</f>
        <v>17</v>
      </c>
    </row>
    <row r="8" spans="1:19">
      <c r="A8" s="197">
        <v>320</v>
      </c>
      <c r="B8" s="183" t="s">
        <v>398</v>
      </c>
      <c r="C8" s="183" t="s">
        <v>397</v>
      </c>
      <c r="D8" s="183">
        <v>4</v>
      </c>
      <c r="E8" s="183" t="s">
        <v>285</v>
      </c>
      <c r="F8" s="183">
        <v>3</v>
      </c>
      <c r="G8" s="183">
        <v>1</v>
      </c>
      <c r="H8" s="183">
        <v>5</v>
      </c>
      <c r="I8" s="183">
        <v>3</v>
      </c>
      <c r="J8" s="183">
        <v>1</v>
      </c>
      <c r="K8" s="183">
        <v>1</v>
      </c>
      <c r="L8" s="183">
        <v>4</v>
      </c>
      <c r="M8" s="183">
        <v>1</v>
      </c>
      <c r="N8" s="183"/>
      <c r="O8" s="183"/>
      <c r="P8" s="194">
        <f>SUM(Tabela2[[#This Row],[G]]+Tabela2[[#This Row],[D]]+Tabela2[[#This Row],[N]]+Tabela2[[#This Row],[HM]])</f>
        <v>10</v>
      </c>
      <c r="Q8" s="194">
        <f>SUM(Tabela2[[#This Row],[AO]]+Tabela2[[#This Row],[AD]]+Tabela2[[#This Row],[GWO]]+Tabela2[[#This Row],[GWD]])</f>
        <v>9</v>
      </c>
      <c r="R8" s="194">
        <f>Tabela2[[#This Row],[GWO]]+Tabela2[[#This Row],[GWD]]</f>
        <v>5</v>
      </c>
      <c r="S8" s="194">
        <f>SUM(Tabela2[[#This Row],[G]:[GWD]])</f>
        <v>19</v>
      </c>
    </row>
    <row r="9" spans="1:19" ht="30">
      <c r="A9" s="197">
        <v>319</v>
      </c>
      <c r="B9" s="183" t="s">
        <v>400</v>
      </c>
      <c r="C9" s="183" t="s">
        <v>399</v>
      </c>
      <c r="D9" s="183">
        <v>4</v>
      </c>
      <c r="E9" s="183" t="s">
        <v>285</v>
      </c>
      <c r="F9" s="183">
        <v>2</v>
      </c>
      <c r="G9" s="183">
        <v>1</v>
      </c>
      <c r="H9" s="183">
        <v>1</v>
      </c>
      <c r="I9" s="183">
        <v>2</v>
      </c>
      <c r="J9" s="183">
        <v>1</v>
      </c>
      <c r="K9" s="183">
        <v>1</v>
      </c>
      <c r="L9" s="183">
        <v>3</v>
      </c>
      <c r="M9" s="183">
        <v>1</v>
      </c>
      <c r="N9" s="183"/>
      <c r="O9" s="183"/>
      <c r="P9" s="194">
        <f>SUM(Tabela2[[#This Row],[G]]+Tabela2[[#This Row],[D]]+Tabela2[[#This Row],[N]]+Tabela2[[#This Row],[HM]])</f>
        <v>5</v>
      </c>
      <c r="Q9" s="194">
        <f>SUM(Tabela2[[#This Row],[AO]]+Tabela2[[#This Row],[AD]]+Tabela2[[#This Row],[GWO]]+Tabela2[[#This Row],[GWD]])</f>
        <v>7</v>
      </c>
      <c r="R9" s="194">
        <f>Tabela2[[#This Row],[GWO]]+Tabela2[[#This Row],[GWD]]</f>
        <v>4</v>
      </c>
      <c r="S9" s="194">
        <f>SUM(Tabela2[[#This Row],[G]:[GWD]])</f>
        <v>12</v>
      </c>
    </row>
    <row r="10" spans="1:19">
      <c r="A10" s="197">
        <v>318</v>
      </c>
      <c r="B10" s="183" t="s">
        <v>402</v>
      </c>
      <c r="C10" s="183" t="s">
        <v>401</v>
      </c>
      <c r="D10" s="183">
        <v>4</v>
      </c>
      <c r="E10" s="183" t="s">
        <v>285</v>
      </c>
      <c r="F10" s="183">
        <v>1</v>
      </c>
      <c r="G10" s="183">
        <v>1</v>
      </c>
      <c r="H10" s="183">
        <v>3</v>
      </c>
      <c r="I10" s="183">
        <v>2</v>
      </c>
      <c r="J10" s="183">
        <v>1</v>
      </c>
      <c r="K10" s="183">
        <v>1</v>
      </c>
      <c r="L10" s="183">
        <v>4</v>
      </c>
      <c r="M10" s="183">
        <v>1</v>
      </c>
      <c r="N10" s="183"/>
      <c r="O10" s="183"/>
      <c r="P10" s="194">
        <f>SUM(Tabela2[[#This Row],[G]]+Tabela2[[#This Row],[D]]+Tabela2[[#This Row],[N]]+Tabela2[[#This Row],[HM]])</f>
        <v>6</v>
      </c>
      <c r="Q10" s="194">
        <f>SUM(Tabela2[[#This Row],[AO]]+Tabela2[[#This Row],[AD]]+Tabela2[[#This Row],[GWO]]+Tabela2[[#This Row],[GWD]])</f>
        <v>8</v>
      </c>
      <c r="R10" s="194">
        <f>Tabela2[[#This Row],[GWO]]+Tabela2[[#This Row],[GWD]]</f>
        <v>5</v>
      </c>
      <c r="S10" s="194">
        <f>SUM(Tabela2[[#This Row],[G]:[GWD]])</f>
        <v>14</v>
      </c>
    </row>
    <row r="11" spans="1:19" ht="30">
      <c r="A11" s="197">
        <v>317</v>
      </c>
      <c r="B11" s="183" t="s">
        <v>403</v>
      </c>
      <c r="C11" s="183" t="s">
        <v>357</v>
      </c>
      <c r="D11" s="183">
        <v>4</v>
      </c>
      <c r="E11" s="183" t="s">
        <v>285</v>
      </c>
      <c r="F11" s="183">
        <v>1</v>
      </c>
      <c r="G11" s="183">
        <v>1</v>
      </c>
      <c r="H11" s="183">
        <v>1</v>
      </c>
      <c r="I11" s="183">
        <v>2</v>
      </c>
      <c r="J11" s="183">
        <v>1</v>
      </c>
      <c r="K11" s="183">
        <v>3</v>
      </c>
      <c r="L11" s="183">
        <v>3</v>
      </c>
      <c r="M11" s="183">
        <v>1</v>
      </c>
      <c r="N11" s="183"/>
      <c r="O11" s="183"/>
      <c r="P11" s="194">
        <f>SUM(Tabela2[[#This Row],[G]]+Tabela2[[#This Row],[D]]+Tabela2[[#This Row],[N]]+Tabela2[[#This Row],[HM]])</f>
        <v>6</v>
      </c>
      <c r="Q11" s="194">
        <f>SUM(Tabela2[[#This Row],[AO]]+Tabela2[[#This Row],[AD]]+Tabela2[[#This Row],[GWO]]+Tabela2[[#This Row],[GWD]])</f>
        <v>7</v>
      </c>
      <c r="R11" s="194">
        <f>Tabela2[[#This Row],[GWO]]+Tabela2[[#This Row],[GWD]]</f>
        <v>4</v>
      </c>
      <c r="S11" s="194">
        <f>SUM(Tabela2[[#This Row],[G]:[GWD]])</f>
        <v>13</v>
      </c>
    </row>
    <row r="12" spans="1:19">
      <c r="A12" s="197">
        <v>316</v>
      </c>
      <c r="B12" s="183" t="s">
        <v>404</v>
      </c>
      <c r="C12" s="183" t="s">
        <v>216</v>
      </c>
      <c r="D12" s="183">
        <v>4</v>
      </c>
      <c r="E12" s="183" t="s">
        <v>285</v>
      </c>
      <c r="F12" s="183">
        <v>1</v>
      </c>
      <c r="G12" s="183">
        <v>1</v>
      </c>
      <c r="H12" s="183">
        <v>1</v>
      </c>
      <c r="I12" s="183">
        <v>2</v>
      </c>
      <c r="J12" s="183">
        <v>1</v>
      </c>
      <c r="K12" s="183">
        <v>2</v>
      </c>
      <c r="L12" s="183">
        <v>2</v>
      </c>
      <c r="M12" s="183">
        <v>1</v>
      </c>
      <c r="N12" s="183"/>
      <c r="O12" s="183"/>
      <c r="P12" s="194">
        <f>SUM(Tabela2[[#This Row],[G]]+Tabela2[[#This Row],[D]]+Tabela2[[#This Row],[N]]+Tabela2[[#This Row],[HM]])</f>
        <v>5</v>
      </c>
      <c r="Q12" s="194">
        <f>SUM(Tabela2[[#This Row],[AO]]+Tabela2[[#This Row],[AD]]+Tabela2[[#This Row],[GWO]]+Tabela2[[#This Row],[GWD]])</f>
        <v>6</v>
      </c>
      <c r="R12" s="194">
        <f>Tabela2[[#This Row],[GWO]]+Tabela2[[#This Row],[GWD]]</f>
        <v>3</v>
      </c>
      <c r="S12" s="194">
        <f>SUM(Tabela2[[#This Row],[G]:[GWD]])</f>
        <v>11</v>
      </c>
    </row>
    <row r="13" spans="1:19" ht="30">
      <c r="A13" s="197">
        <v>315</v>
      </c>
      <c r="B13" s="183" t="s">
        <v>406</v>
      </c>
      <c r="C13" s="183" t="s">
        <v>405</v>
      </c>
      <c r="D13" s="183">
        <v>4</v>
      </c>
      <c r="E13" s="183" t="s">
        <v>285</v>
      </c>
      <c r="F13" s="183">
        <v>1</v>
      </c>
      <c r="G13" s="183">
        <v>1</v>
      </c>
      <c r="H13" s="183">
        <v>3</v>
      </c>
      <c r="I13" s="183">
        <v>1</v>
      </c>
      <c r="J13" s="183">
        <v>1</v>
      </c>
      <c r="K13" s="183">
        <v>1</v>
      </c>
      <c r="L13" s="183">
        <v>3</v>
      </c>
      <c r="M13" s="183">
        <v>1</v>
      </c>
      <c r="N13" s="183"/>
      <c r="O13" s="183"/>
      <c r="P13" s="194">
        <f>SUM(Tabela2[[#This Row],[G]]+Tabela2[[#This Row],[D]]+Tabela2[[#This Row],[N]]+Tabela2[[#This Row],[HM]])</f>
        <v>6</v>
      </c>
      <c r="Q13" s="194">
        <f>SUM(Tabela2[[#This Row],[AO]]+Tabela2[[#This Row],[AD]]+Tabela2[[#This Row],[GWO]]+Tabela2[[#This Row],[GWD]])</f>
        <v>6</v>
      </c>
      <c r="R13" s="194">
        <f>Tabela2[[#This Row],[GWO]]+Tabela2[[#This Row],[GWD]]</f>
        <v>4</v>
      </c>
      <c r="S13" s="194">
        <f>SUM(Tabela2[[#This Row],[G]:[GWD]])</f>
        <v>12</v>
      </c>
    </row>
    <row r="14" spans="1:19" ht="30">
      <c r="A14" s="197">
        <v>314</v>
      </c>
      <c r="B14" s="183" t="s">
        <v>408</v>
      </c>
      <c r="C14" s="183" t="s">
        <v>407</v>
      </c>
      <c r="D14" s="183">
        <v>4</v>
      </c>
      <c r="E14" s="183" t="s">
        <v>285</v>
      </c>
      <c r="F14" s="183">
        <v>1</v>
      </c>
      <c r="G14" s="183">
        <v>1</v>
      </c>
      <c r="H14" s="183">
        <v>1</v>
      </c>
      <c r="I14" s="183">
        <v>1</v>
      </c>
      <c r="J14" s="183">
        <v>1</v>
      </c>
      <c r="K14" s="183">
        <v>1</v>
      </c>
      <c r="L14" s="183">
        <v>3</v>
      </c>
      <c r="M14" s="183">
        <v>3</v>
      </c>
      <c r="N14" s="183"/>
      <c r="O14" s="183"/>
      <c r="P14" s="194">
        <f>SUM(Tabela2[[#This Row],[G]]+Tabela2[[#This Row],[D]]+Tabela2[[#This Row],[N]]+Tabela2[[#This Row],[HM]])</f>
        <v>4</v>
      </c>
      <c r="Q14" s="194">
        <f>SUM(Tabela2[[#This Row],[AO]]+Tabela2[[#This Row],[AD]]+Tabela2[[#This Row],[GWO]]+Tabela2[[#This Row],[GWD]])</f>
        <v>8</v>
      </c>
      <c r="R14" s="194">
        <f>Tabela2[[#This Row],[GWO]]+Tabela2[[#This Row],[GWD]]</f>
        <v>6</v>
      </c>
      <c r="S14" s="194">
        <f>SUM(Tabela2[[#This Row],[G]:[GWD]])</f>
        <v>12</v>
      </c>
    </row>
    <row r="15" spans="1:19" ht="30">
      <c r="A15" s="197">
        <v>313</v>
      </c>
      <c r="B15" s="183" t="s">
        <v>410</v>
      </c>
      <c r="C15" s="183" t="s">
        <v>409</v>
      </c>
      <c r="D15" s="183"/>
      <c r="E15" s="183" t="s">
        <v>285</v>
      </c>
      <c r="F15" s="183">
        <v>1</v>
      </c>
      <c r="G15" s="183">
        <v>1</v>
      </c>
      <c r="H15" s="183">
        <v>1</v>
      </c>
      <c r="I15" s="183">
        <v>1</v>
      </c>
      <c r="J15" s="183">
        <v>1</v>
      </c>
      <c r="K15" s="183">
        <v>3</v>
      </c>
      <c r="L15" s="183">
        <v>3</v>
      </c>
      <c r="M15" s="183">
        <v>1</v>
      </c>
      <c r="N15" s="183"/>
      <c r="O15" s="183"/>
      <c r="P15" s="194">
        <f>SUM(Tabela2[[#This Row],[G]]+Tabela2[[#This Row],[D]]+Tabela2[[#This Row],[N]]+Tabela2[[#This Row],[HM]])</f>
        <v>6</v>
      </c>
      <c r="Q15" s="194">
        <f>SUM(Tabela2[[#This Row],[AO]]+Tabela2[[#This Row],[AD]]+Tabela2[[#This Row],[GWO]]+Tabela2[[#This Row],[GWD]])</f>
        <v>6</v>
      </c>
      <c r="R15" s="194">
        <f>Tabela2[[#This Row],[GWO]]+Tabela2[[#This Row],[GWD]]</f>
        <v>4</v>
      </c>
      <c r="S15" s="194">
        <f>SUM(Tabela2[[#This Row],[G]:[GWD]])</f>
        <v>12</v>
      </c>
    </row>
    <row r="16" spans="1:19">
      <c r="A16" s="197">
        <v>312</v>
      </c>
      <c r="B16" s="183" t="s">
        <v>412</v>
      </c>
      <c r="C16" s="183" t="s">
        <v>411</v>
      </c>
      <c r="D16" s="183">
        <v>4</v>
      </c>
      <c r="E16" s="183" t="s">
        <v>285</v>
      </c>
      <c r="F16" s="183">
        <v>1</v>
      </c>
      <c r="G16" s="183">
        <v>1</v>
      </c>
      <c r="H16" s="183">
        <v>1</v>
      </c>
      <c r="I16" s="183">
        <v>1</v>
      </c>
      <c r="J16" s="183">
        <v>4</v>
      </c>
      <c r="K16" s="183">
        <v>1</v>
      </c>
      <c r="L16" s="183">
        <v>1</v>
      </c>
      <c r="M16" s="183">
        <v>3</v>
      </c>
      <c r="N16" s="183"/>
      <c r="O16" s="183"/>
      <c r="P16" s="194">
        <f>SUM(Tabela2[[#This Row],[G]]+Tabela2[[#This Row],[D]]+Tabela2[[#This Row],[N]]+Tabela2[[#This Row],[HM]])</f>
        <v>4</v>
      </c>
      <c r="Q16" s="194">
        <f>SUM(Tabela2[[#This Row],[AO]]+Tabela2[[#This Row],[AD]]+Tabela2[[#This Row],[GWO]]+Tabela2[[#This Row],[GWD]])</f>
        <v>9</v>
      </c>
      <c r="R16" s="194">
        <f>Tabela2[[#This Row],[GWO]]+Tabela2[[#This Row],[GWD]]</f>
        <v>4</v>
      </c>
      <c r="S16" s="194">
        <f>SUM(Tabela2[[#This Row],[G]:[GWD]])</f>
        <v>13</v>
      </c>
    </row>
    <row r="17" spans="1:19" ht="30">
      <c r="A17" s="197">
        <v>311</v>
      </c>
      <c r="B17" s="183" t="s">
        <v>414</v>
      </c>
      <c r="C17" s="183" t="s">
        <v>413</v>
      </c>
      <c r="D17" s="183">
        <v>4</v>
      </c>
      <c r="E17" s="183" t="s">
        <v>285</v>
      </c>
      <c r="F17" s="183">
        <v>1</v>
      </c>
      <c r="G17" s="183">
        <v>1</v>
      </c>
      <c r="H17" s="183">
        <v>1</v>
      </c>
      <c r="I17" s="183">
        <v>2</v>
      </c>
      <c r="J17" s="183">
        <v>1</v>
      </c>
      <c r="K17" s="183">
        <v>1</v>
      </c>
      <c r="L17" s="183">
        <v>3</v>
      </c>
      <c r="M17" s="183">
        <v>1</v>
      </c>
      <c r="N17" s="183"/>
      <c r="O17" s="183"/>
      <c r="P17" s="194">
        <f>SUM(Tabela2[[#This Row],[G]]+Tabela2[[#This Row],[D]]+Tabela2[[#This Row],[N]]+Tabela2[[#This Row],[HM]])</f>
        <v>4</v>
      </c>
      <c r="Q17" s="194">
        <f>SUM(Tabela2[[#This Row],[AO]]+Tabela2[[#This Row],[AD]]+Tabela2[[#This Row],[GWO]]+Tabela2[[#This Row],[GWD]])</f>
        <v>7</v>
      </c>
      <c r="R17" s="194">
        <f>Tabela2[[#This Row],[GWO]]+Tabela2[[#This Row],[GWD]]</f>
        <v>4</v>
      </c>
      <c r="S17" s="194">
        <f>SUM(Tabela2[[#This Row],[G]:[GWD]])</f>
        <v>11</v>
      </c>
    </row>
    <row r="18" spans="1:19" ht="30">
      <c r="A18" s="197">
        <v>310</v>
      </c>
      <c r="B18" s="183" t="s">
        <v>415</v>
      </c>
      <c r="C18" s="183" t="s">
        <v>413</v>
      </c>
      <c r="D18" s="183">
        <v>4</v>
      </c>
      <c r="E18" s="183" t="s">
        <v>285</v>
      </c>
      <c r="F18" s="183">
        <v>1</v>
      </c>
      <c r="G18" s="183">
        <v>1</v>
      </c>
      <c r="H18" s="183">
        <v>1</v>
      </c>
      <c r="I18" s="183">
        <v>2</v>
      </c>
      <c r="J18" s="183">
        <v>1</v>
      </c>
      <c r="K18" s="183">
        <v>1</v>
      </c>
      <c r="L18" s="183">
        <v>3</v>
      </c>
      <c r="M18" s="183">
        <v>1</v>
      </c>
      <c r="N18" s="183"/>
      <c r="O18" s="183"/>
      <c r="P18" s="194">
        <f>SUM(Tabela2[[#This Row],[G]]+Tabela2[[#This Row],[D]]+Tabela2[[#This Row],[N]]+Tabela2[[#This Row],[HM]])</f>
        <v>4</v>
      </c>
      <c r="Q18" s="194">
        <f>SUM(Tabela2[[#This Row],[AO]]+Tabela2[[#This Row],[AD]]+Tabela2[[#This Row],[GWO]]+Tabela2[[#This Row],[GWD]])</f>
        <v>7</v>
      </c>
      <c r="R18" s="194">
        <f>Tabela2[[#This Row],[GWO]]+Tabela2[[#This Row],[GWD]]</f>
        <v>4</v>
      </c>
      <c r="S18" s="194">
        <f>SUM(Tabela2[[#This Row],[G]:[GWD]])</f>
        <v>11</v>
      </c>
    </row>
    <row r="19" spans="1:19" ht="30">
      <c r="A19" s="197">
        <v>309</v>
      </c>
      <c r="B19" s="183" t="s">
        <v>417</v>
      </c>
      <c r="C19" s="183" t="s">
        <v>416</v>
      </c>
      <c r="D19" s="183">
        <v>4</v>
      </c>
      <c r="E19" s="183" t="s">
        <v>285</v>
      </c>
      <c r="F19" s="183">
        <v>1</v>
      </c>
      <c r="G19" s="183">
        <v>1</v>
      </c>
      <c r="H19" s="183">
        <v>3</v>
      </c>
      <c r="I19" s="183">
        <v>1</v>
      </c>
      <c r="J19" s="183">
        <v>1</v>
      </c>
      <c r="K19" s="183">
        <v>1</v>
      </c>
      <c r="L19" s="183">
        <v>2</v>
      </c>
      <c r="M19" s="183">
        <v>1</v>
      </c>
      <c r="N19" s="183"/>
      <c r="O19" s="183"/>
      <c r="P19" s="194">
        <f>SUM(Tabela2[[#This Row],[G]]+Tabela2[[#This Row],[D]]+Tabela2[[#This Row],[N]]+Tabela2[[#This Row],[HM]])</f>
        <v>6</v>
      </c>
      <c r="Q19" s="194">
        <f>SUM(Tabela2[[#This Row],[AO]]+Tabela2[[#This Row],[AD]]+Tabela2[[#This Row],[GWO]]+Tabela2[[#This Row],[GWD]])</f>
        <v>5</v>
      </c>
      <c r="R19" s="194">
        <f>Tabela2[[#This Row],[GWO]]+Tabela2[[#This Row],[GWD]]</f>
        <v>3</v>
      </c>
      <c r="S19" s="194">
        <f>SUM(Tabela2[[#This Row],[G]:[GWD]])</f>
        <v>11</v>
      </c>
    </row>
    <row r="20" spans="1:19">
      <c r="A20" s="197">
        <v>308</v>
      </c>
      <c r="B20" s="183" t="s">
        <v>419</v>
      </c>
      <c r="C20" s="183" t="s">
        <v>418</v>
      </c>
      <c r="D20" s="183">
        <v>4</v>
      </c>
      <c r="E20" s="183" t="s">
        <v>285</v>
      </c>
      <c r="F20" s="183">
        <v>1</v>
      </c>
      <c r="G20" s="183">
        <v>1</v>
      </c>
      <c r="H20" s="183">
        <v>1</v>
      </c>
      <c r="I20" s="183">
        <v>1</v>
      </c>
      <c r="J20" s="183">
        <v>1</v>
      </c>
      <c r="K20" s="183">
        <v>1</v>
      </c>
      <c r="L20" s="183">
        <v>1</v>
      </c>
      <c r="M20" s="183">
        <v>1</v>
      </c>
      <c r="N20" s="183"/>
      <c r="O20" s="183"/>
      <c r="P20" s="194">
        <f>SUM(Tabela2[[#This Row],[G]]+Tabela2[[#This Row],[D]]+Tabela2[[#This Row],[N]]+Tabela2[[#This Row],[HM]])</f>
        <v>4</v>
      </c>
      <c r="Q20" s="194">
        <f>SUM(Tabela2[[#This Row],[AO]]+Tabela2[[#This Row],[AD]]+Tabela2[[#This Row],[GWO]]+Tabela2[[#This Row],[GWD]])</f>
        <v>4</v>
      </c>
      <c r="R20" s="194">
        <f>Tabela2[[#This Row],[GWO]]+Tabela2[[#This Row],[GWD]]</f>
        <v>2</v>
      </c>
      <c r="S20" s="194">
        <f>SUM(Tabela2[[#This Row],[G]:[GWD]])</f>
        <v>8</v>
      </c>
    </row>
    <row r="21" spans="1:19" ht="30">
      <c r="A21" s="197">
        <v>307</v>
      </c>
      <c r="B21" s="183" t="s">
        <v>421</v>
      </c>
      <c r="C21" s="183" t="s">
        <v>420</v>
      </c>
      <c r="D21" s="183">
        <v>4</v>
      </c>
      <c r="E21" s="183" t="s">
        <v>285</v>
      </c>
      <c r="F21" s="183">
        <v>1</v>
      </c>
      <c r="G21" s="183">
        <v>1</v>
      </c>
      <c r="H21" s="183">
        <v>3</v>
      </c>
      <c r="I21" s="183">
        <v>2</v>
      </c>
      <c r="J21" s="183">
        <v>1</v>
      </c>
      <c r="K21" s="183">
        <v>1</v>
      </c>
      <c r="L21" s="183">
        <v>3</v>
      </c>
      <c r="M21" s="183">
        <v>1</v>
      </c>
      <c r="N21" s="183"/>
      <c r="O21" s="183"/>
      <c r="P21" s="194">
        <f>SUM(Tabela2[[#This Row],[G]]+Tabela2[[#This Row],[D]]+Tabela2[[#This Row],[N]]+Tabela2[[#This Row],[HM]])</f>
        <v>6</v>
      </c>
      <c r="Q21" s="194">
        <f>SUM(Tabela2[[#This Row],[AO]]+Tabela2[[#This Row],[AD]]+Tabela2[[#This Row],[GWO]]+Tabela2[[#This Row],[GWD]])</f>
        <v>7</v>
      </c>
      <c r="R21" s="194">
        <f>Tabela2[[#This Row],[GWO]]+Tabela2[[#This Row],[GWD]]</f>
        <v>4</v>
      </c>
      <c r="S21" s="194">
        <f>SUM(Tabela2[[#This Row],[G]:[GWD]])</f>
        <v>13</v>
      </c>
    </row>
    <row r="22" spans="1:19" ht="30">
      <c r="A22" s="197">
        <v>306</v>
      </c>
      <c r="B22" s="183" t="s">
        <v>423</v>
      </c>
      <c r="C22" s="183" t="s">
        <v>422</v>
      </c>
      <c r="D22" s="183">
        <v>4</v>
      </c>
      <c r="E22" s="183" t="s">
        <v>285</v>
      </c>
      <c r="F22" s="183">
        <v>1</v>
      </c>
      <c r="G22" s="183">
        <v>1</v>
      </c>
      <c r="H22" s="183">
        <v>1</v>
      </c>
      <c r="I22" s="183">
        <v>4</v>
      </c>
      <c r="J22" s="183">
        <v>1</v>
      </c>
      <c r="K22" s="183">
        <v>2</v>
      </c>
      <c r="L22" s="183">
        <v>4</v>
      </c>
      <c r="M22" s="183">
        <v>1</v>
      </c>
      <c r="N22" s="183"/>
      <c r="O22" s="183"/>
      <c r="P22" s="194">
        <f>SUM(Tabela2[[#This Row],[G]]+Tabela2[[#This Row],[D]]+Tabela2[[#This Row],[N]]+Tabela2[[#This Row],[HM]])</f>
        <v>5</v>
      </c>
      <c r="Q22" s="194">
        <f>SUM(Tabela2[[#This Row],[AO]]+Tabela2[[#This Row],[AD]]+Tabela2[[#This Row],[GWO]]+Tabela2[[#This Row],[GWD]])</f>
        <v>10</v>
      </c>
      <c r="R22" s="194">
        <f>Tabela2[[#This Row],[GWO]]+Tabela2[[#This Row],[GWD]]</f>
        <v>5</v>
      </c>
      <c r="S22" s="194">
        <f>SUM(Tabela2[[#This Row],[G]:[GWD]])</f>
        <v>15</v>
      </c>
    </row>
    <row r="23" spans="1:19">
      <c r="A23" s="197">
        <v>305</v>
      </c>
      <c r="B23" s="183" t="s">
        <v>424</v>
      </c>
      <c r="C23" s="183" t="s">
        <v>211</v>
      </c>
      <c r="D23" s="183">
        <v>4</v>
      </c>
      <c r="E23" s="183" t="s">
        <v>285</v>
      </c>
      <c r="F23" s="183">
        <v>1</v>
      </c>
      <c r="G23" s="183">
        <v>1</v>
      </c>
      <c r="H23" s="183">
        <v>1</v>
      </c>
      <c r="I23" s="183">
        <v>2</v>
      </c>
      <c r="J23" s="183">
        <v>1</v>
      </c>
      <c r="K23" s="183">
        <v>1</v>
      </c>
      <c r="L23" s="183">
        <v>2</v>
      </c>
      <c r="M23" s="183">
        <v>1</v>
      </c>
      <c r="N23" s="183"/>
      <c r="O23" s="183"/>
      <c r="P23" s="194">
        <f>SUM(Tabela2[[#This Row],[G]]+Tabela2[[#This Row],[D]]+Tabela2[[#This Row],[N]]+Tabela2[[#This Row],[HM]])</f>
        <v>4</v>
      </c>
      <c r="Q23" s="194">
        <f>SUM(Tabela2[[#This Row],[AO]]+Tabela2[[#This Row],[AD]]+Tabela2[[#This Row],[GWO]]+Tabela2[[#This Row],[GWD]])</f>
        <v>6</v>
      </c>
      <c r="R23" s="194">
        <f>Tabela2[[#This Row],[GWO]]+Tabela2[[#This Row],[GWD]]</f>
        <v>3</v>
      </c>
      <c r="S23" s="194">
        <f>SUM(Tabela2[[#This Row],[G]:[GWD]])</f>
        <v>10</v>
      </c>
    </row>
    <row r="24" spans="1:19" ht="30">
      <c r="A24" s="197">
        <v>304</v>
      </c>
      <c r="B24" s="183" t="s">
        <v>426</v>
      </c>
      <c r="C24" s="183" t="s">
        <v>425</v>
      </c>
      <c r="D24" s="183">
        <v>4</v>
      </c>
      <c r="E24" s="183" t="s">
        <v>285</v>
      </c>
      <c r="F24" s="183">
        <v>1</v>
      </c>
      <c r="G24" s="183">
        <v>2</v>
      </c>
      <c r="H24" s="183">
        <v>1</v>
      </c>
      <c r="I24" s="183">
        <v>2</v>
      </c>
      <c r="J24" s="183">
        <v>4</v>
      </c>
      <c r="K24" s="183">
        <v>4</v>
      </c>
      <c r="L24" s="183">
        <v>5</v>
      </c>
      <c r="M24" s="183">
        <v>5</v>
      </c>
      <c r="N24" s="183"/>
      <c r="O24" s="183"/>
      <c r="P24" s="194">
        <f>SUM(Tabela2[[#This Row],[G]]+Tabela2[[#This Row],[D]]+Tabela2[[#This Row],[N]]+Tabela2[[#This Row],[HM]])</f>
        <v>8</v>
      </c>
      <c r="Q24" s="194">
        <f>SUM(Tabela2[[#This Row],[AO]]+Tabela2[[#This Row],[AD]]+Tabela2[[#This Row],[GWO]]+Tabela2[[#This Row],[GWD]])</f>
        <v>16</v>
      </c>
      <c r="R24" s="194">
        <f>Tabela2[[#This Row],[GWO]]+Tabela2[[#This Row],[GWD]]</f>
        <v>10</v>
      </c>
      <c r="S24" s="194">
        <f>SUM(Tabela2[[#This Row],[G]:[GWD]])</f>
        <v>24</v>
      </c>
    </row>
    <row r="25" spans="1:19" ht="30">
      <c r="A25" s="197">
        <v>303</v>
      </c>
      <c r="B25" s="183" t="s">
        <v>427</v>
      </c>
      <c r="C25" s="183" t="s">
        <v>370</v>
      </c>
      <c r="D25" s="183">
        <v>4</v>
      </c>
      <c r="E25" s="183" t="s">
        <v>285</v>
      </c>
      <c r="F25" s="183">
        <v>1</v>
      </c>
      <c r="G25" s="183">
        <v>1</v>
      </c>
      <c r="H25" s="183">
        <v>1</v>
      </c>
      <c r="I25" s="183">
        <v>1</v>
      </c>
      <c r="J25" s="183">
        <v>1</v>
      </c>
      <c r="K25" s="183">
        <v>1</v>
      </c>
      <c r="L25" s="183">
        <v>1</v>
      </c>
      <c r="M25" s="183">
        <v>1</v>
      </c>
      <c r="N25" s="183"/>
      <c r="O25" s="183"/>
      <c r="P25" s="194">
        <f>SUM(Tabela2[[#This Row],[G]]+Tabela2[[#This Row],[D]]+Tabela2[[#This Row],[N]]+Tabela2[[#This Row],[HM]])</f>
        <v>4</v>
      </c>
      <c r="Q25" s="194">
        <f>SUM(Tabela2[[#This Row],[AO]]+Tabela2[[#This Row],[AD]]+Tabela2[[#This Row],[GWO]]+Tabela2[[#This Row],[GWD]])</f>
        <v>4</v>
      </c>
      <c r="R25" s="194">
        <f>Tabela2[[#This Row],[GWO]]+Tabela2[[#This Row],[GWD]]</f>
        <v>2</v>
      </c>
      <c r="S25" s="194">
        <f>SUM(Tabela2[[#This Row],[G]:[GWD]])</f>
        <v>8</v>
      </c>
    </row>
    <row r="26" spans="1:19" ht="30">
      <c r="A26" s="197">
        <v>302</v>
      </c>
      <c r="B26" s="183" t="s">
        <v>429</v>
      </c>
      <c r="C26" s="183" t="s">
        <v>428</v>
      </c>
      <c r="D26" s="183">
        <v>4</v>
      </c>
      <c r="E26" s="183" t="s">
        <v>285</v>
      </c>
      <c r="F26" s="183">
        <v>1</v>
      </c>
      <c r="G26" s="183">
        <v>1</v>
      </c>
      <c r="H26" s="183">
        <v>1</v>
      </c>
      <c r="I26" s="183">
        <v>2</v>
      </c>
      <c r="J26" s="183">
        <v>1</v>
      </c>
      <c r="K26" s="183">
        <v>1</v>
      </c>
      <c r="L26" s="183">
        <v>2</v>
      </c>
      <c r="M26" s="183">
        <v>1</v>
      </c>
      <c r="N26" s="183"/>
      <c r="O26" s="183"/>
      <c r="P26" s="194">
        <f>SUM(Tabela2[[#This Row],[G]]+Tabela2[[#This Row],[D]]+Tabela2[[#This Row],[N]]+Tabela2[[#This Row],[HM]])</f>
        <v>4</v>
      </c>
      <c r="Q26" s="194">
        <f>SUM(Tabela2[[#This Row],[AO]]+Tabela2[[#This Row],[AD]]+Tabela2[[#This Row],[GWO]]+Tabela2[[#This Row],[GWD]])</f>
        <v>6</v>
      </c>
      <c r="R26" s="194">
        <f>Tabela2[[#This Row],[GWO]]+Tabela2[[#This Row],[GWD]]</f>
        <v>3</v>
      </c>
      <c r="S26" s="194">
        <f>SUM(Tabela2[[#This Row],[G]:[GWD]])</f>
        <v>10</v>
      </c>
    </row>
    <row r="27" spans="1:19" ht="30">
      <c r="A27" s="197">
        <v>301</v>
      </c>
      <c r="B27" s="183" t="s">
        <v>431</v>
      </c>
      <c r="C27" s="183" t="s">
        <v>430</v>
      </c>
      <c r="D27" s="183">
        <v>4</v>
      </c>
      <c r="E27" s="183" t="s">
        <v>285</v>
      </c>
      <c r="F27" s="183">
        <v>2</v>
      </c>
      <c r="G27" s="183">
        <v>2</v>
      </c>
      <c r="H27" s="183">
        <v>1</v>
      </c>
      <c r="I27" s="183">
        <v>2</v>
      </c>
      <c r="J27" s="183">
        <v>1</v>
      </c>
      <c r="K27" s="183">
        <v>1</v>
      </c>
      <c r="L27" s="183">
        <v>4</v>
      </c>
      <c r="M27" s="183">
        <v>1</v>
      </c>
      <c r="N27" s="183"/>
      <c r="O27" s="183"/>
      <c r="P27" s="194">
        <f>SUM(Tabela2[[#This Row],[G]]+Tabela2[[#This Row],[D]]+Tabela2[[#This Row],[N]]+Tabela2[[#This Row],[HM]])</f>
        <v>6</v>
      </c>
      <c r="Q27" s="194">
        <f>SUM(Tabela2[[#This Row],[AO]]+Tabela2[[#This Row],[AD]]+Tabela2[[#This Row],[GWO]]+Tabela2[[#This Row],[GWD]])</f>
        <v>8</v>
      </c>
      <c r="R27" s="194">
        <f>Tabela2[[#This Row],[GWO]]+Tabela2[[#This Row],[GWD]]</f>
        <v>5</v>
      </c>
      <c r="S27" s="194">
        <f>SUM(Tabela2[[#This Row],[G]:[GWD]])</f>
        <v>14</v>
      </c>
    </row>
    <row r="28" spans="1:19">
      <c r="A28" s="197">
        <v>300</v>
      </c>
      <c r="B28" s="183" t="s">
        <v>433</v>
      </c>
      <c r="C28" s="183" t="s">
        <v>432</v>
      </c>
      <c r="D28" s="183">
        <v>4</v>
      </c>
      <c r="E28" s="183" t="s">
        <v>285</v>
      </c>
      <c r="F28" s="183">
        <v>2</v>
      </c>
      <c r="G28" s="183">
        <v>2</v>
      </c>
      <c r="H28" s="183">
        <v>1</v>
      </c>
      <c r="I28" s="183">
        <v>2</v>
      </c>
      <c r="J28" s="183">
        <v>1</v>
      </c>
      <c r="K28" s="183">
        <v>2</v>
      </c>
      <c r="L28" s="183">
        <v>3</v>
      </c>
      <c r="M28" s="183">
        <v>1</v>
      </c>
      <c r="N28" s="183"/>
      <c r="O28" s="183"/>
      <c r="P28" s="194">
        <f>SUM(Tabela2[[#This Row],[G]]+Tabela2[[#This Row],[D]]+Tabela2[[#This Row],[N]]+Tabela2[[#This Row],[HM]])</f>
        <v>7</v>
      </c>
      <c r="Q28" s="194">
        <f>SUM(Tabela2[[#This Row],[AO]]+Tabela2[[#This Row],[AD]]+Tabela2[[#This Row],[GWO]]+Tabela2[[#This Row],[GWD]])</f>
        <v>7</v>
      </c>
      <c r="R28" s="194">
        <f>Tabela2[[#This Row],[GWO]]+Tabela2[[#This Row],[GWD]]</f>
        <v>4</v>
      </c>
      <c r="S28" s="194">
        <f>SUM(Tabela2[[#This Row],[G]:[GWD]])</f>
        <v>14</v>
      </c>
    </row>
    <row r="29" spans="1:19">
      <c r="A29" s="197">
        <v>299</v>
      </c>
      <c r="B29" s="184" t="s">
        <v>434</v>
      </c>
      <c r="C29" s="184" t="s">
        <v>236</v>
      </c>
      <c r="D29" s="184">
        <v>4</v>
      </c>
      <c r="E29" s="184" t="s">
        <v>264</v>
      </c>
      <c r="F29" s="184">
        <v>1</v>
      </c>
      <c r="G29" s="184">
        <v>1</v>
      </c>
      <c r="H29" s="184">
        <v>1</v>
      </c>
      <c r="I29" s="184">
        <v>2</v>
      </c>
      <c r="J29" s="184">
        <v>2</v>
      </c>
      <c r="K29" s="184">
        <v>1</v>
      </c>
      <c r="L29" s="184">
        <v>3</v>
      </c>
      <c r="M29" s="184">
        <v>2</v>
      </c>
      <c r="N29" s="183"/>
      <c r="O29" s="183"/>
      <c r="P29" s="194">
        <f>SUM(Tabela2[[#This Row],[G]]+Tabela2[[#This Row],[D]]+Tabela2[[#This Row],[N]]+Tabela2[[#This Row],[HM]])</f>
        <v>4</v>
      </c>
      <c r="Q29" s="194">
        <f>SUM(Tabela2[[#This Row],[AO]]+Tabela2[[#This Row],[AD]]+Tabela2[[#This Row],[GWO]]+Tabela2[[#This Row],[GWD]])</f>
        <v>9</v>
      </c>
      <c r="R29" s="194">
        <f>Tabela2[[#This Row],[GWO]]+Tabela2[[#This Row],[GWD]]</f>
        <v>5</v>
      </c>
      <c r="S29" s="194">
        <f>SUM(Tabela2[[#This Row],[G]:[GWD]])</f>
        <v>13</v>
      </c>
    </row>
    <row r="30" spans="1:19">
      <c r="A30" s="197">
        <v>298</v>
      </c>
      <c r="B30" s="184" t="s">
        <v>435</v>
      </c>
      <c r="C30" s="184" t="s">
        <v>391</v>
      </c>
      <c r="D30" s="184">
        <v>4</v>
      </c>
      <c r="E30" s="184" t="s">
        <v>264</v>
      </c>
      <c r="F30" s="184">
        <v>1</v>
      </c>
      <c r="G30" s="184">
        <v>1</v>
      </c>
      <c r="H30" s="184">
        <v>1</v>
      </c>
      <c r="I30" s="184">
        <v>3</v>
      </c>
      <c r="J30" s="184">
        <v>3</v>
      </c>
      <c r="K30" s="184">
        <v>3</v>
      </c>
      <c r="L30" s="184">
        <v>2</v>
      </c>
      <c r="M30" s="184">
        <v>1</v>
      </c>
      <c r="N30" s="183"/>
      <c r="O30" s="183"/>
      <c r="P30" s="194">
        <f>SUM(Tabela2[[#This Row],[G]]+Tabela2[[#This Row],[D]]+Tabela2[[#This Row],[N]]+Tabela2[[#This Row],[HM]])</f>
        <v>6</v>
      </c>
      <c r="Q30" s="194">
        <f>SUM(Tabela2[[#This Row],[AO]]+Tabela2[[#This Row],[AD]]+Tabela2[[#This Row],[GWO]]+Tabela2[[#This Row],[GWD]])</f>
        <v>9</v>
      </c>
      <c r="R30" s="194">
        <f>Tabela2[[#This Row],[GWO]]+Tabela2[[#This Row],[GWD]]</f>
        <v>3</v>
      </c>
      <c r="S30" s="194">
        <f>SUM(Tabela2[[#This Row],[G]:[GWD]])</f>
        <v>15</v>
      </c>
    </row>
    <row r="31" spans="1:19">
      <c r="A31" s="197">
        <v>297</v>
      </c>
      <c r="B31" s="184" t="s">
        <v>436</v>
      </c>
      <c r="C31" s="184" t="s">
        <v>235</v>
      </c>
      <c r="D31" s="184">
        <v>4</v>
      </c>
      <c r="E31" s="184" t="s">
        <v>264</v>
      </c>
      <c r="F31" s="184">
        <v>2</v>
      </c>
      <c r="G31" s="184">
        <v>1</v>
      </c>
      <c r="H31" s="184">
        <v>1</v>
      </c>
      <c r="I31" s="184">
        <v>3</v>
      </c>
      <c r="J31" s="184">
        <v>2</v>
      </c>
      <c r="K31" s="184">
        <v>1</v>
      </c>
      <c r="L31" s="184">
        <v>3</v>
      </c>
      <c r="M31" s="184">
        <v>2</v>
      </c>
      <c r="N31" s="183"/>
      <c r="O31" s="183"/>
      <c r="P31" s="194">
        <f>SUM(Tabela2[[#This Row],[G]]+Tabela2[[#This Row],[D]]+Tabela2[[#This Row],[N]]+Tabela2[[#This Row],[HM]])</f>
        <v>5</v>
      </c>
      <c r="Q31" s="194">
        <f>SUM(Tabela2[[#This Row],[AO]]+Tabela2[[#This Row],[AD]]+Tabela2[[#This Row],[GWO]]+Tabela2[[#This Row],[GWD]])</f>
        <v>10</v>
      </c>
      <c r="R31" s="194">
        <f>Tabela2[[#This Row],[GWO]]+Tabela2[[#This Row],[GWD]]</f>
        <v>5</v>
      </c>
      <c r="S31" s="194">
        <f>SUM(Tabela2[[#This Row],[G]:[GWD]])</f>
        <v>15</v>
      </c>
    </row>
    <row r="32" spans="1:19">
      <c r="A32" s="197">
        <v>296</v>
      </c>
      <c r="B32" s="184" t="s">
        <v>437</v>
      </c>
      <c r="C32" s="184" t="s">
        <v>237</v>
      </c>
      <c r="D32" s="184">
        <v>4</v>
      </c>
      <c r="E32" s="184" t="s">
        <v>264</v>
      </c>
      <c r="F32" s="184">
        <v>1</v>
      </c>
      <c r="G32" s="184">
        <v>1</v>
      </c>
      <c r="H32" s="184">
        <v>1</v>
      </c>
      <c r="I32" s="184">
        <v>2</v>
      </c>
      <c r="J32" s="184">
        <v>1</v>
      </c>
      <c r="K32" s="184">
        <v>1</v>
      </c>
      <c r="L32" s="184">
        <v>4</v>
      </c>
      <c r="M32" s="184">
        <v>1</v>
      </c>
      <c r="N32" s="183"/>
      <c r="O32" s="183"/>
      <c r="P32" s="194">
        <f>SUM(Tabela2[[#This Row],[G]]+Tabela2[[#This Row],[D]]+Tabela2[[#This Row],[N]]+Tabela2[[#This Row],[HM]])</f>
        <v>4</v>
      </c>
      <c r="Q32" s="194">
        <f>SUM(Tabela2[[#This Row],[AO]]+Tabela2[[#This Row],[AD]]+Tabela2[[#This Row],[GWO]]+Tabela2[[#This Row],[GWD]])</f>
        <v>8</v>
      </c>
      <c r="R32" s="194">
        <f>Tabela2[[#This Row],[GWO]]+Tabela2[[#This Row],[GWD]]</f>
        <v>5</v>
      </c>
      <c r="S32" s="194">
        <f>SUM(Tabela2[[#This Row],[G]:[GWD]])</f>
        <v>12</v>
      </c>
    </row>
    <row r="33" spans="1:19">
      <c r="A33" s="197">
        <v>295</v>
      </c>
      <c r="B33" s="184" t="s">
        <v>438</v>
      </c>
      <c r="C33" s="184" t="s">
        <v>395</v>
      </c>
      <c r="D33" s="184">
        <v>4</v>
      </c>
      <c r="E33" s="184" t="s">
        <v>264</v>
      </c>
      <c r="F33" s="184">
        <v>2</v>
      </c>
      <c r="G33" s="184">
        <v>1</v>
      </c>
      <c r="H33" s="184">
        <v>2</v>
      </c>
      <c r="I33" s="184">
        <v>5</v>
      </c>
      <c r="J33" s="184">
        <v>1</v>
      </c>
      <c r="K33" s="184">
        <v>1</v>
      </c>
      <c r="L33" s="184">
        <v>4</v>
      </c>
      <c r="M33" s="184">
        <v>1</v>
      </c>
      <c r="N33" s="183"/>
      <c r="O33" s="183"/>
      <c r="P33" s="194">
        <f>SUM(Tabela2[[#This Row],[G]]+Tabela2[[#This Row],[D]]+Tabela2[[#This Row],[N]]+Tabela2[[#This Row],[HM]])</f>
        <v>6</v>
      </c>
      <c r="Q33" s="194">
        <f>SUM(Tabela2[[#This Row],[AO]]+Tabela2[[#This Row],[AD]]+Tabela2[[#This Row],[GWO]]+Tabela2[[#This Row],[GWD]])</f>
        <v>11</v>
      </c>
      <c r="R33" s="194">
        <f>Tabela2[[#This Row],[GWO]]+Tabela2[[#This Row],[GWD]]</f>
        <v>5</v>
      </c>
      <c r="S33" s="194">
        <f>SUM(Tabela2[[#This Row],[G]:[GWD]])</f>
        <v>17</v>
      </c>
    </row>
    <row r="34" spans="1:19">
      <c r="A34" s="197">
        <v>294</v>
      </c>
      <c r="B34" s="184" t="s">
        <v>439</v>
      </c>
      <c r="C34" s="184" t="s">
        <v>397</v>
      </c>
      <c r="D34" s="184">
        <v>4</v>
      </c>
      <c r="E34" s="184" t="s">
        <v>264</v>
      </c>
      <c r="F34" s="184">
        <v>3</v>
      </c>
      <c r="G34" s="184">
        <v>1</v>
      </c>
      <c r="H34" s="184">
        <v>3</v>
      </c>
      <c r="I34" s="184">
        <v>2</v>
      </c>
      <c r="J34" s="184">
        <v>1</v>
      </c>
      <c r="K34" s="184">
        <v>1</v>
      </c>
      <c r="L34" s="184">
        <v>3</v>
      </c>
      <c r="M34" s="184">
        <v>1</v>
      </c>
      <c r="N34" s="183"/>
      <c r="O34" s="183"/>
      <c r="P34" s="194">
        <f>SUM(Tabela2[[#This Row],[G]]+Tabela2[[#This Row],[D]]+Tabela2[[#This Row],[N]]+Tabela2[[#This Row],[HM]])</f>
        <v>8</v>
      </c>
      <c r="Q34" s="194">
        <f>SUM(Tabela2[[#This Row],[AO]]+Tabela2[[#This Row],[AD]]+Tabela2[[#This Row],[GWO]]+Tabela2[[#This Row],[GWD]])</f>
        <v>7</v>
      </c>
      <c r="R34" s="194">
        <f>Tabela2[[#This Row],[GWO]]+Tabela2[[#This Row],[GWD]]</f>
        <v>4</v>
      </c>
      <c r="S34" s="194">
        <f>SUM(Tabela2[[#This Row],[G]:[GWD]])</f>
        <v>15</v>
      </c>
    </row>
    <row r="35" spans="1:19" ht="30">
      <c r="A35" s="197">
        <v>293</v>
      </c>
      <c r="B35" s="184" t="s">
        <v>440</v>
      </c>
      <c r="C35" s="184" t="s">
        <v>399</v>
      </c>
      <c r="D35" s="184">
        <v>4</v>
      </c>
      <c r="E35" s="184" t="s">
        <v>264</v>
      </c>
      <c r="F35" s="184">
        <v>1</v>
      </c>
      <c r="G35" s="184">
        <v>1</v>
      </c>
      <c r="H35" s="184">
        <v>1</v>
      </c>
      <c r="I35" s="184">
        <v>4</v>
      </c>
      <c r="J35" s="184">
        <v>1</v>
      </c>
      <c r="K35" s="184">
        <v>1</v>
      </c>
      <c r="L35" s="184">
        <v>3</v>
      </c>
      <c r="M35" s="184">
        <v>1</v>
      </c>
      <c r="N35" s="183"/>
      <c r="O35" s="183"/>
      <c r="P35" s="194">
        <f>SUM(Tabela2[[#This Row],[G]]+Tabela2[[#This Row],[D]]+Tabela2[[#This Row],[N]]+Tabela2[[#This Row],[HM]])</f>
        <v>4</v>
      </c>
      <c r="Q35" s="194">
        <f>SUM(Tabela2[[#This Row],[AO]]+Tabela2[[#This Row],[AD]]+Tabela2[[#This Row],[GWO]]+Tabela2[[#This Row],[GWD]])</f>
        <v>9</v>
      </c>
      <c r="R35" s="194">
        <f>Tabela2[[#This Row],[GWO]]+Tabela2[[#This Row],[GWD]]</f>
        <v>4</v>
      </c>
      <c r="S35" s="194">
        <f>SUM(Tabela2[[#This Row],[G]:[GWD]])</f>
        <v>13</v>
      </c>
    </row>
    <row r="36" spans="1:19">
      <c r="A36" s="197">
        <v>292</v>
      </c>
      <c r="B36" s="184" t="s">
        <v>441</v>
      </c>
      <c r="C36" s="184" t="s">
        <v>401</v>
      </c>
      <c r="D36" s="184">
        <v>4</v>
      </c>
      <c r="E36" s="184" t="s">
        <v>264</v>
      </c>
      <c r="F36" s="184">
        <v>1</v>
      </c>
      <c r="G36" s="184">
        <v>4</v>
      </c>
      <c r="H36" s="184">
        <v>3</v>
      </c>
      <c r="I36" s="184">
        <v>1</v>
      </c>
      <c r="J36" s="184">
        <v>1</v>
      </c>
      <c r="K36" s="184">
        <v>1</v>
      </c>
      <c r="L36" s="184">
        <v>3</v>
      </c>
      <c r="M36" s="184">
        <v>1</v>
      </c>
      <c r="N36" s="183"/>
      <c r="O36" s="183"/>
      <c r="P36" s="194">
        <f>SUM(Tabela2[[#This Row],[G]]+Tabela2[[#This Row],[D]]+Tabela2[[#This Row],[N]]+Tabela2[[#This Row],[HM]])</f>
        <v>9</v>
      </c>
      <c r="Q36" s="194">
        <f>SUM(Tabela2[[#This Row],[AO]]+Tabela2[[#This Row],[AD]]+Tabela2[[#This Row],[GWO]]+Tabela2[[#This Row],[GWD]])</f>
        <v>6</v>
      </c>
      <c r="R36" s="194">
        <f>Tabela2[[#This Row],[GWO]]+Tabela2[[#This Row],[GWD]]</f>
        <v>4</v>
      </c>
      <c r="S36" s="194">
        <f>SUM(Tabela2[[#This Row],[G]:[GWD]])</f>
        <v>15</v>
      </c>
    </row>
    <row r="37" spans="1:19" ht="30">
      <c r="A37" s="197">
        <v>291</v>
      </c>
      <c r="B37" s="184" t="s">
        <v>442</v>
      </c>
      <c r="C37" s="184" t="s">
        <v>357</v>
      </c>
      <c r="D37" s="184">
        <v>4</v>
      </c>
      <c r="E37" s="184" t="s">
        <v>264</v>
      </c>
      <c r="F37" s="184">
        <v>1</v>
      </c>
      <c r="G37" s="184">
        <v>1</v>
      </c>
      <c r="H37" s="184">
        <v>1</v>
      </c>
      <c r="I37" s="184">
        <v>2</v>
      </c>
      <c r="J37" s="184">
        <v>1</v>
      </c>
      <c r="K37" s="184">
        <v>1</v>
      </c>
      <c r="L37" s="184">
        <v>4</v>
      </c>
      <c r="M37" s="184">
        <v>1</v>
      </c>
      <c r="N37" s="183"/>
      <c r="O37" s="183"/>
      <c r="P37" s="194">
        <f>SUM(Tabela2[[#This Row],[G]]+Tabela2[[#This Row],[D]]+Tabela2[[#This Row],[N]]+Tabela2[[#This Row],[HM]])</f>
        <v>4</v>
      </c>
      <c r="Q37" s="194">
        <f>SUM(Tabela2[[#This Row],[AO]]+Tabela2[[#This Row],[AD]]+Tabela2[[#This Row],[GWO]]+Tabela2[[#This Row],[GWD]])</f>
        <v>8</v>
      </c>
      <c r="R37" s="194">
        <f>Tabela2[[#This Row],[GWO]]+Tabela2[[#This Row],[GWD]]</f>
        <v>5</v>
      </c>
      <c r="S37" s="194">
        <f>SUM(Tabela2[[#This Row],[G]:[GWD]])</f>
        <v>12</v>
      </c>
    </row>
    <row r="38" spans="1:19" ht="30">
      <c r="A38" s="197">
        <v>290</v>
      </c>
      <c r="B38" s="184" t="s">
        <v>443</v>
      </c>
      <c r="C38" s="184" t="s">
        <v>405</v>
      </c>
      <c r="D38" s="184">
        <v>4</v>
      </c>
      <c r="E38" s="184" t="s">
        <v>264</v>
      </c>
      <c r="F38" s="184">
        <v>1</v>
      </c>
      <c r="G38" s="184">
        <v>1</v>
      </c>
      <c r="H38" s="184">
        <v>1</v>
      </c>
      <c r="I38" s="184">
        <v>1</v>
      </c>
      <c r="J38" s="184">
        <v>1</v>
      </c>
      <c r="K38" s="184">
        <v>1</v>
      </c>
      <c r="L38" s="184">
        <v>3</v>
      </c>
      <c r="M38" s="184">
        <v>1</v>
      </c>
      <c r="N38" s="183"/>
      <c r="O38" s="183"/>
      <c r="P38" s="194">
        <f>SUM(Tabela2[[#This Row],[G]]+Tabela2[[#This Row],[D]]+Tabela2[[#This Row],[N]]+Tabela2[[#This Row],[HM]])</f>
        <v>4</v>
      </c>
      <c r="Q38" s="194">
        <f>SUM(Tabela2[[#This Row],[AO]]+Tabela2[[#This Row],[AD]]+Tabela2[[#This Row],[GWO]]+Tabela2[[#This Row],[GWD]])</f>
        <v>6</v>
      </c>
      <c r="R38" s="194">
        <f>Tabela2[[#This Row],[GWO]]+Tabela2[[#This Row],[GWD]]</f>
        <v>4</v>
      </c>
      <c r="S38" s="194">
        <f>SUM(Tabela2[[#This Row],[G]:[GWD]])</f>
        <v>10</v>
      </c>
    </row>
    <row r="39" spans="1:19" ht="30">
      <c r="A39" s="197">
        <v>289</v>
      </c>
      <c r="B39" s="184" t="s">
        <v>444</v>
      </c>
      <c r="C39" s="184" t="s">
        <v>407</v>
      </c>
      <c r="D39" s="184">
        <v>4</v>
      </c>
      <c r="E39" s="184" t="s">
        <v>264</v>
      </c>
      <c r="F39" s="184">
        <v>1</v>
      </c>
      <c r="G39" s="184">
        <v>1</v>
      </c>
      <c r="H39" s="184">
        <v>1</v>
      </c>
      <c r="I39" s="184">
        <v>2</v>
      </c>
      <c r="J39" s="184">
        <v>1</v>
      </c>
      <c r="K39" s="184">
        <v>1</v>
      </c>
      <c r="L39" s="184">
        <v>4</v>
      </c>
      <c r="M39" s="184">
        <v>1</v>
      </c>
      <c r="N39" s="183"/>
      <c r="O39" s="183"/>
      <c r="P39" s="194">
        <f>SUM(Tabela2[[#This Row],[G]]+Tabela2[[#This Row],[D]]+Tabela2[[#This Row],[N]]+Tabela2[[#This Row],[HM]])</f>
        <v>4</v>
      </c>
      <c r="Q39" s="194">
        <f>SUM(Tabela2[[#This Row],[AO]]+Tabela2[[#This Row],[AD]]+Tabela2[[#This Row],[GWO]]+Tabela2[[#This Row],[GWD]])</f>
        <v>8</v>
      </c>
      <c r="R39" s="194">
        <f>Tabela2[[#This Row],[GWO]]+Tabela2[[#This Row],[GWD]]</f>
        <v>5</v>
      </c>
      <c r="S39" s="194">
        <f>SUM(Tabela2[[#This Row],[G]:[GWD]])</f>
        <v>12</v>
      </c>
    </row>
    <row r="40" spans="1:19">
      <c r="A40" s="197">
        <v>288</v>
      </c>
      <c r="B40" s="184" t="s">
        <v>445</v>
      </c>
      <c r="C40" s="184" t="s">
        <v>411</v>
      </c>
      <c r="D40" s="184">
        <v>4</v>
      </c>
      <c r="E40" s="184" t="s">
        <v>264</v>
      </c>
      <c r="F40" s="184">
        <v>3</v>
      </c>
      <c r="G40" s="184">
        <v>2</v>
      </c>
      <c r="H40" s="184">
        <v>1</v>
      </c>
      <c r="I40" s="184">
        <v>1</v>
      </c>
      <c r="J40" s="184">
        <v>3</v>
      </c>
      <c r="K40" s="184">
        <v>1</v>
      </c>
      <c r="L40" s="184">
        <v>3</v>
      </c>
      <c r="M40" s="184">
        <v>5</v>
      </c>
      <c r="N40" s="183"/>
      <c r="O40" s="183"/>
      <c r="P40" s="194">
        <f>SUM(Tabela2[[#This Row],[G]]+Tabela2[[#This Row],[D]]+Tabela2[[#This Row],[N]]+Tabela2[[#This Row],[HM]])</f>
        <v>7</v>
      </c>
      <c r="Q40" s="194">
        <f>SUM(Tabela2[[#This Row],[AO]]+Tabela2[[#This Row],[AD]]+Tabela2[[#This Row],[GWO]]+Tabela2[[#This Row],[GWD]])</f>
        <v>12</v>
      </c>
      <c r="R40" s="194">
        <f>Tabela2[[#This Row],[GWO]]+Tabela2[[#This Row],[GWD]]</f>
        <v>8</v>
      </c>
      <c r="S40" s="194">
        <f>SUM(Tabela2[[#This Row],[G]:[GWD]])</f>
        <v>19</v>
      </c>
    </row>
    <row r="41" spans="1:19" ht="30">
      <c r="A41" s="197">
        <v>287</v>
      </c>
      <c r="B41" s="184" t="s">
        <v>446</v>
      </c>
      <c r="C41" s="184" t="s">
        <v>413</v>
      </c>
      <c r="D41" s="184">
        <v>4</v>
      </c>
      <c r="E41" s="184" t="s">
        <v>264</v>
      </c>
      <c r="F41" s="184">
        <v>1</v>
      </c>
      <c r="G41" s="184">
        <v>1</v>
      </c>
      <c r="H41" s="184">
        <v>1</v>
      </c>
      <c r="I41" s="184">
        <v>2</v>
      </c>
      <c r="J41" s="184">
        <v>1</v>
      </c>
      <c r="K41" s="184">
        <v>1</v>
      </c>
      <c r="L41" s="184">
        <v>4</v>
      </c>
      <c r="M41" s="184">
        <v>1</v>
      </c>
      <c r="N41" s="183"/>
      <c r="O41" s="183"/>
      <c r="P41" s="194">
        <f>SUM(Tabela2[[#This Row],[G]]+Tabela2[[#This Row],[D]]+Tabela2[[#This Row],[N]]+Tabela2[[#This Row],[HM]])</f>
        <v>4</v>
      </c>
      <c r="Q41" s="194">
        <f>SUM(Tabela2[[#This Row],[AO]]+Tabela2[[#This Row],[AD]]+Tabela2[[#This Row],[GWO]]+Tabela2[[#This Row],[GWD]])</f>
        <v>8</v>
      </c>
      <c r="R41" s="194">
        <f>Tabela2[[#This Row],[GWO]]+Tabela2[[#This Row],[GWD]]</f>
        <v>5</v>
      </c>
      <c r="S41" s="194">
        <f>SUM(Tabela2[[#This Row],[G]:[GWD]])</f>
        <v>12</v>
      </c>
    </row>
    <row r="42" spans="1:19" ht="30">
      <c r="A42" s="197">
        <v>286</v>
      </c>
      <c r="B42" s="184" t="s">
        <v>447</v>
      </c>
      <c r="C42" s="184" t="s">
        <v>416</v>
      </c>
      <c r="D42" s="184">
        <v>4</v>
      </c>
      <c r="E42" s="184" t="s">
        <v>264</v>
      </c>
      <c r="F42" s="184">
        <v>3</v>
      </c>
      <c r="G42" s="184">
        <v>3</v>
      </c>
      <c r="H42" s="184">
        <v>4</v>
      </c>
      <c r="I42" s="184">
        <v>2</v>
      </c>
      <c r="J42" s="184">
        <v>2</v>
      </c>
      <c r="K42" s="184">
        <v>2</v>
      </c>
      <c r="L42" s="184">
        <v>3</v>
      </c>
      <c r="M42" s="184">
        <v>2</v>
      </c>
      <c r="N42" s="183"/>
      <c r="O42" s="183"/>
      <c r="P42" s="194">
        <f>SUM(Tabela2[[#This Row],[G]]+Tabela2[[#This Row],[D]]+Tabela2[[#This Row],[N]]+Tabela2[[#This Row],[HM]])</f>
        <v>12</v>
      </c>
      <c r="Q42" s="194">
        <f>SUM(Tabela2[[#This Row],[AO]]+Tabela2[[#This Row],[AD]]+Tabela2[[#This Row],[GWO]]+Tabela2[[#This Row],[GWD]])</f>
        <v>9</v>
      </c>
      <c r="R42" s="194">
        <f>Tabela2[[#This Row],[GWO]]+Tabela2[[#This Row],[GWD]]</f>
        <v>5</v>
      </c>
      <c r="S42" s="194">
        <f>SUM(Tabela2[[#This Row],[G]:[GWD]])</f>
        <v>21</v>
      </c>
    </row>
    <row r="43" spans="1:19">
      <c r="A43" s="197">
        <v>285</v>
      </c>
      <c r="B43" s="184" t="s">
        <v>448</v>
      </c>
      <c r="C43" s="184" t="s">
        <v>418</v>
      </c>
      <c r="D43" s="184">
        <v>4</v>
      </c>
      <c r="E43" s="184" t="s">
        <v>264</v>
      </c>
      <c r="F43" s="184">
        <v>1</v>
      </c>
      <c r="G43" s="184">
        <v>1</v>
      </c>
      <c r="H43" s="184">
        <v>1</v>
      </c>
      <c r="I43" s="184">
        <v>1</v>
      </c>
      <c r="J43" s="184">
        <v>3</v>
      </c>
      <c r="K43" s="184">
        <v>1</v>
      </c>
      <c r="L43" s="184">
        <v>3</v>
      </c>
      <c r="M43" s="184">
        <v>3</v>
      </c>
      <c r="N43" s="183"/>
      <c r="O43" s="183"/>
      <c r="P43" s="194">
        <f>SUM(Tabela2[[#This Row],[G]]+Tabela2[[#This Row],[D]]+Tabela2[[#This Row],[N]]+Tabela2[[#This Row],[HM]])</f>
        <v>4</v>
      </c>
      <c r="Q43" s="194">
        <f>SUM(Tabela2[[#This Row],[AO]]+Tabela2[[#This Row],[AD]]+Tabela2[[#This Row],[GWO]]+Tabela2[[#This Row],[GWD]])</f>
        <v>10</v>
      </c>
      <c r="R43" s="194">
        <f>Tabela2[[#This Row],[GWO]]+Tabela2[[#This Row],[GWD]]</f>
        <v>6</v>
      </c>
      <c r="S43" s="194">
        <f>SUM(Tabela2[[#This Row],[G]:[GWD]])</f>
        <v>14</v>
      </c>
    </row>
    <row r="44" spans="1:19" ht="30">
      <c r="A44" s="197">
        <v>284</v>
      </c>
      <c r="B44" s="184" t="s">
        <v>449</v>
      </c>
      <c r="C44" s="184" t="s">
        <v>420</v>
      </c>
      <c r="D44" s="184">
        <v>4</v>
      </c>
      <c r="E44" s="184" t="s">
        <v>264</v>
      </c>
      <c r="F44" s="184">
        <v>2</v>
      </c>
      <c r="G44" s="184">
        <v>2</v>
      </c>
      <c r="H44" s="184">
        <v>4</v>
      </c>
      <c r="I44" s="184">
        <v>4</v>
      </c>
      <c r="J44" s="184">
        <v>4</v>
      </c>
      <c r="K44" s="184">
        <v>1</v>
      </c>
      <c r="L44" s="184">
        <v>5</v>
      </c>
      <c r="M44" s="184">
        <v>4</v>
      </c>
      <c r="N44" s="183"/>
      <c r="O44" s="183"/>
      <c r="P44" s="194">
        <f>SUM(Tabela2[[#This Row],[G]]+Tabela2[[#This Row],[D]]+Tabela2[[#This Row],[N]]+Tabela2[[#This Row],[HM]])</f>
        <v>9</v>
      </c>
      <c r="Q44" s="194">
        <f>SUM(Tabela2[[#This Row],[AO]]+Tabela2[[#This Row],[AD]]+Tabela2[[#This Row],[GWO]]+Tabela2[[#This Row],[GWD]])</f>
        <v>17</v>
      </c>
      <c r="R44" s="194">
        <f>Tabela2[[#This Row],[GWO]]+Tabela2[[#This Row],[GWD]]</f>
        <v>9</v>
      </c>
      <c r="S44" s="194">
        <f>SUM(Tabela2[[#This Row],[G]:[GWD]])</f>
        <v>26</v>
      </c>
    </row>
    <row r="45" spans="1:19" ht="30">
      <c r="A45" s="197">
        <v>283</v>
      </c>
      <c r="B45" s="184" t="s">
        <v>450</v>
      </c>
      <c r="C45" s="184" t="s">
        <v>422</v>
      </c>
      <c r="D45" s="184">
        <v>4</v>
      </c>
      <c r="E45" s="184" t="s">
        <v>264</v>
      </c>
      <c r="F45" s="184">
        <v>1</v>
      </c>
      <c r="G45" s="184">
        <v>1</v>
      </c>
      <c r="H45" s="184">
        <v>2</v>
      </c>
      <c r="I45" s="184">
        <v>4</v>
      </c>
      <c r="J45" s="184">
        <v>2</v>
      </c>
      <c r="K45" s="184">
        <v>1</v>
      </c>
      <c r="L45" s="184">
        <v>3</v>
      </c>
      <c r="M45" s="184">
        <v>1</v>
      </c>
      <c r="N45" s="183"/>
      <c r="O45" s="183"/>
      <c r="P45" s="194">
        <f>SUM(Tabela2[[#This Row],[G]]+Tabela2[[#This Row],[D]]+Tabela2[[#This Row],[N]]+Tabela2[[#This Row],[HM]])</f>
        <v>5</v>
      </c>
      <c r="Q45" s="194">
        <f>SUM(Tabela2[[#This Row],[AO]]+Tabela2[[#This Row],[AD]]+Tabela2[[#This Row],[GWO]]+Tabela2[[#This Row],[GWD]])</f>
        <v>10</v>
      </c>
      <c r="R45" s="194">
        <f>Tabela2[[#This Row],[GWO]]+Tabela2[[#This Row],[GWD]]</f>
        <v>4</v>
      </c>
      <c r="S45" s="194">
        <f>SUM(Tabela2[[#This Row],[G]:[GWD]])</f>
        <v>15</v>
      </c>
    </row>
    <row r="46" spans="1:19">
      <c r="A46" s="197">
        <v>282</v>
      </c>
      <c r="B46" s="184" t="s">
        <v>451</v>
      </c>
      <c r="C46" s="184" t="s">
        <v>211</v>
      </c>
      <c r="D46" s="184">
        <v>4</v>
      </c>
      <c r="E46" s="184" t="s">
        <v>264</v>
      </c>
      <c r="F46" s="184">
        <v>1</v>
      </c>
      <c r="G46" s="184">
        <v>1</v>
      </c>
      <c r="H46" s="184">
        <v>1</v>
      </c>
      <c r="I46" s="184">
        <v>4</v>
      </c>
      <c r="J46" s="184">
        <v>1</v>
      </c>
      <c r="K46" s="184">
        <v>3</v>
      </c>
      <c r="L46" s="184">
        <v>4</v>
      </c>
      <c r="M46" s="184">
        <v>3</v>
      </c>
      <c r="N46" s="183"/>
      <c r="O46" s="183"/>
      <c r="P46" s="194">
        <f>SUM(Tabela2[[#This Row],[G]]+Tabela2[[#This Row],[D]]+Tabela2[[#This Row],[N]]+Tabela2[[#This Row],[HM]])</f>
        <v>6</v>
      </c>
      <c r="Q46" s="194">
        <f>SUM(Tabela2[[#This Row],[AO]]+Tabela2[[#This Row],[AD]]+Tabela2[[#This Row],[GWO]]+Tabela2[[#This Row],[GWD]])</f>
        <v>12</v>
      </c>
      <c r="R46" s="194">
        <f>Tabela2[[#This Row],[GWO]]+Tabela2[[#This Row],[GWD]]</f>
        <v>7</v>
      </c>
      <c r="S46" s="194">
        <f>SUM(Tabela2[[#This Row],[G]:[GWD]])</f>
        <v>18</v>
      </c>
    </row>
    <row r="47" spans="1:19" ht="30">
      <c r="A47" s="197">
        <v>281</v>
      </c>
      <c r="B47" s="184" t="s">
        <v>452</v>
      </c>
      <c r="C47" s="184" t="s">
        <v>370</v>
      </c>
      <c r="D47" s="184">
        <v>4</v>
      </c>
      <c r="E47" s="184" t="s">
        <v>264</v>
      </c>
      <c r="F47" s="184">
        <v>3</v>
      </c>
      <c r="G47" s="184">
        <v>1</v>
      </c>
      <c r="H47" s="184">
        <v>1</v>
      </c>
      <c r="I47" s="184">
        <v>1</v>
      </c>
      <c r="J47" s="184">
        <v>3</v>
      </c>
      <c r="K47" s="184">
        <v>1</v>
      </c>
      <c r="L47" s="184">
        <v>3</v>
      </c>
      <c r="M47" s="184">
        <v>3</v>
      </c>
      <c r="N47" s="183"/>
      <c r="O47" s="183"/>
      <c r="P47" s="194">
        <f>SUM(Tabela2[[#This Row],[G]]+Tabela2[[#This Row],[D]]+Tabela2[[#This Row],[N]]+Tabela2[[#This Row],[HM]])</f>
        <v>6</v>
      </c>
      <c r="Q47" s="194">
        <f>SUM(Tabela2[[#This Row],[AO]]+Tabela2[[#This Row],[AD]]+Tabela2[[#This Row],[GWO]]+Tabela2[[#This Row],[GWD]])</f>
        <v>10</v>
      </c>
      <c r="R47" s="194">
        <f>Tabela2[[#This Row],[GWO]]+Tabela2[[#This Row],[GWD]]</f>
        <v>6</v>
      </c>
      <c r="S47" s="194">
        <f>SUM(Tabela2[[#This Row],[G]:[GWD]])</f>
        <v>16</v>
      </c>
    </row>
    <row r="48" spans="1:19" ht="30">
      <c r="A48" s="197">
        <v>280</v>
      </c>
      <c r="B48" s="184" t="s">
        <v>453</v>
      </c>
      <c r="C48" s="184" t="s">
        <v>428</v>
      </c>
      <c r="D48" s="184">
        <v>4</v>
      </c>
      <c r="E48" s="184" t="s">
        <v>264</v>
      </c>
      <c r="F48" s="184">
        <v>1</v>
      </c>
      <c r="G48" s="184">
        <v>1</v>
      </c>
      <c r="H48" s="184">
        <v>1</v>
      </c>
      <c r="I48" s="184">
        <v>4</v>
      </c>
      <c r="J48" s="184">
        <v>3</v>
      </c>
      <c r="K48" s="184">
        <v>3</v>
      </c>
      <c r="L48" s="184">
        <v>3</v>
      </c>
      <c r="M48" s="184">
        <v>3</v>
      </c>
      <c r="N48" s="183"/>
      <c r="O48" s="183"/>
      <c r="P48" s="194">
        <f>SUM(Tabela2[[#This Row],[G]]+Tabela2[[#This Row],[D]]+Tabela2[[#This Row],[N]]+Tabela2[[#This Row],[HM]])</f>
        <v>6</v>
      </c>
      <c r="Q48" s="194">
        <f>SUM(Tabela2[[#This Row],[AO]]+Tabela2[[#This Row],[AD]]+Tabela2[[#This Row],[GWO]]+Tabela2[[#This Row],[GWD]])</f>
        <v>13</v>
      </c>
      <c r="R48" s="194">
        <f>Tabela2[[#This Row],[GWO]]+Tabela2[[#This Row],[GWD]]</f>
        <v>6</v>
      </c>
      <c r="S48" s="194">
        <f>SUM(Tabela2[[#This Row],[G]:[GWD]])</f>
        <v>19</v>
      </c>
    </row>
    <row r="49" spans="1:19" ht="30">
      <c r="A49" s="197">
        <v>279</v>
      </c>
      <c r="B49" s="184" t="s">
        <v>455</v>
      </c>
      <c r="C49" s="184" t="s">
        <v>454</v>
      </c>
      <c r="D49" s="184">
        <v>4</v>
      </c>
      <c r="E49" s="184" t="s">
        <v>264</v>
      </c>
      <c r="F49" s="184">
        <v>2</v>
      </c>
      <c r="G49" s="184">
        <v>2</v>
      </c>
      <c r="H49" s="184">
        <v>2</v>
      </c>
      <c r="I49" s="184">
        <v>3</v>
      </c>
      <c r="J49" s="184">
        <v>1</v>
      </c>
      <c r="K49" s="184">
        <v>1</v>
      </c>
      <c r="L49" s="184">
        <v>4</v>
      </c>
      <c r="M49" s="184">
        <v>1</v>
      </c>
      <c r="N49" s="183"/>
      <c r="O49" s="183"/>
      <c r="P49" s="194">
        <f>SUM(Tabela2[[#This Row],[G]]+Tabela2[[#This Row],[D]]+Tabela2[[#This Row],[N]]+Tabela2[[#This Row],[HM]])</f>
        <v>7</v>
      </c>
      <c r="Q49" s="194">
        <f>SUM(Tabela2[[#This Row],[AO]]+Tabela2[[#This Row],[AD]]+Tabela2[[#This Row],[GWO]]+Tabela2[[#This Row],[GWD]])</f>
        <v>9</v>
      </c>
      <c r="R49" s="194">
        <f>Tabela2[[#This Row],[GWO]]+Tabela2[[#This Row],[GWD]]</f>
        <v>5</v>
      </c>
      <c r="S49" s="194">
        <f>SUM(Tabela2[[#This Row],[G]:[GWD]])</f>
        <v>16</v>
      </c>
    </row>
    <row r="50" spans="1:19">
      <c r="A50" s="197">
        <v>278</v>
      </c>
      <c r="B50" s="184" t="s">
        <v>456</v>
      </c>
      <c r="C50" s="184" t="s">
        <v>432</v>
      </c>
      <c r="D50" s="184">
        <v>4</v>
      </c>
      <c r="E50" s="184" t="s">
        <v>264</v>
      </c>
      <c r="F50" s="184">
        <v>1</v>
      </c>
      <c r="G50" s="184">
        <v>1</v>
      </c>
      <c r="H50" s="184">
        <v>1</v>
      </c>
      <c r="I50" s="184">
        <v>1</v>
      </c>
      <c r="J50" s="184">
        <v>1</v>
      </c>
      <c r="K50" s="184">
        <v>1</v>
      </c>
      <c r="L50" s="184">
        <v>3</v>
      </c>
      <c r="M50" s="184">
        <v>1</v>
      </c>
      <c r="N50" s="183"/>
      <c r="O50" s="183"/>
      <c r="P50" s="194">
        <f>SUM(Tabela2[[#This Row],[G]]+Tabela2[[#This Row],[D]]+Tabela2[[#This Row],[N]]+Tabela2[[#This Row],[HM]])</f>
        <v>4</v>
      </c>
      <c r="Q50" s="194">
        <f>SUM(Tabela2[[#This Row],[AO]]+Tabela2[[#This Row],[AD]]+Tabela2[[#This Row],[GWO]]+Tabela2[[#This Row],[GWD]])</f>
        <v>6</v>
      </c>
      <c r="R50" s="194">
        <f>Tabela2[[#This Row],[GWO]]+Tabela2[[#This Row],[GWD]]</f>
        <v>4</v>
      </c>
      <c r="S50" s="194">
        <f>SUM(Tabela2[[#This Row],[G]:[GWD]])</f>
        <v>10</v>
      </c>
    </row>
    <row r="51" spans="1:19">
      <c r="A51" s="197">
        <v>277</v>
      </c>
      <c r="B51" s="185" t="s">
        <v>457</v>
      </c>
      <c r="C51" s="185" t="s">
        <v>389</v>
      </c>
      <c r="D51" s="185">
        <v>4</v>
      </c>
      <c r="E51" s="185" t="s">
        <v>263</v>
      </c>
      <c r="F51" s="185">
        <v>3</v>
      </c>
      <c r="G51" s="185">
        <v>1</v>
      </c>
      <c r="H51" s="185">
        <v>1</v>
      </c>
      <c r="I51" s="185">
        <v>3</v>
      </c>
      <c r="J51" s="185">
        <v>1</v>
      </c>
      <c r="K51" s="185">
        <v>3</v>
      </c>
      <c r="L51" s="185">
        <v>1</v>
      </c>
      <c r="M51" s="185">
        <v>1</v>
      </c>
      <c r="N51" s="183"/>
      <c r="O51" s="183"/>
      <c r="P51" s="194">
        <f>SUM(Tabela2[[#This Row],[G]]+Tabela2[[#This Row],[D]]+Tabela2[[#This Row],[N]]+Tabela2[[#This Row],[HM]])</f>
        <v>8</v>
      </c>
      <c r="Q51" s="194">
        <f>SUM(Tabela2[[#This Row],[AO]]+Tabela2[[#This Row],[AD]]+Tabela2[[#This Row],[GWO]]+Tabela2[[#This Row],[GWD]])</f>
        <v>6</v>
      </c>
      <c r="R51" s="194">
        <f>Tabela2[[#This Row],[GWO]]+Tabela2[[#This Row],[GWD]]</f>
        <v>2</v>
      </c>
      <c r="S51" s="194">
        <f>SUM(Tabela2[[#This Row],[G]:[GWD]])</f>
        <v>14</v>
      </c>
    </row>
    <row r="52" spans="1:19">
      <c r="A52" s="197">
        <v>276</v>
      </c>
      <c r="B52" s="185" t="s">
        <v>459</v>
      </c>
      <c r="C52" s="185" t="s">
        <v>185</v>
      </c>
      <c r="D52" s="185">
        <v>4</v>
      </c>
      <c r="E52" s="185" t="s">
        <v>263</v>
      </c>
      <c r="F52" s="185">
        <v>4</v>
      </c>
      <c r="G52" s="185">
        <v>1</v>
      </c>
      <c r="H52" s="185">
        <v>1</v>
      </c>
      <c r="I52" s="185">
        <v>1</v>
      </c>
      <c r="J52" s="185">
        <v>1</v>
      </c>
      <c r="K52" s="185">
        <v>1</v>
      </c>
      <c r="L52" s="185">
        <v>3</v>
      </c>
      <c r="M52" s="185">
        <v>1</v>
      </c>
      <c r="N52" s="185" t="s">
        <v>458</v>
      </c>
      <c r="O52" s="185"/>
      <c r="P52" s="200">
        <f>SUM(Tabela2[[#This Row],[G]]+Tabela2[[#This Row],[D]]+Tabela2[[#This Row],[N]]+Tabela2[[#This Row],[HM]])</f>
        <v>7</v>
      </c>
      <c r="Q52" s="200">
        <f>SUM(Tabela2[[#This Row],[AO]]+Tabela2[[#This Row],[AD]]+Tabela2[[#This Row],[GWO]]+Tabela2[[#This Row],[GWD]])</f>
        <v>6</v>
      </c>
      <c r="R52" s="200">
        <f>Tabela2[[#This Row],[GWO]]+Tabela2[[#This Row],[GWD]]</f>
        <v>4</v>
      </c>
      <c r="S52" s="194">
        <f>SUM(Tabela2[[#This Row],[G]:[GWD]])</f>
        <v>13</v>
      </c>
    </row>
    <row r="53" spans="1:19">
      <c r="A53" s="197">
        <v>275</v>
      </c>
      <c r="B53" s="185" t="s">
        <v>460</v>
      </c>
      <c r="C53" s="185" t="s">
        <v>236</v>
      </c>
      <c r="D53" s="185">
        <v>4</v>
      </c>
      <c r="E53" s="185" t="s">
        <v>263</v>
      </c>
      <c r="F53" s="185">
        <v>4</v>
      </c>
      <c r="G53" s="185">
        <v>1</v>
      </c>
      <c r="H53" s="185">
        <v>1</v>
      </c>
      <c r="I53" s="185">
        <v>3</v>
      </c>
      <c r="J53" s="185">
        <v>3</v>
      </c>
      <c r="K53" s="185">
        <v>2</v>
      </c>
      <c r="L53" s="185">
        <v>4</v>
      </c>
      <c r="M53" s="185">
        <v>2</v>
      </c>
      <c r="N53" s="183"/>
      <c r="O53" s="183"/>
      <c r="P53" s="194">
        <f>SUM(Tabela2[[#This Row],[G]]+Tabela2[[#This Row],[D]]+Tabela2[[#This Row],[N]]+Tabela2[[#This Row],[HM]])</f>
        <v>8</v>
      </c>
      <c r="Q53" s="194">
        <f>SUM(Tabela2[[#This Row],[AO]]+Tabela2[[#This Row],[AD]]+Tabela2[[#This Row],[GWO]]+Tabela2[[#This Row],[GWD]])</f>
        <v>12</v>
      </c>
      <c r="R53" s="194">
        <f>Tabela2[[#This Row],[GWO]]+Tabela2[[#This Row],[GWD]]</f>
        <v>6</v>
      </c>
      <c r="S53" s="194">
        <f>SUM(Tabela2[[#This Row],[G]:[GWD]])</f>
        <v>20</v>
      </c>
    </row>
    <row r="54" spans="1:19">
      <c r="A54" s="197">
        <v>274</v>
      </c>
      <c r="B54" s="185" t="s">
        <v>461</v>
      </c>
      <c r="C54" s="185" t="s">
        <v>391</v>
      </c>
      <c r="D54" s="185">
        <v>4</v>
      </c>
      <c r="E54" s="185" t="s">
        <v>263</v>
      </c>
      <c r="F54" s="185">
        <v>5</v>
      </c>
      <c r="G54" s="185">
        <v>1</v>
      </c>
      <c r="H54" s="185">
        <v>1</v>
      </c>
      <c r="I54" s="185">
        <v>1</v>
      </c>
      <c r="J54" s="185">
        <v>1</v>
      </c>
      <c r="K54" s="185">
        <v>3</v>
      </c>
      <c r="L54" s="185">
        <v>3</v>
      </c>
      <c r="M54" s="185">
        <v>2</v>
      </c>
      <c r="N54" s="183"/>
      <c r="O54" s="183"/>
      <c r="P54" s="194">
        <f>SUM(Tabela2[[#This Row],[G]]+Tabela2[[#This Row],[D]]+Tabela2[[#This Row],[N]]+Tabela2[[#This Row],[HM]])</f>
        <v>10</v>
      </c>
      <c r="Q54" s="194">
        <f>SUM(Tabela2[[#This Row],[AO]]+Tabela2[[#This Row],[AD]]+Tabela2[[#This Row],[GWO]]+Tabela2[[#This Row],[GWD]])</f>
        <v>7</v>
      </c>
      <c r="R54" s="194">
        <f>Tabela2[[#This Row],[GWO]]+Tabela2[[#This Row],[GWD]]</f>
        <v>5</v>
      </c>
      <c r="S54" s="194">
        <f>SUM(Tabela2[[#This Row],[G]:[GWD]])</f>
        <v>17</v>
      </c>
    </row>
    <row r="55" spans="1:19">
      <c r="A55" s="197">
        <v>273</v>
      </c>
      <c r="B55" s="185" t="s">
        <v>462</v>
      </c>
      <c r="C55" s="185" t="s">
        <v>235</v>
      </c>
      <c r="D55" s="185">
        <v>4</v>
      </c>
      <c r="E55" s="185" t="s">
        <v>263</v>
      </c>
      <c r="F55" s="185">
        <v>2</v>
      </c>
      <c r="G55" s="185">
        <v>1</v>
      </c>
      <c r="H55" s="185">
        <v>1</v>
      </c>
      <c r="I55" s="185">
        <v>3</v>
      </c>
      <c r="J55" s="185">
        <v>1</v>
      </c>
      <c r="K55" s="185">
        <v>1</v>
      </c>
      <c r="L55" s="185">
        <v>2</v>
      </c>
      <c r="M55" s="185">
        <v>1</v>
      </c>
      <c r="N55" s="183"/>
      <c r="O55" s="183"/>
      <c r="P55" s="194">
        <f>SUM(Tabela2[[#This Row],[G]]+Tabela2[[#This Row],[D]]+Tabela2[[#This Row],[N]]+Tabela2[[#This Row],[HM]])</f>
        <v>5</v>
      </c>
      <c r="Q55" s="194">
        <f>SUM(Tabela2[[#This Row],[AO]]+Tabela2[[#This Row],[AD]]+Tabela2[[#This Row],[GWO]]+Tabela2[[#This Row],[GWD]])</f>
        <v>7</v>
      </c>
      <c r="R55" s="194">
        <f>Tabela2[[#This Row],[GWO]]+Tabela2[[#This Row],[GWD]]</f>
        <v>3</v>
      </c>
      <c r="S55" s="194">
        <f>SUM(Tabela2[[#This Row],[G]:[GWD]])</f>
        <v>12</v>
      </c>
    </row>
    <row r="56" spans="1:19">
      <c r="A56" s="197">
        <v>272</v>
      </c>
      <c r="B56" s="185" t="s">
        <v>463</v>
      </c>
      <c r="C56" s="185" t="s">
        <v>237</v>
      </c>
      <c r="D56" s="185">
        <v>4</v>
      </c>
      <c r="E56" s="185" t="s">
        <v>263</v>
      </c>
      <c r="F56" s="185">
        <v>2</v>
      </c>
      <c r="G56" s="185">
        <v>1</v>
      </c>
      <c r="H56" s="185">
        <v>4</v>
      </c>
      <c r="I56" s="185">
        <v>1</v>
      </c>
      <c r="J56" s="185">
        <v>1</v>
      </c>
      <c r="K56" s="185">
        <v>1</v>
      </c>
      <c r="L56" s="185">
        <v>3</v>
      </c>
      <c r="M56" s="185">
        <v>1</v>
      </c>
      <c r="N56" s="183"/>
      <c r="O56" s="183"/>
      <c r="P56" s="194">
        <f>SUM(Tabela2[[#This Row],[G]]+Tabela2[[#This Row],[D]]+Tabela2[[#This Row],[N]]+Tabela2[[#This Row],[HM]])</f>
        <v>8</v>
      </c>
      <c r="Q56" s="194">
        <f>SUM(Tabela2[[#This Row],[AO]]+Tabela2[[#This Row],[AD]]+Tabela2[[#This Row],[GWO]]+Tabela2[[#This Row],[GWD]])</f>
        <v>6</v>
      </c>
      <c r="R56" s="194">
        <f>Tabela2[[#This Row],[GWO]]+Tabela2[[#This Row],[GWD]]</f>
        <v>4</v>
      </c>
      <c r="S56" s="194">
        <f>SUM(Tabela2[[#This Row],[G]:[GWD]])</f>
        <v>14</v>
      </c>
    </row>
    <row r="57" spans="1:19" ht="30">
      <c r="A57" s="197">
        <v>271</v>
      </c>
      <c r="B57" s="185" t="s">
        <v>465</v>
      </c>
      <c r="C57" s="185" t="s">
        <v>464</v>
      </c>
      <c r="D57" s="185">
        <v>4</v>
      </c>
      <c r="E57" s="185" t="s">
        <v>263</v>
      </c>
      <c r="F57" s="185">
        <v>5</v>
      </c>
      <c r="G57" s="185">
        <v>3</v>
      </c>
      <c r="H57" s="185">
        <v>3</v>
      </c>
      <c r="I57" s="185">
        <v>4</v>
      </c>
      <c r="J57" s="185">
        <v>5</v>
      </c>
      <c r="K57" s="185">
        <v>5</v>
      </c>
      <c r="L57" s="185">
        <v>5</v>
      </c>
      <c r="M57" s="185">
        <v>5</v>
      </c>
      <c r="N57" s="183"/>
      <c r="O57" s="183"/>
      <c r="P57" s="194">
        <f>SUM(Tabela2[[#This Row],[G]]+Tabela2[[#This Row],[D]]+Tabela2[[#This Row],[N]]+Tabela2[[#This Row],[HM]])</f>
        <v>16</v>
      </c>
      <c r="Q57" s="194">
        <f>SUM(Tabela2[[#This Row],[AO]]+Tabela2[[#This Row],[AD]]+Tabela2[[#This Row],[GWO]]+Tabela2[[#This Row],[GWD]])</f>
        <v>19</v>
      </c>
      <c r="R57" s="194">
        <f>Tabela2[[#This Row],[GWO]]+Tabela2[[#This Row],[GWD]]</f>
        <v>10</v>
      </c>
      <c r="S57" s="194">
        <f>SUM(Tabela2[[#This Row],[G]:[GWD]])</f>
        <v>35</v>
      </c>
    </row>
    <row r="58" spans="1:19">
      <c r="A58" s="197">
        <v>270</v>
      </c>
      <c r="B58" s="185" t="s">
        <v>466</v>
      </c>
      <c r="C58" s="185" t="s">
        <v>395</v>
      </c>
      <c r="D58" s="185">
        <v>4</v>
      </c>
      <c r="E58" s="185" t="s">
        <v>263</v>
      </c>
      <c r="F58" s="185">
        <v>1</v>
      </c>
      <c r="G58" s="185">
        <v>1</v>
      </c>
      <c r="H58" s="185">
        <v>1</v>
      </c>
      <c r="I58" s="185">
        <v>1</v>
      </c>
      <c r="J58" s="185">
        <v>1</v>
      </c>
      <c r="K58" s="185">
        <v>1</v>
      </c>
      <c r="L58" s="185">
        <v>3</v>
      </c>
      <c r="M58" s="185">
        <v>1</v>
      </c>
      <c r="N58" s="183"/>
      <c r="O58" s="183"/>
      <c r="P58" s="194">
        <f>SUM(Tabela2[[#This Row],[G]]+Tabela2[[#This Row],[D]]+Tabela2[[#This Row],[N]]+Tabela2[[#This Row],[HM]])</f>
        <v>4</v>
      </c>
      <c r="Q58" s="194">
        <f>SUM(Tabela2[[#This Row],[AO]]+Tabela2[[#This Row],[AD]]+Tabela2[[#This Row],[GWO]]+Tabela2[[#This Row],[GWD]])</f>
        <v>6</v>
      </c>
      <c r="R58" s="194">
        <f>Tabela2[[#This Row],[GWO]]+Tabela2[[#This Row],[GWD]]</f>
        <v>4</v>
      </c>
      <c r="S58" s="194">
        <f>SUM(Tabela2[[#This Row],[G]:[GWD]])</f>
        <v>10</v>
      </c>
    </row>
    <row r="59" spans="1:19">
      <c r="A59" s="197">
        <v>269</v>
      </c>
      <c r="B59" s="185" t="s">
        <v>467</v>
      </c>
      <c r="C59" s="185" t="s">
        <v>397</v>
      </c>
      <c r="D59" s="185">
        <v>4</v>
      </c>
      <c r="E59" s="185" t="s">
        <v>263</v>
      </c>
      <c r="F59" s="185">
        <v>3</v>
      </c>
      <c r="G59" s="185">
        <v>1</v>
      </c>
      <c r="H59" s="185">
        <v>4</v>
      </c>
      <c r="I59" s="185">
        <v>2</v>
      </c>
      <c r="J59" s="185">
        <v>1</v>
      </c>
      <c r="K59" s="185">
        <v>1</v>
      </c>
      <c r="L59" s="185">
        <v>3</v>
      </c>
      <c r="M59" s="185">
        <v>1</v>
      </c>
      <c r="N59" s="183"/>
      <c r="O59" s="183"/>
      <c r="P59" s="194">
        <f>SUM(Tabela2[[#This Row],[G]]+Tabela2[[#This Row],[D]]+Tabela2[[#This Row],[N]]+Tabela2[[#This Row],[HM]])</f>
        <v>9</v>
      </c>
      <c r="Q59" s="194">
        <f>SUM(Tabela2[[#This Row],[AO]]+Tabela2[[#This Row],[AD]]+Tabela2[[#This Row],[GWO]]+Tabela2[[#This Row],[GWD]])</f>
        <v>7</v>
      </c>
      <c r="R59" s="194">
        <f>Tabela2[[#This Row],[GWO]]+Tabela2[[#This Row],[GWD]]</f>
        <v>4</v>
      </c>
      <c r="S59" s="194">
        <f>SUM(Tabela2[[#This Row],[G]:[GWD]])</f>
        <v>16</v>
      </c>
    </row>
    <row r="60" spans="1:19" ht="30">
      <c r="A60" s="197">
        <v>268</v>
      </c>
      <c r="B60" s="185" t="s">
        <v>468</v>
      </c>
      <c r="C60" s="185" t="s">
        <v>399</v>
      </c>
      <c r="D60" s="185">
        <v>4</v>
      </c>
      <c r="E60" s="185" t="s">
        <v>263</v>
      </c>
      <c r="F60" s="185">
        <v>2</v>
      </c>
      <c r="G60" s="185">
        <v>1</v>
      </c>
      <c r="H60" s="185">
        <v>1</v>
      </c>
      <c r="I60" s="185">
        <v>1</v>
      </c>
      <c r="J60" s="185">
        <v>1</v>
      </c>
      <c r="K60" s="185">
        <v>1</v>
      </c>
      <c r="L60" s="185">
        <v>3</v>
      </c>
      <c r="M60" s="185">
        <v>1</v>
      </c>
      <c r="N60" s="183"/>
      <c r="O60" s="183"/>
      <c r="P60" s="194">
        <f>SUM(Tabela2[[#This Row],[G]]+Tabela2[[#This Row],[D]]+Tabela2[[#This Row],[N]]+Tabela2[[#This Row],[HM]])</f>
        <v>5</v>
      </c>
      <c r="Q60" s="194">
        <f>SUM(Tabela2[[#This Row],[AO]]+Tabela2[[#This Row],[AD]]+Tabela2[[#This Row],[GWO]]+Tabela2[[#This Row],[GWD]])</f>
        <v>6</v>
      </c>
      <c r="R60" s="194">
        <f>Tabela2[[#This Row],[GWO]]+Tabela2[[#This Row],[GWD]]</f>
        <v>4</v>
      </c>
      <c r="S60" s="194">
        <f>SUM(Tabela2[[#This Row],[G]:[GWD]])</f>
        <v>11</v>
      </c>
    </row>
    <row r="61" spans="1:19">
      <c r="A61" s="197">
        <v>267</v>
      </c>
      <c r="B61" s="185" t="s">
        <v>469</v>
      </c>
      <c r="C61" s="185" t="s">
        <v>401</v>
      </c>
      <c r="D61" s="185">
        <v>4</v>
      </c>
      <c r="E61" s="185" t="s">
        <v>263</v>
      </c>
      <c r="F61" s="185">
        <v>2</v>
      </c>
      <c r="G61" s="185">
        <v>1</v>
      </c>
      <c r="H61" s="185">
        <v>3</v>
      </c>
      <c r="I61" s="185">
        <v>1</v>
      </c>
      <c r="J61" s="185">
        <v>1</v>
      </c>
      <c r="K61" s="185">
        <v>1</v>
      </c>
      <c r="L61" s="185">
        <v>3</v>
      </c>
      <c r="M61" s="185">
        <v>1</v>
      </c>
      <c r="N61" s="183"/>
      <c r="O61" s="183"/>
      <c r="P61" s="194">
        <f>SUM(Tabela2[[#This Row],[G]]+Tabela2[[#This Row],[D]]+Tabela2[[#This Row],[N]]+Tabela2[[#This Row],[HM]])</f>
        <v>7</v>
      </c>
      <c r="Q61" s="194">
        <f>SUM(Tabela2[[#This Row],[AO]]+Tabela2[[#This Row],[AD]]+Tabela2[[#This Row],[GWO]]+Tabela2[[#This Row],[GWD]])</f>
        <v>6</v>
      </c>
      <c r="R61" s="194">
        <f>Tabela2[[#This Row],[GWO]]+Tabela2[[#This Row],[GWD]]</f>
        <v>4</v>
      </c>
      <c r="S61" s="194">
        <f>SUM(Tabela2[[#This Row],[G]:[GWD]])</f>
        <v>13</v>
      </c>
    </row>
    <row r="62" spans="1:19" ht="30">
      <c r="A62" s="197">
        <v>266</v>
      </c>
      <c r="B62" s="185" t="s">
        <v>470</v>
      </c>
      <c r="C62" s="185" t="s">
        <v>357</v>
      </c>
      <c r="D62" s="185">
        <v>4</v>
      </c>
      <c r="E62" s="185" t="s">
        <v>263</v>
      </c>
      <c r="F62" s="185">
        <v>3</v>
      </c>
      <c r="G62" s="185">
        <v>1</v>
      </c>
      <c r="H62" s="185">
        <v>1</v>
      </c>
      <c r="I62" s="185">
        <v>3</v>
      </c>
      <c r="J62" s="185">
        <v>1</v>
      </c>
      <c r="K62" s="185">
        <v>1</v>
      </c>
      <c r="L62" s="185">
        <v>2</v>
      </c>
      <c r="M62" s="185">
        <v>1</v>
      </c>
      <c r="N62" s="183"/>
      <c r="O62" s="183" t="s">
        <v>205</v>
      </c>
      <c r="P62" s="194">
        <f>SUM(Tabela2[[#This Row],[G]]+Tabela2[[#This Row],[D]]+Tabela2[[#This Row],[N]]+Tabela2[[#This Row],[HM]])</f>
        <v>6</v>
      </c>
      <c r="Q62" s="194">
        <f>SUM(Tabela2[[#This Row],[AO]]+Tabela2[[#This Row],[AD]]+Tabela2[[#This Row],[GWO]]+Tabela2[[#This Row],[GWD]])</f>
        <v>7</v>
      </c>
      <c r="R62" s="194">
        <f>Tabela2[[#This Row],[GWO]]+Tabela2[[#This Row],[GWD]]</f>
        <v>3</v>
      </c>
      <c r="S62" s="194">
        <f>SUM(Tabela2[[#This Row],[G]:[GWD]])</f>
        <v>13</v>
      </c>
    </row>
    <row r="63" spans="1:19">
      <c r="A63" s="197">
        <v>265</v>
      </c>
      <c r="B63" s="185" t="s">
        <v>369</v>
      </c>
      <c r="C63" s="185" t="s">
        <v>216</v>
      </c>
      <c r="D63" s="185">
        <v>4</v>
      </c>
      <c r="E63" s="185" t="s">
        <v>263</v>
      </c>
      <c r="F63" s="185">
        <v>5</v>
      </c>
      <c r="G63" s="185">
        <v>1</v>
      </c>
      <c r="H63" s="185">
        <v>5</v>
      </c>
      <c r="I63" s="185">
        <v>1</v>
      </c>
      <c r="J63" s="185">
        <v>1</v>
      </c>
      <c r="K63" s="185">
        <v>1</v>
      </c>
      <c r="L63" s="185">
        <v>3</v>
      </c>
      <c r="M63" s="185">
        <v>1</v>
      </c>
      <c r="N63" s="186"/>
      <c r="O63" s="186" t="s">
        <v>205</v>
      </c>
      <c r="P63" s="195">
        <f>SUM(Tabela2[[#This Row],[G]]+Tabela2[[#This Row],[D]]+Tabela2[[#This Row],[N]]+Tabela2[[#This Row],[HM]])</f>
        <v>12</v>
      </c>
      <c r="Q63" s="195">
        <f>SUM(Tabela2[[#This Row],[AO]]+Tabela2[[#This Row],[AD]]+Tabela2[[#This Row],[GWO]]+Tabela2[[#This Row],[GWD]])</f>
        <v>6</v>
      </c>
      <c r="R63" s="195">
        <f>Tabela2[[#This Row],[GWO]]+Tabela2[[#This Row],[GWD]]</f>
        <v>4</v>
      </c>
      <c r="S63" s="195">
        <f>SUM(Tabela2[[#This Row],[G]:[GWD]])</f>
        <v>18</v>
      </c>
    </row>
    <row r="64" spans="1:19" ht="30">
      <c r="A64" s="197">
        <v>264</v>
      </c>
      <c r="B64" s="185" t="s">
        <v>471</v>
      </c>
      <c r="C64" s="185" t="s">
        <v>405</v>
      </c>
      <c r="D64" s="185">
        <v>4</v>
      </c>
      <c r="E64" s="185" t="s">
        <v>263</v>
      </c>
      <c r="F64" s="185">
        <v>4</v>
      </c>
      <c r="G64" s="185">
        <v>1</v>
      </c>
      <c r="H64" s="185">
        <v>4</v>
      </c>
      <c r="I64" s="185">
        <v>1</v>
      </c>
      <c r="J64" s="185">
        <v>1</v>
      </c>
      <c r="K64" s="185">
        <v>1</v>
      </c>
      <c r="L64" s="185">
        <v>3</v>
      </c>
      <c r="M64" s="185">
        <v>1</v>
      </c>
      <c r="N64" s="185" t="s">
        <v>458</v>
      </c>
      <c r="O64" s="185"/>
      <c r="P64" s="200">
        <f>SUM(Tabela2[[#This Row],[G]]+Tabela2[[#This Row],[D]]+Tabela2[[#This Row],[N]]+Tabela2[[#This Row],[HM]])</f>
        <v>10</v>
      </c>
      <c r="Q64" s="200">
        <f>SUM(Tabela2[[#This Row],[AO]]+Tabela2[[#This Row],[AD]]+Tabela2[[#This Row],[GWO]]+Tabela2[[#This Row],[GWD]])</f>
        <v>6</v>
      </c>
      <c r="R64" s="200">
        <f>Tabela2[[#This Row],[GWO]]+Tabela2[[#This Row],[GWD]]</f>
        <v>4</v>
      </c>
      <c r="S64" s="194">
        <f>SUM(Tabela2[[#This Row],[G]:[GWD]])</f>
        <v>16</v>
      </c>
    </row>
    <row r="65" spans="1:19" ht="30">
      <c r="A65" s="197">
        <v>263</v>
      </c>
      <c r="B65" s="185" t="s">
        <v>472</v>
      </c>
      <c r="C65" s="185" t="s">
        <v>407</v>
      </c>
      <c r="D65" s="185">
        <v>4</v>
      </c>
      <c r="E65" s="185" t="s">
        <v>263</v>
      </c>
      <c r="F65" s="185">
        <v>3</v>
      </c>
      <c r="G65" s="185">
        <v>1</v>
      </c>
      <c r="H65" s="185">
        <v>1</v>
      </c>
      <c r="I65" s="185">
        <v>1</v>
      </c>
      <c r="J65" s="185">
        <v>1</v>
      </c>
      <c r="K65" s="185">
        <v>1</v>
      </c>
      <c r="L65" s="185">
        <v>3</v>
      </c>
      <c r="M65" s="185">
        <v>1</v>
      </c>
      <c r="N65" s="183"/>
      <c r="O65" s="183"/>
      <c r="P65" s="194">
        <f>SUM(Tabela2[[#This Row],[G]]+Tabela2[[#This Row],[D]]+Tabela2[[#This Row],[N]]+Tabela2[[#This Row],[HM]])</f>
        <v>6</v>
      </c>
      <c r="Q65" s="194">
        <f>SUM(Tabela2[[#This Row],[AO]]+Tabela2[[#This Row],[AD]]+Tabela2[[#This Row],[GWO]]+Tabela2[[#This Row],[GWD]])</f>
        <v>6</v>
      </c>
      <c r="R65" s="194">
        <f>Tabela2[[#This Row],[GWO]]+Tabela2[[#This Row],[GWD]]</f>
        <v>4</v>
      </c>
      <c r="S65" s="194">
        <f>SUM(Tabela2[[#This Row],[G]:[GWD]])</f>
        <v>12</v>
      </c>
    </row>
    <row r="66" spans="1:19" ht="30">
      <c r="A66" s="197">
        <v>262</v>
      </c>
      <c r="B66" s="185" t="s">
        <v>473</v>
      </c>
      <c r="C66" s="185" t="s">
        <v>409</v>
      </c>
      <c r="D66" s="185">
        <v>4</v>
      </c>
      <c r="E66" s="185" t="s">
        <v>263</v>
      </c>
      <c r="F66" s="185">
        <v>3</v>
      </c>
      <c r="G66" s="185">
        <v>1</v>
      </c>
      <c r="H66" s="185">
        <v>1</v>
      </c>
      <c r="I66" s="185">
        <v>1</v>
      </c>
      <c r="J66" s="185">
        <v>2</v>
      </c>
      <c r="K66" s="185">
        <v>1</v>
      </c>
      <c r="L66" s="185">
        <v>3</v>
      </c>
      <c r="M66" s="185">
        <v>3</v>
      </c>
      <c r="N66" s="183"/>
      <c r="O66" s="183"/>
      <c r="P66" s="194">
        <f>SUM(Tabela2[[#This Row],[G]]+Tabela2[[#This Row],[D]]+Tabela2[[#This Row],[N]]+Tabela2[[#This Row],[HM]])</f>
        <v>6</v>
      </c>
      <c r="Q66" s="194">
        <f>SUM(Tabela2[[#This Row],[AO]]+Tabela2[[#This Row],[AD]]+Tabela2[[#This Row],[GWO]]+Tabela2[[#This Row],[GWD]])</f>
        <v>9</v>
      </c>
      <c r="R66" s="194">
        <f>Tabela2[[#This Row],[GWO]]+Tabela2[[#This Row],[GWD]]</f>
        <v>6</v>
      </c>
      <c r="S66" s="194">
        <f>SUM(Tabela2[[#This Row],[G]:[GWD]])</f>
        <v>15</v>
      </c>
    </row>
    <row r="67" spans="1:19">
      <c r="A67" s="197">
        <v>261</v>
      </c>
      <c r="B67" s="185" t="s">
        <v>474</v>
      </c>
      <c r="C67" s="185" t="s">
        <v>411</v>
      </c>
      <c r="D67" s="185">
        <v>4</v>
      </c>
      <c r="E67" s="185" t="s">
        <v>263</v>
      </c>
      <c r="F67" s="185">
        <v>3</v>
      </c>
      <c r="G67" s="185">
        <v>1</v>
      </c>
      <c r="H67" s="185">
        <v>1</v>
      </c>
      <c r="I67" s="185">
        <v>1</v>
      </c>
      <c r="J67" s="185">
        <v>1</v>
      </c>
      <c r="K67" s="185">
        <v>1</v>
      </c>
      <c r="L67" s="185">
        <v>1</v>
      </c>
      <c r="M67" s="185">
        <v>1</v>
      </c>
      <c r="N67" s="183"/>
      <c r="O67" s="183"/>
      <c r="P67" s="194">
        <f>SUM(Tabela2[[#This Row],[G]]+Tabela2[[#This Row],[D]]+Tabela2[[#This Row],[N]]+Tabela2[[#This Row],[HM]])</f>
        <v>6</v>
      </c>
      <c r="Q67" s="194">
        <f>SUM(Tabela2[[#This Row],[AO]]+Tabela2[[#This Row],[AD]]+Tabela2[[#This Row],[GWO]]+Tabela2[[#This Row],[GWD]])</f>
        <v>4</v>
      </c>
      <c r="R67" s="194">
        <f>Tabela2[[#This Row],[GWO]]+Tabela2[[#This Row],[GWD]]</f>
        <v>2</v>
      </c>
      <c r="S67" s="194">
        <f>SUM(Tabela2[[#This Row],[G]:[GWD]])</f>
        <v>10</v>
      </c>
    </row>
    <row r="68" spans="1:19" ht="30">
      <c r="A68" s="197">
        <v>260</v>
      </c>
      <c r="B68" s="185" t="s">
        <v>475</v>
      </c>
      <c r="C68" s="185" t="s">
        <v>416</v>
      </c>
      <c r="D68" s="185">
        <v>4</v>
      </c>
      <c r="E68" s="185" t="s">
        <v>263</v>
      </c>
      <c r="F68" s="185">
        <v>3</v>
      </c>
      <c r="G68" s="185">
        <v>1</v>
      </c>
      <c r="H68" s="185">
        <v>2</v>
      </c>
      <c r="I68" s="185">
        <v>1</v>
      </c>
      <c r="J68" s="185">
        <v>1</v>
      </c>
      <c r="K68" s="185">
        <v>1</v>
      </c>
      <c r="L68" s="185">
        <v>1</v>
      </c>
      <c r="M68" s="185">
        <v>1</v>
      </c>
      <c r="N68" s="183"/>
      <c r="O68" s="183"/>
      <c r="P68" s="194">
        <f>SUM(Tabela2[[#This Row],[G]]+Tabela2[[#This Row],[D]]+Tabela2[[#This Row],[N]]+Tabela2[[#This Row],[HM]])</f>
        <v>7</v>
      </c>
      <c r="Q68" s="194">
        <f>SUM(Tabela2[[#This Row],[AO]]+Tabela2[[#This Row],[AD]]+Tabela2[[#This Row],[GWO]]+Tabela2[[#This Row],[GWD]])</f>
        <v>4</v>
      </c>
      <c r="R68" s="194">
        <f>Tabela2[[#This Row],[GWO]]+Tabela2[[#This Row],[GWD]]</f>
        <v>2</v>
      </c>
      <c r="S68" s="194">
        <f>SUM(Tabela2[[#This Row],[G]:[GWD]])</f>
        <v>11</v>
      </c>
    </row>
    <row r="69" spans="1:19">
      <c r="A69" s="197">
        <v>259</v>
      </c>
      <c r="B69" s="185" t="s">
        <v>476</v>
      </c>
      <c r="C69" s="185" t="s">
        <v>418</v>
      </c>
      <c r="D69" s="185">
        <v>4</v>
      </c>
      <c r="E69" s="185" t="s">
        <v>263</v>
      </c>
      <c r="F69" s="185">
        <v>2</v>
      </c>
      <c r="G69" s="185">
        <v>1</v>
      </c>
      <c r="H69" s="185">
        <v>1</v>
      </c>
      <c r="I69" s="185">
        <v>1</v>
      </c>
      <c r="J69" s="185">
        <v>1</v>
      </c>
      <c r="K69" s="185">
        <v>1</v>
      </c>
      <c r="L69" s="185">
        <v>2</v>
      </c>
      <c r="M69" s="185">
        <v>1</v>
      </c>
      <c r="N69" s="183"/>
      <c r="O69" s="183"/>
      <c r="P69" s="194">
        <f>SUM(Tabela2[[#This Row],[G]]+Tabela2[[#This Row],[D]]+Tabela2[[#This Row],[N]]+Tabela2[[#This Row],[HM]])</f>
        <v>5</v>
      </c>
      <c r="Q69" s="194">
        <f>SUM(Tabela2[[#This Row],[AO]]+Tabela2[[#This Row],[AD]]+Tabela2[[#This Row],[GWO]]+Tabela2[[#This Row],[GWD]])</f>
        <v>5</v>
      </c>
      <c r="R69" s="194">
        <f>Tabela2[[#This Row],[GWO]]+Tabela2[[#This Row],[GWD]]</f>
        <v>3</v>
      </c>
      <c r="S69" s="194">
        <f>SUM(Tabela2[[#This Row],[G]:[GWD]])</f>
        <v>10</v>
      </c>
    </row>
    <row r="70" spans="1:19" ht="30">
      <c r="A70" s="197">
        <v>258</v>
      </c>
      <c r="B70" s="185" t="s">
        <v>477</v>
      </c>
      <c r="C70" s="185" t="s">
        <v>420</v>
      </c>
      <c r="D70" s="185">
        <v>4</v>
      </c>
      <c r="E70" s="185" t="s">
        <v>263</v>
      </c>
      <c r="F70" s="185">
        <v>1</v>
      </c>
      <c r="G70" s="185">
        <v>1</v>
      </c>
      <c r="H70" s="185">
        <v>1</v>
      </c>
      <c r="I70" s="185">
        <v>1</v>
      </c>
      <c r="J70" s="185">
        <v>1</v>
      </c>
      <c r="K70" s="185">
        <v>1</v>
      </c>
      <c r="L70" s="185">
        <v>1</v>
      </c>
      <c r="M70" s="185">
        <v>1</v>
      </c>
      <c r="N70" s="183"/>
      <c r="O70" s="183"/>
      <c r="P70" s="194">
        <f>SUM(Tabela2[[#This Row],[G]]+Tabela2[[#This Row],[D]]+Tabela2[[#This Row],[N]]+Tabela2[[#This Row],[HM]])</f>
        <v>4</v>
      </c>
      <c r="Q70" s="194">
        <f>SUM(Tabela2[[#This Row],[AO]]+Tabela2[[#This Row],[AD]]+Tabela2[[#This Row],[GWO]]+Tabela2[[#This Row],[GWD]])</f>
        <v>4</v>
      </c>
      <c r="R70" s="194">
        <f>Tabela2[[#This Row],[GWO]]+Tabela2[[#This Row],[GWD]]</f>
        <v>2</v>
      </c>
      <c r="S70" s="194">
        <f>SUM(Tabela2[[#This Row],[G]:[GWD]])</f>
        <v>8</v>
      </c>
    </row>
    <row r="71" spans="1:19" ht="30">
      <c r="A71" s="197">
        <v>257</v>
      </c>
      <c r="B71" s="185" t="s">
        <v>478</v>
      </c>
      <c r="C71" s="185" t="s">
        <v>422</v>
      </c>
      <c r="D71" s="185">
        <v>4</v>
      </c>
      <c r="E71" s="185" t="s">
        <v>263</v>
      </c>
      <c r="F71" s="185">
        <v>3</v>
      </c>
      <c r="G71" s="185">
        <v>1</v>
      </c>
      <c r="H71" s="185">
        <v>2</v>
      </c>
      <c r="I71" s="185">
        <v>4</v>
      </c>
      <c r="J71" s="185">
        <v>1</v>
      </c>
      <c r="K71" s="185">
        <v>1</v>
      </c>
      <c r="L71" s="185">
        <v>4</v>
      </c>
      <c r="M71" s="185">
        <v>1</v>
      </c>
      <c r="N71" s="183"/>
      <c r="O71" s="183"/>
      <c r="P71" s="194">
        <f>SUM(Tabela2[[#This Row],[G]]+Tabela2[[#This Row],[D]]+Tabela2[[#This Row],[N]]+Tabela2[[#This Row],[HM]])</f>
        <v>7</v>
      </c>
      <c r="Q71" s="194">
        <f>SUM(Tabela2[[#This Row],[AO]]+Tabela2[[#This Row],[AD]]+Tabela2[[#This Row],[GWO]]+Tabela2[[#This Row],[GWD]])</f>
        <v>10</v>
      </c>
      <c r="R71" s="194">
        <f>Tabela2[[#This Row],[GWO]]+Tabela2[[#This Row],[GWD]]</f>
        <v>5</v>
      </c>
      <c r="S71" s="194">
        <f>SUM(Tabela2[[#This Row],[G]:[GWD]])</f>
        <v>17</v>
      </c>
    </row>
    <row r="72" spans="1:19">
      <c r="A72" s="197">
        <v>256</v>
      </c>
      <c r="B72" s="185" t="s">
        <v>479</v>
      </c>
      <c r="C72" s="185" t="s">
        <v>211</v>
      </c>
      <c r="D72" s="185">
        <v>4</v>
      </c>
      <c r="E72" s="185" t="s">
        <v>263</v>
      </c>
      <c r="F72" s="185">
        <v>5</v>
      </c>
      <c r="G72" s="185">
        <v>1</v>
      </c>
      <c r="H72" s="185">
        <v>2</v>
      </c>
      <c r="I72" s="185">
        <v>5</v>
      </c>
      <c r="J72" s="185">
        <v>1</v>
      </c>
      <c r="K72" s="185">
        <v>1</v>
      </c>
      <c r="L72" s="185">
        <v>5</v>
      </c>
      <c r="M72" s="185">
        <v>1</v>
      </c>
      <c r="N72" s="183"/>
      <c r="O72" s="183"/>
      <c r="P72" s="194">
        <f>SUM(Tabela2[[#This Row],[G]]+Tabela2[[#This Row],[D]]+Tabela2[[#This Row],[N]]+Tabela2[[#This Row],[HM]])</f>
        <v>9</v>
      </c>
      <c r="Q72" s="194">
        <f>SUM(Tabela2[[#This Row],[AO]]+Tabela2[[#This Row],[AD]]+Tabela2[[#This Row],[GWO]]+Tabela2[[#This Row],[GWD]])</f>
        <v>12</v>
      </c>
      <c r="R72" s="194">
        <f>Tabela2[[#This Row],[GWO]]+Tabela2[[#This Row],[GWD]]</f>
        <v>6</v>
      </c>
      <c r="S72" s="194">
        <f>SUM(Tabela2[[#This Row],[G]:[GWD]])</f>
        <v>21</v>
      </c>
    </row>
    <row r="73" spans="1:19" ht="30">
      <c r="A73" s="197">
        <v>255</v>
      </c>
      <c r="B73" s="185" t="s">
        <v>480</v>
      </c>
      <c r="C73" s="185" t="s">
        <v>370</v>
      </c>
      <c r="D73" s="185">
        <v>4</v>
      </c>
      <c r="E73" s="185" t="s">
        <v>263</v>
      </c>
      <c r="F73" s="185">
        <v>3</v>
      </c>
      <c r="G73" s="185">
        <v>3</v>
      </c>
      <c r="H73" s="185">
        <v>1</v>
      </c>
      <c r="I73" s="185">
        <v>1</v>
      </c>
      <c r="J73" s="185">
        <v>3</v>
      </c>
      <c r="K73" s="185">
        <v>5</v>
      </c>
      <c r="L73" s="185">
        <v>4</v>
      </c>
      <c r="M73" s="185">
        <v>3</v>
      </c>
      <c r="N73" s="183"/>
      <c r="O73" s="183"/>
      <c r="P73" s="194">
        <f>SUM(Tabela2[[#This Row],[G]]+Tabela2[[#This Row],[D]]+Tabela2[[#This Row],[N]]+Tabela2[[#This Row],[HM]])</f>
        <v>12</v>
      </c>
      <c r="Q73" s="194">
        <f>SUM(Tabela2[[#This Row],[AO]]+Tabela2[[#This Row],[AD]]+Tabela2[[#This Row],[GWO]]+Tabela2[[#This Row],[GWD]])</f>
        <v>11</v>
      </c>
      <c r="R73" s="194">
        <f>Tabela2[[#This Row],[GWO]]+Tabela2[[#This Row],[GWD]]</f>
        <v>7</v>
      </c>
      <c r="S73" s="194">
        <f>SUM(Tabela2[[#This Row],[G]:[GWD]])</f>
        <v>23</v>
      </c>
    </row>
    <row r="74" spans="1:19" ht="30">
      <c r="A74" s="197">
        <v>254</v>
      </c>
      <c r="B74" s="185" t="s">
        <v>481</v>
      </c>
      <c r="C74" s="185" t="s">
        <v>428</v>
      </c>
      <c r="D74" s="185">
        <v>4</v>
      </c>
      <c r="E74" s="185" t="s">
        <v>263</v>
      </c>
      <c r="F74" s="185">
        <v>3</v>
      </c>
      <c r="G74" s="185">
        <v>1</v>
      </c>
      <c r="H74" s="185">
        <v>1</v>
      </c>
      <c r="I74" s="185">
        <v>4</v>
      </c>
      <c r="J74" s="185">
        <v>3</v>
      </c>
      <c r="K74" s="185">
        <v>1</v>
      </c>
      <c r="L74" s="185">
        <v>4</v>
      </c>
      <c r="M74" s="185">
        <v>1</v>
      </c>
      <c r="N74" s="183"/>
      <c r="O74" s="183"/>
      <c r="P74" s="194">
        <f>SUM(Tabela2[[#This Row],[G]]+Tabela2[[#This Row],[D]]+Tabela2[[#This Row],[N]]+Tabela2[[#This Row],[HM]])</f>
        <v>6</v>
      </c>
      <c r="Q74" s="194">
        <f>SUM(Tabela2[[#This Row],[AO]]+Tabela2[[#This Row],[AD]]+Tabela2[[#This Row],[GWO]]+Tabela2[[#This Row],[GWD]])</f>
        <v>12</v>
      </c>
      <c r="R74" s="194">
        <f>Tabela2[[#This Row],[GWO]]+Tabela2[[#This Row],[GWD]]</f>
        <v>5</v>
      </c>
      <c r="S74" s="194">
        <f>SUM(Tabela2[[#This Row],[G]:[GWD]])</f>
        <v>18</v>
      </c>
    </row>
    <row r="75" spans="1:19" ht="30">
      <c r="A75" s="197">
        <v>253</v>
      </c>
      <c r="B75" s="185" t="s">
        <v>482</v>
      </c>
      <c r="C75" s="185" t="s">
        <v>454</v>
      </c>
      <c r="D75" s="185">
        <v>4</v>
      </c>
      <c r="E75" s="185" t="s">
        <v>263</v>
      </c>
      <c r="F75" s="185">
        <v>2</v>
      </c>
      <c r="G75" s="185">
        <v>1</v>
      </c>
      <c r="H75" s="185">
        <v>1</v>
      </c>
      <c r="I75" s="185">
        <v>1</v>
      </c>
      <c r="J75" s="185">
        <v>1</v>
      </c>
      <c r="K75" s="185">
        <v>1</v>
      </c>
      <c r="L75" s="185">
        <v>1</v>
      </c>
      <c r="M75" s="185">
        <v>1</v>
      </c>
      <c r="N75" s="183"/>
      <c r="O75" s="183"/>
      <c r="P75" s="194">
        <f>SUM(Tabela2[[#This Row],[G]]+Tabela2[[#This Row],[D]]+Tabela2[[#This Row],[N]]+Tabela2[[#This Row],[HM]])</f>
        <v>5</v>
      </c>
      <c r="Q75" s="194">
        <f>SUM(Tabela2[[#This Row],[AO]]+Tabela2[[#This Row],[AD]]+Tabela2[[#This Row],[GWO]]+Tabela2[[#This Row],[GWD]])</f>
        <v>4</v>
      </c>
      <c r="R75" s="194">
        <f>Tabela2[[#This Row],[GWO]]+Tabela2[[#This Row],[GWD]]</f>
        <v>2</v>
      </c>
      <c r="S75" s="194">
        <f>SUM(Tabela2[[#This Row],[G]:[GWD]])</f>
        <v>9</v>
      </c>
    </row>
    <row r="76" spans="1:19">
      <c r="A76" s="197">
        <v>252</v>
      </c>
      <c r="B76" s="185" t="s">
        <v>483</v>
      </c>
      <c r="C76" s="185" t="s">
        <v>432</v>
      </c>
      <c r="D76" s="185">
        <v>4</v>
      </c>
      <c r="E76" s="185" t="s">
        <v>263</v>
      </c>
      <c r="F76" s="185">
        <v>2</v>
      </c>
      <c r="G76" s="185">
        <v>1</v>
      </c>
      <c r="H76" s="185">
        <v>1</v>
      </c>
      <c r="I76" s="185">
        <v>1</v>
      </c>
      <c r="J76" s="185">
        <v>1</v>
      </c>
      <c r="K76" s="185">
        <v>1</v>
      </c>
      <c r="L76" s="185">
        <v>4</v>
      </c>
      <c r="M76" s="185">
        <v>1</v>
      </c>
      <c r="N76" s="183"/>
      <c r="O76" s="183" t="s">
        <v>796</v>
      </c>
      <c r="P76" s="194">
        <f>SUM(Tabela2[[#This Row],[G]]+Tabela2[[#This Row],[D]]+Tabela2[[#This Row],[N]]+Tabela2[[#This Row],[HM]])</f>
        <v>5</v>
      </c>
      <c r="Q76" s="194">
        <f>SUM(Tabela2[[#This Row],[AO]]+Tabela2[[#This Row],[AD]]+Tabela2[[#This Row],[GWO]]+Tabela2[[#This Row],[GWD]])</f>
        <v>7</v>
      </c>
      <c r="R76" s="194">
        <f>Tabela2[[#This Row],[GWO]]+Tabela2[[#This Row],[GWD]]</f>
        <v>5</v>
      </c>
      <c r="S76" s="194">
        <f>SUM(Tabela2[[#This Row],[G]:[GWD]])</f>
        <v>12</v>
      </c>
    </row>
    <row r="77" spans="1:19">
      <c r="A77" s="197">
        <v>251</v>
      </c>
      <c r="B77" s="187" t="s">
        <v>484</v>
      </c>
      <c r="C77" s="187" t="s">
        <v>389</v>
      </c>
      <c r="D77" s="187">
        <v>4</v>
      </c>
      <c r="E77" s="187" t="s">
        <v>262</v>
      </c>
      <c r="F77" s="187">
        <v>1</v>
      </c>
      <c r="G77" s="187">
        <v>1</v>
      </c>
      <c r="H77" s="187">
        <v>1</v>
      </c>
      <c r="I77" s="187">
        <v>1</v>
      </c>
      <c r="J77" s="187">
        <v>1</v>
      </c>
      <c r="K77" s="187">
        <v>1</v>
      </c>
      <c r="L77" s="187">
        <v>1</v>
      </c>
      <c r="M77" s="187">
        <v>1</v>
      </c>
      <c r="N77" s="183"/>
      <c r="O77" s="183"/>
      <c r="P77" s="194">
        <f>SUM(Tabela2[[#This Row],[G]]+Tabela2[[#This Row],[D]]+Tabela2[[#This Row],[N]]+Tabela2[[#This Row],[HM]])</f>
        <v>4</v>
      </c>
      <c r="Q77" s="194">
        <f>SUM(Tabela2[[#This Row],[AO]]+Tabela2[[#This Row],[AD]]+Tabela2[[#This Row],[GWO]]+Tabela2[[#This Row],[GWD]])</f>
        <v>4</v>
      </c>
      <c r="R77" s="194">
        <f>Tabela2[[#This Row],[GWO]]+Tabela2[[#This Row],[GWD]]</f>
        <v>2</v>
      </c>
      <c r="S77" s="194">
        <f>SUM(Tabela2[[#This Row],[G]:[GWD]])</f>
        <v>8</v>
      </c>
    </row>
    <row r="78" spans="1:19">
      <c r="A78" s="197">
        <v>250</v>
      </c>
      <c r="B78" s="187" t="s">
        <v>485</v>
      </c>
      <c r="C78" s="187" t="s">
        <v>185</v>
      </c>
      <c r="D78" s="187">
        <v>4</v>
      </c>
      <c r="E78" s="187" t="s">
        <v>262</v>
      </c>
      <c r="F78" s="187">
        <v>1</v>
      </c>
      <c r="G78" s="187">
        <v>1</v>
      </c>
      <c r="H78" s="187">
        <v>1</v>
      </c>
      <c r="I78" s="187">
        <v>1</v>
      </c>
      <c r="J78" s="187">
        <v>1</v>
      </c>
      <c r="K78" s="187">
        <v>1</v>
      </c>
      <c r="L78" s="187">
        <v>1</v>
      </c>
      <c r="M78" s="187">
        <v>1</v>
      </c>
      <c r="N78" s="183"/>
      <c r="O78" s="183"/>
      <c r="P78" s="194">
        <f>SUM(Tabela2[[#This Row],[G]]+Tabela2[[#This Row],[D]]+Tabela2[[#This Row],[N]]+Tabela2[[#This Row],[HM]])</f>
        <v>4</v>
      </c>
      <c r="Q78" s="194">
        <f>SUM(Tabela2[[#This Row],[AO]]+Tabela2[[#This Row],[AD]]+Tabela2[[#This Row],[GWO]]+Tabela2[[#This Row],[GWD]])</f>
        <v>4</v>
      </c>
      <c r="R78" s="194">
        <f>Tabela2[[#This Row],[GWO]]+Tabela2[[#This Row],[GWD]]</f>
        <v>2</v>
      </c>
      <c r="S78" s="194">
        <f>SUM(Tabela2[[#This Row],[G]:[GWD]])</f>
        <v>8</v>
      </c>
    </row>
    <row r="79" spans="1:19">
      <c r="A79" s="197">
        <v>249</v>
      </c>
      <c r="B79" s="187" t="s">
        <v>486</v>
      </c>
      <c r="C79" s="187" t="s">
        <v>236</v>
      </c>
      <c r="D79" s="187">
        <v>4</v>
      </c>
      <c r="E79" s="187" t="s">
        <v>262</v>
      </c>
      <c r="F79" s="187">
        <v>1</v>
      </c>
      <c r="G79" s="187">
        <v>2</v>
      </c>
      <c r="H79" s="187">
        <v>1</v>
      </c>
      <c r="I79" s="187">
        <v>1</v>
      </c>
      <c r="J79" s="187">
        <v>1</v>
      </c>
      <c r="K79" s="187">
        <v>1</v>
      </c>
      <c r="L79" s="187">
        <v>2</v>
      </c>
      <c r="M79" s="187">
        <v>1</v>
      </c>
      <c r="N79" s="187" t="s">
        <v>458</v>
      </c>
      <c r="O79" s="187"/>
      <c r="P79" s="199">
        <f>SUM(Tabela2[[#This Row],[G]]+Tabela2[[#This Row],[D]]+Tabela2[[#This Row],[N]]+Tabela2[[#This Row],[HM]])</f>
        <v>5</v>
      </c>
      <c r="Q79" s="199">
        <f>SUM(Tabela2[[#This Row],[AO]]+Tabela2[[#This Row],[AD]]+Tabela2[[#This Row],[GWO]]+Tabela2[[#This Row],[GWD]])</f>
        <v>5</v>
      </c>
      <c r="R79" s="199">
        <f>Tabela2[[#This Row],[GWO]]+Tabela2[[#This Row],[GWD]]</f>
        <v>3</v>
      </c>
      <c r="S79" s="194">
        <f>SUM(Tabela2[[#This Row],[G]:[GWD]])</f>
        <v>10</v>
      </c>
    </row>
    <row r="80" spans="1:19">
      <c r="A80" s="197">
        <v>248</v>
      </c>
      <c r="B80" s="187" t="s">
        <v>487</v>
      </c>
      <c r="C80" s="187" t="s">
        <v>391</v>
      </c>
      <c r="D80" s="187">
        <v>4</v>
      </c>
      <c r="E80" s="187" t="s">
        <v>262</v>
      </c>
      <c r="F80" s="187">
        <v>2</v>
      </c>
      <c r="G80" s="187">
        <v>3</v>
      </c>
      <c r="H80" s="187">
        <v>1</v>
      </c>
      <c r="I80" s="187">
        <v>1</v>
      </c>
      <c r="J80" s="187">
        <v>1</v>
      </c>
      <c r="K80" s="187">
        <v>1</v>
      </c>
      <c r="L80" s="187">
        <v>3</v>
      </c>
      <c r="M80" s="187">
        <v>1</v>
      </c>
      <c r="N80" s="183"/>
      <c r="O80" s="183"/>
      <c r="P80" s="194">
        <f>SUM(Tabela2[[#This Row],[G]]+Tabela2[[#This Row],[D]]+Tabela2[[#This Row],[N]]+Tabela2[[#This Row],[HM]])</f>
        <v>7</v>
      </c>
      <c r="Q80" s="194">
        <f>SUM(Tabela2[[#This Row],[AO]]+Tabela2[[#This Row],[AD]]+Tabela2[[#This Row],[GWO]]+Tabela2[[#This Row],[GWD]])</f>
        <v>6</v>
      </c>
      <c r="R80" s="194">
        <f>Tabela2[[#This Row],[GWO]]+Tabela2[[#This Row],[GWD]]</f>
        <v>4</v>
      </c>
      <c r="S80" s="194">
        <f>SUM(Tabela2[[#This Row],[G]:[GWD]])</f>
        <v>13</v>
      </c>
    </row>
    <row r="81" spans="1:19">
      <c r="A81" s="197">
        <v>247</v>
      </c>
      <c r="B81" s="187" t="s">
        <v>488</v>
      </c>
      <c r="C81" s="187" t="s">
        <v>235</v>
      </c>
      <c r="D81" s="187">
        <v>4</v>
      </c>
      <c r="E81" s="187" t="s">
        <v>262</v>
      </c>
      <c r="F81" s="187">
        <v>1</v>
      </c>
      <c r="G81" s="187">
        <v>2</v>
      </c>
      <c r="H81" s="187">
        <v>1</v>
      </c>
      <c r="I81" s="187">
        <v>4</v>
      </c>
      <c r="J81" s="187">
        <v>5</v>
      </c>
      <c r="K81" s="187">
        <v>5</v>
      </c>
      <c r="L81" s="187">
        <v>3</v>
      </c>
      <c r="M81" s="187">
        <v>3</v>
      </c>
      <c r="N81" s="183"/>
      <c r="O81" s="183"/>
      <c r="P81" s="194">
        <f>SUM(Tabela2[[#This Row],[G]]+Tabela2[[#This Row],[D]]+Tabela2[[#This Row],[N]]+Tabela2[[#This Row],[HM]])</f>
        <v>9</v>
      </c>
      <c r="Q81" s="194">
        <f>SUM(Tabela2[[#This Row],[AO]]+Tabela2[[#This Row],[AD]]+Tabela2[[#This Row],[GWO]]+Tabela2[[#This Row],[GWD]])</f>
        <v>15</v>
      </c>
      <c r="R81" s="194">
        <f>Tabela2[[#This Row],[GWO]]+Tabela2[[#This Row],[GWD]]</f>
        <v>6</v>
      </c>
      <c r="S81" s="194">
        <f>SUM(Tabela2[[#This Row],[G]:[GWD]])</f>
        <v>24</v>
      </c>
    </row>
    <row r="82" spans="1:19">
      <c r="A82" s="197">
        <v>246</v>
      </c>
      <c r="B82" s="187" t="s">
        <v>489</v>
      </c>
      <c r="C82" s="187" t="s">
        <v>237</v>
      </c>
      <c r="D82" s="187">
        <v>4</v>
      </c>
      <c r="E82" s="187" t="s">
        <v>262</v>
      </c>
      <c r="F82" s="187">
        <v>1</v>
      </c>
      <c r="G82" s="187">
        <v>1</v>
      </c>
      <c r="H82" s="187">
        <v>2</v>
      </c>
      <c r="I82" s="187">
        <v>3</v>
      </c>
      <c r="J82" s="187">
        <v>3</v>
      </c>
      <c r="K82" s="187">
        <v>1</v>
      </c>
      <c r="L82" s="187">
        <v>1</v>
      </c>
      <c r="M82" s="187">
        <v>1</v>
      </c>
      <c r="N82" s="183"/>
      <c r="O82" s="183"/>
      <c r="P82" s="194">
        <f>SUM(Tabela2[[#This Row],[G]]+Tabela2[[#This Row],[D]]+Tabela2[[#This Row],[N]]+Tabela2[[#This Row],[HM]])</f>
        <v>5</v>
      </c>
      <c r="Q82" s="194">
        <f>SUM(Tabela2[[#This Row],[AO]]+Tabela2[[#This Row],[AD]]+Tabela2[[#This Row],[GWO]]+Tabela2[[#This Row],[GWD]])</f>
        <v>8</v>
      </c>
      <c r="R82" s="194">
        <f>Tabela2[[#This Row],[GWO]]+Tabela2[[#This Row],[GWD]]</f>
        <v>2</v>
      </c>
      <c r="S82" s="194">
        <f>SUM(Tabela2[[#This Row],[G]:[GWD]])</f>
        <v>13</v>
      </c>
    </row>
    <row r="83" spans="1:19" ht="30">
      <c r="A83" s="197">
        <v>245</v>
      </c>
      <c r="B83" s="187" t="s">
        <v>490</v>
      </c>
      <c r="C83" s="187" t="s">
        <v>464</v>
      </c>
      <c r="D83" s="187">
        <v>4</v>
      </c>
      <c r="E83" s="187" t="s">
        <v>262</v>
      </c>
      <c r="F83" s="187">
        <v>1</v>
      </c>
      <c r="G83" s="187">
        <v>1</v>
      </c>
      <c r="H83" s="187">
        <v>1</v>
      </c>
      <c r="I83" s="187">
        <v>1</v>
      </c>
      <c r="J83" s="187">
        <v>2</v>
      </c>
      <c r="K83" s="187">
        <v>3</v>
      </c>
      <c r="L83" s="187">
        <v>2</v>
      </c>
      <c r="M83" s="187">
        <v>2</v>
      </c>
      <c r="N83" s="183"/>
      <c r="O83" s="183"/>
      <c r="P83" s="194">
        <f>SUM(Tabela2[[#This Row],[G]]+Tabela2[[#This Row],[D]]+Tabela2[[#This Row],[N]]+Tabela2[[#This Row],[HM]])</f>
        <v>6</v>
      </c>
      <c r="Q83" s="194">
        <f>SUM(Tabela2[[#This Row],[AO]]+Tabela2[[#This Row],[AD]]+Tabela2[[#This Row],[GWO]]+Tabela2[[#This Row],[GWD]])</f>
        <v>7</v>
      </c>
      <c r="R83" s="194">
        <f>Tabela2[[#This Row],[GWO]]+Tabela2[[#This Row],[GWD]]</f>
        <v>4</v>
      </c>
      <c r="S83" s="194">
        <f>SUM(Tabela2[[#This Row],[G]:[GWD]])</f>
        <v>13</v>
      </c>
    </row>
    <row r="84" spans="1:19">
      <c r="A84" s="197">
        <v>244</v>
      </c>
      <c r="B84" s="187" t="s">
        <v>491</v>
      </c>
      <c r="C84" s="187" t="s">
        <v>395</v>
      </c>
      <c r="D84" s="187">
        <v>4</v>
      </c>
      <c r="E84" s="187" t="s">
        <v>262</v>
      </c>
      <c r="F84" s="187">
        <v>1</v>
      </c>
      <c r="G84" s="187">
        <v>1</v>
      </c>
      <c r="H84" s="187">
        <v>1</v>
      </c>
      <c r="I84" s="187">
        <v>1</v>
      </c>
      <c r="J84" s="187">
        <v>1</v>
      </c>
      <c r="K84" s="187">
        <v>1</v>
      </c>
      <c r="L84" s="187">
        <v>3</v>
      </c>
      <c r="M84" s="187">
        <v>1</v>
      </c>
      <c r="N84" s="183"/>
      <c r="O84" s="183"/>
      <c r="P84" s="194">
        <f>SUM(Tabela2[[#This Row],[G]]+Tabela2[[#This Row],[D]]+Tabela2[[#This Row],[N]]+Tabela2[[#This Row],[HM]])</f>
        <v>4</v>
      </c>
      <c r="Q84" s="194">
        <f>SUM(Tabela2[[#This Row],[AO]]+Tabela2[[#This Row],[AD]]+Tabela2[[#This Row],[GWO]]+Tabela2[[#This Row],[GWD]])</f>
        <v>6</v>
      </c>
      <c r="R84" s="194">
        <f>Tabela2[[#This Row],[GWO]]+Tabela2[[#This Row],[GWD]]</f>
        <v>4</v>
      </c>
      <c r="S84" s="194">
        <f>SUM(Tabela2[[#This Row],[G]:[GWD]])</f>
        <v>10</v>
      </c>
    </row>
    <row r="85" spans="1:19">
      <c r="A85" s="197">
        <v>243</v>
      </c>
      <c r="B85" s="187" t="s">
        <v>492</v>
      </c>
      <c r="C85" s="187" t="s">
        <v>397</v>
      </c>
      <c r="D85" s="187">
        <v>4</v>
      </c>
      <c r="E85" s="187" t="s">
        <v>262</v>
      </c>
      <c r="F85" s="187">
        <v>2</v>
      </c>
      <c r="G85" s="187">
        <v>4</v>
      </c>
      <c r="H85" s="187">
        <v>1</v>
      </c>
      <c r="I85" s="187">
        <v>2</v>
      </c>
      <c r="J85" s="187">
        <v>1</v>
      </c>
      <c r="K85" s="187">
        <v>1</v>
      </c>
      <c r="L85" s="187">
        <v>4</v>
      </c>
      <c r="M85" s="187">
        <v>1</v>
      </c>
      <c r="N85" s="183"/>
      <c r="O85" s="183" t="s">
        <v>205</v>
      </c>
      <c r="P85" s="194">
        <f>SUM(Tabela2[[#This Row],[G]]+Tabela2[[#This Row],[D]]+Tabela2[[#This Row],[N]]+Tabela2[[#This Row],[HM]])</f>
        <v>8</v>
      </c>
      <c r="Q85" s="194">
        <f>SUM(Tabela2[[#This Row],[AO]]+Tabela2[[#This Row],[AD]]+Tabela2[[#This Row],[GWO]]+Tabela2[[#This Row],[GWD]])</f>
        <v>8</v>
      </c>
      <c r="R85" s="194">
        <f>Tabela2[[#This Row],[GWO]]+Tabela2[[#This Row],[GWD]]</f>
        <v>5</v>
      </c>
      <c r="S85" s="194">
        <f>SUM(Tabela2[[#This Row],[G]:[GWD]])</f>
        <v>16</v>
      </c>
    </row>
    <row r="86" spans="1:19" ht="30">
      <c r="A86" s="197">
        <v>242</v>
      </c>
      <c r="B86" s="187" t="s">
        <v>493</v>
      </c>
      <c r="C86" s="187" t="s">
        <v>399</v>
      </c>
      <c r="D86" s="187">
        <v>4</v>
      </c>
      <c r="E86" s="187" t="s">
        <v>262</v>
      </c>
      <c r="F86" s="187">
        <v>5</v>
      </c>
      <c r="G86" s="187">
        <v>5</v>
      </c>
      <c r="H86" s="187">
        <v>1</v>
      </c>
      <c r="I86" s="187">
        <v>5</v>
      </c>
      <c r="J86" s="187">
        <v>2</v>
      </c>
      <c r="K86" s="187">
        <v>1</v>
      </c>
      <c r="L86" s="187">
        <v>5</v>
      </c>
      <c r="M86" s="187">
        <v>5</v>
      </c>
      <c r="N86" s="183"/>
      <c r="O86" s="183"/>
      <c r="P86" s="194">
        <f>SUM(Tabela2[[#This Row],[G]]+Tabela2[[#This Row],[D]]+Tabela2[[#This Row],[N]]+Tabela2[[#This Row],[HM]])</f>
        <v>12</v>
      </c>
      <c r="Q86" s="194">
        <f>SUM(Tabela2[[#This Row],[AO]]+Tabela2[[#This Row],[AD]]+Tabela2[[#This Row],[GWO]]+Tabela2[[#This Row],[GWD]])</f>
        <v>17</v>
      </c>
      <c r="R86" s="194">
        <f>Tabela2[[#This Row],[GWO]]+Tabela2[[#This Row],[GWD]]</f>
        <v>10</v>
      </c>
      <c r="S86" s="194">
        <f>SUM(Tabela2[[#This Row],[G]:[GWD]])</f>
        <v>29</v>
      </c>
    </row>
    <row r="87" spans="1:19">
      <c r="A87" s="197">
        <v>241</v>
      </c>
      <c r="B87" s="187" t="s">
        <v>494</v>
      </c>
      <c r="C87" s="187" t="s">
        <v>401</v>
      </c>
      <c r="D87" s="187">
        <v>4</v>
      </c>
      <c r="E87" s="187" t="s">
        <v>262</v>
      </c>
      <c r="F87" s="187">
        <v>1</v>
      </c>
      <c r="G87" s="187">
        <v>1</v>
      </c>
      <c r="H87" s="187">
        <v>3</v>
      </c>
      <c r="I87" s="187">
        <v>4</v>
      </c>
      <c r="J87" s="187">
        <v>1</v>
      </c>
      <c r="K87" s="187">
        <v>1</v>
      </c>
      <c r="L87" s="187">
        <v>4</v>
      </c>
      <c r="M87" s="187">
        <v>1</v>
      </c>
      <c r="N87" s="183"/>
      <c r="O87" s="183"/>
      <c r="P87" s="194">
        <f>SUM(Tabela2[[#This Row],[G]]+Tabela2[[#This Row],[D]]+Tabela2[[#This Row],[N]]+Tabela2[[#This Row],[HM]])</f>
        <v>6</v>
      </c>
      <c r="Q87" s="194">
        <f>SUM(Tabela2[[#This Row],[AO]]+Tabela2[[#This Row],[AD]]+Tabela2[[#This Row],[GWO]]+Tabela2[[#This Row],[GWD]])</f>
        <v>10</v>
      </c>
      <c r="R87" s="194">
        <f>Tabela2[[#This Row],[GWO]]+Tabela2[[#This Row],[GWD]]</f>
        <v>5</v>
      </c>
      <c r="S87" s="194">
        <f>SUM(Tabela2[[#This Row],[G]:[GWD]])</f>
        <v>16</v>
      </c>
    </row>
    <row r="88" spans="1:19" ht="30">
      <c r="A88" s="197">
        <v>240</v>
      </c>
      <c r="B88" s="187" t="s">
        <v>495</v>
      </c>
      <c r="C88" s="187" t="s">
        <v>357</v>
      </c>
      <c r="D88" s="187">
        <v>4</v>
      </c>
      <c r="E88" s="187" t="s">
        <v>262</v>
      </c>
      <c r="F88" s="187">
        <v>1</v>
      </c>
      <c r="G88" s="187">
        <v>2</v>
      </c>
      <c r="H88" s="187">
        <v>1</v>
      </c>
      <c r="I88" s="187">
        <v>5</v>
      </c>
      <c r="J88" s="187">
        <v>3</v>
      </c>
      <c r="K88" s="187">
        <v>3</v>
      </c>
      <c r="L88" s="187">
        <v>5</v>
      </c>
      <c r="M88" s="187">
        <v>2</v>
      </c>
      <c r="N88" s="183"/>
      <c r="O88" s="183"/>
      <c r="P88" s="194">
        <f>SUM(Tabela2[[#This Row],[G]]+Tabela2[[#This Row],[D]]+Tabela2[[#This Row],[N]]+Tabela2[[#This Row],[HM]])</f>
        <v>7</v>
      </c>
      <c r="Q88" s="194">
        <f>SUM(Tabela2[[#This Row],[AO]]+Tabela2[[#This Row],[AD]]+Tabela2[[#This Row],[GWO]]+Tabela2[[#This Row],[GWD]])</f>
        <v>15</v>
      </c>
      <c r="R88" s="194">
        <f>Tabela2[[#This Row],[GWO]]+Tabela2[[#This Row],[GWD]]</f>
        <v>7</v>
      </c>
      <c r="S88" s="194">
        <f>SUM(Tabela2[[#This Row],[G]:[GWD]])</f>
        <v>22</v>
      </c>
    </row>
    <row r="89" spans="1:19">
      <c r="A89" s="197">
        <v>239</v>
      </c>
      <c r="B89" s="187" t="s">
        <v>496</v>
      </c>
      <c r="C89" s="187" t="s">
        <v>216</v>
      </c>
      <c r="D89" s="187">
        <v>4</v>
      </c>
      <c r="E89" s="187" t="s">
        <v>262</v>
      </c>
      <c r="F89" s="187">
        <v>1</v>
      </c>
      <c r="G89" s="187">
        <v>1</v>
      </c>
      <c r="H89" s="187">
        <v>1</v>
      </c>
      <c r="I89" s="187">
        <v>1</v>
      </c>
      <c r="J89" s="187">
        <v>1</v>
      </c>
      <c r="K89" s="187">
        <v>1</v>
      </c>
      <c r="L89" s="187">
        <v>1</v>
      </c>
      <c r="M89" s="187">
        <v>1</v>
      </c>
      <c r="N89" s="187" t="s">
        <v>458</v>
      </c>
      <c r="O89" s="187"/>
      <c r="P89" s="199">
        <f>SUM(Tabela2[[#This Row],[G]]+Tabela2[[#This Row],[D]]+Tabela2[[#This Row],[N]]+Tabela2[[#This Row],[HM]])</f>
        <v>4</v>
      </c>
      <c r="Q89" s="199">
        <f>SUM(Tabela2[[#This Row],[AO]]+Tabela2[[#This Row],[AD]]+Tabela2[[#This Row],[GWO]]+Tabela2[[#This Row],[GWD]])</f>
        <v>4</v>
      </c>
      <c r="R89" s="199">
        <f>Tabela2[[#This Row],[GWO]]+Tabela2[[#This Row],[GWD]]</f>
        <v>2</v>
      </c>
      <c r="S89" s="194">
        <f>SUM(Tabela2[[#This Row],[G]:[GWD]])</f>
        <v>8</v>
      </c>
    </row>
    <row r="90" spans="1:19" ht="30">
      <c r="A90" s="197">
        <v>238</v>
      </c>
      <c r="B90" s="187" t="s">
        <v>497</v>
      </c>
      <c r="C90" s="187" t="s">
        <v>405</v>
      </c>
      <c r="D90" s="187">
        <v>4</v>
      </c>
      <c r="E90" s="187" t="s">
        <v>262</v>
      </c>
      <c r="F90" s="187">
        <v>1</v>
      </c>
      <c r="G90" s="187">
        <v>1</v>
      </c>
      <c r="H90" s="187">
        <v>3</v>
      </c>
      <c r="I90" s="187">
        <v>3</v>
      </c>
      <c r="J90" s="187">
        <v>1</v>
      </c>
      <c r="K90" s="187">
        <v>1</v>
      </c>
      <c r="L90" s="187">
        <v>2</v>
      </c>
      <c r="M90" s="187">
        <v>1</v>
      </c>
      <c r="N90" s="183"/>
      <c r="O90" s="183"/>
      <c r="P90" s="194">
        <f>SUM(Tabela2[[#This Row],[G]]+Tabela2[[#This Row],[D]]+Tabela2[[#This Row],[N]]+Tabela2[[#This Row],[HM]])</f>
        <v>6</v>
      </c>
      <c r="Q90" s="194">
        <f>SUM(Tabela2[[#This Row],[AO]]+Tabela2[[#This Row],[AD]]+Tabela2[[#This Row],[GWO]]+Tabela2[[#This Row],[GWD]])</f>
        <v>7</v>
      </c>
      <c r="R90" s="194">
        <f>Tabela2[[#This Row],[GWO]]+Tabela2[[#This Row],[GWD]]</f>
        <v>3</v>
      </c>
      <c r="S90" s="194">
        <f>SUM(Tabela2[[#This Row],[G]:[GWD]])</f>
        <v>13</v>
      </c>
    </row>
    <row r="91" spans="1:19" ht="30">
      <c r="A91" s="197">
        <v>237</v>
      </c>
      <c r="B91" s="187" t="s">
        <v>498</v>
      </c>
      <c r="C91" s="187" t="s">
        <v>407</v>
      </c>
      <c r="D91" s="187">
        <v>4</v>
      </c>
      <c r="E91" s="187" t="s">
        <v>262</v>
      </c>
      <c r="F91" s="187">
        <v>1</v>
      </c>
      <c r="G91" s="187">
        <v>4</v>
      </c>
      <c r="H91" s="187">
        <v>1</v>
      </c>
      <c r="I91" s="187">
        <v>1</v>
      </c>
      <c r="J91" s="187">
        <v>1</v>
      </c>
      <c r="K91" s="187">
        <v>1</v>
      </c>
      <c r="L91" s="187">
        <v>3</v>
      </c>
      <c r="M91" s="187">
        <v>1</v>
      </c>
      <c r="N91" s="183"/>
      <c r="O91" s="183"/>
      <c r="P91" s="194">
        <f>SUM(Tabela2[[#This Row],[G]]+Tabela2[[#This Row],[D]]+Tabela2[[#This Row],[N]]+Tabela2[[#This Row],[HM]])</f>
        <v>7</v>
      </c>
      <c r="Q91" s="194">
        <f>SUM(Tabela2[[#This Row],[AO]]+Tabela2[[#This Row],[AD]]+Tabela2[[#This Row],[GWO]]+Tabela2[[#This Row],[GWD]])</f>
        <v>6</v>
      </c>
      <c r="R91" s="194">
        <f>Tabela2[[#This Row],[GWO]]+Tabela2[[#This Row],[GWD]]</f>
        <v>4</v>
      </c>
      <c r="S91" s="194">
        <f>SUM(Tabela2[[#This Row],[G]:[GWD]])</f>
        <v>13</v>
      </c>
    </row>
    <row r="92" spans="1:19" ht="30">
      <c r="A92" s="197">
        <v>236</v>
      </c>
      <c r="B92" s="187" t="s">
        <v>499</v>
      </c>
      <c r="C92" s="187" t="s">
        <v>409</v>
      </c>
      <c r="D92" s="187">
        <v>4</v>
      </c>
      <c r="E92" s="187" t="s">
        <v>262</v>
      </c>
      <c r="F92" s="187">
        <v>2</v>
      </c>
      <c r="G92" s="187">
        <v>2</v>
      </c>
      <c r="H92" s="187">
        <v>4</v>
      </c>
      <c r="I92" s="187">
        <v>1</v>
      </c>
      <c r="J92" s="187">
        <v>1</v>
      </c>
      <c r="K92" s="187">
        <v>3</v>
      </c>
      <c r="L92" s="187">
        <v>1</v>
      </c>
      <c r="M92" s="187">
        <v>2</v>
      </c>
      <c r="N92" s="183"/>
      <c r="O92" s="183"/>
      <c r="P92" s="194">
        <f>SUM(Tabela2[[#This Row],[G]]+Tabela2[[#This Row],[D]]+Tabela2[[#This Row],[N]]+Tabela2[[#This Row],[HM]])</f>
        <v>11</v>
      </c>
      <c r="Q92" s="194">
        <f>SUM(Tabela2[[#This Row],[AO]]+Tabela2[[#This Row],[AD]]+Tabela2[[#This Row],[GWO]]+Tabela2[[#This Row],[GWD]])</f>
        <v>5</v>
      </c>
      <c r="R92" s="194">
        <f>Tabela2[[#This Row],[GWO]]+Tabela2[[#This Row],[GWD]]</f>
        <v>3</v>
      </c>
      <c r="S92" s="194">
        <f>SUM(Tabela2[[#This Row],[G]:[GWD]])</f>
        <v>16</v>
      </c>
    </row>
    <row r="93" spans="1:19">
      <c r="A93" s="197">
        <v>235</v>
      </c>
      <c r="B93" s="187" t="s">
        <v>500</v>
      </c>
      <c r="C93" s="187" t="s">
        <v>411</v>
      </c>
      <c r="D93" s="187">
        <v>4</v>
      </c>
      <c r="E93" s="187" t="s">
        <v>262</v>
      </c>
      <c r="F93" s="187">
        <v>1</v>
      </c>
      <c r="G93" s="187">
        <v>1</v>
      </c>
      <c r="H93" s="187">
        <v>1</v>
      </c>
      <c r="I93" s="187">
        <v>1</v>
      </c>
      <c r="J93" s="187">
        <v>1</v>
      </c>
      <c r="K93" s="187">
        <v>2</v>
      </c>
      <c r="L93" s="187">
        <v>1</v>
      </c>
      <c r="M93" s="187">
        <v>1</v>
      </c>
      <c r="N93" s="183"/>
      <c r="O93" s="183"/>
      <c r="P93" s="194">
        <f>SUM(Tabela2[[#This Row],[G]]+Tabela2[[#This Row],[D]]+Tabela2[[#This Row],[N]]+Tabela2[[#This Row],[HM]])</f>
        <v>5</v>
      </c>
      <c r="Q93" s="194">
        <f>SUM(Tabela2[[#This Row],[AO]]+Tabela2[[#This Row],[AD]]+Tabela2[[#This Row],[GWO]]+Tabela2[[#This Row],[GWD]])</f>
        <v>4</v>
      </c>
      <c r="R93" s="194">
        <f>Tabela2[[#This Row],[GWO]]+Tabela2[[#This Row],[GWD]]</f>
        <v>2</v>
      </c>
      <c r="S93" s="194">
        <f>SUM(Tabela2[[#This Row],[G]:[GWD]])</f>
        <v>9</v>
      </c>
    </row>
    <row r="94" spans="1:19" ht="30">
      <c r="A94" s="197">
        <v>234</v>
      </c>
      <c r="B94" s="187" t="s">
        <v>257</v>
      </c>
      <c r="C94" s="187" t="s">
        <v>416</v>
      </c>
      <c r="D94" s="187">
        <v>4</v>
      </c>
      <c r="E94" s="187" t="s">
        <v>262</v>
      </c>
      <c r="F94" s="187">
        <v>1</v>
      </c>
      <c r="G94" s="187">
        <v>1</v>
      </c>
      <c r="H94" s="187">
        <v>3</v>
      </c>
      <c r="I94" s="187">
        <v>2</v>
      </c>
      <c r="J94" s="187">
        <v>1</v>
      </c>
      <c r="K94" s="187">
        <v>1</v>
      </c>
      <c r="L94" s="187">
        <v>1</v>
      </c>
      <c r="M94" s="187">
        <v>1</v>
      </c>
      <c r="N94" s="183"/>
      <c r="O94" s="183"/>
      <c r="P94" s="194">
        <f>SUM(Tabela2[[#This Row],[G]]+Tabela2[[#This Row],[D]]+Tabela2[[#This Row],[N]]+Tabela2[[#This Row],[HM]])</f>
        <v>6</v>
      </c>
      <c r="Q94" s="194">
        <f>SUM(Tabela2[[#This Row],[AO]]+Tabela2[[#This Row],[AD]]+Tabela2[[#This Row],[GWO]]+Tabela2[[#This Row],[GWD]])</f>
        <v>5</v>
      </c>
      <c r="R94" s="194">
        <f>Tabela2[[#This Row],[GWO]]+Tabela2[[#This Row],[GWD]]</f>
        <v>2</v>
      </c>
      <c r="S94" s="194">
        <f>SUM(Tabela2[[#This Row],[G]:[GWD]])</f>
        <v>11</v>
      </c>
    </row>
    <row r="95" spans="1:19">
      <c r="A95" s="197">
        <v>233</v>
      </c>
      <c r="B95" s="187" t="s">
        <v>501</v>
      </c>
      <c r="C95" s="187" t="s">
        <v>418</v>
      </c>
      <c r="D95" s="187">
        <v>4</v>
      </c>
      <c r="E95" s="187" t="s">
        <v>262</v>
      </c>
      <c r="F95" s="187">
        <v>1</v>
      </c>
      <c r="G95" s="187">
        <v>1</v>
      </c>
      <c r="H95" s="187">
        <v>1</v>
      </c>
      <c r="I95" s="187">
        <v>1</v>
      </c>
      <c r="J95" s="187">
        <v>1</v>
      </c>
      <c r="K95" s="187">
        <v>1</v>
      </c>
      <c r="L95" s="187">
        <v>1</v>
      </c>
      <c r="M95" s="187">
        <v>1</v>
      </c>
      <c r="N95" s="183"/>
      <c r="O95" s="183"/>
      <c r="P95" s="194">
        <f>SUM(Tabela2[[#This Row],[G]]+Tabela2[[#This Row],[D]]+Tabela2[[#This Row],[N]]+Tabela2[[#This Row],[HM]])</f>
        <v>4</v>
      </c>
      <c r="Q95" s="194">
        <f>SUM(Tabela2[[#This Row],[AO]]+Tabela2[[#This Row],[AD]]+Tabela2[[#This Row],[GWO]]+Tabela2[[#This Row],[GWD]])</f>
        <v>4</v>
      </c>
      <c r="R95" s="194">
        <f>Tabela2[[#This Row],[GWO]]+Tabela2[[#This Row],[GWD]]</f>
        <v>2</v>
      </c>
      <c r="S95" s="194">
        <f>SUM(Tabela2[[#This Row],[G]:[GWD]])</f>
        <v>8</v>
      </c>
    </row>
    <row r="96" spans="1:19" ht="30">
      <c r="A96" s="197">
        <v>232</v>
      </c>
      <c r="B96" s="187" t="s">
        <v>502</v>
      </c>
      <c r="C96" s="187" t="s">
        <v>420</v>
      </c>
      <c r="D96" s="187">
        <v>4</v>
      </c>
      <c r="E96" s="187" t="s">
        <v>262</v>
      </c>
      <c r="F96" s="187">
        <v>1</v>
      </c>
      <c r="G96" s="187">
        <v>1</v>
      </c>
      <c r="H96" s="187">
        <v>3</v>
      </c>
      <c r="I96" s="187">
        <v>2</v>
      </c>
      <c r="J96" s="187">
        <v>1</v>
      </c>
      <c r="K96" s="187">
        <v>1</v>
      </c>
      <c r="L96" s="187">
        <v>2</v>
      </c>
      <c r="M96" s="187">
        <v>1</v>
      </c>
      <c r="N96" s="183"/>
      <c r="O96" s="183"/>
      <c r="P96" s="194">
        <f>SUM(Tabela2[[#This Row],[G]]+Tabela2[[#This Row],[D]]+Tabela2[[#This Row],[N]]+Tabela2[[#This Row],[HM]])</f>
        <v>6</v>
      </c>
      <c r="Q96" s="194">
        <f>SUM(Tabela2[[#This Row],[AO]]+Tabela2[[#This Row],[AD]]+Tabela2[[#This Row],[GWO]]+Tabela2[[#This Row],[GWD]])</f>
        <v>6</v>
      </c>
      <c r="R96" s="194">
        <f>Tabela2[[#This Row],[GWO]]+Tabela2[[#This Row],[GWD]]</f>
        <v>3</v>
      </c>
      <c r="S96" s="194">
        <f>SUM(Tabela2[[#This Row],[G]:[GWD]])</f>
        <v>12</v>
      </c>
    </row>
    <row r="97" spans="1:19" ht="30">
      <c r="A97" s="197">
        <v>231</v>
      </c>
      <c r="B97" s="187" t="s">
        <v>503</v>
      </c>
      <c r="C97" s="187" t="s">
        <v>422</v>
      </c>
      <c r="D97" s="187">
        <v>4</v>
      </c>
      <c r="E97" s="187" t="s">
        <v>262</v>
      </c>
      <c r="F97" s="187">
        <v>1</v>
      </c>
      <c r="G97" s="187">
        <v>1</v>
      </c>
      <c r="H97" s="187">
        <v>3</v>
      </c>
      <c r="I97" s="187">
        <v>4</v>
      </c>
      <c r="J97" s="187">
        <v>1</v>
      </c>
      <c r="K97" s="187">
        <v>3</v>
      </c>
      <c r="L97" s="187">
        <v>3</v>
      </c>
      <c r="M97" s="187">
        <v>1</v>
      </c>
      <c r="N97" s="183"/>
      <c r="O97" s="183"/>
      <c r="P97" s="194">
        <f>SUM(Tabela2[[#This Row],[G]]+Tabela2[[#This Row],[D]]+Tabela2[[#This Row],[N]]+Tabela2[[#This Row],[HM]])</f>
        <v>8</v>
      </c>
      <c r="Q97" s="194">
        <f>SUM(Tabela2[[#This Row],[AO]]+Tabela2[[#This Row],[AD]]+Tabela2[[#This Row],[GWO]]+Tabela2[[#This Row],[GWD]])</f>
        <v>9</v>
      </c>
      <c r="R97" s="194">
        <f>Tabela2[[#This Row],[GWO]]+Tabela2[[#This Row],[GWD]]</f>
        <v>4</v>
      </c>
      <c r="S97" s="194">
        <f>SUM(Tabela2[[#This Row],[G]:[GWD]])</f>
        <v>17</v>
      </c>
    </row>
    <row r="98" spans="1:19">
      <c r="A98" s="197">
        <v>230</v>
      </c>
      <c r="B98" s="187" t="s">
        <v>504</v>
      </c>
      <c r="C98" s="187" t="s">
        <v>211</v>
      </c>
      <c r="D98" s="187">
        <v>4</v>
      </c>
      <c r="E98" s="187" t="s">
        <v>262</v>
      </c>
      <c r="F98" s="187">
        <v>1</v>
      </c>
      <c r="G98" s="187">
        <v>1</v>
      </c>
      <c r="H98" s="187">
        <v>1</v>
      </c>
      <c r="I98" s="187">
        <v>2</v>
      </c>
      <c r="J98" s="187">
        <v>3</v>
      </c>
      <c r="K98" s="187">
        <v>1</v>
      </c>
      <c r="L98" s="187">
        <v>3</v>
      </c>
      <c r="M98" s="187">
        <v>4</v>
      </c>
      <c r="N98" s="183"/>
      <c r="O98" s="183"/>
      <c r="P98" s="194">
        <f>SUM(Tabela2[[#This Row],[G]]+Tabela2[[#This Row],[D]]+Tabela2[[#This Row],[N]]+Tabela2[[#This Row],[HM]])</f>
        <v>4</v>
      </c>
      <c r="Q98" s="194">
        <f>SUM(Tabela2[[#This Row],[AO]]+Tabela2[[#This Row],[AD]]+Tabela2[[#This Row],[GWO]]+Tabela2[[#This Row],[GWD]])</f>
        <v>12</v>
      </c>
      <c r="R98" s="194">
        <f>Tabela2[[#This Row],[GWO]]+Tabela2[[#This Row],[GWD]]</f>
        <v>7</v>
      </c>
      <c r="S98" s="194">
        <f>SUM(Tabela2[[#This Row],[G]:[GWD]])</f>
        <v>16</v>
      </c>
    </row>
    <row r="99" spans="1:19" ht="30">
      <c r="A99" s="197">
        <v>229</v>
      </c>
      <c r="B99" s="187" t="s">
        <v>505</v>
      </c>
      <c r="C99" s="187" t="s">
        <v>370</v>
      </c>
      <c r="D99" s="187">
        <v>4</v>
      </c>
      <c r="E99" s="187" t="s">
        <v>262</v>
      </c>
      <c r="F99" s="187">
        <v>1</v>
      </c>
      <c r="G99" s="187">
        <v>2</v>
      </c>
      <c r="H99" s="187">
        <v>1</v>
      </c>
      <c r="I99" s="187">
        <v>2</v>
      </c>
      <c r="J99" s="187">
        <v>2</v>
      </c>
      <c r="K99" s="187">
        <v>2</v>
      </c>
      <c r="L99" s="187">
        <v>1</v>
      </c>
      <c r="M99" s="187">
        <v>1</v>
      </c>
      <c r="N99" s="183"/>
      <c r="O99" s="183"/>
      <c r="P99" s="194">
        <f>SUM(Tabela2[[#This Row],[G]]+Tabela2[[#This Row],[D]]+Tabela2[[#This Row],[N]]+Tabela2[[#This Row],[HM]])</f>
        <v>6</v>
      </c>
      <c r="Q99" s="194">
        <f>SUM(Tabela2[[#This Row],[AO]]+Tabela2[[#This Row],[AD]]+Tabela2[[#This Row],[GWO]]+Tabela2[[#This Row],[GWD]])</f>
        <v>6</v>
      </c>
      <c r="R99" s="194">
        <f>Tabela2[[#This Row],[GWO]]+Tabela2[[#This Row],[GWD]]</f>
        <v>2</v>
      </c>
      <c r="S99" s="194">
        <f>SUM(Tabela2[[#This Row],[G]:[GWD]])</f>
        <v>12</v>
      </c>
    </row>
    <row r="100" spans="1:19" ht="30">
      <c r="A100" s="197">
        <v>228</v>
      </c>
      <c r="B100" s="187" t="s">
        <v>506</v>
      </c>
      <c r="C100" s="187" t="s">
        <v>428</v>
      </c>
      <c r="D100" s="187">
        <v>4</v>
      </c>
      <c r="E100" s="187" t="s">
        <v>262</v>
      </c>
      <c r="F100" s="187">
        <v>2</v>
      </c>
      <c r="G100" s="187">
        <v>3</v>
      </c>
      <c r="H100" s="187">
        <v>1</v>
      </c>
      <c r="I100" s="187">
        <v>4</v>
      </c>
      <c r="J100" s="187">
        <v>5</v>
      </c>
      <c r="K100" s="187">
        <v>1</v>
      </c>
      <c r="L100" s="187">
        <v>5</v>
      </c>
      <c r="M100" s="187">
        <v>5</v>
      </c>
      <c r="N100" s="183"/>
      <c r="O100" s="183" t="s">
        <v>205</v>
      </c>
      <c r="P100" s="194">
        <f>SUM(Tabela2[[#This Row],[G]]+Tabela2[[#This Row],[D]]+Tabela2[[#This Row],[N]]+Tabela2[[#This Row],[HM]])</f>
        <v>7</v>
      </c>
      <c r="Q100" s="194">
        <f>SUM(Tabela2[[#This Row],[AO]]+Tabela2[[#This Row],[AD]]+Tabela2[[#This Row],[GWO]]+Tabela2[[#This Row],[GWD]])</f>
        <v>19</v>
      </c>
      <c r="R100" s="194">
        <f>Tabela2[[#This Row],[GWO]]+Tabela2[[#This Row],[GWD]]</f>
        <v>10</v>
      </c>
      <c r="S100" s="194">
        <f>SUM(Tabela2[[#This Row],[G]:[GWD]])</f>
        <v>26</v>
      </c>
    </row>
    <row r="101" spans="1:19" ht="30">
      <c r="A101" s="197">
        <v>227</v>
      </c>
      <c r="B101" s="187" t="s">
        <v>507</v>
      </c>
      <c r="C101" s="187" t="s">
        <v>454</v>
      </c>
      <c r="D101" s="187">
        <v>4</v>
      </c>
      <c r="E101" s="187" t="s">
        <v>262</v>
      </c>
      <c r="F101" s="187">
        <v>1</v>
      </c>
      <c r="G101" s="187">
        <v>3</v>
      </c>
      <c r="H101" s="187">
        <v>3</v>
      </c>
      <c r="I101" s="187">
        <v>2</v>
      </c>
      <c r="J101" s="187">
        <v>1</v>
      </c>
      <c r="K101" s="187">
        <v>1</v>
      </c>
      <c r="L101" s="187">
        <v>2</v>
      </c>
      <c r="M101" s="187">
        <v>1</v>
      </c>
      <c r="N101" s="183"/>
      <c r="O101" s="183"/>
      <c r="P101" s="194">
        <f>SUM(Tabela2[[#This Row],[G]]+Tabela2[[#This Row],[D]]+Tabela2[[#This Row],[N]]+Tabela2[[#This Row],[HM]])</f>
        <v>8</v>
      </c>
      <c r="Q101" s="194">
        <f>SUM(Tabela2[[#This Row],[AO]]+Tabela2[[#This Row],[AD]]+Tabela2[[#This Row],[GWO]]+Tabela2[[#This Row],[GWD]])</f>
        <v>6</v>
      </c>
      <c r="R101" s="194">
        <f>Tabela2[[#This Row],[GWO]]+Tabela2[[#This Row],[GWD]]</f>
        <v>3</v>
      </c>
      <c r="S101" s="194">
        <f>SUM(Tabela2[[#This Row],[G]:[GWD]])</f>
        <v>14</v>
      </c>
    </row>
    <row r="102" spans="1:19">
      <c r="A102" s="197">
        <v>226</v>
      </c>
      <c r="B102" s="187" t="s">
        <v>508</v>
      </c>
      <c r="C102" s="187" t="s">
        <v>432</v>
      </c>
      <c r="D102" s="187">
        <v>4</v>
      </c>
      <c r="E102" s="187" t="s">
        <v>262</v>
      </c>
      <c r="F102" s="187">
        <v>1</v>
      </c>
      <c r="G102" s="187">
        <v>1</v>
      </c>
      <c r="H102" s="187">
        <v>1</v>
      </c>
      <c r="I102" s="187">
        <v>1</v>
      </c>
      <c r="J102" s="187">
        <v>1</v>
      </c>
      <c r="K102" s="187">
        <v>1</v>
      </c>
      <c r="L102" s="187">
        <v>3</v>
      </c>
      <c r="M102" s="187">
        <v>1</v>
      </c>
      <c r="N102" s="183"/>
      <c r="O102" s="183"/>
      <c r="P102" s="194">
        <f>SUM(Tabela2[[#This Row],[G]]+Tabela2[[#This Row],[D]]+Tabela2[[#This Row],[N]]+Tabela2[[#This Row],[HM]])</f>
        <v>4</v>
      </c>
      <c r="Q102" s="194">
        <f>SUM(Tabela2[[#This Row],[AO]]+Tabela2[[#This Row],[AD]]+Tabela2[[#This Row],[GWO]]+Tabela2[[#This Row],[GWD]])</f>
        <v>6</v>
      </c>
      <c r="R102" s="194">
        <f>Tabela2[[#This Row],[GWO]]+Tabela2[[#This Row],[GWD]]</f>
        <v>4</v>
      </c>
      <c r="S102" s="194">
        <f>SUM(Tabela2[[#This Row],[G]:[GWD]])</f>
        <v>10</v>
      </c>
    </row>
    <row r="103" spans="1:19">
      <c r="A103" s="197">
        <v>225</v>
      </c>
      <c r="B103" s="188" t="s">
        <v>509</v>
      </c>
      <c r="C103" s="188" t="s">
        <v>185</v>
      </c>
      <c r="D103" s="188">
        <v>4</v>
      </c>
      <c r="E103" s="188" t="s">
        <v>18</v>
      </c>
      <c r="F103" s="188">
        <v>3</v>
      </c>
      <c r="G103" s="188">
        <v>5</v>
      </c>
      <c r="H103" s="188">
        <v>3</v>
      </c>
      <c r="I103" s="188">
        <v>5</v>
      </c>
      <c r="J103" s="188">
        <v>5</v>
      </c>
      <c r="K103" s="188">
        <v>5</v>
      </c>
      <c r="L103" s="188">
        <v>4</v>
      </c>
      <c r="M103" s="188">
        <v>5</v>
      </c>
      <c r="N103" s="183"/>
      <c r="O103" s="183"/>
      <c r="P103" s="194">
        <f>SUM(Tabela2[[#This Row],[G]]+Tabela2[[#This Row],[D]]+Tabela2[[#This Row],[N]]+Tabela2[[#This Row],[HM]])</f>
        <v>16</v>
      </c>
      <c r="Q103" s="194">
        <f>SUM(Tabela2[[#This Row],[AO]]+Tabela2[[#This Row],[AD]]+Tabela2[[#This Row],[GWO]]+Tabela2[[#This Row],[GWD]])</f>
        <v>19</v>
      </c>
      <c r="R103" s="194">
        <f>Tabela2[[#This Row],[GWO]]+Tabela2[[#This Row],[GWD]]</f>
        <v>9</v>
      </c>
      <c r="S103" s="194">
        <f>SUM(Tabela2[[#This Row],[G]:[GWD]])</f>
        <v>35</v>
      </c>
    </row>
    <row r="104" spans="1:19">
      <c r="A104" s="197">
        <v>224</v>
      </c>
      <c r="B104" s="188" t="s">
        <v>510</v>
      </c>
      <c r="C104" s="188" t="s">
        <v>236</v>
      </c>
      <c r="D104" s="188">
        <v>4</v>
      </c>
      <c r="E104" s="188" t="s">
        <v>18</v>
      </c>
      <c r="F104" s="188">
        <v>1</v>
      </c>
      <c r="G104" s="188">
        <v>3</v>
      </c>
      <c r="H104" s="188">
        <v>1</v>
      </c>
      <c r="I104" s="188">
        <v>1</v>
      </c>
      <c r="J104" s="188">
        <v>1</v>
      </c>
      <c r="K104" s="188">
        <v>2</v>
      </c>
      <c r="L104" s="188">
        <v>1</v>
      </c>
      <c r="M104" s="188">
        <v>1</v>
      </c>
      <c r="N104" s="183"/>
      <c r="O104" s="183"/>
      <c r="P104" s="194">
        <f>SUM(Tabela2[[#This Row],[G]]+Tabela2[[#This Row],[D]]+Tabela2[[#This Row],[N]]+Tabela2[[#This Row],[HM]])</f>
        <v>7</v>
      </c>
      <c r="Q104" s="194">
        <f>SUM(Tabela2[[#This Row],[AO]]+Tabela2[[#This Row],[AD]]+Tabela2[[#This Row],[GWO]]+Tabela2[[#This Row],[GWD]])</f>
        <v>4</v>
      </c>
      <c r="R104" s="194">
        <f>Tabela2[[#This Row],[GWO]]+Tabela2[[#This Row],[GWD]]</f>
        <v>2</v>
      </c>
      <c r="S104" s="194">
        <f>SUM(Tabela2[[#This Row],[G]:[GWD]])</f>
        <v>11</v>
      </c>
    </row>
    <row r="105" spans="1:19">
      <c r="A105" s="197">
        <v>223</v>
      </c>
      <c r="B105" s="188" t="s">
        <v>511</v>
      </c>
      <c r="C105" s="188" t="s">
        <v>391</v>
      </c>
      <c r="D105" s="188">
        <v>4</v>
      </c>
      <c r="E105" s="188" t="s">
        <v>18</v>
      </c>
      <c r="F105" s="188">
        <v>1</v>
      </c>
      <c r="G105" s="188">
        <v>1</v>
      </c>
      <c r="H105" s="188">
        <v>1</v>
      </c>
      <c r="I105" s="188">
        <v>1</v>
      </c>
      <c r="J105" s="188">
        <v>1</v>
      </c>
      <c r="K105" s="188">
        <v>1</v>
      </c>
      <c r="L105" s="188">
        <v>1</v>
      </c>
      <c r="M105" s="188">
        <v>1</v>
      </c>
      <c r="N105" s="183"/>
      <c r="O105" s="183"/>
      <c r="P105" s="194">
        <f>SUM(Tabela2[[#This Row],[G]]+Tabela2[[#This Row],[D]]+Tabela2[[#This Row],[N]]+Tabela2[[#This Row],[HM]])</f>
        <v>4</v>
      </c>
      <c r="Q105" s="194">
        <f>SUM(Tabela2[[#This Row],[AO]]+Tabela2[[#This Row],[AD]]+Tabela2[[#This Row],[GWO]]+Tabela2[[#This Row],[GWD]])</f>
        <v>4</v>
      </c>
      <c r="R105" s="194">
        <f>Tabela2[[#This Row],[GWO]]+Tabela2[[#This Row],[GWD]]</f>
        <v>2</v>
      </c>
      <c r="S105" s="194">
        <f>SUM(Tabela2[[#This Row],[G]:[GWD]])</f>
        <v>8</v>
      </c>
    </row>
    <row r="106" spans="1:19">
      <c r="A106" s="197">
        <v>222</v>
      </c>
      <c r="B106" s="188" t="s">
        <v>356</v>
      </c>
      <c r="C106" s="188" t="s">
        <v>235</v>
      </c>
      <c r="D106" s="188">
        <v>4</v>
      </c>
      <c r="E106" s="188" t="s">
        <v>18</v>
      </c>
      <c r="F106" s="188">
        <v>1</v>
      </c>
      <c r="G106" s="188">
        <v>4</v>
      </c>
      <c r="H106" s="188">
        <v>1</v>
      </c>
      <c r="I106" s="188">
        <v>3</v>
      </c>
      <c r="J106" s="188">
        <v>1</v>
      </c>
      <c r="K106" s="188">
        <v>5</v>
      </c>
      <c r="L106" s="188">
        <v>3</v>
      </c>
      <c r="M106" s="188">
        <v>1</v>
      </c>
      <c r="N106" s="188" t="s">
        <v>458</v>
      </c>
      <c r="O106" s="188" t="s">
        <v>205</v>
      </c>
      <c r="P106" s="198">
        <f>SUM(Tabela2[[#This Row],[G]]+Tabela2[[#This Row],[D]]+Tabela2[[#This Row],[N]]+Tabela2[[#This Row],[HM]])</f>
        <v>11</v>
      </c>
      <c r="Q106" s="198">
        <f>SUM(Tabela2[[#This Row],[AO]]+Tabela2[[#This Row],[AD]]+Tabela2[[#This Row],[GWO]]+Tabela2[[#This Row],[GWD]])</f>
        <v>8</v>
      </c>
      <c r="R106" s="198">
        <f>Tabela2[[#This Row],[GWO]]+Tabela2[[#This Row],[GWD]]</f>
        <v>4</v>
      </c>
      <c r="S106" s="194">
        <f>SUM(Tabela2[[#This Row],[G]:[GWD]])</f>
        <v>19</v>
      </c>
    </row>
    <row r="107" spans="1:19">
      <c r="A107" s="197">
        <v>221</v>
      </c>
      <c r="B107" s="188" t="s">
        <v>512</v>
      </c>
      <c r="C107" s="188" t="s">
        <v>237</v>
      </c>
      <c r="D107" s="188">
        <v>4</v>
      </c>
      <c r="E107" s="188" t="s">
        <v>18</v>
      </c>
      <c r="F107" s="188">
        <v>1</v>
      </c>
      <c r="G107" s="188">
        <v>1</v>
      </c>
      <c r="H107" s="188">
        <v>1</v>
      </c>
      <c r="I107" s="188">
        <v>2</v>
      </c>
      <c r="J107" s="188">
        <v>1</v>
      </c>
      <c r="K107" s="188">
        <v>1</v>
      </c>
      <c r="L107" s="188">
        <v>2</v>
      </c>
      <c r="M107" s="188">
        <v>1</v>
      </c>
      <c r="N107" s="188" t="s">
        <v>458</v>
      </c>
      <c r="O107" s="188"/>
      <c r="P107" s="198">
        <f>SUM(Tabela2[[#This Row],[G]]+Tabela2[[#This Row],[D]]+Tabela2[[#This Row],[N]]+Tabela2[[#This Row],[HM]])</f>
        <v>4</v>
      </c>
      <c r="Q107" s="198">
        <f>SUM(Tabela2[[#This Row],[AO]]+Tabela2[[#This Row],[AD]]+Tabela2[[#This Row],[GWO]]+Tabela2[[#This Row],[GWD]])</f>
        <v>6</v>
      </c>
      <c r="R107" s="198">
        <f>Tabela2[[#This Row],[GWO]]+Tabela2[[#This Row],[GWD]]</f>
        <v>3</v>
      </c>
      <c r="S107" s="194">
        <f>SUM(Tabela2[[#This Row],[G]:[GWD]])</f>
        <v>10</v>
      </c>
    </row>
    <row r="108" spans="1:19" ht="30">
      <c r="A108" s="197">
        <v>220</v>
      </c>
      <c r="B108" s="188" t="s">
        <v>513</v>
      </c>
      <c r="C108" s="188" t="s">
        <v>464</v>
      </c>
      <c r="D108" s="188">
        <v>4</v>
      </c>
      <c r="E108" s="188" t="s">
        <v>18</v>
      </c>
      <c r="F108" s="188">
        <v>1</v>
      </c>
      <c r="G108" s="188">
        <v>1</v>
      </c>
      <c r="H108" s="188">
        <v>5</v>
      </c>
      <c r="I108" s="188">
        <v>3</v>
      </c>
      <c r="J108" s="188">
        <v>1</v>
      </c>
      <c r="K108" s="188">
        <v>1</v>
      </c>
      <c r="L108" s="188">
        <v>3</v>
      </c>
      <c r="M108" s="188">
        <v>1</v>
      </c>
      <c r="N108" s="183"/>
      <c r="O108" s="183"/>
      <c r="P108" s="194">
        <f>SUM(Tabela2[[#This Row],[G]]+Tabela2[[#This Row],[D]]+Tabela2[[#This Row],[N]]+Tabela2[[#This Row],[HM]])</f>
        <v>8</v>
      </c>
      <c r="Q108" s="194">
        <f>SUM(Tabela2[[#This Row],[AO]]+Tabela2[[#This Row],[AD]]+Tabela2[[#This Row],[GWO]]+Tabela2[[#This Row],[GWD]])</f>
        <v>8</v>
      </c>
      <c r="R108" s="194">
        <f>Tabela2[[#This Row],[GWO]]+Tabela2[[#This Row],[GWD]]</f>
        <v>4</v>
      </c>
      <c r="S108" s="194">
        <f>SUM(Tabela2[[#This Row],[G]:[GWD]])</f>
        <v>16</v>
      </c>
    </row>
    <row r="109" spans="1:19">
      <c r="A109" s="197">
        <v>219</v>
      </c>
      <c r="B109" s="188" t="s">
        <v>514</v>
      </c>
      <c r="C109" s="188" t="s">
        <v>395</v>
      </c>
      <c r="D109" s="188">
        <v>4</v>
      </c>
      <c r="E109" s="188" t="s">
        <v>18</v>
      </c>
      <c r="F109" s="188">
        <v>1</v>
      </c>
      <c r="G109" s="188">
        <v>1</v>
      </c>
      <c r="H109" s="188">
        <v>1</v>
      </c>
      <c r="I109" s="188">
        <v>2</v>
      </c>
      <c r="J109" s="188">
        <v>1</v>
      </c>
      <c r="K109" s="188">
        <v>1</v>
      </c>
      <c r="L109" s="188">
        <v>3</v>
      </c>
      <c r="M109" s="188">
        <v>1</v>
      </c>
      <c r="N109" s="183"/>
      <c r="O109" s="183"/>
      <c r="P109" s="194">
        <f>SUM(Tabela2[[#This Row],[G]]+Tabela2[[#This Row],[D]]+Tabela2[[#This Row],[N]]+Tabela2[[#This Row],[HM]])</f>
        <v>4</v>
      </c>
      <c r="Q109" s="194">
        <f>SUM(Tabela2[[#This Row],[AO]]+Tabela2[[#This Row],[AD]]+Tabela2[[#This Row],[GWO]]+Tabela2[[#This Row],[GWD]])</f>
        <v>7</v>
      </c>
      <c r="R109" s="194">
        <f>Tabela2[[#This Row],[GWO]]+Tabela2[[#This Row],[GWD]]</f>
        <v>4</v>
      </c>
      <c r="S109" s="194">
        <f>SUM(Tabela2[[#This Row],[G]:[GWD]])</f>
        <v>11</v>
      </c>
    </row>
    <row r="110" spans="1:19">
      <c r="A110" s="197">
        <v>218</v>
      </c>
      <c r="B110" s="188" t="s">
        <v>515</v>
      </c>
      <c r="C110" s="188" t="s">
        <v>397</v>
      </c>
      <c r="D110" s="188">
        <v>4</v>
      </c>
      <c r="E110" s="188" t="s">
        <v>18</v>
      </c>
      <c r="F110" s="188">
        <v>2</v>
      </c>
      <c r="G110" s="188">
        <v>5</v>
      </c>
      <c r="H110" s="188">
        <v>2</v>
      </c>
      <c r="I110" s="188">
        <v>3</v>
      </c>
      <c r="J110" s="188">
        <v>2</v>
      </c>
      <c r="K110" s="188">
        <v>4</v>
      </c>
      <c r="L110" s="188">
        <v>4</v>
      </c>
      <c r="M110" s="188">
        <v>2</v>
      </c>
      <c r="N110" s="183"/>
      <c r="O110" s="183"/>
      <c r="P110" s="194">
        <f>SUM(Tabela2[[#This Row],[G]]+Tabela2[[#This Row],[D]]+Tabela2[[#This Row],[N]]+Tabela2[[#This Row],[HM]])</f>
        <v>13</v>
      </c>
      <c r="Q110" s="194">
        <f>SUM(Tabela2[[#This Row],[AO]]+Tabela2[[#This Row],[AD]]+Tabela2[[#This Row],[GWO]]+Tabela2[[#This Row],[GWD]])</f>
        <v>11</v>
      </c>
      <c r="R110" s="194">
        <f>Tabela2[[#This Row],[GWO]]+Tabela2[[#This Row],[GWD]]</f>
        <v>6</v>
      </c>
      <c r="S110" s="194">
        <f>SUM(Tabela2[[#This Row],[G]:[GWD]])</f>
        <v>24</v>
      </c>
    </row>
    <row r="111" spans="1:19" ht="30">
      <c r="A111" s="197">
        <v>217</v>
      </c>
      <c r="B111" s="188" t="s">
        <v>516</v>
      </c>
      <c r="C111" s="188" t="s">
        <v>399</v>
      </c>
      <c r="D111" s="188">
        <v>4</v>
      </c>
      <c r="E111" s="188" t="s">
        <v>18</v>
      </c>
      <c r="F111" s="188">
        <v>1</v>
      </c>
      <c r="G111" s="188">
        <v>1</v>
      </c>
      <c r="H111" s="188">
        <v>1</v>
      </c>
      <c r="I111" s="188">
        <v>2</v>
      </c>
      <c r="J111" s="188">
        <v>1</v>
      </c>
      <c r="K111" s="188">
        <v>1</v>
      </c>
      <c r="L111" s="188">
        <v>3</v>
      </c>
      <c r="M111" s="188">
        <v>1</v>
      </c>
      <c r="N111" s="183"/>
      <c r="O111" s="183"/>
      <c r="P111" s="194">
        <f>SUM(Tabela2[[#This Row],[G]]+Tabela2[[#This Row],[D]]+Tabela2[[#This Row],[N]]+Tabela2[[#This Row],[HM]])</f>
        <v>4</v>
      </c>
      <c r="Q111" s="194">
        <f>SUM(Tabela2[[#This Row],[AO]]+Tabela2[[#This Row],[AD]]+Tabela2[[#This Row],[GWO]]+Tabela2[[#This Row],[GWD]])</f>
        <v>7</v>
      </c>
      <c r="R111" s="194">
        <f>Tabela2[[#This Row],[GWO]]+Tabela2[[#This Row],[GWD]]</f>
        <v>4</v>
      </c>
      <c r="S111" s="194">
        <f>SUM(Tabela2[[#This Row],[G]:[GWD]])</f>
        <v>11</v>
      </c>
    </row>
    <row r="112" spans="1:19">
      <c r="A112" s="197">
        <v>216</v>
      </c>
      <c r="B112" s="188" t="s">
        <v>517</v>
      </c>
      <c r="C112" s="188" t="s">
        <v>401</v>
      </c>
      <c r="D112" s="188">
        <v>4</v>
      </c>
      <c r="E112" s="188" t="s">
        <v>18</v>
      </c>
      <c r="F112" s="188">
        <v>1</v>
      </c>
      <c r="G112" s="188">
        <v>3</v>
      </c>
      <c r="H112" s="188">
        <v>3</v>
      </c>
      <c r="I112" s="188">
        <v>3</v>
      </c>
      <c r="J112" s="188">
        <v>1</v>
      </c>
      <c r="K112" s="188">
        <v>2</v>
      </c>
      <c r="L112" s="188">
        <v>2</v>
      </c>
      <c r="M112" s="188">
        <v>1</v>
      </c>
      <c r="N112" s="183"/>
      <c r="O112" s="183"/>
      <c r="P112" s="194">
        <f>SUM(Tabela2[[#This Row],[G]]+Tabela2[[#This Row],[D]]+Tabela2[[#This Row],[N]]+Tabela2[[#This Row],[HM]])</f>
        <v>9</v>
      </c>
      <c r="Q112" s="194">
        <f>SUM(Tabela2[[#This Row],[AO]]+Tabela2[[#This Row],[AD]]+Tabela2[[#This Row],[GWO]]+Tabela2[[#This Row],[GWD]])</f>
        <v>7</v>
      </c>
      <c r="R112" s="194">
        <f>Tabela2[[#This Row],[GWO]]+Tabela2[[#This Row],[GWD]]</f>
        <v>3</v>
      </c>
      <c r="S112" s="194">
        <f>SUM(Tabela2[[#This Row],[G]:[GWD]])</f>
        <v>16</v>
      </c>
    </row>
    <row r="113" spans="1:19" ht="30">
      <c r="A113" s="197">
        <v>215</v>
      </c>
      <c r="B113" s="188" t="s">
        <v>518</v>
      </c>
      <c r="C113" s="188" t="s">
        <v>357</v>
      </c>
      <c r="D113" s="188">
        <v>4</v>
      </c>
      <c r="E113" s="188" t="s">
        <v>18</v>
      </c>
      <c r="F113" s="188">
        <v>1</v>
      </c>
      <c r="G113" s="188">
        <v>2</v>
      </c>
      <c r="H113" s="188">
        <v>1</v>
      </c>
      <c r="I113" s="188">
        <v>3</v>
      </c>
      <c r="J113" s="188">
        <v>1</v>
      </c>
      <c r="K113" s="188">
        <v>1</v>
      </c>
      <c r="L113" s="188">
        <v>4</v>
      </c>
      <c r="M113" s="188">
        <v>1</v>
      </c>
      <c r="N113" s="183"/>
      <c r="O113" s="183"/>
      <c r="P113" s="194">
        <f>SUM(Tabela2[[#This Row],[G]]+Tabela2[[#This Row],[D]]+Tabela2[[#This Row],[N]]+Tabela2[[#This Row],[HM]])</f>
        <v>5</v>
      </c>
      <c r="Q113" s="194">
        <f>SUM(Tabela2[[#This Row],[AO]]+Tabela2[[#This Row],[AD]]+Tabela2[[#This Row],[GWO]]+Tabela2[[#This Row],[GWD]])</f>
        <v>9</v>
      </c>
      <c r="R113" s="194">
        <f>Tabela2[[#This Row],[GWO]]+Tabela2[[#This Row],[GWD]]</f>
        <v>5</v>
      </c>
      <c r="S113" s="194">
        <f>SUM(Tabela2[[#This Row],[G]:[GWD]])</f>
        <v>14</v>
      </c>
    </row>
    <row r="114" spans="1:19">
      <c r="A114" s="197">
        <v>214</v>
      </c>
      <c r="B114" s="188" t="s">
        <v>519</v>
      </c>
      <c r="C114" s="188" t="s">
        <v>216</v>
      </c>
      <c r="D114" s="188">
        <v>4</v>
      </c>
      <c r="E114" s="188" t="s">
        <v>18</v>
      </c>
      <c r="F114" s="188">
        <v>1</v>
      </c>
      <c r="G114" s="188">
        <v>1</v>
      </c>
      <c r="H114" s="188">
        <v>1</v>
      </c>
      <c r="I114" s="188">
        <v>1</v>
      </c>
      <c r="J114" s="188">
        <v>1</v>
      </c>
      <c r="K114" s="188">
        <v>1</v>
      </c>
      <c r="L114" s="188">
        <v>1</v>
      </c>
      <c r="M114" s="188">
        <v>1</v>
      </c>
      <c r="N114" s="183"/>
      <c r="O114" s="183"/>
      <c r="P114" s="194">
        <f>SUM(Tabela2[[#This Row],[G]]+Tabela2[[#This Row],[D]]+Tabela2[[#This Row],[N]]+Tabela2[[#This Row],[HM]])</f>
        <v>4</v>
      </c>
      <c r="Q114" s="194">
        <f>SUM(Tabela2[[#This Row],[AO]]+Tabela2[[#This Row],[AD]]+Tabela2[[#This Row],[GWO]]+Tabela2[[#This Row],[GWD]])</f>
        <v>4</v>
      </c>
      <c r="R114" s="194">
        <f>Tabela2[[#This Row],[GWO]]+Tabela2[[#This Row],[GWD]]</f>
        <v>2</v>
      </c>
      <c r="S114" s="194">
        <f>SUM(Tabela2[[#This Row],[G]:[GWD]])</f>
        <v>8</v>
      </c>
    </row>
    <row r="115" spans="1:19" ht="30">
      <c r="A115" s="197">
        <v>213</v>
      </c>
      <c r="B115" s="188" t="s">
        <v>520</v>
      </c>
      <c r="C115" s="188" t="s">
        <v>405</v>
      </c>
      <c r="D115" s="188">
        <v>4</v>
      </c>
      <c r="E115" s="188" t="s">
        <v>18</v>
      </c>
      <c r="F115" s="188">
        <v>1</v>
      </c>
      <c r="G115" s="188">
        <v>1</v>
      </c>
      <c r="H115" s="188">
        <v>5</v>
      </c>
      <c r="I115" s="188">
        <v>3</v>
      </c>
      <c r="J115" s="188">
        <v>1</v>
      </c>
      <c r="K115" s="188">
        <v>1</v>
      </c>
      <c r="L115" s="188">
        <v>3</v>
      </c>
      <c r="M115" s="188">
        <v>1</v>
      </c>
      <c r="N115" s="186"/>
      <c r="O115" s="186"/>
      <c r="P115" s="195">
        <f>SUM(Tabela2[[#This Row],[G]]+Tabela2[[#This Row],[D]]+Tabela2[[#This Row],[N]]+Tabela2[[#This Row],[HM]])</f>
        <v>8</v>
      </c>
      <c r="Q115" s="195">
        <f>SUM(Tabela2[[#This Row],[AO]]+Tabela2[[#This Row],[AD]]+Tabela2[[#This Row],[GWO]]+Tabela2[[#This Row],[GWD]])</f>
        <v>8</v>
      </c>
      <c r="R115" s="195">
        <f>Tabela2[[#This Row],[GWO]]+Tabela2[[#This Row],[GWD]]</f>
        <v>4</v>
      </c>
      <c r="S115" s="195">
        <f>SUM(Tabela2[[#This Row],[G]:[GWD]])</f>
        <v>16</v>
      </c>
    </row>
    <row r="116" spans="1:19" ht="30">
      <c r="A116" s="197">
        <v>212</v>
      </c>
      <c r="B116" s="188" t="s">
        <v>521</v>
      </c>
      <c r="C116" s="188" t="s">
        <v>407</v>
      </c>
      <c r="D116" s="188">
        <v>4</v>
      </c>
      <c r="E116" s="188" t="s">
        <v>18</v>
      </c>
      <c r="F116" s="188">
        <v>1</v>
      </c>
      <c r="G116" s="188">
        <v>3</v>
      </c>
      <c r="H116" s="188">
        <v>3</v>
      </c>
      <c r="I116" s="188">
        <v>3</v>
      </c>
      <c r="J116" s="188">
        <v>1</v>
      </c>
      <c r="K116" s="188">
        <v>1</v>
      </c>
      <c r="L116" s="188">
        <v>3</v>
      </c>
      <c r="M116" s="188">
        <v>1</v>
      </c>
      <c r="N116" s="183"/>
      <c r="O116" s="183"/>
      <c r="P116" s="194">
        <f>SUM(Tabela2[[#This Row],[G]]+Tabela2[[#This Row],[D]]+Tabela2[[#This Row],[N]]+Tabela2[[#This Row],[HM]])</f>
        <v>8</v>
      </c>
      <c r="Q116" s="194">
        <f>SUM(Tabela2[[#This Row],[AO]]+Tabela2[[#This Row],[AD]]+Tabela2[[#This Row],[GWO]]+Tabela2[[#This Row],[GWD]])</f>
        <v>8</v>
      </c>
      <c r="R116" s="194">
        <f>Tabela2[[#This Row],[GWO]]+Tabela2[[#This Row],[GWD]]</f>
        <v>4</v>
      </c>
      <c r="S116" s="194">
        <f>SUM(Tabela2[[#This Row],[G]:[GWD]])</f>
        <v>16</v>
      </c>
    </row>
    <row r="117" spans="1:19" ht="30">
      <c r="A117" s="197">
        <v>211</v>
      </c>
      <c r="B117" s="188" t="s">
        <v>522</v>
      </c>
      <c r="C117" s="188" t="s">
        <v>409</v>
      </c>
      <c r="D117" s="188">
        <v>4</v>
      </c>
      <c r="E117" s="188" t="s">
        <v>18</v>
      </c>
      <c r="F117" s="188">
        <v>1</v>
      </c>
      <c r="G117" s="188">
        <v>4</v>
      </c>
      <c r="H117" s="188">
        <v>3</v>
      </c>
      <c r="I117" s="188">
        <v>3</v>
      </c>
      <c r="J117" s="188">
        <v>2</v>
      </c>
      <c r="K117" s="188">
        <v>1</v>
      </c>
      <c r="L117" s="188">
        <v>3</v>
      </c>
      <c r="M117" s="188">
        <v>2</v>
      </c>
      <c r="N117" s="183"/>
      <c r="O117" s="183"/>
      <c r="P117" s="194">
        <f>SUM(Tabela2[[#This Row],[G]]+Tabela2[[#This Row],[D]]+Tabela2[[#This Row],[N]]+Tabela2[[#This Row],[HM]])</f>
        <v>9</v>
      </c>
      <c r="Q117" s="194">
        <f>SUM(Tabela2[[#This Row],[AO]]+Tabela2[[#This Row],[AD]]+Tabela2[[#This Row],[GWO]]+Tabela2[[#This Row],[GWD]])</f>
        <v>10</v>
      </c>
      <c r="R117" s="194">
        <f>Tabela2[[#This Row],[GWO]]+Tabela2[[#This Row],[GWD]]</f>
        <v>5</v>
      </c>
      <c r="S117" s="194">
        <f>SUM(Tabela2[[#This Row],[G]:[GWD]])</f>
        <v>19</v>
      </c>
    </row>
    <row r="118" spans="1:19">
      <c r="A118" s="197">
        <v>210</v>
      </c>
      <c r="B118" s="188" t="s">
        <v>523</v>
      </c>
      <c r="C118" s="188" t="s">
        <v>411</v>
      </c>
      <c r="D118" s="188">
        <v>4</v>
      </c>
      <c r="E118" s="188" t="s">
        <v>18</v>
      </c>
      <c r="F118" s="188">
        <v>1</v>
      </c>
      <c r="G118" s="188">
        <v>3</v>
      </c>
      <c r="H118" s="188">
        <v>1</v>
      </c>
      <c r="I118" s="188">
        <v>3</v>
      </c>
      <c r="J118" s="188">
        <v>3</v>
      </c>
      <c r="K118" s="188">
        <v>2</v>
      </c>
      <c r="L118" s="188">
        <v>3</v>
      </c>
      <c r="M118" s="188">
        <v>2</v>
      </c>
      <c r="N118" s="183"/>
      <c r="O118" s="183"/>
      <c r="P118" s="194">
        <f>SUM(Tabela2[[#This Row],[G]]+Tabela2[[#This Row],[D]]+Tabela2[[#This Row],[N]]+Tabela2[[#This Row],[HM]])</f>
        <v>7</v>
      </c>
      <c r="Q118" s="194">
        <f>SUM(Tabela2[[#This Row],[AO]]+Tabela2[[#This Row],[AD]]+Tabela2[[#This Row],[GWO]]+Tabela2[[#This Row],[GWD]])</f>
        <v>11</v>
      </c>
      <c r="R118" s="194">
        <f>Tabela2[[#This Row],[GWO]]+Tabela2[[#This Row],[GWD]]</f>
        <v>5</v>
      </c>
      <c r="S118" s="194">
        <f>SUM(Tabela2[[#This Row],[G]:[GWD]])</f>
        <v>18</v>
      </c>
    </row>
    <row r="119" spans="1:19" ht="30">
      <c r="A119" s="197">
        <v>209</v>
      </c>
      <c r="B119" s="188" t="s">
        <v>524</v>
      </c>
      <c r="C119" s="188" t="s">
        <v>416</v>
      </c>
      <c r="D119" s="188">
        <v>4</v>
      </c>
      <c r="E119" s="188" t="s">
        <v>18</v>
      </c>
      <c r="F119" s="188">
        <v>1</v>
      </c>
      <c r="G119" s="188">
        <v>2</v>
      </c>
      <c r="H119" s="188">
        <v>2</v>
      </c>
      <c r="I119" s="188">
        <v>3</v>
      </c>
      <c r="J119" s="188">
        <v>1</v>
      </c>
      <c r="K119" s="188">
        <v>1</v>
      </c>
      <c r="L119" s="188">
        <v>3</v>
      </c>
      <c r="M119" s="188">
        <v>1</v>
      </c>
      <c r="N119" s="183"/>
      <c r="O119" s="183"/>
      <c r="P119" s="194">
        <f>SUM(Tabela2[[#This Row],[G]]+Tabela2[[#This Row],[D]]+Tabela2[[#This Row],[N]]+Tabela2[[#This Row],[HM]])</f>
        <v>6</v>
      </c>
      <c r="Q119" s="194">
        <f>SUM(Tabela2[[#This Row],[AO]]+Tabela2[[#This Row],[AD]]+Tabela2[[#This Row],[GWO]]+Tabela2[[#This Row],[GWD]])</f>
        <v>8</v>
      </c>
      <c r="R119" s="194">
        <f>Tabela2[[#This Row],[GWO]]+Tabela2[[#This Row],[GWD]]</f>
        <v>4</v>
      </c>
      <c r="S119" s="194">
        <f>SUM(Tabela2[[#This Row],[G]:[GWD]])</f>
        <v>14</v>
      </c>
    </row>
    <row r="120" spans="1:19">
      <c r="A120" s="197">
        <v>208</v>
      </c>
      <c r="B120" s="188" t="s">
        <v>525</v>
      </c>
      <c r="C120" s="188" t="s">
        <v>418</v>
      </c>
      <c r="D120" s="188">
        <v>4</v>
      </c>
      <c r="E120" s="188" t="s">
        <v>18</v>
      </c>
      <c r="F120" s="188">
        <v>1</v>
      </c>
      <c r="G120" s="188">
        <v>1</v>
      </c>
      <c r="H120" s="188">
        <v>1</v>
      </c>
      <c r="I120" s="188">
        <v>1</v>
      </c>
      <c r="J120" s="188">
        <v>1</v>
      </c>
      <c r="K120" s="188">
        <v>1</v>
      </c>
      <c r="L120" s="188">
        <v>1</v>
      </c>
      <c r="M120" s="188">
        <v>1</v>
      </c>
      <c r="N120" s="183"/>
      <c r="O120" s="183"/>
      <c r="P120" s="194">
        <f>SUM(Tabela2[[#This Row],[G]]+Tabela2[[#This Row],[D]]+Tabela2[[#This Row],[N]]+Tabela2[[#This Row],[HM]])</f>
        <v>4</v>
      </c>
      <c r="Q120" s="194">
        <f>SUM(Tabela2[[#This Row],[AO]]+Tabela2[[#This Row],[AD]]+Tabela2[[#This Row],[GWO]]+Tabela2[[#This Row],[GWD]])</f>
        <v>4</v>
      </c>
      <c r="R120" s="194">
        <f>Tabela2[[#This Row],[GWO]]+Tabela2[[#This Row],[GWD]]</f>
        <v>2</v>
      </c>
      <c r="S120" s="194">
        <f>SUM(Tabela2[[#This Row],[G]:[GWD]])</f>
        <v>8</v>
      </c>
    </row>
    <row r="121" spans="1:19" ht="30">
      <c r="A121" s="197">
        <v>207</v>
      </c>
      <c r="B121" s="188" t="s">
        <v>526</v>
      </c>
      <c r="C121" s="188" t="s">
        <v>420</v>
      </c>
      <c r="D121" s="188">
        <v>4</v>
      </c>
      <c r="E121" s="188" t="s">
        <v>18</v>
      </c>
      <c r="F121" s="188">
        <v>1</v>
      </c>
      <c r="G121" s="188">
        <v>1</v>
      </c>
      <c r="H121" s="188">
        <v>3</v>
      </c>
      <c r="I121" s="188">
        <v>1</v>
      </c>
      <c r="J121" s="188">
        <v>1</v>
      </c>
      <c r="K121" s="188">
        <v>1</v>
      </c>
      <c r="L121" s="188">
        <v>1</v>
      </c>
      <c r="M121" s="188">
        <v>1</v>
      </c>
      <c r="N121" s="183"/>
      <c r="O121" s="183"/>
      <c r="P121" s="194">
        <f>SUM(Tabela2[[#This Row],[G]]+Tabela2[[#This Row],[D]]+Tabela2[[#This Row],[N]]+Tabela2[[#This Row],[HM]])</f>
        <v>6</v>
      </c>
      <c r="Q121" s="194">
        <f>SUM(Tabela2[[#This Row],[AO]]+Tabela2[[#This Row],[AD]]+Tabela2[[#This Row],[GWO]]+Tabela2[[#This Row],[GWD]])</f>
        <v>4</v>
      </c>
      <c r="R121" s="194">
        <f>Tabela2[[#This Row],[GWO]]+Tabela2[[#This Row],[GWD]]</f>
        <v>2</v>
      </c>
      <c r="S121" s="194">
        <f>SUM(Tabela2[[#This Row],[G]:[GWD]])</f>
        <v>10</v>
      </c>
    </row>
    <row r="122" spans="1:19" ht="30">
      <c r="A122" s="197">
        <v>206</v>
      </c>
      <c r="B122" s="188" t="s">
        <v>527</v>
      </c>
      <c r="C122" s="188" t="s">
        <v>422</v>
      </c>
      <c r="D122" s="188">
        <v>4</v>
      </c>
      <c r="E122" s="188" t="s">
        <v>18</v>
      </c>
      <c r="F122" s="188">
        <v>1</v>
      </c>
      <c r="G122" s="188">
        <v>1</v>
      </c>
      <c r="H122" s="188">
        <v>4</v>
      </c>
      <c r="I122" s="188">
        <v>1</v>
      </c>
      <c r="J122" s="188">
        <v>1</v>
      </c>
      <c r="K122" s="188">
        <v>1</v>
      </c>
      <c r="L122" s="188">
        <v>1</v>
      </c>
      <c r="M122" s="188">
        <v>1</v>
      </c>
      <c r="N122" s="183"/>
      <c r="O122" s="183"/>
      <c r="P122" s="194">
        <f>SUM(Tabela2[[#This Row],[G]]+Tabela2[[#This Row],[D]]+Tabela2[[#This Row],[N]]+Tabela2[[#This Row],[HM]])</f>
        <v>7</v>
      </c>
      <c r="Q122" s="194">
        <f>SUM(Tabela2[[#This Row],[AO]]+Tabela2[[#This Row],[AD]]+Tabela2[[#This Row],[GWO]]+Tabela2[[#This Row],[GWD]])</f>
        <v>4</v>
      </c>
      <c r="R122" s="194">
        <f>Tabela2[[#This Row],[GWO]]+Tabela2[[#This Row],[GWD]]</f>
        <v>2</v>
      </c>
      <c r="S122" s="194">
        <f>SUM(Tabela2[[#This Row],[G]:[GWD]])</f>
        <v>11</v>
      </c>
    </row>
    <row r="123" spans="1:19">
      <c r="A123" s="197">
        <v>205</v>
      </c>
      <c r="B123" s="188" t="s">
        <v>528</v>
      </c>
      <c r="C123" s="188" t="s">
        <v>211</v>
      </c>
      <c r="D123" s="188">
        <v>4</v>
      </c>
      <c r="E123" s="188" t="s">
        <v>18</v>
      </c>
      <c r="F123" s="188">
        <v>1</v>
      </c>
      <c r="G123" s="188">
        <v>1</v>
      </c>
      <c r="H123" s="188">
        <v>1</v>
      </c>
      <c r="I123" s="188">
        <v>3</v>
      </c>
      <c r="J123" s="188">
        <v>1</v>
      </c>
      <c r="K123" s="188">
        <v>1</v>
      </c>
      <c r="L123" s="188">
        <v>3</v>
      </c>
      <c r="M123" s="188">
        <v>1</v>
      </c>
      <c r="N123" s="188" t="s">
        <v>458</v>
      </c>
      <c r="O123" s="188"/>
      <c r="P123" s="198">
        <f>SUM(Tabela2[[#This Row],[G]]+Tabela2[[#This Row],[D]]+Tabela2[[#This Row],[N]]+Tabela2[[#This Row],[HM]])</f>
        <v>4</v>
      </c>
      <c r="Q123" s="198">
        <f>SUM(Tabela2[[#This Row],[AO]]+Tabela2[[#This Row],[AD]]+Tabela2[[#This Row],[GWO]]+Tabela2[[#This Row],[GWD]])</f>
        <v>8</v>
      </c>
      <c r="R123" s="198">
        <f>Tabela2[[#This Row],[GWO]]+Tabela2[[#This Row],[GWD]]</f>
        <v>4</v>
      </c>
      <c r="S123" s="194">
        <f>SUM(Tabela2[[#This Row],[G]:[GWD]])</f>
        <v>12</v>
      </c>
    </row>
    <row r="124" spans="1:19" ht="30">
      <c r="A124" s="197">
        <v>204</v>
      </c>
      <c r="B124" s="188" t="s">
        <v>529</v>
      </c>
      <c r="C124" s="188" t="s">
        <v>425</v>
      </c>
      <c r="D124" s="188">
        <v>4</v>
      </c>
      <c r="E124" s="188" t="s">
        <v>18</v>
      </c>
      <c r="F124" s="188">
        <v>1</v>
      </c>
      <c r="G124" s="188">
        <v>1</v>
      </c>
      <c r="H124" s="188">
        <v>1</v>
      </c>
      <c r="I124" s="188">
        <v>3</v>
      </c>
      <c r="J124" s="188">
        <v>5</v>
      </c>
      <c r="K124" s="188">
        <v>3</v>
      </c>
      <c r="L124" s="188">
        <v>4</v>
      </c>
      <c r="M124" s="188">
        <v>4</v>
      </c>
      <c r="N124" s="183"/>
      <c r="O124" s="183"/>
      <c r="P124" s="194">
        <f>SUM(Tabela2[[#This Row],[G]]+Tabela2[[#This Row],[D]]+Tabela2[[#This Row],[N]]+Tabela2[[#This Row],[HM]])</f>
        <v>6</v>
      </c>
      <c r="Q124" s="194">
        <f>SUM(Tabela2[[#This Row],[AO]]+Tabela2[[#This Row],[AD]]+Tabela2[[#This Row],[GWO]]+Tabela2[[#This Row],[GWD]])</f>
        <v>16</v>
      </c>
      <c r="R124" s="194">
        <f>Tabela2[[#This Row],[GWO]]+Tabela2[[#This Row],[GWD]]</f>
        <v>8</v>
      </c>
      <c r="S124" s="194">
        <f>SUM(Tabela2[[#This Row],[G]:[GWD]])</f>
        <v>22</v>
      </c>
    </row>
    <row r="125" spans="1:19" ht="30">
      <c r="A125" s="197">
        <v>203</v>
      </c>
      <c r="B125" s="188" t="s">
        <v>530</v>
      </c>
      <c r="C125" s="188" t="s">
        <v>370</v>
      </c>
      <c r="D125" s="188">
        <v>4</v>
      </c>
      <c r="E125" s="188" t="s">
        <v>18</v>
      </c>
      <c r="F125" s="188">
        <v>1</v>
      </c>
      <c r="G125" s="188">
        <v>1</v>
      </c>
      <c r="H125" s="188">
        <v>1</v>
      </c>
      <c r="I125" s="188">
        <v>2</v>
      </c>
      <c r="J125" s="188">
        <v>2</v>
      </c>
      <c r="K125" s="188">
        <v>1</v>
      </c>
      <c r="L125" s="188">
        <v>4</v>
      </c>
      <c r="M125" s="188">
        <v>3</v>
      </c>
      <c r="N125" s="183"/>
      <c r="O125" s="183" t="s">
        <v>205</v>
      </c>
      <c r="P125" s="194">
        <f>SUM(Tabela2[[#This Row],[G]]+Tabela2[[#This Row],[D]]+Tabela2[[#This Row],[N]]+Tabela2[[#This Row],[HM]])</f>
        <v>4</v>
      </c>
      <c r="Q125" s="194">
        <f>SUM(Tabela2[[#This Row],[AO]]+Tabela2[[#This Row],[AD]]+Tabela2[[#This Row],[GWO]]+Tabela2[[#This Row],[GWD]])</f>
        <v>11</v>
      </c>
      <c r="R125" s="194">
        <f>Tabela2[[#This Row],[GWO]]+Tabela2[[#This Row],[GWD]]</f>
        <v>7</v>
      </c>
      <c r="S125" s="194">
        <f>SUM(Tabela2[[#This Row],[G]:[GWD]])</f>
        <v>15</v>
      </c>
    </row>
    <row r="126" spans="1:19" ht="30">
      <c r="A126" s="197">
        <v>202</v>
      </c>
      <c r="B126" s="188" t="s">
        <v>531</v>
      </c>
      <c r="C126" s="188" t="s">
        <v>428</v>
      </c>
      <c r="D126" s="188">
        <v>4</v>
      </c>
      <c r="E126" s="188" t="s">
        <v>18</v>
      </c>
      <c r="F126" s="188">
        <v>1</v>
      </c>
      <c r="G126" s="188">
        <v>1</v>
      </c>
      <c r="H126" s="188">
        <v>1</v>
      </c>
      <c r="I126" s="188">
        <v>2</v>
      </c>
      <c r="J126" s="188">
        <v>3</v>
      </c>
      <c r="K126" s="188">
        <v>3</v>
      </c>
      <c r="L126" s="188">
        <v>3</v>
      </c>
      <c r="M126" s="188">
        <v>3</v>
      </c>
      <c r="N126" s="183"/>
      <c r="O126" s="183"/>
      <c r="P126" s="194">
        <f>SUM(Tabela2[[#This Row],[G]]+Tabela2[[#This Row],[D]]+Tabela2[[#This Row],[N]]+Tabela2[[#This Row],[HM]])</f>
        <v>6</v>
      </c>
      <c r="Q126" s="194">
        <f>SUM(Tabela2[[#This Row],[AO]]+Tabela2[[#This Row],[AD]]+Tabela2[[#This Row],[GWO]]+Tabela2[[#This Row],[GWD]])</f>
        <v>11</v>
      </c>
      <c r="R126" s="194">
        <f>Tabela2[[#This Row],[GWO]]+Tabela2[[#This Row],[GWD]]</f>
        <v>6</v>
      </c>
      <c r="S126" s="194">
        <f>SUM(Tabela2[[#This Row],[G]:[GWD]])</f>
        <v>17</v>
      </c>
    </row>
    <row r="127" spans="1:19" ht="30">
      <c r="A127" s="197">
        <v>201</v>
      </c>
      <c r="B127" s="189" t="s">
        <v>532</v>
      </c>
      <c r="C127" s="188" t="s">
        <v>454</v>
      </c>
      <c r="D127" s="188">
        <v>4</v>
      </c>
      <c r="E127" s="188" t="s">
        <v>18</v>
      </c>
      <c r="F127" s="188">
        <v>1</v>
      </c>
      <c r="G127" s="188">
        <v>1</v>
      </c>
      <c r="H127" s="188">
        <v>2</v>
      </c>
      <c r="I127" s="188">
        <v>3</v>
      </c>
      <c r="J127" s="188">
        <v>1</v>
      </c>
      <c r="K127" s="188">
        <v>1</v>
      </c>
      <c r="L127" s="188">
        <v>3</v>
      </c>
      <c r="M127" s="188">
        <v>1</v>
      </c>
      <c r="N127" s="183"/>
      <c r="O127" s="183"/>
      <c r="P127" s="194">
        <f>SUM(Tabela2[[#This Row],[G]]+Tabela2[[#This Row],[D]]+Tabela2[[#This Row],[N]]+Tabela2[[#This Row],[HM]])</f>
        <v>5</v>
      </c>
      <c r="Q127" s="194">
        <f>SUM(Tabela2[[#This Row],[AO]]+Tabela2[[#This Row],[AD]]+Tabela2[[#This Row],[GWO]]+Tabela2[[#This Row],[GWD]])</f>
        <v>8</v>
      </c>
      <c r="R127" s="194">
        <f>Tabela2[[#This Row],[GWO]]+Tabela2[[#This Row],[GWD]]</f>
        <v>4</v>
      </c>
      <c r="S127" s="194">
        <f>SUM(Tabela2[[#This Row],[G]:[GWD]])</f>
        <v>13</v>
      </c>
    </row>
    <row r="128" spans="1:19">
      <c r="A128" s="197">
        <v>200</v>
      </c>
      <c r="B128" s="189" t="s">
        <v>533</v>
      </c>
      <c r="C128" s="188" t="s">
        <v>432</v>
      </c>
      <c r="D128" s="188">
        <v>4</v>
      </c>
      <c r="E128" s="188" t="s">
        <v>18</v>
      </c>
      <c r="F128" s="188">
        <v>1</v>
      </c>
      <c r="G128" s="188">
        <v>3</v>
      </c>
      <c r="H128" s="188">
        <v>3</v>
      </c>
      <c r="I128" s="188">
        <v>3</v>
      </c>
      <c r="J128" s="188">
        <v>1</v>
      </c>
      <c r="K128" s="188">
        <v>1</v>
      </c>
      <c r="L128" s="188">
        <v>3</v>
      </c>
      <c r="M128" s="188">
        <v>1</v>
      </c>
      <c r="N128" s="183"/>
      <c r="O128" s="183"/>
      <c r="P128" s="194">
        <f>SUM(Tabela2[[#This Row],[G]]+Tabela2[[#This Row],[D]]+Tabela2[[#This Row],[N]]+Tabela2[[#This Row],[HM]])</f>
        <v>8</v>
      </c>
      <c r="Q128" s="194">
        <f>SUM(Tabela2[[#This Row],[AO]]+Tabela2[[#This Row],[AD]]+Tabela2[[#This Row],[GWO]]+Tabela2[[#This Row],[GWD]])</f>
        <v>8</v>
      </c>
      <c r="R128" s="194">
        <f>Tabela2[[#This Row],[GWO]]+Tabela2[[#This Row],[GWD]]</f>
        <v>4</v>
      </c>
      <c r="S128" s="194">
        <f>SUM(Tabela2[[#This Row],[G]:[GWD]])</f>
        <v>16</v>
      </c>
    </row>
    <row r="129" spans="1:19">
      <c r="A129" s="197">
        <v>199</v>
      </c>
      <c r="B129" s="183" t="s">
        <v>535</v>
      </c>
      <c r="C129" s="183" t="s">
        <v>534</v>
      </c>
      <c r="D129" s="183">
        <v>3</v>
      </c>
      <c r="E129" s="183" t="s">
        <v>285</v>
      </c>
      <c r="F129" s="183">
        <v>1</v>
      </c>
      <c r="G129" s="183">
        <v>2</v>
      </c>
      <c r="H129" s="183">
        <v>4</v>
      </c>
      <c r="I129" s="183">
        <v>3</v>
      </c>
      <c r="J129" s="183">
        <v>4</v>
      </c>
      <c r="K129" s="183">
        <v>1</v>
      </c>
      <c r="L129" s="183">
        <v>4</v>
      </c>
      <c r="M129" s="183">
        <v>3</v>
      </c>
      <c r="N129" s="183"/>
      <c r="O129" s="183"/>
      <c r="P129" s="194">
        <f>SUM(Tabela2[[#This Row],[G]]+Tabela2[[#This Row],[D]]+Tabela2[[#This Row],[N]]+Tabela2[[#This Row],[HM]])</f>
        <v>8</v>
      </c>
      <c r="Q129" s="194">
        <f>SUM(Tabela2[[#This Row],[AO]]+Tabela2[[#This Row],[AD]]+Tabela2[[#This Row],[GWO]]+Tabela2[[#This Row],[GWD]])</f>
        <v>14</v>
      </c>
      <c r="R129" s="194">
        <f>Tabela2[[#This Row],[GWO]]+Tabela2[[#This Row],[GWD]]</f>
        <v>7</v>
      </c>
      <c r="S129" s="194">
        <f>SUM(Tabela2[[#This Row],[G]:[GWD]])</f>
        <v>22</v>
      </c>
    </row>
    <row r="130" spans="1:19">
      <c r="A130" s="197">
        <v>198</v>
      </c>
      <c r="B130" s="183" t="s">
        <v>537</v>
      </c>
      <c r="C130" s="183" t="s">
        <v>536</v>
      </c>
      <c r="D130" s="183">
        <v>3</v>
      </c>
      <c r="E130" s="183" t="s">
        <v>285</v>
      </c>
      <c r="F130" s="183">
        <v>1</v>
      </c>
      <c r="G130" s="183">
        <v>1</v>
      </c>
      <c r="H130" s="183">
        <v>1</v>
      </c>
      <c r="I130" s="183">
        <v>1</v>
      </c>
      <c r="J130" s="183">
        <v>1</v>
      </c>
      <c r="K130" s="183">
        <v>1</v>
      </c>
      <c r="L130" s="183">
        <v>1</v>
      </c>
      <c r="M130" s="183">
        <v>1</v>
      </c>
      <c r="N130" s="183"/>
      <c r="O130" s="183"/>
      <c r="P130" s="194">
        <f>SUM(Tabela2[[#This Row],[G]]+Tabela2[[#This Row],[D]]+Tabela2[[#This Row],[N]]+Tabela2[[#This Row],[HM]])</f>
        <v>4</v>
      </c>
      <c r="Q130" s="194">
        <f>SUM(Tabela2[[#This Row],[AO]]+Tabela2[[#This Row],[AD]]+Tabela2[[#This Row],[GWO]]+Tabela2[[#This Row],[GWD]])</f>
        <v>4</v>
      </c>
      <c r="R130" s="194">
        <f>Tabela2[[#This Row],[GWO]]+Tabela2[[#This Row],[GWD]]</f>
        <v>2</v>
      </c>
      <c r="S130" s="194">
        <f>SUM(Tabela2[[#This Row],[G]:[GWD]])</f>
        <v>8</v>
      </c>
    </row>
    <row r="131" spans="1:19">
      <c r="A131" s="197">
        <v>197</v>
      </c>
      <c r="B131" s="183" t="s">
        <v>146</v>
      </c>
      <c r="C131" s="183" t="s">
        <v>280</v>
      </c>
      <c r="D131" s="183">
        <v>3</v>
      </c>
      <c r="E131" s="183" t="s">
        <v>285</v>
      </c>
      <c r="F131" s="183">
        <v>4</v>
      </c>
      <c r="G131" s="183">
        <v>2</v>
      </c>
      <c r="H131" s="183">
        <v>1</v>
      </c>
      <c r="I131" s="183">
        <v>3</v>
      </c>
      <c r="J131" s="183">
        <v>4</v>
      </c>
      <c r="K131" s="183">
        <v>3</v>
      </c>
      <c r="L131" s="183">
        <v>4</v>
      </c>
      <c r="M131" s="183">
        <v>4</v>
      </c>
      <c r="N131" s="183"/>
      <c r="O131" s="183" t="s">
        <v>205</v>
      </c>
      <c r="P131" s="194">
        <f>SUM(Tabela2[[#This Row],[G]]+Tabela2[[#This Row],[D]]+Tabela2[[#This Row],[N]]+Tabela2[[#This Row],[HM]])</f>
        <v>10</v>
      </c>
      <c r="Q131" s="194">
        <f>SUM(Tabela2[[#This Row],[AO]]+Tabela2[[#This Row],[AD]]+Tabela2[[#This Row],[GWO]]+Tabela2[[#This Row],[GWD]])</f>
        <v>15</v>
      </c>
      <c r="R131" s="194">
        <f>Tabela2[[#This Row],[GWO]]+Tabela2[[#This Row],[GWD]]</f>
        <v>8</v>
      </c>
      <c r="S131" s="194">
        <f>SUM(Tabela2[[#This Row],[G]:[GWD]])</f>
        <v>25</v>
      </c>
    </row>
    <row r="132" spans="1:19">
      <c r="A132" s="197">
        <v>196</v>
      </c>
      <c r="B132" s="183" t="s">
        <v>538</v>
      </c>
      <c r="C132" s="183" t="s">
        <v>297</v>
      </c>
      <c r="D132" s="183">
        <v>3</v>
      </c>
      <c r="E132" s="183" t="s">
        <v>285</v>
      </c>
      <c r="F132" s="183">
        <v>1</v>
      </c>
      <c r="G132" s="183">
        <v>1</v>
      </c>
      <c r="H132" s="183">
        <v>1</v>
      </c>
      <c r="I132" s="183">
        <v>1</v>
      </c>
      <c r="J132" s="183">
        <v>1</v>
      </c>
      <c r="K132" s="183">
        <v>1</v>
      </c>
      <c r="L132" s="183">
        <v>1</v>
      </c>
      <c r="M132" s="183">
        <v>1</v>
      </c>
      <c r="N132" s="183"/>
      <c r="O132" s="183"/>
      <c r="P132" s="194">
        <f>SUM(Tabela2[[#This Row],[G]]+Tabela2[[#This Row],[D]]+Tabela2[[#This Row],[N]]+Tabela2[[#This Row],[HM]])</f>
        <v>4</v>
      </c>
      <c r="Q132" s="194">
        <f>SUM(Tabela2[[#This Row],[AO]]+Tabela2[[#This Row],[AD]]+Tabela2[[#This Row],[GWO]]+Tabela2[[#This Row],[GWD]])</f>
        <v>4</v>
      </c>
      <c r="R132" s="194">
        <f>Tabela2[[#This Row],[GWO]]+Tabela2[[#This Row],[GWD]]</f>
        <v>2</v>
      </c>
      <c r="S132" s="194">
        <f>SUM(Tabela2[[#This Row],[G]:[GWD]])</f>
        <v>8</v>
      </c>
    </row>
    <row r="133" spans="1:19" ht="30">
      <c r="A133" s="197">
        <v>195</v>
      </c>
      <c r="B133" s="183" t="s">
        <v>540</v>
      </c>
      <c r="C133" s="183" t="s">
        <v>539</v>
      </c>
      <c r="D133" s="183">
        <v>3</v>
      </c>
      <c r="E133" s="183" t="s">
        <v>285</v>
      </c>
      <c r="F133" s="183">
        <v>1</v>
      </c>
      <c r="G133" s="183">
        <v>1</v>
      </c>
      <c r="H133" s="183">
        <v>1</v>
      </c>
      <c r="I133" s="183">
        <v>1</v>
      </c>
      <c r="J133" s="183">
        <v>1</v>
      </c>
      <c r="K133" s="183">
        <v>1</v>
      </c>
      <c r="L133" s="183">
        <v>1</v>
      </c>
      <c r="M133" s="183">
        <v>1</v>
      </c>
      <c r="N133" s="183"/>
      <c r="O133" s="183"/>
      <c r="P133" s="194">
        <f>SUM(Tabela2[[#This Row],[G]]+Tabela2[[#This Row],[D]]+Tabela2[[#This Row],[N]]+Tabela2[[#This Row],[HM]])</f>
        <v>4</v>
      </c>
      <c r="Q133" s="194">
        <f>SUM(Tabela2[[#This Row],[AO]]+Tabela2[[#This Row],[AD]]+Tabela2[[#This Row],[GWO]]+Tabela2[[#This Row],[GWD]])</f>
        <v>4</v>
      </c>
      <c r="R133" s="194">
        <f>Tabela2[[#This Row],[GWO]]+Tabela2[[#This Row],[GWD]]</f>
        <v>2</v>
      </c>
      <c r="S133" s="194">
        <f>SUM(Tabela2[[#This Row],[G]:[GWD]])</f>
        <v>8</v>
      </c>
    </row>
    <row r="134" spans="1:19" ht="30">
      <c r="A134" s="197">
        <v>194</v>
      </c>
      <c r="B134" s="183" t="s">
        <v>542</v>
      </c>
      <c r="C134" s="183" t="s">
        <v>541</v>
      </c>
      <c r="D134" s="183">
        <v>3</v>
      </c>
      <c r="E134" s="183" t="s">
        <v>285</v>
      </c>
      <c r="F134" s="183">
        <v>1</v>
      </c>
      <c r="G134" s="183">
        <v>1</v>
      </c>
      <c r="H134" s="183">
        <v>1</v>
      </c>
      <c r="I134" s="183">
        <v>1</v>
      </c>
      <c r="J134" s="183">
        <v>1</v>
      </c>
      <c r="K134" s="183">
        <v>2</v>
      </c>
      <c r="L134" s="183">
        <v>1</v>
      </c>
      <c r="M134" s="183">
        <v>1</v>
      </c>
      <c r="N134" s="183"/>
      <c r="O134" s="183"/>
      <c r="P134" s="194">
        <f>SUM(Tabela2[[#This Row],[G]]+Tabela2[[#This Row],[D]]+Tabela2[[#This Row],[N]]+Tabela2[[#This Row],[HM]])</f>
        <v>5</v>
      </c>
      <c r="Q134" s="194">
        <f>SUM(Tabela2[[#This Row],[AO]]+Tabela2[[#This Row],[AD]]+Tabela2[[#This Row],[GWO]]+Tabela2[[#This Row],[GWD]])</f>
        <v>4</v>
      </c>
      <c r="R134" s="194">
        <f>Tabela2[[#This Row],[GWO]]+Tabela2[[#This Row],[GWD]]</f>
        <v>2</v>
      </c>
      <c r="S134" s="194">
        <f>SUM(Tabela2[[#This Row],[G]:[GWD]])</f>
        <v>9</v>
      </c>
    </row>
    <row r="135" spans="1:19" ht="30">
      <c r="A135" s="197">
        <v>193</v>
      </c>
      <c r="B135" s="183" t="s">
        <v>544</v>
      </c>
      <c r="C135" s="183" t="s">
        <v>543</v>
      </c>
      <c r="D135" s="183">
        <v>3</v>
      </c>
      <c r="E135" s="183" t="s">
        <v>285</v>
      </c>
      <c r="F135" s="183">
        <v>1</v>
      </c>
      <c r="G135" s="183">
        <v>1</v>
      </c>
      <c r="H135" s="183">
        <v>1</v>
      </c>
      <c r="I135" s="183">
        <v>1</v>
      </c>
      <c r="J135" s="183">
        <v>1</v>
      </c>
      <c r="K135" s="183">
        <v>1</v>
      </c>
      <c r="L135" s="183">
        <v>1</v>
      </c>
      <c r="M135" s="183">
        <v>1</v>
      </c>
      <c r="N135" s="183"/>
      <c r="O135" s="183"/>
      <c r="P135" s="194">
        <f>SUM(Tabela2[[#This Row],[G]]+Tabela2[[#This Row],[D]]+Tabela2[[#This Row],[N]]+Tabela2[[#This Row],[HM]])</f>
        <v>4</v>
      </c>
      <c r="Q135" s="194">
        <f>SUM(Tabela2[[#This Row],[AO]]+Tabela2[[#This Row],[AD]]+Tabela2[[#This Row],[GWO]]+Tabela2[[#This Row],[GWD]])</f>
        <v>4</v>
      </c>
      <c r="R135" s="194">
        <f>Tabela2[[#This Row],[GWO]]+Tabela2[[#This Row],[GWD]]</f>
        <v>2</v>
      </c>
      <c r="S135" s="194">
        <f>SUM(Tabela2[[#This Row],[G]:[GWD]])</f>
        <v>8</v>
      </c>
    </row>
    <row r="136" spans="1:19" ht="30">
      <c r="A136" s="197">
        <v>192</v>
      </c>
      <c r="B136" s="183" t="s">
        <v>546</v>
      </c>
      <c r="C136" s="183" t="s">
        <v>545</v>
      </c>
      <c r="D136" s="183">
        <v>3</v>
      </c>
      <c r="E136" s="183" t="s">
        <v>285</v>
      </c>
      <c r="F136" s="183">
        <v>1</v>
      </c>
      <c r="G136" s="183">
        <v>1</v>
      </c>
      <c r="H136" s="183">
        <v>1</v>
      </c>
      <c r="I136" s="183">
        <v>1</v>
      </c>
      <c r="J136" s="183">
        <v>1</v>
      </c>
      <c r="K136" s="183">
        <v>1</v>
      </c>
      <c r="L136" s="183">
        <v>1</v>
      </c>
      <c r="M136" s="183">
        <v>1</v>
      </c>
      <c r="N136" s="183"/>
      <c r="O136" s="183"/>
      <c r="P136" s="194">
        <f>SUM(Tabela2[[#This Row],[G]]+Tabela2[[#This Row],[D]]+Tabela2[[#This Row],[N]]+Tabela2[[#This Row],[HM]])</f>
        <v>4</v>
      </c>
      <c r="Q136" s="194">
        <f>SUM(Tabela2[[#This Row],[AO]]+Tabela2[[#This Row],[AD]]+Tabela2[[#This Row],[GWO]]+Tabela2[[#This Row],[GWD]])</f>
        <v>4</v>
      </c>
      <c r="R136" s="194">
        <f>Tabela2[[#This Row],[GWO]]+Tabela2[[#This Row],[GWD]]</f>
        <v>2</v>
      </c>
      <c r="S136" s="194">
        <f>SUM(Tabela2[[#This Row],[G]:[GWD]])</f>
        <v>8</v>
      </c>
    </row>
    <row r="137" spans="1:19" ht="30">
      <c r="A137" s="197">
        <v>191</v>
      </c>
      <c r="B137" s="183" t="s">
        <v>548</v>
      </c>
      <c r="C137" s="183" t="s">
        <v>547</v>
      </c>
      <c r="D137" s="183">
        <v>3</v>
      </c>
      <c r="E137" s="183" t="s">
        <v>285</v>
      </c>
      <c r="F137" s="183">
        <v>1</v>
      </c>
      <c r="G137" s="183">
        <v>1</v>
      </c>
      <c r="H137" s="183">
        <v>1</v>
      </c>
      <c r="I137" s="183">
        <v>1</v>
      </c>
      <c r="J137" s="183">
        <v>1</v>
      </c>
      <c r="K137" s="183">
        <v>1</v>
      </c>
      <c r="L137" s="183">
        <v>1</v>
      </c>
      <c r="M137" s="183">
        <v>1</v>
      </c>
      <c r="N137" s="183"/>
      <c r="O137" s="183"/>
      <c r="P137" s="194">
        <f>SUM(Tabela2[[#This Row],[G]]+Tabela2[[#This Row],[D]]+Tabela2[[#This Row],[N]]+Tabela2[[#This Row],[HM]])</f>
        <v>4</v>
      </c>
      <c r="Q137" s="194">
        <f>SUM(Tabela2[[#This Row],[AO]]+Tabela2[[#This Row],[AD]]+Tabela2[[#This Row],[GWO]]+Tabela2[[#This Row],[GWD]])</f>
        <v>4</v>
      </c>
      <c r="R137" s="194">
        <f>Tabela2[[#This Row],[GWO]]+Tabela2[[#This Row],[GWD]]</f>
        <v>2</v>
      </c>
      <c r="S137" s="194">
        <f>SUM(Tabela2[[#This Row],[G]:[GWD]])</f>
        <v>8</v>
      </c>
    </row>
    <row r="138" spans="1:19">
      <c r="A138" s="197">
        <v>190</v>
      </c>
      <c r="B138" s="183" t="s">
        <v>550</v>
      </c>
      <c r="C138" s="183" t="s">
        <v>549</v>
      </c>
      <c r="D138" s="183">
        <v>3</v>
      </c>
      <c r="E138" s="183" t="s">
        <v>285</v>
      </c>
      <c r="F138" s="183">
        <v>1</v>
      </c>
      <c r="G138" s="183">
        <v>1</v>
      </c>
      <c r="H138" s="183">
        <v>2</v>
      </c>
      <c r="I138" s="183">
        <v>1</v>
      </c>
      <c r="J138" s="183">
        <v>1</v>
      </c>
      <c r="K138" s="183">
        <v>1</v>
      </c>
      <c r="L138" s="183">
        <v>2</v>
      </c>
      <c r="M138" s="183">
        <v>1</v>
      </c>
      <c r="N138" s="183"/>
      <c r="O138" s="183"/>
      <c r="P138" s="194">
        <f>SUM(Tabela2[[#This Row],[G]]+Tabela2[[#This Row],[D]]+Tabela2[[#This Row],[N]]+Tabela2[[#This Row],[HM]])</f>
        <v>5</v>
      </c>
      <c r="Q138" s="194">
        <f>SUM(Tabela2[[#This Row],[AO]]+Tabela2[[#This Row],[AD]]+Tabela2[[#This Row],[GWO]]+Tabela2[[#This Row],[GWD]])</f>
        <v>5</v>
      </c>
      <c r="R138" s="194">
        <f>Tabela2[[#This Row],[GWO]]+Tabela2[[#This Row],[GWD]]</f>
        <v>3</v>
      </c>
      <c r="S138" s="194">
        <f>SUM(Tabela2[[#This Row],[G]:[GWD]])</f>
        <v>10</v>
      </c>
    </row>
    <row r="139" spans="1:19" ht="30">
      <c r="A139" s="197">
        <v>189</v>
      </c>
      <c r="B139" s="183" t="s">
        <v>552</v>
      </c>
      <c r="C139" s="183" t="s">
        <v>551</v>
      </c>
      <c r="D139" s="183">
        <v>3</v>
      </c>
      <c r="E139" s="183" t="s">
        <v>285</v>
      </c>
      <c r="F139" s="183">
        <v>1</v>
      </c>
      <c r="G139" s="183">
        <v>1</v>
      </c>
      <c r="H139" s="183">
        <v>1</v>
      </c>
      <c r="I139" s="183">
        <v>2</v>
      </c>
      <c r="J139" s="183">
        <v>1</v>
      </c>
      <c r="K139" s="183">
        <v>1</v>
      </c>
      <c r="L139" s="183">
        <v>2</v>
      </c>
      <c r="M139" s="183">
        <v>1</v>
      </c>
      <c r="N139" s="183"/>
      <c r="O139" s="183"/>
      <c r="P139" s="194">
        <f>SUM(Tabela2[[#This Row],[G]]+Tabela2[[#This Row],[D]]+Tabela2[[#This Row],[N]]+Tabela2[[#This Row],[HM]])</f>
        <v>4</v>
      </c>
      <c r="Q139" s="194">
        <f>SUM(Tabela2[[#This Row],[AO]]+Tabela2[[#This Row],[AD]]+Tabela2[[#This Row],[GWO]]+Tabela2[[#This Row],[GWD]])</f>
        <v>6</v>
      </c>
      <c r="R139" s="194">
        <f>Tabela2[[#This Row],[GWO]]+Tabela2[[#This Row],[GWD]]</f>
        <v>3</v>
      </c>
      <c r="S139" s="194">
        <f>SUM(Tabela2[[#This Row],[G]:[GWD]])</f>
        <v>10</v>
      </c>
    </row>
    <row r="140" spans="1:19">
      <c r="A140" s="197">
        <v>188</v>
      </c>
      <c r="B140" s="183" t="s">
        <v>145</v>
      </c>
      <c r="C140" s="183" t="s">
        <v>371</v>
      </c>
      <c r="D140" s="183">
        <v>3</v>
      </c>
      <c r="E140" s="183" t="s">
        <v>285</v>
      </c>
      <c r="F140" s="183">
        <v>5</v>
      </c>
      <c r="G140" s="183">
        <v>5</v>
      </c>
      <c r="H140" s="183">
        <v>4</v>
      </c>
      <c r="I140" s="183">
        <v>3</v>
      </c>
      <c r="J140" s="183">
        <v>5</v>
      </c>
      <c r="K140" s="183">
        <v>4</v>
      </c>
      <c r="L140" s="183">
        <v>5</v>
      </c>
      <c r="M140" s="183">
        <v>4</v>
      </c>
      <c r="N140" s="183"/>
      <c r="O140" s="183" t="s">
        <v>205</v>
      </c>
      <c r="P140" s="194">
        <f>SUM(Tabela2[[#This Row],[G]]+Tabela2[[#This Row],[D]]+Tabela2[[#This Row],[N]]+Tabela2[[#This Row],[HM]])</f>
        <v>18</v>
      </c>
      <c r="Q140" s="194">
        <f>SUM(Tabela2[[#This Row],[AO]]+Tabela2[[#This Row],[AD]]+Tabela2[[#This Row],[GWO]]+Tabela2[[#This Row],[GWD]])</f>
        <v>17</v>
      </c>
      <c r="R140" s="194">
        <f>Tabela2[[#This Row],[GWO]]+Tabela2[[#This Row],[GWD]]</f>
        <v>9</v>
      </c>
      <c r="S140" s="194">
        <f>SUM(Tabela2[[#This Row],[G]:[GWD]])</f>
        <v>35</v>
      </c>
    </row>
    <row r="141" spans="1:19">
      <c r="A141" s="197">
        <v>187</v>
      </c>
      <c r="B141" s="183" t="s">
        <v>554</v>
      </c>
      <c r="C141" s="183" t="s">
        <v>553</v>
      </c>
      <c r="D141" s="183">
        <v>3</v>
      </c>
      <c r="E141" s="183" t="s">
        <v>285</v>
      </c>
      <c r="F141" s="183">
        <v>1</v>
      </c>
      <c r="G141" s="183">
        <v>1</v>
      </c>
      <c r="H141" s="183">
        <v>1</v>
      </c>
      <c r="I141" s="183">
        <v>1</v>
      </c>
      <c r="J141" s="183">
        <v>1</v>
      </c>
      <c r="K141" s="183">
        <v>1</v>
      </c>
      <c r="L141" s="183">
        <v>1</v>
      </c>
      <c r="M141" s="183">
        <v>1</v>
      </c>
      <c r="N141" s="183"/>
      <c r="O141" s="183"/>
      <c r="P141" s="194">
        <f>SUM(Tabela2[[#This Row],[G]]+Tabela2[[#This Row],[D]]+Tabela2[[#This Row],[N]]+Tabela2[[#This Row],[HM]])</f>
        <v>4</v>
      </c>
      <c r="Q141" s="194">
        <f>SUM(Tabela2[[#This Row],[AO]]+Tabela2[[#This Row],[AD]]+Tabela2[[#This Row],[GWO]]+Tabela2[[#This Row],[GWD]])</f>
        <v>4</v>
      </c>
      <c r="R141" s="194">
        <f>Tabela2[[#This Row],[GWO]]+Tabela2[[#This Row],[GWD]]</f>
        <v>2</v>
      </c>
      <c r="S141" s="194">
        <f>SUM(Tabela2[[#This Row],[G]:[GWD]])</f>
        <v>8</v>
      </c>
    </row>
    <row r="142" spans="1:19" ht="30">
      <c r="A142" s="197">
        <v>186</v>
      </c>
      <c r="B142" s="183" t="s">
        <v>556</v>
      </c>
      <c r="C142" s="183" t="s">
        <v>555</v>
      </c>
      <c r="D142" s="183">
        <v>3</v>
      </c>
      <c r="E142" s="183" t="s">
        <v>285</v>
      </c>
      <c r="F142" s="183">
        <v>1</v>
      </c>
      <c r="G142" s="183">
        <v>1</v>
      </c>
      <c r="H142" s="183">
        <v>1</v>
      </c>
      <c r="I142" s="183">
        <v>1</v>
      </c>
      <c r="J142" s="183">
        <v>1</v>
      </c>
      <c r="K142" s="183">
        <v>1</v>
      </c>
      <c r="L142" s="183">
        <v>1</v>
      </c>
      <c r="M142" s="183">
        <v>1</v>
      </c>
      <c r="N142" s="183"/>
      <c r="O142" s="183"/>
      <c r="P142" s="194">
        <f>SUM(Tabela2[[#This Row],[G]]+Tabela2[[#This Row],[D]]+Tabela2[[#This Row],[N]]+Tabela2[[#This Row],[HM]])</f>
        <v>4</v>
      </c>
      <c r="Q142" s="194">
        <f>SUM(Tabela2[[#This Row],[AO]]+Tabela2[[#This Row],[AD]]+Tabela2[[#This Row],[GWO]]+Tabela2[[#This Row],[GWD]])</f>
        <v>4</v>
      </c>
      <c r="R142" s="194">
        <f>Tabela2[[#This Row],[GWO]]+Tabela2[[#This Row],[GWD]]</f>
        <v>2</v>
      </c>
      <c r="S142" s="194">
        <f>SUM(Tabela2[[#This Row],[G]:[GWD]])</f>
        <v>8</v>
      </c>
    </row>
    <row r="143" spans="1:19" ht="30">
      <c r="A143" s="197">
        <v>185</v>
      </c>
      <c r="B143" s="183" t="s">
        <v>558</v>
      </c>
      <c r="C143" s="183" t="s">
        <v>557</v>
      </c>
      <c r="D143" s="183">
        <v>3</v>
      </c>
      <c r="E143" s="183" t="s">
        <v>285</v>
      </c>
      <c r="F143" s="183">
        <v>1</v>
      </c>
      <c r="G143" s="183">
        <v>1</v>
      </c>
      <c r="H143" s="183">
        <v>1</v>
      </c>
      <c r="I143" s="183">
        <v>2</v>
      </c>
      <c r="J143" s="183">
        <v>1</v>
      </c>
      <c r="K143" s="183">
        <v>1</v>
      </c>
      <c r="L143" s="183">
        <v>2</v>
      </c>
      <c r="M143" s="183">
        <v>1</v>
      </c>
      <c r="N143" s="183"/>
      <c r="O143" s="183"/>
      <c r="P143" s="194">
        <f>SUM(Tabela2[[#This Row],[G]]+Tabela2[[#This Row],[D]]+Tabela2[[#This Row],[N]]+Tabela2[[#This Row],[HM]])</f>
        <v>4</v>
      </c>
      <c r="Q143" s="194">
        <f>SUM(Tabela2[[#This Row],[AO]]+Tabela2[[#This Row],[AD]]+Tabela2[[#This Row],[GWO]]+Tabela2[[#This Row],[GWD]])</f>
        <v>6</v>
      </c>
      <c r="R143" s="194">
        <f>Tabela2[[#This Row],[GWO]]+Tabela2[[#This Row],[GWD]]</f>
        <v>3</v>
      </c>
      <c r="S143" s="194">
        <f>SUM(Tabela2[[#This Row],[G]:[GWD]])</f>
        <v>10</v>
      </c>
    </row>
    <row r="144" spans="1:19">
      <c r="A144" s="197">
        <v>184</v>
      </c>
      <c r="B144" s="183" t="s">
        <v>560</v>
      </c>
      <c r="C144" s="183" t="s">
        <v>559</v>
      </c>
      <c r="D144" s="183">
        <v>3</v>
      </c>
      <c r="E144" s="183" t="s">
        <v>285</v>
      </c>
      <c r="F144" s="183">
        <v>2</v>
      </c>
      <c r="G144" s="183">
        <v>2</v>
      </c>
      <c r="H144" s="183">
        <v>2</v>
      </c>
      <c r="I144" s="183">
        <v>2</v>
      </c>
      <c r="J144" s="183">
        <v>2</v>
      </c>
      <c r="K144" s="183">
        <v>1</v>
      </c>
      <c r="L144" s="183">
        <v>2</v>
      </c>
      <c r="M144" s="183">
        <v>1</v>
      </c>
      <c r="N144" s="183"/>
      <c r="O144" s="183"/>
      <c r="P144" s="194">
        <f>SUM(Tabela2[[#This Row],[G]]+Tabela2[[#This Row],[D]]+Tabela2[[#This Row],[N]]+Tabela2[[#This Row],[HM]])</f>
        <v>7</v>
      </c>
      <c r="Q144" s="194">
        <f>SUM(Tabela2[[#This Row],[AO]]+Tabela2[[#This Row],[AD]]+Tabela2[[#This Row],[GWO]]+Tabela2[[#This Row],[GWD]])</f>
        <v>7</v>
      </c>
      <c r="R144" s="194">
        <f>Tabela2[[#This Row],[GWO]]+Tabela2[[#This Row],[GWD]]</f>
        <v>3</v>
      </c>
      <c r="S144" s="194">
        <f>SUM(Tabela2[[#This Row],[G]:[GWD]])</f>
        <v>14</v>
      </c>
    </row>
    <row r="145" spans="1:19">
      <c r="A145" s="197">
        <v>183</v>
      </c>
      <c r="B145" s="183" t="s">
        <v>562</v>
      </c>
      <c r="C145" s="183" t="s">
        <v>561</v>
      </c>
      <c r="D145" s="183">
        <v>3</v>
      </c>
      <c r="E145" s="183" t="s">
        <v>285</v>
      </c>
      <c r="F145" s="183">
        <v>1</v>
      </c>
      <c r="G145" s="183">
        <v>1</v>
      </c>
      <c r="H145" s="183">
        <v>3</v>
      </c>
      <c r="I145" s="183">
        <v>1</v>
      </c>
      <c r="J145" s="183">
        <v>1</v>
      </c>
      <c r="K145" s="183">
        <v>1</v>
      </c>
      <c r="L145" s="183">
        <v>1</v>
      </c>
      <c r="M145" s="183">
        <v>1</v>
      </c>
      <c r="N145" s="183"/>
      <c r="O145" s="183"/>
      <c r="P145" s="194">
        <f>SUM(Tabela2[[#This Row],[G]]+Tabela2[[#This Row],[D]]+Tabela2[[#This Row],[N]]+Tabela2[[#This Row],[HM]])</f>
        <v>6</v>
      </c>
      <c r="Q145" s="194">
        <f>SUM(Tabela2[[#This Row],[AO]]+Tabela2[[#This Row],[AD]]+Tabela2[[#This Row],[GWO]]+Tabela2[[#This Row],[GWD]])</f>
        <v>4</v>
      </c>
      <c r="R145" s="194">
        <f>Tabela2[[#This Row],[GWO]]+Tabela2[[#This Row],[GWD]]</f>
        <v>2</v>
      </c>
      <c r="S145" s="194">
        <f>SUM(Tabela2[[#This Row],[G]:[GWD]])</f>
        <v>10</v>
      </c>
    </row>
    <row r="146" spans="1:19" ht="30">
      <c r="A146" s="197">
        <v>182</v>
      </c>
      <c r="B146" s="183" t="s">
        <v>564</v>
      </c>
      <c r="C146" s="183" t="s">
        <v>563</v>
      </c>
      <c r="D146" s="183">
        <v>3</v>
      </c>
      <c r="E146" s="183" t="s">
        <v>285</v>
      </c>
      <c r="F146" s="183">
        <v>1</v>
      </c>
      <c r="G146" s="183">
        <v>1</v>
      </c>
      <c r="H146" s="183">
        <v>1</v>
      </c>
      <c r="I146" s="183">
        <v>3</v>
      </c>
      <c r="J146" s="183">
        <v>1</v>
      </c>
      <c r="K146" s="183">
        <v>3</v>
      </c>
      <c r="L146" s="183">
        <v>2</v>
      </c>
      <c r="M146" s="183">
        <v>1</v>
      </c>
      <c r="N146" s="183"/>
      <c r="O146" s="183"/>
      <c r="P146" s="194">
        <f>SUM(Tabela2[[#This Row],[G]]+Tabela2[[#This Row],[D]]+Tabela2[[#This Row],[N]]+Tabela2[[#This Row],[HM]])</f>
        <v>6</v>
      </c>
      <c r="Q146" s="194">
        <f>SUM(Tabela2[[#This Row],[AO]]+Tabela2[[#This Row],[AD]]+Tabela2[[#This Row],[GWO]]+Tabela2[[#This Row],[GWD]])</f>
        <v>7</v>
      </c>
      <c r="R146" s="194">
        <f>Tabela2[[#This Row],[GWO]]+Tabela2[[#This Row],[GWD]]</f>
        <v>3</v>
      </c>
      <c r="S146" s="194">
        <f>SUM(Tabela2[[#This Row],[G]:[GWD]])</f>
        <v>13</v>
      </c>
    </row>
    <row r="147" spans="1:19">
      <c r="A147" s="197">
        <v>181</v>
      </c>
      <c r="B147" s="183" t="s">
        <v>566</v>
      </c>
      <c r="C147" s="183" t="s">
        <v>565</v>
      </c>
      <c r="D147" s="183">
        <v>3</v>
      </c>
      <c r="E147" s="183" t="s">
        <v>285</v>
      </c>
      <c r="F147" s="183">
        <v>1</v>
      </c>
      <c r="G147" s="183">
        <v>1</v>
      </c>
      <c r="H147" s="183">
        <v>1</v>
      </c>
      <c r="I147" s="183">
        <v>1</v>
      </c>
      <c r="J147" s="183">
        <v>1</v>
      </c>
      <c r="K147" s="183">
        <v>1</v>
      </c>
      <c r="L147" s="183">
        <v>1</v>
      </c>
      <c r="M147" s="183">
        <v>1</v>
      </c>
      <c r="N147" s="183"/>
      <c r="O147" s="183"/>
      <c r="P147" s="194">
        <f>SUM(Tabela2[[#This Row],[G]]+Tabela2[[#This Row],[D]]+Tabela2[[#This Row],[N]]+Tabela2[[#This Row],[HM]])</f>
        <v>4</v>
      </c>
      <c r="Q147" s="194">
        <f>SUM(Tabela2[[#This Row],[AO]]+Tabela2[[#This Row],[AD]]+Tabela2[[#This Row],[GWO]]+Tabela2[[#This Row],[GWD]])</f>
        <v>4</v>
      </c>
      <c r="R147" s="194">
        <f>Tabela2[[#This Row],[GWO]]+Tabela2[[#This Row],[GWD]]</f>
        <v>2</v>
      </c>
      <c r="S147" s="194">
        <f>SUM(Tabela2[[#This Row],[G]:[GWD]])</f>
        <v>8</v>
      </c>
    </row>
    <row r="148" spans="1:19">
      <c r="A148" s="197">
        <v>180</v>
      </c>
      <c r="B148" s="183" t="s">
        <v>567</v>
      </c>
      <c r="C148" s="183" t="s">
        <v>296</v>
      </c>
      <c r="D148" s="183">
        <v>3</v>
      </c>
      <c r="E148" s="183" t="s">
        <v>285</v>
      </c>
      <c r="F148" s="183">
        <v>1</v>
      </c>
      <c r="G148" s="183">
        <v>1</v>
      </c>
      <c r="H148" s="183">
        <v>1</v>
      </c>
      <c r="I148" s="183">
        <v>2</v>
      </c>
      <c r="J148" s="183">
        <v>1</v>
      </c>
      <c r="K148" s="183">
        <v>4</v>
      </c>
      <c r="L148" s="183">
        <v>3</v>
      </c>
      <c r="M148" s="183">
        <v>2</v>
      </c>
      <c r="N148" s="183"/>
      <c r="O148" s="183"/>
      <c r="P148" s="194">
        <f>SUM(Tabela2[[#This Row],[G]]+Tabela2[[#This Row],[D]]+Tabela2[[#This Row],[N]]+Tabela2[[#This Row],[HM]])</f>
        <v>7</v>
      </c>
      <c r="Q148" s="194">
        <f>SUM(Tabela2[[#This Row],[AO]]+Tabela2[[#This Row],[AD]]+Tabela2[[#This Row],[GWO]]+Tabela2[[#This Row],[GWD]])</f>
        <v>8</v>
      </c>
      <c r="R148" s="194">
        <f>Tabela2[[#This Row],[GWO]]+Tabela2[[#This Row],[GWD]]</f>
        <v>5</v>
      </c>
      <c r="S148" s="194">
        <f>SUM(Tabela2[[#This Row],[G]:[GWD]])</f>
        <v>15</v>
      </c>
    </row>
    <row r="149" spans="1:19">
      <c r="A149" s="197">
        <v>179</v>
      </c>
      <c r="B149" s="183" t="s">
        <v>569</v>
      </c>
      <c r="C149" s="183" t="s">
        <v>568</v>
      </c>
      <c r="D149" s="183">
        <v>3</v>
      </c>
      <c r="E149" s="183" t="s">
        <v>285</v>
      </c>
      <c r="F149" s="183">
        <v>2</v>
      </c>
      <c r="G149" s="183">
        <v>2</v>
      </c>
      <c r="H149" s="183">
        <v>1</v>
      </c>
      <c r="I149" s="183">
        <v>2</v>
      </c>
      <c r="J149" s="183">
        <v>2</v>
      </c>
      <c r="K149" s="183">
        <v>1</v>
      </c>
      <c r="L149" s="183">
        <v>2</v>
      </c>
      <c r="M149" s="183">
        <v>1</v>
      </c>
      <c r="N149" s="183"/>
      <c r="O149" s="183"/>
      <c r="P149" s="194">
        <f>SUM(Tabela2[[#This Row],[G]]+Tabela2[[#This Row],[D]]+Tabela2[[#This Row],[N]]+Tabela2[[#This Row],[HM]])</f>
        <v>6</v>
      </c>
      <c r="Q149" s="194">
        <f>SUM(Tabela2[[#This Row],[AO]]+Tabela2[[#This Row],[AD]]+Tabela2[[#This Row],[GWO]]+Tabela2[[#This Row],[GWD]])</f>
        <v>7</v>
      </c>
      <c r="R149" s="194">
        <f>Tabela2[[#This Row],[GWO]]+Tabela2[[#This Row],[GWD]]</f>
        <v>3</v>
      </c>
      <c r="S149" s="194">
        <f>SUM(Tabela2[[#This Row],[G]:[GWD]])</f>
        <v>13</v>
      </c>
    </row>
    <row r="150" spans="1:19" ht="30">
      <c r="A150" s="197">
        <v>178</v>
      </c>
      <c r="B150" s="183" t="s">
        <v>571</v>
      </c>
      <c r="C150" s="183" t="s">
        <v>570</v>
      </c>
      <c r="D150" s="183">
        <v>3</v>
      </c>
      <c r="E150" s="183" t="s">
        <v>285</v>
      </c>
      <c r="F150" s="183">
        <v>1</v>
      </c>
      <c r="G150" s="183">
        <v>1</v>
      </c>
      <c r="H150" s="183">
        <v>1</v>
      </c>
      <c r="I150" s="183">
        <v>1</v>
      </c>
      <c r="J150" s="183">
        <v>1</v>
      </c>
      <c r="K150" s="183">
        <v>1</v>
      </c>
      <c r="L150" s="183">
        <v>1</v>
      </c>
      <c r="M150" s="183">
        <v>1</v>
      </c>
      <c r="N150" s="183"/>
      <c r="O150" s="183"/>
      <c r="P150" s="194">
        <f>SUM(Tabela2[[#This Row],[G]]+Tabela2[[#This Row],[D]]+Tabela2[[#This Row],[N]]+Tabela2[[#This Row],[HM]])</f>
        <v>4</v>
      </c>
      <c r="Q150" s="194">
        <f>SUM(Tabela2[[#This Row],[AO]]+Tabela2[[#This Row],[AD]]+Tabela2[[#This Row],[GWO]]+Tabela2[[#This Row],[GWD]])</f>
        <v>4</v>
      </c>
      <c r="R150" s="194">
        <f>Tabela2[[#This Row],[GWO]]+Tabela2[[#This Row],[GWD]]</f>
        <v>2</v>
      </c>
      <c r="S150" s="194">
        <f>SUM(Tabela2[[#This Row],[G]:[GWD]])</f>
        <v>8</v>
      </c>
    </row>
    <row r="151" spans="1:19">
      <c r="A151" s="197">
        <v>177</v>
      </c>
      <c r="B151" s="183" t="s">
        <v>573</v>
      </c>
      <c r="C151" s="183" t="s">
        <v>572</v>
      </c>
      <c r="D151" s="183">
        <v>3</v>
      </c>
      <c r="E151" s="183" t="s">
        <v>285</v>
      </c>
      <c r="F151" s="183">
        <v>1</v>
      </c>
      <c r="G151" s="183">
        <v>1</v>
      </c>
      <c r="H151" s="183">
        <v>1</v>
      </c>
      <c r="I151" s="183">
        <v>1</v>
      </c>
      <c r="J151" s="183">
        <v>1</v>
      </c>
      <c r="K151" s="183">
        <v>3</v>
      </c>
      <c r="L151" s="183">
        <v>1</v>
      </c>
      <c r="M151" s="183">
        <v>1</v>
      </c>
      <c r="N151" s="183"/>
      <c r="O151" s="183"/>
      <c r="P151" s="194">
        <f>SUM(Tabela2[[#This Row],[G]]+Tabela2[[#This Row],[D]]+Tabela2[[#This Row],[N]]+Tabela2[[#This Row],[HM]])</f>
        <v>6</v>
      </c>
      <c r="Q151" s="194">
        <f>SUM(Tabela2[[#This Row],[AO]]+Tabela2[[#This Row],[AD]]+Tabela2[[#This Row],[GWO]]+Tabela2[[#This Row],[GWD]])</f>
        <v>4</v>
      </c>
      <c r="R151" s="194">
        <f>Tabela2[[#This Row],[GWO]]+Tabela2[[#This Row],[GWD]]</f>
        <v>2</v>
      </c>
      <c r="S151" s="194">
        <f>SUM(Tabela2[[#This Row],[G]:[GWD]])</f>
        <v>10</v>
      </c>
    </row>
    <row r="152" spans="1:19">
      <c r="A152" s="197">
        <v>176</v>
      </c>
      <c r="B152" s="183" t="s">
        <v>575</v>
      </c>
      <c r="C152" s="183" t="s">
        <v>574</v>
      </c>
      <c r="D152" s="183">
        <v>3</v>
      </c>
      <c r="E152" s="183" t="s">
        <v>285</v>
      </c>
      <c r="F152" s="183">
        <v>1</v>
      </c>
      <c r="G152" s="183">
        <v>1</v>
      </c>
      <c r="H152" s="183">
        <v>1</v>
      </c>
      <c r="I152" s="183">
        <v>1</v>
      </c>
      <c r="J152" s="183">
        <v>1</v>
      </c>
      <c r="K152" s="183">
        <v>1</v>
      </c>
      <c r="L152" s="183">
        <v>2</v>
      </c>
      <c r="M152" s="183">
        <v>1</v>
      </c>
      <c r="N152" s="183"/>
      <c r="O152" s="183"/>
      <c r="P152" s="194">
        <f>SUM(Tabela2[[#This Row],[G]]+Tabela2[[#This Row],[D]]+Tabela2[[#This Row],[N]]+Tabela2[[#This Row],[HM]])</f>
        <v>4</v>
      </c>
      <c r="Q152" s="194">
        <f>SUM(Tabela2[[#This Row],[AO]]+Tabela2[[#This Row],[AD]]+Tabela2[[#This Row],[GWO]]+Tabela2[[#This Row],[GWD]])</f>
        <v>5</v>
      </c>
      <c r="R152" s="194">
        <f>Tabela2[[#This Row],[GWO]]+Tabela2[[#This Row],[GWD]]</f>
        <v>3</v>
      </c>
      <c r="S152" s="194">
        <f>SUM(Tabela2[[#This Row],[G]:[GWD]])</f>
        <v>9</v>
      </c>
    </row>
    <row r="153" spans="1:19" ht="30">
      <c r="A153" s="197">
        <v>175</v>
      </c>
      <c r="B153" s="183" t="s">
        <v>577</v>
      </c>
      <c r="C153" s="183" t="s">
        <v>576</v>
      </c>
      <c r="D153" s="183">
        <v>3</v>
      </c>
      <c r="E153" s="183" t="s">
        <v>285</v>
      </c>
      <c r="F153" s="183">
        <v>1</v>
      </c>
      <c r="G153" s="183">
        <v>1</v>
      </c>
      <c r="H153" s="183">
        <v>1</v>
      </c>
      <c r="I153" s="183">
        <v>1</v>
      </c>
      <c r="J153" s="183">
        <v>1</v>
      </c>
      <c r="K153" s="183">
        <v>1</v>
      </c>
      <c r="L153" s="183">
        <v>1</v>
      </c>
      <c r="M153" s="183">
        <v>1</v>
      </c>
      <c r="N153" s="183"/>
      <c r="O153" s="183"/>
      <c r="P153" s="194">
        <f>SUM(Tabela2[[#This Row],[G]]+Tabela2[[#This Row],[D]]+Tabela2[[#This Row],[N]]+Tabela2[[#This Row],[HM]])</f>
        <v>4</v>
      </c>
      <c r="Q153" s="194">
        <f>SUM(Tabela2[[#This Row],[AO]]+Tabela2[[#This Row],[AD]]+Tabela2[[#This Row],[GWO]]+Tabela2[[#This Row],[GWD]])</f>
        <v>4</v>
      </c>
      <c r="R153" s="194">
        <f>Tabela2[[#This Row],[GWO]]+Tabela2[[#This Row],[GWD]]</f>
        <v>2</v>
      </c>
      <c r="S153" s="194">
        <f>SUM(Tabela2[[#This Row],[G]:[GWD]])</f>
        <v>8</v>
      </c>
    </row>
    <row r="154" spans="1:19">
      <c r="A154" s="197">
        <v>174</v>
      </c>
      <c r="B154" s="190" t="s">
        <v>578</v>
      </c>
      <c r="C154" s="190" t="s">
        <v>578</v>
      </c>
      <c r="D154" s="190">
        <v>3</v>
      </c>
      <c r="E154" s="190" t="s">
        <v>285</v>
      </c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6">
        <f>SUM(Tabela2[[#This Row],[G]]+Tabela2[[#This Row],[D]]+Tabela2[[#This Row],[N]]+Tabela2[[#This Row],[HM]])</f>
        <v>0</v>
      </c>
      <c r="Q154" s="196">
        <f>SUM(Tabela2[[#This Row],[AO]]+Tabela2[[#This Row],[AD]]+Tabela2[[#This Row],[GWO]]+Tabela2[[#This Row],[GWD]])</f>
        <v>0</v>
      </c>
      <c r="R154" s="196">
        <f>Tabela2[[#This Row],[GWO]]+Tabela2[[#This Row],[GWD]]</f>
        <v>0</v>
      </c>
      <c r="S154" s="196">
        <f>SUM(Tabela2[[#This Row],[G]:[GWD]])</f>
        <v>0</v>
      </c>
    </row>
    <row r="155" spans="1:19" ht="30">
      <c r="A155" s="197">
        <v>173</v>
      </c>
      <c r="B155" s="183" t="s">
        <v>580</v>
      </c>
      <c r="C155" s="183" t="s">
        <v>579</v>
      </c>
      <c r="D155" s="183">
        <v>3</v>
      </c>
      <c r="E155" s="183" t="s">
        <v>285</v>
      </c>
      <c r="F155" s="183">
        <v>1</v>
      </c>
      <c r="G155" s="183">
        <v>1</v>
      </c>
      <c r="H155" s="183">
        <v>1</v>
      </c>
      <c r="I155" s="183">
        <v>1</v>
      </c>
      <c r="J155" s="183">
        <v>1</v>
      </c>
      <c r="K155" s="183">
        <v>1</v>
      </c>
      <c r="L155" s="183">
        <v>1</v>
      </c>
      <c r="M155" s="183">
        <v>1</v>
      </c>
      <c r="N155" s="183"/>
      <c r="O155" s="183"/>
      <c r="P155" s="194">
        <f>SUM(Tabela2[[#This Row],[G]]+Tabela2[[#This Row],[D]]+Tabela2[[#This Row],[N]]+Tabela2[[#This Row],[HM]])</f>
        <v>4</v>
      </c>
      <c r="Q155" s="194">
        <f>SUM(Tabela2[[#This Row],[AO]]+Tabela2[[#This Row],[AD]]+Tabela2[[#This Row],[GWO]]+Tabela2[[#This Row],[GWD]])</f>
        <v>4</v>
      </c>
      <c r="R155" s="194">
        <f>Tabela2[[#This Row],[GWO]]+Tabela2[[#This Row],[GWD]]</f>
        <v>2</v>
      </c>
      <c r="S155" s="194">
        <f>SUM(Tabela2[[#This Row],[G]:[GWD]])</f>
        <v>8</v>
      </c>
    </row>
    <row r="156" spans="1:19" ht="30">
      <c r="A156" s="197">
        <v>172</v>
      </c>
      <c r="B156" s="183" t="s">
        <v>582</v>
      </c>
      <c r="C156" s="183" t="s">
        <v>581</v>
      </c>
      <c r="D156" s="183">
        <v>3</v>
      </c>
      <c r="E156" s="183" t="s">
        <v>285</v>
      </c>
      <c r="F156" s="183">
        <v>1</v>
      </c>
      <c r="G156" s="183">
        <v>1</v>
      </c>
      <c r="H156" s="183">
        <v>1</v>
      </c>
      <c r="I156" s="183">
        <v>1</v>
      </c>
      <c r="J156" s="183">
        <v>1</v>
      </c>
      <c r="K156" s="183">
        <v>1</v>
      </c>
      <c r="L156" s="183">
        <v>1</v>
      </c>
      <c r="M156" s="183">
        <v>1</v>
      </c>
      <c r="N156" s="183"/>
      <c r="O156" s="183"/>
      <c r="P156" s="194">
        <f>SUM(Tabela2[[#This Row],[G]]+Tabela2[[#This Row],[D]]+Tabela2[[#This Row],[N]]+Tabela2[[#This Row],[HM]])</f>
        <v>4</v>
      </c>
      <c r="Q156" s="194">
        <f>SUM(Tabela2[[#This Row],[AO]]+Tabela2[[#This Row],[AD]]+Tabela2[[#This Row],[GWO]]+Tabela2[[#This Row],[GWD]])</f>
        <v>4</v>
      </c>
      <c r="R156" s="194">
        <f>Tabela2[[#This Row],[GWO]]+Tabela2[[#This Row],[GWD]]</f>
        <v>2</v>
      </c>
      <c r="S156" s="194">
        <f>SUM(Tabela2[[#This Row],[G]:[GWD]])</f>
        <v>8</v>
      </c>
    </row>
    <row r="157" spans="1:19" ht="30">
      <c r="A157" s="197">
        <v>171</v>
      </c>
      <c r="B157" s="183" t="s">
        <v>584</v>
      </c>
      <c r="C157" s="183" t="s">
        <v>583</v>
      </c>
      <c r="D157" s="183">
        <v>3</v>
      </c>
      <c r="E157" s="183" t="s">
        <v>285</v>
      </c>
      <c r="F157" s="183">
        <v>1</v>
      </c>
      <c r="G157" s="183">
        <v>2</v>
      </c>
      <c r="H157" s="183">
        <v>3</v>
      </c>
      <c r="I157" s="183">
        <v>1</v>
      </c>
      <c r="J157" s="183">
        <v>1</v>
      </c>
      <c r="K157" s="183">
        <v>2</v>
      </c>
      <c r="L157" s="183">
        <v>1</v>
      </c>
      <c r="M157" s="183">
        <v>1</v>
      </c>
      <c r="N157" s="183"/>
      <c r="O157" s="183"/>
      <c r="P157" s="194">
        <f>SUM(Tabela2[[#This Row],[G]]+Tabela2[[#This Row],[D]]+Tabela2[[#This Row],[N]]+Tabela2[[#This Row],[HM]])</f>
        <v>8</v>
      </c>
      <c r="Q157" s="194">
        <f>SUM(Tabela2[[#This Row],[AO]]+Tabela2[[#This Row],[AD]]+Tabela2[[#This Row],[GWO]]+Tabela2[[#This Row],[GWD]])</f>
        <v>4</v>
      </c>
      <c r="R157" s="194">
        <f>Tabela2[[#This Row],[GWO]]+Tabela2[[#This Row],[GWD]]</f>
        <v>2</v>
      </c>
      <c r="S157" s="194">
        <f>SUM(Tabela2[[#This Row],[G]:[GWD]])</f>
        <v>12</v>
      </c>
    </row>
    <row r="158" spans="1:19">
      <c r="A158" s="197">
        <v>170</v>
      </c>
      <c r="B158" s="183" t="s">
        <v>187</v>
      </c>
      <c r="C158" s="183" t="s">
        <v>303</v>
      </c>
      <c r="D158" s="183">
        <v>3</v>
      </c>
      <c r="E158" s="183" t="s">
        <v>285</v>
      </c>
      <c r="F158" s="183">
        <v>3</v>
      </c>
      <c r="G158" s="183">
        <v>3</v>
      </c>
      <c r="H158" s="183">
        <v>1</v>
      </c>
      <c r="I158" s="183">
        <v>2</v>
      </c>
      <c r="J158" s="183">
        <v>2</v>
      </c>
      <c r="K158" s="183">
        <v>3</v>
      </c>
      <c r="L158" s="183">
        <v>2</v>
      </c>
      <c r="M158" s="183">
        <v>2</v>
      </c>
      <c r="N158" s="183"/>
      <c r="O158" s="183" t="s">
        <v>205</v>
      </c>
      <c r="P158" s="194">
        <f>SUM(Tabela2[[#This Row],[G]]+Tabela2[[#This Row],[D]]+Tabela2[[#This Row],[N]]+Tabela2[[#This Row],[HM]])</f>
        <v>10</v>
      </c>
      <c r="Q158" s="194">
        <f>SUM(Tabela2[[#This Row],[AO]]+Tabela2[[#This Row],[AD]]+Tabela2[[#This Row],[GWO]]+Tabela2[[#This Row],[GWD]])</f>
        <v>8</v>
      </c>
      <c r="R158" s="194">
        <f>Tabela2[[#This Row],[GWO]]+Tabela2[[#This Row],[GWD]]</f>
        <v>4</v>
      </c>
      <c r="S158" s="194">
        <f>SUM(Tabela2[[#This Row],[G]:[GWD]])</f>
        <v>18</v>
      </c>
    </row>
    <row r="159" spans="1:19" ht="30">
      <c r="A159" s="197">
        <v>169</v>
      </c>
      <c r="B159" s="183" t="s">
        <v>586</v>
      </c>
      <c r="C159" s="183" t="s">
        <v>585</v>
      </c>
      <c r="D159" s="183">
        <v>3</v>
      </c>
      <c r="E159" s="183" t="s">
        <v>285</v>
      </c>
      <c r="F159" s="183">
        <v>1</v>
      </c>
      <c r="G159" s="183">
        <v>1</v>
      </c>
      <c r="H159" s="183">
        <v>1</v>
      </c>
      <c r="I159" s="183">
        <v>1</v>
      </c>
      <c r="J159" s="183">
        <v>1</v>
      </c>
      <c r="K159" s="183">
        <v>1</v>
      </c>
      <c r="L159" s="183">
        <v>4</v>
      </c>
      <c r="M159" s="183">
        <v>2</v>
      </c>
      <c r="N159" s="183"/>
      <c r="O159" s="183"/>
      <c r="P159" s="194">
        <f>SUM(Tabela2[[#This Row],[G]]+Tabela2[[#This Row],[D]]+Tabela2[[#This Row],[N]]+Tabela2[[#This Row],[HM]])</f>
        <v>4</v>
      </c>
      <c r="Q159" s="194">
        <f>SUM(Tabela2[[#This Row],[AO]]+Tabela2[[#This Row],[AD]]+Tabela2[[#This Row],[GWO]]+Tabela2[[#This Row],[GWD]])</f>
        <v>8</v>
      </c>
      <c r="R159" s="194">
        <f>Tabela2[[#This Row],[GWO]]+Tabela2[[#This Row],[GWD]]</f>
        <v>6</v>
      </c>
      <c r="S159" s="194">
        <f>SUM(Tabela2[[#This Row],[G]:[GWD]])</f>
        <v>12</v>
      </c>
    </row>
    <row r="160" spans="1:19">
      <c r="A160" s="197">
        <v>168</v>
      </c>
      <c r="B160" s="183" t="s">
        <v>588</v>
      </c>
      <c r="C160" s="183" t="s">
        <v>587</v>
      </c>
      <c r="D160" s="183">
        <v>3</v>
      </c>
      <c r="E160" s="183" t="s">
        <v>285</v>
      </c>
      <c r="F160" s="183">
        <v>1</v>
      </c>
      <c r="G160" s="183">
        <v>1</v>
      </c>
      <c r="H160" s="183">
        <v>2</v>
      </c>
      <c r="I160" s="183">
        <v>1</v>
      </c>
      <c r="J160" s="183">
        <v>1</v>
      </c>
      <c r="K160" s="183">
        <v>1</v>
      </c>
      <c r="L160" s="183">
        <v>1</v>
      </c>
      <c r="M160" s="183">
        <v>1</v>
      </c>
      <c r="N160" s="183"/>
      <c r="O160" s="183"/>
      <c r="P160" s="194">
        <f>SUM(Tabela2[[#This Row],[G]]+Tabela2[[#This Row],[D]]+Tabela2[[#This Row],[N]]+Tabela2[[#This Row],[HM]])</f>
        <v>5</v>
      </c>
      <c r="Q160" s="194">
        <f>SUM(Tabela2[[#This Row],[AO]]+Tabela2[[#This Row],[AD]]+Tabela2[[#This Row],[GWO]]+Tabela2[[#This Row],[GWD]])</f>
        <v>4</v>
      </c>
      <c r="R160" s="194">
        <f>Tabela2[[#This Row],[GWO]]+Tabela2[[#This Row],[GWD]]</f>
        <v>2</v>
      </c>
      <c r="S160" s="194">
        <f>SUM(Tabela2[[#This Row],[G]:[GWD]])</f>
        <v>9</v>
      </c>
    </row>
    <row r="161" spans="1:19">
      <c r="A161" s="197">
        <v>167</v>
      </c>
      <c r="B161" s="184" t="s">
        <v>589</v>
      </c>
      <c r="C161" s="184" t="s">
        <v>300</v>
      </c>
      <c r="D161" s="184">
        <v>3</v>
      </c>
      <c r="E161" s="184" t="s">
        <v>264</v>
      </c>
      <c r="F161" s="184">
        <v>1</v>
      </c>
      <c r="G161" s="184">
        <v>1</v>
      </c>
      <c r="H161" s="184">
        <v>1</v>
      </c>
      <c r="I161" s="184">
        <v>1</v>
      </c>
      <c r="J161" s="184">
        <v>1</v>
      </c>
      <c r="K161" s="184">
        <v>1</v>
      </c>
      <c r="L161" s="184">
        <v>1</v>
      </c>
      <c r="M161" s="184">
        <v>1</v>
      </c>
      <c r="N161" s="184" t="s">
        <v>458</v>
      </c>
      <c r="O161" s="184"/>
      <c r="P161" s="201">
        <f>SUM(Tabela2[[#This Row],[G]]+Tabela2[[#This Row],[D]]+Tabela2[[#This Row],[N]]+Tabela2[[#This Row],[HM]])</f>
        <v>4</v>
      </c>
      <c r="Q161" s="201">
        <f>SUM(Tabela2[[#This Row],[AO]]+Tabela2[[#This Row],[AD]]+Tabela2[[#This Row],[GWO]]+Tabela2[[#This Row],[GWD]])</f>
        <v>4</v>
      </c>
      <c r="R161" s="201">
        <f>Tabela2[[#This Row],[GWO]]+Tabela2[[#This Row],[GWD]]</f>
        <v>2</v>
      </c>
      <c r="S161" s="194">
        <f>SUM(Tabela2[[#This Row],[G]:[GWD]])</f>
        <v>8</v>
      </c>
    </row>
    <row r="162" spans="1:19">
      <c r="A162" s="197">
        <v>166</v>
      </c>
      <c r="B162" s="184" t="s">
        <v>590</v>
      </c>
      <c r="C162" s="184" t="s">
        <v>534</v>
      </c>
      <c r="D162" s="184">
        <v>3</v>
      </c>
      <c r="E162" s="184" t="s">
        <v>264</v>
      </c>
      <c r="F162" s="184">
        <v>1</v>
      </c>
      <c r="G162" s="184">
        <v>1</v>
      </c>
      <c r="H162" s="184">
        <v>1</v>
      </c>
      <c r="I162" s="184">
        <v>1</v>
      </c>
      <c r="J162" s="184">
        <v>2</v>
      </c>
      <c r="K162" s="184">
        <v>1</v>
      </c>
      <c r="L162" s="184">
        <v>1</v>
      </c>
      <c r="M162" s="184">
        <v>3</v>
      </c>
      <c r="N162" s="183"/>
      <c r="O162" s="183"/>
      <c r="P162" s="194">
        <f>SUM(Tabela2[[#This Row],[G]]+Tabela2[[#This Row],[D]]+Tabela2[[#This Row],[N]]+Tabela2[[#This Row],[HM]])</f>
        <v>4</v>
      </c>
      <c r="Q162" s="194">
        <f>SUM(Tabela2[[#This Row],[AO]]+Tabela2[[#This Row],[AD]]+Tabela2[[#This Row],[GWO]]+Tabela2[[#This Row],[GWD]])</f>
        <v>7</v>
      </c>
      <c r="R162" s="194">
        <f>Tabela2[[#This Row],[GWO]]+Tabela2[[#This Row],[GWD]]</f>
        <v>4</v>
      </c>
      <c r="S162" s="194">
        <f>SUM(Tabela2[[#This Row],[G]:[GWD]])</f>
        <v>11</v>
      </c>
    </row>
    <row r="163" spans="1:19">
      <c r="A163" s="197">
        <v>165</v>
      </c>
      <c r="B163" s="184" t="s">
        <v>592</v>
      </c>
      <c r="C163" s="184" t="s">
        <v>591</v>
      </c>
      <c r="D163" s="184">
        <v>3</v>
      </c>
      <c r="E163" s="184" t="s">
        <v>264</v>
      </c>
      <c r="F163" s="184">
        <v>1</v>
      </c>
      <c r="G163" s="184">
        <v>1</v>
      </c>
      <c r="H163" s="184">
        <v>1</v>
      </c>
      <c r="I163" s="184">
        <v>1</v>
      </c>
      <c r="J163" s="184">
        <v>1</v>
      </c>
      <c r="K163" s="184">
        <v>1</v>
      </c>
      <c r="L163" s="184">
        <v>1</v>
      </c>
      <c r="M163" s="184">
        <v>1</v>
      </c>
      <c r="N163" s="183"/>
      <c r="O163" s="183"/>
      <c r="P163" s="194">
        <f>SUM(Tabela2[[#This Row],[G]]+Tabela2[[#This Row],[D]]+Tabela2[[#This Row],[N]]+Tabela2[[#This Row],[HM]])</f>
        <v>4</v>
      </c>
      <c r="Q163" s="194">
        <f>SUM(Tabela2[[#This Row],[AO]]+Tabela2[[#This Row],[AD]]+Tabela2[[#This Row],[GWO]]+Tabela2[[#This Row],[GWD]])</f>
        <v>4</v>
      </c>
      <c r="R163" s="194">
        <f>Tabela2[[#This Row],[GWO]]+Tabela2[[#This Row],[GWD]]</f>
        <v>2</v>
      </c>
      <c r="S163" s="194">
        <f>SUM(Tabela2[[#This Row],[G]:[GWD]])</f>
        <v>8</v>
      </c>
    </row>
    <row r="164" spans="1:19">
      <c r="A164" s="197">
        <v>164</v>
      </c>
      <c r="B164" s="184" t="s">
        <v>593</v>
      </c>
      <c r="C164" s="184" t="s">
        <v>280</v>
      </c>
      <c r="D164" s="184">
        <v>3</v>
      </c>
      <c r="E164" s="184" t="s">
        <v>264</v>
      </c>
      <c r="F164" s="184">
        <v>1</v>
      </c>
      <c r="G164" s="184">
        <v>1</v>
      </c>
      <c r="H164" s="184">
        <v>1</v>
      </c>
      <c r="I164" s="184">
        <v>2</v>
      </c>
      <c r="J164" s="184">
        <v>3</v>
      </c>
      <c r="K164" s="184">
        <v>2</v>
      </c>
      <c r="L164" s="184">
        <v>3</v>
      </c>
      <c r="M164" s="184">
        <v>3</v>
      </c>
      <c r="N164" s="183"/>
      <c r="O164" s="183"/>
      <c r="P164" s="194">
        <f>SUM(Tabela2[[#This Row],[G]]+Tabela2[[#This Row],[D]]+Tabela2[[#This Row],[N]]+Tabela2[[#This Row],[HM]])</f>
        <v>5</v>
      </c>
      <c r="Q164" s="194">
        <f>SUM(Tabela2[[#This Row],[AO]]+Tabela2[[#This Row],[AD]]+Tabela2[[#This Row],[GWO]]+Tabela2[[#This Row],[GWD]])</f>
        <v>11</v>
      </c>
      <c r="R164" s="194">
        <f>Tabela2[[#This Row],[GWO]]+Tabela2[[#This Row],[GWD]]</f>
        <v>6</v>
      </c>
      <c r="S164" s="194">
        <f>SUM(Tabela2[[#This Row],[G]:[GWD]])</f>
        <v>16</v>
      </c>
    </row>
    <row r="165" spans="1:19">
      <c r="A165" s="197">
        <v>163</v>
      </c>
      <c r="B165" s="184" t="s">
        <v>594</v>
      </c>
      <c r="C165" s="184" t="s">
        <v>389</v>
      </c>
      <c r="D165" s="184">
        <v>3</v>
      </c>
      <c r="E165" s="184" t="s">
        <v>264</v>
      </c>
      <c r="F165" s="184">
        <v>1</v>
      </c>
      <c r="G165" s="184">
        <v>1</v>
      </c>
      <c r="H165" s="184">
        <v>1</v>
      </c>
      <c r="I165" s="184">
        <v>1</v>
      </c>
      <c r="J165" s="184">
        <v>1</v>
      </c>
      <c r="K165" s="184">
        <v>1</v>
      </c>
      <c r="L165" s="184">
        <v>1</v>
      </c>
      <c r="M165" s="184">
        <v>1</v>
      </c>
      <c r="N165" s="183"/>
      <c r="O165" s="183"/>
      <c r="P165" s="194">
        <f>SUM(Tabela2[[#This Row],[G]]+Tabela2[[#This Row],[D]]+Tabela2[[#This Row],[N]]+Tabela2[[#This Row],[HM]])</f>
        <v>4</v>
      </c>
      <c r="Q165" s="194">
        <f>SUM(Tabela2[[#This Row],[AO]]+Tabela2[[#This Row],[AD]]+Tabela2[[#This Row],[GWO]]+Tabela2[[#This Row],[GWD]])</f>
        <v>4</v>
      </c>
      <c r="R165" s="194">
        <f>Tabela2[[#This Row],[GWO]]+Tabela2[[#This Row],[GWD]]</f>
        <v>2</v>
      </c>
      <c r="S165" s="194">
        <f>SUM(Tabela2[[#This Row],[G]:[GWD]])</f>
        <v>8</v>
      </c>
    </row>
    <row r="166" spans="1:19">
      <c r="A166" s="197">
        <v>162</v>
      </c>
      <c r="B166" s="184" t="s">
        <v>595</v>
      </c>
      <c r="C166" s="184" t="s">
        <v>297</v>
      </c>
      <c r="D166" s="184">
        <v>3</v>
      </c>
      <c r="E166" s="184" t="s">
        <v>264</v>
      </c>
      <c r="F166" s="184">
        <v>1</v>
      </c>
      <c r="G166" s="184">
        <v>1</v>
      </c>
      <c r="H166" s="184">
        <v>1</v>
      </c>
      <c r="I166" s="184">
        <v>1</v>
      </c>
      <c r="J166" s="184">
        <v>1</v>
      </c>
      <c r="K166" s="184">
        <v>1</v>
      </c>
      <c r="L166" s="184">
        <v>1</v>
      </c>
      <c r="M166" s="184">
        <v>1</v>
      </c>
      <c r="N166" s="183"/>
      <c r="O166" s="183"/>
      <c r="P166" s="194">
        <f>SUM(Tabela2[[#This Row],[G]]+Tabela2[[#This Row],[D]]+Tabela2[[#This Row],[N]]+Tabela2[[#This Row],[HM]])</f>
        <v>4</v>
      </c>
      <c r="Q166" s="194">
        <f>SUM(Tabela2[[#This Row],[AO]]+Tabela2[[#This Row],[AD]]+Tabela2[[#This Row],[GWO]]+Tabela2[[#This Row],[GWD]])</f>
        <v>4</v>
      </c>
      <c r="R166" s="194">
        <f>Tabela2[[#This Row],[GWO]]+Tabela2[[#This Row],[GWD]]</f>
        <v>2</v>
      </c>
      <c r="S166" s="194">
        <f>SUM(Tabela2[[#This Row],[G]:[GWD]])</f>
        <v>8</v>
      </c>
    </row>
    <row r="167" spans="1:19" ht="30">
      <c r="A167" s="197">
        <v>161</v>
      </c>
      <c r="B167" s="184" t="s">
        <v>596</v>
      </c>
      <c r="C167" s="184" t="s">
        <v>539</v>
      </c>
      <c r="D167" s="184">
        <v>3</v>
      </c>
      <c r="E167" s="184" t="s">
        <v>264</v>
      </c>
      <c r="F167" s="184">
        <v>1</v>
      </c>
      <c r="G167" s="184">
        <v>1</v>
      </c>
      <c r="H167" s="184">
        <v>1</v>
      </c>
      <c r="I167" s="184">
        <v>1</v>
      </c>
      <c r="J167" s="184">
        <v>1</v>
      </c>
      <c r="K167" s="184">
        <v>1</v>
      </c>
      <c r="L167" s="184">
        <v>1</v>
      </c>
      <c r="M167" s="184">
        <v>1</v>
      </c>
      <c r="N167" s="183"/>
      <c r="O167" s="183"/>
      <c r="P167" s="194">
        <f>SUM(Tabela2[[#This Row],[G]]+Tabela2[[#This Row],[D]]+Tabela2[[#This Row],[N]]+Tabela2[[#This Row],[HM]])</f>
        <v>4</v>
      </c>
      <c r="Q167" s="194">
        <f>SUM(Tabela2[[#This Row],[AO]]+Tabela2[[#This Row],[AD]]+Tabela2[[#This Row],[GWO]]+Tabela2[[#This Row],[GWD]])</f>
        <v>4</v>
      </c>
      <c r="R167" s="194">
        <f>Tabela2[[#This Row],[GWO]]+Tabela2[[#This Row],[GWD]]</f>
        <v>2</v>
      </c>
      <c r="S167" s="194">
        <f>SUM(Tabela2[[#This Row],[G]:[GWD]])</f>
        <v>8</v>
      </c>
    </row>
    <row r="168" spans="1:19" ht="30">
      <c r="A168" s="197">
        <v>160</v>
      </c>
      <c r="B168" s="184" t="s">
        <v>597</v>
      </c>
      <c r="C168" s="184" t="s">
        <v>541</v>
      </c>
      <c r="D168" s="184">
        <v>3</v>
      </c>
      <c r="E168" s="184" t="s">
        <v>264</v>
      </c>
      <c r="F168" s="184">
        <v>1</v>
      </c>
      <c r="G168" s="184">
        <v>1</v>
      </c>
      <c r="H168" s="184">
        <v>1</v>
      </c>
      <c r="I168" s="184">
        <v>1</v>
      </c>
      <c r="J168" s="184">
        <v>1</v>
      </c>
      <c r="K168" s="184">
        <v>1</v>
      </c>
      <c r="L168" s="184">
        <v>1</v>
      </c>
      <c r="M168" s="184">
        <v>1</v>
      </c>
      <c r="N168" s="183"/>
      <c r="O168" s="183"/>
      <c r="P168" s="194">
        <f>SUM(Tabela2[[#This Row],[G]]+Tabela2[[#This Row],[D]]+Tabela2[[#This Row],[N]]+Tabela2[[#This Row],[HM]])</f>
        <v>4</v>
      </c>
      <c r="Q168" s="194">
        <f>SUM(Tabela2[[#This Row],[AO]]+Tabela2[[#This Row],[AD]]+Tabela2[[#This Row],[GWO]]+Tabela2[[#This Row],[GWD]])</f>
        <v>4</v>
      </c>
      <c r="R168" s="194">
        <f>Tabela2[[#This Row],[GWO]]+Tabela2[[#This Row],[GWD]]</f>
        <v>2</v>
      </c>
      <c r="S168" s="194">
        <f>SUM(Tabela2[[#This Row],[G]:[GWD]])</f>
        <v>8</v>
      </c>
    </row>
    <row r="169" spans="1:19" ht="30">
      <c r="A169" s="197">
        <v>159</v>
      </c>
      <c r="B169" s="184" t="s">
        <v>598</v>
      </c>
      <c r="C169" s="184" t="s">
        <v>543</v>
      </c>
      <c r="D169" s="184">
        <v>3</v>
      </c>
      <c r="E169" s="184" t="s">
        <v>264</v>
      </c>
      <c r="F169" s="184">
        <v>1</v>
      </c>
      <c r="G169" s="184">
        <v>1</v>
      </c>
      <c r="H169" s="184">
        <v>1</v>
      </c>
      <c r="I169" s="184">
        <v>1</v>
      </c>
      <c r="J169" s="184">
        <v>1</v>
      </c>
      <c r="K169" s="184">
        <v>1</v>
      </c>
      <c r="L169" s="184">
        <v>1</v>
      </c>
      <c r="M169" s="184">
        <v>1</v>
      </c>
      <c r="N169" s="183"/>
      <c r="O169" s="183"/>
      <c r="P169" s="194">
        <f>SUM(Tabela2[[#This Row],[G]]+Tabela2[[#This Row],[D]]+Tabela2[[#This Row],[N]]+Tabela2[[#This Row],[HM]])</f>
        <v>4</v>
      </c>
      <c r="Q169" s="194">
        <f>SUM(Tabela2[[#This Row],[AO]]+Tabela2[[#This Row],[AD]]+Tabela2[[#This Row],[GWO]]+Tabela2[[#This Row],[GWD]])</f>
        <v>4</v>
      </c>
      <c r="R169" s="194">
        <f>Tabela2[[#This Row],[GWO]]+Tabela2[[#This Row],[GWD]]</f>
        <v>2</v>
      </c>
      <c r="S169" s="194">
        <f>SUM(Tabela2[[#This Row],[G]:[GWD]])</f>
        <v>8</v>
      </c>
    </row>
    <row r="170" spans="1:19" ht="30">
      <c r="A170" s="197">
        <v>158</v>
      </c>
      <c r="B170" s="184" t="s">
        <v>599</v>
      </c>
      <c r="C170" s="184" t="s">
        <v>545</v>
      </c>
      <c r="D170" s="184">
        <v>3</v>
      </c>
      <c r="E170" s="184" t="s">
        <v>264</v>
      </c>
      <c r="F170" s="184">
        <v>1</v>
      </c>
      <c r="G170" s="184">
        <v>1</v>
      </c>
      <c r="H170" s="184">
        <v>1</v>
      </c>
      <c r="I170" s="184">
        <v>1</v>
      </c>
      <c r="J170" s="184">
        <v>1</v>
      </c>
      <c r="K170" s="184">
        <v>1</v>
      </c>
      <c r="L170" s="184">
        <v>1</v>
      </c>
      <c r="M170" s="184">
        <v>1</v>
      </c>
      <c r="N170" s="183"/>
      <c r="O170" s="183"/>
      <c r="P170" s="194">
        <f>SUM(Tabela2[[#This Row],[G]]+Tabela2[[#This Row],[D]]+Tabela2[[#This Row],[N]]+Tabela2[[#This Row],[HM]])</f>
        <v>4</v>
      </c>
      <c r="Q170" s="194">
        <f>SUM(Tabela2[[#This Row],[AO]]+Tabela2[[#This Row],[AD]]+Tabela2[[#This Row],[GWO]]+Tabela2[[#This Row],[GWD]])</f>
        <v>4</v>
      </c>
      <c r="R170" s="194">
        <f>Tabela2[[#This Row],[GWO]]+Tabela2[[#This Row],[GWD]]</f>
        <v>2</v>
      </c>
      <c r="S170" s="194">
        <f>SUM(Tabela2[[#This Row],[G]:[GWD]])</f>
        <v>8</v>
      </c>
    </row>
    <row r="171" spans="1:19" ht="30">
      <c r="A171" s="197">
        <v>157</v>
      </c>
      <c r="B171" s="184" t="s">
        <v>600</v>
      </c>
      <c r="C171" s="184" t="s">
        <v>547</v>
      </c>
      <c r="D171" s="184">
        <v>3</v>
      </c>
      <c r="E171" s="184" t="s">
        <v>264</v>
      </c>
      <c r="F171" s="184">
        <v>1</v>
      </c>
      <c r="G171" s="184">
        <v>1</v>
      </c>
      <c r="H171" s="184">
        <v>1</v>
      </c>
      <c r="I171" s="184">
        <v>1</v>
      </c>
      <c r="J171" s="184">
        <v>1</v>
      </c>
      <c r="K171" s="184">
        <v>1</v>
      </c>
      <c r="L171" s="184">
        <v>1</v>
      </c>
      <c r="M171" s="184">
        <v>1</v>
      </c>
      <c r="N171" s="183"/>
      <c r="O171" s="183"/>
      <c r="P171" s="194">
        <f>SUM(Tabela2[[#This Row],[G]]+Tabela2[[#This Row],[D]]+Tabela2[[#This Row],[N]]+Tabela2[[#This Row],[HM]])</f>
        <v>4</v>
      </c>
      <c r="Q171" s="194">
        <f>SUM(Tabela2[[#This Row],[AO]]+Tabela2[[#This Row],[AD]]+Tabela2[[#This Row],[GWO]]+Tabela2[[#This Row],[GWD]])</f>
        <v>4</v>
      </c>
      <c r="R171" s="194">
        <f>Tabela2[[#This Row],[GWO]]+Tabela2[[#This Row],[GWD]]</f>
        <v>2</v>
      </c>
      <c r="S171" s="194">
        <f>SUM(Tabela2[[#This Row],[G]:[GWD]])</f>
        <v>8</v>
      </c>
    </row>
    <row r="172" spans="1:19">
      <c r="A172" s="197">
        <v>156</v>
      </c>
      <c r="B172" s="184" t="s">
        <v>601</v>
      </c>
      <c r="C172" s="184" t="s">
        <v>549</v>
      </c>
      <c r="D172" s="184">
        <v>3</v>
      </c>
      <c r="E172" s="184" t="s">
        <v>264</v>
      </c>
      <c r="F172" s="184">
        <v>2</v>
      </c>
      <c r="G172" s="184">
        <v>2</v>
      </c>
      <c r="H172" s="184">
        <v>1</v>
      </c>
      <c r="I172" s="184">
        <v>1</v>
      </c>
      <c r="J172" s="184">
        <v>1</v>
      </c>
      <c r="K172" s="184">
        <v>3</v>
      </c>
      <c r="L172" s="184">
        <v>2</v>
      </c>
      <c r="M172" s="184">
        <v>1</v>
      </c>
      <c r="N172" s="183"/>
      <c r="O172" s="183"/>
      <c r="P172" s="194">
        <f>SUM(Tabela2[[#This Row],[G]]+Tabela2[[#This Row],[D]]+Tabela2[[#This Row],[N]]+Tabela2[[#This Row],[HM]])</f>
        <v>8</v>
      </c>
      <c r="Q172" s="194">
        <f>SUM(Tabela2[[#This Row],[AO]]+Tabela2[[#This Row],[AD]]+Tabela2[[#This Row],[GWO]]+Tabela2[[#This Row],[GWD]])</f>
        <v>5</v>
      </c>
      <c r="R172" s="194">
        <f>Tabela2[[#This Row],[GWO]]+Tabela2[[#This Row],[GWD]]</f>
        <v>3</v>
      </c>
      <c r="S172" s="194">
        <f>SUM(Tabela2[[#This Row],[G]:[GWD]])</f>
        <v>13</v>
      </c>
    </row>
    <row r="173" spans="1:19" ht="30">
      <c r="A173" s="197">
        <v>155</v>
      </c>
      <c r="B173" s="184" t="s">
        <v>602</v>
      </c>
      <c r="C173" s="184" t="s">
        <v>551</v>
      </c>
      <c r="D173" s="184">
        <v>3</v>
      </c>
      <c r="E173" s="184" t="s">
        <v>264</v>
      </c>
      <c r="F173" s="184">
        <v>1</v>
      </c>
      <c r="G173" s="184">
        <v>1</v>
      </c>
      <c r="H173" s="184">
        <v>1</v>
      </c>
      <c r="I173" s="184">
        <v>1</v>
      </c>
      <c r="J173" s="184">
        <v>1</v>
      </c>
      <c r="K173" s="184">
        <v>1</v>
      </c>
      <c r="L173" s="184">
        <v>1</v>
      </c>
      <c r="M173" s="184">
        <v>1</v>
      </c>
      <c r="N173" s="183"/>
      <c r="O173" s="183"/>
      <c r="P173" s="194">
        <f>SUM(Tabela2[[#This Row],[G]]+Tabela2[[#This Row],[D]]+Tabela2[[#This Row],[N]]+Tabela2[[#This Row],[HM]])</f>
        <v>4</v>
      </c>
      <c r="Q173" s="194">
        <f>SUM(Tabela2[[#This Row],[AO]]+Tabela2[[#This Row],[AD]]+Tabela2[[#This Row],[GWO]]+Tabela2[[#This Row],[GWD]])</f>
        <v>4</v>
      </c>
      <c r="R173" s="194">
        <f>Tabela2[[#This Row],[GWO]]+Tabela2[[#This Row],[GWD]]</f>
        <v>2</v>
      </c>
      <c r="S173" s="194">
        <f>SUM(Tabela2[[#This Row],[G]:[GWD]])</f>
        <v>8</v>
      </c>
    </row>
    <row r="174" spans="1:19">
      <c r="A174" s="197">
        <v>154</v>
      </c>
      <c r="B174" s="184" t="s">
        <v>603</v>
      </c>
      <c r="C174" s="184" t="s">
        <v>371</v>
      </c>
      <c r="D174" s="184">
        <v>3</v>
      </c>
      <c r="E174" s="184" t="s">
        <v>264</v>
      </c>
      <c r="F174" s="184">
        <v>1</v>
      </c>
      <c r="G174" s="184">
        <v>1</v>
      </c>
      <c r="H174" s="184">
        <v>1</v>
      </c>
      <c r="I174" s="184">
        <v>1</v>
      </c>
      <c r="J174" s="184">
        <v>1</v>
      </c>
      <c r="K174" s="184">
        <v>1</v>
      </c>
      <c r="L174" s="184">
        <v>1</v>
      </c>
      <c r="M174" s="184">
        <v>1</v>
      </c>
      <c r="N174" s="183"/>
      <c r="O174" s="183"/>
      <c r="P174" s="194">
        <f>SUM(Tabela2[[#This Row],[G]]+Tabela2[[#This Row],[D]]+Tabela2[[#This Row],[N]]+Tabela2[[#This Row],[HM]])</f>
        <v>4</v>
      </c>
      <c r="Q174" s="194">
        <f>SUM(Tabela2[[#This Row],[AO]]+Tabela2[[#This Row],[AD]]+Tabela2[[#This Row],[GWO]]+Tabela2[[#This Row],[GWD]])</f>
        <v>4</v>
      </c>
      <c r="R174" s="194">
        <f>Tabela2[[#This Row],[GWO]]+Tabela2[[#This Row],[GWD]]</f>
        <v>2</v>
      </c>
      <c r="S174" s="194">
        <f>SUM(Tabela2[[#This Row],[G]:[GWD]])</f>
        <v>8</v>
      </c>
    </row>
    <row r="175" spans="1:19">
      <c r="A175" s="197">
        <v>153</v>
      </c>
      <c r="B175" s="184" t="s">
        <v>604</v>
      </c>
      <c r="C175" s="184" t="s">
        <v>553</v>
      </c>
      <c r="D175" s="184">
        <v>3</v>
      </c>
      <c r="E175" s="184" t="s">
        <v>264</v>
      </c>
      <c r="F175" s="184">
        <v>1</v>
      </c>
      <c r="G175" s="184">
        <v>1</v>
      </c>
      <c r="H175" s="184">
        <v>1</v>
      </c>
      <c r="I175" s="184">
        <v>1</v>
      </c>
      <c r="J175" s="184">
        <v>1</v>
      </c>
      <c r="K175" s="184">
        <v>1</v>
      </c>
      <c r="L175" s="184">
        <v>1</v>
      </c>
      <c r="M175" s="184">
        <v>1</v>
      </c>
      <c r="N175" s="183"/>
      <c r="O175" s="183"/>
      <c r="P175" s="194">
        <f>SUM(Tabela2[[#This Row],[G]]+Tabela2[[#This Row],[D]]+Tabela2[[#This Row],[N]]+Tabela2[[#This Row],[HM]])</f>
        <v>4</v>
      </c>
      <c r="Q175" s="194">
        <f>SUM(Tabela2[[#This Row],[AO]]+Tabela2[[#This Row],[AD]]+Tabela2[[#This Row],[GWO]]+Tabela2[[#This Row],[GWD]])</f>
        <v>4</v>
      </c>
      <c r="R175" s="194">
        <f>Tabela2[[#This Row],[GWO]]+Tabela2[[#This Row],[GWD]]</f>
        <v>2</v>
      </c>
      <c r="S175" s="194">
        <f>SUM(Tabela2[[#This Row],[G]:[GWD]])</f>
        <v>8</v>
      </c>
    </row>
    <row r="176" spans="1:19" ht="30">
      <c r="A176" s="197">
        <v>152</v>
      </c>
      <c r="B176" s="184" t="s">
        <v>605</v>
      </c>
      <c r="C176" s="184" t="s">
        <v>555</v>
      </c>
      <c r="D176" s="184">
        <v>3</v>
      </c>
      <c r="E176" s="184" t="s">
        <v>264</v>
      </c>
      <c r="F176" s="184">
        <v>1</v>
      </c>
      <c r="G176" s="184">
        <v>1</v>
      </c>
      <c r="H176" s="184">
        <v>1</v>
      </c>
      <c r="I176" s="184">
        <v>1</v>
      </c>
      <c r="J176" s="184">
        <v>1</v>
      </c>
      <c r="K176" s="184">
        <v>1</v>
      </c>
      <c r="L176" s="184">
        <v>1</v>
      </c>
      <c r="M176" s="184">
        <v>1</v>
      </c>
      <c r="N176" s="183"/>
      <c r="O176" s="183"/>
      <c r="P176" s="194">
        <f>SUM(Tabela2[[#This Row],[G]]+Tabela2[[#This Row],[D]]+Tabela2[[#This Row],[N]]+Tabela2[[#This Row],[HM]])</f>
        <v>4</v>
      </c>
      <c r="Q176" s="194">
        <f>SUM(Tabela2[[#This Row],[AO]]+Tabela2[[#This Row],[AD]]+Tabela2[[#This Row],[GWO]]+Tabela2[[#This Row],[GWD]])</f>
        <v>4</v>
      </c>
      <c r="R176" s="194">
        <f>Tabela2[[#This Row],[GWO]]+Tabela2[[#This Row],[GWD]]</f>
        <v>2</v>
      </c>
      <c r="S176" s="194">
        <f>SUM(Tabela2[[#This Row],[G]:[GWD]])</f>
        <v>8</v>
      </c>
    </row>
    <row r="177" spans="1:19" ht="30">
      <c r="A177" s="197">
        <v>151</v>
      </c>
      <c r="B177" s="184" t="s">
        <v>606</v>
      </c>
      <c r="C177" s="184" t="s">
        <v>557</v>
      </c>
      <c r="D177" s="184">
        <v>3</v>
      </c>
      <c r="E177" s="184" t="s">
        <v>264</v>
      </c>
      <c r="F177" s="184">
        <v>1</v>
      </c>
      <c r="G177" s="184">
        <v>1</v>
      </c>
      <c r="H177" s="184">
        <v>1</v>
      </c>
      <c r="I177" s="184">
        <v>1</v>
      </c>
      <c r="J177" s="184">
        <v>1</v>
      </c>
      <c r="K177" s="184">
        <v>1</v>
      </c>
      <c r="L177" s="184">
        <v>1</v>
      </c>
      <c r="M177" s="184">
        <v>1</v>
      </c>
      <c r="N177" s="183"/>
      <c r="O177" s="183"/>
      <c r="P177" s="194">
        <f>SUM(Tabela2[[#This Row],[G]]+Tabela2[[#This Row],[D]]+Tabela2[[#This Row],[N]]+Tabela2[[#This Row],[HM]])</f>
        <v>4</v>
      </c>
      <c r="Q177" s="194">
        <f>SUM(Tabela2[[#This Row],[AO]]+Tabela2[[#This Row],[AD]]+Tabela2[[#This Row],[GWO]]+Tabela2[[#This Row],[GWD]])</f>
        <v>4</v>
      </c>
      <c r="R177" s="194">
        <f>Tabela2[[#This Row],[GWO]]+Tabela2[[#This Row],[GWD]]</f>
        <v>2</v>
      </c>
      <c r="S177" s="194">
        <f>SUM(Tabela2[[#This Row],[G]:[GWD]])</f>
        <v>8</v>
      </c>
    </row>
    <row r="178" spans="1:19">
      <c r="A178" s="197">
        <v>150</v>
      </c>
      <c r="B178" s="184" t="s">
        <v>608</v>
      </c>
      <c r="C178" s="184" t="s">
        <v>607</v>
      </c>
      <c r="D178" s="184">
        <v>3</v>
      </c>
      <c r="E178" s="184" t="s">
        <v>264</v>
      </c>
      <c r="F178" s="184">
        <v>1</v>
      </c>
      <c r="G178" s="184">
        <v>1</v>
      </c>
      <c r="H178" s="184">
        <v>1</v>
      </c>
      <c r="I178" s="184">
        <v>1</v>
      </c>
      <c r="J178" s="184">
        <v>1</v>
      </c>
      <c r="K178" s="184">
        <v>1</v>
      </c>
      <c r="L178" s="184">
        <v>1</v>
      </c>
      <c r="M178" s="184">
        <v>1</v>
      </c>
      <c r="N178" s="183"/>
      <c r="O178" s="183"/>
      <c r="P178" s="194">
        <f>SUM(Tabela2[[#This Row],[G]]+Tabela2[[#This Row],[D]]+Tabela2[[#This Row],[N]]+Tabela2[[#This Row],[HM]])</f>
        <v>4</v>
      </c>
      <c r="Q178" s="194">
        <f>SUM(Tabela2[[#This Row],[AO]]+Tabela2[[#This Row],[AD]]+Tabela2[[#This Row],[GWO]]+Tabela2[[#This Row],[GWD]])</f>
        <v>4</v>
      </c>
      <c r="R178" s="194">
        <f>Tabela2[[#This Row],[GWO]]+Tabela2[[#This Row],[GWD]]</f>
        <v>2</v>
      </c>
      <c r="S178" s="194">
        <f>SUM(Tabela2[[#This Row],[G]:[GWD]])</f>
        <v>8</v>
      </c>
    </row>
    <row r="179" spans="1:19">
      <c r="A179" s="197">
        <v>149</v>
      </c>
      <c r="B179" s="184" t="s">
        <v>609</v>
      </c>
      <c r="C179" s="184" t="s">
        <v>559</v>
      </c>
      <c r="D179" s="184">
        <v>3</v>
      </c>
      <c r="E179" s="184" t="s">
        <v>264</v>
      </c>
      <c r="F179" s="184">
        <v>1</v>
      </c>
      <c r="G179" s="184">
        <v>1</v>
      </c>
      <c r="H179" s="184">
        <v>1</v>
      </c>
      <c r="I179" s="184">
        <v>1</v>
      </c>
      <c r="J179" s="184">
        <v>1</v>
      </c>
      <c r="K179" s="184">
        <v>1</v>
      </c>
      <c r="L179" s="184">
        <v>1</v>
      </c>
      <c r="M179" s="184">
        <v>1</v>
      </c>
      <c r="N179" s="183"/>
      <c r="O179" s="183"/>
      <c r="P179" s="194">
        <f>SUM(Tabela2[[#This Row],[G]]+Tabela2[[#This Row],[D]]+Tabela2[[#This Row],[N]]+Tabela2[[#This Row],[HM]])</f>
        <v>4</v>
      </c>
      <c r="Q179" s="194">
        <f>SUM(Tabela2[[#This Row],[AO]]+Tabela2[[#This Row],[AD]]+Tabela2[[#This Row],[GWO]]+Tabela2[[#This Row],[GWD]])</f>
        <v>4</v>
      </c>
      <c r="R179" s="194">
        <f>Tabela2[[#This Row],[GWO]]+Tabela2[[#This Row],[GWD]]</f>
        <v>2</v>
      </c>
      <c r="S179" s="194">
        <f>SUM(Tabela2[[#This Row],[G]:[GWD]])</f>
        <v>8</v>
      </c>
    </row>
    <row r="180" spans="1:19">
      <c r="A180" s="197">
        <v>148</v>
      </c>
      <c r="B180" s="184" t="s">
        <v>610</v>
      </c>
      <c r="C180" s="184" t="s">
        <v>561</v>
      </c>
      <c r="D180" s="184">
        <v>3</v>
      </c>
      <c r="E180" s="184" t="s">
        <v>264</v>
      </c>
      <c r="F180" s="184">
        <v>1</v>
      </c>
      <c r="G180" s="184">
        <v>1</v>
      </c>
      <c r="H180" s="184">
        <v>3</v>
      </c>
      <c r="I180" s="184">
        <v>1</v>
      </c>
      <c r="J180" s="184">
        <v>1</v>
      </c>
      <c r="K180" s="184">
        <v>1</v>
      </c>
      <c r="L180" s="184">
        <v>1</v>
      </c>
      <c r="M180" s="184">
        <v>1</v>
      </c>
      <c r="N180" s="183"/>
      <c r="O180" s="183"/>
      <c r="P180" s="194">
        <f>SUM(Tabela2[[#This Row],[G]]+Tabela2[[#This Row],[D]]+Tabela2[[#This Row],[N]]+Tabela2[[#This Row],[HM]])</f>
        <v>6</v>
      </c>
      <c r="Q180" s="194">
        <f>SUM(Tabela2[[#This Row],[AO]]+Tabela2[[#This Row],[AD]]+Tabela2[[#This Row],[GWO]]+Tabela2[[#This Row],[GWD]])</f>
        <v>4</v>
      </c>
      <c r="R180" s="194">
        <f>Tabela2[[#This Row],[GWO]]+Tabela2[[#This Row],[GWD]]</f>
        <v>2</v>
      </c>
      <c r="S180" s="194">
        <f>SUM(Tabela2[[#This Row],[G]:[GWD]])</f>
        <v>10</v>
      </c>
    </row>
    <row r="181" spans="1:19" ht="30">
      <c r="A181" s="197">
        <v>147</v>
      </c>
      <c r="B181" s="184" t="s">
        <v>611</v>
      </c>
      <c r="C181" s="184" t="s">
        <v>563</v>
      </c>
      <c r="D181" s="184">
        <v>3</v>
      </c>
      <c r="E181" s="184" t="s">
        <v>264</v>
      </c>
      <c r="F181" s="184">
        <v>1</v>
      </c>
      <c r="G181" s="184">
        <v>1</v>
      </c>
      <c r="H181" s="184">
        <v>3</v>
      </c>
      <c r="I181" s="184">
        <v>2</v>
      </c>
      <c r="J181" s="184">
        <v>1</v>
      </c>
      <c r="K181" s="184">
        <v>5</v>
      </c>
      <c r="L181" s="184">
        <v>2</v>
      </c>
      <c r="M181" s="184">
        <v>1</v>
      </c>
      <c r="N181" s="183"/>
      <c r="O181" s="183"/>
      <c r="P181" s="194">
        <f>SUM(Tabela2[[#This Row],[G]]+Tabela2[[#This Row],[D]]+Tabela2[[#This Row],[N]]+Tabela2[[#This Row],[HM]])</f>
        <v>10</v>
      </c>
      <c r="Q181" s="194">
        <f>SUM(Tabela2[[#This Row],[AO]]+Tabela2[[#This Row],[AD]]+Tabela2[[#This Row],[GWO]]+Tabela2[[#This Row],[GWD]])</f>
        <v>6</v>
      </c>
      <c r="R181" s="194">
        <f>Tabela2[[#This Row],[GWO]]+Tabela2[[#This Row],[GWD]]</f>
        <v>3</v>
      </c>
      <c r="S181" s="194">
        <f>SUM(Tabela2[[#This Row],[G]:[GWD]])</f>
        <v>16</v>
      </c>
    </row>
    <row r="182" spans="1:19">
      <c r="A182" s="197">
        <v>146</v>
      </c>
      <c r="B182" s="184" t="s">
        <v>612</v>
      </c>
      <c r="C182" s="184" t="s">
        <v>565</v>
      </c>
      <c r="D182" s="184">
        <v>3</v>
      </c>
      <c r="E182" s="184" t="s">
        <v>264</v>
      </c>
      <c r="F182" s="184">
        <v>2</v>
      </c>
      <c r="G182" s="184">
        <v>1</v>
      </c>
      <c r="H182" s="184">
        <v>1</v>
      </c>
      <c r="I182" s="184">
        <v>2</v>
      </c>
      <c r="J182" s="184">
        <v>2</v>
      </c>
      <c r="K182" s="184">
        <v>3</v>
      </c>
      <c r="L182" s="184">
        <v>2</v>
      </c>
      <c r="M182" s="184">
        <v>1</v>
      </c>
      <c r="N182" s="183"/>
      <c r="O182" s="183"/>
      <c r="P182" s="194">
        <f>SUM(Tabela2[[#This Row],[G]]+Tabela2[[#This Row],[D]]+Tabela2[[#This Row],[N]]+Tabela2[[#This Row],[HM]])</f>
        <v>7</v>
      </c>
      <c r="Q182" s="194">
        <f>SUM(Tabela2[[#This Row],[AO]]+Tabela2[[#This Row],[AD]]+Tabela2[[#This Row],[GWO]]+Tabela2[[#This Row],[GWD]])</f>
        <v>7</v>
      </c>
      <c r="R182" s="194">
        <f>Tabela2[[#This Row],[GWO]]+Tabela2[[#This Row],[GWD]]</f>
        <v>3</v>
      </c>
      <c r="S182" s="194">
        <f>SUM(Tabela2[[#This Row],[G]:[GWD]])</f>
        <v>14</v>
      </c>
    </row>
    <row r="183" spans="1:19">
      <c r="A183" s="197">
        <v>145</v>
      </c>
      <c r="B183" s="184" t="s">
        <v>613</v>
      </c>
      <c r="C183" s="184" t="s">
        <v>296</v>
      </c>
      <c r="D183" s="184">
        <v>3</v>
      </c>
      <c r="E183" s="184" t="s">
        <v>264</v>
      </c>
      <c r="F183" s="184">
        <v>1</v>
      </c>
      <c r="G183" s="184">
        <v>1</v>
      </c>
      <c r="H183" s="184">
        <v>1</v>
      </c>
      <c r="I183" s="184">
        <v>1</v>
      </c>
      <c r="J183" s="184">
        <v>1</v>
      </c>
      <c r="K183" s="184">
        <v>2</v>
      </c>
      <c r="L183" s="184">
        <v>1</v>
      </c>
      <c r="M183" s="184">
        <v>1</v>
      </c>
      <c r="N183" s="183"/>
      <c r="O183" s="183"/>
      <c r="P183" s="194">
        <f>SUM(Tabela2[[#This Row],[G]]+Tabela2[[#This Row],[D]]+Tabela2[[#This Row],[N]]+Tabela2[[#This Row],[HM]])</f>
        <v>5</v>
      </c>
      <c r="Q183" s="194">
        <f>SUM(Tabela2[[#This Row],[AO]]+Tabela2[[#This Row],[AD]]+Tabela2[[#This Row],[GWO]]+Tabela2[[#This Row],[GWD]])</f>
        <v>4</v>
      </c>
      <c r="R183" s="194">
        <f>Tabela2[[#This Row],[GWO]]+Tabela2[[#This Row],[GWD]]</f>
        <v>2</v>
      </c>
      <c r="S183" s="194">
        <f>SUM(Tabela2[[#This Row],[G]:[GWD]])</f>
        <v>9</v>
      </c>
    </row>
    <row r="184" spans="1:19" ht="30">
      <c r="A184" s="197">
        <v>144</v>
      </c>
      <c r="B184" s="184" t="s">
        <v>614</v>
      </c>
      <c r="C184" s="184" t="s">
        <v>425</v>
      </c>
      <c r="D184" s="184">
        <v>3</v>
      </c>
      <c r="E184" s="184" t="s">
        <v>264</v>
      </c>
      <c r="F184" s="184">
        <v>1</v>
      </c>
      <c r="G184" s="184">
        <v>1</v>
      </c>
      <c r="H184" s="184">
        <v>1</v>
      </c>
      <c r="I184" s="184">
        <v>1</v>
      </c>
      <c r="J184" s="184">
        <v>1</v>
      </c>
      <c r="K184" s="184">
        <v>2</v>
      </c>
      <c r="L184" s="184">
        <v>2</v>
      </c>
      <c r="M184" s="184">
        <v>1</v>
      </c>
      <c r="N184" s="183"/>
      <c r="O184" s="183"/>
      <c r="P184" s="194">
        <f>SUM(Tabela2[[#This Row],[G]]+Tabela2[[#This Row],[D]]+Tabela2[[#This Row],[N]]+Tabela2[[#This Row],[HM]])</f>
        <v>5</v>
      </c>
      <c r="Q184" s="194">
        <f>SUM(Tabela2[[#This Row],[AO]]+Tabela2[[#This Row],[AD]]+Tabela2[[#This Row],[GWO]]+Tabela2[[#This Row],[GWD]])</f>
        <v>5</v>
      </c>
      <c r="R184" s="194">
        <f>Tabela2[[#This Row],[GWO]]+Tabela2[[#This Row],[GWD]]</f>
        <v>3</v>
      </c>
      <c r="S184" s="194">
        <f>SUM(Tabela2[[#This Row],[G]:[GWD]])</f>
        <v>10</v>
      </c>
    </row>
    <row r="185" spans="1:19">
      <c r="A185" s="197">
        <v>143</v>
      </c>
      <c r="B185" s="184" t="s">
        <v>615</v>
      </c>
      <c r="C185" s="184" t="s">
        <v>574</v>
      </c>
      <c r="D185" s="184">
        <v>3</v>
      </c>
      <c r="E185" s="184" t="s">
        <v>264</v>
      </c>
      <c r="F185" s="184">
        <v>1</v>
      </c>
      <c r="G185" s="184">
        <v>1</v>
      </c>
      <c r="H185" s="184">
        <v>1</v>
      </c>
      <c r="I185" s="184">
        <v>1</v>
      </c>
      <c r="J185" s="184">
        <v>1</v>
      </c>
      <c r="K185" s="184">
        <v>2</v>
      </c>
      <c r="L185" s="184">
        <v>1</v>
      </c>
      <c r="M185" s="184">
        <v>1</v>
      </c>
      <c r="N185" s="183"/>
      <c r="O185" s="183"/>
      <c r="P185" s="194">
        <f>SUM(Tabela2[[#This Row],[G]]+Tabela2[[#This Row],[D]]+Tabela2[[#This Row],[N]]+Tabela2[[#This Row],[HM]])</f>
        <v>5</v>
      </c>
      <c r="Q185" s="194">
        <f>SUM(Tabela2[[#This Row],[AO]]+Tabela2[[#This Row],[AD]]+Tabela2[[#This Row],[GWO]]+Tabela2[[#This Row],[GWD]])</f>
        <v>4</v>
      </c>
      <c r="R185" s="194">
        <f>Tabela2[[#This Row],[GWO]]+Tabela2[[#This Row],[GWD]]</f>
        <v>2</v>
      </c>
      <c r="S185" s="194">
        <f>SUM(Tabela2[[#This Row],[G]:[GWD]])</f>
        <v>9</v>
      </c>
    </row>
    <row r="186" spans="1:19" ht="30">
      <c r="A186" s="197">
        <v>142</v>
      </c>
      <c r="B186" s="184" t="s">
        <v>616</v>
      </c>
      <c r="C186" s="184" t="s">
        <v>576</v>
      </c>
      <c r="D186" s="184">
        <v>3</v>
      </c>
      <c r="E186" s="184" t="s">
        <v>264</v>
      </c>
      <c r="F186" s="184">
        <v>1</v>
      </c>
      <c r="G186" s="184">
        <v>1</v>
      </c>
      <c r="H186" s="184">
        <v>1</v>
      </c>
      <c r="I186" s="184">
        <v>1</v>
      </c>
      <c r="J186" s="184">
        <v>1</v>
      </c>
      <c r="K186" s="184">
        <v>1</v>
      </c>
      <c r="L186" s="184">
        <v>1</v>
      </c>
      <c r="M186" s="184">
        <v>1</v>
      </c>
      <c r="N186" s="183"/>
      <c r="O186" s="183"/>
      <c r="P186" s="194">
        <f>SUM(Tabela2[[#This Row],[G]]+Tabela2[[#This Row],[D]]+Tabela2[[#This Row],[N]]+Tabela2[[#This Row],[HM]])</f>
        <v>4</v>
      </c>
      <c r="Q186" s="194">
        <f>SUM(Tabela2[[#This Row],[AO]]+Tabela2[[#This Row],[AD]]+Tabela2[[#This Row],[GWO]]+Tabela2[[#This Row],[GWD]])</f>
        <v>4</v>
      </c>
      <c r="R186" s="194">
        <f>Tabela2[[#This Row],[GWO]]+Tabela2[[#This Row],[GWD]]</f>
        <v>2</v>
      </c>
      <c r="S186" s="194">
        <f>SUM(Tabela2[[#This Row],[G]:[GWD]])</f>
        <v>8</v>
      </c>
    </row>
    <row r="187" spans="1:19">
      <c r="A187" s="197">
        <v>141</v>
      </c>
      <c r="B187" s="184" t="s">
        <v>617</v>
      </c>
      <c r="C187" s="184" t="s">
        <v>578</v>
      </c>
      <c r="D187" s="184">
        <v>3</v>
      </c>
      <c r="E187" s="184" t="s">
        <v>264</v>
      </c>
      <c r="F187" s="184">
        <v>1</v>
      </c>
      <c r="G187" s="184">
        <v>1</v>
      </c>
      <c r="H187" s="184">
        <v>1</v>
      </c>
      <c r="I187" s="184">
        <v>1</v>
      </c>
      <c r="J187" s="184">
        <v>1</v>
      </c>
      <c r="K187" s="184">
        <v>1</v>
      </c>
      <c r="L187" s="184">
        <v>1</v>
      </c>
      <c r="M187" s="184">
        <v>1</v>
      </c>
      <c r="N187" s="183"/>
      <c r="O187" s="183"/>
      <c r="P187" s="194">
        <f>SUM(Tabela2[[#This Row],[G]]+Tabela2[[#This Row],[D]]+Tabela2[[#This Row],[N]]+Tabela2[[#This Row],[HM]])</f>
        <v>4</v>
      </c>
      <c r="Q187" s="194">
        <f>SUM(Tabela2[[#This Row],[AO]]+Tabela2[[#This Row],[AD]]+Tabela2[[#This Row],[GWO]]+Tabela2[[#This Row],[GWD]])</f>
        <v>4</v>
      </c>
      <c r="R187" s="194">
        <f>Tabela2[[#This Row],[GWO]]+Tabela2[[#This Row],[GWD]]</f>
        <v>2</v>
      </c>
      <c r="S187" s="194">
        <f>SUM(Tabela2[[#This Row],[G]:[GWD]])</f>
        <v>8</v>
      </c>
    </row>
    <row r="188" spans="1:19" ht="30">
      <c r="A188" s="197">
        <v>140</v>
      </c>
      <c r="B188" s="184" t="s">
        <v>618</v>
      </c>
      <c r="C188" s="184" t="s">
        <v>579</v>
      </c>
      <c r="D188" s="184">
        <v>3</v>
      </c>
      <c r="E188" s="184" t="s">
        <v>264</v>
      </c>
      <c r="F188" s="184">
        <v>1</v>
      </c>
      <c r="G188" s="184">
        <v>1</v>
      </c>
      <c r="H188" s="184">
        <v>1</v>
      </c>
      <c r="I188" s="184">
        <v>1</v>
      </c>
      <c r="J188" s="184">
        <v>1</v>
      </c>
      <c r="K188" s="184">
        <v>1</v>
      </c>
      <c r="L188" s="184">
        <v>1</v>
      </c>
      <c r="M188" s="184">
        <v>1</v>
      </c>
      <c r="N188" s="183"/>
      <c r="O188" s="183"/>
      <c r="P188" s="194">
        <f>SUM(Tabela2[[#This Row],[G]]+Tabela2[[#This Row],[D]]+Tabela2[[#This Row],[N]]+Tabela2[[#This Row],[HM]])</f>
        <v>4</v>
      </c>
      <c r="Q188" s="194">
        <f>SUM(Tabela2[[#This Row],[AO]]+Tabela2[[#This Row],[AD]]+Tabela2[[#This Row],[GWO]]+Tabela2[[#This Row],[GWD]])</f>
        <v>4</v>
      </c>
      <c r="R188" s="194">
        <f>Tabela2[[#This Row],[GWO]]+Tabela2[[#This Row],[GWD]]</f>
        <v>2</v>
      </c>
      <c r="S188" s="194">
        <f>SUM(Tabela2[[#This Row],[G]:[GWD]])</f>
        <v>8</v>
      </c>
    </row>
    <row r="189" spans="1:19" ht="30">
      <c r="A189" s="197">
        <v>139</v>
      </c>
      <c r="B189" s="184" t="s">
        <v>619</v>
      </c>
      <c r="C189" s="184" t="s">
        <v>581</v>
      </c>
      <c r="D189" s="184">
        <v>3</v>
      </c>
      <c r="E189" s="184" t="s">
        <v>264</v>
      </c>
      <c r="F189" s="184">
        <v>1</v>
      </c>
      <c r="G189" s="184">
        <v>1</v>
      </c>
      <c r="H189" s="184">
        <v>1</v>
      </c>
      <c r="I189" s="184">
        <v>1</v>
      </c>
      <c r="J189" s="184">
        <v>1</v>
      </c>
      <c r="K189" s="184">
        <v>1</v>
      </c>
      <c r="L189" s="184">
        <v>1</v>
      </c>
      <c r="M189" s="184">
        <v>1</v>
      </c>
      <c r="N189" s="183"/>
      <c r="O189" s="183"/>
      <c r="P189" s="194">
        <f>SUM(Tabela2[[#This Row],[G]]+Tabela2[[#This Row],[D]]+Tabela2[[#This Row],[N]]+Tabela2[[#This Row],[HM]])</f>
        <v>4</v>
      </c>
      <c r="Q189" s="194">
        <f>SUM(Tabela2[[#This Row],[AO]]+Tabela2[[#This Row],[AD]]+Tabela2[[#This Row],[GWO]]+Tabela2[[#This Row],[GWD]])</f>
        <v>4</v>
      </c>
      <c r="R189" s="194">
        <f>Tabela2[[#This Row],[GWO]]+Tabela2[[#This Row],[GWD]]</f>
        <v>2</v>
      </c>
      <c r="S189" s="194">
        <f>SUM(Tabela2[[#This Row],[G]:[GWD]])</f>
        <v>8</v>
      </c>
    </row>
    <row r="190" spans="1:19" ht="30">
      <c r="A190" s="197">
        <v>138</v>
      </c>
      <c r="B190" s="184" t="s">
        <v>620</v>
      </c>
      <c r="C190" s="184" t="s">
        <v>583</v>
      </c>
      <c r="D190" s="184">
        <v>3</v>
      </c>
      <c r="E190" s="184" t="s">
        <v>264</v>
      </c>
      <c r="F190" s="184">
        <v>1</v>
      </c>
      <c r="G190" s="184">
        <v>1</v>
      </c>
      <c r="H190" s="184">
        <v>1</v>
      </c>
      <c r="I190" s="184">
        <v>1</v>
      </c>
      <c r="J190" s="184">
        <v>1</v>
      </c>
      <c r="K190" s="184">
        <v>1</v>
      </c>
      <c r="L190" s="184">
        <v>1</v>
      </c>
      <c r="M190" s="184">
        <v>1</v>
      </c>
      <c r="N190" s="183"/>
      <c r="O190" s="183"/>
      <c r="P190" s="194">
        <f>SUM(Tabela2[[#This Row],[G]]+Tabela2[[#This Row],[D]]+Tabela2[[#This Row],[N]]+Tabela2[[#This Row],[HM]])</f>
        <v>4</v>
      </c>
      <c r="Q190" s="194">
        <f>SUM(Tabela2[[#This Row],[AO]]+Tabela2[[#This Row],[AD]]+Tabela2[[#This Row],[GWO]]+Tabela2[[#This Row],[GWD]])</f>
        <v>4</v>
      </c>
      <c r="R190" s="194">
        <f>Tabela2[[#This Row],[GWO]]+Tabela2[[#This Row],[GWD]]</f>
        <v>2</v>
      </c>
      <c r="S190" s="194">
        <f>SUM(Tabela2[[#This Row],[G]:[GWD]])</f>
        <v>8</v>
      </c>
    </row>
    <row r="191" spans="1:19">
      <c r="A191" s="197">
        <v>137</v>
      </c>
      <c r="B191" s="184" t="s">
        <v>621</v>
      </c>
      <c r="C191" s="184" t="s">
        <v>303</v>
      </c>
      <c r="D191" s="184">
        <v>3</v>
      </c>
      <c r="E191" s="184" t="s">
        <v>264</v>
      </c>
      <c r="F191" s="184">
        <v>1</v>
      </c>
      <c r="G191" s="184">
        <v>1</v>
      </c>
      <c r="H191" s="184">
        <v>1</v>
      </c>
      <c r="I191" s="184">
        <v>1</v>
      </c>
      <c r="J191" s="184">
        <v>1</v>
      </c>
      <c r="K191" s="184">
        <v>1</v>
      </c>
      <c r="L191" s="184">
        <v>1</v>
      </c>
      <c r="M191" s="184">
        <v>1</v>
      </c>
      <c r="N191" s="183"/>
      <c r="O191" s="183"/>
      <c r="P191" s="194">
        <f>SUM(Tabela2[[#This Row],[G]]+Tabela2[[#This Row],[D]]+Tabela2[[#This Row],[N]]+Tabela2[[#This Row],[HM]])</f>
        <v>4</v>
      </c>
      <c r="Q191" s="194">
        <f>SUM(Tabela2[[#This Row],[AO]]+Tabela2[[#This Row],[AD]]+Tabela2[[#This Row],[GWO]]+Tabela2[[#This Row],[GWD]])</f>
        <v>4</v>
      </c>
      <c r="R191" s="194">
        <f>Tabela2[[#This Row],[GWO]]+Tabela2[[#This Row],[GWD]]</f>
        <v>2</v>
      </c>
      <c r="S191" s="194">
        <f>SUM(Tabela2[[#This Row],[G]:[GWD]])</f>
        <v>8</v>
      </c>
    </row>
    <row r="192" spans="1:19" ht="30">
      <c r="A192" s="197">
        <v>136</v>
      </c>
      <c r="B192" s="184" t="s">
        <v>622</v>
      </c>
      <c r="C192" s="184" t="s">
        <v>585</v>
      </c>
      <c r="D192" s="184">
        <v>3</v>
      </c>
      <c r="E192" s="184" t="s">
        <v>264</v>
      </c>
      <c r="F192" s="184">
        <v>2</v>
      </c>
      <c r="G192" s="184">
        <v>2</v>
      </c>
      <c r="H192" s="184">
        <v>1</v>
      </c>
      <c r="I192" s="184">
        <v>3</v>
      </c>
      <c r="J192" s="184">
        <v>1</v>
      </c>
      <c r="K192" s="184">
        <v>4</v>
      </c>
      <c r="L192" s="184">
        <v>3</v>
      </c>
      <c r="M192" s="184">
        <v>2</v>
      </c>
      <c r="N192" s="183"/>
      <c r="O192" s="183"/>
      <c r="P192" s="194">
        <f>SUM(Tabela2[[#This Row],[G]]+Tabela2[[#This Row],[D]]+Tabela2[[#This Row],[N]]+Tabela2[[#This Row],[HM]])</f>
        <v>9</v>
      </c>
      <c r="Q192" s="194">
        <f>SUM(Tabela2[[#This Row],[AO]]+Tabela2[[#This Row],[AD]]+Tabela2[[#This Row],[GWO]]+Tabela2[[#This Row],[GWD]])</f>
        <v>9</v>
      </c>
      <c r="R192" s="194">
        <f>Tabela2[[#This Row],[GWO]]+Tabela2[[#This Row],[GWD]]</f>
        <v>5</v>
      </c>
      <c r="S192" s="194">
        <f>SUM(Tabela2[[#This Row],[G]:[GWD]])</f>
        <v>18</v>
      </c>
    </row>
    <row r="193" spans="1:19">
      <c r="A193" s="197">
        <v>135</v>
      </c>
      <c r="B193" s="184" t="s">
        <v>623</v>
      </c>
      <c r="C193" s="184" t="s">
        <v>587</v>
      </c>
      <c r="D193" s="184">
        <v>3</v>
      </c>
      <c r="E193" s="184" t="s">
        <v>264</v>
      </c>
      <c r="F193" s="184">
        <v>1</v>
      </c>
      <c r="G193" s="184">
        <v>1</v>
      </c>
      <c r="H193" s="184">
        <v>1</v>
      </c>
      <c r="I193" s="184">
        <v>2</v>
      </c>
      <c r="J193" s="184">
        <v>1</v>
      </c>
      <c r="K193" s="184">
        <v>1</v>
      </c>
      <c r="L193" s="184">
        <v>2</v>
      </c>
      <c r="M193" s="184">
        <v>1</v>
      </c>
      <c r="N193" s="183"/>
      <c r="O193" s="183"/>
      <c r="P193" s="194">
        <f>SUM(Tabela2[[#This Row],[G]]+Tabela2[[#This Row],[D]]+Tabela2[[#This Row],[N]]+Tabela2[[#This Row],[HM]])</f>
        <v>4</v>
      </c>
      <c r="Q193" s="194">
        <f>SUM(Tabela2[[#This Row],[AO]]+Tabela2[[#This Row],[AD]]+Tabela2[[#This Row],[GWO]]+Tabela2[[#This Row],[GWD]])</f>
        <v>6</v>
      </c>
      <c r="R193" s="194">
        <f>Tabela2[[#This Row],[GWO]]+Tabela2[[#This Row],[GWD]]</f>
        <v>3</v>
      </c>
      <c r="S193" s="194">
        <f>SUM(Tabela2[[#This Row],[G]:[GWD]])</f>
        <v>10</v>
      </c>
    </row>
    <row r="194" spans="1:19">
      <c r="A194" s="197">
        <v>134</v>
      </c>
      <c r="B194" s="185" t="s">
        <v>624</v>
      </c>
      <c r="C194" s="185" t="s">
        <v>534</v>
      </c>
      <c r="D194" s="185">
        <v>3</v>
      </c>
      <c r="E194" s="185" t="s">
        <v>263</v>
      </c>
      <c r="F194" s="185">
        <v>1</v>
      </c>
      <c r="G194" s="185">
        <v>1</v>
      </c>
      <c r="H194" s="185">
        <v>1</v>
      </c>
      <c r="I194" s="185">
        <v>1</v>
      </c>
      <c r="J194" s="185">
        <v>1</v>
      </c>
      <c r="K194" s="185">
        <v>1</v>
      </c>
      <c r="L194" s="185">
        <v>1</v>
      </c>
      <c r="M194" s="185">
        <v>1</v>
      </c>
      <c r="N194" s="185" t="s">
        <v>458</v>
      </c>
      <c r="O194" s="185"/>
      <c r="P194" s="200">
        <f>SUM(Tabela2[[#This Row],[G]]+Tabela2[[#This Row],[D]]+Tabela2[[#This Row],[N]]+Tabela2[[#This Row],[HM]])</f>
        <v>4</v>
      </c>
      <c r="Q194" s="200">
        <f>SUM(Tabela2[[#This Row],[AO]]+Tabela2[[#This Row],[AD]]+Tabela2[[#This Row],[GWO]]+Tabela2[[#This Row],[GWD]])</f>
        <v>4</v>
      </c>
      <c r="R194" s="200">
        <f>Tabela2[[#This Row],[GWO]]+Tabela2[[#This Row],[GWD]]</f>
        <v>2</v>
      </c>
      <c r="S194" s="194">
        <f>SUM(Tabela2[[#This Row],[G]:[GWD]])</f>
        <v>8</v>
      </c>
    </row>
    <row r="195" spans="1:19">
      <c r="A195" s="197">
        <v>133</v>
      </c>
      <c r="B195" s="185" t="s">
        <v>625</v>
      </c>
      <c r="C195" s="185" t="s">
        <v>297</v>
      </c>
      <c r="D195" s="185">
        <v>3</v>
      </c>
      <c r="E195" s="185" t="s">
        <v>263</v>
      </c>
      <c r="F195" s="185">
        <v>2</v>
      </c>
      <c r="G195" s="185">
        <v>1</v>
      </c>
      <c r="H195" s="185">
        <v>3</v>
      </c>
      <c r="I195" s="185">
        <v>2</v>
      </c>
      <c r="J195" s="185">
        <v>1</v>
      </c>
      <c r="K195" s="185">
        <v>1</v>
      </c>
      <c r="L195" s="185">
        <v>3</v>
      </c>
      <c r="M195" s="185">
        <v>1</v>
      </c>
      <c r="N195" s="183"/>
      <c r="O195" s="183"/>
      <c r="P195" s="194">
        <f>SUM(Tabela2[[#This Row],[G]]+Tabela2[[#This Row],[D]]+Tabela2[[#This Row],[N]]+Tabela2[[#This Row],[HM]])</f>
        <v>7</v>
      </c>
      <c r="Q195" s="194">
        <f>SUM(Tabela2[[#This Row],[AO]]+Tabela2[[#This Row],[AD]]+Tabela2[[#This Row],[GWO]]+Tabela2[[#This Row],[GWD]])</f>
        <v>7</v>
      </c>
      <c r="R195" s="194">
        <f>Tabela2[[#This Row],[GWO]]+Tabela2[[#This Row],[GWD]]</f>
        <v>4</v>
      </c>
      <c r="S195" s="194">
        <f>SUM(Tabela2[[#This Row],[G]:[GWD]])</f>
        <v>14</v>
      </c>
    </row>
    <row r="196" spans="1:19" ht="30">
      <c r="A196" s="197">
        <v>132</v>
      </c>
      <c r="B196" s="185" t="s">
        <v>626</v>
      </c>
      <c r="C196" s="185" t="s">
        <v>539</v>
      </c>
      <c r="D196" s="185">
        <v>3</v>
      </c>
      <c r="E196" s="185" t="s">
        <v>263</v>
      </c>
      <c r="F196" s="185">
        <v>1</v>
      </c>
      <c r="G196" s="185">
        <v>1</v>
      </c>
      <c r="H196" s="185">
        <v>1</v>
      </c>
      <c r="I196" s="185">
        <v>1</v>
      </c>
      <c r="J196" s="185">
        <v>1</v>
      </c>
      <c r="K196" s="185">
        <v>1</v>
      </c>
      <c r="L196" s="185">
        <v>1</v>
      </c>
      <c r="M196" s="185">
        <v>1</v>
      </c>
      <c r="N196" s="183"/>
      <c r="O196" s="183"/>
      <c r="P196" s="194">
        <f>SUM(Tabela2[[#This Row],[G]]+Tabela2[[#This Row],[D]]+Tabela2[[#This Row],[N]]+Tabela2[[#This Row],[HM]])</f>
        <v>4</v>
      </c>
      <c r="Q196" s="194">
        <f>SUM(Tabela2[[#This Row],[AO]]+Tabela2[[#This Row],[AD]]+Tabela2[[#This Row],[GWO]]+Tabela2[[#This Row],[GWD]])</f>
        <v>4</v>
      </c>
      <c r="R196" s="194">
        <f>Tabela2[[#This Row],[GWO]]+Tabela2[[#This Row],[GWD]]</f>
        <v>2</v>
      </c>
      <c r="S196" s="194">
        <f>SUM(Tabela2[[#This Row],[G]:[GWD]])</f>
        <v>8</v>
      </c>
    </row>
    <row r="197" spans="1:19" ht="30">
      <c r="A197" s="197">
        <v>131</v>
      </c>
      <c r="B197" s="185" t="s">
        <v>627</v>
      </c>
      <c r="C197" s="185" t="s">
        <v>541</v>
      </c>
      <c r="D197" s="185">
        <v>3</v>
      </c>
      <c r="E197" s="185" t="s">
        <v>263</v>
      </c>
      <c r="F197" s="185">
        <v>1</v>
      </c>
      <c r="G197" s="185">
        <v>1</v>
      </c>
      <c r="H197" s="185">
        <v>1</v>
      </c>
      <c r="I197" s="185">
        <v>1</v>
      </c>
      <c r="J197" s="185">
        <v>1</v>
      </c>
      <c r="K197" s="185">
        <v>1</v>
      </c>
      <c r="L197" s="185">
        <v>1</v>
      </c>
      <c r="M197" s="185">
        <v>1</v>
      </c>
      <c r="N197" s="183"/>
      <c r="O197" s="183"/>
      <c r="P197" s="194">
        <f>SUM(Tabela2[[#This Row],[G]]+Tabela2[[#This Row],[D]]+Tabela2[[#This Row],[N]]+Tabela2[[#This Row],[HM]])</f>
        <v>4</v>
      </c>
      <c r="Q197" s="194">
        <f>SUM(Tabela2[[#This Row],[AO]]+Tabela2[[#This Row],[AD]]+Tabela2[[#This Row],[GWO]]+Tabela2[[#This Row],[GWD]])</f>
        <v>4</v>
      </c>
      <c r="R197" s="194">
        <f>Tabela2[[#This Row],[GWO]]+Tabela2[[#This Row],[GWD]]</f>
        <v>2</v>
      </c>
      <c r="S197" s="194">
        <f>SUM(Tabela2[[#This Row],[G]:[GWD]])</f>
        <v>8</v>
      </c>
    </row>
    <row r="198" spans="1:19" ht="30">
      <c r="A198" s="197">
        <v>130</v>
      </c>
      <c r="B198" s="185" t="s">
        <v>628</v>
      </c>
      <c r="C198" s="185" t="s">
        <v>543</v>
      </c>
      <c r="D198" s="185">
        <v>3</v>
      </c>
      <c r="E198" s="185" t="s">
        <v>263</v>
      </c>
      <c r="F198" s="185">
        <v>1</v>
      </c>
      <c r="G198" s="185">
        <v>1</v>
      </c>
      <c r="H198" s="185">
        <v>1</v>
      </c>
      <c r="I198" s="185">
        <v>1</v>
      </c>
      <c r="J198" s="185">
        <v>1</v>
      </c>
      <c r="K198" s="185">
        <v>1</v>
      </c>
      <c r="L198" s="185">
        <v>1</v>
      </c>
      <c r="M198" s="185">
        <v>1</v>
      </c>
      <c r="N198" s="185" t="s">
        <v>458</v>
      </c>
      <c r="O198" s="185"/>
      <c r="P198" s="200">
        <f>SUM(Tabela2[[#This Row],[G]]+Tabela2[[#This Row],[D]]+Tabela2[[#This Row],[N]]+Tabela2[[#This Row],[HM]])</f>
        <v>4</v>
      </c>
      <c r="Q198" s="200">
        <f>SUM(Tabela2[[#This Row],[AO]]+Tabela2[[#This Row],[AD]]+Tabela2[[#This Row],[GWO]]+Tabela2[[#This Row],[GWD]])</f>
        <v>4</v>
      </c>
      <c r="R198" s="200">
        <f>Tabela2[[#This Row],[GWO]]+Tabela2[[#This Row],[GWD]]</f>
        <v>2</v>
      </c>
      <c r="S198" s="194">
        <f>SUM(Tabela2[[#This Row],[G]:[GWD]])</f>
        <v>8</v>
      </c>
    </row>
    <row r="199" spans="1:19" ht="30">
      <c r="A199" s="197">
        <v>129</v>
      </c>
      <c r="B199" s="185" t="s">
        <v>629</v>
      </c>
      <c r="C199" s="185" t="s">
        <v>545</v>
      </c>
      <c r="D199" s="185">
        <v>3</v>
      </c>
      <c r="E199" s="185" t="s">
        <v>263</v>
      </c>
      <c r="F199" s="185">
        <v>1</v>
      </c>
      <c r="G199" s="185">
        <v>1</v>
      </c>
      <c r="H199" s="185">
        <v>1</v>
      </c>
      <c r="I199" s="185">
        <v>1</v>
      </c>
      <c r="J199" s="185">
        <v>1</v>
      </c>
      <c r="K199" s="185">
        <v>1</v>
      </c>
      <c r="L199" s="185">
        <v>1</v>
      </c>
      <c r="M199" s="185">
        <v>1</v>
      </c>
      <c r="N199" s="183"/>
      <c r="O199" s="183"/>
      <c r="P199" s="194">
        <f>SUM(Tabela2[[#This Row],[G]]+Tabela2[[#This Row],[D]]+Tabela2[[#This Row],[N]]+Tabela2[[#This Row],[HM]])</f>
        <v>4</v>
      </c>
      <c r="Q199" s="194">
        <f>SUM(Tabela2[[#This Row],[AO]]+Tabela2[[#This Row],[AD]]+Tabela2[[#This Row],[GWO]]+Tabela2[[#This Row],[GWD]])</f>
        <v>4</v>
      </c>
      <c r="R199" s="194">
        <f>Tabela2[[#This Row],[GWO]]+Tabela2[[#This Row],[GWD]]</f>
        <v>2</v>
      </c>
      <c r="S199" s="194">
        <f>SUM(Tabela2[[#This Row],[G]:[GWD]])</f>
        <v>8</v>
      </c>
    </row>
    <row r="200" spans="1:19" ht="30">
      <c r="A200" s="197">
        <v>128</v>
      </c>
      <c r="B200" s="185" t="s">
        <v>630</v>
      </c>
      <c r="C200" s="185" t="s">
        <v>547</v>
      </c>
      <c r="D200" s="185">
        <v>3</v>
      </c>
      <c r="E200" s="185" t="s">
        <v>263</v>
      </c>
      <c r="F200" s="185">
        <v>1</v>
      </c>
      <c r="G200" s="185">
        <v>1</v>
      </c>
      <c r="H200" s="185">
        <v>1</v>
      </c>
      <c r="I200" s="185">
        <v>1</v>
      </c>
      <c r="J200" s="185">
        <v>1</v>
      </c>
      <c r="K200" s="185">
        <v>1</v>
      </c>
      <c r="L200" s="185">
        <v>1</v>
      </c>
      <c r="M200" s="185">
        <v>1</v>
      </c>
      <c r="N200" s="183"/>
      <c r="O200" s="183"/>
      <c r="P200" s="194">
        <f>SUM(Tabela2[[#This Row],[G]]+Tabela2[[#This Row],[D]]+Tabela2[[#This Row],[N]]+Tabela2[[#This Row],[HM]])</f>
        <v>4</v>
      </c>
      <c r="Q200" s="194">
        <f>SUM(Tabela2[[#This Row],[AO]]+Tabela2[[#This Row],[AD]]+Tabela2[[#This Row],[GWO]]+Tabela2[[#This Row],[GWD]])</f>
        <v>4</v>
      </c>
      <c r="R200" s="194">
        <f>Tabela2[[#This Row],[GWO]]+Tabela2[[#This Row],[GWD]]</f>
        <v>2</v>
      </c>
      <c r="S200" s="194">
        <f>SUM(Tabela2[[#This Row],[G]:[GWD]])</f>
        <v>8</v>
      </c>
    </row>
    <row r="201" spans="1:19" ht="30">
      <c r="A201" s="197">
        <v>127</v>
      </c>
      <c r="B201" s="185" t="s">
        <v>631</v>
      </c>
      <c r="C201" s="185" t="s">
        <v>413</v>
      </c>
      <c r="D201" s="185">
        <v>3</v>
      </c>
      <c r="E201" s="185" t="s">
        <v>263</v>
      </c>
      <c r="F201" s="185">
        <v>1</v>
      </c>
      <c r="G201" s="185">
        <v>1</v>
      </c>
      <c r="H201" s="185">
        <v>1</v>
      </c>
      <c r="I201" s="185">
        <v>1</v>
      </c>
      <c r="J201" s="185">
        <v>1</v>
      </c>
      <c r="K201" s="185">
        <v>1</v>
      </c>
      <c r="L201" s="185">
        <v>1</v>
      </c>
      <c r="M201" s="185">
        <v>1</v>
      </c>
      <c r="N201" s="183"/>
      <c r="O201" s="183"/>
      <c r="P201" s="194">
        <f>SUM(Tabela2[[#This Row],[G]]+Tabela2[[#This Row],[D]]+Tabela2[[#This Row],[N]]+Tabela2[[#This Row],[HM]])</f>
        <v>4</v>
      </c>
      <c r="Q201" s="194">
        <f>SUM(Tabela2[[#This Row],[AO]]+Tabela2[[#This Row],[AD]]+Tabela2[[#This Row],[GWO]]+Tabela2[[#This Row],[GWD]])</f>
        <v>4</v>
      </c>
      <c r="R201" s="194">
        <f>Tabela2[[#This Row],[GWO]]+Tabela2[[#This Row],[GWD]]</f>
        <v>2</v>
      </c>
      <c r="S201" s="194">
        <f>SUM(Tabela2[[#This Row],[G]:[GWD]])</f>
        <v>8</v>
      </c>
    </row>
    <row r="202" spans="1:19">
      <c r="A202" s="197">
        <v>126</v>
      </c>
      <c r="B202" s="185" t="s">
        <v>632</v>
      </c>
      <c r="C202" s="185" t="s">
        <v>549</v>
      </c>
      <c r="D202" s="185">
        <v>3</v>
      </c>
      <c r="E202" s="185" t="s">
        <v>263</v>
      </c>
      <c r="F202" s="185">
        <v>2</v>
      </c>
      <c r="G202" s="185">
        <v>1</v>
      </c>
      <c r="H202" s="185">
        <v>1</v>
      </c>
      <c r="I202" s="185">
        <v>1</v>
      </c>
      <c r="J202" s="185">
        <v>1</v>
      </c>
      <c r="K202" s="185">
        <v>1</v>
      </c>
      <c r="L202" s="185">
        <v>1</v>
      </c>
      <c r="M202" s="185">
        <v>1</v>
      </c>
      <c r="N202" s="185" t="s">
        <v>458</v>
      </c>
      <c r="O202" s="185"/>
      <c r="P202" s="200">
        <f>SUM(Tabela2[[#This Row],[G]]+Tabela2[[#This Row],[D]]+Tabela2[[#This Row],[N]]+Tabela2[[#This Row],[HM]])</f>
        <v>5</v>
      </c>
      <c r="Q202" s="200">
        <f>SUM(Tabela2[[#This Row],[AO]]+Tabela2[[#This Row],[AD]]+Tabela2[[#This Row],[GWO]]+Tabela2[[#This Row],[GWD]])</f>
        <v>4</v>
      </c>
      <c r="R202" s="200">
        <f>Tabela2[[#This Row],[GWO]]+Tabela2[[#This Row],[GWD]]</f>
        <v>2</v>
      </c>
      <c r="S202" s="194">
        <f>SUM(Tabela2[[#This Row],[G]:[GWD]])</f>
        <v>9</v>
      </c>
    </row>
    <row r="203" spans="1:19" ht="30">
      <c r="A203" s="197">
        <v>125</v>
      </c>
      <c r="B203" s="185" t="s">
        <v>633</v>
      </c>
      <c r="C203" s="185" t="s">
        <v>551</v>
      </c>
      <c r="D203" s="185">
        <v>3</v>
      </c>
      <c r="E203" s="185" t="s">
        <v>263</v>
      </c>
      <c r="F203" s="185">
        <v>3</v>
      </c>
      <c r="G203" s="185">
        <v>1</v>
      </c>
      <c r="H203" s="185">
        <v>1</v>
      </c>
      <c r="I203" s="185">
        <v>3</v>
      </c>
      <c r="J203" s="185">
        <v>1</v>
      </c>
      <c r="K203" s="185">
        <v>1</v>
      </c>
      <c r="L203" s="185">
        <v>5</v>
      </c>
      <c r="M203" s="185">
        <v>1</v>
      </c>
      <c r="N203" s="183"/>
      <c r="O203" s="183" t="s">
        <v>205</v>
      </c>
      <c r="P203" s="194">
        <f>SUM(Tabela2[[#This Row],[G]]+Tabela2[[#This Row],[D]]+Tabela2[[#This Row],[N]]+Tabela2[[#This Row],[HM]])</f>
        <v>6</v>
      </c>
      <c r="Q203" s="194">
        <f>SUM(Tabela2[[#This Row],[AO]]+Tabela2[[#This Row],[AD]]+Tabela2[[#This Row],[GWO]]+Tabela2[[#This Row],[GWD]])</f>
        <v>10</v>
      </c>
      <c r="R203" s="194">
        <f>Tabela2[[#This Row],[GWO]]+Tabela2[[#This Row],[GWD]]</f>
        <v>6</v>
      </c>
      <c r="S203" s="194">
        <f>SUM(Tabela2[[#This Row],[G]:[GWD]])</f>
        <v>16</v>
      </c>
    </row>
    <row r="204" spans="1:19">
      <c r="A204" s="197">
        <v>124</v>
      </c>
      <c r="B204" s="185" t="s">
        <v>634</v>
      </c>
      <c r="C204" s="185" t="s">
        <v>371</v>
      </c>
      <c r="D204" s="185">
        <v>3</v>
      </c>
      <c r="E204" s="185" t="s">
        <v>263</v>
      </c>
      <c r="F204" s="185">
        <v>1</v>
      </c>
      <c r="G204" s="185">
        <v>1</v>
      </c>
      <c r="H204" s="185">
        <v>1</v>
      </c>
      <c r="I204" s="185">
        <v>1</v>
      </c>
      <c r="J204" s="185">
        <v>1</v>
      </c>
      <c r="K204" s="185">
        <v>1</v>
      </c>
      <c r="L204" s="185">
        <v>1</v>
      </c>
      <c r="M204" s="185">
        <v>1</v>
      </c>
      <c r="N204" s="183"/>
      <c r="O204" s="183"/>
      <c r="P204" s="194">
        <f>SUM(Tabela2[[#This Row],[G]]+Tabela2[[#This Row],[D]]+Tabela2[[#This Row],[N]]+Tabela2[[#This Row],[HM]])</f>
        <v>4</v>
      </c>
      <c r="Q204" s="194">
        <f>SUM(Tabela2[[#This Row],[AO]]+Tabela2[[#This Row],[AD]]+Tabela2[[#This Row],[GWO]]+Tabela2[[#This Row],[GWD]])</f>
        <v>4</v>
      </c>
      <c r="R204" s="194">
        <f>Tabela2[[#This Row],[GWO]]+Tabela2[[#This Row],[GWD]]</f>
        <v>2</v>
      </c>
      <c r="S204" s="194">
        <f>SUM(Tabela2[[#This Row],[G]:[GWD]])</f>
        <v>8</v>
      </c>
    </row>
    <row r="205" spans="1:19">
      <c r="A205" s="197">
        <v>123</v>
      </c>
      <c r="B205" s="185" t="s">
        <v>635</v>
      </c>
      <c r="C205" s="185" t="s">
        <v>553</v>
      </c>
      <c r="D205" s="185">
        <v>3</v>
      </c>
      <c r="E205" s="185" t="s">
        <v>263</v>
      </c>
      <c r="F205" s="185">
        <v>1</v>
      </c>
      <c r="G205" s="185">
        <v>1</v>
      </c>
      <c r="H205" s="185">
        <v>1</v>
      </c>
      <c r="I205" s="185">
        <v>1</v>
      </c>
      <c r="J205" s="185">
        <v>1</v>
      </c>
      <c r="K205" s="185">
        <v>1</v>
      </c>
      <c r="L205" s="185">
        <v>1</v>
      </c>
      <c r="M205" s="185">
        <v>1</v>
      </c>
      <c r="N205" s="185" t="s">
        <v>458</v>
      </c>
      <c r="O205" s="185"/>
      <c r="P205" s="200">
        <f>SUM(Tabela2[[#This Row],[G]]+Tabela2[[#This Row],[D]]+Tabela2[[#This Row],[N]]+Tabela2[[#This Row],[HM]])</f>
        <v>4</v>
      </c>
      <c r="Q205" s="200">
        <f>SUM(Tabela2[[#This Row],[AO]]+Tabela2[[#This Row],[AD]]+Tabela2[[#This Row],[GWO]]+Tabela2[[#This Row],[GWD]])</f>
        <v>4</v>
      </c>
      <c r="R205" s="200">
        <f>Tabela2[[#This Row],[GWO]]+Tabela2[[#This Row],[GWD]]</f>
        <v>2</v>
      </c>
      <c r="S205" s="194">
        <f>SUM(Tabela2[[#This Row],[G]:[GWD]])</f>
        <v>8</v>
      </c>
    </row>
    <row r="206" spans="1:19" ht="30">
      <c r="A206" s="197">
        <v>122</v>
      </c>
      <c r="B206" s="185" t="s">
        <v>636</v>
      </c>
      <c r="C206" s="185" t="s">
        <v>555</v>
      </c>
      <c r="D206" s="185">
        <v>3</v>
      </c>
      <c r="E206" s="185" t="s">
        <v>263</v>
      </c>
      <c r="F206" s="185">
        <v>1</v>
      </c>
      <c r="G206" s="185">
        <v>1</v>
      </c>
      <c r="H206" s="185">
        <v>1</v>
      </c>
      <c r="I206" s="185">
        <v>1</v>
      </c>
      <c r="J206" s="185">
        <v>1</v>
      </c>
      <c r="K206" s="185">
        <v>1</v>
      </c>
      <c r="L206" s="185">
        <v>1</v>
      </c>
      <c r="M206" s="185">
        <v>1</v>
      </c>
      <c r="N206" s="183"/>
      <c r="O206" s="183"/>
      <c r="P206" s="194">
        <f>SUM(Tabela2[[#This Row],[G]]+Tabela2[[#This Row],[D]]+Tabela2[[#This Row],[N]]+Tabela2[[#This Row],[HM]])</f>
        <v>4</v>
      </c>
      <c r="Q206" s="194">
        <f>SUM(Tabela2[[#This Row],[AO]]+Tabela2[[#This Row],[AD]]+Tabela2[[#This Row],[GWO]]+Tabela2[[#This Row],[GWD]])</f>
        <v>4</v>
      </c>
      <c r="R206" s="194">
        <f>Tabela2[[#This Row],[GWO]]+Tabela2[[#This Row],[GWD]]</f>
        <v>2</v>
      </c>
      <c r="S206" s="194">
        <f>SUM(Tabela2[[#This Row],[G]:[GWD]])</f>
        <v>8</v>
      </c>
    </row>
    <row r="207" spans="1:19" ht="30">
      <c r="A207" s="197">
        <v>121</v>
      </c>
      <c r="B207" s="185" t="s">
        <v>637</v>
      </c>
      <c r="C207" s="185" t="s">
        <v>557</v>
      </c>
      <c r="D207" s="185">
        <v>3</v>
      </c>
      <c r="E207" s="185" t="s">
        <v>263</v>
      </c>
      <c r="F207" s="185">
        <v>1</v>
      </c>
      <c r="G207" s="185">
        <v>1</v>
      </c>
      <c r="H207" s="185">
        <v>1</v>
      </c>
      <c r="I207" s="185">
        <v>1</v>
      </c>
      <c r="J207" s="185">
        <v>1</v>
      </c>
      <c r="K207" s="185">
        <v>1</v>
      </c>
      <c r="L207" s="185">
        <v>1</v>
      </c>
      <c r="M207" s="185">
        <v>1</v>
      </c>
      <c r="N207" s="183"/>
      <c r="O207" s="183"/>
      <c r="P207" s="194">
        <f>SUM(Tabela2[[#This Row],[G]]+Tabela2[[#This Row],[D]]+Tabela2[[#This Row],[N]]+Tabela2[[#This Row],[HM]])</f>
        <v>4</v>
      </c>
      <c r="Q207" s="194">
        <f>SUM(Tabela2[[#This Row],[AO]]+Tabela2[[#This Row],[AD]]+Tabela2[[#This Row],[GWO]]+Tabela2[[#This Row],[GWD]])</f>
        <v>4</v>
      </c>
      <c r="R207" s="194">
        <f>Tabela2[[#This Row],[GWO]]+Tabela2[[#This Row],[GWD]]</f>
        <v>2</v>
      </c>
      <c r="S207" s="194">
        <f>SUM(Tabela2[[#This Row],[G]:[GWD]])</f>
        <v>8</v>
      </c>
    </row>
    <row r="208" spans="1:19">
      <c r="A208" s="197">
        <v>120</v>
      </c>
      <c r="B208" s="185" t="s">
        <v>638</v>
      </c>
      <c r="C208" s="185" t="s">
        <v>559</v>
      </c>
      <c r="D208" s="185">
        <v>3</v>
      </c>
      <c r="E208" s="185" t="s">
        <v>263</v>
      </c>
      <c r="F208" s="185">
        <v>1</v>
      </c>
      <c r="G208" s="185">
        <v>1</v>
      </c>
      <c r="H208" s="185">
        <v>1</v>
      </c>
      <c r="I208" s="185">
        <v>1</v>
      </c>
      <c r="J208" s="185">
        <v>1</v>
      </c>
      <c r="K208" s="185">
        <v>1</v>
      </c>
      <c r="L208" s="185">
        <v>1</v>
      </c>
      <c r="M208" s="185">
        <v>1</v>
      </c>
      <c r="N208" s="185" t="s">
        <v>458</v>
      </c>
      <c r="O208" s="185"/>
      <c r="P208" s="200">
        <f>SUM(Tabela2[[#This Row],[G]]+Tabela2[[#This Row],[D]]+Tabela2[[#This Row],[N]]+Tabela2[[#This Row],[HM]])</f>
        <v>4</v>
      </c>
      <c r="Q208" s="200">
        <f>SUM(Tabela2[[#This Row],[AO]]+Tabela2[[#This Row],[AD]]+Tabela2[[#This Row],[GWO]]+Tabela2[[#This Row],[GWD]])</f>
        <v>4</v>
      </c>
      <c r="R208" s="200">
        <f>Tabela2[[#This Row],[GWO]]+Tabela2[[#This Row],[GWD]]</f>
        <v>2</v>
      </c>
      <c r="S208" s="194">
        <f>SUM(Tabela2[[#This Row],[G]:[GWD]])</f>
        <v>8</v>
      </c>
    </row>
    <row r="209" spans="1:19" ht="30">
      <c r="A209" s="197">
        <v>119</v>
      </c>
      <c r="B209" s="185" t="s">
        <v>639</v>
      </c>
      <c r="C209" s="185" t="s">
        <v>563</v>
      </c>
      <c r="D209" s="185">
        <v>3</v>
      </c>
      <c r="E209" s="185" t="s">
        <v>263</v>
      </c>
      <c r="F209" s="185">
        <v>1</v>
      </c>
      <c r="G209" s="185">
        <v>1</v>
      </c>
      <c r="H209" s="185">
        <v>1</v>
      </c>
      <c r="I209" s="185">
        <v>1</v>
      </c>
      <c r="J209" s="185">
        <v>1</v>
      </c>
      <c r="K209" s="185">
        <v>1</v>
      </c>
      <c r="L209" s="185">
        <v>1</v>
      </c>
      <c r="M209" s="185">
        <v>1</v>
      </c>
      <c r="N209" s="183"/>
      <c r="O209" s="183"/>
      <c r="P209" s="194">
        <f>SUM(Tabela2[[#This Row],[G]]+Tabela2[[#This Row],[D]]+Tabela2[[#This Row],[N]]+Tabela2[[#This Row],[HM]])</f>
        <v>4</v>
      </c>
      <c r="Q209" s="194">
        <f>SUM(Tabela2[[#This Row],[AO]]+Tabela2[[#This Row],[AD]]+Tabela2[[#This Row],[GWO]]+Tabela2[[#This Row],[GWD]])</f>
        <v>4</v>
      </c>
      <c r="R209" s="194">
        <f>Tabela2[[#This Row],[GWO]]+Tabela2[[#This Row],[GWD]]</f>
        <v>2</v>
      </c>
      <c r="S209" s="194">
        <f>SUM(Tabela2[[#This Row],[G]:[GWD]])</f>
        <v>8</v>
      </c>
    </row>
    <row r="210" spans="1:19">
      <c r="A210" s="197">
        <v>118</v>
      </c>
      <c r="B210" s="185" t="s">
        <v>150</v>
      </c>
      <c r="C210" s="185" t="s">
        <v>565</v>
      </c>
      <c r="D210" s="185">
        <v>3</v>
      </c>
      <c r="E210" s="185" t="s">
        <v>263</v>
      </c>
      <c r="F210" s="185">
        <v>5</v>
      </c>
      <c r="G210" s="185">
        <v>4</v>
      </c>
      <c r="H210" s="185">
        <v>3</v>
      </c>
      <c r="I210" s="185">
        <v>5</v>
      </c>
      <c r="J210" s="185">
        <v>5</v>
      </c>
      <c r="K210" s="185">
        <v>5</v>
      </c>
      <c r="L210" s="185">
        <v>4</v>
      </c>
      <c r="M210" s="185">
        <v>3</v>
      </c>
      <c r="N210" s="183"/>
      <c r="O210" s="183" t="s">
        <v>205</v>
      </c>
      <c r="P210" s="194">
        <f>SUM(Tabela2[[#This Row],[G]]+Tabela2[[#This Row],[D]]+Tabela2[[#This Row],[N]]+Tabela2[[#This Row],[HM]])</f>
        <v>17</v>
      </c>
      <c r="Q210" s="194">
        <f>SUM(Tabela2[[#This Row],[AO]]+Tabela2[[#This Row],[AD]]+Tabela2[[#This Row],[GWO]]+Tabela2[[#This Row],[GWD]])</f>
        <v>17</v>
      </c>
      <c r="R210" s="194">
        <f>Tabela2[[#This Row],[GWO]]+Tabela2[[#This Row],[GWD]]</f>
        <v>7</v>
      </c>
      <c r="S210" s="194">
        <f>SUM(Tabela2[[#This Row],[G]:[GWD]])</f>
        <v>34</v>
      </c>
    </row>
    <row r="211" spans="1:19">
      <c r="A211" s="197">
        <v>117</v>
      </c>
      <c r="B211" s="185" t="s">
        <v>640</v>
      </c>
      <c r="C211" s="185" t="s">
        <v>296</v>
      </c>
      <c r="D211" s="185">
        <v>3</v>
      </c>
      <c r="E211" s="185" t="s">
        <v>263</v>
      </c>
      <c r="F211" s="185">
        <v>2</v>
      </c>
      <c r="G211" s="185">
        <v>1</v>
      </c>
      <c r="H211" s="185">
        <v>1</v>
      </c>
      <c r="I211" s="185">
        <v>2</v>
      </c>
      <c r="J211" s="185">
        <v>1</v>
      </c>
      <c r="K211" s="185">
        <v>1</v>
      </c>
      <c r="L211" s="185">
        <v>3</v>
      </c>
      <c r="M211" s="185">
        <v>1</v>
      </c>
      <c r="N211" s="183"/>
      <c r="O211" s="183"/>
      <c r="P211" s="194">
        <f>SUM(Tabela2[[#This Row],[G]]+Tabela2[[#This Row],[D]]+Tabela2[[#This Row],[N]]+Tabela2[[#This Row],[HM]])</f>
        <v>5</v>
      </c>
      <c r="Q211" s="194">
        <f>SUM(Tabela2[[#This Row],[AO]]+Tabela2[[#This Row],[AD]]+Tabela2[[#This Row],[GWO]]+Tabela2[[#This Row],[GWD]])</f>
        <v>7</v>
      </c>
      <c r="R211" s="194">
        <f>Tabela2[[#This Row],[GWO]]+Tabela2[[#This Row],[GWD]]</f>
        <v>4</v>
      </c>
      <c r="S211" s="194">
        <f>SUM(Tabela2[[#This Row],[G]:[GWD]])</f>
        <v>12</v>
      </c>
    </row>
    <row r="212" spans="1:19" ht="30">
      <c r="A212" s="197">
        <v>116</v>
      </c>
      <c r="B212" s="185" t="s">
        <v>641</v>
      </c>
      <c r="C212" s="185" t="s">
        <v>425</v>
      </c>
      <c r="D212" s="185">
        <v>3</v>
      </c>
      <c r="E212" s="185" t="s">
        <v>263</v>
      </c>
      <c r="F212" s="185">
        <v>3</v>
      </c>
      <c r="G212" s="185">
        <v>2</v>
      </c>
      <c r="H212" s="185">
        <v>1</v>
      </c>
      <c r="I212" s="185">
        <v>1</v>
      </c>
      <c r="J212" s="185">
        <v>3</v>
      </c>
      <c r="K212" s="185">
        <v>2</v>
      </c>
      <c r="L212" s="185">
        <v>3</v>
      </c>
      <c r="M212" s="185">
        <v>2</v>
      </c>
      <c r="N212" s="186"/>
      <c r="O212" s="186" t="s">
        <v>205</v>
      </c>
      <c r="P212" s="195">
        <f>SUM(Tabela2[[#This Row],[G]]+Tabela2[[#This Row],[D]]+Tabela2[[#This Row],[N]]+Tabela2[[#This Row],[HM]])</f>
        <v>8</v>
      </c>
      <c r="Q212" s="195">
        <f>SUM(Tabela2[[#This Row],[AO]]+Tabela2[[#This Row],[AD]]+Tabela2[[#This Row],[GWO]]+Tabela2[[#This Row],[GWD]])</f>
        <v>9</v>
      </c>
      <c r="R212" s="195">
        <f>Tabela2[[#This Row],[GWO]]+Tabela2[[#This Row],[GWD]]</f>
        <v>5</v>
      </c>
      <c r="S212" s="195">
        <f>SUM(Tabela2[[#This Row],[G]:[GWD]])</f>
        <v>17</v>
      </c>
    </row>
    <row r="213" spans="1:19" ht="30">
      <c r="A213" s="197">
        <v>115</v>
      </c>
      <c r="B213" s="185" t="s">
        <v>642</v>
      </c>
      <c r="C213" s="185" t="s">
        <v>576</v>
      </c>
      <c r="D213" s="185">
        <v>3</v>
      </c>
      <c r="E213" s="185" t="s">
        <v>263</v>
      </c>
      <c r="F213" s="185">
        <v>1</v>
      </c>
      <c r="G213" s="185">
        <v>1</v>
      </c>
      <c r="H213" s="185">
        <v>1</v>
      </c>
      <c r="I213" s="185">
        <v>1</v>
      </c>
      <c r="J213" s="185">
        <v>1</v>
      </c>
      <c r="K213" s="185">
        <v>1</v>
      </c>
      <c r="L213" s="185">
        <v>1</v>
      </c>
      <c r="M213" s="185">
        <v>1</v>
      </c>
      <c r="N213" s="183"/>
      <c r="O213" s="183"/>
      <c r="P213" s="194">
        <f>SUM(Tabela2[[#This Row],[G]]+Tabela2[[#This Row],[D]]+Tabela2[[#This Row],[N]]+Tabela2[[#This Row],[HM]])</f>
        <v>4</v>
      </c>
      <c r="Q213" s="194">
        <f>SUM(Tabela2[[#This Row],[AO]]+Tabela2[[#This Row],[AD]]+Tabela2[[#This Row],[GWO]]+Tabela2[[#This Row],[GWD]])</f>
        <v>4</v>
      </c>
      <c r="R213" s="194">
        <f>Tabela2[[#This Row],[GWO]]+Tabela2[[#This Row],[GWD]]</f>
        <v>2</v>
      </c>
      <c r="S213" s="194">
        <f>SUM(Tabela2[[#This Row],[G]:[GWD]])</f>
        <v>8</v>
      </c>
    </row>
    <row r="214" spans="1:19">
      <c r="A214" s="197">
        <v>114</v>
      </c>
      <c r="B214" s="185" t="s">
        <v>643</v>
      </c>
      <c r="C214" s="185" t="s">
        <v>578</v>
      </c>
      <c r="D214" s="185">
        <v>3</v>
      </c>
      <c r="E214" s="185" t="s">
        <v>263</v>
      </c>
      <c r="F214" s="185">
        <v>1</v>
      </c>
      <c r="G214" s="185">
        <v>1</v>
      </c>
      <c r="H214" s="185">
        <v>2</v>
      </c>
      <c r="I214" s="185">
        <v>2</v>
      </c>
      <c r="J214" s="185">
        <v>1</v>
      </c>
      <c r="K214" s="185">
        <v>1</v>
      </c>
      <c r="L214" s="185">
        <v>2</v>
      </c>
      <c r="M214" s="185">
        <v>1</v>
      </c>
      <c r="N214" s="183"/>
      <c r="O214" s="183"/>
      <c r="P214" s="194">
        <f>SUM(Tabela2[[#This Row],[G]]+Tabela2[[#This Row],[D]]+Tabela2[[#This Row],[N]]+Tabela2[[#This Row],[HM]])</f>
        <v>5</v>
      </c>
      <c r="Q214" s="194">
        <f>SUM(Tabela2[[#This Row],[AO]]+Tabela2[[#This Row],[AD]]+Tabela2[[#This Row],[GWO]]+Tabela2[[#This Row],[GWD]])</f>
        <v>6</v>
      </c>
      <c r="R214" s="194">
        <f>Tabela2[[#This Row],[GWO]]+Tabela2[[#This Row],[GWD]]</f>
        <v>3</v>
      </c>
      <c r="S214" s="194">
        <f>SUM(Tabela2[[#This Row],[G]:[GWD]])</f>
        <v>11</v>
      </c>
    </row>
    <row r="215" spans="1:19" ht="30">
      <c r="A215" s="197">
        <v>113</v>
      </c>
      <c r="B215" s="185" t="s">
        <v>644</v>
      </c>
      <c r="C215" s="185" t="s">
        <v>579</v>
      </c>
      <c r="D215" s="185">
        <v>3</v>
      </c>
      <c r="E215" s="185" t="s">
        <v>263</v>
      </c>
      <c r="F215" s="185">
        <v>1</v>
      </c>
      <c r="G215" s="185">
        <v>1</v>
      </c>
      <c r="H215" s="185">
        <v>1</v>
      </c>
      <c r="I215" s="185">
        <v>1</v>
      </c>
      <c r="J215" s="185">
        <v>1</v>
      </c>
      <c r="K215" s="185">
        <v>1</v>
      </c>
      <c r="L215" s="185">
        <v>1</v>
      </c>
      <c r="M215" s="185">
        <v>1</v>
      </c>
      <c r="N215" s="183"/>
      <c r="O215" s="183"/>
      <c r="P215" s="194">
        <f>SUM(Tabela2[[#This Row],[G]]+Tabela2[[#This Row],[D]]+Tabela2[[#This Row],[N]]+Tabela2[[#This Row],[HM]])</f>
        <v>4</v>
      </c>
      <c r="Q215" s="194">
        <f>SUM(Tabela2[[#This Row],[AO]]+Tabela2[[#This Row],[AD]]+Tabela2[[#This Row],[GWO]]+Tabela2[[#This Row],[GWD]])</f>
        <v>4</v>
      </c>
      <c r="R215" s="194">
        <f>Tabela2[[#This Row],[GWO]]+Tabela2[[#This Row],[GWD]]</f>
        <v>2</v>
      </c>
      <c r="S215" s="194">
        <f>SUM(Tabela2[[#This Row],[G]:[GWD]])</f>
        <v>8</v>
      </c>
    </row>
    <row r="216" spans="1:19" ht="30">
      <c r="A216" s="197">
        <v>112</v>
      </c>
      <c r="B216" s="185" t="s">
        <v>645</v>
      </c>
      <c r="C216" s="185" t="s">
        <v>581</v>
      </c>
      <c r="D216" s="185">
        <v>3</v>
      </c>
      <c r="E216" s="185" t="s">
        <v>263</v>
      </c>
      <c r="F216" s="185">
        <v>1</v>
      </c>
      <c r="G216" s="185">
        <v>1</v>
      </c>
      <c r="H216" s="185">
        <v>2</v>
      </c>
      <c r="I216" s="185">
        <v>2</v>
      </c>
      <c r="J216" s="185">
        <v>1</v>
      </c>
      <c r="K216" s="185">
        <v>1</v>
      </c>
      <c r="L216" s="185">
        <v>2</v>
      </c>
      <c r="M216" s="185">
        <v>1</v>
      </c>
      <c r="N216" s="183"/>
      <c r="O216" s="183"/>
      <c r="P216" s="194">
        <f>SUM(Tabela2[[#This Row],[G]]+Tabela2[[#This Row],[D]]+Tabela2[[#This Row],[N]]+Tabela2[[#This Row],[HM]])</f>
        <v>5</v>
      </c>
      <c r="Q216" s="194">
        <f>SUM(Tabela2[[#This Row],[AO]]+Tabela2[[#This Row],[AD]]+Tabela2[[#This Row],[GWO]]+Tabela2[[#This Row],[GWD]])</f>
        <v>6</v>
      </c>
      <c r="R216" s="194">
        <f>Tabela2[[#This Row],[GWO]]+Tabela2[[#This Row],[GWD]]</f>
        <v>3</v>
      </c>
      <c r="S216" s="194">
        <f>SUM(Tabela2[[#This Row],[G]:[GWD]])</f>
        <v>11</v>
      </c>
    </row>
    <row r="217" spans="1:19" ht="30">
      <c r="A217" s="197">
        <v>111</v>
      </c>
      <c r="B217" s="191" t="s">
        <v>646</v>
      </c>
      <c r="C217" s="185" t="s">
        <v>583</v>
      </c>
      <c r="D217" s="185">
        <v>3</v>
      </c>
      <c r="E217" s="185" t="s">
        <v>263</v>
      </c>
      <c r="F217" s="185">
        <v>1</v>
      </c>
      <c r="G217" s="185">
        <v>1</v>
      </c>
      <c r="H217" s="185">
        <v>1</v>
      </c>
      <c r="I217" s="185">
        <v>1</v>
      </c>
      <c r="J217" s="185">
        <v>1</v>
      </c>
      <c r="K217" s="185">
        <v>1</v>
      </c>
      <c r="L217" s="185">
        <v>1</v>
      </c>
      <c r="M217" s="185">
        <v>1</v>
      </c>
      <c r="N217" s="183"/>
      <c r="O217" s="183"/>
      <c r="P217" s="194">
        <f>SUM(Tabela2[[#This Row],[G]]+Tabela2[[#This Row],[D]]+Tabela2[[#This Row],[N]]+Tabela2[[#This Row],[HM]])</f>
        <v>4</v>
      </c>
      <c r="Q217" s="194">
        <f>SUM(Tabela2[[#This Row],[AO]]+Tabela2[[#This Row],[AD]]+Tabela2[[#This Row],[GWO]]+Tabela2[[#This Row],[GWD]])</f>
        <v>4</v>
      </c>
      <c r="R217" s="194">
        <f>Tabela2[[#This Row],[GWO]]+Tabela2[[#This Row],[GWD]]</f>
        <v>2</v>
      </c>
      <c r="S217" s="194">
        <f>SUM(Tabela2[[#This Row],[G]:[GWD]])</f>
        <v>8</v>
      </c>
    </row>
    <row r="218" spans="1:19">
      <c r="A218" s="197">
        <v>110</v>
      </c>
      <c r="B218" s="185" t="s">
        <v>647</v>
      </c>
      <c r="C218" s="185" t="s">
        <v>303</v>
      </c>
      <c r="D218" s="185">
        <v>3</v>
      </c>
      <c r="E218" s="185" t="s">
        <v>263</v>
      </c>
      <c r="F218" s="185">
        <v>1</v>
      </c>
      <c r="G218" s="185">
        <v>1</v>
      </c>
      <c r="H218" s="185">
        <v>1</v>
      </c>
      <c r="I218" s="185">
        <v>1</v>
      </c>
      <c r="J218" s="185">
        <v>1</v>
      </c>
      <c r="K218" s="185">
        <v>1</v>
      </c>
      <c r="L218" s="185">
        <v>1</v>
      </c>
      <c r="M218" s="185">
        <v>1</v>
      </c>
      <c r="N218" s="185" t="s">
        <v>458</v>
      </c>
      <c r="O218" s="185"/>
      <c r="P218" s="200">
        <f>SUM(Tabela2[[#This Row],[G]]+Tabela2[[#This Row],[D]]+Tabela2[[#This Row],[N]]+Tabela2[[#This Row],[HM]])</f>
        <v>4</v>
      </c>
      <c r="Q218" s="200">
        <f>SUM(Tabela2[[#This Row],[AO]]+Tabela2[[#This Row],[AD]]+Tabela2[[#This Row],[GWO]]+Tabela2[[#This Row],[GWD]])</f>
        <v>4</v>
      </c>
      <c r="R218" s="200">
        <f>Tabela2[[#This Row],[GWO]]+Tabela2[[#This Row],[GWD]]</f>
        <v>2</v>
      </c>
      <c r="S218" s="194">
        <f>SUM(Tabela2[[#This Row],[G]:[GWD]])</f>
        <v>8</v>
      </c>
    </row>
    <row r="219" spans="1:19" ht="30">
      <c r="A219" s="197">
        <v>109</v>
      </c>
      <c r="B219" s="185" t="s">
        <v>648</v>
      </c>
      <c r="C219" s="185" t="s">
        <v>585</v>
      </c>
      <c r="D219" s="185">
        <v>3</v>
      </c>
      <c r="E219" s="185" t="s">
        <v>263</v>
      </c>
      <c r="F219" s="185">
        <v>2</v>
      </c>
      <c r="G219" s="185">
        <v>1</v>
      </c>
      <c r="H219" s="185">
        <v>1</v>
      </c>
      <c r="I219" s="185">
        <v>1</v>
      </c>
      <c r="J219" s="185">
        <v>1</v>
      </c>
      <c r="K219" s="185">
        <v>1</v>
      </c>
      <c r="L219" s="185">
        <v>1</v>
      </c>
      <c r="M219" s="185">
        <v>1</v>
      </c>
      <c r="N219" s="183"/>
      <c r="O219" s="183"/>
      <c r="P219" s="194">
        <f>SUM(Tabela2[[#This Row],[G]]+Tabela2[[#This Row],[D]]+Tabela2[[#This Row],[N]]+Tabela2[[#This Row],[HM]])</f>
        <v>5</v>
      </c>
      <c r="Q219" s="194">
        <f>SUM(Tabela2[[#This Row],[AO]]+Tabela2[[#This Row],[AD]]+Tabela2[[#This Row],[GWO]]+Tabela2[[#This Row],[GWD]])</f>
        <v>4</v>
      </c>
      <c r="R219" s="194">
        <f>Tabela2[[#This Row],[GWO]]+Tabela2[[#This Row],[GWD]]</f>
        <v>2</v>
      </c>
      <c r="S219" s="194">
        <f>SUM(Tabela2[[#This Row],[G]:[GWD]])</f>
        <v>9</v>
      </c>
    </row>
    <row r="220" spans="1:19">
      <c r="A220" s="197">
        <v>108</v>
      </c>
      <c r="B220" s="185" t="s">
        <v>649</v>
      </c>
      <c r="C220" s="185" t="s">
        <v>587</v>
      </c>
      <c r="D220" s="185">
        <v>3</v>
      </c>
      <c r="E220" s="185" t="s">
        <v>263</v>
      </c>
      <c r="F220" s="185">
        <v>1</v>
      </c>
      <c r="G220" s="185">
        <v>1</v>
      </c>
      <c r="H220" s="185">
        <v>2</v>
      </c>
      <c r="I220" s="185">
        <v>1</v>
      </c>
      <c r="J220" s="185">
        <v>1</v>
      </c>
      <c r="K220" s="185">
        <v>1</v>
      </c>
      <c r="L220" s="185">
        <v>1</v>
      </c>
      <c r="M220" s="185">
        <v>1</v>
      </c>
      <c r="N220" s="185" t="s">
        <v>458</v>
      </c>
      <c r="O220" s="185"/>
      <c r="P220" s="200">
        <f>SUM(Tabela2[[#This Row],[G]]+Tabela2[[#This Row],[D]]+Tabela2[[#This Row],[N]]+Tabela2[[#This Row],[HM]])</f>
        <v>5</v>
      </c>
      <c r="Q220" s="200">
        <f>SUM(Tabela2[[#This Row],[AO]]+Tabela2[[#This Row],[AD]]+Tabela2[[#This Row],[GWO]]+Tabela2[[#This Row],[GWD]])</f>
        <v>4</v>
      </c>
      <c r="R220" s="200">
        <f>Tabela2[[#This Row],[GWO]]+Tabela2[[#This Row],[GWD]]</f>
        <v>2</v>
      </c>
      <c r="S220" s="194">
        <f>SUM(Tabela2[[#This Row],[G]:[GWD]])</f>
        <v>9</v>
      </c>
    </row>
    <row r="221" spans="1:19">
      <c r="A221" s="197">
        <v>107</v>
      </c>
      <c r="B221" s="187" t="s">
        <v>650</v>
      </c>
      <c r="C221" s="187" t="s">
        <v>534</v>
      </c>
      <c r="D221" s="187">
        <v>3</v>
      </c>
      <c r="E221" s="187" t="s">
        <v>262</v>
      </c>
      <c r="F221" s="187">
        <v>2</v>
      </c>
      <c r="G221" s="187">
        <v>3</v>
      </c>
      <c r="H221" s="187">
        <v>3</v>
      </c>
      <c r="I221" s="187">
        <v>3</v>
      </c>
      <c r="J221" s="187">
        <v>3</v>
      </c>
      <c r="K221" s="187">
        <v>1</v>
      </c>
      <c r="L221" s="187">
        <v>4</v>
      </c>
      <c r="M221" s="187">
        <v>3</v>
      </c>
      <c r="N221" s="183"/>
      <c r="O221" s="183"/>
      <c r="P221" s="194">
        <f>SUM(Tabela2[[#This Row],[G]]+Tabela2[[#This Row],[D]]+Tabela2[[#This Row],[N]]+Tabela2[[#This Row],[HM]])</f>
        <v>9</v>
      </c>
      <c r="Q221" s="194">
        <f>SUM(Tabela2[[#This Row],[AO]]+Tabela2[[#This Row],[AD]]+Tabela2[[#This Row],[GWO]]+Tabela2[[#This Row],[GWD]])</f>
        <v>13</v>
      </c>
      <c r="R221" s="194">
        <f>Tabela2[[#This Row],[GWO]]+Tabela2[[#This Row],[GWD]]</f>
        <v>7</v>
      </c>
      <c r="S221" s="194">
        <f>SUM(Tabela2[[#This Row],[G]:[GWD]])</f>
        <v>22</v>
      </c>
    </row>
    <row r="222" spans="1:19">
      <c r="A222" s="197">
        <v>106</v>
      </c>
      <c r="B222" s="187" t="s">
        <v>651</v>
      </c>
      <c r="C222" s="187" t="s">
        <v>536</v>
      </c>
      <c r="D222" s="187">
        <v>3</v>
      </c>
      <c r="E222" s="187" t="s">
        <v>262</v>
      </c>
      <c r="F222" s="187">
        <v>1</v>
      </c>
      <c r="G222" s="187">
        <v>1</v>
      </c>
      <c r="H222" s="187">
        <v>1</v>
      </c>
      <c r="I222" s="187">
        <v>1</v>
      </c>
      <c r="J222" s="187">
        <v>1</v>
      </c>
      <c r="K222" s="187">
        <v>1</v>
      </c>
      <c r="L222" s="187">
        <v>1</v>
      </c>
      <c r="M222" s="187">
        <v>1</v>
      </c>
      <c r="N222" s="183"/>
      <c r="O222" s="183"/>
      <c r="P222" s="194">
        <f>SUM(Tabela2[[#This Row],[G]]+Tabela2[[#This Row],[D]]+Tabela2[[#This Row],[N]]+Tabela2[[#This Row],[HM]])</f>
        <v>4</v>
      </c>
      <c r="Q222" s="194">
        <f>SUM(Tabela2[[#This Row],[AO]]+Tabela2[[#This Row],[AD]]+Tabela2[[#This Row],[GWO]]+Tabela2[[#This Row],[GWD]])</f>
        <v>4</v>
      </c>
      <c r="R222" s="194">
        <f>Tabela2[[#This Row],[GWO]]+Tabela2[[#This Row],[GWD]]</f>
        <v>2</v>
      </c>
      <c r="S222" s="194">
        <f>SUM(Tabela2[[#This Row],[G]:[GWD]])</f>
        <v>8</v>
      </c>
    </row>
    <row r="223" spans="1:19">
      <c r="A223" s="197">
        <v>105</v>
      </c>
      <c r="B223" s="187" t="s">
        <v>652</v>
      </c>
      <c r="C223" s="187" t="s">
        <v>297</v>
      </c>
      <c r="D223" s="187">
        <v>3</v>
      </c>
      <c r="E223" s="187" t="s">
        <v>262</v>
      </c>
      <c r="F223" s="187">
        <v>1</v>
      </c>
      <c r="G223" s="187">
        <v>1</v>
      </c>
      <c r="H223" s="187">
        <v>1</v>
      </c>
      <c r="I223" s="187">
        <v>1</v>
      </c>
      <c r="J223" s="187">
        <v>1</v>
      </c>
      <c r="K223" s="187">
        <v>1</v>
      </c>
      <c r="L223" s="187">
        <v>1</v>
      </c>
      <c r="M223" s="187">
        <v>1</v>
      </c>
      <c r="N223" s="183"/>
      <c r="O223" s="183"/>
      <c r="P223" s="194">
        <f>SUM(Tabela2[[#This Row],[G]]+Tabela2[[#This Row],[D]]+Tabela2[[#This Row],[N]]+Tabela2[[#This Row],[HM]])</f>
        <v>4</v>
      </c>
      <c r="Q223" s="194">
        <f>SUM(Tabela2[[#This Row],[AO]]+Tabela2[[#This Row],[AD]]+Tabela2[[#This Row],[GWO]]+Tabela2[[#This Row],[GWD]])</f>
        <v>4</v>
      </c>
      <c r="R223" s="194">
        <f>Tabela2[[#This Row],[GWO]]+Tabela2[[#This Row],[GWD]]</f>
        <v>2</v>
      </c>
      <c r="S223" s="194">
        <f>SUM(Tabela2[[#This Row],[G]:[GWD]])</f>
        <v>8</v>
      </c>
    </row>
    <row r="224" spans="1:19" ht="30">
      <c r="A224" s="197">
        <v>104</v>
      </c>
      <c r="B224" s="187" t="s">
        <v>653</v>
      </c>
      <c r="C224" s="187" t="s">
        <v>539</v>
      </c>
      <c r="D224" s="187">
        <v>3</v>
      </c>
      <c r="E224" s="187" t="s">
        <v>262</v>
      </c>
      <c r="F224" s="187">
        <v>1</v>
      </c>
      <c r="G224" s="187">
        <v>1</v>
      </c>
      <c r="H224" s="187">
        <v>1</v>
      </c>
      <c r="I224" s="187">
        <v>1</v>
      </c>
      <c r="J224" s="187">
        <v>1</v>
      </c>
      <c r="K224" s="187">
        <v>1</v>
      </c>
      <c r="L224" s="187">
        <v>1</v>
      </c>
      <c r="M224" s="187">
        <v>1</v>
      </c>
      <c r="N224" s="183"/>
      <c r="O224" s="183"/>
      <c r="P224" s="194">
        <f>SUM(Tabela2[[#This Row],[G]]+Tabela2[[#This Row],[D]]+Tabela2[[#This Row],[N]]+Tabela2[[#This Row],[HM]])</f>
        <v>4</v>
      </c>
      <c r="Q224" s="194">
        <f>SUM(Tabela2[[#This Row],[AO]]+Tabela2[[#This Row],[AD]]+Tabela2[[#This Row],[GWO]]+Tabela2[[#This Row],[GWD]])</f>
        <v>4</v>
      </c>
      <c r="R224" s="194">
        <f>Tabela2[[#This Row],[GWO]]+Tabela2[[#This Row],[GWD]]</f>
        <v>2</v>
      </c>
      <c r="S224" s="194">
        <f>SUM(Tabela2[[#This Row],[G]:[GWD]])</f>
        <v>8</v>
      </c>
    </row>
    <row r="225" spans="1:19" ht="30">
      <c r="A225" s="197">
        <v>103</v>
      </c>
      <c r="B225" s="187" t="s">
        <v>654</v>
      </c>
      <c r="C225" s="187" t="s">
        <v>541</v>
      </c>
      <c r="D225" s="187">
        <v>3</v>
      </c>
      <c r="E225" s="187" t="s">
        <v>262</v>
      </c>
      <c r="F225" s="187">
        <v>3</v>
      </c>
      <c r="G225" s="187">
        <v>4</v>
      </c>
      <c r="H225" s="187">
        <v>1</v>
      </c>
      <c r="I225" s="187">
        <v>4</v>
      </c>
      <c r="J225" s="187">
        <v>2</v>
      </c>
      <c r="K225" s="187">
        <v>2</v>
      </c>
      <c r="L225" s="187">
        <v>4</v>
      </c>
      <c r="M225" s="187">
        <v>2</v>
      </c>
      <c r="N225" s="183"/>
      <c r="O225" s="183" t="s">
        <v>205</v>
      </c>
      <c r="P225" s="194">
        <f>SUM(Tabela2[[#This Row],[G]]+Tabela2[[#This Row],[D]]+Tabela2[[#This Row],[N]]+Tabela2[[#This Row],[HM]])</f>
        <v>10</v>
      </c>
      <c r="Q225" s="194">
        <f>SUM(Tabela2[[#This Row],[AO]]+Tabela2[[#This Row],[AD]]+Tabela2[[#This Row],[GWO]]+Tabela2[[#This Row],[GWD]])</f>
        <v>12</v>
      </c>
      <c r="R225" s="194">
        <f>Tabela2[[#This Row],[GWO]]+Tabela2[[#This Row],[GWD]]</f>
        <v>6</v>
      </c>
      <c r="S225" s="194">
        <f>SUM(Tabela2[[#This Row],[G]:[GWD]])</f>
        <v>22</v>
      </c>
    </row>
    <row r="226" spans="1:19" ht="30">
      <c r="A226" s="197">
        <v>102</v>
      </c>
      <c r="B226" s="187" t="s">
        <v>655</v>
      </c>
      <c r="C226" s="187" t="s">
        <v>543</v>
      </c>
      <c r="D226" s="187">
        <v>3</v>
      </c>
      <c r="E226" s="187" t="s">
        <v>262</v>
      </c>
      <c r="F226" s="187">
        <v>1</v>
      </c>
      <c r="G226" s="187">
        <v>1</v>
      </c>
      <c r="H226" s="187">
        <v>1</v>
      </c>
      <c r="I226" s="187">
        <v>1</v>
      </c>
      <c r="J226" s="187">
        <v>1</v>
      </c>
      <c r="K226" s="187">
        <v>1</v>
      </c>
      <c r="L226" s="187">
        <v>1</v>
      </c>
      <c r="M226" s="187">
        <v>1</v>
      </c>
      <c r="N226" s="183"/>
      <c r="O226" s="183"/>
      <c r="P226" s="194">
        <f>SUM(Tabela2[[#This Row],[G]]+Tabela2[[#This Row],[D]]+Tabela2[[#This Row],[N]]+Tabela2[[#This Row],[HM]])</f>
        <v>4</v>
      </c>
      <c r="Q226" s="194">
        <f>SUM(Tabela2[[#This Row],[AO]]+Tabela2[[#This Row],[AD]]+Tabela2[[#This Row],[GWO]]+Tabela2[[#This Row],[GWD]])</f>
        <v>4</v>
      </c>
      <c r="R226" s="194">
        <f>Tabela2[[#This Row],[GWO]]+Tabela2[[#This Row],[GWD]]</f>
        <v>2</v>
      </c>
      <c r="S226" s="194">
        <f>SUM(Tabela2[[#This Row],[G]:[GWD]])</f>
        <v>8</v>
      </c>
    </row>
    <row r="227" spans="1:19" ht="30">
      <c r="A227" s="197">
        <v>101</v>
      </c>
      <c r="B227" s="187" t="s">
        <v>656</v>
      </c>
      <c r="C227" s="187" t="s">
        <v>545</v>
      </c>
      <c r="D227" s="187">
        <v>3</v>
      </c>
      <c r="E227" s="187" t="s">
        <v>262</v>
      </c>
      <c r="F227" s="187">
        <v>1</v>
      </c>
      <c r="G227" s="187">
        <v>1</v>
      </c>
      <c r="H227" s="187">
        <v>1</v>
      </c>
      <c r="I227" s="187">
        <v>1</v>
      </c>
      <c r="J227" s="187">
        <v>1</v>
      </c>
      <c r="K227" s="187">
        <v>1</v>
      </c>
      <c r="L227" s="187">
        <v>1</v>
      </c>
      <c r="M227" s="187">
        <v>1</v>
      </c>
      <c r="N227" s="187" t="s">
        <v>458</v>
      </c>
      <c r="O227" s="187"/>
      <c r="P227" s="199">
        <f>SUM(Tabela2[[#This Row],[G]]+Tabela2[[#This Row],[D]]+Tabela2[[#This Row],[N]]+Tabela2[[#This Row],[HM]])</f>
        <v>4</v>
      </c>
      <c r="Q227" s="199">
        <f>SUM(Tabela2[[#This Row],[AO]]+Tabela2[[#This Row],[AD]]+Tabela2[[#This Row],[GWO]]+Tabela2[[#This Row],[GWD]])</f>
        <v>4</v>
      </c>
      <c r="R227" s="199">
        <f>Tabela2[[#This Row],[GWO]]+Tabela2[[#This Row],[GWD]]</f>
        <v>2</v>
      </c>
      <c r="S227" s="194">
        <f>SUM(Tabela2[[#This Row],[G]:[GWD]])</f>
        <v>8</v>
      </c>
    </row>
    <row r="228" spans="1:19" ht="30">
      <c r="A228" s="197">
        <v>100</v>
      </c>
      <c r="B228" s="192" t="s">
        <v>657</v>
      </c>
      <c r="C228" s="187" t="s">
        <v>547</v>
      </c>
      <c r="D228" s="187">
        <v>3</v>
      </c>
      <c r="E228" s="187" t="s">
        <v>262</v>
      </c>
      <c r="F228" s="187">
        <v>1</v>
      </c>
      <c r="G228" s="187">
        <v>1</v>
      </c>
      <c r="H228" s="187">
        <v>1</v>
      </c>
      <c r="I228" s="187">
        <v>1</v>
      </c>
      <c r="J228" s="187">
        <v>1</v>
      </c>
      <c r="K228" s="187">
        <v>1</v>
      </c>
      <c r="L228" s="187">
        <v>1</v>
      </c>
      <c r="M228" s="187">
        <v>1</v>
      </c>
      <c r="N228" s="183"/>
      <c r="O228" s="183"/>
      <c r="P228" s="194">
        <f>SUM(Tabela2[[#This Row],[G]]+Tabela2[[#This Row],[D]]+Tabela2[[#This Row],[N]]+Tabela2[[#This Row],[HM]])</f>
        <v>4</v>
      </c>
      <c r="Q228" s="194">
        <f>SUM(Tabela2[[#This Row],[AO]]+Tabela2[[#This Row],[AD]]+Tabela2[[#This Row],[GWO]]+Tabela2[[#This Row],[GWD]])</f>
        <v>4</v>
      </c>
      <c r="R228" s="194">
        <f>Tabela2[[#This Row],[GWO]]+Tabela2[[#This Row],[GWD]]</f>
        <v>2</v>
      </c>
      <c r="S228" s="194">
        <f>SUM(Tabela2[[#This Row],[G]:[GWD]])</f>
        <v>8</v>
      </c>
    </row>
    <row r="229" spans="1:19" ht="30">
      <c r="A229" s="197">
        <v>99</v>
      </c>
      <c r="B229" s="187" t="s">
        <v>658</v>
      </c>
      <c r="C229" s="187" t="s">
        <v>413</v>
      </c>
      <c r="D229" s="187">
        <v>3</v>
      </c>
      <c r="E229" s="187" t="s">
        <v>262</v>
      </c>
      <c r="F229" s="187">
        <v>1</v>
      </c>
      <c r="G229" s="187">
        <v>1</v>
      </c>
      <c r="H229" s="187">
        <v>1</v>
      </c>
      <c r="I229" s="187">
        <v>1</v>
      </c>
      <c r="J229" s="187">
        <v>1</v>
      </c>
      <c r="K229" s="187">
        <v>1</v>
      </c>
      <c r="L229" s="187">
        <v>1</v>
      </c>
      <c r="M229" s="187">
        <v>1</v>
      </c>
      <c r="N229" s="187" t="s">
        <v>458</v>
      </c>
      <c r="O229" s="187"/>
      <c r="P229" s="199">
        <f>SUM(Tabela2[[#This Row],[G]]+Tabela2[[#This Row],[D]]+Tabela2[[#This Row],[N]]+Tabela2[[#This Row],[HM]])</f>
        <v>4</v>
      </c>
      <c r="Q229" s="199">
        <f>SUM(Tabela2[[#This Row],[AO]]+Tabela2[[#This Row],[AD]]+Tabela2[[#This Row],[GWO]]+Tabela2[[#This Row],[GWD]])</f>
        <v>4</v>
      </c>
      <c r="R229" s="199">
        <f>Tabela2[[#This Row],[GWO]]+Tabela2[[#This Row],[GWD]]</f>
        <v>2</v>
      </c>
      <c r="S229" s="194">
        <f>SUM(Tabela2[[#This Row],[G]:[GWD]])</f>
        <v>8</v>
      </c>
    </row>
    <row r="230" spans="1:19">
      <c r="A230" s="197">
        <v>98</v>
      </c>
      <c r="B230" s="187" t="s">
        <v>659</v>
      </c>
      <c r="C230" s="187" t="s">
        <v>549</v>
      </c>
      <c r="D230" s="187">
        <v>3</v>
      </c>
      <c r="E230" s="187" t="s">
        <v>262</v>
      </c>
      <c r="F230" s="187">
        <v>1</v>
      </c>
      <c r="G230" s="187">
        <v>3</v>
      </c>
      <c r="H230" s="187">
        <v>1</v>
      </c>
      <c r="I230" s="187">
        <v>1</v>
      </c>
      <c r="J230" s="187">
        <v>1</v>
      </c>
      <c r="K230" s="187">
        <v>1</v>
      </c>
      <c r="L230" s="187">
        <v>1</v>
      </c>
      <c r="M230" s="187">
        <v>1</v>
      </c>
      <c r="N230" s="183"/>
      <c r="O230" s="183"/>
      <c r="P230" s="194">
        <f>SUM(Tabela2[[#This Row],[G]]+Tabela2[[#This Row],[D]]+Tabela2[[#This Row],[N]]+Tabela2[[#This Row],[HM]])</f>
        <v>6</v>
      </c>
      <c r="Q230" s="194">
        <f>SUM(Tabela2[[#This Row],[AO]]+Tabela2[[#This Row],[AD]]+Tabela2[[#This Row],[GWO]]+Tabela2[[#This Row],[GWD]])</f>
        <v>4</v>
      </c>
      <c r="R230" s="194">
        <f>Tabela2[[#This Row],[GWO]]+Tabela2[[#This Row],[GWD]]</f>
        <v>2</v>
      </c>
      <c r="S230" s="194">
        <f>SUM(Tabela2[[#This Row],[G]:[GWD]])</f>
        <v>10</v>
      </c>
    </row>
    <row r="231" spans="1:19" ht="30">
      <c r="A231" s="197">
        <v>97</v>
      </c>
      <c r="B231" s="187" t="s">
        <v>660</v>
      </c>
      <c r="C231" s="187" t="s">
        <v>551</v>
      </c>
      <c r="D231" s="187">
        <v>3</v>
      </c>
      <c r="E231" s="187" t="s">
        <v>262</v>
      </c>
      <c r="F231" s="187">
        <v>1</v>
      </c>
      <c r="G231" s="187">
        <v>1</v>
      </c>
      <c r="H231" s="187">
        <v>1</v>
      </c>
      <c r="I231" s="187">
        <v>1</v>
      </c>
      <c r="J231" s="187">
        <v>1</v>
      </c>
      <c r="K231" s="187">
        <v>1</v>
      </c>
      <c r="L231" s="187">
        <v>1</v>
      </c>
      <c r="M231" s="187">
        <v>1</v>
      </c>
      <c r="N231" s="183"/>
      <c r="O231" s="183" t="s">
        <v>796</v>
      </c>
      <c r="P231" s="194">
        <f>SUM(Tabela2[[#This Row],[G]]+Tabela2[[#This Row],[D]]+Tabela2[[#This Row],[N]]+Tabela2[[#This Row],[HM]])</f>
        <v>4</v>
      </c>
      <c r="Q231" s="194">
        <f>SUM(Tabela2[[#This Row],[AO]]+Tabela2[[#This Row],[AD]]+Tabela2[[#This Row],[GWO]]+Tabela2[[#This Row],[GWD]])</f>
        <v>4</v>
      </c>
      <c r="R231" s="194">
        <f>Tabela2[[#This Row],[GWO]]+Tabela2[[#This Row],[GWD]]</f>
        <v>2</v>
      </c>
      <c r="S231" s="194">
        <f>SUM(Tabela2[[#This Row],[G]:[GWD]])</f>
        <v>8</v>
      </c>
    </row>
    <row r="232" spans="1:19">
      <c r="A232" s="197">
        <v>96</v>
      </c>
      <c r="B232" s="187" t="s">
        <v>661</v>
      </c>
      <c r="C232" s="187" t="s">
        <v>371</v>
      </c>
      <c r="D232" s="187">
        <v>3</v>
      </c>
      <c r="E232" s="187" t="s">
        <v>262</v>
      </c>
      <c r="F232" s="187">
        <v>1</v>
      </c>
      <c r="G232" s="187">
        <v>1</v>
      </c>
      <c r="H232" s="187">
        <v>1</v>
      </c>
      <c r="I232" s="187">
        <v>1</v>
      </c>
      <c r="J232" s="187">
        <v>1</v>
      </c>
      <c r="K232" s="187">
        <v>1</v>
      </c>
      <c r="L232" s="187">
        <v>1</v>
      </c>
      <c r="M232" s="187">
        <v>1</v>
      </c>
      <c r="N232" s="187" t="s">
        <v>458</v>
      </c>
      <c r="O232" s="187"/>
      <c r="P232" s="199">
        <f>SUM(Tabela2[[#This Row],[G]]+Tabela2[[#This Row],[D]]+Tabela2[[#This Row],[N]]+Tabela2[[#This Row],[HM]])</f>
        <v>4</v>
      </c>
      <c r="Q232" s="199">
        <f>SUM(Tabela2[[#This Row],[AO]]+Tabela2[[#This Row],[AD]]+Tabela2[[#This Row],[GWO]]+Tabela2[[#This Row],[GWD]])</f>
        <v>4</v>
      </c>
      <c r="R232" s="199">
        <f>Tabela2[[#This Row],[GWO]]+Tabela2[[#This Row],[GWD]]</f>
        <v>2</v>
      </c>
      <c r="S232" s="194">
        <f>SUM(Tabela2[[#This Row],[G]:[GWD]])</f>
        <v>8</v>
      </c>
    </row>
    <row r="233" spans="1:19">
      <c r="A233" s="197">
        <v>95</v>
      </c>
      <c r="B233" s="187" t="s">
        <v>662</v>
      </c>
      <c r="C233" s="187" t="s">
        <v>553</v>
      </c>
      <c r="D233" s="187">
        <v>3</v>
      </c>
      <c r="E233" s="187" t="s">
        <v>262</v>
      </c>
      <c r="F233" s="187">
        <v>1</v>
      </c>
      <c r="G233" s="187">
        <v>1</v>
      </c>
      <c r="H233" s="187">
        <v>1</v>
      </c>
      <c r="I233" s="187">
        <v>1</v>
      </c>
      <c r="J233" s="187">
        <v>1</v>
      </c>
      <c r="K233" s="187">
        <v>1</v>
      </c>
      <c r="L233" s="187">
        <v>1</v>
      </c>
      <c r="M233" s="187">
        <v>1</v>
      </c>
      <c r="N233" s="183"/>
      <c r="O233" s="183"/>
      <c r="P233" s="194">
        <f>SUM(Tabela2[[#This Row],[G]]+Tabela2[[#This Row],[D]]+Tabela2[[#This Row],[N]]+Tabela2[[#This Row],[HM]])</f>
        <v>4</v>
      </c>
      <c r="Q233" s="194">
        <f>SUM(Tabela2[[#This Row],[AO]]+Tabela2[[#This Row],[AD]]+Tabela2[[#This Row],[GWO]]+Tabela2[[#This Row],[GWD]])</f>
        <v>4</v>
      </c>
      <c r="R233" s="194">
        <f>Tabela2[[#This Row],[GWO]]+Tabela2[[#This Row],[GWD]]</f>
        <v>2</v>
      </c>
      <c r="S233" s="194">
        <f>SUM(Tabela2[[#This Row],[G]:[GWD]])</f>
        <v>8</v>
      </c>
    </row>
    <row r="234" spans="1:19" ht="30">
      <c r="A234" s="197">
        <v>94</v>
      </c>
      <c r="B234" s="187" t="s">
        <v>663</v>
      </c>
      <c r="C234" s="187" t="s">
        <v>555</v>
      </c>
      <c r="D234" s="187">
        <v>3</v>
      </c>
      <c r="E234" s="187" t="s">
        <v>262</v>
      </c>
      <c r="F234" s="187">
        <v>1</v>
      </c>
      <c r="G234" s="187">
        <v>1</v>
      </c>
      <c r="H234" s="187">
        <v>1</v>
      </c>
      <c r="I234" s="187">
        <v>1</v>
      </c>
      <c r="J234" s="187">
        <v>1</v>
      </c>
      <c r="K234" s="187">
        <v>1</v>
      </c>
      <c r="L234" s="187">
        <v>1</v>
      </c>
      <c r="M234" s="187">
        <v>1</v>
      </c>
      <c r="N234" s="183"/>
      <c r="O234" s="183"/>
      <c r="P234" s="194">
        <f>SUM(Tabela2[[#This Row],[G]]+Tabela2[[#This Row],[D]]+Tabela2[[#This Row],[N]]+Tabela2[[#This Row],[HM]])</f>
        <v>4</v>
      </c>
      <c r="Q234" s="194">
        <f>SUM(Tabela2[[#This Row],[AO]]+Tabela2[[#This Row],[AD]]+Tabela2[[#This Row],[GWO]]+Tabela2[[#This Row],[GWD]])</f>
        <v>4</v>
      </c>
      <c r="R234" s="194">
        <f>Tabela2[[#This Row],[GWO]]+Tabela2[[#This Row],[GWD]]</f>
        <v>2</v>
      </c>
      <c r="S234" s="194">
        <f>SUM(Tabela2[[#This Row],[G]:[GWD]])</f>
        <v>8</v>
      </c>
    </row>
    <row r="235" spans="1:19" ht="30">
      <c r="A235" s="197">
        <v>93</v>
      </c>
      <c r="B235" s="187" t="s">
        <v>664</v>
      </c>
      <c r="C235" s="187" t="s">
        <v>557</v>
      </c>
      <c r="D235" s="187">
        <v>3</v>
      </c>
      <c r="E235" s="187" t="s">
        <v>262</v>
      </c>
      <c r="F235" s="187">
        <v>1</v>
      </c>
      <c r="G235" s="187">
        <v>1</v>
      </c>
      <c r="H235" s="187">
        <v>1</v>
      </c>
      <c r="I235" s="187">
        <v>2</v>
      </c>
      <c r="J235" s="187">
        <v>1</v>
      </c>
      <c r="K235" s="187">
        <v>1</v>
      </c>
      <c r="L235" s="187">
        <v>2</v>
      </c>
      <c r="M235" s="187">
        <v>1</v>
      </c>
      <c r="N235" s="183"/>
      <c r="O235" s="183"/>
      <c r="P235" s="194">
        <f>SUM(Tabela2[[#This Row],[G]]+Tabela2[[#This Row],[D]]+Tabela2[[#This Row],[N]]+Tabela2[[#This Row],[HM]])</f>
        <v>4</v>
      </c>
      <c r="Q235" s="194">
        <f>SUM(Tabela2[[#This Row],[AO]]+Tabela2[[#This Row],[AD]]+Tabela2[[#This Row],[GWO]]+Tabela2[[#This Row],[GWD]])</f>
        <v>6</v>
      </c>
      <c r="R235" s="194">
        <f>Tabela2[[#This Row],[GWO]]+Tabela2[[#This Row],[GWD]]</f>
        <v>3</v>
      </c>
      <c r="S235" s="194">
        <f>SUM(Tabela2[[#This Row],[G]:[GWD]])</f>
        <v>10</v>
      </c>
    </row>
    <row r="236" spans="1:19">
      <c r="A236" s="197">
        <v>92</v>
      </c>
      <c r="B236" s="187" t="s">
        <v>665</v>
      </c>
      <c r="C236" s="187" t="s">
        <v>559</v>
      </c>
      <c r="D236" s="187">
        <v>3</v>
      </c>
      <c r="E236" s="187" t="s">
        <v>262</v>
      </c>
      <c r="F236" s="187">
        <v>1</v>
      </c>
      <c r="G236" s="187">
        <v>1</v>
      </c>
      <c r="H236" s="187">
        <v>1</v>
      </c>
      <c r="I236" s="187">
        <v>1</v>
      </c>
      <c r="J236" s="187">
        <v>1</v>
      </c>
      <c r="K236" s="187">
        <v>1</v>
      </c>
      <c r="L236" s="187">
        <v>1</v>
      </c>
      <c r="M236" s="187">
        <v>1</v>
      </c>
      <c r="N236" s="187" t="s">
        <v>458</v>
      </c>
      <c r="O236" s="187"/>
      <c r="P236" s="199">
        <f>SUM(Tabela2[[#This Row],[G]]+Tabela2[[#This Row],[D]]+Tabela2[[#This Row],[N]]+Tabela2[[#This Row],[HM]])</f>
        <v>4</v>
      </c>
      <c r="Q236" s="199">
        <f>SUM(Tabela2[[#This Row],[AO]]+Tabela2[[#This Row],[AD]]+Tabela2[[#This Row],[GWO]]+Tabela2[[#This Row],[GWD]])</f>
        <v>4</v>
      </c>
      <c r="R236" s="199">
        <f>Tabela2[[#This Row],[GWO]]+Tabela2[[#This Row],[GWD]]</f>
        <v>2</v>
      </c>
      <c r="S236" s="194">
        <f>SUM(Tabela2[[#This Row],[G]:[GWD]])</f>
        <v>8</v>
      </c>
    </row>
    <row r="237" spans="1:19" ht="30">
      <c r="A237" s="197">
        <v>91</v>
      </c>
      <c r="B237" s="187" t="s">
        <v>666</v>
      </c>
      <c r="C237" s="187" t="s">
        <v>563</v>
      </c>
      <c r="D237" s="187">
        <v>3</v>
      </c>
      <c r="E237" s="187" t="s">
        <v>262</v>
      </c>
      <c r="F237" s="187">
        <v>2</v>
      </c>
      <c r="G237" s="187">
        <v>2</v>
      </c>
      <c r="H237" s="187">
        <v>1</v>
      </c>
      <c r="I237" s="187">
        <v>1</v>
      </c>
      <c r="J237" s="187">
        <v>1</v>
      </c>
      <c r="K237" s="187">
        <v>5</v>
      </c>
      <c r="L237" s="187">
        <v>1</v>
      </c>
      <c r="M237" s="187">
        <v>1</v>
      </c>
      <c r="N237" s="187" t="s">
        <v>458</v>
      </c>
      <c r="O237" s="187" t="s">
        <v>205</v>
      </c>
      <c r="P237" s="199">
        <f>SUM(Tabela2[[#This Row],[G]]+Tabela2[[#This Row],[D]]+Tabela2[[#This Row],[N]]+Tabela2[[#This Row],[HM]])</f>
        <v>10</v>
      </c>
      <c r="Q237" s="199">
        <f>SUM(Tabela2[[#This Row],[AO]]+Tabela2[[#This Row],[AD]]+Tabela2[[#This Row],[GWO]]+Tabela2[[#This Row],[GWD]])</f>
        <v>4</v>
      </c>
      <c r="R237" s="199">
        <f>Tabela2[[#This Row],[GWO]]+Tabela2[[#This Row],[GWD]]</f>
        <v>2</v>
      </c>
      <c r="S237" s="194">
        <f>SUM(Tabela2[[#This Row],[G]:[GWD]])</f>
        <v>14</v>
      </c>
    </row>
    <row r="238" spans="1:19">
      <c r="A238" s="197">
        <v>90</v>
      </c>
      <c r="B238" s="187" t="s">
        <v>667</v>
      </c>
      <c r="C238" s="187" t="s">
        <v>565</v>
      </c>
      <c r="D238" s="187">
        <v>3</v>
      </c>
      <c r="E238" s="187" t="s">
        <v>262</v>
      </c>
      <c r="F238" s="187">
        <v>1</v>
      </c>
      <c r="G238" s="187">
        <v>1</v>
      </c>
      <c r="H238" s="187">
        <v>1</v>
      </c>
      <c r="I238" s="187">
        <v>1</v>
      </c>
      <c r="J238" s="187">
        <v>1</v>
      </c>
      <c r="K238" s="187">
        <v>1</v>
      </c>
      <c r="L238" s="187">
        <v>1</v>
      </c>
      <c r="M238" s="187">
        <v>1</v>
      </c>
      <c r="N238" s="187" t="s">
        <v>458</v>
      </c>
      <c r="O238" s="187"/>
      <c r="P238" s="199">
        <f>SUM(Tabela2[[#This Row],[G]]+Tabela2[[#This Row],[D]]+Tabela2[[#This Row],[N]]+Tabela2[[#This Row],[HM]])</f>
        <v>4</v>
      </c>
      <c r="Q238" s="199">
        <f>SUM(Tabela2[[#This Row],[AO]]+Tabela2[[#This Row],[AD]]+Tabela2[[#This Row],[GWO]]+Tabela2[[#This Row],[GWD]])</f>
        <v>4</v>
      </c>
      <c r="R238" s="199">
        <f>Tabela2[[#This Row],[GWO]]+Tabela2[[#This Row],[GWD]]</f>
        <v>2</v>
      </c>
      <c r="S238" s="194">
        <f>SUM(Tabela2[[#This Row],[G]:[GWD]])</f>
        <v>8</v>
      </c>
    </row>
    <row r="239" spans="1:19">
      <c r="A239" s="197">
        <v>89</v>
      </c>
      <c r="B239" s="187" t="s">
        <v>668</v>
      </c>
      <c r="C239" s="187" t="s">
        <v>296</v>
      </c>
      <c r="D239" s="187">
        <v>3</v>
      </c>
      <c r="E239" s="187" t="s">
        <v>262</v>
      </c>
      <c r="F239" s="187">
        <v>1</v>
      </c>
      <c r="G239" s="187">
        <v>1</v>
      </c>
      <c r="H239" s="187">
        <v>1</v>
      </c>
      <c r="I239" s="187">
        <v>1</v>
      </c>
      <c r="J239" s="187">
        <v>2</v>
      </c>
      <c r="K239" s="187">
        <v>1</v>
      </c>
      <c r="L239" s="187">
        <v>1</v>
      </c>
      <c r="M239" s="187">
        <v>1</v>
      </c>
      <c r="N239" s="187" t="s">
        <v>458</v>
      </c>
      <c r="O239" s="187"/>
      <c r="P239" s="199">
        <f>SUM(Tabela2[[#This Row],[G]]+Tabela2[[#This Row],[D]]+Tabela2[[#This Row],[N]]+Tabela2[[#This Row],[HM]])</f>
        <v>4</v>
      </c>
      <c r="Q239" s="199">
        <f>SUM(Tabela2[[#This Row],[AO]]+Tabela2[[#This Row],[AD]]+Tabela2[[#This Row],[GWO]]+Tabela2[[#This Row],[GWD]])</f>
        <v>5</v>
      </c>
      <c r="R239" s="199">
        <f>Tabela2[[#This Row],[GWO]]+Tabela2[[#This Row],[GWD]]</f>
        <v>2</v>
      </c>
      <c r="S239" s="194">
        <f>SUM(Tabela2[[#This Row],[G]:[GWD]])</f>
        <v>9</v>
      </c>
    </row>
    <row r="240" spans="1:19">
      <c r="A240" s="197">
        <v>88</v>
      </c>
      <c r="B240" s="187" t="s">
        <v>669</v>
      </c>
      <c r="C240" s="187" t="s">
        <v>572</v>
      </c>
      <c r="D240" s="187">
        <v>3</v>
      </c>
      <c r="E240" s="187" t="s">
        <v>262</v>
      </c>
      <c r="F240" s="187">
        <v>1</v>
      </c>
      <c r="G240" s="187">
        <v>1</v>
      </c>
      <c r="H240" s="187">
        <v>1</v>
      </c>
      <c r="I240" s="187">
        <v>1</v>
      </c>
      <c r="J240" s="187">
        <v>1</v>
      </c>
      <c r="K240" s="187">
        <v>1</v>
      </c>
      <c r="L240" s="187">
        <v>1</v>
      </c>
      <c r="M240" s="187">
        <v>1</v>
      </c>
      <c r="N240" s="183"/>
      <c r="O240" s="183"/>
      <c r="P240" s="194">
        <f>SUM(Tabela2[[#This Row],[G]]+Tabela2[[#This Row],[D]]+Tabela2[[#This Row],[N]]+Tabela2[[#This Row],[HM]])</f>
        <v>4</v>
      </c>
      <c r="Q240" s="194">
        <f>SUM(Tabela2[[#This Row],[AO]]+Tabela2[[#This Row],[AD]]+Tabela2[[#This Row],[GWO]]+Tabela2[[#This Row],[GWD]])</f>
        <v>4</v>
      </c>
      <c r="R240" s="194">
        <f>Tabela2[[#This Row],[GWO]]+Tabela2[[#This Row],[GWD]]</f>
        <v>2</v>
      </c>
      <c r="S240" s="194">
        <f>SUM(Tabela2[[#This Row],[G]:[GWD]])</f>
        <v>8</v>
      </c>
    </row>
    <row r="241" spans="1:19" ht="30">
      <c r="A241" s="197">
        <v>87</v>
      </c>
      <c r="B241" s="187" t="s">
        <v>670</v>
      </c>
      <c r="C241" s="187" t="s">
        <v>576</v>
      </c>
      <c r="D241" s="187">
        <v>3</v>
      </c>
      <c r="E241" s="187" t="s">
        <v>262</v>
      </c>
      <c r="F241" s="187">
        <v>1</v>
      </c>
      <c r="G241" s="187">
        <v>1</v>
      </c>
      <c r="H241" s="187">
        <v>1</v>
      </c>
      <c r="I241" s="187">
        <v>1</v>
      </c>
      <c r="J241" s="187">
        <v>1</v>
      </c>
      <c r="K241" s="187">
        <v>1</v>
      </c>
      <c r="L241" s="187">
        <v>1</v>
      </c>
      <c r="M241" s="187">
        <v>1</v>
      </c>
      <c r="N241" s="183"/>
      <c r="O241" s="183"/>
      <c r="P241" s="194">
        <f>SUM(Tabela2[[#This Row],[G]]+Tabela2[[#This Row],[D]]+Tabela2[[#This Row],[N]]+Tabela2[[#This Row],[HM]])</f>
        <v>4</v>
      </c>
      <c r="Q241" s="194">
        <f>SUM(Tabela2[[#This Row],[AO]]+Tabela2[[#This Row],[AD]]+Tabela2[[#This Row],[GWO]]+Tabela2[[#This Row],[GWD]])</f>
        <v>4</v>
      </c>
      <c r="R241" s="194">
        <f>Tabela2[[#This Row],[GWO]]+Tabela2[[#This Row],[GWD]]</f>
        <v>2</v>
      </c>
      <c r="S241" s="194">
        <f>SUM(Tabela2[[#This Row],[G]:[GWD]])</f>
        <v>8</v>
      </c>
    </row>
    <row r="242" spans="1:19" ht="30">
      <c r="A242" s="197">
        <v>86</v>
      </c>
      <c r="B242" s="187" t="s">
        <v>671</v>
      </c>
      <c r="C242" s="187" t="s">
        <v>425</v>
      </c>
      <c r="D242" s="187">
        <v>3</v>
      </c>
      <c r="E242" s="187" t="s">
        <v>262</v>
      </c>
      <c r="F242" s="187">
        <v>1</v>
      </c>
      <c r="G242" s="187">
        <v>1</v>
      </c>
      <c r="H242" s="187">
        <v>1</v>
      </c>
      <c r="I242" s="187">
        <v>1</v>
      </c>
      <c r="J242" s="187">
        <v>3</v>
      </c>
      <c r="K242" s="187">
        <v>1</v>
      </c>
      <c r="L242" s="187">
        <v>1</v>
      </c>
      <c r="M242" s="187">
        <v>1</v>
      </c>
      <c r="N242" s="183"/>
      <c r="O242" s="183"/>
      <c r="P242" s="194">
        <f>SUM(Tabela2[[#This Row],[G]]+Tabela2[[#This Row],[D]]+Tabela2[[#This Row],[N]]+Tabela2[[#This Row],[HM]])</f>
        <v>4</v>
      </c>
      <c r="Q242" s="194">
        <f>SUM(Tabela2[[#This Row],[AO]]+Tabela2[[#This Row],[AD]]+Tabela2[[#This Row],[GWO]]+Tabela2[[#This Row],[GWD]])</f>
        <v>6</v>
      </c>
      <c r="R242" s="194">
        <f>Tabela2[[#This Row],[GWO]]+Tabela2[[#This Row],[GWD]]</f>
        <v>2</v>
      </c>
      <c r="S242" s="194">
        <f>SUM(Tabela2[[#This Row],[G]:[GWD]])</f>
        <v>10</v>
      </c>
    </row>
    <row r="243" spans="1:19" ht="30">
      <c r="A243" s="197">
        <v>85</v>
      </c>
      <c r="B243" s="187" t="s">
        <v>672</v>
      </c>
      <c r="C243" s="187" t="s">
        <v>583</v>
      </c>
      <c r="D243" s="187">
        <v>3</v>
      </c>
      <c r="E243" s="187" t="s">
        <v>262</v>
      </c>
      <c r="F243" s="187">
        <v>1</v>
      </c>
      <c r="G243" s="187">
        <v>1</v>
      </c>
      <c r="H243" s="187">
        <v>1</v>
      </c>
      <c r="I243" s="187">
        <v>2</v>
      </c>
      <c r="J243" s="187">
        <v>1</v>
      </c>
      <c r="K243" s="187">
        <v>1</v>
      </c>
      <c r="L243" s="187">
        <v>2</v>
      </c>
      <c r="M243" s="187">
        <v>1</v>
      </c>
      <c r="N243" s="183"/>
      <c r="O243" s="183"/>
      <c r="P243" s="194">
        <f>SUM(Tabela2[[#This Row],[G]]+Tabela2[[#This Row],[D]]+Tabela2[[#This Row],[N]]+Tabela2[[#This Row],[HM]])</f>
        <v>4</v>
      </c>
      <c r="Q243" s="194">
        <f>SUM(Tabela2[[#This Row],[AO]]+Tabela2[[#This Row],[AD]]+Tabela2[[#This Row],[GWO]]+Tabela2[[#This Row],[GWD]])</f>
        <v>6</v>
      </c>
      <c r="R243" s="194">
        <f>Tabela2[[#This Row],[GWO]]+Tabela2[[#This Row],[GWD]]</f>
        <v>3</v>
      </c>
      <c r="S243" s="194">
        <f>SUM(Tabela2[[#This Row],[G]:[GWD]])</f>
        <v>10</v>
      </c>
    </row>
    <row r="244" spans="1:19">
      <c r="A244" s="197">
        <v>84</v>
      </c>
      <c r="B244" s="187" t="s">
        <v>673</v>
      </c>
      <c r="C244" s="187" t="s">
        <v>578</v>
      </c>
      <c r="D244" s="187">
        <v>3</v>
      </c>
      <c r="E244" s="187" t="s">
        <v>262</v>
      </c>
      <c r="F244" s="187">
        <v>1</v>
      </c>
      <c r="G244" s="187">
        <v>1</v>
      </c>
      <c r="H244" s="187">
        <v>4</v>
      </c>
      <c r="I244" s="187">
        <v>2</v>
      </c>
      <c r="J244" s="187">
        <v>1</v>
      </c>
      <c r="K244" s="187">
        <v>1</v>
      </c>
      <c r="L244" s="187">
        <v>3</v>
      </c>
      <c r="M244" s="187">
        <v>1</v>
      </c>
      <c r="N244" s="183"/>
      <c r="O244" s="183"/>
      <c r="P244" s="194">
        <f>SUM(Tabela2[[#This Row],[G]]+Tabela2[[#This Row],[D]]+Tabela2[[#This Row],[N]]+Tabela2[[#This Row],[HM]])</f>
        <v>7</v>
      </c>
      <c r="Q244" s="194">
        <f>SUM(Tabela2[[#This Row],[AO]]+Tabela2[[#This Row],[AD]]+Tabela2[[#This Row],[GWO]]+Tabela2[[#This Row],[GWD]])</f>
        <v>7</v>
      </c>
      <c r="R244" s="194">
        <f>Tabela2[[#This Row],[GWO]]+Tabela2[[#This Row],[GWD]]</f>
        <v>4</v>
      </c>
      <c r="S244" s="194">
        <f>SUM(Tabela2[[#This Row],[G]:[GWD]])</f>
        <v>14</v>
      </c>
    </row>
    <row r="245" spans="1:19" ht="30">
      <c r="A245" s="197">
        <v>83</v>
      </c>
      <c r="B245" s="187" t="s">
        <v>674</v>
      </c>
      <c r="C245" s="187" t="s">
        <v>579</v>
      </c>
      <c r="D245" s="187">
        <v>3</v>
      </c>
      <c r="E245" s="187" t="s">
        <v>262</v>
      </c>
      <c r="F245" s="187">
        <v>1</v>
      </c>
      <c r="G245" s="187">
        <v>3</v>
      </c>
      <c r="H245" s="187">
        <v>1</v>
      </c>
      <c r="I245" s="187">
        <v>1</v>
      </c>
      <c r="J245" s="187">
        <v>1</v>
      </c>
      <c r="K245" s="187">
        <v>1</v>
      </c>
      <c r="L245" s="187">
        <v>1</v>
      </c>
      <c r="M245" s="187">
        <v>1</v>
      </c>
      <c r="N245" s="183"/>
      <c r="O245" s="183"/>
      <c r="P245" s="194">
        <f>SUM(Tabela2[[#This Row],[G]]+Tabela2[[#This Row],[D]]+Tabela2[[#This Row],[N]]+Tabela2[[#This Row],[HM]])</f>
        <v>6</v>
      </c>
      <c r="Q245" s="194">
        <f>SUM(Tabela2[[#This Row],[AO]]+Tabela2[[#This Row],[AD]]+Tabela2[[#This Row],[GWO]]+Tabela2[[#This Row],[GWD]])</f>
        <v>4</v>
      </c>
      <c r="R245" s="194">
        <f>Tabela2[[#This Row],[GWO]]+Tabela2[[#This Row],[GWD]]</f>
        <v>2</v>
      </c>
      <c r="S245" s="194">
        <f>SUM(Tabela2[[#This Row],[G]:[GWD]])</f>
        <v>10</v>
      </c>
    </row>
    <row r="246" spans="1:19" ht="30">
      <c r="A246" s="197">
        <v>82</v>
      </c>
      <c r="B246" s="187" t="s">
        <v>675</v>
      </c>
      <c r="C246" s="187" t="s">
        <v>581</v>
      </c>
      <c r="D246" s="187">
        <v>3</v>
      </c>
      <c r="E246" s="187" t="s">
        <v>262</v>
      </c>
      <c r="F246" s="187">
        <v>1</v>
      </c>
      <c r="G246" s="187">
        <v>1</v>
      </c>
      <c r="H246" s="187">
        <v>2</v>
      </c>
      <c r="I246" s="187">
        <v>3</v>
      </c>
      <c r="J246" s="187">
        <v>3</v>
      </c>
      <c r="K246" s="187">
        <v>1</v>
      </c>
      <c r="L246" s="187">
        <v>2</v>
      </c>
      <c r="M246" s="187">
        <v>1</v>
      </c>
      <c r="N246" s="183"/>
      <c r="O246" s="183"/>
      <c r="P246" s="194">
        <f>SUM(Tabela2[[#This Row],[G]]+Tabela2[[#This Row],[D]]+Tabela2[[#This Row],[N]]+Tabela2[[#This Row],[HM]])</f>
        <v>5</v>
      </c>
      <c r="Q246" s="194">
        <f>SUM(Tabela2[[#This Row],[AO]]+Tabela2[[#This Row],[AD]]+Tabela2[[#This Row],[GWO]]+Tabela2[[#This Row],[GWD]])</f>
        <v>9</v>
      </c>
      <c r="R246" s="194">
        <f>Tabela2[[#This Row],[GWO]]+Tabela2[[#This Row],[GWD]]</f>
        <v>3</v>
      </c>
      <c r="S246" s="194">
        <f>SUM(Tabela2[[#This Row],[G]:[GWD]])</f>
        <v>14</v>
      </c>
    </row>
    <row r="247" spans="1:19">
      <c r="A247" s="197">
        <v>81</v>
      </c>
      <c r="B247" s="187" t="s">
        <v>676</v>
      </c>
      <c r="C247" s="187" t="s">
        <v>303</v>
      </c>
      <c r="D247" s="187">
        <v>3</v>
      </c>
      <c r="E247" s="187" t="s">
        <v>262</v>
      </c>
      <c r="F247" s="187">
        <v>1</v>
      </c>
      <c r="G247" s="187">
        <v>1</v>
      </c>
      <c r="H247" s="187">
        <v>1</v>
      </c>
      <c r="I247" s="187">
        <v>1</v>
      </c>
      <c r="J247" s="187">
        <v>1</v>
      </c>
      <c r="K247" s="187">
        <v>1</v>
      </c>
      <c r="L247" s="187">
        <v>1</v>
      </c>
      <c r="M247" s="187">
        <v>1</v>
      </c>
      <c r="N247" s="187" t="s">
        <v>458</v>
      </c>
      <c r="O247" s="187"/>
      <c r="P247" s="199">
        <f>SUM(Tabela2[[#This Row],[G]]+Tabela2[[#This Row],[D]]+Tabela2[[#This Row],[N]]+Tabela2[[#This Row],[HM]])</f>
        <v>4</v>
      </c>
      <c r="Q247" s="199">
        <f>SUM(Tabela2[[#This Row],[AO]]+Tabela2[[#This Row],[AD]]+Tabela2[[#This Row],[GWO]]+Tabela2[[#This Row],[GWD]])</f>
        <v>4</v>
      </c>
      <c r="R247" s="199">
        <f>Tabela2[[#This Row],[GWO]]+Tabela2[[#This Row],[GWD]]</f>
        <v>2</v>
      </c>
      <c r="S247" s="194">
        <f>SUM(Tabela2[[#This Row],[G]:[GWD]])</f>
        <v>8</v>
      </c>
    </row>
    <row r="248" spans="1:19" ht="30">
      <c r="A248" s="197">
        <v>80</v>
      </c>
      <c r="B248" s="187" t="s">
        <v>677</v>
      </c>
      <c r="C248" s="187" t="s">
        <v>585</v>
      </c>
      <c r="D248" s="187">
        <v>3</v>
      </c>
      <c r="E248" s="187" t="s">
        <v>262</v>
      </c>
      <c r="F248" s="187">
        <v>3</v>
      </c>
      <c r="G248" s="187">
        <v>3</v>
      </c>
      <c r="H248" s="187">
        <v>1</v>
      </c>
      <c r="I248" s="187">
        <v>1</v>
      </c>
      <c r="J248" s="187">
        <v>3</v>
      </c>
      <c r="K248" s="187">
        <v>4</v>
      </c>
      <c r="L248" s="187">
        <v>4</v>
      </c>
      <c r="M248" s="187">
        <v>2</v>
      </c>
      <c r="N248" s="183"/>
      <c r="O248" s="183"/>
      <c r="P248" s="194">
        <f>SUM(Tabela2[[#This Row],[G]]+Tabela2[[#This Row],[D]]+Tabela2[[#This Row],[N]]+Tabela2[[#This Row],[HM]])</f>
        <v>11</v>
      </c>
      <c r="Q248" s="194">
        <f>SUM(Tabela2[[#This Row],[AO]]+Tabela2[[#This Row],[AD]]+Tabela2[[#This Row],[GWO]]+Tabela2[[#This Row],[GWD]])</f>
        <v>10</v>
      </c>
      <c r="R248" s="194">
        <f>Tabela2[[#This Row],[GWO]]+Tabela2[[#This Row],[GWD]]</f>
        <v>6</v>
      </c>
      <c r="S248" s="194">
        <f>SUM(Tabela2[[#This Row],[G]:[GWD]])</f>
        <v>21</v>
      </c>
    </row>
    <row r="249" spans="1:19">
      <c r="A249" s="197">
        <v>79</v>
      </c>
      <c r="B249" s="187" t="s">
        <v>678</v>
      </c>
      <c r="C249" s="187" t="s">
        <v>587</v>
      </c>
      <c r="D249" s="187">
        <v>3</v>
      </c>
      <c r="E249" s="187" t="s">
        <v>262</v>
      </c>
      <c r="F249" s="187">
        <v>2</v>
      </c>
      <c r="G249" s="187">
        <v>2</v>
      </c>
      <c r="H249" s="187">
        <v>3</v>
      </c>
      <c r="I249" s="187">
        <v>3</v>
      </c>
      <c r="J249" s="187">
        <v>1</v>
      </c>
      <c r="K249" s="187">
        <v>2</v>
      </c>
      <c r="L249" s="187">
        <v>2</v>
      </c>
      <c r="M249" s="187">
        <v>1</v>
      </c>
      <c r="N249" s="183"/>
      <c r="O249" s="183"/>
      <c r="P249" s="194">
        <f>SUM(Tabela2[[#This Row],[G]]+Tabela2[[#This Row],[D]]+Tabela2[[#This Row],[N]]+Tabela2[[#This Row],[HM]])</f>
        <v>9</v>
      </c>
      <c r="Q249" s="194">
        <f>SUM(Tabela2[[#This Row],[AO]]+Tabela2[[#This Row],[AD]]+Tabela2[[#This Row],[GWO]]+Tabela2[[#This Row],[GWD]])</f>
        <v>7</v>
      </c>
      <c r="R249" s="194">
        <f>Tabela2[[#This Row],[GWO]]+Tabela2[[#This Row],[GWD]]</f>
        <v>3</v>
      </c>
      <c r="S249" s="194">
        <f>SUM(Tabela2[[#This Row],[G]:[GWD]])</f>
        <v>16</v>
      </c>
    </row>
    <row r="250" spans="1:19">
      <c r="A250" s="197">
        <v>78</v>
      </c>
      <c r="B250" s="188" t="s">
        <v>679</v>
      </c>
      <c r="C250" s="188" t="s">
        <v>591</v>
      </c>
      <c r="D250" s="188">
        <v>3</v>
      </c>
      <c r="E250" s="188" t="s">
        <v>18</v>
      </c>
      <c r="F250" s="188">
        <v>1</v>
      </c>
      <c r="G250" s="188">
        <v>1</v>
      </c>
      <c r="H250" s="188">
        <v>2</v>
      </c>
      <c r="I250" s="188">
        <v>1</v>
      </c>
      <c r="J250" s="188">
        <v>1</v>
      </c>
      <c r="K250" s="188">
        <v>1</v>
      </c>
      <c r="L250" s="188">
        <v>1</v>
      </c>
      <c r="M250" s="188">
        <v>1</v>
      </c>
      <c r="N250" s="183"/>
      <c r="O250" s="183"/>
      <c r="P250" s="194">
        <f>SUM(Tabela2[[#This Row],[G]]+Tabela2[[#This Row],[D]]+Tabela2[[#This Row],[N]]+Tabela2[[#This Row],[HM]])</f>
        <v>5</v>
      </c>
      <c r="Q250" s="194">
        <f>SUM(Tabela2[[#This Row],[AO]]+Tabela2[[#This Row],[AD]]+Tabela2[[#This Row],[GWO]]+Tabela2[[#This Row],[GWD]])</f>
        <v>4</v>
      </c>
      <c r="R250" s="194">
        <f>Tabela2[[#This Row],[GWO]]+Tabela2[[#This Row],[GWD]]</f>
        <v>2</v>
      </c>
      <c r="S250" s="194">
        <f>SUM(Tabela2[[#This Row],[G]:[GWD]])</f>
        <v>9</v>
      </c>
    </row>
    <row r="251" spans="1:19">
      <c r="A251" s="197">
        <v>77</v>
      </c>
      <c r="B251" s="188" t="s">
        <v>680</v>
      </c>
      <c r="C251" s="188" t="s">
        <v>534</v>
      </c>
      <c r="D251" s="188">
        <v>3</v>
      </c>
      <c r="E251" s="188" t="s">
        <v>18</v>
      </c>
      <c r="F251" s="188">
        <v>1</v>
      </c>
      <c r="G251" s="188">
        <v>1</v>
      </c>
      <c r="H251" s="188">
        <v>1</v>
      </c>
      <c r="I251" s="188">
        <v>1</v>
      </c>
      <c r="J251" s="188">
        <v>1</v>
      </c>
      <c r="K251" s="188">
        <v>1</v>
      </c>
      <c r="L251" s="188">
        <v>1</v>
      </c>
      <c r="M251" s="188">
        <v>1</v>
      </c>
      <c r="N251" s="188" t="s">
        <v>458</v>
      </c>
      <c r="O251" s="188"/>
      <c r="P251" s="198">
        <f>SUM(Tabela2[[#This Row],[G]]+Tabela2[[#This Row],[D]]+Tabela2[[#This Row],[N]]+Tabela2[[#This Row],[HM]])</f>
        <v>4</v>
      </c>
      <c r="Q251" s="198">
        <f>SUM(Tabela2[[#This Row],[AO]]+Tabela2[[#This Row],[AD]]+Tabela2[[#This Row],[GWO]]+Tabela2[[#This Row],[GWD]])</f>
        <v>4</v>
      </c>
      <c r="R251" s="198">
        <f>Tabela2[[#This Row],[GWO]]+Tabela2[[#This Row],[GWD]]</f>
        <v>2</v>
      </c>
      <c r="S251" s="194">
        <f>SUM(Tabela2[[#This Row],[G]:[GWD]])</f>
        <v>8</v>
      </c>
    </row>
    <row r="252" spans="1:19">
      <c r="A252" s="197">
        <v>76</v>
      </c>
      <c r="B252" s="188" t="s">
        <v>681</v>
      </c>
      <c r="C252" s="188" t="s">
        <v>280</v>
      </c>
      <c r="D252" s="188">
        <v>3</v>
      </c>
      <c r="E252" s="188" t="s">
        <v>18</v>
      </c>
      <c r="F252" s="188">
        <v>1</v>
      </c>
      <c r="G252" s="188">
        <v>1</v>
      </c>
      <c r="H252" s="188">
        <v>1</v>
      </c>
      <c r="I252" s="188">
        <v>2</v>
      </c>
      <c r="J252" s="188">
        <v>2</v>
      </c>
      <c r="K252" s="188">
        <v>1</v>
      </c>
      <c r="L252" s="188">
        <v>1</v>
      </c>
      <c r="M252" s="188">
        <v>1</v>
      </c>
      <c r="N252" s="183"/>
      <c r="O252" s="183"/>
      <c r="P252" s="194">
        <f>SUM(Tabela2[[#This Row],[G]]+Tabela2[[#This Row],[D]]+Tabela2[[#This Row],[N]]+Tabela2[[#This Row],[HM]])</f>
        <v>4</v>
      </c>
      <c r="Q252" s="194">
        <f>SUM(Tabela2[[#This Row],[AO]]+Tabela2[[#This Row],[AD]]+Tabela2[[#This Row],[GWO]]+Tabela2[[#This Row],[GWD]])</f>
        <v>6</v>
      </c>
      <c r="R252" s="194">
        <f>Tabela2[[#This Row],[GWO]]+Tabela2[[#This Row],[GWD]]</f>
        <v>2</v>
      </c>
      <c r="S252" s="194">
        <f>SUM(Tabela2[[#This Row],[G]:[GWD]])</f>
        <v>10</v>
      </c>
    </row>
    <row r="253" spans="1:19">
      <c r="A253" s="197">
        <v>75</v>
      </c>
      <c r="B253" s="188" t="s">
        <v>682</v>
      </c>
      <c r="C253" s="188" t="s">
        <v>389</v>
      </c>
      <c r="D253" s="188">
        <v>3</v>
      </c>
      <c r="E253" s="188" t="s">
        <v>18</v>
      </c>
      <c r="F253" s="188">
        <v>1</v>
      </c>
      <c r="G253" s="188">
        <v>1</v>
      </c>
      <c r="H253" s="188">
        <v>1</v>
      </c>
      <c r="I253" s="188">
        <v>1</v>
      </c>
      <c r="J253" s="188">
        <v>1</v>
      </c>
      <c r="K253" s="188">
        <v>1</v>
      </c>
      <c r="L253" s="188">
        <v>1</v>
      </c>
      <c r="M253" s="188">
        <v>1</v>
      </c>
      <c r="N253" s="183"/>
      <c r="O253" s="183"/>
      <c r="P253" s="194">
        <f>SUM(Tabela2[[#This Row],[G]]+Tabela2[[#This Row],[D]]+Tabela2[[#This Row],[N]]+Tabela2[[#This Row],[HM]])</f>
        <v>4</v>
      </c>
      <c r="Q253" s="194">
        <f>SUM(Tabela2[[#This Row],[AO]]+Tabela2[[#This Row],[AD]]+Tabela2[[#This Row],[GWO]]+Tabela2[[#This Row],[GWD]])</f>
        <v>4</v>
      </c>
      <c r="R253" s="194">
        <f>Tabela2[[#This Row],[GWO]]+Tabela2[[#This Row],[GWD]]</f>
        <v>2</v>
      </c>
      <c r="S253" s="194">
        <f>SUM(Tabela2[[#This Row],[G]:[GWD]])</f>
        <v>8</v>
      </c>
    </row>
    <row r="254" spans="1:19">
      <c r="A254" s="197">
        <v>74</v>
      </c>
      <c r="B254" s="188" t="s">
        <v>683</v>
      </c>
      <c r="C254" s="188" t="s">
        <v>297</v>
      </c>
      <c r="D254" s="188">
        <v>3</v>
      </c>
      <c r="E254" s="188" t="s">
        <v>18</v>
      </c>
      <c r="F254" s="188">
        <v>1</v>
      </c>
      <c r="G254" s="188">
        <v>1</v>
      </c>
      <c r="H254" s="188">
        <v>1</v>
      </c>
      <c r="I254" s="188">
        <v>3</v>
      </c>
      <c r="J254" s="188">
        <v>3</v>
      </c>
      <c r="K254" s="188">
        <v>1</v>
      </c>
      <c r="L254" s="188">
        <v>2</v>
      </c>
      <c r="M254" s="188">
        <v>1</v>
      </c>
      <c r="N254" s="188" t="s">
        <v>458</v>
      </c>
      <c r="O254" s="188"/>
      <c r="P254" s="198">
        <f>SUM(Tabela2[[#This Row],[G]]+Tabela2[[#This Row],[D]]+Tabela2[[#This Row],[N]]+Tabela2[[#This Row],[HM]])</f>
        <v>4</v>
      </c>
      <c r="Q254" s="198">
        <f>SUM(Tabela2[[#This Row],[AO]]+Tabela2[[#This Row],[AD]]+Tabela2[[#This Row],[GWO]]+Tabela2[[#This Row],[GWD]])</f>
        <v>9</v>
      </c>
      <c r="R254" s="198">
        <f>Tabela2[[#This Row],[GWO]]+Tabela2[[#This Row],[GWD]]</f>
        <v>3</v>
      </c>
      <c r="S254" s="194">
        <f>SUM(Tabela2[[#This Row],[G]:[GWD]])</f>
        <v>13</v>
      </c>
    </row>
    <row r="255" spans="1:19" ht="30">
      <c r="A255" s="197">
        <v>73</v>
      </c>
      <c r="B255" s="188" t="s">
        <v>685</v>
      </c>
      <c r="C255" s="188" t="s">
        <v>684</v>
      </c>
      <c r="D255" s="188">
        <v>3</v>
      </c>
      <c r="E255" s="188" t="s">
        <v>18</v>
      </c>
      <c r="F255" s="188">
        <v>1</v>
      </c>
      <c r="G255" s="188">
        <v>1</v>
      </c>
      <c r="H255" s="188">
        <v>1</v>
      </c>
      <c r="I255" s="188">
        <v>1</v>
      </c>
      <c r="J255" s="188">
        <v>1</v>
      </c>
      <c r="K255" s="188">
        <v>1</v>
      </c>
      <c r="L255" s="188">
        <v>1</v>
      </c>
      <c r="M255" s="188">
        <v>1</v>
      </c>
      <c r="N255" s="188" t="s">
        <v>458</v>
      </c>
      <c r="O255" s="188"/>
      <c r="P255" s="198">
        <f>SUM(Tabela2[[#This Row],[G]]+Tabela2[[#This Row],[D]]+Tabela2[[#This Row],[N]]+Tabela2[[#This Row],[HM]])</f>
        <v>4</v>
      </c>
      <c r="Q255" s="198">
        <f>SUM(Tabela2[[#This Row],[AO]]+Tabela2[[#This Row],[AD]]+Tabela2[[#This Row],[GWO]]+Tabela2[[#This Row],[GWD]])</f>
        <v>4</v>
      </c>
      <c r="R255" s="198">
        <f>Tabela2[[#This Row],[GWO]]+Tabela2[[#This Row],[GWD]]</f>
        <v>2</v>
      </c>
      <c r="S255" s="194">
        <f>SUM(Tabela2[[#This Row],[G]:[GWD]])</f>
        <v>8</v>
      </c>
    </row>
    <row r="256" spans="1:19" ht="30">
      <c r="A256" s="197">
        <v>72</v>
      </c>
      <c r="B256" s="188" t="s">
        <v>686</v>
      </c>
      <c r="C256" s="188" t="s">
        <v>539</v>
      </c>
      <c r="D256" s="188">
        <v>3</v>
      </c>
      <c r="E256" s="188" t="s">
        <v>18</v>
      </c>
      <c r="F256" s="188">
        <v>1</v>
      </c>
      <c r="G256" s="188">
        <v>1</v>
      </c>
      <c r="H256" s="188">
        <v>1</v>
      </c>
      <c r="I256" s="188">
        <v>1</v>
      </c>
      <c r="J256" s="188">
        <v>1</v>
      </c>
      <c r="K256" s="188">
        <v>1</v>
      </c>
      <c r="L256" s="188">
        <v>1</v>
      </c>
      <c r="M256" s="188">
        <v>1</v>
      </c>
      <c r="N256" s="183"/>
      <c r="O256" s="183"/>
      <c r="P256" s="194">
        <f>SUM(Tabela2[[#This Row],[G]]+Tabela2[[#This Row],[D]]+Tabela2[[#This Row],[N]]+Tabela2[[#This Row],[HM]])</f>
        <v>4</v>
      </c>
      <c r="Q256" s="194">
        <f>SUM(Tabela2[[#This Row],[AO]]+Tabela2[[#This Row],[AD]]+Tabela2[[#This Row],[GWO]]+Tabela2[[#This Row],[GWD]])</f>
        <v>4</v>
      </c>
      <c r="R256" s="194">
        <f>Tabela2[[#This Row],[GWO]]+Tabela2[[#This Row],[GWD]]</f>
        <v>2</v>
      </c>
      <c r="S256" s="194">
        <f>SUM(Tabela2[[#This Row],[G]:[GWD]])</f>
        <v>8</v>
      </c>
    </row>
    <row r="257" spans="1:19" ht="30">
      <c r="A257" s="197">
        <v>71</v>
      </c>
      <c r="B257" s="188" t="s">
        <v>687</v>
      </c>
      <c r="C257" s="188" t="s">
        <v>541</v>
      </c>
      <c r="D257" s="188">
        <v>3</v>
      </c>
      <c r="E257" s="188" t="s">
        <v>18</v>
      </c>
      <c r="F257" s="188">
        <v>1</v>
      </c>
      <c r="G257" s="188">
        <v>1</v>
      </c>
      <c r="H257" s="188">
        <v>1</v>
      </c>
      <c r="I257" s="188">
        <v>1</v>
      </c>
      <c r="J257" s="188">
        <v>1</v>
      </c>
      <c r="K257" s="188">
        <v>1</v>
      </c>
      <c r="L257" s="188">
        <v>1</v>
      </c>
      <c r="M257" s="188">
        <v>1</v>
      </c>
      <c r="N257" s="183"/>
      <c r="O257" s="183"/>
      <c r="P257" s="194">
        <f>SUM(Tabela2[[#This Row],[G]]+Tabela2[[#This Row],[D]]+Tabela2[[#This Row],[N]]+Tabela2[[#This Row],[HM]])</f>
        <v>4</v>
      </c>
      <c r="Q257" s="194">
        <f>SUM(Tabela2[[#This Row],[AO]]+Tabela2[[#This Row],[AD]]+Tabela2[[#This Row],[GWO]]+Tabela2[[#This Row],[GWD]])</f>
        <v>4</v>
      </c>
      <c r="R257" s="194">
        <f>Tabela2[[#This Row],[GWO]]+Tabela2[[#This Row],[GWD]]</f>
        <v>2</v>
      </c>
      <c r="S257" s="194">
        <f>SUM(Tabela2[[#This Row],[G]:[GWD]])</f>
        <v>8</v>
      </c>
    </row>
    <row r="258" spans="1:19" ht="30">
      <c r="A258" s="197">
        <v>70</v>
      </c>
      <c r="B258" s="188" t="s">
        <v>688</v>
      </c>
      <c r="C258" s="188" t="s">
        <v>543</v>
      </c>
      <c r="D258" s="188">
        <v>3</v>
      </c>
      <c r="E258" s="188" t="s">
        <v>18</v>
      </c>
      <c r="F258" s="188">
        <v>1</v>
      </c>
      <c r="G258" s="188">
        <v>1</v>
      </c>
      <c r="H258" s="188">
        <v>1</v>
      </c>
      <c r="I258" s="188">
        <v>1</v>
      </c>
      <c r="J258" s="188">
        <v>1</v>
      </c>
      <c r="K258" s="188">
        <v>1</v>
      </c>
      <c r="L258" s="188">
        <v>1</v>
      </c>
      <c r="M258" s="188">
        <v>1</v>
      </c>
      <c r="N258" s="183"/>
      <c r="O258" s="183"/>
      <c r="P258" s="194">
        <f>SUM(Tabela2[[#This Row],[G]]+Tabela2[[#This Row],[D]]+Tabela2[[#This Row],[N]]+Tabela2[[#This Row],[HM]])</f>
        <v>4</v>
      </c>
      <c r="Q258" s="194">
        <f>SUM(Tabela2[[#This Row],[AO]]+Tabela2[[#This Row],[AD]]+Tabela2[[#This Row],[GWO]]+Tabela2[[#This Row],[GWD]])</f>
        <v>4</v>
      </c>
      <c r="R258" s="194">
        <f>Tabela2[[#This Row],[GWO]]+Tabela2[[#This Row],[GWD]]</f>
        <v>2</v>
      </c>
      <c r="S258" s="194">
        <f>SUM(Tabela2[[#This Row],[G]:[GWD]])</f>
        <v>8</v>
      </c>
    </row>
    <row r="259" spans="1:19" ht="30">
      <c r="A259" s="197">
        <v>69</v>
      </c>
      <c r="B259" s="188" t="s">
        <v>689</v>
      </c>
      <c r="C259" s="188" t="s">
        <v>545</v>
      </c>
      <c r="D259" s="188">
        <v>3</v>
      </c>
      <c r="E259" s="188" t="s">
        <v>18</v>
      </c>
      <c r="F259" s="188">
        <v>1</v>
      </c>
      <c r="G259" s="188">
        <v>1</v>
      </c>
      <c r="H259" s="188">
        <v>1</v>
      </c>
      <c r="I259" s="188">
        <v>1</v>
      </c>
      <c r="J259" s="188">
        <v>1</v>
      </c>
      <c r="K259" s="188">
        <v>1</v>
      </c>
      <c r="L259" s="188">
        <v>1</v>
      </c>
      <c r="M259" s="188">
        <v>1</v>
      </c>
      <c r="N259" s="188" t="s">
        <v>458</v>
      </c>
      <c r="O259" s="188"/>
      <c r="P259" s="198">
        <f>SUM(Tabela2[[#This Row],[G]]+Tabela2[[#This Row],[D]]+Tabela2[[#This Row],[N]]+Tabela2[[#This Row],[HM]])</f>
        <v>4</v>
      </c>
      <c r="Q259" s="198">
        <f>SUM(Tabela2[[#This Row],[AO]]+Tabela2[[#This Row],[AD]]+Tabela2[[#This Row],[GWO]]+Tabela2[[#This Row],[GWD]])</f>
        <v>4</v>
      </c>
      <c r="R259" s="198">
        <f>Tabela2[[#This Row],[GWO]]+Tabela2[[#This Row],[GWD]]</f>
        <v>2</v>
      </c>
      <c r="S259" s="194">
        <f>SUM(Tabela2[[#This Row],[G]:[GWD]])</f>
        <v>8</v>
      </c>
    </row>
    <row r="260" spans="1:19" ht="30">
      <c r="A260" s="197">
        <v>68</v>
      </c>
      <c r="B260" s="188" t="s">
        <v>690</v>
      </c>
      <c r="C260" s="188" t="s">
        <v>547</v>
      </c>
      <c r="D260" s="188">
        <v>3</v>
      </c>
      <c r="E260" s="188" t="s">
        <v>18</v>
      </c>
      <c r="F260" s="188">
        <v>1</v>
      </c>
      <c r="G260" s="188">
        <v>1</v>
      </c>
      <c r="H260" s="188">
        <v>1</v>
      </c>
      <c r="I260" s="188">
        <v>1</v>
      </c>
      <c r="J260" s="188">
        <v>1</v>
      </c>
      <c r="K260" s="188">
        <v>1</v>
      </c>
      <c r="L260" s="188">
        <v>1</v>
      </c>
      <c r="M260" s="188">
        <v>1</v>
      </c>
      <c r="N260" s="183"/>
      <c r="O260" s="183"/>
      <c r="P260" s="194">
        <f>SUM(Tabela2[[#This Row],[G]]+Tabela2[[#This Row],[D]]+Tabela2[[#This Row],[N]]+Tabela2[[#This Row],[HM]])</f>
        <v>4</v>
      </c>
      <c r="Q260" s="194">
        <f>SUM(Tabela2[[#This Row],[AO]]+Tabela2[[#This Row],[AD]]+Tabela2[[#This Row],[GWO]]+Tabela2[[#This Row],[GWD]])</f>
        <v>4</v>
      </c>
      <c r="R260" s="194">
        <f>Tabela2[[#This Row],[GWO]]+Tabela2[[#This Row],[GWD]]</f>
        <v>2</v>
      </c>
      <c r="S260" s="194">
        <f>SUM(Tabela2[[#This Row],[G]:[GWD]])</f>
        <v>8</v>
      </c>
    </row>
    <row r="261" spans="1:19">
      <c r="A261" s="197">
        <v>67</v>
      </c>
      <c r="B261" s="188" t="s">
        <v>692</v>
      </c>
      <c r="C261" s="188" t="s">
        <v>691</v>
      </c>
      <c r="D261" s="188">
        <v>3</v>
      </c>
      <c r="E261" s="188" t="s">
        <v>18</v>
      </c>
      <c r="F261" s="188">
        <v>1</v>
      </c>
      <c r="G261" s="188">
        <v>1</v>
      </c>
      <c r="H261" s="188">
        <v>1</v>
      </c>
      <c r="I261" s="188">
        <v>1</v>
      </c>
      <c r="J261" s="188">
        <v>1</v>
      </c>
      <c r="K261" s="188">
        <v>1</v>
      </c>
      <c r="L261" s="188">
        <v>1</v>
      </c>
      <c r="M261" s="188">
        <v>1</v>
      </c>
      <c r="N261" s="188" t="s">
        <v>458</v>
      </c>
      <c r="O261" s="188"/>
      <c r="P261" s="198">
        <f>SUM(Tabela2[[#This Row],[G]]+Tabela2[[#This Row],[D]]+Tabela2[[#This Row],[N]]+Tabela2[[#This Row],[HM]])</f>
        <v>4</v>
      </c>
      <c r="Q261" s="198">
        <f>SUM(Tabela2[[#This Row],[AO]]+Tabela2[[#This Row],[AD]]+Tabela2[[#This Row],[GWO]]+Tabela2[[#This Row],[GWD]])</f>
        <v>4</v>
      </c>
      <c r="R261" s="198">
        <f>Tabela2[[#This Row],[GWO]]+Tabela2[[#This Row],[GWD]]</f>
        <v>2</v>
      </c>
      <c r="S261" s="194">
        <f>SUM(Tabela2[[#This Row],[G]:[GWD]])</f>
        <v>8</v>
      </c>
    </row>
    <row r="262" spans="1:19">
      <c r="A262" s="197">
        <v>66</v>
      </c>
      <c r="B262" s="188" t="s">
        <v>694</v>
      </c>
      <c r="C262" s="188" t="s">
        <v>693</v>
      </c>
      <c r="D262" s="188">
        <v>3</v>
      </c>
      <c r="E262" s="188" t="s">
        <v>18</v>
      </c>
      <c r="F262" s="188">
        <v>1</v>
      </c>
      <c r="G262" s="188">
        <v>1</v>
      </c>
      <c r="H262" s="188">
        <v>1</v>
      </c>
      <c r="I262" s="188">
        <v>1</v>
      </c>
      <c r="J262" s="188">
        <v>1</v>
      </c>
      <c r="K262" s="188">
        <v>1</v>
      </c>
      <c r="L262" s="188">
        <v>1</v>
      </c>
      <c r="M262" s="188">
        <v>1</v>
      </c>
      <c r="N262" s="183"/>
      <c r="O262" s="183"/>
      <c r="P262" s="194">
        <f>SUM(Tabela2[[#This Row],[G]]+Tabela2[[#This Row],[D]]+Tabela2[[#This Row],[N]]+Tabela2[[#This Row],[HM]])</f>
        <v>4</v>
      </c>
      <c r="Q262" s="194">
        <f>SUM(Tabela2[[#This Row],[AO]]+Tabela2[[#This Row],[AD]]+Tabela2[[#This Row],[GWO]]+Tabela2[[#This Row],[GWD]])</f>
        <v>4</v>
      </c>
      <c r="R262" s="194">
        <f>Tabela2[[#This Row],[GWO]]+Tabela2[[#This Row],[GWD]]</f>
        <v>2</v>
      </c>
      <c r="S262" s="194">
        <f>SUM(Tabela2[[#This Row],[G]:[GWD]])</f>
        <v>8</v>
      </c>
    </row>
    <row r="263" spans="1:19" ht="30">
      <c r="A263" s="197">
        <v>65</v>
      </c>
      <c r="B263" s="188" t="s">
        <v>695</v>
      </c>
      <c r="C263" s="188" t="s">
        <v>551</v>
      </c>
      <c r="D263" s="188">
        <v>3</v>
      </c>
      <c r="E263" s="188" t="s">
        <v>18</v>
      </c>
      <c r="F263" s="188">
        <v>1</v>
      </c>
      <c r="G263" s="188">
        <v>1</v>
      </c>
      <c r="H263" s="188">
        <v>1</v>
      </c>
      <c r="I263" s="188">
        <v>1</v>
      </c>
      <c r="J263" s="188">
        <v>2</v>
      </c>
      <c r="K263" s="188">
        <v>1</v>
      </c>
      <c r="L263" s="188">
        <v>1</v>
      </c>
      <c r="M263" s="188">
        <v>2</v>
      </c>
      <c r="N263" s="188" t="s">
        <v>458</v>
      </c>
      <c r="O263" s="188" t="s">
        <v>205</v>
      </c>
      <c r="P263" s="198">
        <f>SUM(Tabela2[[#This Row],[G]]+Tabela2[[#This Row],[D]]+Tabela2[[#This Row],[N]]+Tabela2[[#This Row],[HM]])</f>
        <v>4</v>
      </c>
      <c r="Q263" s="198">
        <f>SUM(Tabela2[[#This Row],[AO]]+Tabela2[[#This Row],[AD]]+Tabela2[[#This Row],[GWO]]+Tabela2[[#This Row],[GWD]])</f>
        <v>6</v>
      </c>
      <c r="R263" s="198">
        <f>Tabela2[[#This Row],[GWO]]+Tabela2[[#This Row],[GWD]]</f>
        <v>3</v>
      </c>
      <c r="S263" s="194">
        <f>SUM(Tabela2[[#This Row],[G]:[GWD]])</f>
        <v>10</v>
      </c>
    </row>
    <row r="264" spans="1:19">
      <c r="A264" s="197">
        <v>64</v>
      </c>
      <c r="B264" s="188" t="s">
        <v>209</v>
      </c>
      <c r="C264" s="188" t="s">
        <v>371</v>
      </c>
      <c r="D264" s="188">
        <v>3</v>
      </c>
      <c r="E264" s="188" t="s">
        <v>18</v>
      </c>
      <c r="F264" s="188">
        <v>1</v>
      </c>
      <c r="G264" s="188">
        <v>1</v>
      </c>
      <c r="H264" s="188">
        <v>4</v>
      </c>
      <c r="I264" s="188">
        <v>3</v>
      </c>
      <c r="J264" s="188">
        <v>2</v>
      </c>
      <c r="K264" s="188">
        <v>1</v>
      </c>
      <c r="L264" s="188">
        <v>4</v>
      </c>
      <c r="M264" s="188">
        <v>2</v>
      </c>
      <c r="N264" s="183"/>
      <c r="O264" s="183" t="s">
        <v>205</v>
      </c>
      <c r="P264" s="194">
        <f>SUM(Tabela2[[#This Row],[G]]+Tabela2[[#This Row],[D]]+Tabela2[[#This Row],[N]]+Tabela2[[#This Row],[HM]])</f>
        <v>7</v>
      </c>
      <c r="Q264" s="194">
        <f>SUM(Tabela2[[#This Row],[AO]]+Tabela2[[#This Row],[AD]]+Tabela2[[#This Row],[GWO]]+Tabela2[[#This Row],[GWD]])</f>
        <v>11</v>
      </c>
      <c r="R264" s="194">
        <f>Tabela2[[#This Row],[GWO]]+Tabela2[[#This Row],[GWD]]</f>
        <v>6</v>
      </c>
      <c r="S264" s="194">
        <f>SUM(Tabela2[[#This Row],[G]:[GWD]])</f>
        <v>18</v>
      </c>
    </row>
    <row r="265" spans="1:19">
      <c r="A265" s="197">
        <v>63</v>
      </c>
      <c r="B265" s="188" t="s">
        <v>696</v>
      </c>
      <c r="C265" s="188" t="s">
        <v>553</v>
      </c>
      <c r="D265" s="188">
        <v>3</v>
      </c>
      <c r="E265" s="188" t="s">
        <v>18</v>
      </c>
      <c r="F265" s="188">
        <v>1</v>
      </c>
      <c r="G265" s="188">
        <v>1</v>
      </c>
      <c r="H265" s="188">
        <v>1</v>
      </c>
      <c r="I265" s="188">
        <v>1</v>
      </c>
      <c r="J265" s="188">
        <v>1</v>
      </c>
      <c r="K265" s="188">
        <v>1</v>
      </c>
      <c r="L265" s="188">
        <v>1</v>
      </c>
      <c r="M265" s="188">
        <v>1</v>
      </c>
      <c r="N265" s="183"/>
      <c r="O265" s="183"/>
      <c r="P265" s="194">
        <f>SUM(Tabela2[[#This Row],[G]]+Tabela2[[#This Row],[D]]+Tabela2[[#This Row],[N]]+Tabela2[[#This Row],[HM]])</f>
        <v>4</v>
      </c>
      <c r="Q265" s="194">
        <f>SUM(Tabela2[[#This Row],[AO]]+Tabela2[[#This Row],[AD]]+Tabela2[[#This Row],[GWO]]+Tabela2[[#This Row],[GWD]])</f>
        <v>4</v>
      </c>
      <c r="R265" s="194">
        <f>Tabela2[[#This Row],[GWO]]+Tabela2[[#This Row],[GWD]]</f>
        <v>2</v>
      </c>
      <c r="S265" s="194">
        <f>SUM(Tabela2[[#This Row],[G]:[GWD]])</f>
        <v>8</v>
      </c>
    </row>
    <row r="266" spans="1:19" ht="30">
      <c r="A266" s="197">
        <v>62</v>
      </c>
      <c r="B266" s="188" t="s">
        <v>697</v>
      </c>
      <c r="C266" s="188" t="s">
        <v>555</v>
      </c>
      <c r="D266" s="188">
        <v>3</v>
      </c>
      <c r="E266" s="188" t="s">
        <v>18</v>
      </c>
      <c r="F266" s="188">
        <v>1</v>
      </c>
      <c r="G266" s="188">
        <v>1</v>
      </c>
      <c r="H266" s="188">
        <v>2</v>
      </c>
      <c r="I266" s="188">
        <v>1</v>
      </c>
      <c r="J266" s="188">
        <v>1</v>
      </c>
      <c r="K266" s="188">
        <v>1</v>
      </c>
      <c r="L266" s="188">
        <v>1</v>
      </c>
      <c r="M266" s="188">
        <v>1</v>
      </c>
      <c r="N266" s="183"/>
      <c r="O266" s="183"/>
      <c r="P266" s="194">
        <f>SUM(Tabela2[[#This Row],[G]]+Tabela2[[#This Row],[D]]+Tabela2[[#This Row],[N]]+Tabela2[[#This Row],[HM]])</f>
        <v>5</v>
      </c>
      <c r="Q266" s="194">
        <f>SUM(Tabela2[[#This Row],[AO]]+Tabela2[[#This Row],[AD]]+Tabela2[[#This Row],[GWO]]+Tabela2[[#This Row],[GWD]])</f>
        <v>4</v>
      </c>
      <c r="R266" s="194">
        <f>Tabela2[[#This Row],[GWO]]+Tabela2[[#This Row],[GWD]]</f>
        <v>2</v>
      </c>
      <c r="S266" s="194">
        <f>SUM(Tabela2[[#This Row],[G]:[GWD]])</f>
        <v>9</v>
      </c>
    </row>
    <row r="267" spans="1:19" ht="30">
      <c r="A267" s="197">
        <v>61</v>
      </c>
      <c r="B267" s="188" t="s">
        <v>699</v>
      </c>
      <c r="C267" s="188" t="s">
        <v>698</v>
      </c>
      <c r="D267" s="188">
        <v>3</v>
      </c>
      <c r="E267" s="188" t="s">
        <v>18</v>
      </c>
      <c r="F267" s="188">
        <v>1</v>
      </c>
      <c r="G267" s="188">
        <v>1</v>
      </c>
      <c r="H267" s="188">
        <v>1</v>
      </c>
      <c r="I267" s="188">
        <v>4</v>
      </c>
      <c r="J267" s="188">
        <v>1</v>
      </c>
      <c r="K267" s="188">
        <v>1</v>
      </c>
      <c r="L267" s="188">
        <v>4</v>
      </c>
      <c r="M267" s="188">
        <v>1</v>
      </c>
      <c r="N267" s="188" t="s">
        <v>458</v>
      </c>
      <c r="O267" s="188" t="s">
        <v>796</v>
      </c>
      <c r="P267" s="198">
        <f>SUM(Tabela2[[#This Row],[G]]+Tabela2[[#This Row],[D]]+Tabela2[[#This Row],[N]]+Tabela2[[#This Row],[HM]])</f>
        <v>4</v>
      </c>
      <c r="Q267" s="198">
        <f>SUM(Tabela2[[#This Row],[AO]]+Tabela2[[#This Row],[AD]]+Tabela2[[#This Row],[GWO]]+Tabela2[[#This Row],[GWD]])</f>
        <v>10</v>
      </c>
      <c r="R267" s="198">
        <f>Tabela2[[#This Row],[GWO]]+Tabela2[[#This Row],[GWD]]</f>
        <v>5</v>
      </c>
      <c r="S267" s="194">
        <f>SUM(Tabela2[[#This Row],[G]:[GWD]])</f>
        <v>14</v>
      </c>
    </row>
    <row r="268" spans="1:19">
      <c r="A268" s="197">
        <v>60</v>
      </c>
      <c r="B268" s="188" t="s">
        <v>700</v>
      </c>
      <c r="C268" s="188" t="s">
        <v>559</v>
      </c>
      <c r="D268" s="188">
        <v>3</v>
      </c>
      <c r="E268" s="188" t="s">
        <v>18</v>
      </c>
      <c r="F268" s="188">
        <v>1</v>
      </c>
      <c r="G268" s="188">
        <v>1</v>
      </c>
      <c r="H268" s="188">
        <v>3</v>
      </c>
      <c r="I268" s="188">
        <v>1</v>
      </c>
      <c r="J268" s="188">
        <v>1</v>
      </c>
      <c r="K268" s="188">
        <v>1</v>
      </c>
      <c r="L268" s="188">
        <v>1</v>
      </c>
      <c r="M268" s="188">
        <v>1</v>
      </c>
      <c r="N268" s="183"/>
      <c r="O268" s="183"/>
      <c r="P268" s="194">
        <f>SUM(Tabela2[[#This Row],[G]]+Tabela2[[#This Row],[D]]+Tabela2[[#This Row],[N]]+Tabela2[[#This Row],[HM]])</f>
        <v>6</v>
      </c>
      <c r="Q268" s="194">
        <f>SUM(Tabela2[[#This Row],[AO]]+Tabela2[[#This Row],[AD]]+Tabela2[[#This Row],[GWO]]+Tabela2[[#This Row],[GWD]])</f>
        <v>4</v>
      </c>
      <c r="R268" s="194">
        <f>Tabela2[[#This Row],[GWO]]+Tabela2[[#This Row],[GWD]]</f>
        <v>2</v>
      </c>
      <c r="S268" s="194">
        <f>SUM(Tabela2[[#This Row],[G]:[GWD]])</f>
        <v>10</v>
      </c>
    </row>
    <row r="269" spans="1:19" ht="30">
      <c r="A269" s="197">
        <v>59</v>
      </c>
      <c r="B269" s="188" t="s">
        <v>702</v>
      </c>
      <c r="C269" s="188" t="s">
        <v>701</v>
      </c>
      <c r="D269" s="188">
        <v>3</v>
      </c>
      <c r="E269" s="188" t="s">
        <v>18</v>
      </c>
      <c r="F269" s="188">
        <v>1</v>
      </c>
      <c r="G269" s="188">
        <v>1</v>
      </c>
      <c r="H269" s="188">
        <v>1</v>
      </c>
      <c r="I269" s="188">
        <v>2</v>
      </c>
      <c r="J269" s="188">
        <v>1</v>
      </c>
      <c r="K269" s="188">
        <v>1</v>
      </c>
      <c r="L269" s="188">
        <v>2</v>
      </c>
      <c r="M269" s="188">
        <v>1</v>
      </c>
      <c r="N269" s="183"/>
      <c r="O269" s="183" t="s">
        <v>205</v>
      </c>
      <c r="P269" s="194">
        <f>SUM(Tabela2[[#This Row],[G]]+Tabela2[[#This Row],[D]]+Tabela2[[#This Row],[N]]+Tabela2[[#This Row],[HM]])</f>
        <v>4</v>
      </c>
      <c r="Q269" s="194">
        <f>SUM(Tabela2[[#This Row],[AO]]+Tabela2[[#This Row],[AD]]+Tabela2[[#This Row],[GWO]]+Tabela2[[#This Row],[GWD]])</f>
        <v>6</v>
      </c>
      <c r="R269" s="194">
        <f>Tabela2[[#This Row],[GWO]]+Tabela2[[#This Row],[GWD]]</f>
        <v>3</v>
      </c>
      <c r="S269" s="194">
        <f>SUM(Tabela2[[#This Row],[G]:[GWD]])</f>
        <v>10</v>
      </c>
    </row>
    <row r="270" spans="1:19">
      <c r="A270" s="197">
        <v>58</v>
      </c>
      <c r="B270" s="188" t="s">
        <v>704</v>
      </c>
      <c r="C270" s="188" t="s">
        <v>703</v>
      </c>
      <c r="D270" s="188">
        <v>3</v>
      </c>
      <c r="E270" s="188" t="s">
        <v>18</v>
      </c>
      <c r="F270" s="188">
        <v>3</v>
      </c>
      <c r="G270" s="188">
        <v>5</v>
      </c>
      <c r="H270" s="188">
        <v>1</v>
      </c>
      <c r="I270" s="188">
        <v>2</v>
      </c>
      <c r="J270" s="188">
        <v>2</v>
      </c>
      <c r="K270" s="188">
        <v>4</v>
      </c>
      <c r="L270" s="188">
        <v>2</v>
      </c>
      <c r="M270" s="188">
        <v>2</v>
      </c>
      <c r="N270" s="183"/>
      <c r="O270" s="183" t="s">
        <v>205</v>
      </c>
      <c r="P270" s="194">
        <f>SUM(Tabela2[[#This Row],[G]]+Tabela2[[#This Row],[D]]+Tabela2[[#This Row],[N]]+Tabela2[[#This Row],[HM]])</f>
        <v>13</v>
      </c>
      <c r="Q270" s="194">
        <f>SUM(Tabela2[[#This Row],[AO]]+Tabela2[[#This Row],[AD]]+Tabela2[[#This Row],[GWO]]+Tabela2[[#This Row],[GWD]])</f>
        <v>8</v>
      </c>
      <c r="R270" s="194">
        <f>Tabela2[[#This Row],[GWO]]+Tabela2[[#This Row],[GWD]]</f>
        <v>4</v>
      </c>
      <c r="S270" s="194">
        <f>SUM(Tabela2[[#This Row],[G]:[GWD]])</f>
        <v>21</v>
      </c>
    </row>
    <row r="271" spans="1:19">
      <c r="A271" s="197">
        <v>57</v>
      </c>
      <c r="B271" s="188" t="s">
        <v>705</v>
      </c>
      <c r="C271" s="188" t="s">
        <v>296</v>
      </c>
      <c r="D271" s="188">
        <v>3</v>
      </c>
      <c r="E271" s="188" t="s">
        <v>18</v>
      </c>
      <c r="F271" s="188">
        <v>1</v>
      </c>
      <c r="G271" s="188">
        <v>1</v>
      </c>
      <c r="H271" s="188">
        <v>1</v>
      </c>
      <c r="I271" s="188">
        <v>1</v>
      </c>
      <c r="J271" s="188">
        <v>2</v>
      </c>
      <c r="K271" s="188">
        <v>1</v>
      </c>
      <c r="L271" s="188">
        <v>1</v>
      </c>
      <c r="M271" s="188">
        <v>1</v>
      </c>
      <c r="N271" s="183"/>
      <c r="O271" s="183"/>
      <c r="P271" s="194">
        <f>SUM(Tabela2[[#This Row],[G]]+Tabela2[[#This Row],[D]]+Tabela2[[#This Row],[N]]+Tabela2[[#This Row],[HM]])</f>
        <v>4</v>
      </c>
      <c r="Q271" s="194">
        <f>SUM(Tabela2[[#This Row],[AO]]+Tabela2[[#This Row],[AD]]+Tabela2[[#This Row],[GWO]]+Tabela2[[#This Row],[GWD]])</f>
        <v>5</v>
      </c>
      <c r="R271" s="194">
        <f>Tabela2[[#This Row],[GWO]]+Tabela2[[#This Row],[GWD]]</f>
        <v>2</v>
      </c>
      <c r="S271" s="194">
        <f>SUM(Tabela2[[#This Row],[G]:[GWD]])</f>
        <v>9</v>
      </c>
    </row>
    <row r="272" spans="1:19">
      <c r="A272" s="197">
        <v>56</v>
      </c>
      <c r="B272" s="188" t="s">
        <v>707</v>
      </c>
      <c r="C272" s="188" t="s">
        <v>706</v>
      </c>
      <c r="D272" s="188">
        <v>3</v>
      </c>
      <c r="E272" s="188" t="s">
        <v>18</v>
      </c>
      <c r="F272" s="188">
        <v>1</v>
      </c>
      <c r="G272" s="188">
        <v>1</v>
      </c>
      <c r="H272" s="188">
        <v>1</v>
      </c>
      <c r="I272" s="188">
        <v>1</v>
      </c>
      <c r="J272" s="188">
        <v>1</v>
      </c>
      <c r="K272" s="188">
        <v>1</v>
      </c>
      <c r="L272" s="188">
        <v>1</v>
      </c>
      <c r="M272" s="188">
        <v>1</v>
      </c>
      <c r="N272" s="183"/>
      <c r="O272" s="183"/>
      <c r="P272" s="194">
        <f>SUM(Tabela2[[#This Row],[G]]+Tabela2[[#This Row],[D]]+Tabela2[[#This Row],[N]]+Tabela2[[#This Row],[HM]])</f>
        <v>4</v>
      </c>
      <c r="Q272" s="194">
        <f>SUM(Tabela2[[#This Row],[AO]]+Tabela2[[#This Row],[AD]]+Tabela2[[#This Row],[GWO]]+Tabela2[[#This Row],[GWD]])</f>
        <v>4</v>
      </c>
      <c r="R272" s="194">
        <f>Tabela2[[#This Row],[GWO]]+Tabela2[[#This Row],[GWD]]</f>
        <v>2</v>
      </c>
      <c r="S272" s="194">
        <f>SUM(Tabela2[[#This Row],[G]:[GWD]])</f>
        <v>8</v>
      </c>
    </row>
    <row r="273" spans="1:19" ht="30">
      <c r="A273" s="197">
        <v>55</v>
      </c>
      <c r="B273" s="188" t="s">
        <v>709</v>
      </c>
      <c r="C273" s="188" t="s">
        <v>708</v>
      </c>
      <c r="D273" s="188">
        <v>3</v>
      </c>
      <c r="E273" s="188" t="s">
        <v>18</v>
      </c>
      <c r="F273" s="188">
        <v>1</v>
      </c>
      <c r="G273" s="188">
        <v>1</v>
      </c>
      <c r="H273" s="188">
        <v>1</v>
      </c>
      <c r="I273" s="188">
        <v>1</v>
      </c>
      <c r="J273" s="188">
        <v>1</v>
      </c>
      <c r="K273" s="188">
        <v>1</v>
      </c>
      <c r="L273" s="188">
        <v>1</v>
      </c>
      <c r="M273" s="188">
        <v>1</v>
      </c>
      <c r="N273" s="183"/>
      <c r="O273" s="183"/>
      <c r="P273" s="194">
        <f>SUM(Tabela2[[#This Row],[G]]+Tabela2[[#This Row],[D]]+Tabela2[[#This Row],[N]]+Tabela2[[#This Row],[HM]])</f>
        <v>4</v>
      </c>
      <c r="Q273" s="194">
        <f>SUM(Tabela2[[#This Row],[AO]]+Tabela2[[#This Row],[AD]]+Tabela2[[#This Row],[GWO]]+Tabela2[[#This Row],[GWD]])</f>
        <v>4</v>
      </c>
      <c r="R273" s="194">
        <f>Tabela2[[#This Row],[GWO]]+Tabela2[[#This Row],[GWD]]</f>
        <v>2</v>
      </c>
      <c r="S273" s="194">
        <f>SUM(Tabela2[[#This Row],[G]:[GWD]])</f>
        <v>8</v>
      </c>
    </row>
    <row r="274" spans="1:19">
      <c r="A274" s="197">
        <v>54</v>
      </c>
      <c r="B274" s="188" t="s">
        <v>710</v>
      </c>
      <c r="C274" s="188" t="s">
        <v>578</v>
      </c>
      <c r="D274" s="188">
        <v>3</v>
      </c>
      <c r="E274" s="188" t="s">
        <v>18</v>
      </c>
      <c r="F274" s="188">
        <v>1</v>
      </c>
      <c r="G274" s="188">
        <v>1</v>
      </c>
      <c r="H274" s="188">
        <v>2</v>
      </c>
      <c r="I274" s="188">
        <v>1</v>
      </c>
      <c r="J274" s="188">
        <v>1</v>
      </c>
      <c r="K274" s="188">
        <v>1</v>
      </c>
      <c r="L274" s="188">
        <v>3</v>
      </c>
      <c r="M274" s="188">
        <v>1</v>
      </c>
      <c r="N274" s="183"/>
      <c r="O274" s="183"/>
      <c r="P274" s="194">
        <f>SUM(Tabela2[[#This Row],[G]]+Tabela2[[#This Row],[D]]+Tabela2[[#This Row],[N]]+Tabela2[[#This Row],[HM]])</f>
        <v>5</v>
      </c>
      <c r="Q274" s="194">
        <f>SUM(Tabela2[[#This Row],[AO]]+Tabela2[[#This Row],[AD]]+Tabela2[[#This Row],[GWO]]+Tabela2[[#This Row],[GWD]])</f>
        <v>6</v>
      </c>
      <c r="R274" s="194">
        <f>Tabela2[[#This Row],[GWO]]+Tabela2[[#This Row],[GWD]]</f>
        <v>4</v>
      </c>
      <c r="S274" s="194">
        <f>SUM(Tabela2[[#This Row],[G]:[GWD]])</f>
        <v>11</v>
      </c>
    </row>
    <row r="275" spans="1:19" ht="30">
      <c r="A275" s="197">
        <v>53</v>
      </c>
      <c r="B275" s="188" t="s">
        <v>711</v>
      </c>
      <c r="C275" s="188" t="s">
        <v>579</v>
      </c>
      <c r="D275" s="188">
        <v>3</v>
      </c>
      <c r="E275" s="188" t="s">
        <v>18</v>
      </c>
      <c r="F275" s="188">
        <v>1</v>
      </c>
      <c r="G275" s="188">
        <v>1</v>
      </c>
      <c r="H275" s="188">
        <v>1</v>
      </c>
      <c r="I275" s="188">
        <v>2</v>
      </c>
      <c r="J275" s="188">
        <v>2</v>
      </c>
      <c r="K275" s="188">
        <v>1</v>
      </c>
      <c r="L275" s="188">
        <v>3</v>
      </c>
      <c r="M275" s="188">
        <v>2</v>
      </c>
      <c r="N275" s="183"/>
      <c r="O275" s="183" t="s">
        <v>205</v>
      </c>
      <c r="P275" s="194">
        <f>SUM(Tabela2[[#This Row],[G]]+Tabela2[[#This Row],[D]]+Tabela2[[#This Row],[N]]+Tabela2[[#This Row],[HM]])</f>
        <v>4</v>
      </c>
      <c r="Q275" s="194">
        <f>SUM(Tabela2[[#This Row],[AO]]+Tabela2[[#This Row],[AD]]+Tabela2[[#This Row],[GWO]]+Tabela2[[#This Row],[GWD]])</f>
        <v>9</v>
      </c>
      <c r="R275" s="194">
        <f>Tabela2[[#This Row],[GWO]]+Tabela2[[#This Row],[GWD]]</f>
        <v>5</v>
      </c>
      <c r="S275" s="194">
        <f>SUM(Tabela2[[#This Row],[G]:[GWD]])</f>
        <v>13</v>
      </c>
    </row>
    <row r="276" spans="1:19" ht="30">
      <c r="A276" s="197">
        <v>52</v>
      </c>
      <c r="B276" s="188" t="s">
        <v>712</v>
      </c>
      <c r="C276" s="188" t="s">
        <v>581</v>
      </c>
      <c r="D276" s="188">
        <v>3</v>
      </c>
      <c r="E276" s="188" t="s">
        <v>18</v>
      </c>
      <c r="F276" s="188">
        <v>1</v>
      </c>
      <c r="G276" s="188">
        <v>3</v>
      </c>
      <c r="H276" s="188">
        <v>5</v>
      </c>
      <c r="I276" s="188">
        <v>4</v>
      </c>
      <c r="J276" s="188">
        <v>2</v>
      </c>
      <c r="K276" s="188">
        <v>1</v>
      </c>
      <c r="L276" s="188">
        <v>5</v>
      </c>
      <c r="M276" s="188">
        <v>2</v>
      </c>
      <c r="N276" s="183"/>
      <c r="O276" s="183" t="s">
        <v>797</v>
      </c>
      <c r="P276" s="194">
        <f>SUM(Tabela2[[#This Row],[G]]+Tabela2[[#This Row],[D]]+Tabela2[[#This Row],[N]]+Tabela2[[#This Row],[HM]])</f>
        <v>10</v>
      </c>
      <c r="Q276" s="194">
        <f>SUM(Tabela2[[#This Row],[AO]]+Tabela2[[#This Row],[AD]]+Tabela2[[#This Row],[GWO]]+Tabela2[[#This Row],[GWD]])</f>
        <v>13</v>
      </c>
      <c r="R276" s="194">
        <f>Tabela2[[#This Row],[GWO]]+Tabela2[[#This Row],[GWD]]</f>
        <v>7</v>
      </c>
      <c r="S276" s="194">
        <f>SUM(Tabela2[[#This Row],[G]:[GWD]])</f>
        <v>23</v>
      </c>
    </row>
    <row r="277" spans="1:19" ht="30">
      <c r="A277" s="197">
        <v>51</v>
      </c>
      <c r="B277" s="188" t="s">
        <v>713</v>
      </c>
      <c r="C277" s="188" t="s">
        <v>583</v>
      </c>
      <c r="D277" s="188">
        <v>3</v>
      </c>
      <c r="E277" s="188" t="s">
        <v>18</v>
      </c>
      <c r="F277" s="188">
        <v>1</v>
      </c>
      <c r="G277" s="188">
        <v>1</v>
      </c>
      <c r="H277" s="188">
        <v>1</v>
      </c>
      <c r="I277" s="188">
        <v>2</v>
      </c>
      <c r="J277" s="188">
        <v>1</v>
      </c>
      <c r="K277" s="188">
        <v>1</v>
      </c>
      <c r="L277" s="188">
        <v>3</v>
      </c>
      <c r="M277" s="188">
        <v>1</v>
      </c>
      <c r="N277" s="188" t="s">
        <v>458</v>
      </c>
      <c r="O277" s="188"/>
      <c r="P277" s="198">
        <f>SUM(Tabela2[[#This Row],[G]]+Tabela2[[#This Row],[D]]+Tabela2[[#This Row],[N]]+Tabela2[[#This Row],[HM]])</f>
        <v>4</v>
      </c>
      <c r="Q277" s="198">
        <f>SUM(Tabela2[[#This Row],[AO]]+Tabela2[[#This Row],[AD]]+Tabela2[[#This Row],[GWO]]+Tabela2[[#This Row],[GWD]])</f>
        <v>7</v>
      </c>
      <c r="R277" s="198">
        <f>Tabela2[[#This Row],[GWO]]+Tabela2[[#This Row],[GWD]]</f>
        <v>4</v>
      </c>
      <c r="S277" s="194">
        <f>SUM(Tabela2[[#This Row],[G]:[GWD]])</f>
        <v>11</v>
      </c>
    </row>
    <row r="278" spans="1:19">
      <c r="A278" s="197">
        <v>50</v>
      </c>
      <c r="B278" s="188" t="s">
        <v>715</v>
      </c>
      <c r="C278" s="188" t="s">
        <v>714</v>
      </c>
      <c r="D278" s="188">
        <v>3</v>
      </c>
      <c r="E278" s="188" t="s">
        <v>18</v>
      </c>
      <c r="F278" s="188">
        <v>1</v>
      </c>
      <c r="G278" s="188">
        <v>1</v>
      </c>
      <c r="H278" s="188">
        <v>2</v>
      </c>
      <c r="I278" s="188">
        <v>2</v>
      </c>
      <c r="J278" s="188">
        <v>2</v>
      </c>
      <c r="K278" s="188">
        <v>1</v>
      </c>
      <c r="L278" s="188">
        <v>2</v>
      </c>
      <c r="M278" s="188">
        <v>2</v>
      </c>
      <c r="N278" s="183"/>
      <c r="O278" s="183"/>
      <c r="P278" s="194">
        <f>SUM(Tabela2[[#This Row],[G]]+Tabela2[[#This Row],[D]]+Tabela2[[#This Row],[N]]+Tabela2[[#This Row],[HM]])</f>
        <v>5</v>
      </c>
      <c r="Q278" s="194">
        <f>SUM(Tabela2[[#This Row],[AO]]+Tabela2[[#This Row],[AD]]+Tabela2[[#This Row],[GWO]]+Tabela2[[#This Row],[GWD]])</f>
        <v>8</v>
      </c>
      <c r="R278" s="194">
        <f>Tabela2[[#This Row],[GWO]]+Tabela2[[#This Row],[GWD]]</f>
        <v>4</v>
      </c>
      <c r="S278" s="194">
        <f>SUM(Tabela2[[#This Row],[G]:[GWD]])</f>
        <v>13</v>
      </c>
    </row>
    <row r="279" spans="1:19" ht="30">
      <c r="A279" s="197">
        <v>49</v>
      </c>
      <c r="B279" s="188" t="s">
        <v>716</v>
      </c>
      <c r="C279" s="188" t="s">
        <v>585</v>
      </c>
      <c r="D279" s="188">
        <v>3</v>
      </c>
      <c r="E279" s="188" t="s">
        <v>18</v>
      </c>
      <c r="F279" s="188">
        <v>1</v>
      </c>
      <c r="G279" s="188">
        <v>2</v>
      </c>
      <c r="H279" s="188">
        <v>1</v>
      </c>
      <c r="I279" s="188">
        <v>2</v>
      </c>
      <c r="J279" s="188">
        <v>2</v>
      </c>
      <c r="K279" s="188">
        <v>2</v>
      </c>
      <c r="L279" s="188">
        <v>2</v>
      </c>
      <c r="M279" s="188">
        <v>2</v>
      </c>
      <c r="N279" s="183"/>
      <c r="O279" s="183"/>
      <c r="P279" s="194">
        <f>SUM(Tabela2[[#This Row],[G]]+Tabela2[[#This Row],[D]]+Tabela2[[#This Row],[N]]+Tabela2[[#This Row],[HM]])</f>
        <v>6</v>
      </c>
      <c r="Q279" s="194">
        <f>SUM(Tabela2[[#This Row],[AO]]+Tabela2[[#This Row],[AD]]+Tabela2[[#This Row],[GWO]]+Tabela2[[#This Row],[GWD]])</f>
        <v>8</v>
      </c>
      <c r="R279" s="194">
        <f>Tabela2[[#This Row],[GWO]]+Tabela2[[#This Row],[GWD]]</f>
        <v>4</v>
      </c>
      <c r="S279" s="194">
        <f>SUM(Tabela2[[#This Row],[G]:[GWD]])</f>
        <v>14</v>
      </c>
    </row>
    <row r="280" spans="1:19">
      <c r="A280" s="197">
        <v>48</v>
      </c>
      <c r="B280" s="188" t="s">
        <v>718</v>
      </c>
      <c r="C280" s="188" t="s">
        <v>717</v>
      </c>
      <c r="D280" s="188">
        <v>3</v>
      </c>
      <c r="E280" s="188" t="s">
        <v>18</v>
      </c>
      <c r="F280" s="188">
        <v>1</v>
      </c>
      <c r="G280" s="188">
        <v>2</v>
      </c>
      <c r="H280" s="188">
        <v>1</v>
      </c>
      <c r="I280" s="188">
        <v>3</v>
      </c>
      <c r="J280" s="188">
        <v>1</v>
      </c>
      <c r="K280" s="188">
        <v>1</v>
      </c>
      <c r="L280" s="188">
        <v>3</v>
      </c>
      <c r="M280" s="188">
        <v>1</v>
      </c>
      <c r="N280" s="183"/>
      <c r="O280" s="183"/>
      <c r="P280" s="194">
        <f>SUM(Tabela2[[#This Row],[G]]+Tabela2[[#This Row],[D]]+Tabela2[[#This Row],[N]]+Tabela2[[#This Row],[HM]])</f>
        <v>5</v>
      </c>
      <c r="Q280" s="194">
        <f>SUM(Tabela2[[#This Row],[AO]]+Tabela2[[#This Row],[AD]]+Tabela2[[#This Row],[GWO]]+Tabela2[[#This Row],[GWD]])</f>
        <v>8</v>
      </c>
      <c r="R280" s="194">
        <f>Tabela2[[#This Row],[GWO]]+Tabela2[[#This Row],[GWD]]</f>
        <v>4</v>
      </c>
      <c r="S280" s="194">
        <f>SUM(Tabela2[[#This Row],[G]:[GWD]])</f>
        <v>13</v>
      </c>
    </row>
    <row r="281" spans="1:19">
      <c r="A281" s="197">
        <v>47</v>
      </c>
      <c r="B281" s="183" t="s">
        <v>720</v>
      </c>
      <c r="C281" s="183" t="s">
        <v>719</v>
      </c>
      <c r="D281" s="183">
        <v>2</v>
      </c>
      <c r="E281" s="183" t="s">
        <v>285</v>
      </c>
      <c r="F281" s="183">
        <v>1</v>
      </c>
      <c r="G281" s="183">
        <v>1</v>
      </c>
      <c r="H281" s="183">
        <v>3</v>
      </c>
      <c r="I281" s="183">
        <v>1</v>
      </c>
      <c r="J281" s="183">
        <v>1</v>
      </c>
      <c r="K281" s="183">
        <v>1</v>
      </c>
      <c r="L281" s="183">
        <v>1</v>
      </c>
      <c r="M281" s="183">
        <v>1</v>
      </c>
      <c r="N281" s="183"/>
      <c r="O281" s="183"/>
      <c r="P281" s="194">
        <f>SUM(Tabela2[[#This Row],[G]]+Tabela2[[#This Row],[D]]+Tabela2[[#This Row],[N]]+Tabela2[[#This Row],[HM]])</f>
        <v>6</v>
      </c>
      <c r="Q281" s="194">
        <f>SUM(Tabela2[[#This Row],[AO]]+Tabela2[[#This Row],[AD]]+Tabela2[[#This Row],[GWO]]+Tabela2[[#This Row],[GWD]])</f>
        <v>4</v>
      </c>
      <c r="R281" s="194">
        <f>Tabela2[[#This Row],[GWO]]+Tabela2[[#This Row],[GWD]]</f>
        <v>2</v>
      </c>
      <c r="S281" s="194">
        <f>SUM(Tabela2[[#This Row],[G]:[GWD]])</f>
        <v>10</v>
      </c>
    </row>
    <row r="282" spans="1:19">
      <c r="A282" s="197">
        <v>46</v>
      </c>
      <c r="B282" s="183" t="s">
        <v>722</v>
      </c>
      <c r="C282" s="183" t="s">
        <v>721</v>
      </c>
      <c r="D282" s="183">
        <v>2</v>
      </c>
      <c r="E282" s="183" t="s">
        <v>285</v>
      </c>
      <c r="F282" s="183">
        <v>1</v>
      </c>
      <c r="G282" s="183">
        <v>1</v>
      </c>
      <c r="H282" s="183">
        <v>1</v>
      </c>
      <c r="I282" s="183">
        <v>1</v>
      </c>
      <c r="J282" s="183">
        <v>1</v>
      </c>
      <c r="K282" s="183">
        <v>1</v>
      </c>
      <c r="L282" s="183">
        <v>1</v>
      </c>
      <c r="M282" s="183">
        <v>1</v>
      </c>
      <c r="N282" s="183"/>
      <c r="O282" s="183"/>
      <c r="P282" s="194">
        <f>SUM(Tabela2[[#This Row],[G]]+Tabela2[[#This Row],[D]]+Tabela2[[#This Row],[N]]+Tabela2[[#This Row],[HM]])</f>
        <v>4</v>
      </c>
      <c r="Q282" s="194">
        <f>SUM(Tabela2[[#This Row],[AO]]+Tabela2[[#This Row],[AD]]+Tabela2[[#This Row],[GWO]]+Tabela2[[#This Row],[GWD]])</f>
        <v>4</v>
      </c>
      <c r="R282" s="194">
        <f>Tabela2[[#This Row],[GWO]]+Tabela2[[#This Row],[GWD]]</f>
        <v>2</v>
      </c>
      <c r="S282" s="194">
        <f>SUM(Tabela2[[#This Row],[G]:[GWD]])</f>
        <v>8</v>
      </c>
    </row>
    <row r="283" spans="1:19">
      <c r="A283" s="197">
        <v>45</v>
      </c>
      <c r="B283" s="183" t="s">
        <v>724</v>
      </c>
      <c r="C283" s="183" t="s">
        <v>723</v>
      </c>
      <c r="D283" s="183">
        <v>2</v>
      </c>
      <c r="E283" s="183" t="s">
        <v>285</v>
      </c>
      <c r="F283" s="183">
        <v>1</v>
      </c>
      <c r="G283" s="183">
        <v>1</v>
      </c>
      <c r="H283" s="183">
        <v>1</v>
      </c>
      <c r="I283" s="183">
        <v>1</v>
      </c>
      <c r="J283" s="183">
        <v>1</v>
      </c>
      <c r="K283" s="183">
        <v>1</v>
      </c>
      <c r="L283" s="183">
        <v>1</v>
      </c>
      <c r="M283" s="183">
        <v>1</v>
      </c>
      <c r="N283" s="183"/>
      <c r="O283" s="183"/>
      <c r="P283" s="194">
        <f>SUM(Tabela2[[#This Row],[G]]+Tabela2[[#This Row],[D]]+Tabela2[[#This Row],[N]]+Tabela2[[#This Row],[HM]])</f>
        <v>4</v>
      </c>
      <c r="Q283" s="194">
        <f>SUM(Tabela2[[#This Row],[AO]]+Tabela2[[#This Row],[AD]]+Tabela2[[#This Row],[GWO]]+Tabela2[[#This Row],[GWD]])</f>
        <v>4</v>
      </c>
      <c r="R283" s="194">
        <f>Tabela2[[#This Row],[GWO]]+Tabela2[[#This Row],[GWD]]</f>
        <v>2</v>
      </c>
      <c r="S283" s="194">
        <f>SUM(Tabela2[[#This Row],[G]:[GWD]])</f>
        <v>8</v>
      </c>
    </row>
    <row r="284" spans="1:19">
      <c r="A284" s="197">
        <v>44</v>
      </c>
      <c r="B284" s="183" t="s">
        <v>726</v>
      </c>
      <c r="C284" s="183" t="s">
        <v>725</v>
      </c>
      <c r="D284" s="183">
        <v>2</v>
      </c>
      <c r="E284" s="183" t="s">
        <v>285</v>
      </c>
      <c r="F284" s="183">
        <v>1</v>
      </c>
      <c r="G284" s="183">
        <v>1</v>
      </c>
      <c r="H284" s="183">
        <v>1</v>
      </c>
      <c r="I284" s="183">
        <v>1</v>
      </c>
      <c r="J284" s="183">
        <v>1</v>
      </c>
      <c r="K284" s="183">
        <v>1</v>
      </c>
      <c r="L284" s="183">
        <v>1</v>
      </c>
      <c r="M284" s="183">
        <v>1</v>
      </c>
      <c r="N284" s="183"/>
      <c r="O284" s="183"/>
      <c r="P284" s="194">
        <f>SUM(Tabela2[[#This Row],[G]]+Tabela2[[#This Row],[D]]+Tabela2[[#This Row],[N]]+Tabela2[[#This Row],[HM]])</f>
        <v>4</v>
      </c>
      <c r="Q284" s="194">
        <f>SUM(Tabela2[[#This Row],[AO]]+Tabela2[[#This Row],[AD]]+Tabela2[[#This Row],[GWO]]+Tabela2[[#This Row],[GWD]])</f>
        <v>4</v>
      </c>
      <c r="R284" s="194">
        <f>Tabela2[[#This Row],[GWO]]+Tabela2[[#This Row],[GWD]]</f>
        <v>2</v>
      </c>
      <c r="S284" s="194">
        <f>SUM(Tabela2[[#This Row],[G]:[GWD]])</f>
        <v>8</v>
      </c>
    </row>
    <row r="285" spans="1:19">
      <c r="A285" s="197">
        <v>43</v>
      </c>
      <c r="B285" s="183" t="s">
        <v>728</v>
      </c>
      <c r="C285" s="183" t="s">
        <v>727</v>
      </c>
      <c r="D285" s="183">
        <v>2</v>
      </c>
      <c r="E285" s="183" t="s">
        <v>285</v>
      </c>
      <c r="F285" s="183">
        <v>1</v>
      </c>
      <c r="G285" s="183">
        <v>1</v>
      </c>
      <c r="H285" s="183">
        <v>1</v>
      </c>
      <c r="I285" s="183">
        <v>1</v>
      </c>
      <c r="J285" s="183">
        <v>1</v>
      </c>
      <c r="K285" s="183">
        <v>1</v>
      </c>
      <c r="L285" s="183">
        <v>1</v>
      </c>
      <c r="M285" s="183">
        <v>1</v>
      </c>
      <c r="N285" s="183"/>
      <c r="O285" s="183"/>
      <c r="P285" s="194">
        <f>SUM(Tabela2[[#This Row],[G]]+Tabela2[[#This Row],[D]]+Tabela2[[#This Row],[N]]+Tabela2[[#This Row],[HM]])</f>
        <v>4</v>
      </c>
      <c r="Q285" s="194">
        <f>SUM(Tabela2[[#This Row],[AO]]+Tabela2[[#This Row],[AD]]+Tabela2[[#This Row],[GWO]]+Tabela2[[#This Row],[GWD]])</f>
        <v>4</v>
      </c>
      <c r="R285" s="194">
        <f>Tabela2[[#This Row],[GWO]]+Tabela2[[#This Row],[GWD]]</f>
        <v>2</v>
      </c>
      <c r="S285" s="194">
        <f>SUM(Tabela2[[#This Row],[G]:[GWD]])</f>
        <v>8</v>
      </c>
    </row>
    <row r="286" spans="1:19">
      <c r="A286" s="197">
        <v>42</v>
      </c>
      <c r="B286" s="183" t="s">
        <v>730</v>
      </c>
      <c r="C286" s="183" t="s">
        <v>729</v>
      </c>
      <c r="D286" s="183">
        <v>2</v>
      </c>
      <c r="E286" s="183" t="s">
        <v>285</v>
      </c>
      <c r="F286" s="183">
        <v>1</v>
      </c>
      <c r="G286" s="183">
        <v>1</v>
      </c>
      <c r="H286" s="183">
        <v>1</v>
      </c>
      <c r="I286" s="183">
        <v>1</v>
      </c>
      <c r="J286" s="183">
        <v>1</v>
      </c>
      <c r="K286" s="183">
        <v>1</v>
      </c>
      <c r="L286" s="183">
        <v>1</v>
      </c>
      <c r="M286" s="183">
        <v>1</v>
      </c>
      <c r="N286" s="183"/>
      <c r="O286" s="183"/>
      <c r="P286" s="194">
        <f>SUM(Tabela2[[#This Row],[G]]+Tabela2[[#This Row],[D]]+Tabela2[[#This Row],[N]]+Tabela2[[#This Row],[HM]])</f>
        <v>4</v>
      </c>
      <c r="Q286" s="194">
        <f>SUM(Tabela2[[#This Row],[AO]]+Tabela2[[#This Row],[AD]]+Tabela2[[#This Row],[GWO]]+Tabela2[[#This Row],[GWD]])</f>
        <v>4</v>
      </c>
      <c r="R286" s="194">
        <f>Tabela2[[#This Row],[GWO]]+Tabela2[[#This Row],[GWD]]</f>
        <v>2</v>
      </c>
      <c r="S286" s="194">
        <f>SUM(Tabela2[[#This Row],[G]:[GWD]])</f>
        <v>8</v>
      </c>
    </row>
    <row r="287" spans="1:19">
      <c r="A287" s="197">
        <v>41</v>
      </c>
      <c r="B287" s="183" t="s">
        <v>731</v>
      </c>
      <c r="C287" s="183" t="s">
        <v>607</v>
      </c>
      <c r="D287" s="183">
        <v>2</v>
      </c>
      <c r="E287" s="183" t="s">
        <v>285</v>
      </c>
      <c r="F287" s="183">
        <v>1</v>
      </c>
      <c r="G287" s="183">
        <v>1</v>
      </c>
      <c r="H287" s="183">
        <v>1</v>
      </c>
      <c r="I287" s="183">
        <v>1</v>
      </c>
      <c r="J287" s="183">
        <v>1</v>
      </c>
      <c r="K287" s="183">
        <v>1</v>
      </c>
      <c r="L287" s="183">
        <v>1</v>
      </c>
      <c r="M287" s="183">
        <v>1</v>
      </c>
      <c r="N287" s="183"/>
      <c r="O287" s="183"/>
      <c r="P287" s="194">
        <f>SUM(Tabela2[[#This Row],[G]]+Tabela2[[#This Row],[D]]+Tabela2[[#This Row],[N]]+Tabela2[[#This Row],[HM]])</f>
        <v>4</v>
      </c>
      <c r="Q287" s="194">
        <f>SUM(Tabela2[[#This Row],[AO]]+Tabela2[[#This Row],[AD]]+Tabela2[[#This Row],[GWO]]+Tabela2[[#This Row],[GWD]])</f>
        <v>4</v>
      </c>
      <c r="R287" s="194">
        <f>Tabela2[[#This Row],[GWO]]+Tabela2[[#This Row],[GWD]]</f>
        <v>2</v>
      </c>
      <c r="S287" s="194">
        <f>SUM(Tabela2[[#This Row],[G]:[GWD]])</f>
        <v>8</v>
      </c>
    </row>
    <row r="288" spans="1:19">
      <c r="A288" s="197">
        <v>40</v>
      </c>
      <c r="B288" s="184" t="s">
        <v>732</v>
      </c>
      <c r="C288" s="184" t="s">
        <v>723</v>
      </c>
      <c r="D288" s="184">
        <v>2</v>
      </c>
      <c r="E288" s="184" t="s">
        <v>264</v>
      </c>
      <c r="F288" s="184">
        <v>1</v>
      </c>
      <c r="G288" s="184">
        <v>1</v>
      </c>
      <c r="H288" s="184">
        <v>1</v>
      </c>
      <c r="I288" s="184">
        <v>1</v>
      </c>
      <c r="J288" s="184">
        <v>1</v>
      </c>
      <c r="K288" s="184">
        <v>3</v>
      </c>
      <c r="L288" s="184">
        <v>1</v>
      </c>
      <c r="M288" s="184">
        <v>1</v>
      </c>
      <c r="N288" s="183"/>
      <c r="O288" s="183"/>
      <c r="P288" s="194">
        <f>SUM(Tabela2[[#This Row],[G]]+Tabela2[[#This Row],[D]]+Tabela2[[#This Row],[N]]+Tabela2[[#This Row],[HM]])</f>
        <v>6</v>
      </c>
      <c r="Q288" s="194">
        <f>SUM(Tabela2[[#This Row],[AO]]+Tabela2[[#This Row],[AD]]+Tabela2[[#This Row],[GWO]]+Tabela2[[#This Row],[GWD]])</f>
        <v>4</v>
      </c>
      <c r="R288" s="194">
        <f>Tabela2[[#This Row],[GWO]]+Tabela2[[#This Row],[GWD]]</f>
        <v>2</v>
      </c>
      <c r="S288" s="194">
        <f>SUM(Tabela2[[#This Row],[G]:[GWD]])</f>
        <v>10</v>
      </c>
    </row>
    <row r="289" spans="1:19">
      <c r="A289" s="197">
        <v>39</v>
      </c>
      <c r="B289" s="184" t="s">
        <v>733</v>
      </c>
      <c r="C289" s="184" t="s">
        <v>706</v>
      </c>
      <c r="D289" s="184">
        <v>2</v>
      </c>
      <c r="E289" s="184" t="s">
        <v>264</v>
      </c>
      <c r="F289" s="184">
        <v>1</v>
      </c>
      <c r="G289" s="184">
        <v>1</v>
      </c>
      <c r="H289" s="184">
        <v>1</v>
      </c>
      <c r="I289" s="184">
        <v>1</v>
      </c>
      <c r="J289" s="184">
        <v>1</v>
      </c>
      <c r="K289" s="184">
        <v>1</v>
      </c>
      <c r="L289" s="184">
        <v>1</v>
      </c>
      <c r="M289" s="184">
        <v>1</v>
      </c>
      <c r="N289" s="183"/>
      <c r="O289" s="183"/>
      <c r="P289" s="194">
        <f>SUM(Tabela2[[#This Row],[G]]+Tabela2[[#This Row],[D]]+Tabela2[[#This Row],[N]]+Tabela2[[#This Row],[HM]])</f>
        <v>4</v>
      </c>
      <c r="Q289" s="194">
        <f>SUM(Tabela2[[#This Row],[AO]]+Tabela2[[#This Row],[AD]]+Tabela2[[#This Row],[GWO]]+Tabela2[[#This Row],[GWD]])</f>
        <v>4</v>
      </c>
      <c r="R289" s="194">
        <f>Tabela2[[#This Row],[GWO]]+Tabela2[[#This Row],[GWD]]</f>
        <v>2</v>
      </c>
      <c r="S289" s="194">
        <f>SUM(Tabela2[[#This Row],[G]:[GWD]])</f>
        <v>8</v>
      </c>
    </row>
    <row r="290" spans="1:19">
      <c r="A290" s="197">
        <v>38</v>
      </c>
      <c r="B290" s="184" t="s">
        <v>735</v>
      </c>
      <c r="C290" s="184" t="s">
        <v>734</v>
      </c>
      <c r="D290" s="184">
        <v>2</v>
      </c>
      <c r="E290" s="184" t="s">
        <v>264</v>
      </c>
      <c r="F290" s="184">
        <v>1</v>
      </c>
      <c r="G290" s="184">
        <v>1</v>
      </c>
      <c r="H290" s="184">
        <v>1</v>
      </c>
      <c r="I290" s="184">
        <v>1</v>
      </c>
      <c r="J290" s="184">
        <v>1</v>
      </c>
      <c r="K290" s="184">
        <v>1</v>
      </c>
      <c r="L290" s="184">
        <v>1</v>
      </c>
      <c r="M290" s="184">
        <v>1</v>
      </c>
      <c r="N290" s="183"/>
      <c r="O290" s="183"/>
      <c r="P290" s="194">
        <f>SUM(Tabela2[[#This Row],[G]]+Tabela2[[#This Row],[D]]+Tabela2[[#This Row],[N]]+Tabela2[[#This Row],[HM]])</f>
        <v>4</v>
      </c>
      <c r="Q290" s="194">
        <f>SUM(Tabela2[[#This Row],[AO]]+Tabela2[[#This Row],[AD]]+Tabela2[[#This Row],[GWO]]+Tabela2[[#This Row],[GWD]])</f>
        <v>4</v>
      </c>
      <c r="R290" s="194">
        <f>Tabela2[[#This Row],[GWO]]+Tabela2[[#This Row],[GWD]]</f>
        <v>2</v>
      </c>
      <c r="S290" s="194">
        <f>SUM(Tabela2[[#This Row],[G]:[GWD]])</f>
        <v>8</v>
      </c>
    </row>
    <row r="291" spans="1:19">
      <c r="A291" s="197">
        <v>37</v>
      </c>
      <c r="B291" s="184" t="s">
        <v>736</v>
      </c>
      <c r="C291" s="184" t="s">
        <v>725</v>
      </c>
      <c r="D291" s="184">
        <v>2</v>
      </c>
      <c r="E291" s="184" t="s">
        <v>264</v>
      </c>
      <c r="F291" s="184">
        <v>1</v>
      </c>
      <c r="G291" s="184">
        <v>1</v>
      </c>
      <c r="H291" s="184">
        <v>1</v>
      </c>
      <c r="I291" s="184">
        <v>1</v>
      </c>
      <c r="J291" s="184">
        <v>1</v>
      </c>
      <c r="K291" s="184">
        <v>1</v>
      </c>
      <c r="L291" s="184">
        <v>1</v>
      </c>
      <c r="M291" s="184">
        <v>1</v>
      </c>
      <c r="N291" s="183"/>
      <c r="O291" s="183"/>
      <c r="P291" s="194">
        <f>SUM(Tabela2[[#This Row],[G]]+Tabela2[[#This Row],[D]]+Tabela2[[#This Row],[N]]+Tabela2[[#This Row],[HM]])</f>
        <v>4</v>
      </c>
      <c r="Q291" s="194">
        <f>SUM(Tabela2[[#This Row],[AO]]+Tabela2[[#This Row],[AD]]+Tabela2[[#This Row],[GWO]]+Tabela2[[#This Row],[GWD]])</f>
        <v>4</v>
      </c>
      <c r="R291" s="194">
        <f>Tabela2[[#This Row],[GWO]]+Tabela2[[#This Row],[GWD]]</f>
        <v>2</v>
      </c>
      <c r="S291" s="194">
        <f>SUM(Tabela2[[#This Row],[G]:[GWD]])</f>
        <v>8</v>
      </c>
    </row>
    <row r="292" spans="1:19">
      <c r="A292" s="197">
        <v>36</v>
      </c>
      <c r="B292" s="184" t="s">
        <v>737</v>
      </c>
      <c r="C292" s="184" t="s">
        <v>727</v>
      </c>
      <c r="D292" s="184">
        <v>2</v>
      </c>
      <c r="E292" s="184" t="s">
        <v>264</v>
      </c>
      <c r="F292" s="184">
        <v>1</v>
      </c>
      <c r="G292" s="184">
        <v>1</v>
      </c>
      <c r="H292" s="184">
        <v>1</v>
      </c>
      <c r="I292" s="184">
        <v>1</v>
      </c>
      <c r="J292" s="184">
        <v>1</v>
      </c>
      <c r="K292" s="184">
        <v>1</v>
      </c>
      <c r="L292" s="184">
        <v>1</v>
      </c>
      <c r="M292" s="184">
        <v>1</v>
      </c>
      <c r="N292" s="183"/>
      <c r="O292" s="183"/>
      <c r="P292" s="194">
        <f>SUM(Tabela2[[#This Row],[G]]+Tabela2[[#This Row],[D]]+Tabela2[[#This Row],[N]]+Tabela2[[#This Row],[HM]])</f>
        <v>4</v>
      </c>
      <c r="Q292" s="194">
        <f>SUM(Tabela2[[#This Row],[AO]]+Tabela2[[#This Row],[AD]]+Tabela2[[#This Row],[GWO]]+Tabela2[[#This Row],[GWD]])</f>
        <v>4</v>
      </c>
      <c r="R292" s="194">
        <f>Tabela2[[#This Row],[GWO]]+Tabela2[[#This Row],[GWD]]</f>
        <v>2</v>
      </c>
      <c r="S292" s="194">
        <f>SUM(Tabela2[[#This Row],[G]:[GWD]])</f>
        <v>8</v>
      </c>
    </row>
    <row r="293" spans="1:19">
      <c r="A293" s="197">
        <v>35</v>
      </c>
      <c r="B293" s="184" t="s">
        <v>739</v>
      </c>
      <c r="C293" s="184" t="s">
        <v>738</v>
      </c>
      <c r="D293" s="184">
        <v>2</v>
      </c>
      <c r="E293" s="184" t="s">
        <v>264</v>
      </c>
      <c r="F293" s="184">
        <v>1</v>
      </c>
      <c r="G293" s="184">
        <v>1</v>
      </c>
      <c r="H293" s="184">
        <v>1</v>
      </c>
      <c r="I293" s="184">
        <v>1</v>
      </c>
      <c r="J293" s="184">
        <v>1</v>
      </c>
      <c r="K293" s="184">
        <v>1</v>
      </c>
      <c r="L293" s="184">
        <v>1</v>
      </c>
      <c r="M293" s="184">
        <v>1</v>
      </c>
      <c r="N293" s="183"/>
      <c r="O293" s="183"/>
      <c r="P293" s="194">
        <f>SUM(Tabela2[[#This Row],[G]]+Tabela2[[#This Row],[D]]+Tabela2[[#This Row],[N]]+Tabela2[[#This Row],[HM]])</f>
        <v>4</v>
      </c>
      <c r="Q293" s="194">
        <f>SUM(Tabela2[[#This Row],[AO]]+Tabela2[[#This Row],[AD]]+Tabela2[[#This Row],[GWO]]+Tabela2[[#This Row],[GWD]])</f>
        <v>4</v>
      </c>
      <c r="R293" s="194">
        <f>Tabela2[[#This Row],[GWO]]+Tabela2[[#This Row],[GWD]]</f>
        <v>2</v>
      </c>
      <c r="S293" s="194">
        <f>SUM(Tabela2[[#This Row],[G]:[GWD]])</f>
        <v>8</v>
      </c>
    </row>
    <row r="294" spans="1:19">
      <c r="A294" s="197">
        <v>34</v>
      </c>
      <c r="B294" s="184" t="s">
        <v>740</v>
      </c>
      <c r="C294" s="184" t="s">
        <v>729</v>
      </c>
      <c r="D294" s="184">
        <v>2</v>
      </c>
      <c r="E294" s="184" t="s">
        <v>264</v>
      </c>
      <c r="F294" s="184">
        <v>1</v>
      </c>
      <c r="G294" s="184">
        <v>1</v>
      </c>
      <c r="H294" s="184">
        <v>1</v>
      </c>
      <c r="I294" s="184">
        <v>1</v>
      </c>
      <c r="J294" s="184">
        <v>1</v>
      </c>
      <c r="K294" s="184">
        <v>1</v>
      </c>
      <c r="L294" s="184">
        <v>1</v>
      </c>
      <c r="M294" s="184">
        <v>1</v>
      </c>
      <c r="N294" s="183"/>
      <c r="O294" s="183"/>
      <c r="P294" s="194">
        <f>SUM(Tabela2[[#This Row],[G]]+Tabela2[[#This Row],[D]]+Tabela2[[#This Row],[N]]+Tabela2[[#This Row],[HM]])</f>
        <v>4</v>
      </c>
      <c r="Q294" s="194">
        <f>SUM(Tabela2[[#This Row],[AO]]+Tabela2[[#This Row],[AD]]+Tabela2[[#This Row],[GWO]]+Tabela2[[#This Row],[GWD]])</f>
        <v>4</v>
      </c>
      <c r="R294" s="194">
        <f>Tabela2[[#This Row],[GWO]]+Tabela2[[#This Row],[GWD]]</f>
        <v>2</v>
      </c>
      <c r="S294" s="194">
        <f>SUM(Tabela2[[#This Row],[G]:[GWD]])</f>
        <v>8</v>
      </c>
    </row>
    <row r="295" spans="1:19">
      <c r="A295" s="197">
        <v>33</v>
      </c>
      <c r="B295" s="185" t="s">
        <v>135</v>
      </c>
      <c r="C295" s="185" t="s">
        <v>734</v>
      </c>
      <c r="D295" s="185">
        <v>2</v>
      </c>
      <c r="E295" s="185" t="s">
        <v>263</v>
      </c>
      <c r="F295" s="185">
        <v>2</v>
      </c>
      <c r="G295" s="185">
        <v>1</v>
      </c>
      <c r="H295" s="185">
        <v>1</v>
      </c>
      <c r="I295" s="185">
        <v>3</v>
      </c>
      <c r="J295" s="185">
        <v>3</v>
      </c>
      <c r="K295" s="185">
        <v>1</v>
      </c>
      <c r="L295" s="185">
        <v>5</v>
      </c>
      <c r="M295" s="185">
        <v>3</v>
      </c>
      <c r="N295" s="183"/>
      <c r="O295" s="183" t="s">
        <v>205</v>
      </c>
      <c r="P295" s="194">
        <f>SUM(Tabela2[[#This Row],[G]]+Tabela2[[#This Row],[D]]+Tabela2[[#This Row],[N]]+Tabela2[[#This Row],[HM]])</f>
        <v>5</v>
      </c>
      <c r="Q295" s="194">
        <f>SUM(Tabela2[[#This Row],[AO]]+Tabela2[[#This Row],[AD]]+Tabela2[[#This Row],[GWO]]+Tabela2[[#This Row],[GWD]])</f>
        <v>14</v>
      </c>
      <c r="R295" s="194">
        <f>Tabela2[[#This Row],[GWO]]+Tabela2[[#This Row],[GWD]]</f>
        <v>8</v>
      </c>
      <c r="S295" s="194">
        <f>SUM(Tabela2[[#This Row],[G]:[GWD]])</f>
        <v>19</v>
      </c>
    </row>
    <row r="296" spans="1:19">
      <c r="A296" s="197">
        <v>32</v>
      </c>
      <c r="B296" s="185" t="s">
        <v>741</v>
      </c>
      <c r="C296" s="185" t="s">
        <v>706</v>
      </c>
      <c r="D296" s="185">
        <v>2</v>
      </c>
      <c r="E296" s="185" t="s">
        <v>263</v>
      </c>
      <c r="F296" s="185">
        <v>1</v>
      </c>
      <c r="G296" s="185">
        <v>1</v>
      </c>
      <c r="H296" s="185">
        <v>1</v>
      </c>
      <c r="I296" s="185">
        <v>1</v>
      </c>
      <c r="J296" s="185">
        <v>1</v>
      </c>
      <c r="K296" s="185">
        <v>1</v>
      </c>
      <c r="L296" s="185">
        <v>1</v>
      </c>
      <c r="M296" s="185">
        <v>1</v>
      </c>
      <c r="N296" s="183"/>
      <c r="O296" s="183"/>
      <c r="P296" s="194">
        <f>SUM(Tabela2[[#This Row],[G]]+Tabela2[[#This Row],[D]]+Tabela2[[#This Row],[N]]+Tabela2[[#This Row],[HM]])</f>
        <v>4</v>
      </c>
      <c r="Q296" s="194">
        <f>SUM(Tabela2[[#This Row],[AO]]+Tabela2[[#This Row],[AD]]+Tabela2[[#This Row],[GWO]]+Tabela2[[#This Row],[GWD]])</f>
        <v>4</v>
      </c>
      <c r="R296" s="194">
        <f>Tabela2[[#This Row],[GWO]]+Tabela2[[#This Row],[GWD]]</f>
        <v>2</v>
      </c>
      <c r="S296" s="194">
        <f>SUM(Tabela2[[#This Row],[G]:[GWD]])</f>
        <v>8</v>
      </c>
    </row>
    <row r="297" spans="1:19">
      <c r="A297" s="197">
        <v>31</v>
      </c>
      <c r="B297" s="185" t="s">
        <v>743</v>
      </c>
      <c r="C297" s="185" t="s">
        <v>742</v>
      </c>
      <c r="D297" s="185">
        <v>2</v>
      </c>
      <c r="E297" s="185" t="s">
        <v>263</v>
      </c>
      <c r="F297" s="185">
        <v>1</v>
      </c>
      <c r="G297" s="185">
        <v>1</v>
      </c>
      <c r="H297" s="185">
        <v>1</v>
      </c>
      <c r="I297" s="185">
        <v>1</v>
      </c>
      <c r="J297" s="185">
        <v>1</v>
      </c>
      <c r="K297" s="185">
        <v>1</v>
      </c>
      <c r="L297" s="185">
        <v>1</v>
      </c>
      <c r="M297" s="185">
        <v>1</v>
      </c>
      <c r="N297" s="183"/>
      <c r="O297" s="183"/>
      <c r="P297" s="194">
        <f>SUM(Tabela2[[#This Row],[G]]+Tabela2[[#This Row],[D]]+Tabela2[[#This Row],[N]]+Tabela2[[#This Row],[HM]])</f>
        <v>4</v>
      </c>
      <c r="Q297" s="194">
        <f>SUM(Tabela2[[#This Row],[AO]]+Tabela2[[#This Row],[AD]]+Tabela2[[#This Row],[GWO]]+Tabela2[[#This Row],[GWD]])</f>
        <v>4</v>
      </c>
      <c r="R297" s="194">
        <f>Tabela2[[#This Row],[GWO]]+Tabela2[[#This Row],[GWD]]</f>
        <v>2</v>
      </c>
      <c r="S297" s="194">
        <f>SUM(Tabela2[[#This Row],[G]:[GWD]])</f>
        <v>8</v>
      </c>
    </row>
    <row r="298" spans="1:19" ht="30">
      <c r="A298" s="197">
        <v>30</v>
      </c>
      <c r="B298" s="185" t="s">
        <v>744</v>
      </c>
      <c r="C298" s="185" t="s">
        <v>684</v>
      </c>
      <c r="D298" s="185">
        <v>2</v>
      </c>
      <c r="E298" s="185" t="s">
        <v>263</v>
      </c>
      <c r="F298" s="185">
        <v>1</v>
      </c>
      <c r="G298" s="185">
        <v>1</v>
      </c>
      <c r="H298" s="185">
        <v>1</v>
      </c>
      <c r="I298" s="185">
        <v>1</v>
      </c>
      <c r="J298" s="185">
        <v>1</v>
      </c>
      <c r="K298" s="185">
        <v>1</v>
      </c>
      <c r="L298" s="185">
        <v>1</v>
      </c>
      <c r="M298" s="185">
        <v>1</v>
      </c>
      <c r="N298" s="185" t="s">
        <v>458</v>
      </c>
      <c r="O298" s="185"/>
      <c r="P298" s="200">
        <f>SUM(Tabela2[[#This Row],[G]]+Tabela2[[#This Row],[D]]+Tabela2[[#This Row],[N]]+Tabela2[[#This Row],[HM]])</f>
        <v>4</v>
      </c>
      <c r="Q298" s="200">
        <f>SUM(Tabela2[[#This Row],[AO]]+Tabela2[[#This Row],[AD]]+Tabela2[[#This Row],[GWO]]+Tabela2[[#This Row],[GWD]])</f>
        <v>4</v>
      </c>
      <c r="R298" s="200">
        <f>Tabela2[[#This Row],[GWO]]+Tabela2[[#This Row],[GWD]]</f>
        <v>2</v>
      </c>
      <c r="S298" s="194">
        <f>SUM(Tabela2[[#This Row],[G]:[GWD]])</f>
        <v>8</v>
      </c>
    </row>
    <row r="299" spans="1:19">
      <c r="A299" s="197">
        <v>29</v>
      </c>
      <c r="B299" s="185" t="s">
        <v>745</v>
      </c>
      <c r="C299" s="185" t="s">
        <v>738</v>
      </c>
      <c r="D299" s="185">
        <v>2</v>
      </c>
      <c r="E299" s="185" t="s">
        <v>263</v>
      </c>
      <c r="F299" s="185">
        <v>1</v>
      </c>
      <c r="G299" s="185">
        <v>1</v>
      </c>
      <c r="H299" s="185">
        <v>1</v>
      </c>
      <c r="I299" s="185">
        <v>1</v>
      </c>
      <c r="J299" s="185">
        <v>1</v>
      </c>
      <c r="K299" s="185">
        <v>1</v>
      </c>
      <c r="L299" s="185">
        <v>1</v>
      </c>
      <c r="M299" s="185">
        <v>1</v>
      </c>
      <c r="N299" s="183"/>
      <c r="O299" s="183"/>
      <c r="P299" s="194">
        <f>SUM(Tabela2[[#This Row],[G]]+Tabela2[[#This Row],[D]]+Tabela2[[#This Row],[N]]+Tabela2[[#This Row],[HM]])</f>
        <v>4</v>
      </c>
      <c r="Q299" s="194">
        <f>SUM(Tabela2[[#This Row],[AO]]+Tabela2[[#This Row],[AD]]+Tabela2[[#This Row],[GWO]]+Tabela2[[#This Row],[GWD]])</f>
        <v>4</v>
      </c>
      <c r="R299" s="194">
        <f>Tabela2[[#This Row],[GWO]]+Tabela2[[#This Row],[GWD]]</f>
        <v>2</v>
      </c>
      <c r="S299" s="194">
        <f>SUM(Tabela2[[#This Row],[G]:[GWD]])</f>
        <v>8</v>
      </c>
    </row>
    <row r="300" spans="1:19">
      <c r="A300" s="197">
        <v>28</v>
      </c>
      <c r="B300" s="185" t="s">
        <v>746</v>
      </c>
      <c r="C300" s="185" t="s">
        <v>729</v>
      </c>
      <c r="D300" s="185">
        <v>2</v>
      </c>
      <c r="E300" s="185" t="s">
        <v>263</v>
      </c>
      <c r="F300" s="185">
        <v>1</v>
      </c>
      <c r="G300" s="185">
        <v>1</v>
      </c>
      <c r="H300" s="185">
        <v>1</v>
      </c>
      <c r="I300" s="185">
        <v>1</v>
      </c>
      <c r="J300" s="185">
        <v>1</v>
      </c>
      <c r="K300" s="185">
        <v>1</v>
      </c>
      <c r="L300" s="185">
        <v>1</v>
      </c>
      <c r="M300" s="185">
        <v>1</v>
      </c>
      <c r="N300" s="185" t="s">
        <v>458</v>
      </c>
      <c r="O300" s="185"/>
      <c r="P300" s="200">
        <f>SUM(Tabela2[[#This Row],[G]]+Tabela2[[#This Row],[D]]+Tabela2[[#This Row],[N]]+Tabela2[[#This Row],[HM]])</f>
        <v>4</v>
      </c>
      <c r="Q300" s="200">
        <f>SUM(Tabela2[[#This Row],[AO]]+Tabela2[[#This Row],[AD]]+Tabela2[[#This Row],[GWO]]+Tabela2[[#This Row],[GWD]])</f>
        <v>4</v>
      </c>
      <c r="R300" s="200">
        <f>Tabela2[[#This Row],[GWO]]+Tabela2[[#This Row],[GWD]]</f>
        <v>2</v>
      </c>
      <c r="S300" s="194">
        <f>SUM(Tabela2[[#This Row],[G]:[GWD]])</f>
        <v>8</v>
      </c>
    </row>
    <row r="301" spans="1:19">
      <c r="A301" s="197">
        <v>27</v>
      </c>
      <c r="B301" s="185" t="s">
        <v>747</v>
      </c>
      <c r="C301" s="185" t="s">
        <v>721</v>
      </c>
      <c r="D301" s="185">
        <v>2</v>
      </c>
      <c r="E301" s="185" t="s">
        <v>263</v>
      </c>
      <c r="F301" s="185">
        <v>1</v>
      </c>
      <c r="G301" s="185">
        <v>1</v>
      </c>
      <c r="H301" s="185">
        <v>4</v>
      </c>
      <c r="I301" s="185">
        <v>1</v>
      </c>
      <c r="J301" s="185">
        <v>1</v>
      </c>
      <c r="K301" s="185">
        <v>1</v>
      </c>
      <c r="L301" s="185">
        <v>1</v>
      </c>
      <c r="M301" s="185">
        <v>1</v>
      </c>
      <c r="N301" s="183"/>
      <c r="O301" s="183"/>
      <c r="P301" s="194">
        <f>SUM(Tabela2[[#This Row],[G]]+Tabela2[[#This Row],[D]]+Tabela2[[#This Row],[N]]+Tabela2[[#This Row],[HM]])</f>
        <v>7</v>
      </c>
      <c r="Q301" s="194">
        <f>SUM(Tabela2[[#This Row],[AO]]+Tabela2[[#This Row],[AD]]+Tabela2[[#This Row],[GWO]]+Tabela2[[#This Row],[GWD]])</f>
        <v>4</v>
      </c>
      <c r="R301" s="194">
        <f>Tabela2[[#This Row],[GWO]]+Tabela2[[#This Row],[GWD]]</f>
        <v>2</v>
      </c>
      <c r="S301" s="194">
        <f>SUM(Tabela2[[#This Row],[G]:[GWD]])</f>
        <v>11</v>
      </c>
    </row>
    <row r="302" spans="1:19">
      <c r="A302" s="197">
        <v>26</v>
      </c>
      <c r="B302" s="185" t="s">
        <v>749</v>
      </c>
      <c r="C302" s="185" t="s">
        <v>748</v>
      </c>
      <c r="D302" s="185">
        <v>2</v>
      </c>
      <c r="E302" s="185" t="s">
        <v>263</v>
      </c>
      <c r="F302" s="185">
        <v>1</v>
      </c>
      <c r="G302" s="185">
        <v>1</v>
      </c>
      <c r="H302" s="185">
        <v>1</v>
      </c>
      <c r="I302" s="185">
        <v>1</v>
      </c>
      <c r="J302" s="185">
        <v>1</v>
      </c>
      <c r="K302" s="185">
        <v>1</v>
      </c>
      <c r="L302" s="185">
        <v>1</v>
      </c>
      <c r="M302" s="185">
        <v>1</v>
      </c>
      <c r="N302" s="185" t="s">
        <v>458</v>
      </c>
      <c r="O302" s="185"/>
      <c r="P302" s="200">
        <f>SUM(Tabela2[[#This Row],[G]]+Tabela2[[#This Row],[D]]+Tabela2[[#This Row],[N]]+Tabela2[[#This Row],[HM]])</f>
        <v>4</v>
      </c>
      <c r="Q302" s="200">
        <f>SUM(Tabela2[[#This Row],[AO]]+Tabela2[[#This Row],[AD]]+Tabela2[[#This Row],[GWO]]+Tabela2[[#This Row],[GWD]])</f>
        <v>4</v>
      </c>
      <c r="R302" s="200">
        <f>Tabela2[[#This Row],[GWO]]+Tabela2[[#This Row],[GWD]]</f>
        <v>2</v>
      </c>
      <c r="S302" s="194">
        <f>SUM(Tabela2[[#This Row],[G]:[GWD]])</f>
        <v>8</v>
      </c>
    </row>
    <row r="303" spans="1:19">
      <c r="A303" s="197">
        <v>25</v>
      </c>
      <c r="B303" s="185" t="s">
        <v>751</v>
      </c>
      <c r="C303" s="185" t="s">
        <v>750</v>
      </c>
      <c r="D303" s="185">
        <v>2</v>
      </c>
      <c r="E303" s="185" t="s">
        <v>263</v>
      </c>
      <c r="F303" s="185">
        <v>1</v>
      </c>
      <c r="G303" s="185">
        <v>1</v>
      </c>
      <c r="H303" s="185">
        <v>1</v>
      </c>
      <c r="I303" s="185">
        <v>1</v>
      </c>
      <c r="J303" s="185">
        <v>1</v>
      </c>
      <c r="K303" s="185">
        <v>1</v>
      </c>
      <c r="L303" s="185">
        <v>1</v>
      </c>
      <c r="M303" s="185">
        <v>1</v>
      </c>
      <c r="N303" s="183"/>
      <c r="O303" s="183"/>
      <c r="P303" s="194">
        <f>SUM(Tabela2[[#This Row],[G]]+Tabela2[[#This Row],[D]]+Tabela2[[#This Row],[N]]+Tabela2[[#This Row],[HM]])</f>
        <v>4</v>
      </c>
      <c r="Q303" s="194">
        <f>SUM(Tabela2[[#This Row],[AO]]+Tabela2[[#This Row],[AD]]+Tabela2[[#This Row],[GWO]]+Tabela2[[#This Row],[GWD]])</f>
        <v>4</v>
      </c>
      <c r="R303" s="194">
        <f>Tabela2[[#This Row],[GWO]]+Tabela2[[#This Row],[GWD]]</f>
        <v>2</v>
      </c>
      <c r="S303" s="194">
        <f>SUM(Tabela2[[#This Row],[G]:[GWD]])</f>
        <v>8</v>
      </c>
    </row>
    <row r="304" spans="1:19">
      <c r="A304" s="197">
        <v>24</v>
      </c>
      <c r="B304" s="185" t="s">
        <v>752</v>
      </c>
      <c r="C304" s="185" t="s">
        <v>607</v>
      </c>
      <c r="D304" s="185">
        <v>2</v>
      </c>
      <c r="E304" s="185" t="s">
        <v>263</v>
      </c>
      <c r="F304" s="185">
        <v>1</v>
      </c>
      <c r="G304" s="185">
        <v>1</v>
      </c>
      <c r="H304" s="185">
        <v>1</v>
      </c>
      <c r="I304" s="185">
        <v>1</v>
      </c>
      <c r="J304" s="185">
        <v>1</v>
      </c>
      <c r="K304" s="185">
        <v>1</v>
      </c>
      <c r="L304" s="185">
        <v>1</v>
      </c>
      <c r="M304" s="185">
        <v>1</v>
      </c>
      <c r="N304" s="183"/>
      <c r="O304" s="183"/>
      <c r="P304" s="194">
        <f>SUM(Tabela2[[#This Row],[G]]+Tabela2[[#This Row],[D]]+Tabela2[[#This Row],[N]]+Tabela2[[#This Row],[HM]])</f>
        <v>4</v>
      </c>
      <c r="Q304" s="194">
        <f>SUM(Tabela2[[#This Row],[AO]]+Tabela2[[#This Row],[AD]]+Tabela2[[#This Row],[GWO]]+Tabela2[[#This Row],[GWD]])</f>
        <v>4</v>
      </c>
      <c r="R304" s="194">
        <f>Tabela2[[#This Row],[GWO]]+Tabela2[[#This Row],[GWD]]</f>
        <v>2</v>
      </c>
      <c r="S304" s="194">
        <f>SUM(Tabela2[[#This Row],[G]:[GWD]])</f>
        <v>8</v>
      </c>
    </row>
    <row r="305" spans="1:19">
      <c r="A305" s="197">
        <v>23</v>
      </c>
      <c r="B305" s="185" t="s">
        <v>753</v>
      </c>
      <c r="C305" s="185" t="s">
        <v>719</v>
      </c>
      <c r="D305" s="185">
        <v>2</v>
      </c>
      <c r="E305" s="185" t="s">
        <v>263</v>
      </c>
      <c r="F305" s="185">
        <v>2</v>
      </c>
      <c r="G305" s="185">
        <v>1</v>
      </c>
      <c r="H305" s="185">
        <v>2</v>
      </c>
      <c r="I305" s="185">
        <v>1</v>
      </c>
      <c r="J305" s="185">
        <v>1</v>
      </c>
      <c r="K305" s="185">
        <v>1</v>
      </c>
      <c r="L305" s="185">
        <v>1</v>
      </c>
      <c r="M305" s="185">
        <v>1</v>
      </c>
      <c r="N305" s="183"/>
      <c r="O305" s="183"/>
      <c r="P305" s="194">
        <f>SUM(Tabela2[[#This Row],[G]]+Tabela2[[#This Row],[D]]+Tabela2[[#This Row],[N]]+Tabela2[[#This Row],[HM]])</f>
        <v>6</v>
      </c>
      <c r="Q305" s="194">
        <f>SUM(Tabela2[[#This Row],[AO]]+Tabela2[[#This Row],[AD]]+Tabela2[[#This Row],[GWO]]+Tabela2[[#This Row],[GWD]])</f>
        <v>4</v>
      </c>
      <c r="R305" s="194">
        <f>Tabela2[[#This Row],[GWO]]+Tabela2[[#This Row],[GWD]]</f>
        <v>2</v>
      </c>
      <c r="S305" s="194">
        <f>SUM(Tabela2[[#This Row],[G]:[GWD]])</f>
        <v>10</v>
      </c>
    </row>
    <row r="306" spans="1:19">
      <c r="A306" s="197">
        <v>22</v>
      </c>
      <c r="B306" s="185" t="s">
        <v>151</v>
      </c>
      <c r="C306" s="185" t="s">
        <v>725</v>
      </c>
      <c r="D306" s="185">
        <v>2</v>
      </c>
      <c r="E306" s="185" t="s">
        <v>263</v>
      </c>
      <c r="F306" s="185">
        <v>5</v>
      </c>
      <c r="G306" s="185">
        <v>1</v>
      </c>
      <c r="H306" s="185">
        <v>1</v>
      </c>
      <c r="I306" s="185">
        <v>1</v>
      </c>
      <c r="J306" s="185">
        <v>1</v>
      </c>
      <c r="K306" s="185">
        <v>1</v>
      </c>
      <c r="L306" s="185">
        <v>1</v>
      </c>
      <c r="M306" s="185">
        <v>1</v>
      </c>
      <c r="N306" s="183"/>
      <c r="O306" s="183"/>
      <c r="P306" s="194">
        <f>SUM(Tabela2[[#This Row],[G]]+Tabela2[[#This Row],[D]]+Tabela2[[#This Row],[N]]+Tabela2[[#This Row],[HM]])</f>
        <v>8</v>
      </c>
      <c r="Q306" s="194">
        <f>SUM(Tabela2[[#This Row],[AO]]+Tabela2[[#This Row],[AD]]+Tabela2[[#This Row],[GWO]]+Tabela2[[#This Row],[GWD]])</f>
        <v>4</v>
      </c>
      <c r="R306" s="194">
        <f>Tabela2[[#This Row],[GWO]]+Tabela2[[#This Row],[GWD]]</f>
        <v>2</v>
      </c>
      <c r="S306" s="194">
        <f>SUM(Tabela2[[#This Row],[G]:[GWD]])</f>
        <v>12</v>
      </c>
    </row>
    <row r="307" spans="1:19">
      <c r="A307" s="197">
        <v>21</v>
      </c>
      <c r="B307" s="185" t="s">
        <v>754</v>
      </c>
      <c r="C307" s="185" t="s">
        <v>727</v>
      </c>
      <c r="D307" s="185">
        <v>2</v>
      </c>
      <c r="E307" s="185" t="s">
        <v>263</v>
      </c>
      <c r="F307" s="185">
        <v>1</v>
      </c>
      <c r="G307" s="185">
        <v>1</v>
      </c>
      <c r="H307" s="185">
        <v>1</v>
      </c>
      <c r="I307" s="185">
        <v>1</v>
      </c>
      <c r="J307" s="185">
        <v>1</v>
      </c>
      <c r="K307" s="185">
        <v>1</v>
      </c>
      <c r="L307" s="185">
        <v>1</v>
      </c>
      <c r="M307" s="185">
        <v>1</v>
      </c>
      <c r="N307" s="183"/>
      <c r="O307" s="183"/>
      <c r="P307" s="194">
        <f>SUM(Tabela2[[#This Row],[G]]+Tabela2[[#This Row],[D]]+Tabela2[[#This Row],[N]]+Tabela2[[#This Row],[HM]])</f>
        <v>4</v>
      </c>
      <c r="Q307" s="194">
        <f>SUM(Tabela2[[#This Row],[AO]]+Tabela2[[#This Row],[AD]]+Tabela2[[#This Row],[GWO]]+Tabela2[[#This Row],[GWD]])</f>
        <v>4</v>
      </c>
      <c r="R307" s="194">
        <f>Tabela2[[#This Row],[GWO]]+Tabela2[[#This Row],[GWD]]</f>
        <v>2</v>
      </c>
      <c r="S307" s="194">
        <f>SUM(Tabela2[[#This Row],[G]:[GWD]])</f>
        <v>8</v>
      </c>
    </row>
    <row r="308" spans="1:19">
      <c r="A308" s="197">
        <v>20</v>
      </c>
      <c r="B308" s="187" t="s">
        <v>755</v>
      </c>
      <c r="C308" s="187" t="s">
        <v>742</v>
      </c>
      <c r="D308" s="187">
        <v>2</v>
      </c>
      <c r="E308" s="187" t="s">
        <v>262</v>
      </c>
      <c r="F308" s="187">
        <v>1</v>
      </c>
      <c r="G308" s="187">
        <v>1</v>
      </c>
      <c r="H308" s="187">
        <v>1</v>
      </c>
      <c r="I308" s="187">
        <v>1</v>
      </c>
      <c r="J308" s="187">
        <v>1</v>
      </c>
      <c r="K308" s="187">
        <v>1</v>
      </c>
      <c r="L308" s="187">
        <v>1</v>
      </c>
      <c r="M308" s="187">
        <v>1</v>
      </c>
      <c r="N308" s="183"/>
      <c r="O308" s="183"/>
      <c r="P308" s="194">
        <f>SUM(Tabela2[[#This Row],[G]]+Tabela2[[#This Row],[D]]+Tabela2[[#This Row],[N]]+Tabela2[[#This Row],[HM]])</f>
        <v>4</v>
      </c>
      <c r="Q308" s="194">
        <f>SUM(Tabela2[[#This Row],[AO]]+Tabela2[[#This Row],[AD]]+Tabela2[[#This Row],[GWO]]+Tabela2[[#This Row],[GWD]])</f>
        <v>4</v>
      </c>
      <c r="R308" s="194">
        <f>Tabela2[[#This Row],[GWO]]+Tabela2[[#This Row],[GWD]]</f>
        <v>2</v>
      </c>
      <c r="S308" s="194">
        <f>SUM(Tabela2[[#This Row],[G]:[GWD]])</f>
        <v>8</v>
      </c>
    </row>
    <row r="309" spans="1:19">
      <c r="A309" s="197">
        <v>19</v>
      </c>
      <c r="B309" s="187" t="s">
        <v>147</v>
      </c>
      <c r="C309" s="187" t="s">
        <v>738</v>
      </c>
      <c r="D309" s="187">
        <v>2</v>
      </c>
      <c r="E309" s="187" t="s">
        <v>262</v>
      </c>
      <c r="F309" s="187">
        <v>3</v>
      </c>
      <c r="G309" s="187">
        <v>4</v>
      </c>
      <c r="H309" s="187">
        <v>1</v>
      </c>
      <c r="I309" s="187">
        <v>3</v>
      </c>
      <c r="J309" s="187">
        <v>3</v>
      </c>
      <c r="K309" s="187">
        <v>3</v>
      </c>
      <c r="L309" s="187">
        <v>3</v>
      </c>
      <c r="M309" s="187">
        <v>3</v>
      </c>
      <c r="N309" s="187" t="s">
        <v>458</v>
      </c>
      <c r="O309" s="187" t="s">
        <v>205</v>
      </c>
      <c r="P309" s="199">
        <f>SUM(Tabela2[[#This Row],[G]]+Tabela2[[#This Row],[D]]+Tabela2[[#This Row],[N]]+Tabela2[[#This Row],[HM]])</f>
        <v>11</v>
      </c>
      <c r="Q309" s="199">
        <f>SUM(Tabela2[[#This Row],[AO]]+Tabela2[[#This Row],[AD]]+Tabela2[[#This Row],[GWO]]+Tabela2[[#This Row],[GWD]])</f>
        <v>12</v>
      </c>
      <c r="R309" s="199">
        <f>Tabela2[[#This Row],[GWO]]+Tabela2[[#This Row],[GWD]]</f>
        <v>6</v>
      </c>
      <c r="S309" s="194">
        <f>SUM(Tabela2[[#This Row],[G]:[GWD]])</f>
        <v>23</v>
      </c>
    </row>
    <row r="310" spans="1:19">
      <c r="A310" s="197">
        <v>18</v>
      </c>
      <c r="B310" s="187" t="s">
        <v>756</v>
      </c>
      <c r="C310" s="187" t="s">
        <v>729</v>
      </c>
      <c r="D310" s="187">
        <v>2</v>
      </c>
      <c r="E310" s="187" t="s">
        <v>262</v>
      </c>
      <c r="F310" s="187">
        <v>1</v>
      </c>
      <c r="G310" s="187">
        <v>2</v>
      </c>
      <c r="H310" s="187">
        <v>1</v>
      </c>
      <c r="I310" s="187">
        <v>1</v>
      </c>
      <c r="J310" s="187">
        <v>1</v>
      </c>
      <c r="K310" s="187">
        <v>1</v>
      </c>
      <c r="L310" s="187">
        <v>2</v>
      </c>
      <c r="M310" s="187">
        <v>2</v>
      </c>
      <c r="N310" s="183"/>
      <c r="O310" s="183"/>
      <c r="P310" s="194">
        <f>SUM(Tabela2[[#This Row],[G]]+Tabela2[[#This Row],[D]]+Tabela2[[#This Row],[N]]+Tabela2[[#This Row],[HM]])</f>
        <v>5</v>
      </c>
      <c r="Q310" s="194">
        <f>SUM(Tabela2[[#This Row],[AO]]+Tabela2[[#This Row],[AD]]+Tabela2[[#This Row],[GWO]]+Tabela2[[#This Row],[GWD]])</f>
        <v>6</v>
      </c>
      <c r="R310" s="194">
        <f>Tabela2[[#This Row],[GWO]]+Tabela2[[#This Row],[GWD]]</f>
        <v>4</v>
      </c>
      <c r="S310" s="194">
        <f>SUM(Tabela2[[#This Row],[G]:[GWD]])</f>
        <v>11</v>
      </c>
    </row>
    <row r="311" spans="1:19">
      <c r="A311" s="197">
        <v>17</v>
      </c>
      <c r="B311" s="187" t="s">
        <v>757</v>
      </c>
      <c r="C311" s="187" t="s">
        <v>721</v>
      </c>
      <c r="D311" s="187">
        <v>2</v>
      </c>
      <c r="E311" s="187" t="s">
        <v>262</v>
      </c>
      <c r="F311" s="187">
        <v>1</v>
      </c>
      <c r="G311" s="187">
        <v>1</v>
      </c>
      <c r="H311" s="187">
        <v>1</v>
      </c>
      <c r="I311" s="187">
        <v>1</v>
      </c>
      <c r="J311" s="187">
        <v>1</v>
      </c>
      <c r="K311" s="187">
        <v>1</v>
      </c>
      <c r="L311" s="187">
        <v>1</v>
      </c>
      <c r="M311" s="187">
        <v>1</v>
      </c>
      <c r="N311" s="183"/>
      <c r="O311" s="183"/>
      <c r="P311" s="194">
        <f>SUM(Tabela2[[#This Row],[G]]+Tabela2[[#This Row],[D]]+Tabela2[[#This Row],[N]]+Tabela2[[#This Row],[HM]])</f>
        <v>4</v>
      </c>
      <c r="Q311" s="194">
        <f>SUM(Tabela2[[#This Row],[AO]]+Tabela2[[#This Row],[AD]]+Tabela2[[#This Row],[GWO]]+Tabela2[[#This Row],[GWD]])</f>
        <v>4</v>
      </c>
      <c r="R311" s="194">
        <f>Tabela2[[#This Row],[GWO]]+Tabela2[[#This Row],[GWD]]</f>
        <v>2</v>
      </c>
      <c r="S311" s="194">
        <f>SUM(Tabela2[[#This Row],[G]:[GWD]])</f>
        <v>8</v>
      </c>
    </row>
    <row r="312" spans="1:19">
      <c r="A312" s="197">
        <v>16</v>
      </c>
      <c r="B312" s="187" t="s">
        <v>758</v>
      </c>
      <c r="C312" s="187" t="s">
        <v>723</v>
      </c>
      <c r="D312" s="187">
        <v>2</v>
      </c>
      <c r="E312" s="187" t="s">
        <v>262</v>
      </c>
      <c r="F312" s="187">
        <v>1</v>
      </c>
      <c r="G312" s="187">
        <v>1</v>
      </c>
      <c r="H312" s="187">
        <v>1</v>
      </c>
      <c r="I312" s="187">
        <v>1</v>
      </c>
      <c r="J312" s="187">
        <v>1</v>
      </c>
      <c r="K312" s="187">
        <v>1</v>
      </c>
      <c r="L312" s="187">
        <v>1</v>
      </c>
      <c r="M312" s="187">
        <v>1</v>
      </c>
      <c r="N312" s="183"/>
      <c r="O312" s="183"/>
      <c r="P312" s="194">
        <f>SUM(Tabela2[[#This Row],[G]]+Tabela2[[#This Row],[D]]+Tabela2[[#This Row],[N]]+Tabela2[[#This Row],[HM]])</f>
        <v>4</v>
      </c>
      <c r="Q312" s="194">
        <f>SUM(Tabela2[[#This Row],[AO]]+Tabela2[[#This Row],[AD]]+Tabela2[[#This Row],[GWO]]+Tabela2[[#This Row],[GWD]])</f>
        <v>4</v>
      </c>
      <c r="R312" s="194">
        <f>Tabela2[[#This Row],[GWO]]+Tabela2[[#This Row],[GWD]]</f>
        <v>2</v>
      </c>
      <c r="S312" s="194">
        <f>SUM(Tabela2[[#This Row],[G]:[GWD]])</f>
        <v>8</v>
      </c>
    </row>
    <row r="313" spans="1:19">
      <c r="A313" s="197">
        <v>15</v>
      </c>
      <c r="B313" s="187" t="s">
        <v>759</v>
      </c>
      <c r="C313" s="187" t="s">
        <v>748</v>
      </c>
      <c r="D313" s="187">
        <v>2</v>
      </c>
      <c r="E313" s="187" t="s">
        <v>262</v>
      </c>
      <c r="F313" s="187">
        <v>1</v>
      </c>
      <c r="G313" s="187">
        <v>1</v>
      </c>
      <c r="H313" s="187">
        <v>1</v>
      </c>
      <c r="I313" s="187">
        <v>1</v>
      </c>
      <c r="J313" s="187">
        <v>1</v>
      </c>
      <c r="K313" s="187">
        <v>1</v>
      </c>
      <c r="L313" s="187">
        <v>1</v>
      </c>
      <c r="M313" s="187">
        <v>1</v>
      </c>
      <c r="N313" s="183"/>
      <c r="O313" s="183"/>
      <c r="P313" s="194">
        <f>SUM(Tabela2[[#This Row],[G]]+Tabela2[[#This Row],[D]]+Tabela2[[#This Row],[N]]+Tabela2[[#This Row],[HM]])</f>
        <v>4</v>
      </c>
      <c r="Q313" s="194">
        <f>SUM(Tabela2[[#This Row],[AO]]+Tabela2[[#This Row],[AD]]+Tabela2[[#This Row],[GWO]]+Tabela2[[#This Row],[GWD]])</f>
        <v>4</v>
      </c>
      <c r="R313" s="194">
        <f>Tabela2[[#This Row],[GWO]]+Tabela2[[#This Row],[GWD]]</f>
        <v>2</v>
      </c>
      <c r="S313" s="194">
        <f>SUM(Tabela2[[#This Row],[G]:[GWD]])</f>
        <v>8</v>
      </c>
    </row>
    <row r="314" spans="1:19">
      <c r="A314" s="197">
        <v>14</v>
      </c>
      <c r="B314" s="187" t="s">
        <v>761</v>
      </c>
      <c r="C314" s="187" t="s">
        <v>760</v>
      </c>
      <c r="D314" s="187">
        <v>2</v>
      </c>
      <c r="E314" s="187" t="s">
        <v>262</v>
      </c>
      <c r="F314" s="187">
        <v>1</v>
      </c>
      <c r="G314" s="187">
        <v>1</v>
      </c>
      <c r="H314" s="187">
        <v>1</v>
      </c>
      <c r="I314" s="187">
        <v>1</v>
      </c>
      <c r="J314" s="187">
        <v>1</v>
      </c>
      <c r="K314" s="187">
        <v>1</v>
      </c>
      <c r="L314" s="187">
        <v>1</v>
      </c>
      <c r="M314" s="187">
        <v>1</v>
      </c>
      <c r="N314" s="183"/>
      <c r="O314" s="183"/>
      <c r="P314" s="194">
        <f>SUM(Tabela2[[#This Row],[G]]+Tabela2[[#This Row],[D]]+Tabela2[[#This Row],[N]]+Tabela2[[#This Row],[HM]])</f>
        <v>4</v>
      </c>
      <c r="Q314" s="194">
        <f>SUM(Tabela2[[#This Row],[AO]]+Tabela2[[#This Row],[AD]]+Tabela2[[#This Row],[GWO]]+Tabela2[[#This Row],[GWD]])</f>
        <v>4</v>
      </c>
      <c r="R314" s="194">
        <f>Tabela2[[#This Row],[GWO]]+Tabela2[[#This Row],[GWD]]</f>
        <v>2</v>
      </c>
      <c r="S314" s="194">
        <f>SUM(Tabela2[[#This Row],[G]:[GWD]])</f>
        <v>8</v>
      </c>
    </row>
    <row r="315" spans="1:19">
      <c r="A315" s="197">
        <v>13</v>
      </c>
      <c r="B315" s="187" t="s">
        <v>762</v>
      </c>
      <c r="C315" s="187" t="s">
        <v>607</v>
      </c>
      <c r="D315" s="187">
        <v>2</v>
      </c>
      <c r="E315" s="187" t="s">
        <v>262</v>
      </c>
      <c r="F315" s="187">
        <v>1</v>
      </c>
      <c r="G315" s="187">
        <v>2</v>
      </c>
      <c r="H315" s="187">
        <v>1</v>
      </c>
      <c r="I315" s="187">
        <v>1</v>
      </c>
      <c r="J315" s="187">
        <v>1</v>
      </c>
      <c r="K315" s="187">
        <v>1</v>
      </c>
      <c r="L315" s="187">
        <v>1</v>
      </c>
      <c r="M315" s="187">
        <v>1</v>
      </c>
      <c r="N315" s="183"/>
      <c r="O315" s="183"/>
      <c r="P315" s="194">
        <f>SUM(Tabela2[[#This Row],[G]]+Tabela2[[#This Row],[D]]+Tabela2[[#This Row],[N]]+Tabela2[[#This Row],[HM]])</f>
        <v>5</v>
      </c>
      <c r="Q315" s="194">
        <f>SUM(Tabela2[[#This Row],[AO]]+Tabela2[[#This Row],[AD]]+Tabela2[[#This Row],[GWO]]+Tabela2[[#This Row],[GWD]])</f>
        <v>4</v>
      </c>
      <c r="R315" s="194">
        <f>Tabela2[[#This Row],[GWO]]+Tabela2[[#This Row],[GWD]]</f>
        <v>2</v>
      </c>
      <c r="S315" s="194">
        <f>SUM(Tabela2[[#This Row],[G]:[GWD]])</f>
        <v>9</v>
      </c>
    </row>
    <row r="316" spans="1:19">
      <c r="A316" s="197">
        <v>12</v>
      </c>
      <c r="B316" s="187" t="s">
        <v>763</v>
      </c>
      <c r="C316" s="187" t="s">
        <v>719</v>
      </c>
      <c r="D316" s="187">
        <v>2</v>
      </c>
      <c r="E316" s="187" t="s">
        <v>262</v>
      </c>
      <c r="F316" s="187">
        <v>1</v>
      </c>
      <c r="G316" s="187">
        <v>1</v>
      </c>
      <c r="H316" s="187">
        <v>1</v>
      </c>
      <c r="I316" s="187">
        <v>1</v>
      </c>
      <c r="J316" s="187">
        <v>1</v>
      </c>
      <c r="K316" s="187">
        <v>1</v>
      </c>
      <c r="L316" s="187">
        <v>1</v>
      </c>
      <c r="M316" s="187">
        <v>1</v>
      </c>
      <c r="N316" s="183"/>
      <c r="O316" s="183"/>
      <c r="P316" s="194">
        <f>SUM(Tabela2[[#This Row],[G]]+Tabela2[[#This Row],[D]]+Tabela2[[#This Row],[N]]+Tabela2[[#This Row],[HM]])</f>
        <v>4</v>
      </c>
      <c r="Q316" s="194">
        <f>SUM(Tabela2[[#This Row],[AO]]+Tabela2[[#This Row],[AD]]+Tabela2[[#This Row],[GWO]]+Tabela2[[#This Row],[GWD]])</f>
        <v>4</v>
      </c>
      <c r="R316" s="194">
        <f>Tabela2[[#This Row],[GWO]]+Tabela2[[#This Row],[GWD]]</f>
        <v>2</v>
      </c>
      <c r="S316" s="194">
        <f>SUM(Tabela2[[#This Row],[G]:[GWD]])</f>
        <v>8</v>
      </c>
    </row>
    <row r="317" spans="1:19">
      <c r="A317" s="197">
        <v>11</v>
      </c>
      <c r="B317" s="187" t="s">
        <v>764</v>
      </c>
      <c r="C317" s="187" t="s">
        <v>725</v>
      </c>
      <c r="D317" s="187">
        <v>2</v>
      </c>
      <c r="E317" s="187" t="s">
        <v>262</v>
      </c>
      <c r="F317" s="187">
        <v>1</v>
      </c>
      <c r="G317" s="187">
        <v>1</v>
      </c>
      <c r="H317" s="187">
        <v>1</v>
      </c>
      <c r="I317" s="187">
        <v>1</v>
      </c>
      <c r="J317" s="187">
        <v>1</v>
      </c>
      <c r="K317" s="187">
        <v>1</v>
      </c>
      <c r="L317" s="187">
        <v>1</v>
      </c>
      <c r="M317" s="187">
        <v>1</v>
      </c>
      <c r="N317" s="187" t="s">
        <v>458</v>
      </c>
      <c r="O317" s="187"/>
      <c r="P317" s="199">
        <f>SUM(Tabela2[[#This Row],[G]]+Tabela2[[#This Row],[D]]+Tabela2[[#This Row],[N]]+Tabela2[[#This Row],[HM]])</f>
        <v>4</v>
      </c>
      <c r="Q317" s="199">
        <f>SUM(Tabela2[[#This Row],[AO]]+Tabela2[[#This Row],[AD]]+Tabela2[[#This Row],[GWO]]+Tabela2[[#This Row],[GWD]])</f>
        <v>4</v>
      </c>
      <c r="R317" s="199">
        <f>Tabela2[[#This Row],[GWO]]+Tabela2[[#This Row],[GWD]]</f>
        <v>2</v>
      </c>
      <c r="S317" s="194">
        <f>SUM(Tabela2[[#This Row],[G]:[GWD]])</f>
        <v>8</v>
      </c>
    </row>
    <row r="318" spans="1:19">
      <c r="A318" s="197">
        <v>10</v>
      </c>
      <c r="B318" s="187" t="s">
        <v>765</v>
      </c>
      <c r="C318" s="187" t="s">
        <v>727</v>
      </c>
      <c r="D318" s="187">
        <v>2</v>
      </c>
      <c r="E318" s="187" t="s">
        <v>262</v>
      </c>
      <c r="F318" s="187">
        <v>2</v>
      </c>
      <c r="G318" s="187">
        <v>1</v>
      </c>
      <c r="H318" s="187">
        <v>2</v>
      </c>
      <c r="I318" s="187">
        <v>1</v>
      </c>
      <c r="J318" s="187">
        <v>1</v>
      </c>
      <c r="K318" s="187">
        <v>1</v>
      </c>
      <c r="L318" s="187">
        <v>1</v>
      </c>
      <c r="M318" s="187">
        <v>1</v>
      </c>
      <c r="N318" s="183"/>
      <c r="O318" s="183"/>
      <c r="P318" s="194">
        <f>SUM(Tabela2[[#This Row],[G]]+Tabela2[[#This Row],[D]]+Tabela2[[#This Row],[N]]+Tabela2[[#This Row],[HM]])</f>
        <v>6</v>
      </c>
      <c r="Q318" s="194">
        <f>SUM(Tabela2[[#This Row],[AO]]+Tabela2[[#This Row],[AD]]+Tabela2[[#This Row],[GWO]]+Tabela2[[#This Row],[GWD]])</f>
        <v>4</v>
      </c>
      <c r="R318" s="194">
        <f>Tabela2[[#This Row],[GWO]]+Tabela2[[#This Row],[GWD]]</f>
        <v>2</v>
      </c>
      <c r="S318" s="194">
        <f>SUM(Tabela2[[#This Row],[G]:[GWD]])</f>
        <v>10</v>
      </c>
    </row>
    <row r="319" spans="1:19">
      <c r="A319" s="197">
        <v>9</v>
      </c>
      <c r="B319" s="188" t="s">
        <v>767</v>
      </c>
      <c r="C319" s="188" t="s">
        <v>766</v>
      </c>
      <c r="D319" s="188">
        <v>2</v>
      </c>
      <c r="E319" s="188" t="s">
        <v>18</v>
      </c>
      <c r="F319" s="188">
        <v>1</v>
      </c>
      <c r="G319" s="188">
        <v>1</v>
      </c>
      <c r="H319" s="188">
        <v>1</v>
      </c>
      <c r="I319" s="188">
        <v>1</v>
      </c>
      <c r="J319" s="188">
        <v>1</v>
      </c>
      <c r="K319" s="188">
        <v>1</v>
      </c>
      <c r="L319" s="188">
        <v>1</v>
      </c>
      <c r="M319" s="188">
        <v>1</v>
      </c>
      <c r="N319" s="183"/>
      <c r="O319" s="183"/>
      <c r="P319" s="194">
        <f>SUM(Tabela2[[#This Row],[G]]+Tabela2[[#This Row],[D]]+Tabela2[[#This Row],[N]]+Tabela2[[#This Row],[HM]])</f>
        <v>4</v>
      </c>
      <c r="Q319" s="194">
        <f>SUM(Tabela2[[#This Row],[AO]]+Tabela2[[#This Row],[AD]]+Tabela2[[#This Row],[GWO]]+Tabela2[[#This Row],[GWD]])</f>
        <v>4</v>
      </c>
      <c r="R319" s="194">
        <f>Tabela2[[#This Row],[GWO]]+Tabela2[[#This Row],[GWD]]</f>
        <v>2</v>
      </c>
      <c r="S319" s="194">
        <f>SUM(Tabela2[[#This Row],[G]:[GWD]])</f>
        <v>8</v>
      </c>
    </row>
    <row r="320" spans="1:19">
      <c r="A320" s="197">
        <v>8</v>
      </c>
      <c r="B320" s="188" t="s">
        <v>768</v>
      </c>
      <c r="C320" s="188" t="s">
        <v>561</v>
      </c>
      <c r="D320" s="188">
        <v>2</v>
      </c>
      <c r="E320" s="188" t="s">
        <v>18</v>
      </c>
      <c r="F320" s="188">
        <v>1</v>
      </c>
      <c r="G320" s="188">
        <v>1</v>
      </c>
      <c r="H320" s="188">
        <v>4</v>
      </c>
      <c r="I320" s="188">
        <v>1</v>
      </c>
      <c r="J320" s="188">
        <v>1</v>
      </c>
      <c r="K320" s="188">
        <v>1</v>
      </c>
      <c r="L320" s="188">
        <v>1</v>
      </c>
      <c r="M320" s="188">
        <v>1</v>
      </c>
      <c r="N320" s="183"/>
      <c r="O320" s="183"/>
      <c r="P320" s="194">
        <f>SUM(Tabela2[[#This Row],[G]]+Tabela2[[#This Row],[D]]+Tabela2[[#This Row],[N]]+Tabela2[[#This Row],[HM]])</f>
        <v>7</v>
      </c>
      <c r="Q320" s="194">
        <f>SUM(Tabela2[[#This Row],[AO]]+Tabela2[[#This Row],[AD]]+Tabela2[[#This Row],[GWO]]+Tabela2[[#This Row],[GWD]])</f>
        <v>4</v>
      </c>
      <c r="R320" s="194">
        <f>Tabela2[[#This Row],[GWO]]+Tabela2[[#This Row],[GWD]]</f>
        <v>2</v>
      </c>
      <c r="S320" s="194">
        <f>SUM(Tabela2[[#This Row],[G]:[GWD]])</f>
        <v>11</v>
      </c>
    </row>
    <row r="321" spans="1:19">
      <c r="A321" s="197">
        <v>7</v>
      </c>
      <c r="B321" s="188" t="s">
        <v>769</v>
      </c>
      <c r="C321" s="188" t="s">
        <v>568</v>
      </c>
      <c r="D321" s="188">
        <v>2</v>
      </c>
      <c r="E321" s="188" t="s">
        <v>18</v>
      </c>
      <c r="F321" s="188">
        <v>1</v>
      </c>
      <c r="G321" s="188">
        <v>1</v>
      </c>
      <c r="H321" s="188">
        <v>1</v>
      </c>
      <c r="I321" s="188">
        <v>1</v>
      </c>
      <c r="J321" s="188">
        <v>1</v>
      </c>
      <c r="K321" s="188">
        <v>1</v>
      </c>
      <c r="L321" s="188">
        <v>1</v>
      </c>
      <c r="M321" s="188">
        <v>1</v>
      </c>
      <c r="N321" s="183"/>
      <c r="O321" s="183"/>
      <c r="P321" s="194">
        <f>SUM(Tabela2[[#This Row],[G]]+Tabela2[[#This Row],[D]]+Tabela2[[#This Row],[N]]+Tabela2[[#This Row],[HM]])</f>
        <v>4</v>
      </c>
      <c r="Q321" s="194">
        <f>SUM(Tabela2[[#This Row],[AO]]+Tabela2[[#This Row],[AD]]+Tabela2[[#This Row],[GWO]]+Tabela2[[#This Row],[GWD]])</f>
        <v>4</v>
      </c>
      <c r="R321" s="194">
        <f>Tabela2[[#This Row],[GWO]]+Tabela2[[#This Row],[GWD]]</f>
        <v>2</v>
      </c>
      <c r="S321" s="194">
        <f>SUM(Tabela2[[#This Row],[G]:[GWD]])</f>
        <v>8</v>
      </c>
    </row>
    <row r="322" spans="1:19">
      <c r="A322" s="197">
        <v>6</v>
      </c>
      <c r="B322" s="188" t="s">
        <v>771</v>
      </c>
      <c r="C322" s="188" t="s">
        <v>770</v>
      </c>
      <c r="D322" s="188">
        <v>2</v>
      </c>
      <c r="E322" s="188" t="s">
        <v>18</v>
      </c>
      <c r="F322" s="188">
        <v>1</v>
      </c>
      <c r="G322" s="188">
        <v>1</v>
      </c>
      <c r="H322" s="188">
        <v>1</v>
      </c>
      <c r="I322" s="188">
        <v>1</v>
      </c>
      <c r="J322" s="188">
        <v>1</v>
      </c>
      <c r="K322" s="188">
        <v>1</v>
      </c>
      <c r="L322" s="188">
        <v>1</v>
      </c>
      <c r="M322" s="188">
        <v>1</v>
      </c>
      <c r="N322" s="183"/>
      <c r="O322" s="183"/>
      <c r="P322" s="194">
        <f>SUM(Tabela2[[#This Row],[G]]+Tabela2[[#This Row],[D]]+Tabela2[[#This Row],[N]]+Tabela2[[#This Row],[HM]])</f>
        <v>4</v>
      </c>
      <c r="Q322" s="194">
        <f>SUM(Tabela2[[#This Row],[AO]]+Tabela2[[#This Row],[AD]]+Tabela2[[#This Row],[GWO]]+Tabela2[[#This Row],[GWD]])</f>
        <v>4</v>
      </c>
      <c r="R322" s="194">
        <f>Tabela2[[#This Row],[GWO]]+Tabela2[[#This Row],[GWD]]</f>
        <v>2</v>
      </c>
      <c r="S322" s="194">
        <f>SUM(Tabela2[[#This Row],[G]:[GWD]])</f>
        <v>8</v>
      </c>
    </row>
    <row r="323" spans="1:19">
      <c r="A323" s="197">
        <v>5</v>
      </c>
      <c r="B323" s="188" t="s">
        <v>772</v>
      </c>
      <c r="C323" s="188" t="s">
        <v>734</v>
      </c>
      <c r="D323" s="188">
        <v>2</v>
      </c>
      <c r="E323" s="188" t="s">
        <v>18</v>
      </c>
      <c r="F323" s="188">
        <v>1</v>
      </c>
      <c r="G323" s="188">
        <v>1</v>
      </c>
      <c r="H323" s="188">
        <v>1</v>
      </c>
      <c r="I323" s="188">
        <v>1</v>
      </c>
      <c r="J323" s="188">
        <v>1</v>
      </c>
      <c r="K323" s="188">
        <v>1</v>
      </c>
      <c r="L323" s="188">
        <v>1</v>
      </c>
      <c r="M323" s="188">
        <v>1</v>
      </c>
      <c r="N323" s="183"/>
      <c r="O323" s="183"/>
      <c r="P323" s="194">
        <f>SUM(Tabela2[[#This Row],[G]]+Tabela2[[#This Row],[D]]+Tabela2[[#This Row],[N]]+Tabela2[[#This Row],[HM]])</f>
        <v>4</v>
      </c>
      <c r="Q323" s="194">
        <f>SUM(Tabela2[[#This Row],[AO]]+Tabela2[[#This Row],[AD]]+Tabela2[[#This Row],[GWO]]+Tabela2[[#This Row],[GWD]])</f>
        <v>4</v>
      </c>
      <c r="R323" s="194">
        <f>Tabela2[[#This Row],[GWO]]+Tabela2[[#This Row],[GWD]]</f>
        <v>2</v>
      </c>
      <c r="S323" s="194">
        <f>SUM(Tabela2[[#This Row],[G]:[GWD]])</f>
        <v>8</v>
      </c>
    </row>
    <row r="324" spans="1:19">
      <c r="A324" s="197">
        <v>4</v>
      </c>
      <c r="B324" s="188" t="s">
        <v>210</v>
      </c>
      <c r="C324" s="188" t="s">
        <v>773</v>
      </c>
      <c r="D324" s="188">
        <v>2</v>
      </c>
      <c r="E324" s="188" t="s">
        <v>18</v>
      </c>
      <c r="F324" s="188">
        <v>1</v>
      </c>
      <c r="G324" s="188">
        <v>4</v>
      </c>
      <c r="H324" s="188">
        <v>1</v>
      </c>
      <c r="I324" s="188">
        <v>5</v>
      </c>
      <c r="J324" s="188">
        <v>1</v>
      </c>
      <c r="K324" s="188">
        <v>1</v>
      </c>
      <c r="L324" s="188">
        <v>4</v>
      </c>
      <c r="M324" s="188">
        <v>1</v>
      </c>
      <c r="N324" s="183"/>
      <c r="O324" s="183" t="s">
        <v>205</v>
      </c>
      <c r="P324" s="194">
        <f>SUM(Tabela2[[#This Row],[G]]+Tabela2[[#This Row],[D]]+Tabela2[[#This Row],[N]]+Tabela2[[#This Row],[HM]])</f>
        <v>7</v>
      </c>
      <c r="Q324" s="194">
        <f>SUM(Tabela2[[#This Row],[AO]]+Tabela2[[#This Row],[AD]]+Tabela2[[#This Row],[GWO]]+Tabela2[[#This Row],[GWD]])</f>
        <v>11</v>
      </c>
      <c r="R324" s="194">
        <f>Tabela2[[#This Row],[GWO]]+Tabela2[[#This Row],[GWD]]</f>
        <v>5</v>
      </c>
      <c r="S324" s="194">
        <f>SUM(Tabela2[[#This Row],[G]:[GWD]])</f>
        <v>18</v>
      </c>
    </row>
    <row r="325" spans="1:19">
      <c r="A325" s="197">
        <v>3</v>
      </c>
      <c r="B325" s="188" t="s">
        <v>774</v>
      </c>
      <c r="C325" s="188" t="s">
        <v>300</v>
      </c>
      <c r="D325" s="188">
        <v>2</v>
      </c>
      <c r="E325" s="188" t="s">
        <v>18</v>
      </c>
      <c r="F325" s="188">
        <v>1</v>
      </c>
      <c r="G325" s="188">
        <v>1</v>
      </c>
      <c r="H325" s="188">
        <v>1</v>
      </c>
      <c r="I325" s="188">
        <v>1</v>
      </c>
      <c r="J325" s="188">
        <v>1</v>
      </c>
      <c r="K325" s="188">
        <v>1</v>
      </c>
      <c r="L325" s="188">
        <v>1</v>
      </c>
      <c r="M325" s="188">
        <v>1</v>
      </c>
      <c r="N325" s="188" t="s">
        <v>458</v>
      </c>
      <c r="O325" s="188"/>
      <c r="P325" s="198">
        <f>SUM(Tabela2[[#This Row],[G]]+Tabela2[[#This Row],[D]]+Tabela2[[#This Row],[N]]+Tabela2[[#This Row],[HM]])</f>
        <v>4</v>
      </c>
      <c r="Q325" s="198">
        <f>SUM(Tabela2[[#This Row],[AO]]+Tabela2[[#This Row],[AD]]+Tabela2[[#This Row],[GWO]]+Tabela2[[#This Row],[GWD]])</f>
        <v>4</v>
      </c>
      <c r="R325" s="198">
        <f>Tabela2[[#This Row],[GWO]]+Tabela2[[#This Row],[GWD]]</f>
        <v>2</v>
      </c>
      <c r="S325" s="195">
        <f>SUM(Tabela2[[#This Row],[G]:[GWD]])</f>
        <v>8</v>
      </c>
    </row>
    <row r="326" spans="1:19">
      <c r="A326" s="197">
        <v>2</v>
      </c>
      <c r="B326" s="188" t="s">
        <v>775</v>
      </c>
      <c r="C326" s="188" t="s">
        <v>725</v>
      </c>
      <c r="D326" s="188">
        <v>2</v>
      </c>
      <c r="E326" s="188" t="s">
        <v>18</v>
      </c>
      <c r="F326" s="188">
        <v>1</v>
      </c>
      <c r="G326" s="188">
        <v>1</v>
      </c>
      <c r="H326" s="188">
        <v>1</v>
      </c>
      <c r="I326" s="188">
        <v>1</v>
      </c>
      <c r="J326" s="188">
        <v>1</v>
      </c>
      <c r="K326" s="188">
        <v>1</v>
      </c>
      <c r="L326" s="188">
        <v>1</v>
      </c>
      <c r="M326" s="188">
        <v>1</v>
      </c>
      <c r="N326" s="183"/>
      <c r="O326" s="183"/>
      <c r="P326" s="194">
        <f>SUM(Tabela2[[#This Row],[G]]+Tabela2[[#This Row],[D]]+Tabela2[[#This Row],[N]]+Tabela2[[#This Row],[HM]])</f>
        <v>4</v>
      </c>
      <c r="Q326" s="194">
        <f>SUM(Tabela2[[#This Row],[AO]]+Tabela2[[#This Row],[AD]]+Tabela2[[#This Row],[GWO]]+Tabela2[[#This Row],[GWD]])</f>
        <v>4</v>
      </c>
      <c r="R326" s="194">
        <f>Tabela2[[#This Row],[GWO]]+Tabela2[[#This Row],[GWD]]</f>
        <v>2</v>
      </c>
      <c r="S326" s="194">
        <f>SUM(Tabela2[[#This Row],[G]:[GWD]])</f>
        <v>8</v>
      </c>
    </row>
    <row r="327" spans="1:19">
      <c r="A327" s="197">
        <v>1</v>
      </c>
      <c r="B327" s="188" t="s">
        <v>777</v>
      </c>
      <c r="C327" s="188" t="s">
        <v>776</v>
      </c>
      <c r="D327" s="188">
        <v>2</v>
      </c>
      <c r="E327" s="188" t="s">
        <v>18</v>
      </c>
      <c r="F327" s="188">
        <v>1</v>
      </c>
      <c r="G327" s="188">
        <v>2</v>
      </c>
      <c r="H327" s="188">
        <v>4</v>
      </c>
      <c r="I327" s="188">
        <v>1</v>
      </c>
      <c r="J327" s="188">
        <v>1</v>
      </c>
      <c r="K327" s="188">
        <v>1</v>
      </c>
      <c r="L327" s="188">
        <v>1</v>
      </c>
      <c r="M327" s="188">
        <v>1</v>
      </c>
      <c r="N327" s="188" t="s">
        <v>458</v>
      </c>
      <c r="O327" s="188"/>
      <c r="P327" s="198">
        <f>SUM(Tabela2[[#This Row],[G]]+Tabela2[[#This Row],[D]]+Tabela2[[#This Row],[N]]+Tabela2[[#This Row],[HM]])</f>
        <v>8</v>
      </c>
      <c r="Q327" s="198">
        <f>SUM(Tabela2[[#This Row],[AO]]+Tabela2[[#This Row],[AD]]+Tabela2[[#This Row],[GWO]]+Tabela2[[#This Row],[GWD]])</f>
        <v>4</v>
      </c>
      <c r="R327" s="198">
        <f>Tabela2[[#This Row],[GWO]]+Tabela2[[#This Row],[GWD]]</f>
        <v>2</v>
      </c>
      <c r="S327" s="194">
        <f>SUM(Tabela2[[#This Row],[G]:[GWD]])</f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E16" sqref="E16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799</v>
      </c>
      <c r="D1" t="s">
        <v>788</v>
      </c>
      <c r="E1" t="s">
        <v>803</v>
      </c>
      <c r="F1" t="s">
        <v>806</v>
      </c>
      <c r="G1" t="s">
        <v>804</v>
      </c>
      <c r="J1" t="s">
        <v>808</v>
      </c>
    </row>
    <row r="2" spans="1:12">
      <c r="A2" t="s">
        <v>805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4129.3333333333339</v>
      </c>
    </row>
    <row r="3" spans="1:12">
      <c r="A3" t="s">
        <v>805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4346.666666666667</v>
      </c>
      <c r="L3">
        <f>(K3-K2)/J2*30/G20</f>
        <v>5.2631578947368349E-2</v>
      </c>
    </row>
    <row r="4" spans="1:12">
      <c r="A4" t="s">
        <v>805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805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805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805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805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805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805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805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798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800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837</v>
      </c>
      <c r="D14">
        <v>10</v>
      </c>
      <c r="E14">
        <v>10</v>
      </c>
      <c r="F14">
        <v>14</v>
      </c>
      <c r="G14">
        <f t="shared" si="0"/>
        <v>140</v>
      </c>
    </row>
    <row r="15" spans="1:12">
      <c r="A15" t="s">
        <v>800</v>
      </c>
      <c r="B15">
        <v>25.35</v>
      </c>
      <c r="D15">
        <v>20</v>
      </c>
      <c r="G15">
        <f>F15*E15</f>
        <v>0</v>
      </c>
    </row>
    <row r="16" spans="1:12">
      <c r="A16" t="s">
        <v>800</v>
      </c>
      <c r="B16">
        <v>45</v>
      </c>
      <c r="D16">
        <v>30</v>
      </c>
      <c r="G16">
        <f>F16*E16</f>
        <v>0</v>
      </c>
    </row>
    <row r="17" spans="1:7">
      <c r="A17" t="s">
        <v>801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802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807</v>
      </c>
      <c r="G20" s="36">
        <f>SUM(Tabela20[Cryst/Month])</f>
        <v>1630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C10" sqref="C10"/>
    </sheetView>
  </sheetViews>
  <sheetFormatPr defaultRowHeight="14.25"/>
  <cols>
    <col min="1" max="1" width="12.125" bestFit="1" customWidth="1"/>
  </cols>
  <sheetData>
    <row r="1" spans="1:7">
      <c r="G1" t="s">
        <v>5</v>
      </c>
    </row>
    <row r="2" spans="1:7">
      <c r="A2" t="s">
        <v>839</v>
      </c>
      <c r="B2" t="s">
        <v>838</v>
      </c>
      <c r="C2" t="s">
        <v>257</v>
      </c>
      <c r="D2" t="s">
        <v>150</v>
      </c>
      <c r="E2" t="s">
        <v>151</v>
      </c>
      <c r="F2" t="s">
        <v>187</v>
      </c>
      <c r="G2">
        <v>49</v>
      </c>
    </row>
    <row r="3" spans="1:7">
      <c r="A3" t="s">
        <v>840</v>
      </c>
      <c r="B3" t="s">
        <v>838</v>
      </c>
      <c r="C3" t="s">
        <v>257</v>
      </c>
      <c r="D3" t="s">
        <v>150</v>
      </c>
      <c r="E3" t="s">
        <v>151</v>
      </c>
      <c r="F3" t="s">
        <v>187</v>
      </c>
      <c r="G3">
        <v>29</v>
      </c>
    </row>
    <row r="4" spans="1:7">
      <c r="A4" t="s">
        <v>841</v>
      </c>
      <c r="B4" t="s">
        <v>838</v>
      </c>
      <c r="C4" t="s">
        <v>145</v>
      </c>
      <c r="D4" t="s">
        <v>150</v>
      </c>
      <c r="E4" t="s">
        <v>151</v>
      </c>
      <c r="F4" t="s">
        <v>187</v>
      </c>
      <c r="G4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2015-11-11T17:53:52Z</dcterms:modified>
</cp:coreProperties>
</file>